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charts/chart5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charts/chart6.xml" ContentType="application/vnd.openxmlformats-officedocument.drawingml.chart+xml"/>
  <Override PartName="/xl/charts/style6.xml" ContentType="application/vnd.ms-office.chartstyle+xml"/>
  <Override PartName="/xl/charts/colors6.xml" ContentType="application/vnd.ms-office.chartcolorstyle+xml"/>
  <Override PartName="/xl/charts/chart7.xml" ContentType="application/vnd.openxmlformats-officedocument.drawingml.chart+xml"/>
  <Override PartName="/xl/charts/style7.xml" ContentType="application/vnd.ms-office.chartstyle+xml"/>
  <Override PartName="/xl/charts/colors7.xml" ContentType="application/vnd.ms-office.chartcolorstyle+xml"/>
  <Override PartName="/xl/charts/chart8.xml" ContentType="application/vnd.openxmlformats-officedocument.drawingml.chart+xml"/>
  <Override PartName="/xl/charts/style8.xml" ContentType="application/vnd.ms-office.chartstyle+xml"/>
  <Override PartName="/xl/charts/colors8.xml" ContentType="application/vnd.ms-office.chartcolorstyle+xml"/>
  <Override PartName="/xl/charts/chart9.xml" ContentType="application/vnd.openxmlformats-officedocument.drawingml.chart+xml"/>
  <Override PartName="/xl/charts/style9.xml" ContentType="application/vnd.ms-office.chartstyle+xml"/>
  <Override PartName="/xl/charts/colors9.xml" ContentType="application/vnd.ms-office.chartcolorstyle+xml"/>
  <Override PartName="/xl/charts/chart10.xml" ContentType="application/vnd.openxmlformats-officedocument.drawingml.chart+xml"/>
  <Override PartName="/xl/charts/style10.xml" ContentType="application/vnd.ms-office.chartstyle+xml"/>
  <Override PartName="/xl/charts/colors10.xml" ContentType="application/vnd.ms-office.chartcolorstyle+xml"/>
  <Override PartName="/xl/charts/chart11.xml" ContentType="application/vnd.openxmlformats-officedocument.drawingml.chart+xml"/>
  <Override PartName="/xl/charts/style11.xml" ContentType="application/vnd.ms-office.chartstyle+xml"/>
  <Override PartName="/xl/charts/colors11.xml" ContentType="application/vnd.ms-office.chartcolorstyle+xml"/>
  <Override PartName="/xl/charts/chart12.xml" ContentType="application/vnd.openxmlformats-officedocument.drawingml.chart+xml"/>
  <Override PartName="/xl/charts/style12.xml" ContentType="application/vnd.ms-office.chartstyle+xml"/>
  <Override PartName="/xl/charts/colors12.xml" ContentType="application/vnd.ms-office.chartcolorstyle+xml"/>
  <Override PartName="/xl/charts/chart13.xml" ContentType="application/vnd.openxmlformats-officedocument.drawingml.chart+xml"/>
  <Override PartName="/xl/charts/style13.xml" ContentType="application/vnd.ms-office.chartstyle+xml"/>
  <Override PartName="/xl/charts/colors13.xml" ContentType="application/vnd.ms-office.chartcolorstyle+xml"/>
  <Override PartName="/xl/drawings/drawing2.xml" ContentType="application/vnd.openxmlformats-officedocument.drawing+xml"/>
  <Override PartName="/xl/charts/chart14.xml" ContentType="application/vnd.openxmlformats-officedocument.drawingml.chart+xml"/>
  <Override PartName="/xl/charts/style14.xml" ContentType="application/vnd.ms-office.chartstyle+xml"/>
  <Override PartName="/xl/charts/colors14.xml" ContentType="application/vnd.ms-office.chartcolorstyle+xml"/>
  <Override PartName="/xl/charts/chart15.xml" ContentType="application/vnd.openxmlformats-officedocument.drawingml.chart+xml"/>
  <Override PartName="/xl/charts/style15.xml" ContentType="application/vnd.ms-office.chartstyle+xml"/>
  <Override PartName="/xl/charts/colors15.xml" ContentType="application/vnd.ms-office.chartcolorstyle+xml"/>
  <Override PartName="/xl/charts/chart16.xml" ContentType="application/vnd.openxmlformats-officedocument.drawingml.chart+xml"/>
  <Override PartName="/xl/charts/style16.xml" ContentType="application/vnd.ms-office.chartstyle+xml"/>
  <Override PartName="/xl/charts/colors16.xml" ContentType="application/vnd.ms-office.chartcolorstyle+xml"/>
  <Override PartName="/xl/charts/chart17.xml" ContentType="application/vnd.openxmlformats-officedocument.drawingml.chart+xml"/>
  <Override PartName="/xl/charts/style17.xml" ContentType="application/vnd.ms-office.chartstyle+xml"/>
  <Override PartName="/xl/charts/colors17.xml" ContentType="application/vnd.ms-office.chartcolorstyle+xml"/>
  <Override PartName="/xl/charts/chart18.xml" ContentType="application/vnd.openxmlformats-officedocument.drawingml.chart+xml"/>
  <Override PartName="/xl/charts/style18.xml" ContentType="application/vnd.ms-office.chartstyle+xml"/>
  <Override PartName="/xl/charts/colors18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/>
  <mc:AlternateContent xmlns:mc="http://schemas.openxmlformats.org/markup-compatibility/2006">
    <mc:Choice Requires="x15">
      <x15ac:absPath xmlns:x15ac="http://schemas.microsoft.com/office/spreadsheetml/2010/11/ac" url="C:\Users\josej\Downloads\"/>
    </mc:Choice>
  </mc:AlternateContent>
  <xr:revisionPtr revIDLastSave="0" documentId="8_{A69AFC0F-E9E7-4D80-85F3-419DB1C29330}" xr6:coauthVersionLast="47" xr6:coauthVersionMax="47" xr10:uidLastSave="{00000000-0000-0000-0000-000000000000}"/>
  <bookViews>
    <workbookView xWindow="-108" yWindow="-108" windowWidth="23256" windowHeight="12456" tabRatio="709" activeTab="8" xr2:uid="{00000000-000D-0000-FFFF-FFFF00000000}"/>
  </bookViews>
  <sheets>
    <sheet name="MODELO EQUÍL. E CARGA" sheetId="27" r:id="rId1"/>
    <sheet name="MODELO EQUÍLIBRIO QUÍMICO" sheetId="1" r:id="rId2"/>
    <sheet name="21.04" sheetId="2" state="hidden" r:id="rId3"/>
    <sheet name="20.04" sheetId="3" state="hidden" r:id="rId4"/>
    <sheet name="19.04" sheetId="4" state="hidden" r:id="rId5"/>
    <sheet name="18.04" sheetId="5" state="hidden" r:id="rId6"/>
    <sheet name="17.04" sheetId="6" state="hidden" r:id="rId7"/>
    <sheet name="16.04" sheetId="7" state="hidden" r:id="rId8"/>
    <sheet name="EQUILIBRIO QUIMICO COM CARGA" sheetId="28" r:id="rId9"/>
    <sheet name="EQUILIBRIO QUIMICO" sheetId="10" r:id="rId10"/>
    <sheet name="JARTEST2" sheetId="26" r:id="rId11"/>
    <sheet name="JARTEST" sheetId="19" r:id="rId12"/>
    <sheet name="DASH_CONTROLES" sheetId="21" r:id="rId13"/>
    <sheet name="DASH_QUALIDADE" sheetId="22" r:id="rId14"/>
    <sheet name="DASH_DESEMPENHO" sheetId="23" r:id="rId15"/>
    <sheet name="DASH_COMPARATIVO" sheetId="24" r:id="rId16"/>
  </sheets>
  <definedNames>
    <definedName name="_xlnm._FilterDatabase" localSheetId="9" hidden="1">'EQUILIBRIO QUIMICO'!$A$1:$BG$531</definedName>
    <definedName name="_xlnm._FilterDatabase" localSheetId="8" hidden="1">'EQUILIBRIO QUIMICO COM CARGA'!$A$1:$BH$511</definedName>
    <definedName name="_xlnm._FilterDatabase" localSheetId="10" hidden="1">JARTEST2!$A$1:$P$64</definedName>
    <definedName name="_xlnm.Print_Area" localSheetId="7">'16.04'!$A$1:$Y$28</definedName>
    <definedName name="_xlnm.Print_Area" localSheetId="6">'17.04'!$A$1:$Y$27</definedName>
    <definedName name="_xlnm.Print_Area" localSheetId="5">'18.04'!$A$1:$Y$27</definedName>
    <definedName name="_xlnm.Print_Area" localSheetId="4">'19.04'!$A$1:$Y$27</definedName>
    <definedName name="_xlnm.Print_Area" localSheetId="3">'20.04'!$A$1:$Y$27</definedName>
    <definedName name="_xlnm.Print_Area" localSheetId="2">'21.04'!$A$1:$Y$27</definedName>
    <definedName name="_xlnm.Print_Area" localSheetId="0">'MODELO EQUÍL. E CARGA'!$A$1:$AI$27</definedName>
    <definedName name="_xlnm.Print_Area" localSheetId="1">'MODELO EQUÍLIBRIO QUÍMICO'!$A$1:$AH$27</definedName>
  </definedNames>
  <calcPr calcId="191028" iterateDelta="1E-4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X2" i="28" l="1"/>
  <c r="AI2" i="28"/>
  <c r="AI3" i="28"/>
  <c r="AI4" i="28"/>
  <c r="AI5" i="28"/>
  <c r="AI6" i="28"/>
  <c r="AI7" i="28"/>
  <c r="AI8" i="28"/>
  <c r="AI9" i="28"/>
  <c r="AI10" i="28"/>
  <c r="AI11" i="28"/>
  <c r="AI12" i="28"/>
  <c r="AI13" i="28"/>
  <c r="AI14" i="28"/>
  <c r="AI15" i="28"/>
  <c r="AI16" i="28"/>
  <c r="AI17" i="28"/>
  <c r="AI18" i="28"/>
  <c r="AI19" i="28"/>
  <c r="AI20" i="28"/>
  <c r="AI21" i="28"/>
  <c r="AI22" i="28"/>
  <c r="AI23" i="28"/>
  <c r="AI24" i="28"/>
  <c r="AI25" i="28"/>
  <c r="AI26" i="28"/>
  <c r="AI27" i="28"/>
  <c r="AI28" i="28"/>
  <c r="AI29" i="28"/>
  <c r="AI30" i="28"/>
  <c r="AI31" i="28"/>
  <c r="AI32" i="28"/>
  <c r="AI33" i="28"/>
  <c r="AI34" i="28"/>
  <c r="AI35" i="28"/>
  <c r="AI36" i="28"/>
  <c r="AI37" i="28"/>
  <c r="AI38" i="28"/>
  <c r="AI39" i="28"/>
  <c r="AI40" i="28"/>
  <c r="AI41" i="28"/>
  <c r="AI42" i="28"/>
  <c r="AI43" i="28"/>
  <c r="AI44" i="28"/>
  <c r="AI45" i="28"/>
  <c r="AI46" i="28"/>
  <c r="AI47" i="28"/>
  <c r="AI48" i="28"/>
  <c r="AI49" i="28"/>
  <c r="AI50" i="28"/>
  <c r="AI51" i="28"/>
  <c r="AI52" i="28"/>
  <c r="AI53" i="28"/>
  <c r="AI54" i="28"/>
  <c r="AI55" i="28"/>
  <c r="AI56" i="28"/>
  <c r="AI57" i="28"/>
  <c r="AI58" i="28"/>
  <c r="AI59" i="28"/>
  <c r="AI60" i="28"/>
  <c r="AI61" i="28"/>
  <c r="AI62" i="28"/>
  <c r="AI63" i="28"/>
  <c r="AI64" i="28"/>
  <c r="AI65" i="28"/>
  <c r="AI66" i="28"/>
  <c r="AI67" i="28"/>
  <c r="AI68" i="28"/>
  <c r="AI69" i="28"/>
  <c r="AI70" i="28"/>
  <c r="AI71" i="28"/>
  <c r="AI72" i="28"/>
  <c r="AI73" i="28"/>
  <c r="AI74" i="28"/>
  <c r="AI75" i="28"/>
  <c r="AI76" i="28"/>
  <c r="AI77" i="28"/>
  <c r="AI78" i="28"/>
  <c r="AI79" i="28"/>
  <c r="AI80" i="28"/>
  <c r="AI81" i="28"/>
  <c r="AI82" i="28"/>
  <c r="AI83" i="28"/>
  <c r="AI84" i="28"/>
  <c r="AI85" i="28"/>
  <c r="AI86" i="28"/>
  <c r="AI87" i="28"/>
  <c r="AI88" i="28"/>
  <c r="AI89" i="28"/>
  <c r="AI90" i="28"/>
  <c r="AI91" i="28"/>
  <c r="AI92" i="28"/>
  <c r="AI93" i="28"/>
  <c r="AI94" i="28"/>
  <c r="AI95" i="28"/>
  <c r="AI96" i="28"/>
  <c r="AI97" i="28"/>
  <c r="AI98" i="28"/>
  <c r="AI99" i="28"/>
  <c r="AI100" i="28"/>
  <c r="AI101" i="28"/>
  <c r="AI102" i="28"/>
  <c r="AI103" i="28"/>
  <c r="AI104" i="28"/>
  <c r="AI105" i="28"/>
  <c r="AI106" i="28"/>
  <c r="AI107" i="28"/>
  <c r="AI108" i="28"/>
  <c r="AI109" i="28"/>
  <c r="AI110" i="28"/>
  <c r="AI111" i="28"/>
  <c r="AI112" i="28"/>
  <c r="AI113" i="28"/>
  <c r="AI114" i="28"/>
  <c r="AI115" i="28"/>
  <c r="AI116" i="28"/>
  <c r="AI117" i="28"/>
  <c r="AI118" i="28"/>
  <c r="AI119" i="28"/>
  <c r="AI120" i="28"/>
  <c r="AI121" i="28"/>
  <c r="AI122" i="28"/>
  <c r="AI123" i="28"/>
  <c r="AI124" i="28"/>
  <c r="AI125" i="28"/>
  <c r="AI126" i="28"/>
  <c r="AI127" i="28"/>
  <c r="AI128" i="28"/>
  <c r="AI129" i="28"/>
  <c r="AI130" i="28"/>
  <c r="AI131" i="28"/>
  <c r="AI132" i="28"/>
  <c r="AI133" i="28"/>
  <c r="AI134" i="28"/>
  <c r="AI135" i="28"/>
  <c r="AI136" i="28"/>
  <c r="AI137" i="28"/>
  <c r="AI138" i="28"/>
  <c r="AI139" i="28"/>
  <c r="AI140" i="28"/>
  <c r="AI141" i="28"/>
  <c r="AI142" i="28"/>
  <c r="AI143" i="28"/>
  <c r="AI144" i="28"/>
  <c r="AI145" i="28"/>
  <c r="AI146" i="28"/>
  <c r="AI147" i="28"/>
  <c r="AI148" i="28"/>
  <c r="AI149" i="28"/>
  <c r="AI150" i="28"/>
  <c r="AI151" i="28"/>
  <c r="AI152" i="28"/>
  <c r="AI153" i="28"/>
  <c r="AI154" i="28"/>
  <c r="AI155" i="28"/>
  <c r="AI156" i="28"/>
  <c r="AI157" i="28"/>
  <c r="AI158" i="28"/>
  <c r="AI159" i="28"/>
  <c r="AI160" i="28"/>
  <c r="AI161" i="28"/>
  <c r="AI162" i="28"/>
  <c r="AI163" i="28"/>
  <c r="AI164" i="28"/>
  <c r="AI165" i="28"/>
  <c r="AI166" i="28"/>
  <c r="AI167" i="28"/>
  <c r="AI168" i="28"/>
  <c r="AI169" i="28"/>
  <c r="AI170" i="28"/>
  <c r="AI171" i="28"/>
  <c r="AI172" i="28"/>
  <c r="AI173" i="28"/>
  <c r="AI174" i="28"/>
  <c r="AI175" i="28"/>
  <c r="AI176" i="28"/>
  <c r="AI177" i="28"/>
  <c r="AI178" i="28"/>
  <c r="AI179" i="28"/>
  <c r="AI180" i="28"/>
  <c r="AI181" i="28"/>
  <c r="AI182" i="28"/>
  <c r="AI183" i="28"/>
  <c r="AI184" i="28"/>
  <c r="AI185" i="28"/>
  <c r="AI186" i="28"/>
  <c r="AI187" i="28"/>
  <c r="AI188" i="28"/>
  <c r="AI189" i="28"/>
  <c r="AI190" i="28"/>
  <c r="AI191" i="28"/>
  <c r="AI192" i="28"/>
  <c r="AI193" i="28"/>
  <c r="AI194" i="28"/>
  <c r="AI195" i="28"/>
  <c r="AI196" i="28"/>
  <c r="AI197" i="28"/>
  <c r="AI198" i="28"/>
  <c r="AI199" i="28"/>
  <c r="AI200" i="28"/>
  <c r="AI201" i="28"/>
  <c r="AI202" i="28"/>
  <c r="AI203" i="28"/>
  <c r="AI204" i="28"/>
  <c r="AI205" i="28"/>
  <c r="AI206" i="28"/>
  <c r="AI207" i="28"/>
  <c r="AI208" i="28"/>
  <c r="AI209" i="28"/>
  <c r="AI210" i="28"/>
  <c r="AI211" i="28"/>
  <c r="AI212" i="28"/>
  <c r="AI213" i="28"/>
  <c r="AI214" i="28"/>
  <c r="AI215" i="28"/>
  <c r="AI216" i="28"/>
  <c r="AI217" i="28"/>
  <c r="AI218" i="28"/>
  <c r="AI219" i="28"/>
  <c r="AI220" i="28"/>
  <c r="AI221" i="28"/>
  <c r="AI222" i="28"/>
  <c r="AI223" i="28"/>
  <c r="AI224" i="28"/>
  <c r="AI225" i="28"/>
  <c r="AI226" i="28"/>
  <c r="AI227" i="28"/>
  <c r="AI228" i="28"/>
  <c r="AI229" i="28"/>
  <c r="AI230" i="28"/>
  <c r="AI231" i="28"/>
  <c r="AI232" i="28"/>
  <c r="AI233" i="28"/>
  <c r="AI234" i="28"/>
  <c r="AI235" i="28"/>
  <c r="AI236" i="28"/>
  <c r="AI237" i="28"/>
  <c r="AI238" i="28"/>
  <c r="AI239" i="28"/>
  <c r="AI240" i="28"/>
  <c r="AI241" i="28"/>
  <c r="AI242" i="28"/>
  <c r="AI243" i="28"/>
  <c r="AI244" i="28"/>
  <c r="AI245" i="28"/>
  <c r="AI246" i="28"/>
  <c r="AI247" i="28"/>
  <c r="AI248" i="28"/>
  <c r="AI249" i="28"/>
  <c r="AI250" i="28"/>
  <c r="AI251" i="28"/>
  <c r="AI252" i="28"/>
  <c r="AI253" i="28"/>
  <c r="AI254" i="28"/>
  <c r="AI255" i="28"/>
  <c r="AI256" i="28"/>
  <c r="AI257" i="28"/>
  <c r="AI258" i="28"/>
  <c r="AI259" i="28"/>
  <c r="AI260" i="28"/>
  <c r="AI261" i="28"/>
  <c r="AI262" i="28"/>
  <c r="AI263" i="28"/>
  <c r="AI264" i="28"/>
  <c r="AI265" i="28"/>
  <c r="AI266" i="28"/>
  <c r="AI267" i="28"/>
  <c r="AI268" i="28"/>
  <c r="AI269" i="28"/>
  <c r="AI270" i="28"/>
  <c r="AI271" i="28"/>
  <c r="AI272" i="28"/>
  <c r="AI273" i="28"/>
  <c r="AI274" i="28"/>
  <c r="AI275" i="28"/>
  <c r="AI276" i="28"/>
  <c r="AI277" i="28"/>
  <c r="AI278" i="28"/>
  <c r="AI279" i="28"/>
  <c r="AI280" i="28"/>
  <c r="AI281" i="28"/>
  <c r="AI282" i="28"/>
  <c r="AI283" i="28"/>
  <c r="AI284" i="28"/>
  <c r="AI285" i="28"/>
  <c r="AI286" i="28"/>
  <c r="AI287" i="28"/>
  <c r="AI288" i="28"/>
  <c r="AI289" i="28"/>
  <c r="AI290" i="28"/>
  <c r="AI291" i="28"/>
  <c r="AI292" i="28"/>
  <c r="AI293" i="28"/>
  <c r="AI294" i="28"/>
  <c r="AI295" i="28"/>
  <c r="AI296" i="28"/>
  <c r="AI297" i="28"/>
  <c r="AI298" i="28"/>
  <c r="AI299" i="28"/>
  <c r="AI300" i="28"/>
  <c r="AI301" i="28"/>
  <c r="AI302" i="28"/>
  <c r="AI303" i="28"/>
  <c r="AI304" i="28"/>
  <c r="AI305" i="28"/>
  <c r="AI306" i="28"/>
  <c r="AI307" i="28"/>
  <c r="AI308" i="28"/>
  <c r="AI309" i="28"/>
  <c r="AI310" i="28"/>
  <c r="AI311" i="28"/>
  <c r="AI312" i="28"/>
  <c r="AI313" i="28"/>
  <c r="AI314" i="28"/>
  <c r="AI315" i="28"/>
  <c r="AI316" i="28"/>
  <c r="AI317" i="28"/>
  <c r="AI318" i="28"/>
  <c r="AI319" i="28"/>
  <c r="AI320" i="28"/>
  <c r="AI321" i="28"/>
  <c r="AI322" i="28"/>
  <c r="AI323" i="28"/>
  <c r="AI324" i="28"/>
  <c r="AI325" i="28"/>
  <c r="AI326" i="28"/>
  <c r="AI327" i="28"/>
  <c r="AI328" i="28"/>
  <c r="AI329" i="28"/>
  <c r="AI330" i="28"/>
  <c r="AI331" i="28"/>
  <c r="AI332" i="28"/>
  <c r="AI333" i="28"/>
  <c r="AI334" i="28"/>
  <c r="AI335" i="28"/>
  <c r="AI336" i="28"/>
  <c r="AI337" i="28"/>
  <c r="AI338" i="28"/>
  <c r="AI339" i="28"/>
  <c r="AI340" i="28"/>
  <c r="AI341" i="28"/>
  <c r="AI342" i="28"/>
  <c r="AI343" i="28"/>
  <c r="AI344" i="28"/>
  <c r="AI345" i="28"/>
  <c r="AI346" i="28"/>
  <c r="AI347" i="28"/>
  <c r="AI348" i="28"/>
  <c r="AI349" i="28"/>
  <c r="AI350" i="28"/>
  <c r="AI351" i="28"/>
  <c r="AI352" i="28"/>
  <c r="AI353" i="28"/>
  <c r="AI354" i="28"/>
  <c r="AI355" i="28"/>
  <c r="AI356" i="28"/>
  <c r="AI357" i="28"/>
  <c r="AI358" i="28"/>
  <c r="AI359" i="28"/>
  <c r="AI360" i="28"/>
  <c r="AI361" i="28"/>
  <c r="AI362" i="28"/>
  <c r="AI363" i="28"/>
  <c r="AI364" i="28"/>
  <c r="AI365" i="28"/>
  <c r="AI366" i="28"/>
  <c r="AI367" i="28"/>
  <c r="AI368" i="28"/>
  <c r="AI369" i="28"/>
  <c r="AI370" i="28"/>
  <c r="AI371" i="28"/>
  <c r="AI372" i="28"/>
  <c r="AI373" i="28"/>
  <c r="AI374" i="28"/>
  <c r="AI375" i="28"/>
  <c r="AI376" i="28"/>
  <c r="AI377" i="28"/>
  <c r="AI378" i="28"/>
  <c r="AI379" i="28"/>
  <c r="AI380" i="28"/>
  <c r="AI381" i="28"/>
  <c r="AI382" i="28"/>
  <c r="AI383" i="28"/>
  <c r="AI384" i="28"/>
  <c r="AI385" i="28"/>
  <c r="AI386" i="28"/>
  <c r="AI387" i="28"/>
  <c r="AI388" i="28"/>
  <c r="AI389" i="28"/>
  <c r="AI390" i="28"/>
  <c r="AI391" i="28"/>
  <c r="AI392" i="28"/>
  <c r="AI393" i="28"/>
  <c r="AI394" i="28"/>
  <c r="AI395" i="28"/>
  <c r="AI396" i="28"/>
  <c r="AI397" i="28"/>
  <c r="AI398" i="28"/>
  <c r="AI399" i="28"/>
  <c r="AI400" i="28"/>
  <c r="AI401" i="28"/>
  <c r="AI402" i="28"/>
  <c r="AI403" i="28"/>
  <c r="AI404" i="28"/>
  <c r="AI405" i="28"/>
  <c r="AI406" i="28"/>
  <c r="AI407" i="28"/>
  <c r="AI408" i="28"/>
  <c r="AI409" i="28"/>
  <c r="AI410" i="28"/>
  <c r="AI411" i="28"/>
  <c r="AI412" i="28"/>
  <c r="AI413" i="28"/>
  <c r="AI414" i="28"/>
  <c r="AI415" i="28"/>
  <c r="AI416" i="28"/>
  <c r="AI417" i="28"/>
  <c r="AI418" i="28"/>
  <c r="AI419" i="28"/>
  <c r="AI420" i="28"/>
  <c r="AI421" i="28"/>
  <c r="AI422" i="28"/>
  <c r="AI423" i="28"/>
  <c r="AI424" i="28"/>
  <c r="AI425" i="28"/>
  <c r="AI426" i="28"/>
  <c r="AI427" i="28"/>
  <c r="AI428" i="28"/>
  <c r="AI429" i="28"/>
  <c r="AI430" i="28"/>
  <c r="AI431" i="28"/>
  <c r="AI432" i="28"/>
  <c r="AI433" i="28"/>
  <c r="AI434" i="28"/>
  <c r="AI435" i="28"/>
  <c r="AI436" i="28"/>
  <c r="AI437" i="28"/>
  <c r="AI438" i="28"/>
  <c r="AI439" i="28"/>
  <c r="AI440" i="28"/>
  <c r="AI441" i="28"/>
  <c r="AI442" i="28"/>
  <c r="AI443" i="28"/>
  <c r="AI444" i="28"/>
  <c r="AI445" i="28"/>
  <c r="AI446" i="28"/>
  <c r="AI447" i="28"/>
  <c r="AI448" i="28"/>
  <c r="AI449" i="28"/>
  <c r="AI450" i="28"/>
  <c r="AI451" i="28"/>
  <c r="AI452" i="28"/>
  <c r="AI453" i="28"/>
  <c r="AI454" i="28"/>
  <c r="AI455" i="28"/>
  <c r="AI456" i="28"/>
  <c r="AI457" i="28"/>
  <c r="AI458" i="28"/>
  <c r="AI459" i="28"/>
  <c r="AI460" i="28"/>
  <c r="AI461" i="28"/>
  <c r="AI462" i="28"/>
  <c r="AI463" i="28"/>
  <c r="AI464" i="28"/>
  <c r="AI465" i="28"/>
  <c r="AI466" i="28"/>
  <c r="AI467" i="28"/>
  <c r="AI468" i="28"/>
  <c r="AI469" i="28"/>
  <c r="AI470" i="28"/>
  <c r="AI471" i="28"/>
  <c r="AI472" i="28"/>
  <c r="AI473" i="28"/>
  <c r="AI474" i="28"/>
  <c r="AI475" i="28"/>
  <c r="AI476" i="28"/>
  <c r="AI477" i="28"/>
  <c r="AI478" i="28"/>
  <c r="AI479" i="28"/>
  <c r="AI480" i="28"/>
  <c r="AI481" i="28"/>
  <c r="AI482" i="28"/>
  <c r="AI483" i="28"/>
  <c r="AI484" i="28"/>
  <c r="AI485" i="28"/>
  <c r="AI486" i="28"/>
  <c r="AI487" i="28"/>
  <c r="AI488" i="28"/>
  <c r="AI489" i="28"/>
  <c r="AI490" i="28"/>
  <c r="AI491" i="28"/>
  <c r="AI492" i="28"/>
  <c r="AI493" i="28"/>
  <c r="AI494" i="28"/>
  <c r="AI495" i="28"/>
  <c r="AI496" i="28"/>
  <c r="AI497" i="28"/>
  <c r="AI498" i="28"/>
  <c r="AI499" i="28"/>
  <c r="AI500" i="28"/>
  <c r="AI501" i="28"/>
  <c r="AI502" i="28"/>
  <c r="AI503" i="28"/>
  <c r="AI504" i="28"/>
  <c r="AI505" i="28"/>
  <c r="AI506" i="28"/>
  <c r="AI507" i="28"/>
  <c r="AI508" i="28"/>
  <c r="AI509" i="28"/>
  <c r="AI510" i="28"/>
  <c r="AI511" i="28"/>
  <c r="AH2" i="28"/>
  <c r="AH3" i="28"/>
  <c r="AH4" i="28"/>
  <c r="AH5" i="28"/>
  <c r="AH6" i="28"/>
  <c r="AH7" i="28"/>
  <c r="AH8" i="28"/>
  <c r="AH9" i="28"/>
  <c r="AH10" i="28"/>
  <c r="AH11" i="28"/>
  <c r="AH12" i="28"/>
  <c r="AH13" i="28"/>
  <c r="AH14" i="28"/>
  <c r="AH15" i="28"/>
  <c r="AH16" i="28"/>
  <c r="AH17" i="28"/>
  <c r="AH18" i="28"/>
  <c r="AH19" i="28"/>
  <c r="AH20" i="28"/>
  <c r="AH21" i="28"/>
  <c r="AH22" i="28"/>
  <c r="AH23" i="28"/>
  <c r="AH24" i="28"/>
  <c r="AH25" i="28"/>
  <c r="AH26" i="28"/>
  <c r="AH27" i="28"/>
  <c r="AH28" i="28"/>
  <c r="AH29" i="28"/>
  <c r="AH30" i="28"/>
  <c r="AH31" i="28"/>
  <c r="AH32" i="28"/>
  <c r="AH33" i="28"/>
  <c r="AH34" i="28"/>
  <c r="AH35" i="28"/>
  <c r="AH36" i="28"/>
  <c r="AH37" i="28"/>
  <c r="AH38" i="28"/>
  <c r="AH39" i="28"/>
  <c r="AH40" i="28"/>
  <c r="AH41" i="28"/>
  <c r="AH42" i="28"/>
  <c r="AH43" i="28"/>
  <c r="AH44" i="28"/>
  <c r="AH45" i="28"/>
  <c r="AH46" i="28"/>
  <c r="AH47" i="28"/>
  <c r="AH48" i="28"/>
  <c r="AH49" i="28"/>
  <c r="AH50" i="28"/>
  <c r="AH51" i="28"/>
  <c r="AH52" i="28"/>
  <c r="AH53" i="28"/>
  <c r="AH54" i="28"/>
  <c r="AH55" i="28"/>
  <c r="AH56" i="28"/>
  <c r="AH57" i="28"/>
  <c r="AH58" i="28"/>
  <c r="AH59" i="28"/>
  <c r="AH60" i="28"/>
  <c r="AH61" i="28"/>
  <c r="AH62" i="28"/>
  <c r="AH63" i="28"/>
  <c r="AH64" i="28"/>
  <c r="AH65" i="28"/>
  <c r="AH66" i="28"/>
  <c r="AH67" i="28"/>
  <c r="AH68" i="28"/>
  <c r="AH69" i="28"/>
  <c r="AH70" i="28"/>
  <c r="AH71" i="28"/>
  <c r="AH72" i="28"/>
  <c r="AH73" i="28"/>
  <c r="AH74" i="28"/>
  <c r="AH75" i="28"/>
  <c r="AH76" i="28"/>
  <c r="AH77" i="28"/>
  <c r="AH78" i="28"/>
  <c r="AH79" i="28"/>
  <c r="AH80" i="28"/>
  <c r="AH81" i="28"/>
  <c r="AH82" i="28"/>
  <c r="AH83" i="28"/>
  <c r="AH84" i="28"/>
  <c r="AH85" i="28"/>
  <c r="AH86" i="28"/>
  <c r="AH87" i="28"/>
  <c r="AH88" i="28"/>
  <c r="AH89" i="28"/>
  <c r="AH90" i="28"/>
  <c r="AH91" i="28"/>
  <c r="AH92" i="28"/>
  <c r="AH93" i="28"/>
  <c r="AH94" i="28"/>
  <c r="AH95" i="28"/>
  <c r="AH96" i="28"/>
  <c r="AH97" i="28"/>
  <c r="AH98" i="28"/>
  <c r="AH99" i="28"/>
  <c r="AH100" i="28"/>
  <c r="AH101" i="28"/>
  <c r="AH102" i="28"/>
  <c r="AH103" i="28"/>
  <c r="AH104" i="28"/>
  <c r="AH105" i="28"/>
  <c r="AH106" i="28"/>
  <c r="AH107" i="28"/>
  <c r="AH108" i="28"/>
  <c r="AH109" i="28"/>
  <c r="AH110" i="28"/>
  <c r="AH111" i="28"/>
  <c r="AH112" i="28"/>
  <c r="AH113" i="28"/>
  <c r="AH114" i="28"/>
  <c r="AH115" i="28"/>
  <c r="AH116" i="28"/>
  <c r="AH117" i="28"/>
  <c r="AH118" i="28"/>
  <c r="AH119" i="28"/>
  <c r="AH120" i="28"/>
  <c r="AH121" i="28"/>
  <c r="AH122" i="28"/>
  <c r="AH123" i="28"/>
  <c r="AH124" i="28"/>
  <c r="AH125" i="28"/>
  <c r="AH126" i="28"/>
  <c r="AH127" i="28"/>
  <c r="AH128" i="28"/>
  <c r="AH129" i="28"/>
  <c r="AH130" i="28"/>
  <c r="AH131" i="28"/>
  <c r="AH132" i="28"/>
  <c r="AH133" i="28"/>
  <c r="AH134" i="28"/>
  <c r="AH135" i="28"/>
  <c r="AH136" i="28"/>
  <c r="AH137" i="28"/>
  <c r="AH138" i="28"/>
  <c r="AH139" i="28"/>
  <c r="AH140" i="28"/>
  <c r="AH141" i="28"/>
  <c r="AH142" i="28"/>
  <c r="AH143" i="28"/>
  <c r="AH144" i="28"/>
  <c r="AH145" i="28"/>
  <c r="AH146" i="28"/>
  <c r="AH147" i="28"/>
  <c r="AH148" i="28"/>
  <c r="AH149" i="28"/>
  <c r="AH150" i="28"/>
  <c r="AH151" i="28"/>
  <c r="AH152" i="28"/>
  <c r="AH153" i="28"/>
  <c r="AH154" i="28"/>
  <c r="AH155" i="28"/>
  <c r="AH156" i="28"/>
  <c r="AH157" i="28"/>
  <c r="AH158" i="28"/>
  <c r="AH159" i="28"/>
  <c r="AH160" i="28"/>
  <c r="AH161" i="28"/>
  <c r="AH162" i="28"/>
  <c r="AH163" i="28"/>
  <c r="AH164" i="28"/>
  <c r="AH165" i="28"/>
  <c r="AH166" i="28"/>
  <c r="AH167" i="28"/>
  <c r="AH168" i="28"/>
  <c r="AH169" i="28"/>
  <c r="AH170" i="28"/>
  <c r="AH171" i="28"/>
  <c r="AH172" i="28"/>
  <c r="AH173" i="28"/>
  <c r="AH174" i="28"/>
  <c r="AH175" i="28"/>
  <c r="AH176" i="28"/>
  <c r="AH177" i="28"/>
  <c r="AH178" i="28"/>
  <c r="AH179" i="28"/>
  <c r="AH180" i="28"/>
  <c r="AH181" i="28"/>
  <c r="AH182" i="28"/>
  <c r="AH183" i="28"/>
  <c r="AH184" i="28"/>
  <c r="AH185" i="28"/>
  <c r="AH186" i="28"/>
  <c r="AH187" i="28"/>
  <c r="AH188" i="28"/>
  <c r="AH189" i="28"/>
  <c r="AH190" i="28"/>
  <c r="AH191" i="28"/>
  <c r="AH192" i="28"/>
  <c r="AH193" i="28"/>
  <c r="AH194" i="28"/>
  <c r="AH195" i="28"/>
  <c r="AH196" i="28"/>
  <c r="AH197" i="28"/>
  <c r="AH198" i="28"/>
  <c r="AH199" i="28"/>
  <c r="AH200" i="28"/>
  <c r="AH201" i="28"/>
  <c r="AH202" i="28"/>
  <c r="AH203" i="28"/>
  <c r="AH204" i="28"/>
  <c r="AH205" i="28"/>
  <c r="AH206" i="28"/>
  <c r="AH207" i="28"/>
  <c r="AH208" i="28"/>
  <c r="AH209" i="28"/>
  <c r="AH210" i="28"/>
  <c r="AH211" i="28"/>
  <c r="AH212" i="28"/>
  <c r="AH213" i="28"/>
  <c r="AH214" i="28"/>
  <c r="AH215" i="28"/>
  <c r="AH216" i="28"/>
  <c r="AH217" i="28"/>
  <c r="AH218" i="28"/>
  <c r="AH219" i="28"/>
  <c r="AH220" i="28"/>
  <c r="AH221" i="28"/>
  <c r="AH222" i="28"/>
  <c r="AH223" i="28"/>
  <c r="AH224" i="28"/>
  <c r="AH225" i="28"/>
  <c r="AH226" i="28"/>
  <c r="AH227" i="28"/>
  <c r="AH228" i="28"/>
  <c r="AH229" i="28"/>
  <c r="AH230" i="28"/>
  <c r="AH231" i="28"/>
  <c r="AH232" i="28"/>
  <c r="AH233" i="28"/>
  <c r="AH234" i="28"/>
  <c r="AH235" i="28"/>
  <c r="AH236" i="28"/>
  <c r="AH237" i="28"/>
  <c r="AH238" i="28"/>
  <c r="AH239" i="28"/>
  <c r="AH240" i="28"/>
  <c r="AH241" i="28"/>
  <c r="AH242" i="28"/>
  <c r="AH243" i="28"/>
  <c r="AH244" i="28"/>
  <c r="AH245" i="28"/>
  <c r="AH246" i="28"/>
  <c r="AH247" i="28"/>
  <c r="AH248" i="28"/>
  <c r="AH249" i="28"/>
  <c r="AH250" i="28"/>
  <c r="AH251" i="28"/>
  <c r="AH252" i="28"/>
  <c r="AH253" i="28"/>
  <c r="AH254" i="28"/>
  <c r="AH255" i="28"/>
  <c r="AH256" i="28"/>
  <c r="AH257" i="28"/>
  <c r="AH258" i="28"/>
  <c r="AH259" i="28"/>
  <c r="AH260" i="28"/>
  <c r="AH261" i="28"/>
  <c r="AH262" i="28"/>
  <c r="AH263" i="28"/>
  <c r="AH264" i="28"/>
  <c r="AH265" i="28"/>
  <c r="AH266" i="28"/>
  <c r="AH267" i="28"/>
  <c r="AH268" i="28"/>
  <c r="AH269" i="28"/>
  <c r="AH270" i="28"/>
  <c r="AH271" i="28"/>
  <c r="AH272" i="28"/>
  <c r="AH273" i="28"/>
  <c r="AH274" i="28"/>
  <c r="AH275" i="28"/>
  <c r="AH276" i="28"/>
  <c r="AH277" i="28"/>
  <c r="AH278" i="28"/>
  <c r="AH279" i="28"/>
  <c r="AH280" i="28"/>
  <c r="AH281" i="28"/>
  <c r="AH282" i="28"/>
  <c r="AH283" i="28"/>
  <c r="AH284" i="28"/>
  <c r="AH285" i="28"/>
  <c r="AH286" i="28"/>
  <c r="AH287" i="28"/>
  <c r="AH288" i="28"/>
  <c r="AH289" i="28"/>
  <c r="AH290" i="28"/>
  <c r="AH291" i="28"/>
  <c r="AH292" i="28"/>
  <c r="AH293" i="28"/>
  <c r="AH294" i="28"/>
  <c r="AH295" i="28"/>
  <c r="AH296" i="28"/>
  <c r="AH297" i="28"/>
  <c r="AH298" i="28"/>
  <c r="AH299" i="28"/>
  <c r="AH300" i="28"/>
  <c r="AH301" i="28"/>
  <c r="AH302" i="28"/>
  <c r="AH303" i="28"/>
  <c r="AH304" i="28"/>
  <c r="AH305" i="28"/>
  <c r="AH306" i="28"/>
  <c r="AH307" i="28"/>
  <c r="AH308" i="28"/>
  <c r="AH309" i="28"/>
  <c r="AH310" i="28"/>
  <c r="AH311" i="28"/>
  <c r="AH312" i="28"/>
  <c r="AH313" i="28"/>
  <c r="AH314" i="28"/>
  <c r="AH315" i="28"/>
  <c r="AH316" i="28"/>
  <c r="AH317" i="28"/>
  <c r="AH318" i="28"/>
  <c r="AH319" i="28"/>
  <c r="AH320" i="28"/>
  <c r="AH321" i="28"/>
  <c r="AH322" i="28"/>
  <c r="AH323" i="28"/>
  <c r="AH324" i="28"/>
  <c r="AH325" i="28"/>
  <c r="AH326" i="28"/>
  <c r="AH327" i="28"/>
  <c r="AH328" i="28"/>
  <c r="AH329" i="28"/>
  <c r="AH330" i="28"/>
  <c r="AH331" i="28"/>
  <c r="AH332" i="28"/>
  <c r="AH333" i="28"/>
  <c r="AH334" i="28"/>
  <c r="AH335" i="28"/>
  <c r="AH336" i="28"/>
  <c r="AH337" i="28"/>
  <c r="AH338" i="28"/>
  <c r="AH339" i="28"/>
  <c r="AH340" i="28"/>
  <c r="AH341" i="28"/>
  <c r="AH342" i="28"/>
  <c r="AH343" i="28"/>
  <c r="AH344" i="28"/>
  <c r="AH345" i="28"/>
  <c r="AH346" i="28"/>
  <c r="AH347" i="28"/>
  <c r="AH348" i="28"/>
  <c r="AH349" i="28"/>
  <c r="AH350" i="28"/>
  <c r="AH351" i="28"/>
  <c r="AH352" i="28"/>
  <c r="AH353" i="28"/>
  <c r="AH354" i="28"/>
  <c r="AH355" i="28"/>
  <c r="AH356" i="28"/>
  <c r="AH357" i="28"/>
  <c r="AH358" i="28"/>
  <c r="AH359" i="28"/>
  <c r="AH360" i="28"/>
  <c r="AH361" i="28"/>
  <c r="AH362" i="28"/>
  <c r="AH363" i="28"/>
  <c r="AH364" i="28"/>
  <c r="AH365" i="28"/>
  <c r="AH366" i="28"/>
  <c r="AH367" i="28"/>
  <c r="AH368" i="28"/>
  <c r="AH369" i="28"/>
  <c r="AH370" i="28"/>
  <c r="AH371" i="28"/>
  <c r="AH372" i="28"/>
  <c r="AH373" i="28"/>
  <c r="AH374" i="28"/>
  <c r="AH375" i="28"/>
  <c r="AH376" i="28"/>
  <c r="AH377" i="28"/>
  <c r="AH378" i="28"/>
  <c r="AH379" i="28"/>
  <c r="AH380" i="28"/>
  <c r="AH381" i="28"/>
  <c r="AH382" i="28"/>
  <c r="AH383" i="28"/>
  <c r="AH384" i="28"/>
  <c r="AH385" i="28"/>
  <c r="AH386" i="28"/>
  <c r="AH387" i="28"/>
  <c r="AH388" i="28"/>
  <c r="AH389" i="28"/>
  <c r="AH390" i="28"/>
  <c r="AH391" i="28"/>
  <c r="AH392" i="28"/>
  <c r="AH393" i="28"/>
  <c r="AH394" i="28"/>
  <c r="AH395" i="28"/>
  <c r="AH396" i="28"/>
  <c r="AH397" i="28"/>
  <c r="AH398" i="28"/>
  <c r="AH399" i="28"/>
  <c r="AH400" i="28"/>
  <c r="AH401" i="28"/>
  <c r="AH402" i="28"/>
  <c r="AH403" i="28"/>
  <c r="AH404" i="28"/>
  <c r="AH405" i="28"/>
  <c r="AH406" i="28"/>
  <c r="AH407" i="28"/>
  <c r="AH408" i="28"/>
  <c r="AH409" i="28"/>
  <c r="AH410" i="28"/>
  <c r="AH411" i="28"/>
  <c r="AH412" i="28"/>
  <c r="AH413" i="28"/>
  <c r="AH414" i="28"/>
  <c r="AH415" i="28"/>
  <c r="AH416" i="28"/>
  <c r="AH417" i="28"/>
  <c r="AH418" i="28"/>
  <c r="AH419" i="28"/>
  <c r="AH420" i="28"/>
  <c r="AH421" i="28"/>
  <c r="AH422" i="28"/>
  <c r="AH423" i="28"/>
  <c r="AH424" i="28"/>
  <c r="AH425" i="28"/>
  <c r="AH426" i="28"/>
  <c r="AH427" i="28"/>
  <c r="AH428" i="28"/>
  <c r="AH429" i="28"/>
  <c r="AH430" i="28"/>
  <c r="AH431" i="28"/>
  <c r="AH432" i="28"/>
  <c r="AH433" i="28"/>
  <c r="AH434" i="28"/>
  <c r="AH435" i="28"/>
  <c r="AH436" i="28"/>
  <c r="AH437" i="28"/>
  <c r="AH438" i="28"/>
  <c r="AH439" i="28"/>
  <c r="AH440" i="28"/>
  <c r="AH441" i="28"/>
  <c r="AH442" i="28"/>
  <c r="AH443" i="28"/>
  <c r="AH444" i="28"/>
  <c r="AH445" i="28"/>
  <c r="AH446" i="28"/>
  <c r="AH447" i="28"/>
  <c r="AH448" i="28"/>
  <c r="AH449" i="28"/>
  <c r="AH450" i="28"/>
  <c r="AH451" i="28"/>
  <c r="AH452" i="28"/>
  <c r="AH453" i="28"/>
  <c r="AH454" i="28"/>
  <c r="AH455" i="28"/>
  <c r="AH456" i="28"/>
  <c r="AH457" i="28"/>
  <c r="AH458" i="28"/>
  <c r="AH459" i="28"/>
  <c r="AH460" i="28"/>
  <c r="AH461" i="28"/>
  <c r="AH462" i="28"/>
  <c r="AH463" i="28"/>
  <c r="AH464" i="28"/>
  <c r="AH465" i="28"/>
  <c r="AH466" i="28"/>
  <c r="AH467" i="28"/>
  <c r="AH468" i="28"/>
  <c r="AH469" i="28"/>
  <c r="AH470" i="28"/>
  <c r="AH471" i="28"/>
  <c r="AH472" i="28"/>
  <c r="AH473" i="28"/>
  <c r="AH474" i="28"/>
  <c r="AH475" i="28"/>
  <c r="AH476" i="28"/>
  <c r="AH477" i="28"/>
  <c r="AH478" i="28"/>
  <c r="AH479" i="28"/>
  <c r="AH480" i="28"/>
  <c r="AH481" i="28"/>
  <c r="AH482" i="28"/>
  <c r="AH483" i="28"/>
  <c r="AH484" i="28"/>
  <c r="AH485" i="28"/>
  <c r="AH486" i="28"/>
  <c r="AH487" i="28"/>
  <c r="AH488" i="28"/>
  <c r="AH489" i="28"/>
  <c r="AH490" i="28"/>
  <c r="AH491" i="28"/>
  <c r="AH492" i="28"/>
  <c r="AH493" i="28"/>
  <c r="AH494" i="28"/>
  <c r="AH495" i="28"/>
  <c r="AH496" i="28"/>
  <c r="AH497" i="28"/>
  <c r="AH498" i="28"/>
  <c r="AH499" i="28"/>
  <c r="AH500" i="28"/>
  <c r="AH501" i="28"/>
  <c r="AH502" i="28"/>
  <c r="AH503" i="28"/>
  <c r="AH504" i="28"/>
  <c r="AH505" i="28"/>
  <c r="AH506" i="28"/>
  <c r="AH507" i="28"/>
  <c r="AH508" i="28"/>
  <c r="AH509" i="28"/>
  <c r="AH510" i="28"/>
  <c r="AH511" i="28"/>
  <c r="AG2" i="28"/>
  <c r="W2" i="28"/>
  <c r="W3" i="28"/>
  <c r="W4" i="28"/>
  <c r="W5" i="28"/>
  <c r="W6" i="28"/>
  <c r="W7" i="28"/>
  <c r="W8" i="28"/>
  <c r="W9" i="28"/>
  <c r="W10" i="28"/>
  <c r="W11" i="28"/>
  <c r="W12" i="28"/>
  <c r="W13" i="28"/>
  <c r="W14" i="28"/>
  <c r="W15" i="28"/>
  <c r="W16" i="28"/>
  <c r="W17" i="28"/>
  <c r="W18" i="28"/>
  <c r="W19" i="28"/>
  <c r="W20" i="28"/>
  <c r="W21" i="28"/>
  <c r="W22" i="28"/>
  <c r="W23" i="28"/>
  <c r="W24" i="28"/>
  <c r="W25" i="28"/>
  <c r="W26" i="28"/>
  <c r="W27" i="28"/>
  <c r="W28" i="28"/>
  <c r="W29" i="28"/>
  <c r="W30" i="28"/>
  <c r="W31" i="28"/>
  <c r="W32" i="28"/>
  <c r="W33" i="28"/>
  <c r="W34" i="28"/>
  <c r="W35" i="28"/>
  <c r="W36" i="28"/>
  <c r="W37" i="28"/>
  <c r="W38" i="28"/>
  <c r="W39" i="28"/>
  <c r="W40" i="28"/>
  <c r="W41" i="28"/>
  <c r="W42" i="28"/>
  <c r="W43" i="28"/>
  <c r="W44" i="28"/>
  <c r="W45" i="28"/>
  <c r="W46" i="28"/>
  <c r="W47" i="28"/>
  <c r="W48" i="28"/>
  <c r="W49" i="28"/>
  <c r="W50" i="28"/>
  <c r="W51" i="28"/>
  <c r="W52" i="28"/>
  <c r="W53" i="28"/>
  <c r="W54" i="28"/>
  <c r="W55" i="28"/>
  <c r="W56" i="28"/>
  <c r="W57" i="28"/>
  <c r="W58" i="28"/>
  <c r="W59" i="28"/>
  <c r="W60" i="28"/>
  <c r="W61" i="28"/>
  <c r="W62" i="28"/>
  <c r="W63" i="28"/>
  <c r="W64" i="28"/>
  <c r="W65" i="28"/>
  <c r="W66" i="28"/>
  <c r="W67" i="28"/>
  <c r="W68" i="28"/>
  <c r="W69" i="28"/>
  <c r="W70" i="28"/>
  <c r="W71" i="28"/>
  <c r="W72" i="28"/>
  <c r="W73" i="28"/>
  <c r="W74" i="28"/>
  <c r="W75" i="28"/>
  <c r="W76" i="28"/>
  <c r="W77" i="28"/>
  <c r="W78" i="28"/>
  <c r="W79" i="28"/>
  <c r="W80" i="28"/>
  <c r="W81" i="28"/>
  <c r="W82" i="28"/>
  <c r="W83" i="28"/>
  <c r="W84" i="28"/>
  <c r="W85" i="28"/>
  <c r="W86" i="28"/>
  <c r="W87" i="28"/>
  <c r="W88" i="28"/>
  <c r="W89" i="28"/>
  <c r="W90" i="28"/>
  <c r="W91" i="28"/>
  <c r="W92" i="28"/>
  <c r="W93" i="28"/>
  <c r="W94" i="28"/>
  <c r="W95" i="28"/>
  <c r="W96" i="28"/>
  <c r="W97" i="28"/>
  <c r="W98" i="28"/>
  <c r="W99" i="28"/>
  <c r="W100" i="28"/>
  <c r="W101" i="28"/>
  <c r="W102" i="28"/>
  <c r="W103" i="28"/>
  <c r="W104" i="28"/>
  <c r="W105" i="28"/>
  <c r="W106" i="28"/>
  <c r="W107" i="28"/>
  <c r="W108" i="28"/>
  <c r="W109" i="28"/>
  <c r="W110" i="28"/>
  <c r="W111" i="28"/>
  <c r="W112" i="28"/>
  <c r="W113" i="28"/>
  <c r="W114" i="28"/>
  <c r="W115" i="28"/>
  <c r="W116" i="28"/>
  <c r="W117" i="28"/>
  <c r="W118" i="28"/>
  <c r="W119" i="28"/>
  <c r="W120" i="28"/>
  <c r="W121" i="28"/>
  <c r="W122" i="28"/>
  <c r="W123" i="28"/>
  <c r="W124" i="28"/>
  <c r="W125" i="28"/>
  <c r="W126" i="28"/>
  <c r="W127" i="28"/>
  <c r="W128" i="28"/>
  <c r="W129" i="28"/>
  <c r="W130" i="28"/>
  <c r="W131" i="28"/>
  <c r="W132" i="28"/>
  <c r="W133" i="28"/>
  <c r="W134" i="28"/>
  <c r="W135" i="28"/>
  <c r="W136" i="28"/>
  <c r="W137" i="28"/>
  <c r="W138" i="28"/>
  <c r="W139" i="28"/>
  <c r="W140" i="28"/>
  <c r="W141" i="28"/>
  <c r="W142" i="28"/>
  <c r="W143" i="28"/>
  <c r="W144" i="28"/>
  <c r="W145" i="28"/>
  <c r="W146" i="28"/>
  <c r="W147" i="28"/>
  <c r="W148" i="28"/>
  <c r="W149" i="28"/>
  <c r="W150" i="28"/>
  <c r="W151" i="28"/>
  <c r="W152" i="28"/>
  <c r="W153" i="28"/>
  <c r="W154" i="28"/>
  <c r="W155" i="28"/>
  <c r="W156" i="28"/>
  <c r="W157" i="28"/>
  <c r="W158" i="28"/>
  <c r="W159" i="28"/>
  <c r="W160" i="28"/>
  <c r="W161" i="28"/>
  <c r="W162" i="28"/>
  <c r="W163" i="28"/>
  <c r="W164" i="28"/>
  <c r="W165" i="28"/>
  <c r="W166" i="28"/>
  <c r="W167" i="28"/>
  <c r="W168" i="28"/>
  <c r="W169" i="28"/>
  <c r="W170" i="28"/>
  <c r="W171" i="28"/>
  <c r="W172" i="28"/>
  <c r="W173" i="28"/>
  <c r="W174" i="28"/>
  <c r="W175" i="28"/>
  <c r="W176" i="28"/>
  <c r="W177" i="28"/>
  <c r="W178" i="28"/>
  <c r="W179" i="28"/>
  <c r="W180" i="28"/>
  <c r="W181" i="28"/>
  <c r="W182" i="28"/>
  <c r="W183" i="28"/>
  <c r="W184" i="28"/>
  <c r="W185" i="28"/>
  <c r="W186" i="28"/>
  <c r="W187" i="28"/>
  <c r="W188" i="28"/>
  <c r="W189" i="28"/>
  <c r="W190" i="28"/>
  <c r="W191" i="28"/>
  <c r="W192" i="28"/>
  <c r="W193" i="28"/>
  <c r="W194" i="28"/>
  <c r="W195" i="28"/>
  <c r="W196" i="28"/>
  <c r="W197" i="28"/>
  <c r="W198" i="28"/>
  <c r="W199" i="28"/>
  <c r="W200" i="28"/>
  <c r="W201" i="28"/>
  <c r="W202" i="28"/>
  <c r="W203" i="28"/>
  <c r="W204" i="28"/>
  <c r="W205" i="28"/>
  <c r="W206" i="28"/>
  <c r="W207" i="28"/>
  <c r="W208" i="28"/>
  <c r="W209" i="28"/>
  <c r="W210" i="28"/>
  <c r="W211" i="28"/>
  <c r="W212" i="28"/>
  <c r="W213" i="28"/>
  <c r="W214" i="28"/>
  <c r="W215" i="28"/>
  <c r="W216" i="28"/>
  <c r="W217" i="28"/>
  <c r="W218" i="28"/>
  <c r="W219" i="28"/>
  <c r="W220" i="28"/>
  <c r="W221" i="28"/>
  <c r="W222" i="28"/>
  <c r="W223" i="28"/>
  <c r="W224" i="28"/>
  <c r="W225" i="28"/>
  <c r="W226" i="28"/>
  <c r="W227" i="28"/>
  <c r="W228" i="28"/>
  <c r="W229" i="28"/>
  <c r="W230" i="28"/>
  <c r="W231" i="28"/>
  <c r="W232" i="28"/>
  <c r="W233" i="28"/>
  <c r="W234" i="28"/>
  <c r="W235" i="28"/>
  <c r="W236" i="28"/>
  <c r="W237" i="28"/>
  <c r="W238" i="28"/>
  <c r="W239" i="28"/>
  <c r="W240" i="28"/>
  <c r="W241" i="28"/>
  <c r="W242" i="28"/>
  <c r="W243" i="28"/>
  <c r="W244" i="28"/>
  <c r="W245" i="28"/>
  <c r="W246" i="28"/>
  <c r="W247" i="28"/>
  <c r="W248" i="28"/>
  <c r="W249" i="28"/>
  <c r="W250" i="28"/>
  <c r="W251" i="28"/>
  <c r="W252" i="28"/>
  <c r="W253" i="28"/>
  <c r="W254" i="28"/>
  <c r="W255" i="28"/>
  <c r="W256" i="28"/>
  <c r="W257" i="28"/>
  <c r="W258" i="28"/>
  <c r="W259" i="28"/>
  <c r="W260" i="28"/>
  <c r="W261" i="28"/>
  <c r="W262" i="28"/>
  <c r="W263" i="28"/>
  <c r="W264" i="28"/>
  <c r="W265" i="28"/>
  <c r="W266" i="28"/>
  <c r="W267" i="28"/>
  <c r="W268" i="28"/>
  <c r="W269" i="28"/>
  <c r="W270" i="28"/>
  <c r="W271" i="28"/>
  <c r="W272" i="28"/>
  <c r="W273" i="28"/>
  <c r="W274" i="28"/>
  <c r="W275" i="28"/>
  <c r="W276" i="28"/>
  <c r="W277" i="28"/>
  <c r="W278" i="28"/>
  <c r="W279" i="28"/>
  <c r="W280" i="28"/>
  <c r="W281" i="28"/>
  <c r="W282" i="28"/>
  <c r="W283" i="28"/>
  <c r="W284" i="28"/>
  <c r="W285" i="28"/>
  <c r="W286" i="28"/>
  <c r="W287" i="28"/>
  <c r="W288" i="28"/>
  <c r="W289" i="28"/>
  <c r="W290" i="28"/>
  <c r="W291" i="28"/>
  <c r="W292" i="28"/>
  <c r="W293" i="28"/>
  <c r="W294" i="28"/>
  <c r="W295" i="28"/>
  <c r="W296" i="28"/>
  <c r="W297" i="28"/>
  <c r="W298" i="28"/>
  <c r="W299" i="28"/>
  <c r="W300" i="28"/>
  <c r="W301" i="28"/>
  <c r="W302" i="28"/>
  <c r="W303" i="28"/>
  <c r="W304" i="28"/>
  <c r="W305" i="28"/>
  <c r="W306" i="28"/>
  <c r="W307" i="28"/>
  <c r="W308" i="28"/>
  <c r="W309" i="28"/>
  <c r="W310" i="28"/>
  <c r="W311" i="28"/>
  <c r="W312" i="28"/>
  <c r="W313" i="28"/>
  <c r="W314" i="28"/>
  <c r="W315" i="28"/>
  <c r="W316" i="28"/>
  <c r="W317" i="28"/>
  <c r="W318" i="28"/>
  <c r="W319" i="28"/>
  <c r="W320" i="28"/>
  <c r="W321" i="28"/>
  <c r="W322" i="28"/>
  <c r="W323" i="28"/>
  <c r="W324" i="28"/>
  <c r="W325" i="28"/>
  <c r="W326" i="28"/>
  <c r="W327" i="28"/>
  <c r="W328" i="28"/>
  <c r="W329" i="28"/>
  <c r="W330" i="28"/>
  <c r="W331" i="28"/>
  <c r="W332" i="28"/>
  <c r="W333" i="28"/>
  <c r="W334" i="28"/>
  <c r="W335" i="28"/>
  <c r="W336" i="28"/>
  <c r="W337" i="28"/>
  <c r="W338" i="28"/>
  <c r="W339" i="28"/>
  <c r="W340" i="28"/>
  <c r="W341" i="28"/>
  <c r="W342" i="28"/>
  <c r="W343" i="28"/>
  <c r="W344" i="28"/>
  <c r="W345" i="28"/>
  <c r="W346" i="28"/>
  <c r="W347" i="28"/>
  <c r="W348" i="28"/>
  <c r="W349" i="28"/>
  <c r="W350" i="28"/>
  <c r="W351" i="28"/>
  <c r="W352" i="28"/>
  <c r="W353" i="28"/>
  <c r="W354" i="28"/>
  <c r="W355" i="28"/>
  <c r="W356" i="28"/>
  <c r="W357" i="28"/>
  <c r="W358" i="28"/>
  <c r="W359" i="28"/>
  <c r="W360" i="28"/>
  <c r="W361" i="28"/>
  <c r="W362" i="28"/>
  <c r="W363" i="28"/>
  <c r="W364" i="28"/>
  <c r="W365" i="28"/>
  <c r="W366" i="28"/>
  <c r="W367" i="28"/>
  <c r="W368" i="28"/>
  <c r="W369" i="28"/>
  <c r="W370" i="28"/>
  <c r="W371" i="28"/>
  <c r="W372" i="28"/>
  <c r="W373" i="28"/>
  <c r="W374" i="28"/>
  <c r="W375" i="28"/>
  <c r="W376" i="28"/>
  <c r="W377" i="28"/>
  <c r="W378" i="28"/>
  <c r="W379" i="28"/>
  <c r="W380" i="28"/>
  <c r="W381" i="28"/>
  <c r="W382" i="28"/>
  <c r="W383" i="28"/>
  <c r="W384" i="28"/>
  <c r="W385" i="28"/>
  <c r="W386" i="28"/>
  <c r="W387" i="28"/>
  <c r="W388" i="28"/>
  <c r="W389" i="28"/>
  <c r="W390" i="28"/>
  <c r="W391" i="28"/>
  <c r="W392" i="28"/>
  <c r="W393" i="28"/>
  <c r="W394" i="28"/>
  <c r="W395" i="28"/>
  <c r="W396" i="28"/>
  <c r="W397" i="28"/>
  <c r="W398" i="28"/>
  <c r="W399" i="28"/>
  <c r="W400" i="28"/>
  <c r="W401" i="28"/>
  <c r="W402" i="28"/>
  <c r="W403" i="28"/>
  <c r="W404" i="28"/>
  <c r="W405" i="28"/>
  <c r="W406" i="28"/>
  <c r="W407" i="28"/>
  <c r="W408" i="28"/>
  <c r="W409" i="28"/>
  <c r="W410" i="28"/>
  <c r="W411" i="28"/>
  <c r="W412" i="28"/>
  <c r="W413" i="28"/>
  <c r="W414" i="28"/>
  <c r="W415" i="28"/>
  <c r="W416" i="28"/>
  <c r="W417" i="28"/>
  <c r="W418" i="28"/>
  <c r="W419" i="28"/>
  <c r="W420" i="28"/>
  <c r="W421" i="28"/>
  <c r="W422" i="28"/>
  <c r="W423" i="28"/>
  <c r="W424" i="28"/>
  <c r="W425" i="28"/>
  <c r="W426" i="28"/>
  <c r="W427" i="28"/>
  <c r="W428" i="28"/>
  <c r="W429" i="28"/>
  <c r="W430" i="28"/>
  <c r="W431" i="28"/>
  <c r="W432" i="28"/>
  <c r="W433" i="28"/>
  <c r="W434" i="28"/>
  <c r="W435" i="28"/>
  <c r="W436" i="28"/>
  <c r="W437" i="28"/>
  <c r="W438" i="28"/>
  <c r="W439" i="28"/>
  <c r="W440" i="28"/>
  <c r="W441" i="28"/>
  <c r="W442" i="28"/>
  <c r="W443" i="28"/>
  <c r="W444" i="28"/>
  <c r="W445" i="28"/>
  <c r="W446" i="28"/>
  <c r="W447" i="28"/>
  <c r="W448" i="28"/>
  <c r="W449" i="28"/>
  <c r="W450" i="28"/>
  <c r="W451" i="28"/>
  <c r="W452" i="28"/>
  <c r="W453" i="28"/>
  <c r="W454" i="28"/>
  <c r="W455" i="28"/>
  <c r="W456" i="28"/>
  <c r="W457" i="28"/>
  <c r="W458" i="28"/>
  <c r="W459" i="28"/>
  <c r="W460" i="28"/>
  <c r="W461" i="28"/>
  <c r="W462" i="28"/>
  <c r="W463" i="28"/>
  <c r="W464" i="28"/>
  <c r="W465" i="28"/>
  <c r="W466" i="28"/>
  <c r="W467" i="28"/>
  <c r="W468" i="28"/>
  <c r="W469" i="28"/>
  <c r="W470" i="28"/>
  <c r="W471" i="28"/>
  <c r="W472" i="28"/>
  <c r="W473" i="28"/>
  <c r="W474" i="28"/>
  <c r="W475" i="28"/>
  <c r="W476" i="28"/>
  <c r="W477" i="28"/>
  <c r="W478" i="28"/>
  <c r="W479" i="28"/>
  <c r="W480" i="28"/>
  <c r="W481" i="28"/>
  <c r="W482" i="28"/>
  <c r="W483" i="28"/>
  <c r="W484" i="28"/>
  <c r="W485" i="28"/>
  <c r="W486" i="28"/>
  <c r="W487" i="28"/>
  <c r="W488" i="28"/>
  <c r="W489" i="28"/>
  <c r="W490" i="28"/>
  <c r="W491" i="28"/>
  <c r="W492" i="28"/>
  <c r="W493" i="28"/>
  <c r="W494" i="28"/>
  <c r="W495" i="28"/>
  <c r="W496" i="28"/>
  <c r="W497" i="28"/>
  <c r="W498" i="28"/>
  <c r="W499" i="28"/>
  <c r="W500" i="28"/>
  <c r="W501" i="28"/>
  <c r="W502" i="28"/>
  <c r="W503" i="28"/>
  <c r="W504" i="28"/>
  <c r="W505" i="28"/>
  <c r="W506" i="28"/>
  <c r="W507" i="28"/>
  <c r="W508" i="28"/>
  <c r="W509" i="28"/>
  <c r="W510" i="28"/>
  <c r="W511" i="28"/>
  <c r="AY493" i="28"/>
  <c r="BF488" i="28"/>
  <c r="AG511" i="28"/>
  <c r="AG491" i="28"/>
  <c r="AG492" i="28"/>
  <c r="AG493" i="28"/>
  <c r="AG494" i="28"/>
  <c r="AG495" i="28"/>
  <c r="AG496" i="28"/>
  <c r="AG497" i="28"/>
  <c r="AG498" i="28"/>
  <c r="AG499" i="28"/>
  <c r="AG500" i="28"/>
  <c r="AG501" i="28"/>
  <c r="AG502" i="28"/>
  <c r="AG503" i="28"/>
  <c r="AG504" i="28"/>
  <c r="AG505" i="28"/>
  <c r="AG506" i="28"/>
  <c r="AG507" i="28"/>
  <c r="AG508" i="28"/>
  <c r="AG509" i="28"/>
  <c r="AG510" i="28"/>
  <c r="V496" i="28"/>
  <c r="V497" i="28"/>
  <c r="V498" i="28"/>
  <c r="V499" i="28"/>
  <c r="V500" i="28"/>
  <c r="V501" i="28"/>
  <c r="V502" i="28"/>
  <c r="V503" i="28"/>
  <c r="V504" i="28"/>
  <c r="V505" i="28"/>
  <c r="V506" i="28"/>
  <c r="V507" i="28"/>
  <c r="V508" i="28"/>
  <c r="V509" i="28"/>
  <c r="V510" i="28"/>
  <c r="V511" i="28"/>
  <c r="V495" i="28"/>
  <c r="V494" i="28"/>
  <c r="V493" i="28"/>
  <c r="V492" i="28"/>
  <c r="AR511" i="28"/>
  <c r="AR510" i="28"/>
  <c r="AR509" i="28"/>
  <c r="AR508" i="28"/>
  <c r="AU508" i="28"/>
  <c r="AR507" i="28"/>
  <c r="AU507" i="28"/>
  <c r="AR506" i="28"/>
  <c r="AR505" i="28"/>
  <c r="AU505" i="28" s="1"/>
  <c r="AR504" i="28"/>
  <c r="AR503" i="28"/>
  <c r="AU503" i="28"/>
  <c r="AG101" i="10"/>
  <c r="AG102" i="10"/>
  <c r="AG103" i="10"/>
  <c r="AG104" i="10"/>
  <c r="AG105" i="10"/>
  <c r="AG106" i="10"/>
  <c r="AG107" i="10"/>
  <c r="AG108" i="10"/>
  <c r="AG109" i="10"/>
  <c r="AG110" i="10"/>
  <c r="AG111" i="10"/>
  <c r="AG112" i="10"/>
  <c r="AG113" i="10"/>
  <c r="AG114" i="10"/>
  <c r="AG115" i="10"/>
  <c r="AG116" i="10"/>
  <c r="AG117" i="10"/>
  <c r="AG118" i="10"/>
  <c r="AG119" i="10"/>
  <c r="AG120" i="10"/>
  <c r="AG121" i="10"/>
  <c r="AG122" i="10"/>
  <c r="AG123" i="10"/>
  <c r="AG124" i="10"/>
  <c r="AG125" i="10"/>
  <c r="AG126" i="10"/>
  <c r="AG127" i="10"/>
  <c r="AG128" i="10"/>
  <c r="AG129" i="10"/>
  <c r="AG130" i="10"/>
  <c r="AG131" i="10"/>
  <c r="AG132" i="10"/>
  <c r="AG133" i="10"/>
  <c r="AG134" i="10"/>
  <c r="AG135" i="10"/>
  <c r="AG136" i="10"/>
  <c r="AG137" i="10"/>
  <c r="AG138" i="10"/>
  <c r="AG139" i="10"/>
  <c r="AG140" i="10"/>
  <c r="AG141" i="10"/>
  <c r="AG142" i="10"/>
  <c r="AG143" i="10"/>
  <c r="AG144" i="10"/>
  <c r="AG145" i="10"/>
  <c r="AG146" i="10"/>
  <c r="AG147" i="10"/>
  <c r="AG148" i="10"/>
  <c r="AG149" i="10"/>
  <c r="AG150" i="10"/>
  <c r="AG151" i="10"/>
  <c r="AG152" i="10"/>
  <c r="AG153" i="10"/>
  <c r="AG154" i="10"/>
  <c r="AG155" i="10"/>
  <c r="AG156" i="10"/>
  <c r="AG157" i="10"/>
  <c r="AG158" i="10"/>
  <c r="AG159" i="10"/>
  <c r="AG160" i="10"/>
  <c r="AG161" i="10"/>
  <c r="AG162" i="10"/>
  <c r="AG163" i="10"/>
  <c r="AG164" i="10"/>
  <c r="AG165" i="10"/>
  <c r="AG166" i="10"/>
  <c r="AG167" i="10"/>
  <c r="AG168" i="10"/>
  <c r="AG169" i="10"/>
  <c r="AG170" i="10"/>
  <c r="AG171" i="10"/>
  <c r="AG172" i="10"/>
  <c r="AG173" i="10"/>
  <c r="AG174" i="10"/>
  <c r="AG175" i="10"/>
  <c r="AG176" i="10"/>
  <c r="AG177" i="10"/>
  <c r="AG178" i="10"/>
  <c r="AG179" i="10"/>
  <c r="AG180" i="10"/>
  <c r="AG181" i="10"/>
  <c r="AG182" i="10"/>
  <c r="AG183" i="10"/>
  <c r="AG184" i="10"/>
  <c r="AG185" i="10"/>
  <c r="AG186" i="10"/>
  <c r="AG187" i="10"/>
  <c r="AG188" i="10"/>
  <c r="AG189" i="10"/>
  <c r="AG190" i="10"/>
  <c r="AG191" i="10"/>
  <c r="AG192" i="10"/>
  <c r="AG193" i="10"/>
  <c r="AG194" i="10"/>
  <c r="AG195" i="10"/>
  <c r="AG196" i="10"/>
  <c r="AG197" i="10"/>
  <c r="AG198" i="10"/>
  <c r="AG199" i="10"/>
  <c r="AG200" i="10"/>
  <c r="AG201" i="10"/>
  <c r="AG202" i="10"/>
  <c r="AG203" i="10"/>
  <c r="AG204" i="10"/>
  <c r="AG205" i="10"/>
  <c r="AG206" i="10"/>
  <c r="AG207" i="10"/>
  <c r="AG208" i="10"/>
  <c r="AG209" i="10"/>
  <c r="AG210" i="10"/>
  <c r="AG211" i="10"/>
  <c r="AG212" i="10"/>
  <c r="AG213" i="10"/>
  <c r="AG214" i="10"/>
  <c r="AG215" i="10"/>
  <c r="AG216" i="10"/>
  <c r="AG217" i="10"/>
  <c r="AG218" i="10"/>
  <c r="AG219" i="10"/>
  <c r="AG220" i="10"/>
  <c r="AG221" i="10"/>
  <c r="AG222" i="10"/>
  <c r="AG223" i="10"/>
  <c r="AG224" i="10"/>
  <c r="AG225" i="10"/>
  <c r="AG226" i="10"/>
  <c r="AG227" i="10"/>
  <c r="AG228" i="10"/>
  <c r="AG229" i="10"/>
  <c r="AG230" i="10"/>
  <c r="AG231" i="10"/>
  <c r="AG232" i="10"/>
  <c r="AG233" i="10"/>
  <c r="AG234" i="10"/>
  <c r="AG235" i="10"/>
  <c r="AG236" i="10"/>
  <c r="AG237" i="10"/>
  <c r="AG238" i="10"/>
  <c r="AG239" i="10"/>
  <c r="AG240" i="10"/>
  <c r="AG241" i="10"/>
  <c r="AG242" i="10"/>
  <c r="AG243" i="10"/>
  <c r="AG244" i="10"/>
  <c r="AG245" i="10"/>
  <c r="AG246" i="10"/>
  <c r="AG247" i="10"/>
  <c r="AG248" i="10"/>
  <c r="AG249" i="10"/>
  <c r="AG250" i="10"/>
  <c r="AG251" i="10"/>
  <c r="AG252" i="10"/>
  <c r="AG253" i="10"/>
  <c r="AG254" i="10"/>
  <c r="AG255" i="10"/>
  <c r="AG256" i="10"/>
  <c r="AG257" i="10"/>
  <c r="AG258" i="10"/>
  <c r="AG259" i="10"/>
  <c r="AG260" i="10"/>
  <c r="AG261" i="10"/>
  <c r="AG262" i="10"/>
  <c r="AG263" i="10"/>
  <c r="AG264" i="10"/>
  <c r="AG265" i="10"/>
  <c r="AG266" i="10"/>
  <c r="AG267" i="10"/>
  <c r="AG268" i="10"/>
  <c r="AG269" i="10"/>
  <c r="AG270" i="10"/>
  <c r="AG271" i="10"/>
  <c r="AG272" i="10"/>
  <c r="AG273" i="10"/>
  <c r="AG274" i="10"/>
  <c r="AG275" i="10"/>
  <c r="AG276" i="10"/>
  <c r="AG277" i="10"/>
  <c r="AG278" i="10"/>
  <c r="AG279" i="10"/>
  <c r="AG280" i="10"/>
  <c r="AG281" i="10"/>
  <c r="AG282" i="10"/>
  <c r="AG283" i="10"/>
  <c r="AG284" i="10"/>
  <c r="AG285" i="10"/>
  <c r="AG286" i="10"/>
  <c r="AG287" i="10"/>
  <c r="AG288" i="10"/>
  <c r="AG289" i="10"/>
  <c r="AG290" i="10"/>
  <c r="AG291" i="10"/>
  <c r="AG292" i="10"/>
  <c r="AG293" i="10"/>
  <c r="AG294" i="10"/>
  <c r="AG295" i="10"/>
  <c r="AG296" i="10"/>
  <c r="AG297" i="10"/>
  <c r="AG298" i="10"/>
  <c r="AG299" i="10"/>
  <c r="AG300" i="10"/>
  <c r="AG301" i="10"/>
  <c r="AG302" i="10"/>
  <c r="AG303" i="10"/>
  <c r="AG304" i="10"/>
  <c r="AG305" i="10"/>
  <c r="AG306" i="10"/>
  <c r="AG307" i="10"/>
  <c r="AG308" i="10"/>
  <c r="AG309" i="10"/>
  <c r="AG310" i="10"/>
  <c r="AG311" i="10"/>
  <c r="AG312" i="10"/>
  <c r="AG313" i="10"/>
  <c r="AG314" i="10"/>
  <c r="AG315" i="10"/>
  <c r="AG316" i="10"/>
  <c r="AG317" i="10"/>
  <c r="AG318" i="10"/>
  <c r="AG319" i="10"/>
  <c r="AG320" i="10"/>
  <c r="AG321" i="10"/>
  <c r="AG322" i="10"/>
  <c r="AG323" i="10"/>
  <c r="AG324" i="10"/>
  <c r="AG325" i="10"/>
  <c r="AG326" i="10"/>
  <c r="AG327" i="10"/>
  <c r="AG328" i="10"/>
  <c r="AG329" i="10"/>
  <c r="AG330" i="10"/>
  <c r="AG331" i="10"/>
  <c r="AG332" i="10"/>
  <c r="AG333" i="10"/>
  <c r="AG334" i="10"/>
  <c r="AG335" i="10"/>
  <c r="AG336" i="10"/>
  <c r="AG337" i="10"/>
  <c r="AG338" i="10"/>
  <c r="AG339" i="10"/>
  <c r="AG340" i="10"/>
  <c r="AG341" i="10"/>
  <c r="AG342" i="10"/>
  <c r="AG343" i="10"/>
  <c r="AG344" i="10"/>
  <c r="AG345" i="10"/>
  <c r="AG346" i="10"/>
  <c r="AG347" i="10"/>
  <c r="AG348" i="10"/>
  <c r="AG349" i="10"/>
  <c r="AG350" i="10"/>
  <c r="AG351" i="10"/>
  <c r="AG352" i="10"/>
  <c r="AG353" i="10"/>
  <c r="AG354" i="10"/>
  <c r="AG355" i="10"/>
  <c r="AG356" i="10"/>
  <c r="AG357" i="10"/>
  <c r="AG358" i="10"/>
  <c r="AG359" i="10"/>
  <c r="AG360" i="10"/>
  <c r="AG361" i="10"/>
  <c r="AG362" i="10"/>
  <c r="AG363" i="10"/>
  <c r="AG364" i="10"/>
  <c r="AG365" i="10"/>
  <c r="AG366" i="10"/>
  <c r="AG367" i="10"/>
  <c r="AG368" i="10"/>
  <c r="AG369" i="10"/>
  <c r="AG370" i="10"/>
  <c r="AG371" i="10"/>
  <c r="AG372" i="10"/>
  <c r="AG373" i="10"/>
  <c r="AG374" i="10"/>
  <c r="AG375" i="10"/>
  <c r="AG376" i="10"/>
  <c r="AG377" i="10"/>
  <c r="AG378" i="10"/>
  <c r="AG379" i="10"/>
  <c r="AG380" i="10"/>
  <c r="AG381" i="10"/>
  <c r="AG382" i="10"/>
  <c r="AG383" i="10"/>
  <c r="AG384" i="10"/>
  <c r="AG385" i="10"/>
  <c r="AG386" i="10"/>
  <c r="AG387" i="10"/>
  <c r="AG388" i="10"/>
  <c r="AG389" i="10"/>
  <c r="AG390" i="10"/>
  <c r="AG391" i="10"/>
  <c r="AG392" i="10"/>
  <c r="AG393" i="10"/>
  <c r="AG394" i="10"/>
  <c r="AG395" i="10"/>
  <c r="AG396" i="10"/>
  <c r="AG397" i="10"/>
  <c r="AG398" i="10"/>
  <c r="AG399" i="10"/>
  <c r="AG400" i="10"/>
  <c r="AG401" i="10"/>
  <c r="AG402" i="10"/>
  <c r="AG403" i="10"/>
  <c r="AG404" i="10"/>
  <c r="AG405" i="10"/>
  <c r="AG406" i="10"/>
  <c r="AG407" i="10"/>
  <c r="AG408" i="10"/>
  <c r="AG409" i="10"/>
  <c r="AG410" i="10"/>
  <c r="AG411" i="10"/>
  <c r="AG412" i="10"/>
  <c r="AG413" i="10"/>
  <c r="AG414" i="10"/>
  <c r="AG415" i="10"/>
  <c r="AG416" i="10"/>
  <c r="AG417" i="10"/>
  <c r="AG418" i="10"/>
  <c r="AG419" i="10"/>
  <c r="AG420" i="10"/>
  <c r="AG421" i="10"/>
  <c r="AG422" i="10"/>
  <c r="AG423" i="10"/>
  <c r="AG424" i="10"/>
  <c r="AG425" i="10"/>
  <c r="AG426" i="10"/>
  <c r="AG427" i="10"/>
  <c r="AG428" i="10"/>
  <c r="AG429" i="10"/>
  <c r="AG430" i="10"/>
  <c r="AG431" i="10"/>
  <c r="AG432" i="10"/>
  <c r="AG433" i="10"/>
  <c r="AG434" i="10"/>
  <c r="AG435" i="10"/>
  <c r="AG436" i="10"/>
  <c r="AG437" i="10"/>
  <c r="AG438" i="10"/>
  <c r="AG439" i="10"/>
  <c r="AG440" i="10"/>
  <c r="AG441" i="10"/>
  <c r="AG442" i="10"/>
  <c r="AG443" i="10"/>
  <c r="AG444" i="10"/>
  <c r="AG445" i="10"/>
  <c r="AG446" i="10"/>
  <c r="AG447" i="10"/>
  <c r="AG448" i="10"/>
  <c r="AG449" i="10"/>
  <c r="AG450" i="10"/>
  <c r="AG451" i="10"/>
  <c r="AG452" i="10"/>
  <c r="AG453" i="10"/>
  <c r="AG454" i="10"/>
  <c r="AG455" i="10"/>
  <c r="AG456" i="10"/>
  <c r="AG457" i="10"/>
  <c r="AG458" i="10"/>
  <c r="AG459" i="10"/>
  <c r="AG460" i="10"/>
  <c r="AG461" i="10"/>
  <c r="AG462" i="10"/>
  <c r="AG463" i="10"/>
  <c r="AG464" i="10"/>
  <c r="AG465" i="10"/>
  <c r="AG466" i="10"/>
  <c r="AG467" i="10"/>
  <c r="AG468" i="10"/>
  <c r="AG469" i="10"/>
  <c r="AG470" i="10"/>
  <c r="AG471" i="10"/>
  <c r="AG472" i="10"/>
  <c r="AG473" i="10"/>
  <c r="AG474" i="10"/>
  <c r="AG475" i="10"/>
  <c r="AG476" i="10"/>
  <c r="AG477" i="10"/>
  <c r="AG478" i="10"/>
  <c r="AG479" i="10"/>
  <c r="AG480" i="10"/>
  <c r="AG481" i="10"/>
  <c r="AG482" i="10"/>
  <c r="AG483" i="10"/>
  <c r="AG484" i="10"/>
  <c r="AG485" i="10"/>
  <c r="AG486" i="10"/>
  <c r="AG487" i="10"/>
  <c r="AG488" i="10"/>
  <c r="AG489" i="10"/>
  <c r="AG490" i="10"/>
  <c r="AG491" i="10"/>
  <c r="AG492" i="10"/>
  <c r="AG493" i="10"/>
  <c r="AG494" i="10"/>
  <c r="AG495" i="10"/>
  <c r="AG496" i="10"/>
  <c r="AG497" i="10"/>
  <c r="AG498" i="10"/>
  <c r="AG499" i="10"/>
  <c r="AG500" i="10"/>
  <c r="AG501" i="10"/>
  <c r="AG502" i="10"/>
  <c r="AG503" i="10"/>
  <c r="AG504" i="10"/>
  <c r="AG505" i="10"/>
  <c r="AG506" i="10"/>
  <c r="AG507" i="10"/>
  <c r="AG508" i="10"/>
  <c r="AG509" i="10"/>
  <c r="AG510" i="10"/>
  <c r="AG511" i="10"/>
  <c r="AG512" i="10"/>
  <c r="AG513" i="10"/>
  <c r="AG514" i="10"/>
  <c r="AG515" i="10"/>
  <c r="AG516" i="10"/>
  <c r="AG517" i="10"/>
  <c r="AG518" i="10"/>
  <c r="AG519" i="10"/>
  <c r="AG520" i="10"/>
  <c r="AG521" i="10"/>
  <c r="AG522" i="10"/>
  <c r="AG523" i="10"/>
  <c r="AG524" i="10"/>
  <c r="AG525" i="10"/>
  <c r="AG526" i="10"/>
  <c r="AG527" i="10"/>
  <c r="AG528" i="10"/>
  <c r="AG529" i="10"/>
  <c r="AG530" i="10"/>
  <c r="AG531" i="10"/>
  <c r="AG100" i="10"/>
  <c r="V100" i="10"/>
  <c r="U100" i="10"/>
  <c r="AF101" i="10"/>
  <c r="AF102" i="10"/>
  <c r="AF103" i="10"/>
  <c r="AF104" i="10"/>
  <c r="AF105" i="10"/>
  <c r="AF106" i="10"/>
  <c r="AF107" i="10"/>
  <c r="AF108" i="10"/>
  <c r="AF109" i="10"/>
  <c r="AF110" i="10"/>
  <c r="AF111" i="10"/>
  <c r="AF112" i="10"/>
  <c r="AF113" i="10"/>
  <c r="AF114" i="10"/>
  <c r="AF115" i="10"/>
  <c r="AF116" i="10"/>
  <c r="AF117" i="10"/>
  <c r="AF118" i="10"/>
  <c r="AF119" i="10"/>
  <c r="AF120" i="10"/>
  <c r="AF121" i="10"/>
  <c r="AF122" i="10"/>
  <c r="AF123" i="10"/>
  <c r="AF124" i="10"/>
  <c r="AF125" i="10"/>
  <c r="AF126" i="10"/>
  <c r="AF127" i="10"/>
  <c r="AF128" i="10"/>
  <c r="AF129" i="10"/>
  <c r="AF130" i="10"/>
  <c r="AF131" i="10"/>
  <c r="AF132" i="10"/>
  <c r="AF133" i="10"/>
  <c r="AF134" i="10"/>
  <c r="AF135" i="10"/>
  <c r="AF136" i="10"/>
  <c r="AF137" i="10"/>
  <c r="AF138" i="10"/>
  <c r="AF139" i="10"/>
  <c r="AF140" i="10"/>
  <c r="AF141" i="10"/>
  <c r="AF142" i="10"/>
  <c r="AF143" i="10"/>
  <c r="AF144" i="10"/>
  <c r="AF145" i="10"/>
  <c r="AF146" i="10"/>
  <c r="AF147" i="10"/>
  <c r="AF148" i="10"/>
  <c r="AF149" i="10"/>
  <c r="AF150" i="10"/>
  <c r="AF151" i="10"/>
  <c r="AF152" i="10"/>
  <c r="AF153" i="10"/>
  <c r="AF154" i="10"/>
  <c r="AF155" i="10"/>
  <c r="AF156" i="10"/>
  <c r="AF157" i="10"/>
  <c r="AF158" i="10"/>
  <c r="AF159" i="10"/>
  <c r="AF160" i="10"/>
  <c r="AF161" i="10"/>
  <c r="AF162" i="10"/>
  <c r="AF163" i="10"/>
  <c r="AF164" i="10"/>
  <c r="AF165" i="10"/>
  <c r="AF166" i="10"/>
  <c r="AF167" i="10"/>
  <c r="AF168" i="10"/>
  <c r="AF169" i="10"/>
  <c r="AF170" i="10"/>
  <c r="AF171" i="10"/>
  <c r="AF172" i="10"/>
  <c r="AF173" i="10"/>
  <c r="AF174" i="10"/>
  <c r="AF175" i="10"/>
  <c r="AF176" i="10"/>
  <c r="AF177" i="10"/>
  <c r="AF178" i="10"/>
  <c r="AF179" i="10"/>
  <c r="AF180" i="10"/>
  <c r="AF181" i="10"/>
  <c r="AF182" i="10"/>
  <c r="AF183" i="10"/>
  <c r="AF184" i="10"/>
  <c r="AF185" i="10"/>
  <c r="AF186" i="10"/>
  <c r="AF187" i="10"/>
  <c r="AF188" i="10"/>
  <c r="AF189" i="10"/>
  <c r="AF190" i="10"/>
  <c r="AF191" i="10"/>
  <c r="AF192" i="10"/>
  <c r="AF193" i="10"/>
  <c r="AF194" i="10"/>
  <c r="AF195" i="10"/>
  <c r="AF196" i="10"/>
  <c r="AF197" i="10"/>
  <c r="AF198" i="10"/>
  <c r="AF199" i="10"/>
  <c r="AF200" i="10"/>
  <c r="AF201" i="10"/>
  <c r="AF202" i="10"/>
  <c r="AF203" i="10"/>
  <c r="AF204" i="10"/>
  <c r="AF205" i="10"/>
  <c r="AF206" i="10"/>
  <c r="AF207" i="10"/>
  <c r="AF208" i="10"/>
  <c r="AF209" i="10"/>
  <c r="AF210" i="10"/>
  <c r="AF211" i="10"/>
  <c r="AF212" i="10"/>
  <c r="AF213" i="10"/>
  <c r="AF214" i="10"/>
  <c r="AF215" i="10"/>
  <c r="AF216" i="10"/>
  <c r="AF217" i="10"/>
  <c r="AF218" i="10"/>
  <c r="AF219" i="10"/>
  <c r="AF220" i="10"/>
  <c r="AF221" i="10"/>
  <c r="AF222" i="10"/>
  <c r="AF223" i="10"/>
  <c r="AF224" i="10"/>
  <c r="AF225" i="10"/>
  <c r="AF226" i="10"/>
  <c r="AF227" i="10"/>
  <c r="AF228" i="10"/>
  <c r="AF229" i="10"/>
  <c r="AF230" i="10"/>
  <c r="AF231" i="10"/>
  <c r="AF232" i="10"/>
  <c r="AF233" i="10"/>
  <c r="AF234" i="10"/>
  <c r="AF235" i="10"/>
  <c r="AF236" i="10"/>
  <c r="AF237" i="10"/>
  <c r="AF238" i="10"/>
  <c r="AF239" i="10"/>
  <c r="AF240" i="10"/>
  <c r="AF241" i="10"/>
  <c r="AF242" i="10"/>
  <c r="AF243" i="10"/>
  <c r="AF244" i="10"/>
  <c r="AF245" i="10"/>
  <c r="AF246" i="10"/>
  <c r="AF247" i="10"/>
  <c r="AF248" i="10"/>
  <c r="AF249" i="10"/>
  <c r="AF250" i="10"/>
  <c r="AF251" i="10"/>
  <c r="AF252" i="10"/>
  <c r="AF253" i="10"/>
  <c r="AF254" i="10"/>
  <c r="AF255" i="10"/>
  <c r="AF256" i="10"/>
  <c r="AF257" i="10"/>
  <c r="AF258" i="10"/>
  <c r="AF259" i="10"/>
  <c r="AF260" i="10"/>
  <c r="AF261" i="10"/>
  <c r="AF262" i="10"/>
  <c r="AF263" i="10"/>
  <c r="AF264" i="10"/>
  <c r="AF265" i="10"/>
  <c r="AF266" i="10"/>
  <c r="AF267" i="10"/>
  <c r="AF268" i="10"/>
  <c r="AF269" i="10"/>
  <c r="AF270" i="10"/>
  <c r="AF271" i="10"/>
  <c r="AF272" i="10"/>
  <c r="AF273" i="10"/>
  <c r="AF274" i="10"/>
  <c r="AF275" i="10"/>
  <c r="AF276" i="10"/>
  <c r="AF277" i="10"/>
  <c r="AF278" i="10"/>
  <c r="AF279" i="10"/>
  <c r="AF280" i="10"/>
  <c r="AF281" i="10"/>
  <c r="AF282" i="10"/>
  <c r="AF283" i="10"/>
  <c r="AF284" i="10"/>
  <c r="AF285" i="10"/>
  <c r="AF286" i="10"/>
  <c r="AF287" i="10"/>
  <c r="AF288" i="10"/>
  <c r="AF289" i="10"/>
  <c r="AF290" i="10"/>
  <c r="AF291" i="10"/>
  <c r="AF292" i="10"/>
  <c r="AF293" i="10"/>
  <c r="AF294" i="10"/>
  <c r="AF295" i="10"/>
  <c r="AF296" i="10"/>
  <c r="AF297" i="10"/>
  <c r="AF298" i="10"/>
  <c r="AF299" i="10"/>
  <c r="AF300" i="10"/>
  <c r="AF301" i="10"/>
  <c r="AF302" i="10"/>
  <c r="AF303" i="10"/>
  <c r="AF304" i="10"/>
  <c r="AF305" i="10"/>
  <c r="AF306" i="10"/>
  <c r="AF307" i="10"/>
  <c r="AF308" i="10"/>
  <c r="AF309" i="10"/>
  <c r="AF310" i="10"/>
  <c r="AF311" i="10"/>
  <c r="AF312" i="10"/>
  <c r="AF313" i="10"/>
  <c r="AF314" i="10"/>
  <c r="AF315" i="10"/>
  <c r="AF316" i="10"/>
  <c r="AF317" i="10"/>
  <c r="AF318" i="10"/>
  <c r="AF319" i="10"/>
  <c r="AF320" i="10"/>
  <c r="AF321" i="10"/>
  <c r="AF322" i="10"/>
  <c r="AF323" i="10"/>
  <c r="AF324" i="10"/>
  <c r="AF325" i="10"/>
  <c r="AF326" i="10"/>
  <c r="AF327" i="10"/>
  <c r="AF328" i="10"/>
  <c r="AF329" i="10"/>
  <c r="AF330" i="10"/>
  <c r="AF331" i="10"/>
  <c r="AF332" i="10"/>
  <c r="AF333" i="10"/>
  <c r="AF334" i="10"/>
  <c r="AF335" i="10"/>
  <c r="AF336" i="10"/>
  <c r="AF337" i="10"/>
  <c r="AF338" i="10"/>
  <c r="AF339" i="10"/>
  <c r="AF340" i="10"/>
  <c r="AF341" i="10"/>
  <c r="AF342" i="10"/>
  <c r="AF343" i="10"/>
  <c r="AF344" i="10"/>
  <c r="AF345" i="10"/>
  <c r="AF346" i="10"/>
  <c r="AF347" i="10"/>
  <c r="AF348" i="10"/>
  <c r="AF349" i="10"/>
  <c r="AF350" i="10"/>
  <c r="AF351" i="10"/>
  <c r="AF352" i="10"/>
  <c r="AF353" i="10"/>
  <c r="AF354" i="10"/>
  <c r="AF355" i="10"/>
  <c r="AF356" i="10"/>
  <c r="AF357" i="10"/>
  <c r="AF358" i="10"/>
  <c r="AF359" i="10"/>
  <c r="AF360" i="10"/>
  <c r="AF361" i="10"/>
  <c r="AF362" i="10"/>
  <c r="AF363" i="10"/>
  <c r="AF364" i="10"/>
  <c r="AF365" i="10"/>
  <c r="AF366" i="10"/>
  <c r="AF367" i="10"/>
  <c r="AF368" i="10"/>
  <c r="AF369" i="10"/>
  <c r="AF370" i="10"/>
  <c r="AF371" i="10"/>
  <c r="AF372" i="10"/>
  <c r="AF373" i="10"/>
  <c r="AF374" i="10"/>
  <c r="AF375" i="10"/>
  <c r="AF376" i="10"/>
  <c r="AF377" i="10"/>
  <c r="AF378" i="10"/>
  <c r="AF379" i="10"/>
  <c r="AF380" i="10"/>
  <c r="AF381" i="10"/>
  <c r="AF382" i="10"/>
  <c r="AF383" i="10"/>
  <c r="AF384" i="10"/>
  <c r="AF385" i="10"/>
  <c r="AF386" i="10"/>
  <c r="AF387" i="10"/>
  <c r="AF388" i="10"/>
  <c r="AF389" i="10"/>
  <c r="AF390" i="10"/>
  <c r="AF391" i="10"/>
  <c r="AF392" i="10"/>
  <c r="AF393" i="10"/>
  <c r="AF394" i="10"/>
  <c r="AF395" i="10"/>
  <c r="AF396" i="10"/>
  <c r="AF397" i="10"/>
  <c r="AF398" i="10"/>
  <c r="AF399" i="10"/>
  <c r="AF400" i="10"/>
  <c r="AF401" i="10"/>
  <c r="AF402" i="10"/>
  <c r="AF403" i="10"/>
  <c r="AF404" i="10"/>
  <c r="AF405" i="10"/>
  <c r="AF406" i="10"/>
  <c r="AF407" i="10"/>
  <c r="AF408" i="10"/>
  <c r="AF409" i="10"/>
  <c r="AF410" i="10"/>
  <c r="AF411" i="10"/>
  <c r="AF412" i="10"/>
  <c r="AF413" i="10"/>
  <c r="AF414" i="10"/>
  <c r="AF415" i="10"/>
  <c r="AF416" i="10"/>
  <c r="AF417" i="10"/>
  <c r="AF418" i="10"/>
  <c r="AF419" i="10"/>
  <c r="AF420" i="10"/>
  <c r="AF421" i="10"/>
  <c r="AF422" i="10"/>
  <c r="AF423" i="10"/>
  <c r="AF424" i="10"/>
  <c r="AF425" i="10"/>
  <c r="AF426" i="10"/>
  <c r="AF427" i="10"/>
  <c r="AF428" i="10"/>
  <c r="AF429" i="10"/>
  <c r="AF430" i="10"/>
  <c r="AF431" i="10"/>
  <c r="AF432" i="10"/>
  <c r="AF433" i="10"/>
  <c r="AF434" i="10"/>
  <c r="AF435" i="10"/>
  <c r="AF436" i="10"/>
  <c r="AF437" i="10"/>
  <c r="AF438" i="10"/>
  <c r="AF439" i="10"/>
  <c r="AF440" i="10"/>
  <c r="AF441" i="10"/>
  <c r="AF442" i="10"/>
  <c r="AF443" i="10"/>
  <c r="AF444" i="10"/>
  <c r="AF445" i="10"/>
  <c r="AF446" i="10"/>
  <c r="AF447" i="10"/>
  <c r="AF448" i="10"/>
  <c r="AF449" i="10"/>
  <c r="AF450" i="10"/>
  <c r="AF451" i="10"/>
  <c r="AF452" i="10"/>
  <c r="AF453" i="10"/>
  <c r="AF454" i="10"/>
  <c r="AF455" i="10"/>
  <c r="AF456" i="10"/>
  <c r="AF457" i="10"/>
  <c r="AF458" i="10"/>
  <c r="AF459" i="10"/>
  <c r="AF460" i="10"/>
  <c r="AF461" i="10"/>
  <c r="AF462" i="10"/>
  <c r="AF463" i="10"/>
  <c r="AF464" i="10"/>
  <c r="AF465" i="10"/>
  <c r="AF466" i="10"/>
  <c r="AH466" i="10"/>
  <c r="AF467" i="10"/>
  <c r="AF468" i="10"/>
  <c r="AF469" i="10"/>
  <c r="AF470" i="10"/>
  <c r="AF471" i="10"/>
  <c r="AF472" i="10"/>
  <c r="AF473" i="10"/>
  <c r="AF474" i="10"/>
  <c r="AF475" i="10"/>
  <c r="AF476" i="10"/>
  <c r="AF477" i="10"/>
  <c r="AF478" i="10"/>
  <c r="AF479" i="10"/>
  <c r="AF480" i="10"/>
  <c r="AF481" i="10"/>
  <c r="AF482" i="10"/>
  <c r="AF483" i="10"/>
  <c r="AF484" i="10"/>
  <c r="AF485" i="10"/>
  <c r="AF486" i="10"/>
  <c r="AF487" i="10"/>
  <c r="AF488" i="10"/>
  <c r="AF489" i="10"/>
  <c r="AF490" i="10"/>
  <c r="AF491" i="10"/>
  <c r="AF492" i="10"/>
  <c r="AF493" i="10"/>
  <c r="AF494" i="10"/>
  <c r="AF495" i="10"/>
  <c r="AF496" i="10"/>
  <c r="AF497" i="10"/>
  <c r="AF498" i="10"/>
  <c r="AF499" i="10"/>
  <c r="AF500" i="10"/>
  <c r="AF501" i="10"/>
  <c r="AF502" i="10"/>
  <c r="AF503" i="10"/>
  <c r="AF504" i="10"/>
  <c r="AF505" i="10"/>
  <c r="AF506" i="10"/>
  <c r="AF507" i="10"/>
  <c r="AF508" i="10"/>
  <c r="AF509" i="10"/>
  <c r="AF510" i="10"/>
  <c r="AF511" i="10"/>
  <c r="AF512" i="10"/>
  <c r="AF513" i="10"/>
  <c r="AF514" i="10"/>
  <c r="AF515" i="10"/>
  <c r="AF516" i="10"/>
  <c r="AF517" i="10"/>
  <c r="AF518" i="10"/>
  <c r="AF519" i="10"/>
  <c r="AF520" i="10"/>
  <c r="AF521" i="10"/>
  <c r="AF522" i="10"/>
  <c r="AF523" i="10"/>
  <c r="AF524" i="10"/>
  <c r="AF525" i="10"/>
  <c r="AF526" i="10"/>
  <c r="AF527" i="10"/>
  <c r="AF528" i="10"/>
  <c r="AF529" i="10"/>
  <c r="AF530" i="10"/>
  <c r="AF531" i="10"/>
  <c r="AF100" i="10"/>
  <c r="V101" i="10"/>
  <c r="V102" i="10"/>
  <c r="V103" i="10"/>
  <c r="V104" i="10"/>
  <c r="V105" i="10"/>
  <c r="V106" i="10"/>
  <c r="V107" i="10"/>
  <c r="V108" i="10"/>
  <c r="V109" i="10"/>
  <c r="V110" i="10"/>
  <c r="V111" i="10"/>
  <c r="V112" i="10"/>
  <c r="V113" i="10"/>
  <c r="V114" i="10"/>
  <c r="V115" i="10"/>
  <c r="V116" i="10"/>
  <c r="V117" i="10"/>
  <c r="V118" i="10"/>
  <c r="V119" i="10"/>
  <c r="V120" i="10"/>
  <c r="V121" i="10"/>
  <c r="V122" i="10"/>
  <c r="V123" i="10"/>
  <c r="V124" i="10"/>
  <c r="V125" i="10"/>
  <c r="V126" i="10"/>
  <c r="V127" i="10"/>
  <c r="V128" i="10"/>
  <c r="V129" i="10"/>
  <c r="V130" i="10"/>
  <c r="V131" i="10"/>
  <c r="V132" i="10"/>
  <c r="V133" i="10"/>
  <c r="V134" i="10"/>
  <c r="V135" i="10"/>
  <c r="V136" i="10"/>
  <c r="V137" i="10"/>
  <c r="V138" i="10"/>
  <c r="V139" i="10"/>
  <c r="V140" i="10"/>
  <c r="V141" i="10"/>
  <c r="V142" i="10"/>
  <c r="V143" i="10"/>
  <c r="V144" i="10"/>
  <c r="V145" i="10"/>
  <c r="V146" i="10"/>
  <c r="V147" i="10"/>
  <c r="V148" i="10"/>
  <c r="V149" i="10"/>
  <c r="V150" i="10"/>
  <c r="V151" i="10"/>
  <c r="V152" i="10"/>
  <c r="V153" i="10"/>
  <c r="V154" i="10"/>
  <c r="V155" i="10"/>
  <c r="V156" i="10"/>
  <c r="V157" i="10"/>
  <c r="V158" i="10"/>
  <c r="V159" i="10"/>
  <c r="V160" i="10"/>
  <c r="V161" i="10"/>
  <c r="V162" i="10"/>
  <c r="V163" i="10"/>
  <c r="V164" i="10"/>
  <c r="V165" i="10"/>
  <c r="V166" i="10"/>
  <c r="V167" i="10"/>
  <c r="V168" i="10"/>
  <c r="V169" i="10"/>
  <c r="V170" i="10"/>
  <c r="V171" i="10"/>
  <c r="V172" i="10"/>
  <c r="V173" i="10"/>
  <c r="V174" i="10"/>
  <c r="V175" i="10"/>
  <c r="V176" i="10"/>
  <c r="V177" i="10"/>
  <c r="V178" i="10"/>
  <c r="V179" i="10"/>
  <c r="V180" i="10"/>
  <c r="V181" i="10"/>
  <c r="V182" i="10"/>
  <c r="V183" i="10"/>
  <c r="V184" i="10"/>
  <c r="V185" i="10"/>
  <c r="V186" i="10"/>
  <c r="V187" i="10"/>
  <c r="V188" i="10"/>
  <c r="V189" i="10"/>
  <c r="V190" i="10"/>
  <c r="V191" i="10"/>
  <c r="V192" i="10"/>
  <c r="V193" i="10"/>
  <c r="V194" i="10"/>
  <c r="V195" i="10"/>
  <c r="V196" i="10"/>
  <c r="V197" i="10"/>
  <c r="V198" i="10"/>
  <c r="V199" i="10"/>
  <c r="V200" i="10"/>
  <c r="V201" i="10"/>
  <c r="V202" i="10"/>
  <c r="V203" i="10"/>
  <c r="V204" i="10"/>
  <c r="V205" i="10"/>
  <c r="V206" i="10"/>
  <c r="V207" i="10"/>
  <c r="V208" i="10"/>
  <c r="V209" i="10"/>
  <c r="V210" i="10"/>
  <c r="V211" i="10"/>
  <c r="V212" i="10"/>
  <c r="V213" i="10"/>
  <c r="V214" i="10"/>
  <c r="V215" i="10"/>
  <c r="V216" i="10"/>
  <c r="V217" i="10"/>
  <c r="V218" i="10"/>
  <c r="V219" i="10"/>
  <c r="V220" i="10"/>
  <c r="V221" i="10"/>
  <c r="V222" i="10"/>
  <c r="V223" i="10"/>
  <c r="V224" i="10"/>
  <c r="V225" i="10"/>
  <c r="V226" i="10"/>
  <c r="V227" i="10"/>
  <c r="V228" i="10"/>
  <c r="V229" i="10"/>
  <c r="V230" i="10"/>
  <c r="V231" i="10"/>
  <c r="V232" i="10"/>
  <c r="V233" i="10"/>
  <c r="V234" i="10"/>
  <c r="V235" i="10"/>
  <c r="V236" i="10"/>
  <c r="V237" i="10"/>
  <c r="V238" i="10"/>
  <c r="V239" i="10"/>
  <c r="V240" i="10"/>
  <c r="V241" i="10"/>
  <c r="V242" i="10"/>
  <c r="V243" i="10"/>
  <c r="V244" i="10"/>
  <c r="V245" i="10"/>
  <c r="V246" i="10"/>
  <c r="V247" i="10"/>
  <c r="V248" i="10"/>
  <c r="V249" i="10"/>
  <c r="V250" i="10"/>
  <c r="V251" i="10"/>
  <c r="V252" i="10"/>
  <c r="V253" i="10"/>
  <c r="V254" i="10"/>
  <c r="V255" i="10"/>
  <c r="V256" i="10"/>
  <c r="V257" i="10"/>
  <c r="V258" i="10"/>
  <c r="V259" i="10"/>
  <c r="V260" i="10"/>
  <c r="V261" i="10"/>
  <c r="V262" i="10"/>
  <c r="V263" i="10"/>
  <c r="V264" i="10"/>
  <c r="V265" i="10"/>
  <c r="V266" i="10"/>
  <c r="V267" i="10"/>
  <c r="V268" i="10"/>
  <c r="V269" i="10"/>
  <c r="V270" i="10"/>
  <c r="V271" i="10"/>
  <c r="V272" i="10"/>
  <c r="V273" i="10"/>
  <c r="V274" i="10"/>
  <c r="V275" i="10"/>
  <c r="V276" i="10"/>
  <c r="V277" i="10"/>
  <c r="V278" i="10"/>
  <c r="V279" i="10"/>
  <c r="V280" i="10"/>
  <c r="V281" i="10"/>
  <c r="V282" i="10"/>
  <c r="V283" i="10"/>
  <c r="V284" i="10"/>
  <c r="V285" i="10"/>
  <c r="V286" i="10"/>
  <c r="V287" i="10"/>
  <c r="V288" i="10"/>
  <c r="V289" i="10"/>
  <c r="V290" i="10"/>
  <c r="V291" i="10"/>
  <c r="V292" i="10"/>
  <c r="V293" i="10"/>
  <c r="V294" i="10"/>
  <c r="V295" i="10"/>
  <c r="V296" i="10"/>
  <c r="V297" i="10"/>
  <c r="V298" i="10"/>
  <c r="V299" i="10"/>
  <c r="V300" i="10"/>
  <c r="V301" i="10"/>
  <c r="V302" i="10"/>
  <c r="V303" i="10"/>
  <c r="V304" i="10"/>
  <c r="V305" i="10"/>
  <c r="V306" i="10"/>
  <c r="V307" i="10"/>
  <c r="V308" i="10"/>
  <c r="V309" i="10"/>
  <c r="V310" i="10"/>
  <c r="V311" i="10"/>
  <c r="V312" i="10"/>
  <c r="V313" i="10"/>
  <c r="V314" i="10"/>
  <c r="V315" i="10"/>
  <c r="V316" i="10"/>
  <c r="V317" i="10"/>
  <c r="V318" i="10"/>
  <c r="V319" i="10"/>
  <c r="V320" i="10"/>
  <c r="V321" i="10"/>
  <c r="V322" i="10"/>
  <c r="V323" i="10"/>
  <c r="V324" i="10"/>
  <c r="V325" i="10"/>
  <c r="V326" i="10"/>
  <c r="V327" i="10"/>
  <c r="V328" i="10"/>
  <c r="V329" i="10"/>
  <c r="V330" i="10"/>
  <c r="V331" i="10"/>
  <c r="V332" i="10"/>
  <c r="V333" i="10"/>
  <c r="V334" i="10"/>
  <c r="V335" i="10"/>
  <c r="V336" i="10"/>
  <c r="V337" i="10"/>
  <c r="V338" i="10"/>
  <c r="V339" i="10"/>
  <c r="V340" i="10"/>
  <c r="V341" i="10"/>
  <c r="V342" i="10"/>
  <c r="V343" i="10"/>
  <c r="V344" i="10"/>
  <c r="V345" i="10"/>
  <c r="V346" i="10"/>
  <c r="V347" i="10"/>
  <c r="V348" i="10"/>
  <c r="V349" i="10"/>
  <c r="V350" i="10"/>
  <c r="V351" i="10"/>
  <c r="V352" i="10"/>
  <c r="V353" i="10"/>
  <c r="V354" i="10"/>
  <c r="V355" i="10"/>
  <c r="V356" i="10"/>
  <c r="V357" i="10"/>
  <c r="V358" i="10"/>
  <c r="V359" i="10"/>
  <c r="V360" i="10"/>
  <c r="V361" i="10"/>
  <c r="V362" i="10"/>
  <c r="V363" i="10"/>
  <c r="V364" i="10"/>
  <c r="V365" i="10"/>
  <c r="V366" i="10"/>
  <c r="V367" i="10"/>
  <c r="V368" i="10"/>
  <c r="V369" i="10"/>
  <c r="V370" i="10"/>
  <c r="V371" i="10"/>
  <c r="V372" i="10"/>
  <c r="V373" i="10"/>
  <c r="V374" i="10"/>
  <c r="V375" i="10"/>
  <c r="V376" i="10"/>
  <c r="V377" i="10"/>
  <c r="V378" i="10"/>
  <c r="V379" i="10"/>
  <c r="V380" i="10"/>
  <c r="V381" i="10"/>
  <c r="V382" i="10"/>
  <c r="V383" i="10"/>
  <c r="V384" i="10"/>
  <c r="V385" i="10"/>
  <c r="V386" i="10"/>
  <c r="V387" i="10"/>
  <c r="V388" i="10"/>
  <c r="V389" i="10"/>
  <c r="V390" i="10"/>
  <c r="V391" i="10"/>
  <c r="V392" i="10"/>
  <c r="V393" i="10"/>
  <c r="V394" i="10"/>
  <c r="V395" i="10"/>
  <c r="V396" i="10"/>
  <c r="V397" i="10"/>
  <c r="V398" i="10"/>
  <c r="V399" i="10"/>
  <c r="V400" i="10"/>
  <c r="V401" i="10"/>
  <c r="V402" i="10"/>
  <c r="V403" i="10"/>
  <c r="V404" i="10"/>
  <c r="V405" i="10"/>
  <c r="V406" i="10"/>
  <c r="V407" i="10"/>
  <c r="V408" i="10"/>
  <c r="V409" i="10"/>
  <c r="V410" i="10"/>
  <c r="V411" i="10"/>
  <c r="V412" i="10"/>
  <c r="V413" i="10"/>
  <c r="V414" i="10"/>
  <c r="V415" i="10"/>
  <c r="V416" i="10"/>
  <c r="V417" i="10"/>
  <c r="V418" i="10"/>
  <c r="V419" i="10"/>
  <c r="V420" i="10"/>
  <c r="V421" i="10"/>
  <c r="V422" i="10"/>
  <c r="V423" i="10"/>
  <c r="V424" i="10"/>
  <c r="V425" i="10"/>
  <c r="V426" i="10"/>
  <c r="V427" i="10"/>
  <c r="V428" i="10"/>
  <c r="V429" i="10"/>
  <c r="V430" i="10"/>
  <c r="V431" i="10"/>
  <c r="V432" i="10"/>
  <c r="V433" i="10"/>
  <c r="V434" i="10"/>
  <c r="V435" i="10"/>
  <c r="V436" i="10"/>
  <c r="V437" i="10"/>
  <c r="V438" i="10"/>
  <c r="V439" i="10"/>
  <c r="V440" i="10"/>
  <c r="V441" i="10"/>
  <c r="V442" i="10"/>
  <c r="V443" i="10"/>
  <c r="V444" i="10"/>
  <c r="V445" i="10"/>
  <c r="V446" i="10"/>
  <c r="V447" i="10"/>
  <c r="V448" i="10"/>
  <c r="V449" i="10"/>
  <c r="V450" i="10"/>
  <c r="V451" i="10"/>
  <c r="V452" i="10"/>
  <c r="V453" i="10"/>
  <c r="V454" i="10"/>
  <c r="V455" i="10"/>
  <c r="V456" i="10"/>
  <c r="V457" i="10"/>
  <c r="V458" i="10"/>
  <c r="V459" i="10"/>
  <c r="V460" i="10"/>
  <c r="V461" i="10"/>
  <c r="V462" i="10"/>
  <c r="V463" i="10"/>
  <c r="V464" i="10"/>
  <c r="V465" i="10"/>
  <c r="V466" i="10"/>
  <c r="V467" i="10"/>
  <c r="V468" i="10"/>
  <c r="V469" i="10"/>
  <c r="V470" i="10"/>
  <c r="V471" i="10"/>
  <c r="V472" i="10"/>
  <c r="V473" i="10"/>
  <c r="V474" i="10"/>
  <c r="V475" i="10"/>
  <c r="V476" i="10"/>
  <c r="V477" i="10"/>
  <c r="V478" i="10"/>
  <c r="V479" i="10"/>
  <c r="V480" i="10"/>
  <c r="V481" i="10"/>
  <c r="V482" i="10"/>
  <c r="V483" i="10"/>
  <c r="V484" i="10"/>
  <c r="V485" i="10"/>
  <c r="V486" i="10"/>
  <c r="V487" i="10"/>
  <c r="V488" i="10"/>
  <c r="V489" i="10"/>
  <c r="V490" i="10"/>
  <c r="V491" i="10"/>
  <c r="V492" i="10"/>
  <c r="V493" i="10"/>
  <c r="V494" i="10"/>
  <c r="V495" i="10"/>
  <c r="V496" i="10"/>
  <c r="V497" i="10"/>
  <c r="V498" i="10"/>
  <c r="V499" i="10"/>
  <c r="V500" i="10"/>
  <c r="V501" i="10"/>
  <c r="V502" i="10"/>
  <c r="V503" i="10"/>
  <c r="V504" i="10"/>
  <c r="V505" i="10"/>
  <c r="V506" i="10"/>
  <c r="V507" i="10"/>
  <c r="V508" i="10"/>
  <c r="V509" i="10"/>
  <c r="V510" i="10"/>
  <c r="V511" i="10"/>
  <c r="V512" i="10"/>
  <c r="V513" i="10"/>
  <c r="V514" i="10"/>
  <c r="V515" i="10"/>
  <c r="V516" i="10"/>
  <c r="V517" i="10"/>
  <c r="V518" i="10"/>
  <c r="V519" i="10"/>
  <c r="V520" i="10"/>
  <c r="V521" i="10"/>
  <c r="V522" i="10"/>
  <c r="V523" i="10"/>
  <c r="V524" i="10"/>
  <c r="V525" i="10"/>
  <c r="V526" i="10"/>
  <c r="V527" i="10"/>
  <c r="V528" i="10"/>
  <c r="V529" i="10"/>
  <c r="V530" i="10"/>
  <c r="V531" i="10"/>
  <c r="U101" i="10"/>
  <c r="W101" i="10"/>
  <c r="U102" i="10"/>
  <c r="W102" i="10"/>
  <c r="U103" i="10"/>
  <c r="W103" i="10" s="1"/>
  <c r="U104" i="10"/>
  <c r="W104" i="10"/>
  <c r="U105" i="10"/>
  <c r="W105" i="10"/>
  <c r="U106" i="10"/>
  <c r="W106" i="10" s="1"/>
  <c r="U107" i="10"/>
  <c r="W107" i="10"/>
  <c r="U108" i="10"/>
  <c r="W108" i="10"/>
  <c r="U109" i="10"/>
  <c r="W109" i="10" s="1"/>
  <c r="U110" i="10"/>
  <c r="W110" i="10" s="1"/>
  <c r="U111" i="10"/>
  <c r="W111" i="10"/>
  <c r="U112" i="10"/>
  <c r="W112" i="10"/>
  <c r="U113" i="10"/>
  <c r="W113" i="10"/>
  <c r="U114" i="10"/>
  <c r="W114" i="10"/>
  <c r="U115" i="10"/>
  <c r="W115" i="10" s="1"/>
  <c r="U116" i="10"/>
  <c r="W116" i="10"/>
  <c r="U117" i="10"/>
  <c r="W117" i="10"/>
  <c r="U118" i="10"/>
  <c r="W118" i="10"/>
  <c r="U119" i="10"/>
  <c r="W119" i="10"/>
  <c r="U120" i="10"/>
  <c r="W120" i="10" s="1"/>
  <c r="U121" i="10"/>
  <c r="W121" i="10" s="1"/>
  <c r="U122" i="10"/>
  <c r="W122" i="10" s="1"/>
  <c r="U123" i="10"/>
  <c r="W123" i="10"/>
  <c r="U124" i="10"/>
  <c r="W124" i="10"/>
  <c r="U125" i="10"/>
  <c r="W125" i="10"/>
  <c r="U126" i="10"/>
  <c r="W126" i="10" s="1"/>
  <c r="U127" i="10"/>
  <c r="W127" i="10"/>
  <c r="U128" i="10"/>
  <c r="W128" i="10"/>
  <c r="U129" i="10"/>
  <c r="W129" i="10"/>
  <c r="U130" i="10"/>
  <c r="W130" i="10"/>
  <c r="U131" i="10"/>
  <c r="W131" i="10"/>
  <c r="U132" i="10"/>
  <c r="W132" i="10" s="1"/>
  <c r="U133" i="10"/>
  <c r="W133" i="10"/>
  <c r="U134" i="10"/>
  <c r="W134" i="10"/>
  <c r="U135" i="10"/>
  <c r="W135" i="10" s="1"/>
  <c r="U136" i="10"/>
  <c r="W136" i="10"/>
  <c r="U137" i="10"/>
  <c r="W137" i="10"/>
  <c r="U138" i="10"/>
  <c r="W138" i="10"/>
  <c r="U139" i="10"/>
  <c r="U140" i="10"/>
  <c r="U141" i="10"/>
  <c r="U142" i="10"/>
  <c r="U143" i="10"/>
  <c r="U144" i="10"/>
  <c r="U145" i="10"/>
  <c r="U146" i="10"/>
  <c r="U147" i="10"/>
  <c r="U148" i="10"/>
  <c r="U149" i="10"/>
  <c r="U150" i="10"/>
  <c r="U151" i="10"/>
  <c r="U152" i="10"/>
  <c r="U153" i="10"/>
  <c r="U154" i="10"/>
  <c r="U155" i="10"/>
  <c r="U156" i="10"/>
  <c r="U157" i="10"/>
  <c r="U158" i="10"/>
  <c r="U159" i="10"/>
  <c r="U160" i="10"/>
  <c r="U161" i="10"/>
  <c r="U162" i="10"/>
  <c r="U163" i="10"/>
  <c r="U164" i="10"/>
  <c r="U165" i="10"/>
  <c r="U166" i="10"/>
  <c r="U167" i="10"/>
  <c r="U168" i="10"/>
  <c r="U169" i="10"/>
  <c r="U170" i="10"/>
  <c r="U171" i="10"/>
  <c r="U172" i="10"/>
  <c r="U173" i="10"/>
  <c r="U174" i="10"/>
  <c r="U175" i="10"/>
  <c r="U176" i="10"/>
  <c r="U177" i="10"/>
  <c r="U178" i="10"/>
  <c r="U179" i="10"/>
  <c r="U180" i="10"/>
  <c r="U181" i="10"/>
  <c r="U182" i="10"/>
  <c r="U183" i="10"/>
  <c r="U184" i="10"/>
  <c r="U185" i="10"/>
  <c r="U186" i="10"/>
  <c r="U187" i="10"/>
  <c r="U188" i="10"/>
  <c r="U189" i="10"/>
  <c r="U190" i="10"/>
  <c r="U191" i="10"/>
  <c r="U192" i="10"/>
  <c r="U193" i="10"/>
  <c r="U194" i="10"/>
  <c r="U195" i="10"/>
  <c r="U196" i="10"/>
  <c r="U197" i="10"/>
  <c r="U198" i="10"/>
  <c r="U199" i="10"/>
  <c r="U200" i="10"/>
  <c r="U201" i="10"/>
  <c r="U202" i="10"/>
  <c r="U203" i="10"/>
  <c r="U204" i="10"/>
  <c r="U205" i="10"/>
  <c r="U206" i="10"/>
  <c r="U207" i="10"/>
  <c r="U208" i="10"/>
  <c r="U209" i="10"/>
  <c r="U210" i="10"/>
  <c r="U211" i="10"/>
  <c r="U212" i="10"/>
  <c r="U213" i="10"/>
  <c r="U214" i="10"/>
  <c r="U215" i="10"/>
  <c r="U216" i="10"/>
  <c r="U217" i="10"/>
  <c r="U218" i="10"/>
  <c r="U219" i="10"/>
  <c r="U220" i="10"/>
  <c r="U221" i="10"/>
  <c r="U222" i="10"/>
  <c r="U223" i="10"/>
  <c r="U224" i="10"/>
  <c r="U225" i="10"/>
  <c r="U226" i="10"/>
  <c r="U227" i="10"/>
  <c r="U228" i="10"/>
  <c r="U229" i="10"/>
  <c r="U230" i="10"/>
  <c r="U231" i="10"/>
  <c r="U232" i="10"/>
  <c r="U233" i="10"/>
  <c r="U234" i="10"/>
  <c r="U235" i="10"/>
  <c r="U236" i="10"/>
  <c r="U237" i="10"/>
  <c r="U238" i="10"/>
  <c r="U239" i="10"/>
  <c r="U240" i="10"/>
  <c r="U241" i="10"/>
  <c r="U242" i="10"/>
  <c r="U243" i="10"/>
  <c r="U244" i="10"/>
  <c r="U245" i="10"/>
  <c r="U246" i="10"/>
  <c r="U247" i="10"/>
  <c r="U248" i="10"/>
  <c r="U249" i="10"/>
  <c r="U250" i="10"/>
  <c r="U251" i="10"/>
  <c r="U252" i="10"/>
  <c r="U253" i="10"/>
  <c r="U254" i="10"/>
  <c r="U255" i="10"/>
  <c r="U256" i="10"/>
  <c r="U257" i="10"/>
  <c r="U258" i="10"/>
  <c r="U259" i="10"/>
  <c r="U260" i="10"/>
  <c r="U261" i="10"/>
  <c r="U262" i="10"/>
  <c r="U263" i="10"/>
  <c r="U264" i="10"/>
  <c r="U265" i="10"/>
  <c r="U266" i="10"/>
  <c r="U267" i="10"/>
  <c r="U268" i="10"/>
  <c r="U269" i="10"/>
  <c r="U270" i="10"/>
  <c r="U271" i="10"/>
  <c r="U272" i="10"/>
  <c r="U273" i="10"/>
  <c r="U274" i="10"/>
  <c r="U275" i="10"/>
  <c r="U276" i="10"/>
  <c r="U277" i="10"/>
  <c r="U278" i="10"/>
  <c r="U279" i="10"/>
  <c r="U280" i="10"/>
  <c r="U281" i="10"/>
  <c r="U282" i="10"/>
  <c r="U283" i="10"/>
  <c r="U284" i="10"/>
  <c r="U285" i="10"/>
  <c r="U286" i="10"/>
  <c r="U287" i="10"/>
  <c r="U288" i="10"/>
  <c r="U289" i="10"/>
  <c r="U290" i="10"/>
  <c r="U291" i="10"/>
  <c r="U292" i="10"/>
  <c r="U293" i="10"/>
  <c r="U294" i="10"/>
  <c r="U295" i="10"/>
  <c r="U296" i="10"/>
  <c r="U297" i="10"/>
  <c r="U298" i="10"/>
  <c r="U299" i="10"/>
  <c r="U300" i="10"/>
  <c r="U301" i="10"/>
  <c r="U302" i="10"/>
  <c r="U303" i="10"/>
  <c r="U304" i="10"/>
  <c r="U305" i="10"/>
  <c r="U306" i="10"/>
  <c r="U307" i="10"/>
  <c r="U308" i="10"/>
  <c r="U309" i="10"/>
  <c r="U310" i="10"/>
  <c r="U311" i="10"/>
  <c r="U312" i="10"/>
  <c r="U313" i="10"/>
  <c r="U314" i="10"/>
  <c r="U315" i="10"/>
  <c r="U316" i="10"/>
  <c r="U317" i="10"/>
  <c r="U318" i="10"/>
  <c r="U319" i="10"/>
  <c r="U320" i="10"/>
  <c r="W320" i="10" s="1"/>
  <c r="U321" i="10"/>
  <c r="W321" i="10" s="1"/>
  <c r="U322" i="10"/>
  <c r="W322" i="10" s="1"/>
  <c r="U323" i="10"/>
  <c r="W323" i="10" s="1"/>
  <c r="U324" i="10"/>
  <c r="W324" i="10" s="1"/>
  <c r="U325" i="10"/>
  <c r="W325" i="10" s="1"/>
  <c r="U326" i="10"/>
  <c r="W326" i="10" s="1"/>
  <c r="U327" i="10"/>
  <c r="W327" i="10" s="1"/>
  <c r="U328" i="10"/>
  <c r="W328" i="10" s="1"/>
  <c r="U329" i="10"/>
  <c r="W329" i="10" s="1"/>
  <c r="U330" i="10"/>
  <c r="W330" i="10" s="1"/>
  <c r="U331" i="10"/>
  <c r="W331" i="10" s="1"/>
  <c r="U332" i="10"/>
  <c r="W332" i="10" s="1"/>
  <c r="U333" i="10"/>
  <c r="W333" i="10" s="1"/>
  <c r="U334" i="10"/>
  <c r="W334" i="10" s="1"/>
  <c r="U335" i="10"/>
  <c r="W335" i="10" s="1"/>
  <c r="U336" i="10"/>
  <c r="W336" i="10" s="1"/>
  <c r="U337" i="10"/>
  <c r="W337" i="10" s="1"/>
  <c r="U338" i="10"/>
  <c r="W338" i="10" s="1"/>
  <c r="U339" i="10"/>
  <c r="W339" i="10" s="1"/>
  <c r="U340" i="10"/>
  <c r="W340" i="10" s="1"/>
  <c r="U341" i="10"/>
  <c r="W341" i="10" s="1"/>
  <c r="U342" i="10"/>
  <c r="W342" i="10" s="1"/>
  <c r="U343" i="10"/>
  <c r="W343" i="10" s="1"/>
  <c r="U344" i="10"/>
  <c r="W344" i="10" s="1"/>
  <c r="U345" i="10"/>
  <c r="W345" i="10" s="1"/>
  <c r="U346" i="10"/>
  <c r="W346" i="10" s="1"/>
  <c r="U347" i="10"/>
  <c r="W347" i="10" s="1"/>
  <c r="U348" i="10"/>
  <c r="W348" i="10" s="1"/>
  <c r="U349" i="10"/>
  <c r="W349" i="10" s="1"/>
  <c r="U350" i="10"/>
  <c r="W350" i="10" s="1"/>
  <c r="U351" i="10"/>
  <c r="W351" i="10" s="1"/>
  <c r="U352" i="10"/>
  <c r="W352" i="10" s="1"/>
  <c r="U353" i="10"/>
  <c r="W353" i="10" s="1"/>
  <c r="U354" i="10"/>
  <c r="W354" i="10" s="1"/>
  <c r="U355" i="10"/>
  <c r="W355" i="10" s="1"/>
  <c r="U356" i="10"/>
  <c r="W356" i="10" s="1"/>
  <c r="U357" i="10"/>
  <c r="W357" i="10" s="1"/>
  <c r="U358" i="10"/>
  <c r="W358" i="10" s="1"/>
  <c r="U359" i="10"/>
  <c r="W359" i="10" s="1"/>
  <c r="U360" i="10"/>
  <c r="W360" i="10" s="1"/>
  <c r="U361" i="10"/>
  <c r="W361" i="10" s="1"/>
  <c r="U362" i="10"/>
  <c r="W362" i="10" s="1"/>
  <c r="U363" i="10"/>
  <c r="W363" i="10" s="1"/>
  <c r="U364" i="10"/>
  <c r="W364" i="10" s="1"/>
  <c r="U365" i="10"/>
  <c r="W365" i="10" s="1"/>
  <c r="U366" i="10"/>
  <c r="W366" i="10" s="1"/>
  <c r="U367" i="10"/>
  <c r="W367" i="10" s="1"/>
  <c r="U368" i="10"/>
  <c r="W368" i="10" s="1"/>
  <c r="U369" i="10"/>
  <c r="W369" i="10" s="1"/>
  <c r="U370" i="10"/>
  <c r="W370" i="10" s="1"/>
  <c r="U371" i="10"/>
  <c r="W371" i="10" s="1"/>
  <c r="U372" i="10"/>
  <c r="W372" i="10" s="1"/>
  <c r="U373" i="10"/>
  <c r="W373" i="10" s="1"/>
  <c r="U374" i="10"/>
  <c r="W374" i="10" s="1"/>
  <c r="U375" i="10"/>
  <c r="W375" i="10" s="1"/>
  <c r="U376" i="10"/>
  <c r="W376" i="10" s="1"/>
  <c r="U377" i="10"/>
  <c r="W377" i="10" s="1"/>
  <c r="U378" i="10"/>
  <c r="W378" i="10" s="1"/>
  <c r="U379" i="10"/>
  <c r="W379" i="10" s="1"/>
  <c r="U380" i="10"/>
  <c r="W380" i="10" s="1"/>
  <c r="U381" i="10"/>
  <c r="W381" i="10" s="1"/>
  <c r="U382" i="10"/>
  <c r="W382" i="10" s="1"/>
  <c r="U383" i="10"/>
  <c r="W383" i="10" s="1"/>
  <c r="U384" i="10"/>
  <c r="W384" i="10" s="1"/>
  <c r="U385" i="10"/>
  <c r="W385" i="10" s="1"/>
  <c r="U386" i="10"/>
  <c r="W386" i="10" s="1"/>
  <c r="U387" i="10"/>
  <c r="W387" i="10" s="1"/>
  <c r="U388" i="10"/>
  <c r="W388" i="10" s="1"/>
  <c r="U389" i="10"/>
  <c r="W389" i="10" s="1"/>
  <c r="U390" i="10"/>
  <c r="W390" i="10" s="1"/>
  <c r="U391" i="10"/>
  <c r="W391" i="10" s="1"/>
  <c r="U392" i="10"/>
  <c r="W392" i="10" s="1"/>
  <c r="U393" i="10"/>
  <c r="W393" i="10" s="1"/>
  <c r="U394" i="10"/>
  <c r="W394" i="10" s="1"/>
  <c r="U395" i="10"/>
  <c r="W395" i="10" s="1"/>
  <c r="U396" i="10"/>
  <c r="W396" i="10" s="1"/>
  <c r="U397" i="10"/>
  <c r="W397" i="10" s="1"/>
  <c r="U398" i="10"/>
  <c r="W398" i="10" s="1"/>
  <c r="U399" i="10"/>
  <c r="W399" i="10" s="1"/>
  <c r="U400" i="10"/>
  <c r="W400" i="10" s="1"/>
  <c r="U401" i="10"/>
  <c r="W401" i="10" s="1"/>
  <c r="U402" i="10"/>
  <c r="W402" i="10" s="1"/>
  <c r="U403" i="10"/>
  <c r="W403" i="10" s="1"/>
  <c r="U404" i="10"/>
  <c r="W404" i="10" s="1"/>
  <c r="U405" i="10"/>
  <c r="W405" i="10" s="1"/>
  <c r="U406" i="10"/>
  <c r="W406" i="10" s="1"/>
  <c r="U407" i="10"/>
  <c r="W407" i="10" s="1"/>
  <c r="U408" i="10"/>
  <c r="W408" i="10" s="1"/>
  <c r="U409" i="10"/>
  <c r="W409" i="10" s="1"/>
  <c r="U410" i="10"/>
  <c r="W410" i="10" s="1"/>
  <c r="U411" i="10"/>
  <c r="W411" i="10" s="1"/>
  <c r="U412" i="10"/>
  <c r="W412" i="10" s="1"/>
  <c r="U413" i="10"/>
  <c r="W413" i="10" s="1"/>
  <c r="U414" i="10"/>
  <c r="W414" i="10" s="1"/>
  <c r="U415" i="10"/>
  <c r="W415" i="10" s="1"/>
  <c r="U416" i="10"/>
  <c r="W416" i="10" s="1"/>
  <c r="U417" i="10"/>
  <c r="W417" i="10" s="1"/>
  <c r="U418" i="10"/>
  <c r="W418" i="10" s="1"/>
  <c r="U419" i="10"/>
  <c r="W419" i="10" s="1"/>
  <c r="U420" i="10"/>
  <c r="W420" i="10" s="1"/>
  <c r="U421" i="10"/>
  <c r="W421" i="10" s="1"/>
  <c r="U422" i="10"/>
  <c r="W422" i="10" s="1"/>
  <c r="U423" i="10"/>
  <c r="W423" i="10" s="1"/>
  <c r="U424" i="10"/>
  <c r="W424" i="10" s="1"/>
  <c r="U425" i="10"/>
  <c r="W425" i="10" s="1"/>
  <c r="U426" i="10"/>
  <c r="W426" i="10" s="1"/>
  <c r="U427" i="10"/>
  <c r="W427" i="10" s="1"/>
  <c r="U428" i="10"/>
  <c r="W428" i="10" s="1"/>
  <c r="U429" i="10"/>
  <c r="W429" i="10" s="1"/>
  <c r="U430" i="10"/>
  <c r="W430" i="10" s="1"/>
  <c r="U431" i="10"/>
  <c r="W431" i="10" s="1"/>
  <c r="U432" i="10"/>
  <c r="W432" i="10" s="1"/>
  <c r="U433" i="10"/>
  <c r="W433" i="10" s="1"/>
  <c r="U434" i="10"/>
  <c r="W434" i="10" s="1"/>
  <c r="U435" i="10"/>
  <c r="W435" i="10" s="1"/>
  <c r="U436" i="10"/>
  <c r="W436" i="10" s="1"/>
  <c r="U437" i="10"/>
  <c r="W437" i="10" s="1"/>
  <c r="U438" i="10"/>
  <c r="W438" i="10" s="1"/>
  <c r="U439" i="10"/>
  <c r="W439" i="10" s="1"/>
  <c r="U440" i="10"/>
  <c r="W440" i="10" s="1"/>
  <c r="U441" i="10"/>
  <c r="W441" i="10" s="1"/>
  <c r="U442" i="10"/>
  <c r="W442" i="10" s="1"/>
  <c r="U443" i="10"/>
  <c r="W443" i="10" s="1"/>
  <c r="U444" i="10"/>
  <c r="W444" i="10" s="1"/>
  <c r="U445" i="10"/>
  <c r="W445" i="10" s="1"/>
  <c r="U446" i="10"/>
  <c r="W446" i="10" s="1"/>
  <c r="U447" i="10"/>
  <c r="W447" i="10" s="1"/>
  <c r="U448" i="10"/>
  <c r="W448" i="10" s="1"/>
  <c r="U449" i="10"/>
  <c r="W449" i="10" s="1"/>
  <c r="U450" i="10"/>
  <c r="W450" i="10" s="1"/>
  <c r="U451" i="10"/>
  <c r="W451" i="10" s="1"/>
  <c r="U452" i="10"/>
  <c r="W452" i="10" s="1"/>
  <c r="U453" i="10"/>
  <c r="W453" i="10" s="1"/>
  <c r="U454" i="10"/>
  <c r="W454" i="10" s="1"/>
  <c r="U455" i="10"/>
  <c r="W455" i="10" s="1"/>
  <c r="U456" i="10"/>
  <c r="W456" i="10" s="1"/>
  <c r="U457" i="10"/>
  <c r="W457" i="10" s="1"/>
  <c r="U458" i="10"/>
  <c r="W458" i="10" s="1"/>
  <c r="U459" i="10"/>
  <c r="W459" i="10" s="1"/>
  <c r="U460" i="10"/>
  <c r="W460" i="10" s="1"/>
  <c r="U461" i="10"/>
  <c r="W461" i="10" s="1"/>
  <c r="U462" i="10"/>
  <c r="W462" i="10" s="1"/>
  <c r="U463" i="10"/>
  <c r="W463" i="10" s="1"/>
  <c r="U464" i="10"/>
  <c r="W464" i="10" s="1"/>
  <c r="U465" i="10"/>
  <c r="W465" i="10" s="1"/>
  <c r="U466" i="10"/>
  <c r="W466" i="10" s="1"/>
  <c r="U467" i="10"/>
  <c r="W467" i="10" s="1"/>
  <c r="U468" i="10"/>
  <c r="W468" i="10" s="1"/>
  <c r="U469" i="10"/>
  <c r="W469" i="10" s="1"/>
  <c r="U470" i="10"/>
  <c r="W470" i="10" s="1"/>
  <c r="U471" i="10"/>
  <c r="W471" i="10" s="1"/>
  <c r="U472" i="10"/>
  <c r="W472" i="10" s="1"/>
  <c r="U473" i="10"/>
  <c r="W473" i="10" s="1"/>
  <c r="U474" i="10"/>
  <c r="W474" i="10" s="1"/>
  <c r="U475" i="10"/>
  <c r="W475" i="10" s="1"/>
  <c r="U476" i="10"/>
  <c r="W476" i="10" s="1"/>
  <c r="U477" i="10"/>
  <c r="W477" i="10" s="1"/>
  <c r="U478" i="10"/>
  <c r="W478" i="10" s="1"/>
  <c r="U479" i="10"/>
  <c r="W479" i="10" s="1"/>
  <c r="U480" i="10"/>
  <c r="W480" i="10" s="1"/>
  <c r="U481" i="10"/>
  <c r="W481" i="10" s="1"/>
  <c r="U482" i="10"/>
  <c r="W482" i="10" s="1"/>
  <c r="U483" i="10"/>
  <c r="W483" i="10" s="1"/>
  <c r="U484" i="10"/>
  <c r="W484" i="10" s="1"/>
  <c r="U485" i="10"/>
  <c r="W485" i="10" s="1"/>
  <c r="U486" i="10"/>
  <c r="W486" i="10" s="1"/>
  <c r="U487" i="10"/>
  <c r="W487" i="10" s="1"/>
  <c r="U488" i="10"/>
  <c r="W488" i="10" s="1"/>
  <c r="U489" i="10"/>
  <c r="W489" i="10" s="1"/>
  <c r="U490" i="10"/>
  <c r="W490" i="10" s="1"/>
  <c r="U491" i="10"/>
  <c r="W491" i="10" s="1"/>
  <c r="U492" i="10"/>
  <c r="W492" i="10" s="1"/>
  <c r="U493" i="10"/>
  <c r="W493" i="10" s="1"/>
  <c r="U494" i="10"/>
  <c r="W494" i="10" s="1"/>
  <c r="U495" i="10"/>
  <c r="W495" i="10" s="1"/>
  <c r="U496" i="10"/>
  <c r="W496" i="10" s="1"/>
  <c r="U497" i="10"/>
  <c r="W497" i="10" s="1"/>
  <c r="U498" i="10"/>
  <c r="W498" i="10" s="1"/>
  <c r="U499" i="10"/>
  <c r="W499" i="10" s="1"/>
  <c r="U500" i="10"/>
  <c r="W500" i="10" s="1"/>
  <c r="U501" i="10"/>
  <c r="W501" i="10" s="1"/>
  <c r="U502" i="10"/>
  <c r="W502" i="10" s="1"/>
  <c r="U503" i="10"/>
  <c r="W503" i="10" s="1"/>
  <c r="U504" i="10"/>
  <c r="W504" i="10" s="1"/>
  <c r="U505" i="10"/>
  <c r="W505" i="10" s="1"/>
  <c r="U506" i="10"/>
  <c r="W506" i="10" s="1"/>
  <c r="U507" i="10"/>
  <c r="W507" i="10" s="1"/>
  <c r="U508" i="10"/>
  <c r="W508" i="10" s="1"/>
  <c r="U509" i="10"/>
  <c r="W509" i="10" s="1"/>
  <c r="U510" i="10"/>
  <c r="W510" i="10" s="1"/>
  <c r="U511" i="10"/>
  <c r="W511" i="10" s="1"/>
  <c r="U512" i="10"/>
  <c r="W512" i="10" s="1"/>
  <c r="U513" i="10"/>
  <c r="W513" i="10" s="1"/>
  <c r="U514" i="10"/>
  <c r="W514" i="10" s="1"/>
  <c r="U515" i="10"/>
  <c r="W515" i="10" s="1"/>
  <c r="U516" i="10"/>
  <c r="W516" i="10" s="1"/>
  <c r="U517" i="10"/>
  <c r="W517" i="10" s="1"/>
  <c r="U518" i="10"/>
  <c r="W518" i="10" s="1"/>
  <c r="U519" i="10"/>
  <c r="W519" i="10" s="1"/>
  <c r="U520" i="10"/>
  <c r="W520" i="10" s="1"/>
  <c r="U521" i="10"/>
  <c r="W521" i="10" s="1"/>
  <c r="U522" i="10"/>
  <c r="W522" i="10" s="1"/>
  <c r="U523" i="10"/>
  <c r="W523" i="10" s="1"/>
  <c r="U524" i="10"/>
  <c r="W524" i="10" s="1"/>
  <c r="U525" i="10"/>
  <c r="W525" i="10" s="1"/>
  <c r="U526" i="10"/>
  <c r="W526" i="10" s="1"/>
  <c r="U527" i="10"/>
  <c r="W527" i="10" s="1"/>
  <c r="U528" i="10"/>
  <c r="W528" i="10" s="1"/>
  <c r="U529" i="10"/>
  <c r="W529" i="10" s="1"/>
  <c r="U530" i="10"/>
  <c r="W530" i="10" s="1"/>
  <c r="U531" i="10"/>
  <c r="W531" i="10" s="1"/>
  <c r="AG4" i="28"/>
  <c r="AG5" i="28"/>
  <c r="AG6" i="28"/>
  <c r="AG7" i="28"/>
  <c r="AG8" i="28"/>
  <c r="AG9" i="28"/>
  <c r="AG10" i="28"/>
  <c r="AG11" i="28"/>
  <c r="AG12" i="28"/>
  <c r="AG13" i="28"/>
  <c r="AG14" i="28"/>
  <c r="AG15" i="28"/>
  <c r="AG16" i="28"/>
  <c r="AG17" i="28"/>
  <c r="AG18" i="28"/>
  <c r="AG19" i="28"/>
  <c r="AG20" i="28"/>
  <c r="AG21" i="28"/>
  <c r="AG22" i="28"/>
  <c r="AG23" i="28"/>
  <c r="AG24" i="28"/>
  <c r="AG25" i="28"/>
  <c r="AG26" i="28"/>
  <c r="AG27" i="28"/>
  <c r="AG28" i="28"/>
  <c r="AG29" i="28"/>
  <c r="AG30" i="28"/>
  <c r="AG31" i="28"/>
  <c r="AG32" i="28"/>
  <c r="AG33" i="28"/>
  <c r="AG34" i="28"/>
  <c r="AG35" i="28"/>
  <c r="AG36" i="28"/>
  <c r="AG37" i="28"/>
  <c r="AG38" i="28"/>
  <c r="AG39" i="28"/>
  <c r="AG40" i="28"/>
  <c r="AG41" i="28"/>
  <c r="AG42" i="28"/>
  <c r="AG43" i="28"/>
  <c r="AG44" i="28"/>
  <c r="AG45" i="28"/>
  <c r="AG46" i="28"/>
  <c r="AG47" i="28"/>
  <c r="AG48" i="28"/>
  <c r="AG49" i="28"/>
  <c r="AG50" i="28"/>
  <c r="AG51" i="28"/>
  <c r="AG52" i="28"/>
  <c r="AG53" i="28"/>
  <c r="AG54" i="28"/>
  <c r="AG55" i="28"/>
  <c r="AG56" i="28"/>
  <c r="AG57" i="28"/>
  <c r="AG58" i="28"/>
  <c r="AG59" i="28"/>
  <c r="AG60" i="28"/>
  <c r="AG61" i="28"/>
  <c r="AG62" i="28"/>
  <c r="AG63" i="28"/>
  <c r="AG64" i="28"/>
  <c r="AG65" i="28"/>
  <c r="AG66" i="28"/>
  <c r="AG67" i="28"/>
  <c r="AG68" i="28"/>
  <c r="AG69" i="28"/>
  <c r="AG70" i="28"/>
  <c r="AG71" i="28"/>
  <c r="AG72" i="28"/>
  <c r="AG73" i="28"/>
  <c r="AG74" i="28"/>
  <c r="AG75" i="28"/>
  <c r="AG76" i="28"/>
  <c r="AG77" i="28"/>
  <c r="AG78" i="28"/>
  <c r="AG79" i="28"/>
  <c r="AG80" i="28"/>
  <c r="AG81" i="28"/>
  <c r="AG82" i="28"/>
  <c r="AG83" i="28"/>
  <c r="AG84" i="28"/>
  <c r="AG85" i="28"/>
  <c r="AG86" i="28"/>
  <c r="AG87" i="28"/>
  <c r="AG88" i="28"/>
  <c r="AG89" i="28"/>
  <c r="AG90" i="28"/>
  <c r="AG91" i="28"/>
  <c r="AG92" i="28"/>
  <c r="AG93" i="28"/>
  <c r="AG94" i="28"/>
  <c r="AG95" i="28"/>
  <c r="AG96" i="28"/>
  <c r="AG97" i="28"/>
  <c r="AG98" i="28"/>
  <c r="AG99" i="28"/>
  <c r="AG100" i="28"/>
  <c r="AG101" i="28"/>
  <c r="AG102" i="28"/>
  <c r="AG103" i="28"/>
  <c r="AG104" i="28"/>
  <c r="AG105" i="28"/>
  <c r="AG106" i="28"/>
  <c r="AG107" i="28"/>
  <c r="AG108" i="28"/>
  <c r="AG109" i="28"/>
  <c r="AG110" i="28"/>
  <c r="AG111" i="28"/>
  <c r="AG112" i="28"/>
  <c r="AG113" i="28"/>
  <c r="AG114" i="28"/>
  <c r="AG115" i="28"/>
  <c r="AG116" i="28"/>
  <c r="AG117" i="28"/>
  <c r="AG118" i="28"/>
  <c r="AG119" i="28"/>
  <c r="AG120" i="28"/>
  <c r="AG121" i="28"/>
  <c r="AG122" i="28"/>
  <c r="AG123" i="28"/>
  <c r="AG124" i="28"/>
  <c r="AG125" i="28"/>
  <c r="AG126" i="28"/>
  <c r="AG127" i="28"/>
  <c r="AG128" i="28"/>
  <c r="AG129" i="28"/>
  <c r="AG130" i="28"/>
  <c r="AG131" i="28"/>
  <c r="AG132" i="28"/>
  <c r="AG133" i="28"/>
  <c r="AG134" i="28"/>
  <c r="AG135" i="28"/>
  <c r="AG136" i="28"/>
  <c r="AG137" i="28"/>
  <c r="AG138" i="28"/>
  <c r="AG139" i="28"/>
  <c r="AG140" i="28"/>
  <c r="AG141" i="28"/>
  <c r="AG142" i="28"/>
  <c r="AG143" i="28"/>
  <c r="AG144" i="28"/>
  <c r="AG145" i="28"/>
  <c r="AG146" i="28"/>
  <c r="AG147" i="28"/>
  <c r="AG148" i="28"/>
  <c r="AG149" i="28"/>
  <c r="AG150" i="28"/>
  <c r="AG151" i="28"/>
  <c r="AG152" i="28"/>
  <c r="AG153" i="28"/>
  <c r="AG154" i="28"/>
  <c r="AG155" i="28"/>
  <c r="AG156" i="28"/>
  <c r="AG157" i="28"/>
  <c r="AG158" i="28"/>
  <c r="AG159" i="28"/>
  <c r="AG160" i="28"/>
  <c r="AG161" i="28"/>
  <c r="AG162" i="28"/>
  <c r="AG163" i="28"/>
  <c r="AG164" i="28"/>
  <c r="AG165" i="28"/>
  <c r="AG166" i="28"/>
  <c r="AG167" i="28"/>
  <c r="AG168" i="28"/>
  <c r="AG169" i="28"/>
  <c r="AG170" i="28"/>
  <c r="AG171" i="28"/>
  <c r="AG172" i="28"/>
  <c r="AG173" i="28"/>
  <c r="AG174" i="28"/>
  <c r="AG175" i="28"/>
  <c r="AG176" i="28"/>
  <c r="AG177" i="28"/>
  <c r="AG178" i="28"/>
  <c r="AG179" i="28"/>
  <c r="AG180" i="28"/>
  <c r="AG181" i="28"/>
  <c r="AG182" i="28"/>
  <c r="AG183" i="28"/>
  <c r="AG184" i="28"/>
  <c r="AG185" i="28"/>
  <c r="AG186" i="28"/>
  <c r="AG187" i="28"/>
  <c r="AG188" i="28"/>
  <c r="AG189" i="28"/>
  <c r="AG190" i="28"/>
  <c r="AG191" i="28"/>
  <c r="AG192" i="28"/>
  <c r="AG193" i="28"/>
  <c r="AG194" i="28"/>
  <c r="AG195" i="28"/>
  <c r="AG196" i="28"/>
  <c r="AG197" i="28"/>
  <c r="AG198" i="28"/>
  <c r="AG199" i="28"/>
  <c r="AG200" i="28"/>
  <c r="AG201" i="28"/>
  <c r="AG202" i="28"/>
  <c r="AG203" i="28"/>
  <c r="AG204" i="28"/>
  <c r="AG205" i="28"/>
  <c r="AG206" i="28"/>
  <c r="AG207" i="28"/>
  <c r="AG208" i="28"/>
  <c r="AG209" i="28"/>
  <c r="AG210" i="28"/>
  <c r="AG211" i="28"/>
  <c r="AG212" i="28"/>
  <c r="AG213" i="28"/>
  <c r="AG214" i="28"/>
  <c r="AG215" i="28"/>
  <c r="AG216" i="28"/>
  <c r="AG217" i="28"/>
  <c r="AG218" i="28"/>
  <c r="AG219" i="28"/>
  <c r="AG220" i="28"/>
  <c r="AG221" i="28"/>
  <c r="AG222" i="28"/>
  <c r="AG223" i="28"/>
  <c r="AG224" i="28"/>
  <c r="AG225" i="28"/>
  <c r="AG226" i="28"/>
  <c r="AG227" i="28"/>
  <c r="AG228" i="28"/>
  <c r="AG229" i="28"/>
  <c r="AG230" i="28"/>
  <c r="AG231" i="28"/>
  <c r="AG232" i="28"/>
  <c r="AG233" i="28"/>
  <c r="AG234" i="28"/>
  <c r="AG235" i="28"/>
  <c r="AG236" i="28"/>
  <c r="AG237" i="28"/>
  <c r="AG238" i="28"/>
  <c r="AG239" i="28"/>
  <c r="AG240" i="28"/>
  <c r="AG241" i="28"/>
  <c r="AG242" i="28"/>
  <c r="AG243" i="28"/>
  <c r="AG244" i="28"/>
  <c r="AG245" i="28"/>
  <c r="AG246" i="28"/>
  <c r="AG247" i="28"/>
  <c r="AG248" i="28"/>
  <c r="AG249" i="28"/>
  <c r="AG250" i="28"/>
  <c r="AG251" i="28"/>
  <c r="AG252" i="28"/>
  <c r="AG253" i="28"/>
  <c r="AG254" i="28"/>
  <c r="AG255" i="28"/>
  <c r="AG256" i="28"/>
  <c r="AG257" i="28"/>
  <c r="AG258" i="28"/>
  <c r="AG259" i="28"/>
  <c r="AG260" i="28"/>
  <c r="AG261" i="28"/>
  <c r="AG262" i="28"/>
  <c r="AG263" i="28"/>
  <c r="AG264" i="28"/>
  <c r="AG265" i="28"/>
  <c r="AG266" i="28"/>
  <c r="AG267" i="28"/>
  <c r="AG268" i="28"/>
  <c r="AG269" i="28"/>
  <c r="AG270" i="28"/>
  <c r="AG271" i="28"/>
  <c r="AG272" i="28"/>
  <c r="AG273" i="28"/>
  <c r="AG274" i="28"/>
  <c r="AG275" i="28"/>
  <c r="AG276" i="28"/>
  <c r="AG277" i="28"/>
  <c r="AG278" i="28"/>
  <c r="AG279" i="28"/>
  <c r="AG280" i="28"/>
  <c r="AG281" i="28"/>
  <c r="AG282" i="28"/>
  <c r="AG283" i="28"/>
  <c r="AG284" i="28"/>
  <c r="AG285" i="28"/>
  <c r="AG286" i="28"/>
  <c r="AG287" i="28"/>
  <c r="AG288" i="28"/>
  <c r="AG289" i="28"/>
  <c r="AG290" i="28"/>
  <c r="AG291" i="28"/>
  <c r="AG292" i="28"/>
  <c r="AG293" i="28"/>
  <c r="AG294" i="28"/>
  <c r="AG295" i="28"/>
  <c r="AG296" i="28"/>
  <c r="AG297" i="28"/>
  <c r="AG298" i="28"/>
  <c r="AG299" i="28"/>
  <c r="AG300" i="28"/>
  <c r="AG301" i="28"/>
  <c r="AG302" i="28"/>
  <c r="AG303" i="28"/>
  <c r="AG304" i="28"/>
  <c r="AG305" i="28"/>
  <c r="AG306" i="28"/>
  <c r="AG307" i="28"/>
  <c r="AG308" i="28"/>
  <c r="AG309" i="28"/>
  <c r="AG310" i="28"/>
  <c r="AG311" i="28"/>
  <c r="AG312" i="28"/>
  <c r="AG313" i="28"/>
  <c r="AG314" i="28"/>
  <c r="AG315" i="28"/>
  <c r="AG316" i="28"/>
  <c r="AG317" i="28"/>
  <c r="AG318" i="28"/>
  <c r="AG319" i="28"/>
  <c r="AG320" i="28"/>
  <c r="AG321" i="28"/>
  <c r="AG322" i="28"/>
  <c r="AG323" i="28"/>
  <c r="AG324" i="28"/>
  <c r="AG325" i="28"/>
  <c r="AG326" i="28"/>
  <c r="AG327" i="28"/>
  <c r="AG328" i="28"/>
  <c r="AG329" i="28"/>
  <c r="AG330" i="28"/>
  <c r="AG331" i="28"/>
  <c r="AG332" i="28"/>
  <c r="AG333" i="28"/>
  <c r="AG334" i="28"/>
  <c r="AG335" i="28"/>
  <c r="AG336" i="28"/>
  <c r="AG337" i="28"/>
  <c r="AG338" i="28"/>
  <c r="AG339" i="28"/>
  <c r="AG340" i="28"/>
  <c r="AG341" i="28"/>
  <c r="AG342" i="28"/>
  <c r="AG343" i="28"/>
  <c r="AG344" i="28"/>
  <c r="AG345" i="28"/>
  <c r="AG346" i="28"/>
  <c r="AG347" i="28"/>
  <c r="AG348" i="28"/>
  <c r="AG349" i="28"/>
  <c r="AG350" i="28"/>
  <c r="AG351" i="28"/>
  <c r="AG352" i="28"/>
  <c r="AG353" i="28"/>
  <c r="AG354" i="28"/>
  <c r="AG355" i="28"/>
  <c r="AG356" i="28"/>
  <c r="AG357" i="28"/>
  <c r="AG358" i="28"/>
  <c r="AG359" i="28"/>
  <c r="AG360" i="28"/>
  <c r="AG361" i="28"/>
  <c r="AG362" i="28"/>
  <c r="AG363" i="28"/>
  <c r="AG364" i="28"/>
  <c r="AG365" i="28"/>
  <c r="AG366" i="28"/>
  <c r="AG367" i="28"/>
  <c r="AG368" i="28"/>
  <c r="AG369" i="28"/>
  <c r="AG370" i="28"/>
  <c r="AG371" i="28"/>
  <c r="AG372" i="28"/>
  <c r="AG373" i="28"/>
  <c r="AG374" i="28"/>
  <c r="AG375" i="28"/>
  <c r="AG376" i="28"/>
  <c r="AG377" i="28"/>
  <c r="AG378" i="28"/>
  <c r="AG379" i="28"/>
  <c r="AG380" i="28"/>
  <c r="AG381" i="28"/>
  <c r="AG382" i="28"/>
  <c r="AG383" i="28"/>
  <c r="AG384" i="28"/>
  <c r="AG385" i="28"/>
  <c r="AG386" i="28"/>
  <c r="AG387" i="28"/>
  <c r="AG388" i="28"/>
  <c r="AG389" i="28"/>
  <c r="AG390" i="28"/>
  <c r="AG391" i="28"/>
  <c r="AG392" i="28"/>
  <c r="AG393" i="28"/>
  <c r="AG394" i="28"/>
  <c r="AG395" i="28"/>
  <c r="AG396" i="28"/>
  <c r="AG397" i="28"/>
  <c r="AG398" i="28"/>
  <c r="AG399" i="28"/>
  <c r="AG400" i="28"/>
  <c r="AG401" i="28"/>
  <c r="AG402" i="28"/>
  <c r="AG403" i="28"/>
  <c r="AG404" i="28"/>
  <c r="AG405" i="28"/>
  <c r="AG406" i="28"/>
  <c r="AG407" i="28"/>
  <c r="AG408" i="28"/>
  <c r="AG409" i="28"/>
  <c r="AG410" i="28"/>
  <c r="AG411" i="28"/>
  <c r="AG412" i="28"/>
  <c r="AG413" i="28"/>
  <c r="AG414" i="28"/>
  <c r="AG415" i="28"/>
  <c r="AG416" i="28"/>
  <c r="AG417" i="28"/>
  <c r="AG418" i="28"/>
  <c r="AG419" i="28"/>
  <c r="AG420" i="28"/>
  <c r="AG421" i="28"/>
  <c r="AG422" i="28"/>
  <c r="AG423" i="28"/>
  <c r="AG424" i="28"/>
  <c r="AG425" i="28"/>
  <c r="AG426" i="28"/>
  <c r="AG427" i="28"/>
  <c r="AG428" i="28"/>
  <c r="AG429" i="28"/>
  <c r="AG430" i="28"/>
  <c r="AG431" i="28"/>
  <c r="AG432" i="28"/>
  <c r="AG433" i="28"/>
  <c r="AG434" i="28"/>
  <c r="AG435" i="28"/>
  <c r="AG436" i="28"/>
  <c r="AG437" i="28"/>
  <c r="AG438" i="28"/>
  <c r="AG439" i="28"/>
  <c r="AG440" i="28"/>
  <c r="AG441" i="28"/>
  <c r="AG442" i="28"/>
  <c r="AG443" i="28"/>
  <c r="AG444" i="28"/>
  <c r="AG445" i="28"/>
  <c r="AG446" i="28"/>
  <c r="AG447" i="28"/>
  <c r="AG448" i="28"/>
  <c r="AG449" i="28"/>
  <c r="AG450" i="28"/>
  <c r="AG451" i="28"/>
  <c r="AG452" i="28"/>
  <c r="AG453" i="28"/>
  <c r="AG454" i="28"/>
  <c r="AG455" i="28"/>
  <c r="AG456" i="28"/>
  <c r="AG457" i="28"/>
  <c r="AG458" i="28"/>
  <c r="AG459" i="28"/>
  <c r="AG460" i="28"/>
  <c r="AG461" i="28"/>
  <c r="AG462" i="28"/>
  <c r="AG463" i="28"/>
  <c r="AG464" i="28"/>
  <c r="AG465" i="28"/>
  <c r="AG466" i="28"/>
  <c r="AG467" i="28"/>
  <c r="AG468" i="28"/>
  <c r="AG469" i="28"/>
  <c r="AG470" i="28"/>
  <c r="AG471" i="28"/>
  <c r="AG472" i="28"/>
  <c r="AG473" i="28"/>
  <c r="AG474" i="28"/>
  <c r="AG475" i="28"/>
  <c r="AG476" i="28"/>
  <c r="AG477" i="28"/>
  <c r="AG478" i="28"/>
  <c r="AG479" i="28"/>
  <c r="AG480" i="28"/>
  <c r="AG481" i="28"/>
  <c r="AG482" i="28"/>
  <c r="AG483" i="28"/>
  <c r="AG484" i="28"/>
  <c r="AG485" i="28"/>
  <c r="AG486" i="28"/>
  <c r="AG487" i="28"/>
  <c r="AG488" i="28"/>
  <c r="AG489" i="28"/>
  <c r="AG490" i="28"/>
  <c r="AG3" i="28"/>
  <c r="V2" i="28"/>
  <c r="V3" i="28"/>
  <c r="V4" i="28"/>
  <c r="V5" i="28"/>
  <c r="V6" i="28"/>
  <c r="V7" i="28"/>
  <c r="V8" i="28"/>
  <c r="V9" i="28"/>
  <c r="V10" i="28"/>
  <c r="V11" i="28"/>
  <c r="V12" i="28"/>
  <c r="V13" i="28"/>
  <c r="V14" i="28"/>
  <c r="V15" i="28"/>
  <c r="V16" i="28"/>
  <c r="V17" i="28"/>
  <c r="V18" i="28"/>
  <c r="V19" i="28"/>
  <c r="V20" i="28"/>
  <c r="V21" i="28"/>
  <c r="V22" i="28"/>
  <c r="V23" i="28"/>
  <c r="V24" i="28"/>
  <c r="V25" i="28"/>
  <c r="V26" i="28"/>
  <c r="V27" i="28"/>
  <c r="V28" i="28"/>
  <c r="V29" i="28"/>
  <c r="V30" i="28"/>
  <c r="V31" i="28"/>
  <c r="V32" i="28"/>
  <c r="V33" i="28"/>
  <c r="V34" i="28"/>
  <c r="V35" i="28"/>
  <c r="V36" i="28"/>
  <c r="V37" i="28"/>
  <c r="V38" i="28"/>
  <c r="V39" i="28"/>
  <c r="V40" i="28"/>
  <c r="V41" i="28"/>
  <c r="V42" i="28"/>
  <c r="V43" i="28"/>
  <c r="V44" i="28"/>
  <c r="V45" i="28"/>
  <c r="V46" i="28"/>
  <c r="V47" i="28"/>
  <c r="V48" i="28"/>
  <c r="V49" i="28"/>
  <c r="V50" i="28"/>
  <c r="V51" i="28"/>
  <c r="V52" i="28"/>
  <c r="V53" i="28"/>
  <c r="V54" i="28"/>
  <c r="V55" i="28"/>
  <c r="V56" i="28"/>
  <c r="V57" i="28"/>
  <c r="V58" i="28"/>
  <c r="V59" i="28"/>
  <c r="V60" i="28"/>
  <c r="V61" i="28"/>
  <c r="V62" i="28"/>
  <c r="V63" i="28"/>
  <c r="V64" i="28"/>
  <c r="V65" i="28"/>
  <c r="V66" i="28"/>
  <c r="V67" i="28"/>
  <c r="V68" i="28"/>
  <c r="V69" i="28"/>
  <c r="V70" i="28"/>
  <c r="V71" i="28"/>
  <c r="V72" i="28"/>
  <c r="V73" i="28"/>
  <c r="V74" i="28"/>
  <c r="V75" i="28"/>
  <c r="V76" i="28"/>
  <c r="V77" i="28"/>
  <c r="V78" i="28"/>
  <c r="V79" i="28"/>
  <c r="V80" i="28"/>
  <c r="V81" i="28"/>
  <c r="V82" i="28"/>
  <c r="V83" i="28"/>
  <c r="V84" i="28"/>
  <c r="V85" i="28"/>
  <c r="V86" i="28"/>
  <c r="V87" i="28"/>
  <c r="V88" i="28"/>
  <c r="V89" i="28"/>
  <c r="V90" i="28"/>
  <c r="V91" i="28"/>
  <c r="V92" i="28"/>
  <c r="V93" i="28"/>
  <c r="V94" i="28"/>
  <c r="V95" i="28"/>
  <c r="V96" i="28"/>
  <c r="V97" i="28"/>
  <c r="V98" i="28"/>
  <c r="V99" i="28"/>
  <c r="V100" i="28"/>
  <c r="V101" i="28"/>
  <c r="V102" i="28"/>
  <c r="V103" i="28"/>
  <c r="V104" i="28"/>
  <c r="V105" i="28"/>
  <c r="V106" i="28"/>
  <c r="V107" i="28"/>
  <c r="V108" i="28"/>
  <c r="V109" i="28"/>
  <c r="V110" i="28"/>
  <c r="V111" i="28"/>
  <c r="V112" i="28"/>
  <c r="V113" i="28"/>
  <c r="V114" i="28"/>
  <c r="V115" i="28"/>
  <c r="V116" i="28"/>
  <c r="V117" i="28"/>
  <c r="V118" i="28"/>
  <c r="V119" i="28"/>
  <c r="V120" i="28"/>
  <c r="V121" i="28"/>
  <c r="V122" i="28"/>
  <c r="V123" i="28"/>
  <c r="V124" i="28"/>
  <c r="V125" i="28"/>
  <c r="V126" i="28"/>
  <c r="V127" i="28"/>
  <c r="V128" i="28"/>
  <c r="V129" i="28"/>
  <c r="V130" i="28"/>
  <c r="V131" i="28"/>
  <c r="V132" i="28"/>
  <c r="V133" i="28"/>
  <c r="V134" i="28"/>
  <c r="V135" i="28"/>
  <c r="V136" i="28"/>
  <c r="V137" i="28"/>
  <c r="V138" i="28"/>
  <c r="V139" i="28"/>
  <c r="V140" i="28"/>
  <c r="V141" i="28"/>
  <c r="V142" i="28"/>
  <c r="V143" i="28"/>
  <c r="V144" i="28"/>
  <c r="V145" i="28"/>
  <c r="V146" i="28"/>
  <c r="V147" i="28"/>
  <c r="V148" i="28"/>
  <c r="V149" i="28"/>
  <c r="V150" i="28"/>
  <c r="V151" i="28"/>
  <c r="V152" i="28"/>
  <c r="V153" i="28"/>
  <c r="V154" i="28"/>
  <c r="V155" i="28"/>
  <c r="V156" i="28"/>
  <c r="V157" i="28"/>
  <c r="V158" i="28"/>
  <c r="V159" i="28"/>
  <c r="V160" i="28"/>
  <c r="V161" i="28"/>
  <c r="V162" i="28"/>
  <c r="V163" i="28"/>
  <c r="V164" i="28"/>
  <c r="V165" i="28"/>
  <c r="V166" i="28"/>
  <c r="V167" i="28"/>
  <c r="V168" i="28"/>
  <c r="V169" i="28"/>
  <c r="V170" i="28"/>
  <c r="V171" i="28"/>
  <c r="V172" i="28"/>
  <c r="V173" i="28"/>
  <c r="V174" i="28"/>
  <c r="V175" i="28"/>
  <c r="V176" i="28"/>
  <c r="V177" i="28"/>
  <c r="V178" i="28"/>
  <c r="V179" i="28"/>
  <c r="V180" i="28"/>
  <c r="V181" i="28"/>
  <c r="V182" i="28"/>
  <c r="V183" i="28"/>
  <c r="V184" i="28"/>
  <c r="V185" i="28"/>
  <c r="V186" i="28"/>
  <c r="V187" i="28"/>
  <c r="V188" i="28"/>
  <c r="V189" i="28"/>
  <c r="V190" i="28"/>
  <c r="V191" i="28"/>
  <c r="V192" i="28"/>
  <c r="V193" i="28"/>
  <c r="V194" i="28"/>
  <c r="V195" i="28"/>
  <c r="V196" i="28"/>
  <c r="V197" i="28"/>
  <c r="V198" i="28"/>
  <c r="V199" i="28"/>
  <c r="V200" i="28"/>
  <c r="V201" i="28"/>
  <c r="V202" i="28"/>
  <c r="V203" i="28"/>
  <c r="V204" i="28"/>
  <c r="V205" i="28"/>
  <c r="V206" i="28"/>
  <c r="V207" i="28"/>
  <c r="V208" i="28"/>
  <c r="V209" i="28"/>
  <c r="V210" i="28"/>
  <c r="V211" i="28"/>
  <c r="V212" i="28"/>
  <c r="V213" i="28"/>
  <c r="V214" i="28"/>
  <c r="V215" i="28"/>
  <c r="V216" i="28"/>
  <c r="V217" i="28"/>
  <c r="V218" i="28"/>
  <c r="V219" i="28"/>
  <c r="V220" i="28"/>
  <c r="V221" i="28"/>
  <c r="V222" i="28"/>
  <c r="V223" i="28"/>
  <c r="V224" i="28"/>
  <c r="V225" i="28"/>
  <c r="V226" i="28"/>
  <c r="V227" i="28"/>
  <c r="V228" i="28"/>
  <c r="V229" i="28"/>
  <c r="V230" i="28"/>
  <c r="V231" i="28"/>
  <c r="V232" i="28"/>
  <c r="V233" i="28"/>
  <c r="V234" i="28"/>
  <c r="V235" i="28"/>
  <c r="V236" i="28"/>
  <c r="V237" i="28"/>
  <c r="V238" i="28"/>
  <c r="V239" i="28"/>
  <c r="V240" i="28"/>
  <c r="V241" i="28"/>
  <c r="V242" i="28"/>
  <c r="V243" i="28"/>
  <c r="V244" i="28"/>
  <c r="V245" i="28"/>
  <c r="V246" i="28"/>
  <c r="V247" i="28"/>
  <c r="V248" i="28"/>
  <c r="V249" i="28"/>
  <c r="V250" i="28"/>
  <c r="V251" i="28"/>
  <c r="V252" i="28"/>
  <c r="V253" i="28"/>
  <c r="V254" i="28"/>
  <c r="V255" i="28"/>
  <c r="V256" i="28"/>
  <c r="V257" i="28"/>
  <c r="V258" i="28"/>
  <c r="V259" i="28"/>
  <c r="V260" i="28"/>
  <c r="V261" i="28"/>
  <c r="V262" i="28"/>
  <c r="V263" i="28"/>
  <c r="V264" i="28"/>
  <c r="V265" i="28"/>
  <c r="V266" i="28"/>
  <c r="V267" i="28"/>
  <c r="V268" i="28"/>
  <c r="V269" i="28"/>
  <c r="V270" i="28"/>
  <c r="V271" i="28"/>
  <c r="V272" i="28"/>
  <c r="V273" i="28"/>
  <c r="V274" i="28"/>
  <c r="V275" i="28"/>
  <c r="V276" i="28"/>
  <c r="V277" i="28"/>
  <c r="V278" i="28"/>
  <c r="V279" i="28"/>
  <c r="V280" i="28"/>
  <c r="V281" i="28"/>
  <c r="V282" i="28"/>
  <c r="V283" i="28"/>
  <c r="V284" i="28"/>
  <c r="V285" i="28"/>
  <c r="V286" i="28"/>
  <c r="V287" i="28"/>
  <c r="V288" i="28"/>
  <c r="V289" i="28"/>
  <c r="V290" i="28"/>
  <c r="V291" i="28"/>
  <c r="V292" i="28"/>
  <c r="V293" i="28"/>
  <c r="V294" i="28"/>
  <c r="V295" i="28"/>
  <c r="V296" i="28"/>
  <c r="V297" i="28"/>
  <c r="V298" i="28"/>
  <c r="V299" i="28"/>
  <c r="V300" i="28"/>
  <c r="V301" i="28"/>
  <c r="V302" i="28"/>
  <c r="V303" i="28"/>
  <c r="V304" i="28"/>
  <c r="V305" i="28"/>
  <c r="V306" i="28"/>
  <c r="V307" i="28"/>
  <c r="V308" i="28"/>
  <c r="V309" i="28"/>
  <c r="V310" i="28"/>
  <c r="V311" i="28"/>
  <c r="V312" i="28"/>
  <c r="V313" i="28"/>
  <c r="V314" i="28"/>
  <c r="V315" i="28"/>
  <c r="V316" i="28"/>
  <c r="V317" i="28"/>
  <c r="V318" i="28"/>
  <c r="V319" i="28"/>
  <c r="V320" i="28"/>
  <c r="V321" i="28"/>
  <c r="V322" i="28"/>
  <c r="V323" i="28"/>
  <c r="V324" i="28"/>
  <c r="V325" i="28"/>
  <c r="V326" i="28"/>
  <c r="V327" i="28"/>
  <c r="V328" i="28"/>
  <c r="V329" i="28"/>
  <c r="V330" i="28"/>
  <c r="V331" i="28"/>
  <c r="V332" i="28"/>
  <c r="V333" i="28"/>
  <c r="V334" i="28"/>
  <c r="V335" i="28"/>
  <c r="V336" i="28"/>
  <c r="V337" i="28"/>
  <c r="V338" i="28"/>
  <c r="V339" i="28"/>
  <c r="V340" i="28"/>
  <c r="V341" i="28"/>
  <c r="V342" i="28"/>
  <c r="V343" i="28"/>
  <c r="V344" i="28"/>
  <c r="V345" i="28"/>
  <c r="V346" i="28"/>
  <c r="V347" i="28"/>
  <c r="V348" i="28"/>
  <c r="V349" i="28"/>
  <c r="V350" i="28"/>
  <c r="V351" i="28"/>
  <c r="V352" i="28"/>
  <c r="V353" i="28"/>
  <c r="V354" i="28"/>
  <c r="V355" i="28"/>
  <c r="V356" i="28"/>
  <c r="V357" i="28"/>
  <c r="V358" i="28"/>
  <c r="V359" i="28"/>
  <c r="V360" i="28"/>
  <c r="V361" i="28"/>
  <c r="V362" i="28"/>
  <c r="V363" i="28"/>
  <c r="V364" i="28"/>
  <c r="V365" i="28"/>
  <c r="V366" i="28"/>
  <c r="V367" i="28"/>
  <c r="V368" i="28"/>
  <c r="V369" i="28"/>
  <c r="V370" i="28"/>
  <c r="V371" i="28"/>
  <c r="V372" i="28"/>
  <c r="V373" i="28"/>
  <c r="V374" i="28"/>
  <c r="V375" i="28"/>
  <c r="V376" i="28"/>
  <c r="V377" i="28"/>
  <c r="V378" i="28"/>
  <c r="V379" i="28"/>
  <c r="V380" i="28"/>
  <c r="V381" i="28"/>
  <c r="V382" i="28"/>
  <c r="V383" i="28"/>
  <c r="V384" i="28"/>
  <c r="V385" i="28"/>
  <c r="V386" i="28"/>
  <c r="V387" i="28"/>
  <c r="V388" i="28"/>
  <c r="V389" i="28"/>
  <c r="V390" i="28"/>
  <c r="V391" i="28"/>
  <c r="V392" i="28"/>
  <c r="V393" i="28"/>
  <c r="V394" i="28"/>
  <c r="V395" i="28"/>
  <c r="V396" i="28"/>
  <c r="V397" i="28"/>
  <c r="V398" i="28"/>
  <c r="V399" i="28"/>
  <c r="V400" i="28"/>
  <c r="V401" i="28"/>
  <c r="V402" i="28"/>
  <c r="V403" i="28"/>
  <c r="V404" i="28"/>
  <c r="V405" i="28"/>
  <c r="V406" i="28"/>
  <c r="V407" i="28"/>
  <c r="V408" i="28"/>
  <c r="V409" i="28"/>
  <c r="V410" i="28"/>
  <c r="V411" i="28"/>
  <c r="V412" i="28"/>
  <c r="V413" i="28"/>
  <c r="V414" i="28"/>
  <c r="V415" i="28"/>
  <c r="V416" i="28"/>
  <c r="V417" i="28"/>
  <c r="V418" i="28"/>
  <c r="V419" i="28"/>
  <c r="V420" i="28"/>
  <c r="V421" i="28"/>
  <c r="V422" i="28"/>
  <c r="V423" i="28"/>
  <c r="V424" i="28"/>
  <c r="V425" i="28"/>
  <c r="V426" i="28"/>
  <c r="V427" i="28"/>
  <c r="V428" i="28"/>
  <c r="V429" i="28"/>
  <c r="V430" i="28"/>
  <c r="V431" i="28"/>
  <c r="V432" i="28"/>
  <c r="V433" i="28"/>
  <c r="V434" i="28"/>
  <c r="V435" i="28"/>
  <c r="V436" i="28"/>
  <c r="V437" i="28"/>
  <c r="V438" i="28"/>
  <c r="V439" i="28"/>
  <c r="V440" i="28"/>
  <c r="V441" i="28"/>
  <c r="V442" i="28"/>
  <c r="V443" i="28"/>
  <c r="V444" i="28"/>
  <c r="V445" i="28"/>
  <c r="V446" i="28"/>
  <c r="V447" i="28"/>
  <c r="V448" i="28"/>
  <c r="V449" i="28"/>
  <c r="V450" i="28"/>
  <c r="V451" i="28"/>
  <c r="V452" i="28"/>
  <c r="V453" i="28"/>
  <c r="V454" i="28"/>
  <c r="V455" i="28"/>
  <c r="V456" i="28"/>
  <c r="V457" i="28"/>
  <c r="V458" i="28"/>
  <c r="V459" i="28"/>
  <c r="V460" i="28"/>
  <c r="V461" i="28"/>
  <c r="V462" i="28"/>
  <c r="V463" i="28"/>
  <c r="V464" i="28"/>
  <c r="V465" i="28"/>
  <c r="V466" i="28"/>
  <c r="V467" i="28"/>
  <c r="V468" i="28"/>
  <c r="V469" i="28"/>
  <c r="V470" i="28"/>
  <c r="V471" i="28"/>
  <c r="V472" i="28"/>
  <c r="V473" i="28"/>
  <c r="V474" i="28"/>
  <c r="V475" i="28"/>
  <c r="V476" i="28"/>
  <c r="V477" i="28"/>
  <c r="V478" i="28"/>
  <c r="V479" i="28"/>
  <c r="V480" i="28"/>
  <c r="V481" i="28"/>
  <c r="V482" i="28"/>
  <c r="V483" i="28"/>
  <c r="V484" i="28"/>
  <c r="V485" i="28"/>
  <c r="V486" i="28"/>
  <c r="V487" i="28"/>
  <c r="V488" i="28"/>
  <c r="V489" i="28"/>
  <c r="V490" i="28"/>
  <c r="V491" i="28"/>
  <c r="AR401" i="28"/>
  <c r="AV401" i="28"/>
  <c r="AW401" i="28"/>
  <c r="AX401" i="28"/>
  <c r="AY401" i="28"/>
  <c r="AZ401" i="28"/>
  <c r="BE401" i="28" s="1"/>
  <c r="BA401" i="28"/>
  <c r="BB401" i="28"/>
  <c r="BC401" i="28"/>
  <c r="BD401" i="28"/>
  <c r="BF401" i="28"/>
  <c r="BG401" i="28"/>
  <c r="BH401" i="28"/>
  <c r="AR402" i="28"/>
  <c r="AV402" i="28"/>
  <c r="AW402" i="28"/>
  <c r="AX402" i="28"/>
  <c r="AY402" i="28"/>
  <c r="AZ402" i="28"/>
  <c r="BE402" i="28" s="1"/>
  <c r="BA402" i="28"/>
  <c r="BB402" i="28"/>
  <c r="BC402" i="28"/>
  <c r="BD402" i="28"/>
  <c r="BF402" i="28"/>
  <c r="BG402" i="28"/>
  <c r="BH402" i="28"/>
  <c r="AR403" i="28"/>
  <c r="AU403" i="28"/>
  <c r="AV403" i="28"/>
  <c r="AW403" i="28"/>
  <c r="AX403" i="28"/>
  <c r="AY403" i="28"/>
  <c r="AZ403" i="28"/>
  <c r="BE403" i="28" s="1"/>
  <c r="BA403" i="28"/>
  <c r="BB403" i="28"/>
  <c r="BC403" i="28"/>
  <c r="BD403" i="28"/>
  <c r="BF403" i="28"/>
  <c r="BG403" i="28"/>
  <c r="BH403" i="28"/>
  <c r="AR404" i="28"/>
  <c r="AV404" i="28"/>
  <c r="AW404" i="28"/>
  <c r="AX404" i="28"/>
  <c r="AY404" i="28"/>
  <c r="AZ404" i="28"/>
  <c r="BE404" i="28" s="1"/>
  <c r="BA404" i="28"/>
  <c r="BB404" i="28"/>
  <c r="BC404" i="28"/>
  <c r="BD404" i="28"/>
  <c r="BF404" i="28"/>
  <c r="BG404" i="28"/>
  <c r="BH404" i="28"/>
  <c r="AR405" i="28"/>
  <c r="AU405" i="28"/>
  <c r="AV405" i="28"/>
  <c r="AW405" i="28"/>
  <c r="AX405" i="28"/>
  <c r="AY405" i="28"/>
  <c r="AZ405" i="28"/>
  <c r="BE405" i="28" s="1"/>
  <c r="BA405" i="28"/>
  <c r="BB405" i="28"/>
  <c r="BC405" i="28"/>
  <c r="BD405" i="28"/>
  <c r="BF405" i="28"/>
  <c r="BG405" i="28"/>
  <c r="BH405" i="28"/>
  <c r="AR406" i="28"/>
  <c r="AV406" i="28"/>
  <c r="AW406" i="28"/>
  <c r="AX406" i="28"/>
  <c r="AY406" i="28"/>
  <c r="AZ406" i="28"/>
  <c r="BE406" i="28" s="1"/>
  <c r="BA406" i="28"/>
  <c r="BB406" i="28"/>
  <c r="BC406" i="28"/>
  <c r="BD406" i="28"/>
  <c r="BF406" i="28"/>
  <c r="BG406" i="28"/>
  <c r="BH406" i="28"/>
  <c r="AR407" i="28"/>
  <c r="AT407" i="28"/>
  <c r="AV407" i="28"/>
  <c r="AW407" i="28"/>
  <c r="AX407" i="28"/>
  <c r="AY407" i="28"/>
  <c r="AZ407" i="28"/>
  <c r="BE407" i="28" s="1"/>
  <c r="BA407" i="28"/>
  <c r="BB407" i="28"/>
  <c r="BC407" i="28"/>
  <c r="BD407" i="28"/>
  <c r="BF407" i="28"/>
  <c r="BG407" i="28"/>
  <c r="BH407" i="28"/>
  <c r="AR408" i="28"/>
  <c r="AV408" i="28"/>
  <c r="AW408" i="28"/>
  <c r="AX408" i="28"/>
  <c r="AY408" i="28"/>
  <c r="AZ408" i="28"/>
  <c r="BE408" i="28" s="1"/>
  <c r="BA408" i="28"/>
  <c r="BB408" i="28"/>
  <c r="BC408" i="28"/>
  <c r="BD408" i="28"/>
  <c r="BF408" i="28"/>
  <c r="BG408" i="28"/>
  <c r="BH408" i="28"/>
  <c r="AR409" i="28"/>
  <c r="AV409" i="28"/>
  <c r="AW409" i="28"/>
  <c r="AX409" i="28"/>
  <c r="AY409" i="28"/>
  <c r="AZ409" i="28"/>
  <c r="BE409" i="28" s="1"/>
  <c r="BA409" i="28"/>
  <c r="BB409" i="28"/>
  <c r="BC409" i="28"/>
  <c r="BD409" i="28"/>
  <c r="BF409" i="28"/>
  <c r="BG409" i="28"/>
  <c r="BH409" i="28"/>
  <c r="AR410" i="28"/>
  <c r="AU410" i="28" s="1"/>
  <c r="AV410" i="28"/>
  <c r="AW410" i="28"/>
  <c r="AX410" i="28"/>
  <c r="AY410" i="28"/>
  <c r="AZ410" i="28"/>
  <c r="BE410" i="28" s="1"/>
  <c r="BA410" i="28"/>
  <c r="BB410" i="28"/>
  <c r="BC410" i="28"/>
  <c r="BD410" i="28"/>
  <c r="BF410" i="28"/>
  <c r="BG410" i="28"/>
  <c r="BH410" i="28"/>
  <c r="AR411" i="28"/>
  <c r="AT411" i="28" s="1"/>
  <c r="AV411" i="28"/>
  <c r="AW411" i="28"/>
  <c r="AX411" i="28"/>
  <c r="AY411" i="28"/>
  <c r="AZ411" i="28"/>
  <c r="BE411" i="28" s="1"/>
  <c r="BA411" i="28"/>
  <c r="BB411" i="28"/>
  <c r="BC411" i="28"/>
  <c r="BD411" i="28"/>
  <c r="BF411" i="28"/>
  <c r="BG411" i="28"/>
  <c r="BH411" i="28"/>
  <c r="AR412" i="28"/>
  <c r="AV412" i="28"/>
  <c r="AW412" i="28"/>
  <c r="AX412" i="28"/>
  <c r="AY412" i="28"/>
  <c r="AZ412" i="28"/>
  <c r="BE412" i="28" s="1"/>
  <c r="BA412" i="28"/>
  <c r="BB412" i="28"/>
  <c r="BC412" i="28"/>
  <c r="BD412" i="28"/>
  <c r="BF412" i="28"/>
  <c r="BG412" i="28"/>
  <c r="BH412" i="28"/>
  <c r="AR413" i="28"/>
  <c r="AS413" i="28"/>
  <c r="AV413" i="28"/>
  <c r="AW413" i="28"/>
  <c r="AX413" i="28"/>
  <c r="AY413" i="28"/>
  <c r="AZ413" i="28"/>
  <c r="BE413" i="28" s="1"/>
  <c r="BA413" i="28"/>
  <c r="BB413" i="28"/>
  <c r="BC413" i="28"/>
  <c r="BD413" i="28"/>
  <c r="BF413" i="28"/>
  <c r="BG413" i="28"/>
  <c r="BH413" i="28"/>
  <c r="AR414" i="28"/>
  <c r="AS414" i="28" s="1"/>
  <c r="AV414" i="28"/>
  <c r="AW414" i="28"/>
  <c r="AX414" i="28"/>
  <c r="AY414" i="28"/>
  <c r="AZ414" i="28"/>
  <c r="BE414" i="28" s="1"/>
  <c r="BA414" i="28"/>
  <c r="BB414" i="28"/>
  <c r="BC414" i="28"/>
  <c r="BD414" i="28"/>
  <c r="BF414" i="28"/>
  <c r="BG414" i="28"/>
  <c r="BH414" i="28"/>
  <c r="AR415" i="28"/>
  <c r="AT415" i="28" s="1"/>
  <c r="AV415" i="28"/>
  <c r="AW415" i="28"/>
  <c r="AX415" i="28"/>
  <c r="AY415" i="28"/>
  <c r="AZ415" i="28"/>
  <c r="BE415" i="28" s="1"/>
  <c r="BA415" i="28"/>
  <c r="BB415" i="28"/>
  <c r="BC415" i="28"/>
  <c r="BD415" i="28"/>
  <c r="BF415" i="28"/>
  <c r="BG415" i="28"/>
  <c r="BH415" i="28"/>
  <c r="AR416" i="28"/>
  <c r="AU416" i="28" s="1"/>
  <c r="AV416" i="28"/>
  <c r="AW416" i="28"/>
  <c r="AX416" i="28"/>
  <c r="AY416" i="28"/>
  <c r="AZ416" i="28"/>
  <c r="BE416" i="28" s="1"/>
  <c r="BA416" i="28"/>
  <c r="BB416" i="28"/>
  <c r="BC416" i="28"/>
  <c r="BD416" i="28"/>
  <c r="BF416" i="28"/>
  <c r="BG416" i="28"/>
  <c r="BH416" i="28"/>
  <c r="AR417" i="28"/>
  <c r="AU417" i="28" s="1"/>
  <c r="AV417" i="28"/>
  <c r="AW417" i="28"/>
  <c r="AX417" i="28"/>
  <c r="AY417" i="28"/>
  <c r="AZ417" i="28"/>
  <c r="BE417" i="28" s="1"/>
  <c r="BA417" i="28"/>
  <c r="BB417" i="28"/>
  <c r="BC417" i="28"/>
  <c r="BD417" i="28"/>
  <c r="BF417" i="28"/>
  <c r="BG417" i="28"/>
  <c r="BH417" i="28"/>
  <c r="AR418" i="28"/>
  <c r="AV418" i="28"/>
  <c r="AW418" i="28"/>
  <c r="AX418" i="28"/>
  <c r="AY418" i="28"/>
  <c r="AZ418" i="28"/>
  <c r="BE418" i="28" s="1"/>
  <c r="BA418" i="28"/>
  <c r="BB418" i="28"/>
  <c r="BC418" i="28"/>
  <c r="BD418" i="28"/>
  <c r="BF418" i="28"/>
  <c r="BG418" i="28"/>
  <c r="BH418" i="28"/>
  <c r="AR419" i="28"/>
  <c r="AV419" i="28"/>
  <c r="AW419" i="28"/>
  <c r="AX419" i="28"/>
  <c r="AY419" i="28"/>
  <c r="AZ419" i="28"/>
  <c r="BE419" i="28" s="1"/>
  <c r="BA419" i="28"/>
  <c r="BB419" i="28"/>
  <c r="BC419" i="28"/>
  <c r="BD419" i="28"/>
  <c r="BF419" i="28"/>
  <c r="BG419" i="28"/>
  <c r="BH419" i="28"/>
  <c r="AR420" i="28"/>
  <c r="AT420" i="28" s="1"/>
  <c r="AV420" i="28"/>
  <c r="AW420" i="28"/>
  <c r="AX420" i="28"/>
  <c r="AY420" i="28"/>
  <c r="AZ420" i="28"/>
  <c r="BE420" i="28" s="1"/>
  <c r="BA420" i="28"/>
  <c r="BB420" i="28"/>
  <c r="BC420" i="28"/>
  <c r="BD420" i="28"/>
  <c r="BF420" i="28"/>
  <c r="BG420" i="28"/>
  <c r="BH420" i="28"/>
  <c r="AR421" i="28"/>
  <c r="AS421" i="28" s="1"/>
  <c r="AV421" i="28"/>
  <c r="AW421" i="28"/>
  <c r="AX421" i="28"/>
  <c r="AY421" i="28"/>
  <c r="AZ421" i="28"/>
  <c r="BE421" i="28" s="1"/>
  <c r="BA421" i="28"/>
  <c r="BB421" i="28"/>
  <c r="BC421" i="28"/>
  <c r="BD421" i="28"/>
  <c r="BF421" i="28"/>
  <c r="BG421" i="28"/>
  <c r="BH421" i="28"/>
  <c r="AR422" i="28"/>
  <c r="AT422" i="28" s="1"/>
  <c r="AV422" i="28"/>
  <c r="AW422" i="28"/>
  <c r="AX422" i="28"/>
  <c r="AY422" i="28"/>
  <c r="AZ422" i="28"/>
  <c r="BE422" i="28" s="1"/>
  <c r="BA422" i="28"/>
  <c r="BB422" i="28"/>
  <c r="BC422" i="28"/>
  <c r="BD422" i="28"/>
  <c r="BF422" i="28"/>
  <c r="BG422" i="28"/>
  <c r="BH422" i="28"/>
  <c r="AR423" i="28"/>
  <c r="AS423" i="28" s="1"/>
  <c r="AV423" i="28"/>
  <c r="AW423" i="28"/>
  <c r="AX423" i="28"/>
  <c r="AY423" i="28"/>
  <c r="AZ423" i="28"/>
  <c r="BE423" i="28" s="1"/>
  <c r="BA423" i="28"/>
  <c r="BB423" i="28"/>
  <c r="BC423" i="28"/>
  <c r="BD423" i="28"/>
  <c r="BF423" i="28"/>
  <c r="BG423" i="28"/>
  <c r="BH423" i="28"/>
  <c r="AR424" i="28"/>
  <c r="AT424" i="28" s="1"/>
  <c r="AV424" i="28"/>
  <c r="AW424" i="28"/>
  <c r="AX424" i="28"/>
  <c r="AY424" i="28"/>
  <c r="AZ424" i="28"/>
  <c r="BE424" i="28" s="1"/>
  <c r="BA424" i="28"/>
  <c r="BB424" i="28"/>
  <c r="BC424" i="28"/>
  <c r="BD424" i="28"/>
  <c r="BF424" i="28"/>
  <c r="BG424" i="28"/>
  <c r="BH424" i="28"/>
  <c r="AR425" i="28"/>
  <c r="AS425" i="28" s="1"/>
  <c r="AV425" i="28"/>
  <c r="AW425" i="28"/>
  <c r="AX425" i="28"/>
  <c r="AY425" i="28"/>
  <c r="AZ425" i="28"/>
  <c r="BE425" i="28" s="1"/>
  <c r="BA425" i="28"/>
  <c r="BB425" i="28"/>
  <c r="BC425" i="28"/>
  <c r="BD425" i="28"/>
  <c r="BF425" i="28"/>
  <c r="BG425" i="28"/>
  <c r="BH425" i="28"/>
  <c r="AR426" i="28"/>
  <c r="AV426" i="28"/>
  <c r="AW426" i="28"/>
  <c r="AX426" i="28"/>
  <c r="AY426" i="28"/>
  <c r="AZ426" i="28"/>
  <c r="BE426" i="28" s="1"/>
  <c r="BA426" i="28"/>
  <c r="BB426" i="28"/>
  <c r="BC426" i="28"/>
  <c r="BD426" i="28"/>
  <c r="BF426" i="28"/>
  <c r="BG426" i="28"/>
  <c r="BH426" i="28"/>
  <c r="AR427" i="28"/>
  <c r="AV427" i="28"/>
  <c r="AW427" i="28"/>
  <c r="AX427" i="28"/>
  <c r="AY427" i="28"/>
  <c r="AZ427" i="28"/>
  <c r="BE427" i="28" s="1"/>
  <c r="BA427" i="28"/>
  <c r="BB427" i="28"/>
  <c r="BC427" i="28"/>
  <c r="BD427" i="28"/>
  <c r="BF427" i="28"/>
  <c r="BG427" i="28"/>
  <c r="BH427" i="28"/>
  <c r="AR428" i="28"/>
  <c r="AS428" i="28" s="1"/>
  <c r="AV428" i="28"/>
  <c r="AW428" i="28"/>
  <c r="AX428" i="28"/>
  <c r="AY428" i="28"/>
  <c r="AZ428" i="28"/>
  <c r="BE428" i="28" s="1"/>
  <c r="BA428" i="28"/>
  <c r="BB428" i="28"/>
  <c r="BC428" i="28"/>
  <c r="BD428" i="28"/>
  <c r="BF428" i="28"/>
  <c r="BG428" i="28"/>
  <c r="BH428" i="28"/>
  <c r="AR429" i="28"/>
  <c r="AV429" i="28"/>
  <c r="AW429" i="28"/>
  <c r="AX429" i="28"/>
  <c r="AY429" i="28"/>
  <c r="AZ429" i="28"/>
  <c r="BE429" i="28" s="1"/>
  <c r="BA429" i="28"/>
  <c r="BB429" i="28"/>
  <c r="BC429" i="28"/>
  <c r="BD429" i="28"/>
  <c r="BF429" i="28"/>
  <c r="BG429" i="28"/>
  <c r="BH429" i="28"/>
  <c r="AR430" i="28"/>
  <c r="AS430" i="28" s="1"/>
  <c r="AV430" i="28"/>
  <c r="AW430" i="28"/>
  <c r="AX430" i="28"/>
  <c r="AY430" i="28"/>
  <c r="AZ430" i="28"/>
  <c r="BE430" i="28" s="1"/>
  <c r="BA430" i="28"/>
  <c r="BB430" i="28"/>
  <c r="BC430" i="28"/>
  <c r="BD430" i="28"/>
  <c r="BF430" i="28"/>
  <c r="BG430" i="28"/>
  <c r="BH430" i="28"/>
  <c r="AR431" i="28"/>
  <c r="AV431" i="28"/>
  <c r="AW431" i="28"/>
  <c r="AX431" i="28"/>
  <c r="AY431" i="28"/>
  <c r="AZ431" i="28"/>
  <c r="BE431" i="28" s="1"/>
  <c r="BA431" i="28"/>
  <c r="BB431" i="28"/>
  <c r="BC431" i="28"/>
  <c r="BD431" i="28"/>
  <c r="BF431" i="28"/>
  <c r="BG431" i="28"/>
  <c r="BH431" i="28"/>
  <c r="AR432" i="28"/>
  <c r="AV432" i="28"/>
  <c r="AW432" i="28"/>
  <c r="AX432" i="28"/>
  <c r="AY432" i="28"/>
  <c r="AZ432" i="28"/>
  <c r="BE432" i="28" s="1"/>
  <c r="BA432" i="28"/>
  <c r="BB432" i="28"/>
  <c r="BC432" i="28"/>
  <c r="BD432" i="28"/>
  <c r="BF432" i="28"/>
  <c r="BG432" i="28"/>
  <c r="BH432" i="28"/>
  <c r="AR433" i="28"/>
  <c r="AS433" i="28" s="1"/>
  <c r="AV433" i="28"/>
  <c r="AW433" i="28"/>
  <c r="AX433" i="28"/>
  <c r="AY433" i="28"/>
  <c r="AZ433" i="28"/>
  <c r="BE433" i="28" s="1"/>
  <c r="BA433" i="28"/>
  <c r="BB433" i="28"/>
  <c r="BC433" i="28"/>
  <c r="BD433" i="28"/>
  <c r="BF433" i="28"/>
  <c r="BG433" i="28"/>
  <c r="BH433" i="28"/>
  <c r="AR434" i="28"/>
  <c r="AT434" i="28" s="1"/>
  <c r="AV434" i="28"/>
  <c r="AW434" i="28"/>
  <c r="AX434" i="28"/>
  <c r="AY434" i="28"/>
  <c r="AZ434" i="28"/>
  <c r="BE434" i="28" s="1"/>
  <c r="BA434" i="28"/>
  <c r="BB434" i="28"/>
  <c r="BC434" i="28"/>
  <c r="BD434" i="28"/>
  <c r="BF434" i="28"/>
  <c r="BG434" i="28"/>
  <c r="BH434" i="28"/>
  <c r="AR435" i="28"/>
  <c r="AS435" i="28" s="1"/>
  <c r="AV435" i="28"/>
  <c r="AW435" i="28"/>
  <c r="AX435" i="28"/>
  <c r="AY435" i="28"/>
  <c r="AZ435" i="28"/>
  <c r="BE435" i="28" s="1"/>
  <c r="BA435" i="28"/>
  <c r="BB435" i="28"/>
  <c r="BC435" i="28"/>
  <c r="BD435" i="28"/>
  <c r="BF435" i="28"/>
  <c r="BG435" i="28"/>
  <c r="BH435" i="28"/>
  <c r="AR436" i="28"/>
  <c r="AV436" i="28"/>
  <c r="AW436" i="28"/>
  <c r="AX436" i="28"/>
  <c r="AY436" i="28"/>
  <c r="AZ436" i="28"/>
  <c r="BE436" i="28" s="1"/>
  <c r="BA436" i="28"/>
  <c r="BB436" i="28"/>
  <c r="BC436" i="28"/>
  <c r="BD436" i="28"/>
  <c r="BF436" i="28"/>
  <c r="BG436" i="28"/>
  <c r="BH436" i="28"/>
  <c r="AR437" i="28"/>
  <c r="AT437" i="28" s="1"/>
  <c r="AV437" i="28"/>
  <c r="AW437" i="28"/>
  <c r="AX437" i="28"/>
  <c r="AY437" i="28"/>
  <c r="AZ437" i="28"/>
  <c r="BE437" i="28" s="1"/>
  <c r="BA437" i="28"/>
  <c r="BB437" i="28"/>
  <c r="BC437" i="28"/>
  <c r="BD437" i="28"/>
  <c r="BF437" i="28"/>
  <c r="BG437" i="28"/>
  <c r="BH437" i="28"/>
  <c r="AR438" i="28"/>
  <c r="AU438" i="28" s="1"/>
  <c r="AV438" i="28"/>
  <c r="AW438" i="28"/>
  <c r="AX438" i="28"/>
  <c r="AY438" i="28"/>
  <c r="AZ438" i="28"/>
  <c r="BE438" i="28" s="1"/>
  <c r="BA438" i="28"/>
  <c r="BB438" i="28"/>
  <c r="BC438" i="28"/>
  <c r="BD438" i="28"/>
  <c r="BF438" i="28"/>
  <c r="BG438" i="28"/>
  <c r="BH438" i="28"/>
  <c r="AR439" i="28"/>
  <c r="AU439" i="28" s="1"/>
  <c r="AV439" i="28"/>
  <c r="AW439" i="28"/>
  <c r="AX439" i="28"/>
  <c r="AY439" i="28"/>
  <c r="AZ439" i="28"/>
  <c r="BE439" i="28" s="1"/>
  <c r="BA439" i="28"/>
  <c r="BB439" i="28"/>
  <c r="BC439" i="28"/>
  <c r="BD439" i="28"/>
  <c r="BF439" i="28"/>
  <c r="BG439" i="28"/>
  <c r="BH439" i="28"/>
  <c r="AR440" i="28"/>
  <c r="AV440" i="28"/>
  <c r="AW440" i="28"/>
  <c r="AX440" i="28"/>
  <c r="AY440" i="28"/>
  <c r="AZ440" i="28"/>
  <c r="BE440" i="28" s="1"/>
  <c r="BA440" i="28"/>
  <c r="BB440" i="28"/>
  <c r="BC440" i="28"/>
  <c r="BD440" i="28"/>
  <c r="BF440" i="28"/>
  <c r="BG440" i="28"/>
  <c r="BH440" i="28"/>
  <c r="AR441" i="28"/>
  <c r="AV441" i="28"/>
  <c r="AW441" i="28"/>
  <c r="AX441" i="28"/>
  <c r="AY441" i="28"/>
  <c r="AZ441" i="28"/>
  <c r="BE441" i="28" s="1"/>
  <c r="BA441" i="28"/>
  <c r="BB441" i="28"/>
  <c r="BC441" i="28"/>
  <c r="BD441" i="28"/>
  <c r="BF441" i="28"/>
  <c r="BG441" i="28"/>
  <c r="BH441" i="28"/>
  <c r="AR442" i="28"/>
  <c r="AU442" i="28" s="1"/>
  <c r="AV442" i="28"/>
  <c r="AW442" i="28"/>
  <c r="AX442" i="28"/>
  <c r="AY442" i="28"/>
  <c r="AZ442" i="28"/>
  <c r="BE442" i="28" s="1"/>
  <c r="BA442" i="28"/>
  <c r="BB442" i="28"/>
  <c r="BC442" i="28"/>
  <c r="BD442" i="28"/>
  <c r="BF442" i="28"/>
  <c r="BG442" i="28"/>
  <c r="BH442" i="28"/>
  <c r="AR443" i="28"/>
  <c r="AV443" i="28"/>
  <c r="AW443" i="28"/>
  <c r="AX443" i="28"/>
  <c r="AY443" i="28"/>
  <c r="AZ443" i="28"/>
  <c r="BE443" i="28" s="1"/>
  <c r="BA443" i="28"/>
  <c r="BB443" i="28"/>
  <c r="BC443" i="28"/>
  <c r="BD443" i="28"/>
  <c r="BF443" i="28"/>
  <c r="BG443" i="28"/>
  <c r="BH443" i="28"/>
  <c r="AR444" i="28"/>
  <c r="AU444" i="28" s="1"/>
  <c r="AV444" i="28"/>
  <c r="AW444" i="28"/>
  <c r="AX444" i="28"/>
  <c r="AY444" i="28"/>
  <c r="AZ444" i="28"/>
  <c r="BE444" i="28" s="1"/>
  <c r="BA444" i="28"/>
  <c r="BB444" i="28"/>
  <c r="BC444" i="28"/>
  <c r="BD444" i="28"/>
  <c r="BF444" i="28"/>
  <c r="BG444" i="28"/>
  <c r="BH444" i="28"/>
  <c r="AR445" i="28"/>
  <c r="AV445" i="28"/>
  <c r="AW445" i="28"/>
  <c r="AX445" i="28"/>
  <c r="AY445" i="28"/>
  <c r="AZ445" i="28"/>
  <c r="BE445" i="28" s="1"/>
  <c r="BA445" i="28"/>
  <c r="BB445" i="28"/>
  <c r="BC445" i="28"/>
  <c r="BD445" i="28"/>
  <c r="BF445" i="28"/>
  <c r="BG445" i="28"/>
  <c r="BH445" i="28"/>
  <c r="AR446" i="28"/>
  <c r="AU446" i="28" s="1"/>
  <c r="AV446" i="28"/>
  <c r="AW446" i="28"/>
  <c r="AX446" i="28"/>
  <c r="AY446" i="28"/>
  <c r="AZ446" i="28"/>
  <c r="BE446" i="28" s="1"/>
  <c r="BA446" i="28"/>
  <c r="BB446" i="28"/>
  <c r="BC446" i="28"/>
  <c r="BD446" i="28"/>
  <c r="BF446" i="28"/>
  <c r="BG446" i="28"/>
  <c r="BH446" i="28"/>
  <c r="AR447" i="28"/>
  <c r="AV447" i="28"/>
  <c r="AW447" i="28"/>
  <c r="AX447" i="28"/>
  <c r="AY447" i="28"/>
  <c r="AZ447" i="28"/>
  <c r="BE447" i="28" s="1"/>
  <c r="BA447" i="28"/>
  <c r="BB447" i="28"/>
  <c r="BC447" i="28"/>
  <c r="BD447" i="28"/>
  <c r="BF447" i="28"/>
  <c r="BG447" i="28"/>
  <c r="BH447" i="28"/>
  <c r="AR448" i="28"/>
  <c r="AU448" i="28" s="1"/>
  <c r="AV448" i="28"/>
  <c r="AW448" i="28"/>
  <c r="AX448" i="28"/>
  <c r="AY448" i="28"/>
  <c r="AZ448" i="28"/>
  <c r="BE448" i="28" s="1"/>
  <c r="BA448" i="28"/>
  <c r="BB448" i="28"/>
  <c r="BC448" i="28"/>
  <c r="BD448" i="28"/>
  <c r="BF448" i="28"/>
  <c r="BG448" i="28"/>
  <c r="BH448" i="28"/>
  <c r="AR449" i="28"/>
  <c r="AV449" i="28"/>
  <c r="AW449" i="28"/>
  <c r="AX449" i="28"/>
  <c r="AY449" i="28"/>
  <c r="AZ449" i="28"/>
  <c r="BE449" i="28" s="1"/>
  <c r="BA449" i="28"/>
  <c r="BB449" i="28"/>
  <c r="BC449" i="28"/>
  <c r="BD449" i="28"/>
  <c r="BF449" i="28"/>
  <c r="BG449" i="28"/>
  <c r="BH449" i="28"/>
  <c r="AR450" i="28"/>
  <c r="AV450" i="28"/>
  <c r="AW450" i="28"/>
  <c r="AX450" i="28"/>
  <c r="AY450" i="28"/>
  <c r="AZ450" i="28"/>
  <c r="BE450" i="28" s="1"/>
  <c r="BA450" i="28"/>
  <c r="BB450" i="28"/>
  <c r="BC450" i="28"/>
  <c r="BD450" i="28"/>
  <c r="BF450" i="28"/>
  <c r="BG450" i="28"/>
  <c r="BH450" i="28"/>
  <c r="AR451" i="28"/>
  <c r="AV451" i="28"/>
  <c r="AW451" i="28"/>
  <c r="AX451" i="28"/>
  <c r="AY451" i="28"/>
  <c r="AZ451" i="28"/>
  <c r="BE451" i="28" s="1"/>
  <c r="BA451" i="28"/>
  <c r="BB451" i="28"/>
  <c r="BC451" i="28"/>
  <c r="BD451" i="28"/>
  <c r="BF451" i="28"/>
  <c r="BG451" i="28"/>
  <c r="BH451" i="28"/>
  <c r="AR452" i="28"/>
  <c r="AU452" i="28" s="1"/>
  <c r="AV452" i="28"/>
  <c r="AW452" i="28"/>
  <c r="AX452" i="28"/>
  <c r="AY452" i="28"/>
  <c r="AZ452" i="28"/>
  <c r="BE452" i="28" s="1"/>
  <c r="BA452" i="28"/>
  <c r="BB452" i="28"/>
  <c r="BC452" i="28"/>
  <c r="BD452" i="28"/>
  <c r="BF452" i="28"/>
  <c r="BG452" i="28"/>
  <c r="BH452" i="28"/>
  <c r="AR453" i="28"/>
  <c r="AU453" i="28" s="1"/>
  <c r="AV453" i="28"/>
  <c r="AW453" i="28"/>
  <c r="AX453" i="28"/>
  <c r="AY453" i="28"/>
  <c r="AZ453" i="28"/>
  <c r="BE453" i="28" s="1"/>
  <c r="BA453" i="28"/>
  <c r="BB453" i="28"/>
  <c r="BC453" i="28"/>
  <c r="BD453" i="28"/>
  <c r="BF453" i="28"/>
  <c r="BG453" i="28"/>
  <c r="BH453" i="28"/>
  <c r="AR454" i="28"/>
  <c r="AV454" i="28"/>
  <c r="AW454" i="28"/>
  <c r="AX454" i="28"/>
  <c r="AY454" i="28"/>
  <c r="AZ454" i="28"/>
  <c r="BE454" i="28" s="1"/>
  <c r="BA454" i="28"/>
  <c r="BB454" i="28"/>
  <c r="BC454" i="28"/>
  <c r="BD454" i="28"/>
  <c r="BF454" i="28"/>
  <c r="BG454" i="28"/>
  <c r="BH454" i="28"/>
  <c r="AR455" i="28"/>
  <c r="AU455" i="28" s="1"/>
  <c r="AV455" i="28"/>
  <c r="AW455" i="28"/>
  <c r="AX455" i="28"/>
  <c r="AY455" i="28"/>
  <c r="AZ455" i="28"/>
  <c r="BE455" i="28" s="1"/>
  <c r="BA455" i="28"/>
  <c r="BB455" i="28"/>
  <c r="BC455" i="28"/>
  <c r="BD455" i="28"/>
  <c r="BF455" i="28"/>
  <c r="BG455" i="28"/>
  <c r="BH455" i="28"/>
  <c r="AR456" i="28"/>
  <c r="AV456" i="28"/>
  <c r="AW456" i="28"/>
  <c r="AX456" i="28"/>
  <c r="AY456" i="28"/>
  <c r="AZ456" i="28"/>
  <c r="BE456" i="28" s="1"/>
  <c r="BA456" i="28"/>
  <c r="BB456" i="28"/>
  <c r="BC456" i="28"/>
  <c r="BD456" i="28"/>
  <c r="BF456" i="28"/>
  <c r="BG456" i="28"/>
  <c r="BH456" i="28"/>
  <c r="AR457" i="28"/>
  <c r="AV457" i="28"/>
  <c r="AW457" i="28"/>
  <c r="AX457" i="28"/>
  <c r="AY457" i="28"/>
  <c r="AZ457" i="28"/>
  <c r="BE457" i="28" s="1"/>
  <c r="BA457" i="28"/>
  <c r="BB457" i="28"/>
  <c r="BC457" i="28"/>
  <c r="BD457" i="28"/>
  <c r="BF457" i="28"/>
  <c r="BG457" i="28"/>
  <c r="BH457" i="28"/>
  <c r="AR458" i="28"/>
  <c r="AU458" i="28" s="1"/>
  <c r="AV458" i="28"/>
  <c r="AW458" i="28"/>
  <c r="AX458" i="28"/>
  <c r="AY458" i="28"/>
  <c r="AZ458" i="28"/>
  <c r="BE458" i="28" s="1"/>
  <c r="BA458" i="28"/>
  <c r="BB458" i="28"/>
  <c r="BC458" i="28"/>
  <c r="BD458" i="28"/>
  <c r="BF458" i="28"/>
  <c r="BG458" i="28"/>
  <c r="BH458" i="28"/>
  <c r="AR459" i="28"/>
  <c r="AV459" i="28"/>
  <c r="AW459" i="28"/>
  <c r="AX459" i="28"/>
  <c r="AY459" i="28"/>
  <c r="AZ459" i="28"/>
  <c r="BE459" i="28" s="1"/>
  <c r="BA459" i="28"/>
  <c r="BB459" i="28"/>
  <c r="BC459" i="28"/>
  <c r="BD459" i="28"/>
  <c r="BF459" i="28"/>
  <c r="BG459" i="28"/>
  <c r="BH459" i="28"/>
  <c r="AR460" i="28"/>
  <c r="AV460" i="28"/>
  <c r="AW460" i="28"/>
  <c r="AX460" i="28"/>
  <c r="AY460" i="28"/>
  <c r="AZ460" i="28"/>
  <c r="BE460" i="28" s="1"/>
  <c r="BA460" i="28"/>
  <c r="BB460" i="28"/>
  <c r="BC460" i="28"/>
  <c r="BD460" i="28"/>
  <c r="BF460" i="28"/>
  <c r="BG460" i="28"/>
  <c r="BH460" i="28"/>
  <c r="AR461" i="28"/>
  <c r="AV461" i="28"/>
  <c r="AW461" i="28"/>
  <c r="AX461" i="28"/>
  <c r="AY461" i="28"/>
  <c r="AZ461" i="28"/>
  <c r="BE461" i="28" s="1"/>
  <c r="BA461" i="28"/>
  <c r="BB461" i="28"/>
  <c r="BC461" i="28"/>
  <c r="BD461" i="28"/>
  <c r="BF461" i="28"/>
  <c r="BG461" i="28"/>
  <c r="BH461" i="28"/>
  <c r="AR462" i="28"/>
  <c r="AU462" i="28" s="1"/>
  <c r="AV462" i="28"/>
  <c r="AW462" i="28"/>
  <c r="AX462" i="28"/>
  <c r="AY462" i="28"/>
  <c r="AZ462" i="28"/>
  <c r="BE462" i="28" s="1"/>
  <c r="BA462" i="28"/>
  <c r="BB462" i="28"/>
  <c r="BC462" i="28"/>
  <c r="BD462" i="28"/>
  <c r="BF462" i="28"/>
  <c r="BG462" i="28"/>
  <c r="BH462" i="28"/>
  <c r="AR463" i="28"/>
  <c r="AV463" i="28"/>
  <c r="AW463" i="28"/>
  <c r="AX463" i="28"/>
  <c r="AY463" i="28"/>
  <c r="AZ463" i="28"/>
  <c r="BE463" i="28" s="1"/>
  <c r="BA463" i="28"/>
  <c r="BB463" i="28"/>
  <c r="BC463" i="28"/>
  <c r="BD463" i="28"/>
  <c r="BF463" i="28"/>
  <c r="BG463" i="28"/>
  <c r="BH463" i="28"/>
  <c r="AR464" i="28"/>
  <c r="AV464" i="28"/>
  <c r="AW464" i="28"/>
  <c r="AX464" i="28"/>
  <c r="AY464" i="28"/>
  <c r="AZ464" i="28"/>
  <c r="BE464" i="28" s="1"/>
  <c r="BA464" i="28"/>
  <c r="BB464" i="28"/>
  <c r="BC464" i="28"/>
  <c r="BD464" i="28"/>
  <c r="BF464" i="28"/>
  <c r="BG464" i="28"/>
  <c r="BH464" i="28"/>
  <c r="AR465" i="28"/>
  <c r="AV465" i="28"/>
  <c r="AW465" i="28"/>
  <c r="AX465" i="28"/>
  <c r="AY465" i="28"/>
  <c r="AZ465" i="28"/>
  <c r="BE465" i="28" s="1"/>
  <c r="BA465" i="28"/>
  <c r="BB465" i="28"/>
  <c r="BC465" i="28"/>
  <c r="BD465" i="28"/>
  <c r="BF465" i="28"/>
  <c r="BG465" i="28"/>
  <c r="BH465" i="28"/>
  <c r="AR466" i="28"/>
  <c r="AV466" i="28"/>
  <c r="AW466" i="28"/>
  <c r="AX466" i="28"/>
  <c r="AY466" i="28"/>
  <c r="AZ466" i="28"/>
  <c r="BE466" i="28" s="1"/>
  <c r="BA466" i="28"/>
  <c r="BB466" i="28"/>
  <c r="BC466" i="28"/>
  <c r="BD466" i="28"/>
  <c r="BF466" i="28"/>
  <c r="BG466" i="28"/>
  <c r="BH466" i="28"/>
  <c r="AR467" i="28"/>
  <c r="AV467" i="28"/>
  <c r="AW467" i="28"/>
  <c r="AX467" i="28"/>
  <c r="AY467" i="28"/>
  <c r="AZ467" i="28"/>
  <c r="BE467" i="28" s="1"/>
  <c r="BA467" i="28"/>
  <c r="BB467" i="28"/>
  <c r="BC467" i="28"/>
  <c r="BD467" i="28"/>
  <c r="BF467" i="28"/>
  <c r="BG467" i="28"/>
  <c r="BH467" i="28"/>
  <c r="AR468" i="28"/>
  <c r="AV468" i="28"/>
  <c r="AW468" i="28"/>
  <c r="AX468" i="28"/>
  <c r="AY468" i="28"/>
  <c r="AZ468" i="28"/>
  <c r="BE468" i="28" s="1"/>
  <c r="BA468" i="28"/>
  <c r="BB468" i="28"/>
  <c r="BC468" i="28"/>
  <c r="BD468" i="28"/>
  <c r="BF468" i="28"/>
  <c r="BG468" i="28"/>
  <c r="BH468" i="28"/>
  <c r="AR469" i="28"/>
  <c r="AV469" i="28"/>
  <c r="AW469" i="28"/>
  <c r="AX469" i="28"/>
  <c r="AY469" i="28"/>
  <c r="AZ469" i="28"/>
  <c r="BE469" i="28" s="1"/>
  <c r="BA469" i="28"/>
  <c r="BB469" i="28"/>
  <c r="BC469" i="28"/>
  <c r="BD469" i="28"/>
  <c r="BF469" i="28"/>
  <c r="BG469" i="28"/>
  <c r="BH469" i="28"/>
  <c r="AR470" i="28"/>
  <c r="AV470" i="28"/>
  <c r="AW470" i="28"/>
  <c r="AX470" i="28"/>
  <c r="AY470" i="28"/>
  <c r="AZ470" i="28"/>
  <c r="BE470" i="28" s="1"/>
  <c r="BA470" i="28"/>
  <c r="BB470" i="28"/>
  <c r="BC470" i="28"/>
  <c r="BD470" i="28"/>
  <c r="BF470" i="28"/>
  <c r="BG470" i="28"/>
  <c r="BH470" i="28"/>
  <c r="AR471" i="28"/>
  <c r="AV471" i="28"/>
  <c r="AW471" i="28"/>
  <c r="AX471" i="28"/>
  <c r="AY471" i="28"/>
  <c r="AZ471" i="28"/>
  <c r="BE471" i="28" s="1"/>
  <c r="BA471" i="28"/>
  <c r="BB471" i="28"/>
  <c r="BC471" i="28"/>
  <c r="BD471" i="28"/>
  <c r="BF471" i="28"/>
  <c r="BG471" i="28"/>
  <c r="BH471" i="28"/>
  <c r="AR472" i="28"/>
  <c r="AV472" i="28"/>
  <c r="AW472" i="28"/>
  <c r="AX472" i="28"/>
  <c r="AY472" i="28"/>
  <c r="AZ472" i="28"/>
  <c r="BE472" i="28" s="1"/>
  <c r="BA472" i="28"/>
  <c r="BB472" i="28"/>
  <c r="BC472" i="28"/>
  <c r="BD472" i="28"/>
  <c r="BF472" i="28"/>
  <c r="BG472" i="28"/>
  <c r="BH472" i="28"/>
  <c r="AR473" i="28"/>
  <c r="AS473" i="28" s="1"/>
  <c r="AV473" i="28"/>
  <c r="AW473" i="28"/>
  <c r="AX473" i="28"/>
  <c r="AY473" i="28"/>
  <c r="AZ473" i="28"/>
  <c r="BE473" i="28" s="1"/>
  <c r="BA473" i="28"/>
  <c r="BB473" i="28"/>
  <c r="BC473" i="28"/>
  <c r="BD473" i="28"/>
  <c r="BF473" i="28"/>
  <c r="BG473" i="28"/>
  <c r="BH473" i="28"/>
  <c r="AR474" i="28"/>
  <c r="AV474" i="28"/>
  <c r="AW474" i="28"/>
  <c r="AX474" i="28"/>
  <c r="AY474" i="28"/>
  <c r="AZ474" i="28"/>
  <c r="BE474" i="28" s="1"/>
  <c r="BA474" i="28"/>
  <c r="BB474" i="28"/>
  <c r="BC474" i="28"/>
  <c r="BD474" i="28"/>
  <c r="BF474" i="28"/>
  <c r="BG474" i="28"/>
  <c r="BH474" i="28"/>
  <c r="AR475" i="28"/>
  <c r="AV475" i="28"/>
  <c r="AW475" i="28"/>
  <c r="AX475" i="28"/>
  <c r="AY475" i="28"/>
  <c r="AZ475" i="28"/>
  <c r="BE475" i="28" s="1"/>
  <c r="BA475" i="28"/>
  <c r="BB475" i="28"/>
  <c r="BC475" i="28"/>
  <c r="BD475" i="28"/>
  <c r="BF475" i="28"/>
  <c r="BG475" i="28"/>
  <c r="BH475" i="28"/>
  <c r="AR476" i="28"/>
  <c r="AV476" i="28"/>
  <c r="AW476" i="28"/>
  <c r="AX476" i="28"/>
  <c r="AY476" i="28"/>
  <c r="AZ476" i="28"/>
  <c r="BE476" i="28" s="1"/>
  <c r="BA476" i="28"/>
  <c r="BB476" i="28"/>
  <c r="BC476" i="28"/>
  <c r="BD476" i="28"/>
  <c r="BF476" i="28"/>
  <c r="BG476" i="28"/>
  <c r="BH476" i="28"/>
  <c r="AR477" i="28"/>
  <c r="AV477" i="28"/>
  <c r="AW477" i="28"/>
  <c r="AX477" i="28"/>
  <c r="AY477" i="28"/>
  <c r="AZ477" i="28"/>
  <c r="BE477" i="28" s="1"/>
  <c r="BA477" i="28"/>
  <c r="BB477" i="28"/>
  <c r="BC477" i="28"/>
  <c r="BD477" i="28"/>
  <c r="BF477" i="28"/>
  <c r="BG477" i="28"/>
  <c r="BH477" i="28"/>
  <c r="AR478" i="28"/>
  <c r="AU478" i="28" s="1"/>
  <c r="AV478" i="28"/>
  <c r="AW478" i="28"/>
  <c r="AX478" i="28"/>
  <c r="AY478" i="28"/>
  <c r="AZ478" i="28"/>
  <c r="BE478" i="28" s="1"/>
  <c r="BA478" i="28"/>
  <c r="BB478" i="28"/>
  <c r="BC478" i="28"/>
  <c r="BD478" i="28"/>
  <c r="BF478" i="28"/>
  <c r="BG478" i="28"/>
  <c r="BH478" i="28"/>
  <c r="AR479" i="28"/>
  <c r="AV479" i="28"/>
  <c r="AW479" i="28"/>
  <c r="AX479" i="28"/>
  <c r="AY479" i="28"/>
  <c r="AZ479" i="28"/>
  <c r="BE479" i="28" s="1"/>
  <c r="BA479" i="28"/>
  <c r="BB479" i="28"/>
  <c r="BC479" i="28"/>
  <c r="BD479" i="28"/>
  <c r="BF479" i="28"/>
  <c r="BG479" i="28"/>
  <c r="BH479" i="28"/>
  <c r="AR480" i="28"/>
  <c r="AV480" i="28"/>
  <c r="AW480" i="28"/>
  <c r="AX480" i="28"/>
  <c r="AY480" i="28"/>
  <c r="AZ480" i="28"/>
  <c r="BE480" i="28" s="1"/>
  <c r="BA480" i="28"/>
  <c r="BB480" i="28"/>
  <c r="BC480" i="28"/>
  <c r="BD480" i="28"/>
  <c r="BF480" i="28"/>
  <c r="BG480" i="28"/>
  <c r="BH480" i="28"/>
  <c r="AR481" i="28"/>
  <c r="AU481" i="28" s="1"/>
  <c r="AV481" i="28"/>
  <c r="AW481" i="28"/>
  <c r="AX481" i="28"/>
  <c r="AY481" i="28"/>
  <c r="AZ481" i="28"/>
  <c r="BE481" i="28" s="1"/>
  <c r="BA481" i="28"/>
  <c r="BB481" i="28"/>
  <c r="BC481" i="28"/>
  <c r="BD481" i="28"/>
  <c r="BF481" i="28"/>
  <c r="BG481" i="28"/>
  <c r="BH481" i="28"/>
  <c r="AR482" i="28"/>
  <c r="AV482" i="28"/>
  <c r="AW482" i="28"/>
  <c r="AX482" i="28"/>
  <c r="AY482" i="28"/>
  <c r="AZ482" i="28"/>
  <c r="BE482" i="28" s="1"/>
  <c r="BA482" i="28"/>
  <c r="BB482" i="28"/>
  <c r="BC482" i="28"/>
  <c r="BD482" i="28"/>
  <c r="BF482" i="28"/>
  <c r="BG482" i="28"/>
  <c r="BH482" i="28"/>
  <c r="AR483" i="28"/>
  <c r="AU483" i="28" s="1"/>
  <c r="AV483" i="28"/>
  <c r="AW483" i="28"/>
  <c r="AX483" i="28"/>
  <c r="AY483" i="28"/>
  <c r="AZ483" i="28"/>
  <c r="BE483" i="28" s="1"/>
  <c r="BA483" i="28"/>
  <c r="BB483" i="28"/>
  <c r="BC483" i="28"/>
  <c r="BD483" i="28"/>
  <c r="BF483" i="28"/>
  <c r="BG483" i="28"/>
  <c r="BH483" i="28"/>
  <c r="AR484" i="28"/>
  <c r="AV484" i="28"/>
  <c r="AW484" i="28"/>
  <c r="AX484" i="28"/>
  <c r="AY484" i="28"/>
  <c r="AZ484" i="28"/>
  <c r="BE484" i="28" s="1"/>
  <c r="BA484" i="28"/>
  <c r="BB484" i="28"/>
  <c r="BC484" i="28"/>
  <c r="BD484" i="28"/>
  <c r="BF484" i="28"/>
  <c r="BG484" i="28"/>
  <c r="BH484" i="28"/>
  <c r="AR485" i="28"/>
  <c r="AV485" i="28"/>
  <c r="AW485" i="28"/>
  <c r="AX485" i="28"/>
  <c r="AY485" i="28"/>
  <c r="AZ485" i="28"/>
  <c r="BE485" i="28" s="1"/>
  <c r="BA485" i="28"/>
  <c r="BB485" i="28"/>
  <c r="BC485" i="28"/>
  <c r="BD485" i="28"/>
  <c r="BF485" i="28"/>
  <c r="BG485" i="28"/>
  <c r="BH485" i="28"/>
  <c r="AR486" i="28"/>
  <c r="AV486" i="28"/>
  <c r="AW486" i="28"/>
  <c r="AX486" i="28"/>
  <c r="AY486" i="28"/>
  <c r="AZ486" i="28"/>
  <c r="BE486" i="28" s="1"/>
  <c r="BA486" i="28"/>
  <c r="BB486" i="28"/>
  <c r="BC486" i="28"/>
  <c r="BD486" i="28"/>
  <c r="BF486" i="28"/>
  <c r="BG486" i="28"/>
  <c r="BH486" i="28"/>
  <c r="AR487" i="28"/>
  <c r="AV487" i="28"/>
  <c r="AW487" i="28"/>
  <c r="AX487" i="28"/>
  <c r="AY487" i="28"/>
  <c r="AZ487" i="28"/>
  <c r="BE487" i="28" s="1"/>
  <c r="BA487" i="28"/>
  <c r="BB487" i="28"/>
  <c r="BC487" i="28"/>
  <c r="BD487" i="28"/>
  <c r="BF487" i="28"/>
  <c r="BG487" i="28"/>
  <c r="BH487" i="28"/>
  <c r="AR488" i="28"/>
  <c r="AV488" i="28"/>
  <c r="AW488" i="28"/>
  <c r="AX488" i="28"/>
  <c r="AY488" i="28"/>
  <c r="AZ488" i="28"/>
  <c r="BE488" i="28" s="1"/>
  <c r="BA488" i="28"/>
  <c r="BB488" i="28"/>
  <c r="BC488" i="28"/>
  <c r="BD488" i="28"/>
  <c r="BG488" i="28"/>
  <c r="BH488" i="28"/>
  <c r="AR489" i="28"/>
  <c r="AV489" i="28"/>
  <c r="AW489" i="28"/>
  <c r="AX489" i="28"/>
  <c r="AY489" i="28"/>
  <c r="AZ489" i="28"/>
  <c r="BE489" i="28" s="1"/>
  <c r="BA489" i="28"/>
  <c r="BB489" i="28"/>
  <c r="BC489" i="28"/>
  <c r="BD489" i="28"/>
  <c r="BF489" i="28"/>
  <c r="BG489" i="28"/>
  <c r="BH489" i="28"/>
  <c r="AR490" i="28"/>
  <c r="AV490" i="28"/>
  <c r="AW490" i="28"/>
  <c r="AX490" i="28"/>
  <c r="AY490" i="28"/>
  <c r="AZ490" i="28"/>
  <c r="BE490" i="28" s="1"/>
  <c r="BA490" i="28"/>
  <c r="BB490" i="28"/>
  <c r="BC490" i="28"/>
  <c r="BD490" i="28"/>
  <c r="BF490" i="28"/>
  <c r="BG490" i="28"/>
  <c r="BH490" i="28"/>
  <c r="AR491" i="28"/>
  <c r="AT491" i="28" s="1"/>
  <c r="AV491" i="28"/>
  <c r="AW491" i="28"/>
  <c r="AX491" i="28"/>
  <c r="AY491" i="28"/>
  <c r="AZ491" i="28"/>
  <c r="BE491" i="28" s="1"/>
  <c r="BA491" i="28"/>
  <c r="BB491" i="28"/>
  <c r="BC491" i="28"/>
  <c r="BD491" i="28"/>
  <c r="BF491" i="28"/>
  <c r="BG491" i="28"/>
  <c r="BH491" i="28"/>
  <c r="AR492" i="28"/>
  <c r="AV492" i="28"/>
  <c r="AW492" i="28"/>
  <c r="AX492" i="28"/>
  <c r="AY492" i="28"/>
  <c r="AZ492" i="28"/>
  <c r="BE492" i="28" s="1"/>
  <c r="BA492" i="28"/>
  <c r="BB492" i="28"/>
  <c r="BC492" i="28"/>
  <c r="BD492" i="28"/>
  <c r="BF492" i="28"/>
  <c r="BG492" i="28"/>
  <c r="BH492" i="28"/>
  <c r="AR493" i="28"/>
  <c r="AU493" i="28" s="1"/>
  <c r="AV493" i="28"/>
  <c r="AW493" i="28"/>
  <c r="AX493" i="28"/>
  <c r="AZ493" i="28"/>
  <c r="BE493" i="28" s="1"/>
  <c r="BA493" i="28"/>
  <c r="BB493" i="28"/>
  <c r="BC493" i="28"/>
  <c r="BD493" i="28"/>
  <c r="BF493" i="28"/>
  <c r="BG493" i="28"/>
  <c r="BH493" i="28"/>
  <c r="AR494" i="28"/>
  <c r="AU494" i="28" s="1"/>
  <c r="AV494" i="28"/>
  <c r="AW494" i="28"/>
  <c r="AX494" i="28"/>
  <c r="AY494" i="28"/>
  <c r="AZ494" i="28"/>
  <c r="BE494" i="28" s="1"/>
  <c r="BA494" i="28"/>
  <c r="BB494" i="28"/>
  <c r="BC494" i="28"/>
  <c r="BD494" i="28"/>
  <c r="BF494" i="28"/>
  <c r="BG494" i="28"/>
  <c r="BH494" i="28"/>
  <c r="AR495" i="28"/>
  <c r="AU495" i="28" s="1"/>
  <c r="AV495" i="28"/>
  <c r="AW495" i="28"/>
  <c r="AX495" i="28"/>
  <c r="AY495" i="28"/>
  <c r="AZ495" i="28"/>
  <c r="BE495" i="28" s="1"/>
  <c r="BA495" i="28"/>
  <c r="BB495" i="28"/>
  <c r="BC495" i="28"/>
  <c r="BD495" i="28"/>
  <c r="BF495" i="28"/>
  <c r="BG495" i="28"/>
  <c r="BH495" i="28"/>
  <c r="AR496" i="28"/>
  <c r="AU496" i="28" s="1"/>
  <c r="AV496" i="28"/>
  <c r="AW496" i="28"/>
  <c r="AX496" i="28"/>
  <c r="AY496" i="28"/>
  <c r="AZ496" i="28"/>
  <c r="BE496" i="28" s="1"/>
  <c r="BA496" i="28"/>
  <c r="BB496" i="28"/>
  <c r="BC496" i="28"/>
  <c r="BD496" i="28"/>
  <c r="BF496" i="28"/>
  <c r="BG496" i="28"/>
  <c r="BH496" i="28"/>
  <c r="AR497" i="28"/>
  <c r="AU497" i="28" s="1"/>
  <c r="AV497" i="28"/>
  <c r="AW497" i="28"/>
  <c r="AX497" i="28"/>
  <c r="AY497" i="28"/>
  <c r="AZ497" i="28"/>
  <c r="BE497" i="28" s="1"/>
  <c r="BA497" i="28"/>
  <c r="BB497" i="28"/>
  <c r="BC497" i="28"/>
  <c r="BD497" i="28"/>
  <c r="BF497" i="28"/>
  <c r="BG497" i="28"/>
  <c r="BH497" i="28"/>
  <c r="AR498" i="28"/>
  <c r="AU498" i="28" s="1"/>
  <c r="AV498" i="28"/>
  <c r="AW498" i="28"/>
  <c r="AX498" i="28"/>
  <c r="AY498" i="28"/>
  <c r="AZ498" i="28"/>
  <c r="BE498" i="28" s="1"/>
  <c r="BA498" i="28"/>
  <c r="BB498" i="28"/>
  <c r="BC498" i="28"/>
  <c r="BD498" i="28"/>
  <c r="BF498" i="28"/>
  <c r="BG498" i="28"/>
  <c r="BH498" i="28"/>
  <c r="AR499" i="28"/>
  <c r="AT499" i="28" s="1"/>
  <c r="AV499" i="28"/>
  <c r="AW499" i="28"/>
  <c r="AX499" i="28"/>
  <c r="AY499" i="28"/>
  <c r="AZ499" i="28"/>
  <c r="BE499" i="28" s="1"/>
  <c r="BA499" i="28"/>
  <c r="BB499" i="28"/>
  <c r="BC499" i="28"/>
  <c r="BD499" i="28"/>
  <c r="BF499" i="28"/>
  <c r="BG499" i="28"/>
  <c r="BH499" i="28"/>
  <c r="AR500" i="28"/>
  <c r="AS500" i="28" s="1"/>
  <c r="AV500" i="28"/>
  <c r="AW500" i="28"/>
  <c r="AX500" i="28"/>
  <c r="AY500" i="28"/>
  <c r="AZ500" i="28"/>
  <c r="BE500" i="28" s="1"/>
  <c r="BA500" i="28"/>
  <c r="BB500" i="28"/>
  <c r="BC500" i="28"/>
  <c r="BD500" i="28"/>
  <c r="BF500" i="28"/>
  <c r="BG500" i="28"/>
  <c r="BH500" i="28"/>
  <c r="AR501" i="28"/>
  <c r="AT501" i="28" s="1"/>
  <c r="AV501" i="28"/>
  <c r="AW501" i="28"/>
  <c r="AX501" i="28"/>
  <c r="AY501" i="28"/>
  <c r="AZ501" i="28"/>
  <c r="BE501" i="28" s="1"/>
  <c r="BA501" i="28"/>
  <c r="BB501" i="28"/>
  <c r="BC501" i="28"/>
  <c r="BD501" i="28"/>
  <c r="BF501" i="28"/>
  <c r="BG501" i="28"/>
  <c r="BH501" i="28"/>
  <c r="AR502" i="28"/>
  <c r="AT502" i="28" s="1"/>
  <c r="AV502" i="28"/>
  <c r="AW502" i="28"/>
  <c r="AX502" i="28"/>
  <c r="AY502" i="28"/>
  <c r="AZ502" i="28"/>
  <c r="BE502" i="28" s="1"/>
  <c r="BA502" i="28"/>
  <c r="BB502" i="28"/>
  <c r="BC502" i="28"/>
  <c r="BD502" i="28"/>
  <c r="BF502" i="28"/>
  <c r="BG502" i="28"/>
  <c r="BH502" i="28"/>
  <c r="AV503" i="28"/>
  <c r="AW503" i="28"/>
  <c r="AX503" i="28"/>
  <c r="AY503" i="28"/>
  <c r="AZ503" i="28"/>
  <c r="BE503" i="28" s="1"/>
  <c r="BA503" i="28"/>
  <c r="BB503" i="28"/>
  <c r="BC503" i="28"/>
  <c r="BD503" i="28"/>
  <c r="BF503" i="28"/>
  <c r="BG503" i="28"/>
  <c r="BH503" i="28"/>
  <c r="AV504" i="28"/>
  <c r="AW504" i="28"/>
  <c r="AX504" i="28"/>
  <c r="AY504" i="28"/>
  <c r="AZ504" i="28"/>
  <c r="BE504" i="28" s="1"/>
  <c r="BA504" i="28"/>
  <c r="BB504" i="28"/>
  <c r="BC504" i="28"/>
  <c r="BD504" i="28"/>
  <c r="BF504" i="28"/>
  <c r="BG504" i="28"/>
  <c r="BH504" i="28"/>
  <c r="AV505" i="28"/>
  <c r="AW505" i="28"/>
  <c r="AX505" i="28"/>
  <c r="AY505" i="28"/>
  <c r="AZ505" i="28"/>
  <c r="BE505" i="28" s="1"/>
  <c r="BA505" i="28"/>
  <c r="BB505" i="28"/>
  <c r="BC505" i="28"/>
  <c r="BD505" i="28"/>
  <c r="BF505" i="28"/>
  <c r="BG505" i="28"/>
  <c r="BH505" i="28"/>
  <c r="AV506" i="28"/>
  <c r="AW506" i="28"/>
  <c r="AX506" i="28"/>
  <c r="AY506" i="28"/>
  <c r="AZ506" i="28"/>
  <c r="BE506" i="28" s="1"/>
  <c r="BA506" i="28"/>
  <c r="BB506" i="28"/>
  <c r="BC506" i="28"/>
  <c r="BD506" i="28"/>
  <c r="BF506" i="28"/>
  <c r="BG506" i="28"/>
  <c r="BH506" i="28"/>
  <c r="AV507" i="28"/>
  <c r="AW507" i="28"/>
  <c r="AX507" i="28"/>
  <c r="AY507" i="28"/>
  <c r="AZ507" i="28"/>
  <c r="BE507" i="28" s="1"/>
  <c r="BA507" i="28"/>
  <c r="BB507" i="28"/>
  <c r="BC507" i="28"/>
  <c r="BD507" i="28"/>
  <c r="BF507" i="28"/>
  <c r="BG507" i="28"/>
  <c r="BH507" i="28"/>
  <c r="AV508" i="28"/>
  <c r="AW508" i="28"/>
  <c r="AX508" i="28"/>
  <c r="AY508" i="28"/>
  <c r="AZ508" i="28"/>
  <c r="BE508" i="28" s="1"/>
  <c r="BA508" i="28"/>
  <c r="BB508" i="28"/>
  <c r="BC508" i="28"/>
  <c r="BD508" i="28"/>
  <c r="BF508" i="28"/>
  <c r="BG508" i="28"/>
  <c r="BH508" i="28"/>
  <c r="AV509" i="28"/>
  <c r="AW509" i="28"/>
  <c r="AX509" i="28"/>
  <c r="AY509" i="28"/>
  <c r="AZ509" i="28"/>
  <c r="BE509" i="28" s="1"/>
  <c r="BA509" i="28"/>
  <c r="BB509" i="28"/>
  <c r="BC509" i="28"/>
  <c r="BD509" i="28"/>
  <c r="BF509" i="28"/>
  <c r="BG509" i="28"/>
  <c r="BH509" i="28"/>
  <c r="AU510" i="28"/>
  <c r="AV510" i="28"/>
  <c r="AW510" i="28"/>
  <c r="AX510" i="28"/>
  <c r="AY510" i="28"/>
  <c r="AZ510" i="28"/>
  <c r="BE510" i="28" s="1"/>
  <c r="BA510" i="28"/>
  <c r="BB510" i="28"/>
  <c r="BC510" i="28"/>
  <c r="BD510" i="28"/>
  <c r="BF510" i="28"/>
  <c r="BG510" i="28"/>
  <c r="BH510" i="28"/>
  <c r="AV511" i="28"/>
  <c r="AW511" i="28"/>
  <c r="AX511" i="28"/>
  <c r="AY511" i="28"/>
  <c r="AZ511" i="28"/>
  <c r="BE511" i="28" s="1"/>
  <c r="BA511" i="28"/>
  <c r="BB511" i="28"/>
  <c r="BC511" i="28"/>
  <c r="BD511" i="28"/>
  <c r="BF511" i="28"/>
  <c r="BG511" i="28"/>
  <c r="BH511" i="28"/>
  <c r="AR377" i="28"/>
  <c r="AU377" i="28" s="1"/>
  <c r="AR376" i="28"/>
  <c r="AR375" i="28"/>
  <c r="AU375" i="28" s="1"/>
  <c r="AR374" i="28"/>
  <c r="AS374" i="28" s="1"/>
  <c r="AR373" i="28"/>
  <c r="AU373" i="28" s="1"/>
  <c r="AR372" i="28"/>
  <c r="AT372" i="28" s="1"/>
  <c r="AR371" i="28"/>
  <c r="AR370" i="28"/>
  <c r="AU370" i="28" s="1"/>
  <c r="AR369" i="28"/>
  <c r="AR368" i="28"/>
  <c r="AV9" i="28"/>
  <c r="AR225" i="28"/>
  <c r="AT225" i="28" s="1"/>
  <c r="AR224" i="28"/>
  <c r="AU224" i="28" s="1"/>
  <c r="AR223" i="28"/>
  <c r="AS223" i="28" s="1"/>
  <c r="AR222" i="28"/>
  <c r="AT222" i="28" s="1"/>
  <c r="AR221" i="28"/>
  <c r="AR220" i="28"/>
  <c r="AR219" i="28"/>
  <c r="AS219" i="28" s="1"/>
  <c r="AR218" i="28"/>
  <c r="AS218" i="28" s="1"/>
  <c r="AR217" i="28"/>
  <c r="AT217" i="28" s="1"/>
  <c r="BH400" i="28"/>
  <c r="BG400" i="28"/>
  <c r="BF400" i="28"/>
  <c r="BD400" i="28"/>
  <c r="BC400" i="28"/>
  <c r="BB400" i="28"/>
  <c r="BA400" i="28"/>
  <c r="AZ400" i="28"/>
  <c r="BE400" i="28" s="1"/>
  <c r="AY400" i="28"/>
  <c r="AX400" i="28"/>
  <c r="AW400" i="28"/>
  <c r="AV400" i="28"/>
  <c r="AR400" i="28"/>
  <c r="BH399" i="28"/>
  <c r="BG399" i="28"/>
  <c r="BF399" i="28"/>
  <c r="BD399" i="28"/>
  <c r="BC399" i="28"/>
  <c r="BB399" i="28"/>
  <c r="BA399" i="28"/>
  <c r="AZ399" i="28"/>
  <c r="BE399" i="28" s="1"/>
  <c r="AY399" i="28"/>
  <c r="AX399" i="28"/>
  <c r="AW399" i="28"/>
  <c r="AV399" i="28"/>
  <c r="AR399" i="28"/>
  <c r="BH398" i="28"/>
  <c r="BG398" i="28"/>
  <c r="BF398" i="28"/>
  <c r="BD398" i="28"/>
  <c r="BC398" i="28"/>
  <c r="BB398" i="28"/>
  <c r="BA398" i="28"/>
  <c r="AZ398" i="28"/>
  <c r="BE398" i="28" s="1"/>
  <c r="AY398" i="28"/>
  <c r="AX398" i="28"/>
  <c r="AW398" i="28"/>
  <c r="AV398" i="28"/>
  <c r="AR398" i="28"/>
  <c r="AS398" i="28" s="1"/>
  <c r="BH397" i="28"/>
  <c r="BG397" i="28"/>
  <c r="BF397" i="28"/>
  <c r="BD397" i="28"/>
  <c r="BC397" i="28"/>
  <c r="BB397" i="28"/>
  <c r="BA397" i="28"/>
  <c r="AZ397" i="28"/>
  <c r="BE397" i="28" s="1"/>
  <c r="AY397" i="28"/>
  <c r="AX397" i="28"/>
  <c r="AW397" i="28"/>
  <c r="AV397" i="28"/>
  <c r="AR397" i="28"/>
  <c r="AU397" i="28" s="1"/>
  <c r="BH396" i="28"/>
  <c r="BG396" i="28"/>
  <c r="BF396" i="28"/>
  <c r="BD396" i="28"/>
  <c r="BC396" i="28"/>
  <c r="BB396" i="28"/>
  <c r="BA396" i="28"/>
  <c r="AZ396" i="28"/>
  <c r="BE396" i="28" s="1"/>
  <c r="AY396" i="28"/>
  <c r="AX396" i="28"/>
  <c r="AW396" i="28"/>
  <c r="AV396" i="28"/>
  <c r="AR396" i="28"/>
  <c r="BH395" i="28"/>
  <c r="BG395" i="28"/>
  <c r="BF395" i="28"/>
  <c r="BD395" i="28"/>
  <c r="BC395" i="28"/>
  <c r="BB395" i="28"/>
  <c r="BA395" i="28"/>
  <c r="AZ395" i="28"/>
  <c r="BE395" i="28" s="1"/>
  <c r="AY395" i="28"/>
  <c r="AX395" i="28"/>
  <c r="AW395" i="28"/>
  <c r="AV395" i="28"/>
  <c r="AR395" i="28"/>
  <c r="AS395" i="28" s="1"/>
  <c r="BH394" i="28"/>
  <c r="BG394" i="28"/>
  <c r="BF394" i="28"/>
  <c r="BD394" i="28"/>
  <c r="BC394" i="28"/>
  <c r="BB394" i="28"/>
  <c r="BA394" i="28"/>
  <c r="AZ394" i="28"/>
  <c r="BE394" i="28" s="1"/>
  <c r="AY394" i="28"/>
  <c r="AX394" i="28"/>
  <c r="AW394" i="28"/>
  <c r="AV394" i="28"/>
  <c r="AR394" i="28"/>
  <c r="BH393" i="28"/>
  <c r="BG393" i="28"/>
  <c r="BF393" i="28"/>
  <c r="BD393" i="28"/>
  <c r="BC393" i="28"/>
  <c r="BB393" i="28"/>
  <c r="BA393" i="28"/>
  <c r="AZ393" i="28"/>
  <c r="BE393" i="28" s="1"/>
  <c r="AY393" i="28"/>
  <c r="AX393" i="28"/>
  <c r="AW393" i="28"/>
  <c r="AV393" i="28"/>
  <c r="AR393" i="28"/>
  <c r="BH392" i="28"/>
  <c r="BG392" i="28"/>
  <c r="BF392" i="28"/>
  <c r="BD392" i="28"/>
  <c r="BC392" i="28"/>
  <c r="BB392" i="28"/>
  <c r="BA392" i="28"/>
  <c r="AZ392" i="28"/>
  <c r="BE392" i="28" s="1"/>
  <c r="AY392" i="28"/>
  <c r="AX392" i="28"/>
  <c r="AW392" i="28"/>
  <c r="AV392" i="28"/>
  <c r="AR392" i="28"/>
  <c r="AS392" i="28" s="1"/>
  <c r="BH391" i="28"/>
  <c r="BG391" i="28"/>
  <c r="BF391" i="28"/>
  <c r="BD391" i="28"/>
  <c r="BC391" i="28"/>
  <c r="BB391" i="28"/>
  <c r="BA391" i="28"/>
  <c r="AZ391" i="28"/>
  <c r="BE391" i="28" s="1"/>
  <c r="AY391" i="28"/>
  <c r="AX391" i="28"/>
  <c r="AW391" i="28"/>
  <c r="AV391" i="28"/>
  <c r="AR391" i="28"/>
  <c r="AS391" i="28" s="1"/>
  <c r="BH390" i="28"/>
  <c r="BG390" i="28"/>
  <c r="BF390" i="28"/>
  <c r="BD390" i="28"/>
  <c r="BC390" i="28"/>
  <c r="BB390" i="28"/>
  <c r="BA390" i="28"/>
  <c r="AZ390" i="28"/>
  <c r="BE390" i="28" s="1"/>
  <c r="AY390" i="28"/>
  <c r="AX390" i="28"/>
  <c r="AW390" i="28"/>
  <c r="AV390" i="28"/>
  <c r="AR390" i="28"/>
  <c r="BH389" i="28"/>
  <c r="BG389" i="28"/>
  <c r="BF389" i="28"/>
  <c r="BD389" i="28"/>
  <c r="BC389" i="28"/>
  <c r="BB389" i="28"/>
  <c r="BA389" i="28"/>
  <c r="AZ389" i="28"/>
  <c r="BE389" i="28" s="1"/>
  <c r="AY389" i="28"/>
  <c r="AX389" i="28"/>
  <c r="AW389" i="28"/>
  <c r="AV389" i="28"/>
  <c r="AR389" i="28"/>
  <c r="BH388" i="28"/>
  <c r="BG388" i="28"/>
  <c r="BF388" i="28"/>
  <c r="BD388" i="28"/>
  <c r="BC388" i="28"/>
  <c r="BB388" i="28"/>
  <c r="BA388" i="28"/>
  <c r="AZ388" i="28"/>
  <c r="BE388" i="28" s="1"/>
  <c r="AY388" i="28"/>
  <c r="AX388" i="28"/>
  <c r="AW388" i="28"/>
  <c r="AV388" i="28"/>
  <c r="AR388" i="28"/>
  <c r="AU388" i="28" s="1"/>
  <c r="BH387" i="28"/>
  <c r="BG387" i="28"/>
  <c r="BF387" i="28"/>
  <c r="BD387" i="28"/>
  <c r="BC387" i="28"/>
  <c r="BB387" i="28"/>
  <c r="BA387" i="28"/>
  <c r="AZ387" i="28"/>
  <c r="BE387" i="28" s="1"/>
  <c r="AY387" i="28"/>
  <c r="AX387" i="28"/>
  <c r="AW387" i="28"/>
  <c r="AV387" i="28"/>
  <c r="AR387" i="28"/>
  <c r="AS387" i="28" s="1"/>
  <c r="BH386" i="28"/>
  <c r="BG386" i="28"/>
  <c r="BF386" i="28"/>
  <c r="BD386" i="28"/>
  <c r="BC386" i="28"/>
  <c r="BB386" i="28"/>
  <c r="BA386" i="28"/>
  <c r="AZ386" i="28"/>
  <c r="BE386" i="28" s="1"/>
  <c r="AY386" i="28"/>
  <c r="AX386" i="28"/>
  <c r="AW386" i="28"/>
  <c r="AV386" i="28"/>
  <c r="AR386" i="28"/>
  <c r="AU386" i="28" s="1"/>
  <c r="BH385" i="28"/>
  <c r="BG385" i="28"/>
  <c r="BF385" i="28"/>
  <c r="BD385" i="28"/>
  <c r="BC385" i="28"/>
  <c r="BB385" i="28"/>
  <c r="BA385" i="28"/>
  <c r="AZ385" i="28"/>
  <c r="BE385" i="28" s="1"/>
  <c r="AY385" i="28"/>
  <c r="AX385" i="28"/>
  <c r="AW385" i="28"/>
  <c r="AV385" i="28"/>
  <c r="AR385" i="28"/>
  <c r="AU385" i="28" s="1"/>
  <c r="BH384" i="28"/>
  <c r="BG384" i="28"/>
  <c r="BF384" i="28"/>
  <c r="BD384" i="28"/>
  <c r="BC384" i="28"/>
  <c r="BB384" i="28"/>
  <c r="BA384" i="28"/>
  <c r="AZ384" i="28"/>
  <c r="BE384" i="28" s="1"/>
  <c r="AY384" i="28"/>
  <c r="AX384" i="28"/>
  <c r="AW384" i="28"/>
  <c r="AV384" i="28"/>
  <c r="AR384" i="28"/>
  <c r="AS384" i="28" s="1"/>
  <c r="BH383" i="28"/>
  <c r="BG383" i="28"/>
  <c r="BF383" i="28"/>
  <c r="BD383" i="28"/>
  <c r="BC383" i="28"/>
  <c r="BB383" i="28"/>
  <c r="BA383" i="28"/>
  <c r="AZ383" i="28"/>
  <c r="BE383" i="28" s="1"/>
  <c r="AY383" i="28"/>
  <c r="AX383" i="28"/>
  <c r="AW383" i="28"/>
  <c r="AV383" i="28"/>
  <c r="AR383" i="28"/>
  <c r="AS383" i="28" s="1"/>
  <c r="BH382" i="28"/>
  <c r="BG382" i="28"/>
  <c r="BF382" i="28"/>
  <c r="BD382" i="28"/>
  <c r="BC382" i="28"/>
  <c r="BB382" i="28"/>
  <c r="BA382" i="28"/>
  <c r="AZ382" i="28"/>
  <c r="BE382" i="28" s="1"/>
  <c r="AY382" i="28"/>
  <c r="AX382" i="28"/>
  <c r="AW382" i="28"/>
  <c r="AV382" i="28"/>
  <c r="AR382" i="28"/>
  <c r="BH381" i="28"/>
  <c r="BG381" i="28"/>
  <c r="BF381" i="28"/>
  <c r="BD381" i="28"/>
  <c r="BC381" i="28"/>
  <c r="BB381" i="28"/>
  <c r="BA381" i="28"/>
  <c r="AZ381" i="28"/>
  <c r="BE381" i="28" s="1"/>
  <c r="AY381" i="28"/>
  <c r="AX381" i="28"/>
  <c r="AW381" i="28"/>
  <c r="AV381" i="28"/>
  <c r="AR381" i="28"/>
  <c r="AU381" i="28" s="1"/>
  <c r="BH380" i="28"/>
  <c r="BG380" i="28"/>
  <c r="BF380" i="28"/>
  <c r="BD380" i="28"/>
  <c r="BC380" i="28"/>
  <c r="BB380" i="28"/>
  <c r="BA380" i="28"/>
  <c r="AZ380" i="28"/>
  <c r="BE380" i="28" s="1"/>
  <c r="AY380" i="28"/>
  <c r="AX380" i="28"/>
  <c r="AW380" i="28"/>
  <c r="AV380" i="28"/>
  <c r="AR380" i="28"/>
  <c r="BH379" i="28"/>
  <c r="BG379" i="28"/>
  <c r="BF379" i="28"/>
  <c r="BD379" i="28"/>
  <c r="BC379" i="28"/>
  <c r="BB379" i="28"/>
  <c r="BA379" i="28"/>
  <c r="AZ379" i="28"/>
  <c r="BE379" i="28" s="1"/>
  <c r="AY379" i="28"/>
  <c r="AX379" i="28"/>
  <c r="AW379" i="28"/>
  <c r="AV379" i="28"/>
  <c r="AR379" i="28"/>
  <c r="AT379" i="28" s="1"/>
  <c r="BH378" i="28"/>
  <c r="BG378" i="28"/>
  <c r="BF378" i="28"/>
  <c r="BD378" i="28"/>
  <c r="BC378" i="28"/>
  <c r="BB378" i="28"/>
  <c r="BA378" i="28"/>
  <c r="AZ378" i="28"/>
  <c r="BE378" i="28" s="1"/>
  <c r="AY378" i="28"/>
  <c r="AX378" i="28"/>
  <c r="AW378" i="28"/>
  <c r="AV378" i="28"/>
  <c r="AR378" i="28"/>
  <c r="BH377" i="28"/>
  <c r="BG377" i="28"/>
  <c r="BF377" i="28"/>
  <c r="BD377" i="28"/>
  <c r="BC377" i="28"/>
  <c r="BB377" i="28"/>
  <c r="BA377" i="28"/>
  <c r="AZ377" i="28"/>
  <c r="BE377" i="28" s="1"/>
  <c r="AY377" i="28"/>
  <c r="AX377" i="28"/>
  <c r="AW377" i="28"/>
  <c r="AV377" i="28"/>
  <c r="BH376" i="28"/>
  <c r="BG376" i="28"/>
  <c r="BF376" i="28"/>
  <c r="BD376" i="28"/>
  <c r="BC376" i="28"/>
  <c r="BB376" i="28"/>
  <c r="BA376" i="28"/>
  <c r="AZ376" i="28"/>
  <c r="BE376" i="28" s="1"/>
  <c r="AY376" i="28"/>
  <c r="AX376" i="28"/>
  <c r="AW376" i="28"/>
  <c r="AV376" i="28"/>
  <c r="BH375" i="28"/>
  <c r="BG375" i="28"/>
  <c r="BF375" i="28"/>
  <c r="BD375" i="28"/>
  <c r="BC375" i="28"/>
  <c r="BB375" i="28"/>
  <c r="BA375" i="28"/>
  <c r="AZ375" i="28"/>
  <c r="BE375" i="28" s="1"/>
  <c r="AY375" i="28"/>
  <c r="AX375" i="28"/>
  <c r="AW375" i="28"/>
  <c r="AV375" i="28"/>
  <c r="BH374" i="28"/>
  <c r="BG374" i="28"/>
  <c r="BF374" i="28"/>
  <c r="BD374" i="28"/>
  <c r="BC374" i="28"/>
  <c r="BB374" i="28"/>
  <c r="BA374" i="28"/>
  <c r="AZ374" i="28"/>
  <c r="BE374" i="28" s="1"/>
  <c r="AY374" i="28"/>
  <c r="AX374" i="28"/>
  <c r="AW374" i="28"/>
  <c r="AV374" i="28"/>
  <c r="BH373" i="28"/>
  <c r="BG373" i="28"/>
  <c r="BF373" i="28"/>
  <c r="BD373" i="28"/>
  <c r="BC373" i="28"/>
  <c r="BB373" i="28"/>
  <c r="BA373" i="28"/>
  <c r="AZ373" i="28"/>
  <c r="BE373" i="28" s="1"/>
  <c r="AY373" i="28"/>
  <c r="AX373" i="28"/>
  <c r="AW373" i="28"/>
  <c r="AV373" i="28"/>
  <c r="BH372" i="28"/>
  <c r="BG372" i="28"/>
  <c r="BF372" i="28"/>
  <c r="BD372" i="28"/>
  <c r="BC372" i="28"/>
  <c r="BB372" i="28"/>
  <c r="BA372" i="28"/>
  <c r="AZ372" i="28"/>
  <c r="BE372" i="28" s="1"/>
  <c r="AY372" i="28"/>
  <c r="AX372" i="28"/>
  <c r="AW372" i="28"/>
  <c r="AV372" i="28"/>
  <c r="BH371" i="28"/>
  <c r="BG371" i="28"/>
  <c r="BF371" i="28"/>
  <c r="BD371" i="28"/>
  <c r="BC371" i="28"/>
  <c r="BB371" i="28"/>
  <c r="BA371" i="28"/>
  <c r="AZ371" i="28"/>
  <c r="BE371" i="28" s="1"/>
  <c r="AY371" i="28"/>
  <c r="AX371" i="28"/>
  <c r="AW371" i="28"/>
  <c r="AV371" i="28"/>
  <c r="BH370" i="28"/>
  <c r="BG370" i="28"/>
  <c r="BF370" i="28"/>
  <c r="BD370" i="28"/>
  <c r="BC370" i="28"/>
  <c r="BB370" i="28"/>
  <c r="BA370" i="28"/>
  <c r="AZ370" i="28"/>
  <c r="BE370" i="28" s="1"/>
  <c r="AY370" i="28"/>
  <c r="AX370" i="28"/>
  <c r="AW370" i="28"/>
  <c r="AV370" i="28"/>
  <c r="BH369" i="28"/>
  <c r="BG369" i="28"/>
  <c r="BF369" i="28"/>
  <c r="BD369" i="28"/>
  <c r="BC369" i="28"/>
  <c r="BB369" i="28"/>
  <c r="BA369" i="28"/>
  <c r="AZ369" i="28"/>
  <c r="BE369" i="28" s="1"/>
  <c r="AY369" i="28"/>
  <c r="AX369" i="28"/>
  <c r="AW369" i="28"/>
  <c r="AV369" i="28"/>
  <c r="BH368" i="28"/>
  <c r="BG368" i="28"/>
  <c r="BF368" i="28"/>
  <c r="BD368" i="28"/>
  <c r="BC368" i="28"/>
  <c r="BB368" i="28"/>
  <c r="BA368" i="28"/>
  <c r="AZ368" i="28"/>
  <c r="BE368" i="28" s="1"/>
  <c r="AY368" i="28"/>
  <c r="AX368" i="28"/>
  <c r="AW368" i="28"/>
  <c r="AV368" i="28"/>
  <c r="BH367" i="28"/>
  <c r="BG367" i="28"/>
  <c r="BF367" i="28"/>
  <c r="BD367" i="28"/>
  <c r="BC367" i="28"/>
  <c r="BB367" i="28"/>
  <c r="BA367" i="28"/>
  <c r="AZ367" i="28"/>
  <c r="BE367" i="28" s="1"/>
  <c r="AY367" i="28"/>
  <c r="AX367" i="28"/>
  <c r="AW367" i="28"/>
  <c r="AV367" i="28"/>
  <c r="AR367" i="28"/>
  <c r="BH366" i="28"/>
  <c r="BG366" i="28"/>
  <c r="BF366" i="28"/>
  <c r="BD366" i="28"/>
  <c r="BC366" i="28"/>
  <c r="BB366" i="28"/>
  <c r="BA366" i="28"/>
  <c r="AZ366" i="28"/>
  <c r="BE366" i="28" s="1"/>
  <c r="AY366" i="28"/>
  <c r="AX366" i="28"/>
  <c r="AW366" i="28"/>
  <c r="AV366" i="28"/>
  <c r="AR366" i="28"/>
  <c r="BH365" i="28"/>
  <c r="BG365" i="28"/>
  <c r="BF365" i="28"/>
  <c r="BD365" i="28"/>
  <c r="BC365" i="28"/>
  <c r="BB365" i="28"/>
  <c r="BA365" i="28"/>
  <c r="AZ365" i="28"/>
  <c r="BE365" i="28" s="1"/>
  <c r="AY365" i="28"/>
  <c r="AX365" i="28"/>
  <c r="AW365" i="28"/>
  <c r="AV365" i="28"/>
  <c r="AR365" i="28"/>
  <c r="BH364" i="28"/>
  <c r="BG364" i="28"/>
  <c r="BF364" i="28"/>
  <c r="BD364" i="28"/>
  <c r="BC364" i="28"/>
  <c r="BB364" i="28"/>
  <c r="BA364" i="28"/>
  <c r="AZ364" i="28"/>
  <c r="BE364" i="28" s="1"/>
  <c r="AY364" i="28"/>
  <c r="AX364" i="28"/>
  <c r="AW364" i="28"/>
  <c r="AV364" i="28"/>
  <c r="AR364" i="28"/>
  <c r="BH363" i="28"/>
  <c r="BG363" i="28"/>
  <c r="BF363" i="28"/>
  <c r="BD363" i="28"/>
  <c r="BC363" i="28"/>
  <c r="BB363" i="28"/>
  <c r="BA363" i="28"/>
  <c r="AZ363" i="28"/>
  <c r="BE363" i="28" s="1"/>
  <c r="AY363" i="28"/>
  <c r="AX363" i="28"/>
  <c r="AW363" i="28"/>
  <c r="AV363" i="28"/>
  <c r="AR363" i="28"/>
  <c r="BH362" i="28"/>
  <c r="BG362" i="28"/>
  <c r="BF362" i="28"/>
  <c r="BD362" i="28"/>
  <c r="BC362" i="28"/>
  <c r="BB362" i="28"/>
  <c r="BA362" i="28"/>
  <c r="AZ362" i="28"/>
  <c r="BE362" i="28" s="1"/>
  <c r="AY362" i="28"/>
  <c r="AX362" i="28"/>
  <c r="AW362" i="28"/>
  <c r="AV362" i="28"/>
  <c r="AR362" i="28"/>
  <c r="BH361" i="28"/>
  <c r="BG361" i="28"/>
  <c r="BF361" i="28"/>
  <c r="BD361" i="28"/>
  <c r="BC361" i="28"/>
  <c r="BB361" i="28"/>
  <c r="BA361" i="28"/>
  <c r="AZ361" i="28"/>
  <c r="BE361" i="28" s="1"/>
  <c r="AY361" i="28"/>
  <c r="AX361" i="28"/>
  <c r="AW361" i="28"/>
  <c r="AV361" i="28"/>
  <c r="AR361" i="28"/>
  <c r="BH360" i="28"/>
  <c r="BG360" i="28"/>
  <c r="BF360" i="28"/>
  <c r="BD360" i="28"/>
  <c r="BC360" i="28"/>
  <c r="BB360" i="28"/>
  <c r="BA360" i="28"/>
  <c r="AZ360" i="28"/>
  <c r="BE360" i="28" s="1"/>
  <c r="AY360" i="28"/>
  <c r="AX360" i="28"/>
  <c r="AW360" i="28"/>
  <c r="AV360" i="28"/>
  <c r="AR360" i="28"/>
  <c r="BH359" i="28"/>
  <c r="BG359" i="28"/>
  <c r="BF359" i="28"/>
  <c r="BD359" i="28"/>
  <c r="BC359" i="28"/>
  <c r="BB359" i="28"/>
  <c r="BA359" i="28"/>
  <c r="AZ359" i="28"/>
  <c r="BE359" i="28" s="1"/>
  <c r="AY359" i="28"/>
  <c r="AX359" i="28"/>
  <c r="AW359" i="28"/>
  <c r="AV359" i="28"/>
  <c r="AR359" i="28"/>
  <c r="BH358" i="28"/>
  <c r="BG358" i="28"/>
  <c r="BF358" i="28"/>
  <c r="BD358" i="28"/>
  <c r="BC358" i="28"/>
  <c r="BB358" i="28"/>
  <c r="BA358" i="28"/>
  <c r="AZ358" i="28"/>
  <c r="BE358" i="28" s="1"/>
  <c r="AY358" i="28"/>
  <c r="AX358" i="28"/>
  <c r="AW358" i="28"/>
  <c r="AV358" i="28"/>
  <c r="AR358" i="28"/>
  <c r="BH357" i="28"/>
  <c r="BG357" i="28"/>
  <c r="BF357" i="28"/>
  <c r="BD357" i="28"/>
  <c r="BC357" i="28"/>
  <c r="BB357" i="28"/>
  <c r="BA357" i="28"/>
  <c r="AZ357" i="28"/>
  <c r="BE357" i="28" s="1"/>
  <c r="AY357" i="28"/>
  <c r="AX357" i="28"/>
  <c r="AW357" i="28"/>
  <c r="AV357" i="28"/>
  <c r="AR357" i="28"/>
  <c r="BH356" i="28"/>
  <c r="BG356" i="28"/>
  <c r="BF356" i="28"/>
  <c r="BD356" i="28"/>
  <c r="BC356" i="28"/>
  <c r="BB356" i="28"/>
  <c r="BA356" i="28"/>
  <c r="AZ356" i="28"/>
  <c r="BE356" i="28" s="1"/>
  <c r="AY356" i="28"/>
  <c r="AX356" i="28"/>
  <c r="AW356" i="28"/>
  <c r="AV356" i="28"/>
  <c r="AR356" i="28"/>
  <c r="AS356" i="28" s="1"/>
  <c r="BH355" i="28"/>
  <c r="BG355" i="28"/>
  <c r="BF355" i="28"/>
  <c r="BD355" i="28"/>
  <c r="BC355" i="28"/>
  <c r="BB355" i="28"/>
  <c r="BA355" i="28"/>
  <c r="AZ355" i="28"/>
  <c r="BE355" i="28" s="1"/>
  <c r="AY355" i="28"/>
  <c r="AX355" i="28"/>
  <c r="AW355" i="28"/>
  <c r="AV355" i="28"/>
  <c r="AR355" i="28"/>
  <c r="BH354" i="28"/>
  <c r="BG354" i="28"/>
  <c r="BF354" i="28"/>
  <c r="BD354" i="28"/>
  <c r="BC354" i="28"/>
  <c r="BB354" i="28"/>
  <c r="BA354" i="28"/>
  <c r="AZ354" i="28"/>
  <c r="BE354" i="28" s="1"/>
  <c r="AW354" i="28"/>
  <c r="AV354" i="28"/>
  <c r="AR354" i="28"/>
  <c r="AU354" i="28" s="1"/>
  <c r="BH353" i="28"/>
  <c r="BG353" i="28"/>
  <c r="BF353" i="28"/>
  <c r="BD353" i="28"/>
  <c r="BC353" i="28"/>
  <c r="BB353" i="28"/>
  <c r="BA353" i="28"/>
  <c r="AZ353" i="28"/>
  <c r="BE353" i="28" s="1"/>
  <c r="AW353" i="28"/>
  <c r="AV353" i="28"/>
  <c r="AR353" i="28"/>
  <c r="AS353" i="28" s="1"/>
  <c r="BH352" i="28"/>
  <c r="BG352" i="28"/>
  <c r="BF352" i="28"/>
  <c r="BD352" i="28"/>
  <c r="BC352" i="28"/>
  <c r="BB352" i="28"/>
  <c r="BA352" i="28"/>
  <c r="AZ352" i="28"/>
  <c r="BE352" i="28" s="1"/>
  <c r="AW352" i="28"/>
  <c r="AV352" i="28"/>
  <c r="AR352" i="28"/>
  <c r="BH351" i="28"/>
  <c r="BG351" i="28"/>
  <c r="BF351" i="28"/>
  <c r="BD351" i="28"/>
  <c r="BC351" i="28"/>
  <c r="BB351" i="28"/>
  <c r="BA351" i="28"/>
  <c r="AZ351" i="28"/>
  <c r="BE351" i="28" s="1"/>
  <c r="AY351" i="28"/>
  <c r="AX351" i="28"/>
  <c r="AW351" i="28"/>
  <c r="AV351" i="28"/>
  <c r="AR351" i="28"/>
  <c r="BH350" i="28"/>
  <c r="BG350" i="28"/>
  <c r="BF350" i="28"/>
  <c r="BD350" i="28"/>
  <c r="BC350" i="28"/>
  <c r="BB350" i="28"/>
  <c r="BA350" i="28"/>
  <c r="AZ350" i="28"/>
  <c r="BE350" i="28" s="1"/>
  <c r="AY350" i="28"/>
  <c r="AX350" i="28"/>
  <c r="AW350" i="28"/>
  <c r="AV350" i="28"/>
  <c r="AR350" i="28"/>
  <c r="BH349" i="28"/>
  <c r="BG349" i="28"/>
  <c r="BF349" i="28"/>
  <c r="BD349" i="28"/>
  <c r="BC349" i="28"/>
  <c r="BB349" i="28"/>
  <c r="BA349" i="28"/>
  <c r="AZ349" i="28"/>
  <c r="BE349" i="28" s="1"/>
  <c r="AY349" i="28"/>
  <c r="AX349" i="28"/>
  <c r="AW349" i="28"/>
  <c r="AV349" i="28"/>
  <c r="AR349" i="28"/>
  <c r="BH348" i="28"/>
  <c r="BG348" i="28"/>
  <c r="BF348" i="28"/>
  <c r="BD348" i="28"/>
  <c r="BC348" i="28"/>
  <c r="BB348" i="28"/>
  <c r="BA348" i="28"/>
  <c r="AZ348" i="28"/>
  <c r="BE348" i="28" s="1"/>
  <c r="AY348" i="28"/>
  <c r="AX348" i="28"/>
  <c r="AW348" i="28"/>
  <c r="AV348" i="28"/>
  <c r="AR348" i="28"/>
  <c r="BH347" i="28"/>
  <c r="BG347" i="28"/>
  <c r="BF347" i="28"/>
  <c r="BD347" i="28"/>
  <c r="BC347" i="28"/>
  <c r="BB347" i="28"/>
  <c r="BA347" i="28"/>
  <c r="AZ347" i="28"/>
  <c r="BE347" i="28" s="1"/>
  <c r="AY347" i="28"/>
  <c r="AX347" i="28"/>
  <c r="AW347" i="28"/>
  <c r="AV347" i="28"/>
  <c r="AR347" i="28"/>
  <c r="BH346" i="28"/>
  <c r="BG346" i="28"/>
  <c r="BF346" i="28"/>
  <c r="BD346" i="28"/>
  <c r="BC346" i="28"/>
  <c r="BB346" i="28"/>
  <c r="BA346" i="28"/>
  <c r="AZ346" i="28"/>
  <c r="BE346" i="28" s="1"/>
  <c r="AY346" i="28"/>
  <c r="AX346" i="28"/>
  <c r="AW346" i="28"/>
  <c r="AV346" i="28"/>
  <c r="AR346" i="28"/>
  <c r="BH345" i="28"/>
  <c r="BG345" i="28"/>
  <c r="BF345" i="28"/>
  <c r="BD345" i="28"/>
  <c r="BC345" i="28"/>
  <c r="BB345" i="28"/>
  <c r="BA345" i="28"/>
  <c r="AZ345" i="28"/>
  <c r="BE345" i="28" s="1"/>
  <c r="AY345" i="28"/>
  <c r="AX345" i="28"/>
  <c r="AW345" i="28"/>
  <c r="AV345" i="28"/>
  <c r="AR345" i="28"/>
  <c r="BH344" i="28"/>
  <c r="BG344" i="28"/>
  <c r="BF344" i="28"/>
  <c r="BD344" i="28"/>
  <c r="BC344" i="28"/>
  <c r="BB344" i="28"/>
  <c r="BA344" i="28"/>
  <c r="AZ344" i="28"/>
  <c r="BE344" i="28" s="1"/>
  <c r="AY344" i="28"/>
  <c r="AX344" i="28"/>
  <c r="AW344" i="28"/>
  <c r="AV344" i="28"/>
  <c r="AR344" i="28"/>
  <c r="AT344" i="28" s="1"/>
  <c r="BH343" i="28"/>
  <c r="BG343" i="28"/>
  <c r="BF343" i="28"/>
  <c r="BD343" i="28"/>
  <c r="BC343" i="28"/>
  <c r="BB343" i="28"/>
  <c r="BA343" i="28"/>
  <c r="AZ343" i="28"/>
  <c r="BE343" i="28" s="1"/>
  <c r="AY343" i="28"/>
  <c r="AX343" i="28"/>
  <c r="AW343" i="28"/>
  <c r="AV343" i="28"/>
  <c r="AR343" i="28"/>
  <c r="BH342" i="28"/>
  <c r="BG342" i="28"/>
  <c r="BF342" i="28"/>
  <c r="BD342" i="28"/>
  <c r="BC342" i="28"/>
  <c r="BB342" i="28"/>
  <c r="BA342" i="28"/>
  <c r="AZ342" i="28"/>
  <c r="BE342" i="28" s="1"/>
  <c r="AY342" i="28"/>
  <c r="AX342" i="28"/>
  <c r="AW342" i="28"/>
  <c r="AV342" i="28"/>
  <c r="AR342" i="28"/>
  <c r="AU342" i="28" s="1"/>
  <c r="BH341" i="28"/>
  <c r="BG341" i="28"/>
  <c r="BF341" i="28"/>
  <c r="BD341" i="28"/>
  <c r="BC341" i="28"/>
  <c r="BB341" i="28"/>
  <c r="BA341" i="28"/>
  <c r="AZ341" i="28"/>
  <c r="BE341" i="28" s="1"/>
  <c r="AY341" i="28"/>
  <c r="AX341" i="28"/>
  <c r="AW341" i="28"/>
  <c r="AV341" i="28"/>
  <c r="AR341" i="28"/>
  <c r="AT341" i="28" s="1"/>
  <c r="BH340" i="28"/>
  <c r="BG340" i="28"/>
  <c r="BF340" i="28"/>
  <c r="BD340" i="28"/>
  <c r="BC340" i="28"/>
  <c r="BB340" i="28"/>
  <c r="BA340" i="28"/>
  <c r="AZ340" i="28"/>
  <c r="BE340" i="28" s="1"/>
  <c r="AY340" i="28"/>
  <c r="AX340" i="28"/>
  <c r="AW340" i="28"/>
  <c r="AV340" i="28"/>
  <c r="AR340" i="28"/>
  <c r="BH339" i="28"/>
  <c r="BG339" i="28"/>
  <c r="BF339" i="28"/>
  <c r="BD339" i="28"/>
  <c r="BC339" i="28"/>
  <c r="BB339" i="28"/>
  <c r="BA339" i="28"/>
  <c r="AZ339" i="28"/>
  <c r="BE339" i="28" s="1"/>
  <c r="AY339" i="28"/>
  <c r="AX339" i="28"/>
  <c r="AW339" i="28"/>
  <c r="AV339" i="28"/>
  <c r="AR339" i="28"/>
  <c r="AS339" i="28" s="1"/>
  <c r="BH338" i="28"/>
  <c r="BG338" i="28"/>
  <c r="BF338" i="28"/>
  <c r="BD338" i="28"/>
  <c r="BC338" i="28"/>
  <c r="BB338" i="28"/>
  <c r="BA338" i="28"/>
  <c r="AZ338" i="28"/>
  <c r="BE338" i="28" s="1"/>
  <c r="AY338" i="28"/>
  <c r="AX338" i="28"/>
  <c r="AW338" i="28"/>
  <c r="AV338" i="28"/>
  <c r="AR338" i="28"/>
  <c r="BH337" i="28"/>
  <c r="BG337" i="28"/>
  <c r="BF337" i="28"/>
  <c r="BD337" i="28"/>
  <c r="BC337" i="28"/>
  <c r="BB337" i="28"/>
  <c r="BA337" i="28"/>
  <c r="AZ337" i="28"/>
  <c r="BE337" i="28" s="1"/>
  <c r="AY337" i="28"/>
  <c r="AX337" i="28"/>
  <c r="AW337" i="28"/>
  <c r="AV337" i="28"/>
  <c r="AR337" i="28"/>
  <c r="AS337" i="28" s="1"/>
  <c r="BH336" i="28"/>
  <c r="BG336" i="28"/>
  <c r="BF336" i="28"/>
  <c r="BD336" i="28"/>
  <c r="BC336" i="28"/>
  <c r="BB336" i="28"/>
  <c r="BA336" i="28"/>
  <c r="AZ336" i="28"/>
  <c r="BE336" i="28" s="1"/>
  <c r="AY336" i="28"/>
  <c r="AX336" i="28"/>
  <c r="AW336" i="28"/>
  <c r="AV336" i="28"/>
  <c r="AR336" i="28"/>
  <c r="AS336" i="28" s="1"/>
  <c r="BH335" i="28"/>
  <c r="BG335" i="28"/>
  <c r="BF335" i="28"/>
  <c r="BD335" i="28"/>
  <c r="BC335" i="28"/>
  <c r="BB335" i="28"/>
  <c r="BA335" i="28"/>
  <c r="AZ335" i="28"/>
  <c r="BE335" i="28" s="1"/>
  <c r="AY335" i="28"/>
  <c r="AX335" i="28"/>
  <c r="AW335" i="28"/>
  <c r="AV335" i="28"/>
  <c r="AR335" i="28"/>
  <c r="AS335" i="28" s="1"/>
  <c r="BH334" i="28"/>
  <c r="BG334" i="28"/>
  <c r="BF334" i="28"/>
  <c r="BD334" i="28"/>
  <c r="BC334" i="28"/>
  <c r="BB334" i="28"/>
  <c r="BA334" i="28"/>
  <c r="AZ334" i="28"/>
  <c r="BE334" i="28" s="1"/>
  <c r="AY334" i="28"/>
  <c r="AX334" i="28"/>
  <c r="AW334" i="28"/>
  <c r="AV334" i="28"/>
  <c r="AR334" i="28"/>
  <c r="BH333" i="28"/>
  <c r="BG333" i="28"/>
  <c r="BF333" i="28"/>
  <c r="BD333" i="28"/>
  <c r="BC333" i="28"/>
  <c r="BB333" i="28"/>
  <c r="BA333" i="28"/>
  <c r="AZ333" i="28"/>
  <c r="BE333" i="28" s="1"/>
  <c r="AY333" i="28"/>
  <c r="AX333" i="28"/>
  <c r="AW333" i="28"/>
  <c r="AV333" i="28"/>
  <c r="AR333" i="28"/>
  <c r="BH332" i="28"/>
  <c r="BG332" i="28"/>
  <c r="BF332" i="28"/>
  <c r="BD332" i="28"/>
  <c r="BC332" i="28"/>
  <c r="BB332" i="28"/>
  <c r="BA332" i="28"/>
  <c r="AZ332" i="28"/>
  <c r="BE332" i="28" s="1"/>
  <c r="AY332" i="28"/>
  <c r="AX332" i="28"/>
  <c r="AW332" i="28"/>
  <c r="AV332" i="28"/>
  <c r="AR332" i="28"/>
  <c r="BH331" i="28"/>
  <c r="BG331" i="28"/>
  <c r="BF331" i="28"/>
  <c r="BD331" i="28"/>
  <c r="BC331" i="28"/>
  <c r="BB331" i="28"/>
  <c r="BA331" i="28"/>
  <c r="AZ331" i="28"/>
  <c r="BE331" i="28" s="1"/>
  <c r="AY331" i="28"/>
  <c r="AX331" i="28"/>
  <c r="AW331" i="28"/>
  <c r="AV331" i="28"/>
  <c r="AR331" i="28"/>
  <c r="BH330" i="28"/>
  <c r="BG330" i="28"/>
  <c r="BF330" i="28"/>
  <c r="BD330" i="28"/>
  <c r="BC330" i="28"/>
  <c r="BB330" i="28"/>
  <c r="BA330" i="28"/>
  <c r="AZ330" i="28"/>
  <c r="BE330" i="28" s="1"/>
  <c r="AY330" i="28"/>
  <c r="AX330" i="28"/>
  <c r="AW330" i="28"/>
  <c r="AV330" i="28"/>
  <c r="AR330" i="28"/>
  <c r="AU330" i="28" s="1"/>
  <c r="BH329" i="28"/>
  <c r="BG329" i="28"/>
  <c r="BF329" i="28"/>
  <c r="BD329" i="28"/>
  <c r="BC329" i="28"/>
  <c r="BB329" i="28"/>
  <c r="BA329" i="28"/>
  <c r="AZ329" i="28"/>
  <c r="BE329" i="28" s="1"/>
  <c r="AY329" i="28"/>
  <c r="AX329" i="28"/>
  <c r="AW329" i="28"/>
  <c r="AV329" i="28"/>
  <c r="AR329" i="28"/>
  <c r="AS329" i="28" s="1"/>
  <c r="BH328" i="28"/>
  <c r="BG328" i="28"/>
  <c r="BF328" i="28"/>
  <c r="BD328" i="28"/>
  <c r="BC328" i="28"/>
  <c r="BB328" i="28"/>
  <c r="BA328" i="28"/>
  <c r="AZ328" i="28"/>
  <c r="BE328" i="28" s="1"/>
  <c r="AY328" i="28"/>
  <c r="AX328" i="28"/>
  <c r="AW328" i="28"/>
  <c r="AV328" i="28"/>
  <c r="AR328" i="28"/>
  <c r="BH327" i="28"/>
  <c r="BG327" i="28"/>
  <c r="BF327" i="28"/>
  <c r="BD327" i="28"/>
  <c r="BC327" i="28"/>
  <c r="BB327" i="28"/>
  <c r="BA327" i="28"/>
  <c r="AZ327" i="28"/>
  <c r="BE327" i="28" s="1"/>
  <c r="AY327" i="28"/>
  <c r="AX327" i="28"/>
  <c r="AW327" i="28"/>
  <c r="AV327" i="28"/>
  <c r="AR327" i="28"/>
  <c r="BH326" i="28"/>
  <c r="BG326" i="28"/>
  <c r="BF326" i="28"/>
  <c r="BD326" i="28"/>
  <c r="BC326" i="28"/>
  <c r="BB326" i="28"/>
  <c r="BA326" i="28"/>
  <c r="AZ326" i="28"/>
  <c r="BE326" i="28" s="1"/>
  <c r="AY326" i="28"/>
  <c r="AX326" i="28"/>
  <c r="AW326" i="28"/>
  <c r="AV326" i="28"/>
  <c r="AR326" i="28"/>
  <c r="BH325" i="28"/>
  <c r="BG325" i="28"/>
  <c r="BF325" i="28"/>
  <c r="BD325" i="28"/>
  <c r="BC325" i="28"/>
  <c r="BB325" i="28"/>
  <c r="BA325" i="28"/>
  <c r="AZ325" i="28"/>
  <c r="BE325" i="28" s="1"/>
  <c r="AY325" i="28"/>
  <c r="AX325" i="28"/>
  <c r="AW325" i="28"/>
  <c r="AV325" i="28"/>
  <c r="AR325" i="28"/>
  <c r="BH324" i="28"/>
  <c r="BG324" i="28"/>
  <c r="BF324" i="28"/>
  <c r="BD324" i="28"/>
  <c r="BC324" i="28"/>
  <c r="BB324" i="28"/>
  <c r="BA324" i="28"/>
  <c r="AZ324" i="28"/>
  <c r="BE324" i="28" s="1"/>
  <c r="AY324" i="28"/>
  <c r="AX324" i="28"/>
  <c r="AW324" i="28"/>
  <c r="AV324" i="28"/>
  <c r="AR324" i="28"/>
  <c r="BH323" i="28"/>
  <c r="BG323" i="28"/>
  <c r="BF323" i="28"/>
  <c r="BD323" i="28"/>
  <c r="BC323" i="28"/>
  <c r="BB323" i="28"/>
  <c r="BA323" i="28"/>
  <c r="AZ323" i="28"/>
  <c r="BE323" i="28" s="1"/>
  <c r="AY323" i="28"/>
  <c r="AX323" i="28"/>
  <c r="AW323" i="28"/>
  <c r="AV323" i="28"/>
  <c r="AR323" i="28"/>
  <c r="AS323" i="28" s="1"/>
  <c r="BH322" i="28"/>
  <c r="BG322" i="28"/>
  <c r="BF322" i="28"/>
  <c r="BD322" i="28"/>
  <c r="BC322" i="28"/>
  <c r="BB322" i="28"/>
  <c r="BA322" i="28"/>
  <c r="AZ322" i="28"/>
  <c r="BE322" i="28" s="1"/>
  <c r="AY322" i="28"/>
  <c r="AX322" i="28"/>
  <c r="AW322" i="28"/>
  <c r="AV322" i="28"/>
  <c r="AR322" i="28"/>
  <c r="BH321" i="28"/>
  <c r="BG321" i="28"/>
  <c r="BF321" i="28"/>
  <c r="BD321" i="28"/>
  <c r="BC321" i="28"/>
  <c r="BB321" i="28"/>
  <c r="BA321" i="28"/>
  <c r="AZ321" i="28"/>
  <c r="BE321" i="28" s="1"/>
  <c r="AY321" i="28"/>
  <c r="AX321" i="28"/>
  <c r="AW321" i="28"/>
  <c r="AV321" i="28"/>
  <c r="AR321" i="28"/>
  <c r="BH320" i="28"/>
  <c r="BG320" i="28"/>
  <c r="BF320" i="28"/>
  <c r="BD320" i="28"/>
  <c r="BC320" i="28"/>
  <c r="BB320" i="28"/>
  <c r="BA320" i="28"/>
  <c r="AZ320" i="28"/>
  <c r="BE320" i="28" s="1"/>
  <c r="AY320" i="28"/>
  <c r="AX320" i="28"/>
  <c r="AW320" i="28"/>
  <c r="AV320" i="28"/>
  <c r="AR320" i="28"/>
  <c r="AU320" i="28" s="1"/>
  <c r="BH319" i="28"/>
  <c r="BG319" i="28"/>
  <c r="BF319" i="28"/>
  <c r="BD319" i="28"/>
  <c r="BC319" i="28"/>
  <c r="BB319" i="28"/>
  <c r="BA319" i="28"/>
  <c r="AZ319" i="28"/>
  <c r="BE319" i="28" s="1"/>
  <c r="AY319" i="28"/>
  <c r="AX319" i="28"/>
  <c r="AW319" i="28"/>
  <c r="AV319" i="28"/>
  <c r="AR319" i="28"/>
  <c r="BH318" i="28"/>
  <c r="BG318" i="28"/>
  <c r="BF318" i="28"/>
  <c r="BD318" i="28"/>
  <c r="BC318" i="28"/>
  <c r="BB318" i="28"/>
  <c r="BA318" i="28"/>
  <c r="AZ318" i="28"/>
  <c r="BE318" i="28" s="1"/>
  <c r="AY318" i="28"/>
  <c r="AX318" i="28"/>
  <c r="AW318" i="28"/>
  <c r="AV318" i="28"/>
  <c r="AR318" i="28"/>
  <c r="BH317" i="28"/>
  <c r="BG317" i="28"/>
  <c r="BF317" i="28"/>
  <c r="BD317" i="28"/>
  <c r="BC317" i="28"/>
  <c r="BB317" i="28"/>
  <c r="BA317" i="28"/>
  <c r="AZ317" i="28"/>
  <c r="BE317" i="28" s="1"/>
  <c r="AY317" i="28"/>
  <c r="AX317" i="28"/>
  <c r="AW317" i="28"/>
  <c r="AV317" i="28"/>
  <c r="AR317" i="28"/>
  <c r="BH316" i="28"/>
  <c r="BG316" i="28"/>
  <c r="BF316" i="28"/>
  <c r="BD316" i="28"/>
  <c r="BC316" i="28"/>
  <c r="BB316" i="28"/>
  <c r="BA316" i="28"/>
  <c r="AZ316" i="28"/>
  <c r="BE316" i="28" s="1"/>
  <c r="AY316" i="28"/>
  <c r="AX316" i="28"/>
  <c r="AW316" i="28"/>
  <c r="AV316" i="28"/>
  <c r="AR316" i="28"/>
  <c r="BH315" i="28"/>
  <c r="BG315" i="28"/>
  <c r="BF315" i="28"/>
  <c r="BD315" i="28"/>
  <c r="BC315" i="28"/>
  <c r="BB315" i="28"/>
  <c r="BA315" i="28"/>
  <c r="AZ315" i="28"/>
  <c r="BE315" i="28" s="1"/>
  <c r="AY315" i="28"/>
  <c r="AX315" i="28"/>
  <c r="AW315" i="28"/>
  <c r="AV315" i="28"/>
  <c r="AR315" i="28"/>
  <c r="BH314" i="28"/>
  <c r="BG314" i="28"/>
  <c r="BF314" i="28"/>
  <c r="BD314" i="28"/>
  <c r="BC314" i="28"/>
  <c r="BB314" i="28"/>
  <c r="BA314" i="28"/>
  <c r="AZ314" i="28"/>
  <c r="BE314" i="28" s="1"/>
  <c r="AY314" i="28"/>
  <c r="AX314" i="28"/>
  <c r="AW314" i="28"/>
  <c r="AV314" i="28"/>
  <c r="AR314" i="28"/>
  <c r="BH313" i="28"/>
  <c r="BG313" i="28"/>
  <c r="BF313" i="28"/>
  <c r="BD313" i="28"/>
  <c r="BC313" i="28"/>
  <c r="BB313" i="28"/>
  <c r="BA313" i="28"/>
  <c r="AZ313" i="28"/>
  <c r="BE313" i="28" s="1"/>
  <c r="AY313" i="28"/>
  <c r="AX313" i="28"/>
  <c r="AW313" i="28"/>
  <c r="AV313" i="28"/>
  <c r="AR313" i="28"/>
  <c r="BH312" i="28"/>
  <c r="BG312" i="28"/>
  <c r="BF312" i="28"/>
  <c r="BD312" i="28"/>
  <c r="BC312" i="28"/>
  <c r="BB312" i="28"/>
  <c r="BA312" i="28"/>
  <c r="AZ312" i="28"/>
  <c r="BE312" i="28" s="1"/>
  <c r="AY312" i="28"/>
  <c r="AX312" i="28"/>
  <c r="AW312" i="28"/>
  <c r="AV312" i="28"/>
  <c r="AR312" i="28"/>
  <c r="BH311" i="28"/>
  <c r="BG311" i="28"/>
  <c r="BF311" i="28"/>
  <c r="BD311" i="28"/>
  <c r="BC311" i="28"/>
  <c r="BB311" i="28"/>
  <c r="BA311" i="28"/>
  <c r="AZ311" i="28"/>
  <c r="BE311" i="28" s="1"/>
  <c r="AY311" i="28"/>
  <c r="AX311" i="28"/>
  <c r="AW311" i="28"/>
  <c r="AV311" i="28"/>
  <c r="AR311" i="28"/>
  <c r="BH310" i="28"/>
  <c r="BG310" i="28"/>
  <c r="BF310" i="28"/>
  <c r="BD310" i="28"/>
  <c r="BC310" i="28"/>
  <c r="BB310" i="28"/>
  <c r="BA310" i="28"/>
  <c r="AZ310" i="28"/>
  <c r="BE310" i="28" s="1"/>
  <c r="AY310" i="28"/>
  <c r="AX310" i="28"/>
  <c r="AW310" i="28"/>
  <c r="AV310" i="28"/>
  <c r="AR310" i="28"/>
  <c r="AT310" i="28" s="1"/>
  <c r="BH309" i="28"/>
  <c r="BG309" i="28"/>
  <c r="BF309" i="28"/>
  <c r="BD309" i="28"/>
  <c r="BC309" i="28"/>
  <c r="BB309" i="28"/>
  <c r="BA309" i="28"/>
  <c r="AZ309" i="28"/>
  <c r="BE309" i="28" s="1"/>
  <c r="AY309" i="28"/>
  <c r="AX309" i="28"/>
  <c r="AW309" i="28"/>
  <c r="AV309" i="28"/>
  <c r="AR309" i="28"/>
  <c r="BH308" i="28"/>
  <c r="BG308" i="28"/>
  <c r="BF308" i="28"/>
  <c r="BD308" i="28"/>
  <c r="BC308" i="28"/>
  <c r="BB308" i="28"/>
  <c r="BA308" i="28"/>
  <c r="AZ308" i="28"/>
  <c r="BE308" i="28" s="1"/>
  <c r="AY308" i="28"/>
  <c r="AX308" i="28"/>
  <c r="AW308" i="28"/>
  <c r="AV308" i="28"/>
  <c r="AR308" i="28"/>
  <c r="BH307" i="28"/>
  <c r="BG307" i="28"/>
  <c r="BF307" i="28"/>
  <c r="BD307" i="28"/>
  <c r="BC307" i="28"/>
  <c r="BB307" i="28"/>
  <c r="BA307" i="28"/>
  <c r="AZ307" i="28"/>
  <c r="BE307" i="28" s="1"/>
  <c r="AY307" i="28"/>
  <c r="AX307" i="28"/>
  <c r="AW307" i="28"/>
  <c r="AV307" i="28"/>
  <c r="AR307" i="28"/>
  <c r="BH306" i="28"/>
  <c r="BG306" i="28"/>
  <c r="BF306" i="28"/>
  <c r="BD306" i="28"/>
  <c r="BC306" i="28"/>
  <c r="BB306" i="28"/>
  <c r="BA306" i="28"/>
  <c r="AZ306" i="28"/>
  <c r="BE306" i="28" s="1"/>
  <c r="AY306" i="28"/>
  <c r="AX306" i="28"/>
  <c r="AW306" i="28"/>
  <c r="AV306" i="28"/>
  <c r="AR306" i="28"/>
  <c r="BH305" i="28"/>
  <c r="BG305" i="28"/>
  <c r="BF305" i="28"/>
  <c r="BD305" i="28"/>
  <c r="BC305" i="28"/>
  <c r="BB305" i="28"/>
  <c r="BA305" i="28"/>
  <c r="AZ305" i="28"/>
  <c r="BE305" i="28" s="1"/>
  <c r="AY305" i="28"/>
  <c r="AX305" i="28"/>
  <c r="AW305" i="28"/>
  <c r="AV305" i="28"/>
  <c r="AR305" i="28"/>
  <c r="BH304" i="28"/>
  <c r="BG304" i="28"/>
  <c r="BF304" i="28"/>
  <c r="BD304" i="28"/>
  <c r="BC304" i="28"/>
  <c r="BB304" i="28"/>
  <c r="BA304" i="28"/>
  <c r="AZ304" i="28"/>
  <c r="BE304" i="28" s="1"/>
  <c r="AY304" i="28"/>
  <c r="AX304" i="28"/>
  <c r="AW304" i="28"/>
  <c r="AV304" i="28"/>
  <c r="AR304" i="28"/>
  <c r="BH303" i="28"/>
  <c r="BG303" i="28"/>
  <c r="BF303" i="28"/>
  <c r="BD303" i="28"/>
  <c r="BC303" i="28"/>
  <c r="BB303" i="28"/>
  <c r="BA303" i="28"/>
  <c r="AZ303" i="28"/>
  <c r="BE303" i="28" s="1"/>
  <c r="AY303" i="28"/>
  <c r="AX303" i="28"/>
  <c r="AW303" i="28"/>
  <c r="AV303" i="28"/>
  <c r="AR303" i="28"/>
  <c r="BH302" i="28"/>
  <c r="BG302" i="28"/>
  <c r="BF302" i="28"/>
  <c r="BD302" i="28"/>
  <c r="BC302" i="28"/>
  <c r="BB302" i="28"/>
  <c r="BA302" i="28"/>
  <c r="AZ302" i="28"/>
  <c r="BE302" i="28" s="1"/>
  <c r="AY302" i="28"/>
  <c r="AX302" i="28"/>
  <c r="AW302" i="28"/>
  <c r="AV302" i="28"/>
  <c r="AR302" i="28"/>
  <c r="BH301" i="28"/>
  <c r="BG301" i="28"/>
  <c r="BF301" i="28"/>
  <c r="BD301" i="28"/>
  <c r="BC301" i="28"/>
  <c r="BB301" i="28"/>
  <c r="BA301" i="28"/>
  <c r="AZ301" i="28"/>
  <c r="BE301" i="28" s="1"/>
  <c r="AY301" i="28"/>
  <c r="AX301" i="28"/>
  <c r="AW301" i="28"/>
  <c r="AV301" i="28"/>
  <c r="AR301" i="28"/>
  <c r="BH300" i="28"/>
  <c r="BG300" i="28"/>
  <c r="BF300" i="28"/>
  <c r="BD300" i="28"/>
  <c r="BC300" i="28"/>
  <c r="BB300" i="28"/>
  <c r="BA300" i="28"/>
  <c r="AZ300" i="28"/>
  <c r="BE300" i="28" s="1"/>
  <c r="AY300" i="28"/>
  <c r="AX300" i="28"/>
  <c r="AW300" i="28"/>
  <c r="AV300" i="28"/>
  <c r="AR300" i="28"/>
  <c r="BH299" i="28"/>
  <c r="BG299" i="28"/>
  <c r="BF299" i="28"/>
  <c r="BD299" i="28"/>
  <c r="BC299" i="28"/>
  <c r="BB299" i="28"/>
  <c r="BA299" i="28"/>
  <c r="AZ299" i="28"/>
  <c r="BE299" i="28" s="1"/>
  <c r="AY299" i="28"/>
  <c r="AX299" i="28"/>
  <c r="AW299" i="28"/>
  <c r="AV299" i="28"/>
  <c r="AR299" i="28"/>
  <c r="BH298" i="28"/>
  <c r="BG298" i="28"/>
  <c r="BF298" i="28"/>
  <c r="BD298" i="28"/>
  <c r="BC298" i="28"/>
  <c r="BB298" i="28"/>
  <c r="BA298" i="28"/>
  <c r="AZ298" i="28"/>
  <c r="BE298" i="28" s="1"/>
  <c r="AY298" i="28"/>
  <c r="AX298" i="28"/>
  <c r="AW298" i="28"/>
  <c r="AV298" i="28"/>
  <c r="AR298" i="28"/>
  <c r="BH297" i="28"/>
  <c r="BG297" i="28"/>
  <c r="BF297" i="28"/>
  <c r="BD297" i="28"/>
  <c r="BC297" i="28"/>
  <c r="BB297" i="28"/>
  <c r="BA297" i="28"/>
  <c r="AZ297" i="28"/>
  <c r="BE297" i="28" s="1"/>
  <c r="AY297" i="28"/>
  <c r="AX297" i="28"/>
  <c r="AW297" i="28"/>
  <c r="AV297" i="28"/>
  <c r="AR297" i="28"/>
  <c r="BH296" i="28"/>
  <c r="BG296" i="28"/>
  <c r="BF296" i="28"/>
  <c r="BD296" i="28"/>
  <c r="BC296" i="28"/>
  <c r="BB296" i="28"/>
  <c r="BA296" i="28"/>
  <c r="AZ296" i="28"/>
  <c r="BE296" i="28" s="1"/>
  <c r="AY296" i="28"/>
  <c r="AX296" i="28"/>
  <c r="AW296" i="28"/>
  <c r="AV296" i="28"/>
  <c r="AR296" i="28"/>
  <c r="AS296" i="28" s="1"/>
  <c r="BH295" i="28"/>
  <c r="BG295" i="28"/>
  <c r="BF295" i="28"/>
  <c r="BD295" i="28"/>
  <c r="BC295" i="28"/>
  <c r="BB295" i="28"/>
  <c r="BA295" i="28"/>
  <c r="AZ295" i="28"/>
  <c r="BE295" i="28" s="1"/>
  <c r="AY295" i="28"/>
  <c r="AX295" i="28"/>
  <c r="AW295" i="28"/>
  <c r="AV295" i="28"/>
  <c r="AR295" i="28"/>
  <c r="AS295" i="28" s="1"/>
  <c r="BH294" i="28"/>
  <c r="BG294" i="28"/>
  <c r="BF294" i="28"/>
  <c r="BD294" i="28"/>
  <c r="BC294" i="28"/>
  <c r="BB294" i="28"/>
  <c r="BA294" i="28"/>
  <c r="AZ294" i="28"/>
  <c r="BE294" i="28" s="1"/>
  <c r="AY294" i="28"/>
  <c r="AX294" i="28"/>
  <c r="AW294" i="28"/>
  <c r="AV294" i="28"/>
  <c r="AR294" i="28"/>
  <c r="AT294" i="28" s="1"/>
  <c r="BH293" i="28"/>
  <c r="BG293" i="28"/>
  <c r="BF293" i="28"/>
  <c r="BD293" i="28"/>
  <c r="BC293" i="28"/>
  <c r="BB293" i="28"/>
  <c r="BA293" i="28"/>
  <c r="AZ293" i="28"/>
  <c r="BE293" i="28" s="1"/>
  <c r="AY293" i="28"/>
  <c r="AX293" i="28"/>
  <c r="AW293" i="28"/>
  <c r="AV293" i="28"/>
  <c r="AR293" i="28"/>
  <c r="AT293" i="28" s="1"/>
  <c r="BH292" i="28"/>
  <c r="BG292" i="28"/>
  <c r="BF292" i="28"/>
  <c r="BD292" i="28"/>
  <c r="BC292" i="28"/>
  <c r="BB292" i="28"/>
  <c r="BA292" i="28"/>
  <c r="AZ292" i="28"/>
  <c r="BE292" i="28" s="1"/>
  <c r="AY292" i="28"/>
  <c r="AX292" i="28"/>
  <c r="AW292" i="28"/>
  <c r="AV292" i="28"/>
  <c r="AR292" i="28"/>
  <c r="AU292" i="28" s="1"/>
  <c r="BH291" i="28"/>
  <c r="BG291" i="28"/>
  <c r="BF291" i="28"/>
  <c r="BD291" i="28"/>
  <c r="BC291" i="28"/>
  <c r="BB291" i="28"/>
  <c r="BA291" i="28"/>
  <c r="AZ291" i="28"/>
  <c r="BE291" i="28" s="1"/>
  <c r="AY291" i="28"/>
  <c r="AX291" i="28"/>
  <c r="AW291" i="28"/>
  <c r="AV291" i="28"/>
  <c r="AR291" i="28"/>
  <c r="AU291" i="28" s="1"/>
  <c r="BH290" i="28"/>
  <c r="BG290" i="28"/>
  <c r="BF290" i="28"/>
  <c r="BD290" i="28"/>
  <c r="BC290" i="28"/>
  <c r="BB290" i="28"/>
  <c r="BA290" i="28"/>
  <c r="AZ290" i="28"/>
  <c r="BE290" i="28" s="1"/>
  <c r="AY290" i="28"/>
  <c r="AX290" i="28"/>
  <c r="AW290" i="28"/>
  <c r="AV290" i="28"/>
  <c r="AR290" i="28"/>
  <c r="BH289" i="28"/>
  <c r="BG289" i="28"/>
  <c r="BF289" i="28"/>
  <c r="BD289" i="28"/>
  <c r="BC289" i="28"/>
  <c r="BB289" i="28"/>
  <c r="BA289" i="28"/>
  <c r="AZ289" i="28"/>
  <c r="BE289" i="28" s="1"/>
  <c r="AY289" i="28"/>
  <c r="AX289" i="28"/>
  <c r="AW289" i="28"/>
  <c r="AV289" i="28"/>
  <c r="AR289" i="28"/>
  <c r="AS289" i="28" s="1"/>
  <c r="BH288" i="28"/>
  <c r="BG288" i="28"/>
  <c r="BF288" i="28"/>
  <c r="BD288" i="28"/>
  <c r="BC288" i="28"/>
  <c r="BB288" i="28"/>
  <c r="BA288" i="28"/>
  <c r="AZ288" i="28"/>
  <c r="BE288" i="28" s="1"/>
  <c r="AY288" i="28"/>
  <c r="AX288" i="28"/>
  <c r="AW288" i="28"/>
  <c r="AV288" i="28"/>
  <c r="AR288" i="28"/>
  <c r="AT288" i="28" s="1"/>
  <c r="BH287" i="28"/>
  <c r="BG287" i="28"/>
  <c r="BF287" i="28"/>
  <c r="BD287" i="28"/>
  <c r="BC287" i="28"/>
  <c r="BB287" i="28"/>
  <c r="BA287" i="28"/>
  <c r="AZ287" i="28"/>
  <c r="BE287" i="28" s="1"/>
  <c r="AY287" i="28"/>
  <c r="AX287" i="28"/>
  <c r="AW287" i="28"/>
  <c r="AV287" i="28"/>
  <c r="AR287" i="28"/>
  <c r="BH286" i="28"/>
  <c r="BG286" i="28"/>
  <c r="BF286" i="28"/>
  <c r="BD286" i="28"/>
  <c r="BC286" i="28"/>
  <c r="BB286" i="28"/>
  <c r="BA286" i="28"/>
  <c r="AZ286" i="28"/>
  <c r="BE286" i="28" s="1"/>
  <c r="AY286" i="28"/>
  <c r="AX286" i="28"/>
  <c r="AW286" i="28"/>
  <c r="AV286" i="28"/>
  <c r="AR286" i="28"/>
  <c r="BH285" i="28"/>
  <c r="BG285" i="28"/>
  <c r="BF285" i="28"/>
  <c r="BD285" i="28"/>
  <c r="BC285" i="28"/>
  <c r="BB285" i="28"/>
  <c r="BA285" i="28"/>
  <c r="AZ285" i="28"/>
  <c r="BE285" i="28" s="1"/>
  <c r="AY285" i="28"/>
  <c r="AX285" i="28"/>
  <c r="AW285" i="28"/>
  <c r="AV285" i="28"/>
  <c r="AR285" i="28"/>
  <c r="BH284" i="28"/>
  <c r="BG284" i="28"/>
  <c r="BF284" i="28"/>
  <c r="BD284" i="28"/>
  <c r="BC284" i="28"/>
  <c r="BB284" i="28"/>
  <c r="BA284" i="28"/>
  <c r="AZ284" i="28"/>
  <c r="BE284" i="28" s="1"/>
  <c r="AY284" i="28"/>
  <c r="AX284" i="28"/>
  <c r="AW284" i="28"/>
  <c r="AV284" i="28"/>
  <c r="AR284" i="28"/>
  <c r="AT284" i="28" s="1"/>
  <c r="BH283" i="28"/>
  <c r="BG283" i="28"/>
  <c r="BF283" i="28"/>
  <c r="BD283" i="28"/>
  <c r="BC283" i="28"/>
  <c r="BB283" i="28"/>
  <c r="BA283" i="28"/>
  <c r="AZ283" i="28"/>
  <c r="BE283" i="28" s="1"/>
  <c r="AY283" i="28"/>
  <c r="AX283" i="28"/>
  <c r="AW283" i="28"/>
  <c r="AV283" i="28"/>
  <c r="AR283" i="28"/>
  <c r="AU283" i="28" s="1"/>
  <c r="BH282" i="28"/>
  <c r="BG282" i="28"/>
  <c r="BF282" i="28"/>
  <c r="BD282" i="28"/>
  <c r="BC282" i="28"/>
  <c r="BB282" i="28"/>
  <c r="BA282" i="28"/>
  <c r="AZ282" i="28"/>
  <c r="BE282" i="28" s="1"/>
  <c r="AY282" i="28"/>
  <c r="AX282" i="28"/>
  <c r="AW282" i="28"/>
  <c r="AV282" i="28"/>
  <c r="AR282" i="28"/>
  <c r="AT282" i="28" s="1"/>
  <c r="BH281" i="28"/>
  <c r="BG281" i="28"/>
  <c r="BF281" i="28"/>
  <c r="BD281" i="28"/>
  <c r="BC281" i="28"/>
  <c r="BB281" i="28"/>
  <c r="BA281" i="28"/>
  <c r="AZ281" i="28"/>
  <c r="BE281" i="28" s="1"/>
  <c r="AY281" i="28"/>
  <c r="AX281" i="28"/>
  <c r="AW281" i="28"/>
  <c r="AV281" i="28"/>
  <c r="AR281" i="28"/>
  <c r="BH280" i="28"/>
  <c r="BG280" i="28"/>
  <c r="BF280" i="28"/>
  <c r="BD280" i="28"/>
  <c r="BC280" i="28"/>
  <c r="BB280" i="28"/>
  <c r="BA280" i="28"/>
  <c r="AZ280" i="28"/>
  <c r="BE280" i="28" s="1"/>
  <c r="AY280" i="28"/>
  <c r="AX280" i="28"/>
  <c r="AW280" i="28"/>
  <c r="AV280" i="28"/>
  <c r="AR280" i="28"/>
  <c r="BH279" i="28"/>
  <c r="BG279" i="28"/>
  <c r="BF279" i="28"/>
  <c r="BD279" i="28"/>
  <c r="BC279" i="28"/>
  <c r="BB279" i="28"/>
  <c r="BA279" i="28"/>
  <c r="AZ279" i="28"/>
  <c r="BE279" i="28" s="1"/>
  <c r="AY279" i="28"/>
  <c r="AX279" i="28"/>
  <c r="AW279" i="28"/>
  <c r="AV279" i="28"/>
  <c r="AR279" i="28"/>
  <c r="BH278" i="28"/>
  <c r="BG278" i="28"/>
  <c r="BF278" i="28"/>
  <c r="BD278" i="28"/>
  <c r="BC278" i="28"/>
  <c r="BB278" i="28"/>
  <c r="BA278" i="28"/>
  <c r="AZ278" i="28"/>
  <c r="BE278" i="28" s="1"/>
  <c r="AY278" i="28"/>
  <c r="AX278" i="28"/>
  <c r="AW278" i="28"/>
  <c r="AV278" i="28"/>
  <c r="AR278" i="28"/>
  <c r="AT278" i="28" s="1"/>
  <c r="BH277" i="28"/>
  <c r="BG277" i="28"/>
  <c r="BF277" i="28"/>
  <c r="BD277" i="28"/>
  <c r="BC277" i="28"/>
  <c r="BB277" i="28"/>
  <c r="BA277" i="28"/>
  <c r="AZ277" i="28"/>
  <c r="BE277" i="28" s="1"/>
  <c r="AY277" i="28"/>
  <c r="AX277" i="28"/>
  <c r="AW277" i="28"/>
  <c r="AV277" i="28"/>
  <c r="AR277" i="28"/>
  <c r="BH276" i="28"/>
  <c r="BG276" i="28"/>
  <c r="BF276" i="28"/>
  <c r="BD276" i="28"/>
  <c r="BC276" i="28"/>
  <c r="BB276" i="28"/>
  <c r="BA276" i="28"/>
  <c r="AZ276" i="28"/>
  <c r="BE276" i="28" s="1"/>
  <c r="AY276" i="28"/>
  <c r="AX276" i="28"/>
  <c r="AW276" i="28"/>
  <c r="AV276" i="28"/>
  <c r="AR276" i="28"/>
  <c r="AT276" i="28" s="1"/>
  <c r="BH275" i="28"/>
  <c r="BG275" i="28"/>
  <c r="BF275" i="28"/>
  <c r="BD275" i="28"/>
  <c r="BC275" i="28"/>
  <c r="BB275" i="28"/>
  <c r="BA275" i="28"/>
  <c r="AZ275" i="28"/>
  <c r="BE275" i="28" s="1"/>
  <c r="AY275" i="28"/>
  <c r="AX275" i="28"/>
  <c r="AW275" i="28"/>
  <c r="AV275" i="28"/>
  <c r="AR275" i="28"/>
  <c r="AS275" i="28" s="1"/>
  <c r="BH274" i="28"/>
  <c r="BG274" i="28"/>
  <c r="BF274" i="28"/>
  <c r="BD274" i="28"/>
  <c r="BC274" i="28"/>
  <c r="BB274" i="28"/>
  <c r="BA274" i="28"/>
  <c r="AZ274" i="28"/>
  <c r="BE274" i="28" s="1"/>
  <c r="AY274" i="28"/>
  <c r="AX274" i="28"/>
  <c r="AW274" i="28"/>
  <c r="AV274" i="28"/>
  <c r="AR274" i="28"/>
  <c r="BH273" i="28"/>
  <c r="BG273" i="28"/>
  <c r="BF273" i="28"/>
  <c r="BD273" i="28"/>
  <c r="BC273" i="28"/>
  <c r="BB273" i="28"/>
  <c r="BA273" i="28"/>
  <c r="AZ273" i="28"/>
  <c r="BE273" i="28" s="1"/>
  <c r="AY273" i="28"/>
  <c r="AX273" i="28"/>
  <c r="AW273" i="28"/>
  <c r="AV273" i="28"/>
  <c r="AR273" i="28"/>
  <c r="AU273" i="28" s="1"/>
  <c r="BH272" i="28"/>
  <c r="BG272" i="28"/>
  <c r="BF272" i="28"/>
  <c r="BD272" i="28"/>
  <c r="BC272" i="28"/>
  <c r="BB272" i="28"/>
  <c r="BA272" i="28"/>
  <c r="AZ272" i="28"/>
  <c r="BE272" i="28" s="1"/>
  <c r="AY272" i="28"/>
  <c r="AX272" i="28"/>
  <c r="AW272" i="28"/>
  <c r="AV272" i="28"/>
  <c r="AR272" i="28"/>
  <c r="BH271" i="28"/>
  <c r="BG271" i="28"/>
  <c r="BF271" i="28"/>
  <c r="BD271" i="28"/>
  <c r="BC271" i="28"/>
  <c r="BB271" i="28"/>
  <c r="BA271" i="28"/>
  <c r="AZ271" i="28"/>
  <c r="BE271" i="28" s="1"/>
  <c r="AY271" i="28"/>
  <c r="AX271" i="28"/>
  <c r="AW271" i="28"/>
  <c r="AV271" i="28"/>
  <c r="AR271" i="28"/>
  <c r="BH270" i="28"/>
  <c r="BG270" i="28"/>
  <c r="BF270" i="28"/>
  <c r="BD270" i="28"/>
  <c r="BC270" i="28"/>
  <c r="BB270" i="28"/>
  <c r="BA270" i="28"/>
  <c r="AZ270" i="28"/>
  <c r="BE270" i="28" s="1"/>
  <c r="AY270" i="28"/>
  <c r="AX270" i="28"/>
  <c r="AW270" i="28"/>
  <c r="AV270" i="28"/>
  <c r="AR270" i="28"/>
  <c r="BH269" i="28"/>
  <c r="BG269" i="28"/>
  <c r="BF269" i="28"/>
  <c r="BD269" i="28"/>
  <c r="BC269" i="28"/>
  <c r="BB269" i="28"/>
  <c r="BA269" i="28"/>
  <c r="AZ269" i="28"/>
  <c r="BE269" i="28" s="1"/>
  <c r="AY269" i="28"/>
  <c r="AX269" i="28"/>
  <c r="AW269" i="28"/>
  <c r="AV269" i="28"/>
  <c r="AR269" i="28"/>
  <c r="AU269" i="28" s="1"/>
  <c r="BH268" i="28"/>
  <c r="BG268" i="28"/>
  <c r="BF268" i="28"/>
  <c r="BD268" i="28"/>
  <c r="BC268" i="28"/>
  <c r="BB268" i="28"/>
  <c r="BA268" i="28"/>
  <c r="AZ268" i="28"/>
  <c r="BE268" i="28" s="1"/>
  <c r="AY268" i="28"/>
  <c r="AX268" i="28"/>
  <c r="AW268" i="28"/>
  <c r="AV268" i="28"/>
  <c r="AR268" i="28"/>
  <c r="BH267" i="28"/>
  <c r="BG267" i="28"/>
  <c r="BF267" i="28"/>
  <c r="BD267" i="28"/>
  <c r="BC267" i="28"/>
  <c r="BB267" i="28"/>
  <c r="BA267" i="28"/>
  <c r="AZ267" i="28"/>
  <c r="BE267" i="28" s="1"/>
  <c r="AY267" i="28"/>
  <c r="AX267" i="28"/>
  <c r="AW267" i="28"/>
  <c r="AV267" i="28"/>
  <c r="AR267" i="28"/>
  <c r="BH266" i="28"/>
  <c r="BG266" i="28"/>
  <c r="BF266" i="28"/>
  <c r="BD266" i="28"/>
  <c r="BC266" i="28"/>
  <c r="BB266" i="28"/>
  <c r="BA266" i="28"/>
  <c r="AZ266" i="28"/>
  <c r="BE266" i="28" s="1"/>
  <c r="AY266" i="28"/>
  <c r="AX266" i="28"/>
  <c r="AW266" i="28"/>
  <c r="AV266" i="28"/>
  <c r="AR266" i="28"/>
  <c r="AS266" i="28" s="1"/>
  <c r="BH265" i="28"/>
  <c r="BG265" i="28"/>
  <c r="BF265" i="28"/>
  <c r="BD265" i="28"/>
  <c r="BC265" i="28"/>
  <c r="BB265" i="28"/>
  <c r="BA265" i="28"/>
  <c r="AZ265" i="28"/>
  <c r="BE265" i="28" s="1"/>
  <c r="AY265" i="28"/>
  <c r="AX265" i="28"/>
  <c r="AW265" i="28"/>
  <c r="AV265" i="28"/>
  <c r="AR265" i="28"/>
  <c r="BH264" i="28"/>
  <c r="BG264" i="28"/>
  <c r="BF264" i="28"/>
  <c r="BD264" i="28"/>
  <c r="BC264" i="28"/>
  <c r="BB264" i="28"/>
  <c r="BA264" i="28"/>
  <c r="AZ264" i="28"/>
  <c r="BE264" i="28" s="1"/>
  <c r="AY264" i="28"/>
  <c r="AX264" i="28"/>
  <c r="AW264" i="28"/>
  <c r="AV264" i="28"/>
  <c r="AR264" i="28"/>
  <c r="BH263" i="28"/>
  <c r="BG263" i="28"/>
  <c r="BF263" i="28"/>
  <c r="BD263" i="28"/>
  <c r="BC263" i="28"/>
  <c r="BB263" i="28"/>
  <c r="BA263" i="28"/>
  <c r="AZ263" i="28"/>
  <c r="BE263" i="28" s="1"/>
  <c r="AY263" i="28"/>
  <c r="AX263" i="28"/>
  <c r="AW263" i="28"/>
  <c r="AV263" i="28"/>
  <c r="AR263" i="28"/>
  <c r="AU263" i="28" s="1"/>
  <c r="BH262" i="28"/>
  <c r="BG262" i="28"/>
  <c r="BF262" i="28"/>
  <c r="BD262" i="28"/>
  <c r="BC262" i="28"/>
  <c r="BB262" i="28"/>
  <c r="BA262" i="28"/>
  <c r="AZ262" i="28"/>
  <c r="BE262" i="28" s="1"/>
  <c r="AY262" i="28"/>
  <c r="AX262" i="28"/>
  <c r="AW262" i="28"/>
  <c r="AV262" i="28"/>
  <c r="AR262" i="28"/>
  <c r="BH261" i="28"/>
  <c r="BG261" i="28"/>
  <c r="BF261" i="28"/>
  <c r="BD261" i="28"/>
  <c r="BC261" i="28"/>
  <c r="BB261" i="28"/>
  <c r="BA261" i="28"/>
  <c r="AZ261" i="28"/>
  <c r="BE261" i="28" s="1"/>
  <c r="AY261" i="28"/>
  <c r="AX261" i="28"/>
  <c r="AW261" i="28"/>
  <c r="AV261" i="28"/>
  <c r="AR261" i="28"/>
  <c r="AS261" i="28" s="1"/>
  <c r="BH260" i="28"/>
  <c r="BG260" i="28"/>
  <c r="BF260" i="28"/>
  <c r="BD260" i="28"/>
  <c r="BC260" i="28"/>
  <c r="BB260" i="28"/>
  <c r="BA260" i="28"/>
  <c r="AZ260" i="28"/>
  <c r="BE260" i="28" s="1"/>
  <c r="AY260" i="28"/>
  <c r="AX260" i="28"/>
  <c r="AW260" i="28"/>
  <c r="AV260" i="28"/>
  <c r="AR260" i="28"/>
  <c r="AS260" i="28" s="1"/>
  <c r="BH259" i="28"/>
  <c r="BG259" i="28"/>
  <c r="BF259" i="28"/>
  <c r="BD259" i="28"/>
  <c r="BC259" i="28"/>
  <c r="BB259" i="28"/>
  <c r="BA259" i="28"/>
  <c r="AZ259" i="28"/>
  <c r="BE259" i="28" s="1"/>
  <c r="AY259" i="28"/>
  <c r="AX259" i="28"/>
  <c r="AW259" i="28"/>
  <c r="AV259" i="28"/>
  <c r="AR259" i="28"/>
  <c r="BH258" i="28"/>
  <c r="BG258" i="28"/>
  <c r="BF258" i="28"/>
  <c r="BD258" i="28"/>
  <c r="BC258" i="28"/>
  <c r="BB258" i="28"/>
  <c r="BA258" i="28"/>
  <c r="AZ258" i="28"/>
  <c r="BE258" i="28" s="1"/>
  <c r="AY258" i="28"/>
  <c r="AX258" i="28"/>
  <c r="AW258" i="28"/>
  <c r="AV258" i="28"/>
  <c r="AR258" i="28"/>
  <c r="BH257" i="28"/>
  <c r="BG257" i="28"/>
  <c r="BF257" i="28"/>
  <c r="BD257" i="28"/>
  <c r="BC257" i="28"/>
  <c r="BB257" i="28"/>
  <c r="BA257" i="28"/>
  <c r="AZ257" i="28"/>
  <c r="BE257" i="28" s="1"/>
  <c r="AY257" i="28"/>
  <c r="AX257" i="28"/>
  <c r="AW257" i="28"/>
  <c r="AV257" i="28"/>
  <c r="AR257" i="28"/>
  <c r="BH256" i="28"/>
  <c r="BG256" i="28"/>
  <c r="BF256" i="28"/>
  <c r="BD256" i="28"/>
  <c r="BC256" i="28"/>
  <c r="BB256" i="28"/>
  <c r="BA256" i="28"/>
  <c r="AZ256" i="28"/>
  <c r="BE256" i="28" s="1"/>
  <c r="AY256" i="28"/>
  <c r="AX256" i="28"/>
  <c r="AW256" i="28"/>
  <c r="AV256" i="28"/>
  <c r="AR256" i="28"/>
  <c r="AU256" i="28" s="1"/>
  <c r="BH255" i="28"/>
  <c r="BG255" i="28"/>
  <c r="BF255" i="28"/>
  <c r="BD255" i="28"/>
  <c r="BC255" i="28"/>
  <c r="BB255" i="28"/>
  <c r="BA255" i="28"/>
  <c r="AZ255" i="28"/>
  <c r="BE255" i="28" s="1"/>
  <c r="AY255" i="28"/>
  <c r="AX255" i="28"/>
  <c r="AW255" i="28"/>
  <c r="AV255" i="28"/>
  <c r="AR255" i="28"/>
  <c r="AT255" i="28" s="1"/>
  <c r="BH254" i="28"/>
  <c r="BG254" i="28"/>
  <c r="BF254" i="28"/>
  <c r="BD254" i="28"/>
  <c r="BC254" i="28"/>
  <c r="BB254" i="28"/>
  <c r="BA254" i="28"/>
  <c r="AZ254" i="28"/>
  <c r="BE254" i="28" s="1"/>
  <c r="AY254" i="28"/>
  <c r="AX254" i="28"/>
  <c r="AW254" i="28"/>
  <c r="AV254" i="28"/>
  <c r="AR254" i="28"/>
  <c r="AS254" i="28" s="1"/>
  <c r="BH253" i="28"/>
  <c r="BG253" i="28"/>
  <c r="BF253" i="28"/>
  <c r="BD253" i="28"/>
  <c r="BC253" i="28"/>
  <c r="BB253" i="28"/>
  <c r="BA253" i="28"/>
  <c r="AZ253" i="28"/>
  <c r="BE253" i="28" s="1"/>
  <c r="AY253" i="28"/>
  <c r="AX253" i="28"/>
  <c r="AW253" i="28"/>
  <c r="AV253" i="28"/>
  <c r="AR253" i="28"/>
  <c r="BH252" i="28"/>
  <c r="BG252" i="28"/>
  <c r="BF252" i="28"/>
  <c r="BD252" i="28"/>
  <c r="BC252" i="28"/>
  <c r="BB252" i="28"/>
  <c r="BA252" i="28"/>
  <c r="AZ252" i="28"/>
  <c r="BE252" i="28" s="1"/>
  <c r="AY252" i="28"/>
  <c r="AX252" i="28"/>
  <c r="AW252" i="28"/>
  <c r="AV252" i="28"/>
  <c r="AR252" i="28"/>
  <c r="AT252" i="28" s="1"/>
  <c r="BH251" i="28"/>
  <c r="BG251" i="28"/>
  <c r="BF251" i="28"/>
  <c r="BD251" i="28"/>
  <c r="BC251" i="28"/>
  <c r="BB251" i="28"/>
  <c r="BA251" i="28"/>
  <c r="AZ251" i="28"/>
  <c r="BE251" i="28" s="1"/>
  <c r="AY251" i="28"/>
  <c r="AX251" i="28"/>
  <c r="AW251" i="28"/>
  <c r="AV251" i="28"/>
  <c r="AR251" i="28"/>
  <c r="BH250" i="28"/>
  <c r="BG250" i="28"/>
  <c r="BF250" i="28"/>
  <c r="BD250" i="28"/>
  <c r="BC250" i="28"/>
  <c r="BB250" i="28"/>
  <c r="BA250" i="28"/>
  <c r="AZ250" i="28"/>
  <c r="BE250" i="28" s="1"/>
  <c r="AY250" i="28"/>
  <c r="AX250" i="28"/>
  <c r="AW250" i="28"/>
  <c r="AV250" i="28"/>
  <c r="AR250" i="28"/>
  <c r="BH249" i="28"/>
  <c r="BG249" i="28"/>
  <c r="BF249" i="28"/>
  <c r="BD249" i="28"/>
  <c r="BC249" i="28"/>
  <c r="BB249" i="28"/>
  <c r="BA249" i="28"/>
  <c r="AZ249" i="28"/>
  <c r="BE249" i="28" s="1"/>
  <c r="AY249" i="28"/>
  <c r="AX249" i="28"/>
  <c r="AW249" i="28"/>
  <c r="AV249" i="28"/>
  <c r="AR249" i="28"/>
  <c r="BH248" i="28"/>
  <c r="BG248" i="28"/>
  <c r="BF248" i="28"/>
  <c r="BD248" i="28"/>
  <c r="BC248" i="28"/>
  <c r="BB248" i="28"/>
  <c r="BA248" i="28"/>
  <c r="AZ248" i="28"/>
  <c r="BE248" i="28" s="1"/>
  <c r="AY248" i="28"/>
  <c r="AX248" i="28"/>
  <c r="AW248" i="28"/>
  <c r="AV248" i="28"/>
  <c r="AR248" i="28"/>
  <c r="BH247" i="28"/>
  <c r="BG247" i="28"/>
  <c r="BF247" i="28"/>
  <c r="BD247" i="28"/>
  <c r="BC247" i="28"/>
  <c r="BB247" i="28"/>
  <c r="BA247" i="28"/>
  <c r="AZ247" i="28"/>
  <c r="BE247" i="28" s="1"/>
  <c r="AY247" i="28"/>
  <c r="AX247" i="28"/>
  <c r="AW247" i="28"/>
  <c r="AV247" i="28"/>
  <c r="AR247" i="28"/>
  <c r="AU247" i="28" s="1"/>
  <c r="BH246" i="28"/>
  <c r="BG246" i="28"/>
  <c r="BF246" i="28"/>
  <c r="BD246" i="28"/>
  <c r="BC246" i="28"/>
  <c r="BB246" i="28"/>
  <c r="BA246" i="28"/>
  <c r="AZ246" i="28"/>
  <c r="BE246" i="28" s="1"/>
  <c r="AY246" i="28"/>
  <c r="AX246" i="28"/>
  <c r="AW246" i="28"/>
  <c r="AV246" i="28"/>
  <c r="AR246" i="28"/>
  <c r="BH245" i="28"/>
  <c r="BG245" i="28"/>
  <c r="BF245" i="28"/>
  <c r="BD245" i="28"/>
  <c r="BC245" i="28"/>
  <c r="BB245" i="28"/>
  <c r="BA245" i="28"/>
  <c r="AZ245" i="28"/>
  <c r="BE245" i="28" s="1"/>
  <c r="AY245" i="28"/>
  <c r="AX245" i="28"/>
  <c r="AW245" i="28"/>
  <c r="AV245" i="28"/>
  <c r="AR245" i="28"/>
  <c r="BH244" i="28"/>
  <c r="BG244" i="28"/>
  <c r="BF244" i="28"/>
  <c r="BD244" i="28"/>
  <c r="BC244" i="28"/>
  <c r="BB244" i="28"/>
  <c r="BA244" i="28"/>
  <c r="AZ244" i="28"/>
  <c r="BE244" i="28" s="1"/>
  <c r="AY244" i="28"/>
  <c r="AX244" i="28"/>
  <c r="AW244" i="28"/>
  <c r="AV244" i="28"/>
  <c r="AR244" i="28"/>
  <c r="BH243" i="28"/>
  <c r="BG243" i="28"/>
  <c r="BF243" i="28"/>
  <c r="BD243" i="28"/>
  <c r="BC243" i="28"/>
  <c r="BB243" i="28"/>
  <c r="BA243" i="28"/>
  <c r="AZ243" i="28"/>
  <c r="BE243" i="28" s="1"/>
  <c r="AY243" i="28"/>
  <c r="AX243" i="28"/>
  <c r="AW243" i="28"/>
  <c r="AV243" i="28"/>
  <c r="AR243" i="28"/>
  <c r="BH242" i="28"/>
  <c r="BG242" i="28"/>
  <c r="BF242" i="28"/>
  <c r="BD242" i="28"/>
  <c r="BC242" i="28"/>
  <c r="BB242" i="28"/>
  <c r="BA242" i="28"/>
  <c r="AZ242" i="28"/>
  <c r="BE242" i="28" s="1"/>
  <c r="AY242" i="28"/>
  <c r="AX242" i="28"/>
  <c r="AW242" i="28"/>
  <c r="AV242" i="28"/>
  <c r="AR242" i="28"/>
  <c r="BH241" i="28"/>
  <c r="BG241" i="28"/>
  <c r="BF241" i="28"/>
  <c r="BD241" i="28"/>
  <c r="BC241" i="28"/>
  <c r="BB241" i="28"/>
  <c r="BA241" i="28"/>
  <c r="AZ241" i="28"/>
  <c r="BE241" i="28" s="1"/>
  <c r="AY241" i="28"/>
  <c r="AX241" i="28"/>
  <c r="AW241" i="28"/>
  <c r="AV241" i="28"/>
  <c r="AR241" i="28"/>
  <c r="BH240" i="28"/>
  <c r="BG240" i="28"/>
  <c r="BF240" i="28"/>
  <c r="BD240" i="28"/>
  <c r="BC240" i="28"/>
  <c r="BB240" i="28"/>
  <c r="BA240" i="28"/>
  <c r="AZ240" i="28"/>
  <c r="BE240" i="28" s="1"/>
  <c r="AY240" i="28"/>
  <c r="AX240" i="28"/>
  <c r="AW240" i="28"/>
  <c r="AV240" i="28"/>
  <c r="AR240" i="28"/>
  <c r="BH239" i="28"/>
  <c r="BG239" i="28"/>
  <c r="BF239" i="28"/>
  <c r="BD239" i="28"/>
  <c r="BC239" i="28"/>
  <c r="BB239" i="28"/>
  <c r="BA239" i="28"/>
  <c r="AZ239" i="28"/>
  <c r="BE239" i="28" s="1"/>
  <c r="AY239" i="28"/>
  <c r="AX239" i="28"/>
  <c r="AW239" i="28"/>
  <c r="AV239" i="28"/>
  <c r="AR239" i="28"/>
  <c r="BH238" i="28"/>
  <c r="BG238" i="28"/>
  <c r="BF238" i="28"/>
  <c r="BD238" i="28"/>
  <c r="BC238" i="28"/>
  <c r="BB238" i="28"/>
  <c r="BA238" i="28"/>
  <c r="AZ238" i="28"/>
  <c r="BE238" i="28" s="1"/>
  <c r="AY238" i="28"/>
  <c r="AX238" i="28"/>
  <c r="AW238" i="28"/>
  <c r="AV238" i="28"/>
  <c r="AR238" i="28"/>
  <c r="BH237" i="28"/>
  <c r="BG237" i="28"/>
  <c r="BF237" i="28"/>
  <c r="BD237" i="28"/>
  <c r="BC237" i="28"/>
  <c r="BB237" i="28"/>
  <c r="BA237" i="28"/>
  <c r="AZ237" i="28"/>
  <c r="BE237" i="28" s="1"/>
  <c r="AY237" i="28"/>
  <c r="AX237" i="28"/>
  <c r="AW237" i="28"/>
  <c r="AV237" i="28"/>
  <c r="AR237" i="28"/>
  <c r="BH236" i="28"/>
  <c r="BG236" i="28"/>
  <c r="BF236" i="28"/>
  <c r="BD236" i="28"/>
  <c r="BC236" i="28"/>
  <c r="BB236" i="28"/>
  <c r="BA236" i="28"/>
  <c r="AZ236" i="28"/>
  <c r="BE236" i="28" s="1"/>
  <c r="AY236" i="28"/>
  <c r="AX236" i="28"/>
  <c r="AW236" i="28"/>
  <c r="AV236" i="28"/>
  <c r="AR236" i="28"/>
  <c r="BH235" i="28"/>
  <c r="BG235" i="28"/>
  <c r="BF235" i="28"/>
  <c r="BD235" i="28"/>
  <c r="BC235" i="28"/>
  <c r="BB235" i="28"/>
  <c r="BA235" i="28"/>
  <c r="AZ235" i="28"/>
  <c r="BE235" i="28" s="1"/>
  <c r="AY235" i="28"/>
  <c r="AX235" i="28"/>
  <c r="AW235" i="28"/>
  <c r="AV235" i="28"/>
  <c r="AR235" i="28"/>
  <c r="BH234" i="28"/>
  <c r="BG234" i="28"/>
  <c r="BF234" i="28"/>
  <c r="BD234" i="28"/>
  <c r="BC234" i="28"/>
  <c r="BB234" i="28"/>
  <c r="BA234" i="28"/>
  <c r="AZ234" i="28"/>
  <c r="BE234" i="28" s="1"/>
  <c r="AY234" i="28"/>
  <c r="AX234" i="28"/>
  <c r="AW234" i="28"/>
  <c r="AV234" i="28"/>
  <c r="AR234" i="28"/>
  <c r="BH233" i="28"/>
  <c r="BG233" i="28"/>
  <c r="BF233" i="28"/>
  <c r="BD233" i="28"/>
  <c r="BC233" i="28"/>
  <c r="BB233" i="28"/>
  <c r="BA233" i="28"/>
  <c r="AZ233" i="28"/>
  <c r="BE233" i="28" s="1"/>
  <c r="AY233" i="28"/>
  <c r="AX233" i="28"/>
  <c r="AW233" i="28"/>
  <c r="AV233" i="28"/>
  <c r="AR233" i="28"/>
  <c r="BH232" i="28"/>
  <c r="BG232" i="28"/>
  <c r="BF232" i="28"/>
  <c r="BD232" i="28"/>
  <c r="BC232" i="28"/>
  <c r="BB232" i="28"/>
  <c r="BA232" i="28"/>
  <c r="AZ232" i="28"/>
  <c r="BE232" i="28" s="1"/>
  <c r="AY232" i="28"/>
  <c r="AX232" i="28"/>
  <c r="AW232" i="28"/>
  <c r="AV232" i="28"/>
  <c r="AR232" i="28"/>
  <c r="BH231" i="28"/>
  <c r="BG231" i="28"/>
  <c r="BF231" i="28"/>
  <c r="BD231" i="28"/>
  <c r="BC231" i="28"/>
  <c r="BB231" i="28"/>
  <c r="BA231" i="28"/>
  <c r="AZ231" i="28"/>
  <c r="BE231" i="28" s="1"/>
  <c r="AY231" i="28"/>
  <c r="AX231" i="28"/>
  <c r="AW231" i="28"/>
  <c r="AV231" i="28"/>
  <c r="AR231" i="28"/>
  <c r="BH230" i="28"/>
  <c r="BG230" i="28"/>
  <c r="BF230" i="28"/>
  <c r="BD230" i="28"/>
  <c r="BC230" i="28"/>
  <c r="BB230" i="28"/>
  <c r="BA230" i="28"/>
  <c r="AZ230" i="28"/>
  <c r="BE230" i="28" s="1"/>
  <c r="AY230" i="28"/>
  <c r="AX230" i="28"/>
  <c r="AW230" i="28"/>
  <c r="AV230" i="28"/>
  <c r="AR230" i="28"/>
  <c r="BH229" i="28"/>
  <c r="BG229" i="28"/>
  <c r="BF229" i="28"/>
  <c r="BD229" i="28"/>
  <c r="BC229" i="28"/>
  <c r="BB229" i="28"/>
  <c r="BA229" i="28"/>
  <c r="AZ229" i="28"/>
  <c r="BE229" i="28" s="1"/>
  <c r="AY229" i="28"/>
  <c r="AX229" i="28"/>
  <c r="AW229" i="28"/>
  <c r="AV229" i="28"/>
  <c r="AR229" i="28"/>
  <c r="BH228" i="28"/>
  <c r="BG228" i="28"/>
  <c r="BF228" i="28"/>
  <c r="BD228" i="28"/>
  <c r="BC228" i="28"/>
  <c r="BB228" i="28"/>
  <c r="BA228" i="28"/>
  <c r="AZ228" i="28"/>
  <c r="BE228" i="28" s="1"/>
  <c r="AY228" i="28"/>
  <c r="AX228" i="28"/>
  <c r="AW228" i="28"/>
  <c r="AV228" i="28"/>
  <c r="AR228" i="28"/>
  <c r="BH227" i="28"/>
  <c r="BG227" i="28"/>
  <c r="BF227" i="28"/>
  <c r="BD227" i="28"/>
  <c r="BC227" i="28"/>
  <c r="BB227" i="28"/>
  <c r="BA227" i="28"/>
  <c r="AZ227" i="28"/>
  <c r="BE227" i="28" s="1"/>
  <c r="AY227" i="28"/>
  <c r="AX227" i="28"/>
  <c r="AW227" i="28"/>
  <c r="AV227" i="28"/>
  <c r="AR227" i="28"/>
  <c r="BH226" i="28"/>
  <c r="BG226" i="28"/>
  <c r="BF226" i="28"/>
  <c r="BD226" i="28"/>
  <c r="BC226" i="28"/>
  <c r="BB226" i="28"/>
  <c r="BA226" i="28"/>
  <c r="AZ226" i="28"/>
  <c r="BE226" i="28" s="1"/>
  <c r="AY226" i="28"/>
  <c r="AX226" i="28"/>
  <c r="AW226" i="28"/>
  <c r="AV226" i="28"/>
  <c r="AR226" i="28"/>
  <c r="BH225" i="28"/>
  <c r="BG225" i="28"/>
  <c r="BF225" i="28"/>
  <c r="BD225" i="28"/>
  <c r="BC225" i="28"/>
  <c r="BB225" i="28"/>
  <c r="BA225" i="28"/>
  <c r="AZ225" i="28"/>
  <c r="BE225" i="28" s="1"/>
  <c r="AY225" i="28"/>
  <c r="AX225" i="28"/>
  <c r="AW225" i="28"/>
  <c r="AV225" i="28"/>
  <c r="BH224" i="28"/>
  <c r="BG224" i="28"/>
  <c r="BF224" i="28"/>
  <c r="BD224" i="28"/>
  <c r="BC224" i="28"/>
  <c r="BB224" i="28"/>
  <c r="BA224" i="28"/>
  <c r="AZ224" i="28"/>
  <c r="BE224" i="28" s="1"/>
  <c r="AY224" i="28"/>
  <c r="AX224" i="28"/>
  <c r="AW224" i="28"/>
  <c r="AV224" i="28"/>
  <c r="BH223" i="28"/>
  <c r="BG223" i="28"/>
  <c r="BF223" i="28"/>
  <c r="BD223" i="28"/>
  <c r="BC223" i="28"/>
  <c r="BB223" i="28"/>
  <c r="BA223" i="28"/>
  <c r="AZ223" i="28"/>
  <c r="BE223" i="28" s="1"/>
  <c r="AY223" i="28"/>
  <c r="AX223" i="28"/>
  <c r="AW223" i="28"/>
  <c r="AV223" i="28"/>
  <c r="BH222" i="28"/>
  <c r="BG222" i="28"/>
  <c r="BF222" i="28"/>
  <c r="BD222" i="28"/>
  <c r="BC222" i="28"/>
  <c r="BB222" i="28"/>
  <c r="BA222" i="28"/>
  <c r="AZ222" i="28"/>
  <c r="BE222" i="28" s="1"/>
  <c r="AY222" i="28"/>
  <c r="AX222" i="28"/>
  <c r="AW222" i="28"/>
  <c r="AV222" i="28"/>
  <c r="BH221" i="28"/>
  <c r="BG221" i="28"/>
  <c r="BF221" i="28"/>
  <c r="BD221" i="28"/>
  <c r="BC221" i="28"/>
  <c r="BB221" i="28"/>
  <c r="BA221" i="28"/>
  <c r="AZ221" i="28"/>
  <c r="BE221" i="28" s="1"/>
  <c r="AY221" i="28"/>
  <c r="AX221" i="28"/>
  <c r="AW221" i="28"/>
  <c r="AV221" i="28"/>
  <c r="BH220" i="28"/>
  <c r="BG220" i="28"/>
  <c r="BF220" i="28"/>
  <c r="BD220" i="28"/>
  <c r="BC220" i="28"/>
  <c r="BB220" i="28"/>
  <c r="BA220" i="28"/>
  <c r="AZ220" i="28"/>
  <c r="BE220" i="28" s="1"/>
  <c r="AY220" i="28"/>
  <c r="AX220" i="28"/>
  <c r="AW220" i="28"/>
  <c r="AV220" i="28"/>
  <c r="BH219" i="28"/>
  <c r="BG219" i="28"/>
  <c r="BF219" i="28"/>
  <c r="BD219" i="28"/>
  <c r="BC219" i="28"/>
  <c r="BB219" i="28"/>
  <c r="BA219" i="28"/>
  <c r="AZ219" i="28"/>
  <c r="BE219" i="28" s="1"/>
  <c r="AY219" i="28"/>
  <c r="AX219" i="28"/>
  <c r="AW219" i="28"/>
  <c r="AV219" i="28"/>
  <c r="BH218" i="28"/>
  <c r="BG218" i="28"/>
  <c r="BF218" i="28"/>
  <c r="BD218" i="28"/>
  <c r="BC218" i="28"/>
  <c r="BB218" i="28"/>
  <c r="BA218" i="28"/>
  <c r="AZ218" i="28"/>
  <c r="BE218" i="28" s="1"/>
  <c r="AY218" i="28"/>
  <c r="AX218" i="28"/>
  <c r="AW218" i="28"/>
  <c r="AV218" i="28"/>
  <c r="BH217" i="28"/>
  <c r="BG217" i="28"/>
  <c r="BF217" i="28"/>
  <c r="BD217" i="28"/>
  <c r="BC217" i="28"/>
  <c r="BB217" i="28"/>
  <c r="BA217" i="28"/>
  <c r="AZ217" i="28"/>
  <c r="BE217" i="28" s="1"/>
  <c r="AY217" i="28"/>
  <c r="AX217" i="28"/>
  <c r="AW217" i="28"/>
  <c r="AV217" i="28"/>
  <c r="BH216" i="28"/>
  <c r="BG216" i="28"/>
  <c r="BF216" i="28"/>
  <c r="BD216" i="28"/>
  <c r="BC216" i="28"/>
  <c r="BB216" i="28"/>
  <c r="BA216" i="28"/>
  <c r="AZ216" i="28"/>
  <c r="BE216" i="28" s="1"/>
  <c r="AY216" i="28"/>
  <c r="AX216" i="28"/>
  <c r="AW216" i="28"/>
  <c r="AV216" i="28"/>
  <c r="AR216" i="28"/>
  <c r="BH215" i="28"/>
  <c r="BG215" i="28"/>
  <c r="BF215" i="28"/>
  <c r="BD215" i="28"/>
  <c r="BC215" i="28"/>
  <c r="BB215" i="28"/>
  <c r="BA215" i="28"/>
  <c r="AZ215" i="28"/>
  <c r="BE215" i="28" s="1"/>
  <c r="AY215" i="28"/>
  <c r="AX215" i="28"/>
  <c r="AW215" i="28"/>
  <c r="AV215" i="28"/>
  <c r="AR215" i="28"/>
  <c r="BH214" i="28"/>
  <c r="BG214" i="28"/>
  <c r="BF214" i="28"/>
  <c r="BD214" i="28"/>
  <c r="BC214" i="28"/>
  <c r="BB214" i="28"/>
  <c r="BA214" i="28"/>
  <c r="AZ214" i="28"/>
  <c r="BE214" i="28" s="1"/>
  <c r="AY214" i="28"/>
  <c r="AX214" i="28"/>
  <c r="AW214" i="28"/>
  <c r="AV214" i="28"/>
  <c r="AR214" i="28"/>
  <c r="AT214" i="28" s="1"/>
  <c r="BH213" i="28"/>
  <c r="BG213" i="28"/>
  <c r="BF213" i="28"/>
  <c r="BD213" i="28"/>
  <c r="BC213" i="28"/>
  <c r="BB213" i="28"/>
  <c r="BA213" i="28"/>
  <c r="AZ213" i="28"/>
  <c r="BE213" i="28" s="1"/>
  <c r="AY213" i="28"/>
  <c r="AX213" i="28"/>
  <c r="AW213" i="28"/>
  <c r="AV213" i="28"/>
  <c r="AR213" i="28"/>
  <c r="AU213" i="28" s="1"/>
  <c r="BH212" i="28"/>
  <c r="BG212" i="28"/>
  <c r="BF212" i="28"/>
  <c r="BD212" i="28"/>
  <c r="BC212" i="28"/>
  <c r="BB212" i="28"/>
  <c r="BA212" i="28"/>
  <c r="AZ212" i="28"/>
  <c r="BE212" i="28" s="1"/>
  <c r="AY212" i="28"/>
  <c r="AX212" i="28"/>
  <c r="AW212" i="28"/>
  <c r="AV212" i="28"/>
  <c r="AR212" i="28"/>
  <c r="BH211" i="28"/>
  <c r="BG211" i="28"/>
  <c r="BF211" i="28"/>
  <c r="BD211" i="28"/>
  <c r="BC211" i="28"/>
  <c r="BB211" i="28"/>
  <c r="BA211" i="28"/>
  <c r="AZ211" i="28"/>
  <c r="BE211" i="28" s="1"/>
  <c r="AY211" i="28"/>
  <c r="AX211" i="28"/>
  <c r="AW211" i="28"/>
  <c r="AV211" i="28"/>
  <c r="AR211" i="28"/>
  <c r="BH210" i="28"/>
  <c r="BG210" i="28"/>
  <c r="BF210" i="28"/>
  <c r="BD210" i="28"/>
  <c r="BC210" i="28"/>
  <c r="BB210" i="28"/>
  <c r="BA210" i="28"/>
  <c r="AZ210" i="28"/>
  <c r="BE210" i="28" s="1"/>
  <c r="AY210" i="28"/>
  <c r="AX210" i="28"/>
  <c r="AW210" i="28"/>
  <c r="AV210" i="28"/>
  <c r="AR210" i="28"/>
  <c r="AS210" i="28"/>
  <c r="BH209" i="28"/>
  <c r="BG209" i="28"/>
  <c r="BF209" i="28"/>
  <c r="BD209" i="28"/>
  <c r="BC209" i="28"/>
  <c r="BB209" i="28"/>
  <c r="BA209" i="28"/>
  <c r="AZ209" i="28"/>
  <c r="BE209" i="28" s="1"/>
  <c r="AY209" i="28"/>
  <c r="AX209" i="28"/>
  <c r="AW209" i="28"/>
  <c r="AV209" i="28"/>
  <c r="AR209" i="28"/>
  <c r="BH208" i="28"/>
  <c r="BG208" i="28"/>
  <c r="BF208" i="28"/>
  <c r="BD208" i="28"/>
  <c r="BC208" i="28"/>
  <c r="BB208" i="28"/>
  <c r="BA208" i="28"/>
  <c r="AZ208" i="28"/>
  <c r="BE208" i="28" s="1"/>
  <c r="AY208" i="28"/>
  <c r="AX208" i="28"/>
  <c r="AW208" i="28"/>
  <c r="AV208" i="28"/>
  <c r="AR208" i="28"/>
  <c r="BH207" i="28"/>
  <c r="BG207" i="28"/>
  <c r="BF207" i="28"/>
  <c r="BD207" i="28"/>
  <c r="BC207" i="28"/>
  <c r="BB207" i="28"/>
  <c r="BA207" i="28"/>
  <c r="AZ207" i="28"/>
  <c r="BE207" i="28" s="1"/>
  <c r="AY207" i="28"/>
  <c r="AX207" i="28"/>
  <c r="AW207" i="28"/>
  <c r="AV207" i="28"/>
  <c r="AR207" i="28"/>
  <c r="BH206" i="28"/>
  <c r="BG206" i="28"/>
  <c r="BF206" i="28"/>
  <c r="BD206" i="28"/>
  <c r="BC206" i="28"/>
  <c r="BB206" i="28"/>
  <c r="BA206" i="28"/>
  <c r="AZ206" i="28"/>
  <c r="BE206" i="28" s="1"/>
  <c r="AY206" i="28"/>
  <c r="AX206" i="28"/>
  <c r="AW206" i="28"/>
  <c r="AV206" i="28"/>
  <c r="AR206" i="28"/>
  <c r="AT206" i="28" s="1"/>
  <c r="BH205" i="28"/>
  <c r="BG205" i="28"/>
  <c r="BF205" i="28"/>
  <c r="BD205" i="28"/>
  <c r="BC205" i="28"/>
  <c r="BB205" i="28"/>
  <c r="BA205" i="28"/>
  <c r="AZ205" i="28"/>
  <c r="BE205" i="28" s="1"/>
  <c r="AY205" i="28"/>
  <c r="AX205" i="28"/>
  <c r="AW205" i="28"/>
  <c r="AV205" i="28"/>
  <c r="AR205" i="28"/>
  <c r="BH204" i="28"/>
  <c r="BG204" i="28"/>
  <c r="BF204" i="28"/>
  <c r="BD204" i="28"/>
  <c r="BC204" i="28"/>
  <c r="BB204" i="28"/>
  <c r="BA204" i="28"/>
  <c r="AZ204" i="28"/>
  <c r="BE204" i="28" s="1"/>
  <c r="AY204" i="28"/>
  <c r="AX204" i="28"/>
  <c r="AW204" i="28"/>
  <c r="AV204" i="28"/>
  <c r="AR204" i="28"/>
  <c r="BH203" i="28"/>
  <c r="BG203" i="28"/>
  <c r="BF203" i="28"/>
  <c r="BD203" i="28"/>
  <c r="BC203" i="28"/>
  <c r="BB203" i="28"/>
  <c r="BA203" i="28"/>
  <c r="AZ203" i="28"/>
  <c r="BE203" i="28" s="1"/>
  <c r="AY203" i="28"/>
  <c r="AX203" i="28"/>
  <c r="AW203" i="28"/>
  <c r="AV203" i="28"/>
  <c r="AR203" i="28"/>
  <c r="BH202" i="28"/>
  <c r="BG202" i="28"/>
  <c r="BF202" i="28"/>
  <c r="BD202" i="28"/>
  <c r="BC202" i="28"/>
  <c r="BB202" i="28"/>
  <c r="BA202" i="28"/>
  <c r="AZ202" i="28"/>
  <c r="BE202" i="28" s="1"/>
  <c r="AY202" i="28"/>
  <c r="AX202" i="28"/>
  <c r="AW202" i="28"/>
  <c r="AV202" i="28"/>
  <c r="AR202" i="28"/>
  <c r="BH201" i="28"/>
  <c r="BG201" i="28"/>
  <c r="BF201" i="28"/>
  <c r="BD201" i="28"/>
  <c r="BC201" i="28"/>
  <c r="BB201" i="28"/>
  <c r="BA201" i="28"/>
  <c r="AZ201" i="28"/>
  <c r="BE201" i="28" s="1"/>
  <c r="AY201" i="28"/>
  <c r="AX201" i="28"/>
  <c r="AW201" i="28"/>
  <c r="AV201" i="28"/>
  <c r="AR201" i="28"/>
  <c r="BH200" i="28"/>
  <c r="BG200" i="28"/>
  <c r="BF200" i="28"/>
  <c r="BD200" i="28"/>
  <c r="BC200" i="28"/>
  <c r="BB200" i="28"/>
  <c r="BA200" i="28"/>
  <c r="AZ200" i="28"/>
  <c r="BE200" i="28" s="1"/>
  <c r="AY200" i="28"/>
  <c r="AX200" i="28"/>
  <c r="AW200" i="28"/>
  <c r="AV200" i="28"/>
  <c r="AR200" i="28"/>
  <c r="BH199" i="28"/>
  <c r="BG199" i="28"/>
  <c r="BF199" i="28"/>
  <c r="BD199" i="28"/>
  <c r="BC199" i="28"/>
  <c r="BB199" i="28"/>
  <c r="BA199" i="28"/>
  <c r="AZ199" i="28"/>
  <c r="BE199" i="28" s="1"/>
  <c r="AY199" i="28"/>
  <c r="AX199" i="28"/>
  <c r="AW199" i="28"/>
  <c r="AV199" i="28"/>
  <c r="AR199" i="28"/>
  <c r="BH198" i="28"/>
  <c r="BG198" i="28"/>
  <c r="BF198" i="28"/>
  <c r="BD198" i="28"/>
  <c r="BC198" i="28"/>
  <c r="BB198" i="28"/>
  <c r="BA198" i="28"/>
  <c r="AZ198" i="28"/>
  <c r="BE198" i="28" s="1"/>
  <c r="AY198" i="28"/>
  <c r="AX198" i="28"/>
  <c r="AW198" i="28"/>
  <c r="AV198" i="28"/>
  <c r="AR198" i="28"/>
  <c r="BH197" i="28"/>
  <c r="BG197" i="28"/>
  <c r="BF197" i="28"/>
  <c r="BD197" i="28"/>
  <c r="BC197" i="28"/>
  <c r="BB197" i="28"/>
  <c r="BA197" i="28"/>
  <c r="AZ197" i="28"/>
  <c r="BE197" i="28" s="1"/>
  <c r="AY197" i="28"/>
  <c r="AX197" i="28"/>
  <c r="AW197" i="28"/>
  <c r="AV197" i="28"/>
  <c r="AR197" i="28"/>
  <c r="AT197" i="28"/>
  <c r="BH196" i="28"/>
  <c r="BG196" i="28"/>
  <c r="BF196" i="28"/>
  <c r="BD196" i="28"/>
  <c r="BC196" i="28"/>
  <c r="BB196" i="28"/>
  <c r="BA196" i="28"/>
  <c r="AZ196" i="28"/>
  <c r="BE196" i="28" s="1"/>
  <c r="AY196" i="28"/>
  <c r="AX196" i="28"/>
  <c r="AW196" i="28"/>
  <c r="AV196" i="28"/>
  <c r="AR196" i="28"/>
  <c r="BH195" i="28"/>
  <c r="BG195" i="28"/>
  <c r="BF195" i="28"/>
  <c r="BD195" i="28"/>
  <c r="BC195" i="28"/>
  <c r="BB195" i="28"/>
  <c r="BA195" i="28"/>
  <c r="AZ195" i="28"/>
  <c r="BE195" i="28" s="1"/>
  <c r="AY195" i="28"/>
  <c r="AX195" i="28"/>
  <c r="AW195" i="28"/>
  <c r="AV195" i="28"/>
  <c r="AR195" i="28"/>
  <c r="BH194" i="28"/>
  <c r="BG194" i="28"/>
  <c r="BF194" i="28"/>
  <c r="BD194" i="28"/>
  <c r="BC194" i="28"/>
  <c r="BB194" i="28"/>
  <c r="BA194" i="28"/>
  <c r="AZ194" i="28"/>
  <c r="BE194" i="28" s="1"/>
  <c r="AY194" i="28"/>
  <c r="AX194" i="28"/>
  <c r="AW194" i="28"/>
  <c r="AV194" i="28"/>
  <c r="AR194" i="28"/>
  <c r="BH193" i="28"/>
  <c r="BG193" i="28"/>
  <c r="BF193" i="28"/>
  <c r="BD193" i="28"/>
  <c r="BC193" i="28"/>
  <c r="BB193" i="28"/>
  <c r="BA193" i="28"/>
  <c r="AZ193" i="28"/>
  <c r="BE193" i="28" s="1"/>
  <c r="AY193" i="28"/>
  <c r="AX193" i="28"/>
  <c r="AW193" i="28"/>
  <c r="AV193" i="28"/>
  <c r="AR193" i="28"/>
  <c r="AU193" i="28"/>
  <c r="BH192" i="28"/>
  <c r="BG192" i="28"/>
  <c r="BF192" i="28"/>
  <c r="BD192" i="28"/>
  <c r="BC192" i="28"/>
  <c r="BB192" i="28"/>
  <c r="BA192" i="28"/>
  <c r="AZ192" i="28"/>
  <c r="BE192" i="28" s="1"/>
  <c r="AY192" i="28"/>
  <c r="AX192" i="28"/>
  <c r="AW192" i="28"/>
  <c r="AV192" i="28"/>
  <c r="AR192" i="28"/>
  <c r="AS192" i="28"/>
  <c r="BH191" i="28"/>
  <c r="BG191" i="28"/>
  <c r="BF191" i="28"/>
  <c r="BD191" i="28"/>
  <c r="BC191" i="28"/>
  <c r="BB191" i="28"/>
  <c r="BA191" i="28"/>
  <c r="AZ191" i="28"/>
  <c r="BE191" i="28" s="1"/>
  <c r="AY191" i="28"/>
  <c r="AX191" i="28"/>
  <c r="AW191" i="28"/>
  <c r="AV191" i="28"/>
  <c r="AR191" i="28"/>
  <c r="BH190" i="28"/>
  <c r="BG190" i="28"/>
  <c r="BF190" i="28"/>
  <c r="BD190" i="28"/>
  <c r="BC190" i="28"/>
  <c r="BB190" i="28"/>
  <c r="BA190" i="28"/>
  <c r="AZ190" i="28"/>
  <c r="BE190" i="28" s="1"/>
  <c r="AY190" i="28"/>
  <c r="AX190" i="28"/>
  <c r="AW190" i="28"/>
  <c r="AV190" i="28"/>
  <c r="AR190" i="28"/>
  <c r="BH189" i="28"/>
  <c r="BG189" i="28"/>
  <c r="BF189" i="28"/>
  <c r="BD189" i="28"/>
  <c r="BC189" i="28"/>
  <c r="BB189" i="28"/>
  <c r="BA189" i="28"/>
  <c r="AZ189" i="28"/>
  <c r="BE189" i="28" s="1"/>
  <c r="AY189" i="28"/>
  <c r="AX189" i="28"/>
  <c r="AW189" i="28"/>
  <c r="AV189" i="28"/>
  <c r="AR189" i="28"/>
  <c r="BH188" i="28"/>
  <c r="BG188" i="28"/>
  <c r="BF188" i="28"/>
  <c r="BD188" i="28"/>
  <c r="BC188" i="28"/>
  <c r="BB188" i="28"/>
  <c r="BA188" i="28"/>
  <c r="AZ188" i="28"/>
  <c r="BE188" i="28" s="1"/>
  <c r="AY188" i="28"/>
  <c r="AX188" i="28"/>
  <c r="AW188" i="28"/>
  <c r="AV188" i="28"/>
  <c r="AR188" i="28"/>
  <c r="BH187" i="28"/>
  <c r="BG187" i="28"/>
  <c r="BF187" i="28"/>
  <c r="BD187" i="28"/>
  <c r="BC187" i="28"/>
  <c r="BB187" i="28"/>
  <c r="BA187" i="28"/>
  <c r="AZ187" i="28"/>
  <c r="BE187" i="28" s="1"/>
  <c r="AY187" i="28"/>
  <c r="AX187" i="28"/>
  <c r="AW187" i="28"/>
  <c r="AV187" i="28"/>
  <c r="AR187" i="28"/>
  <c r="BH186" i="28"/>
  <c r="BG186" i="28"/>
  <c r="BF186" i="28"/>
  <c r="BD186" i="28"/>
  <c r="BC186" i="28"/>
  <c r="BB186" i="28"/>
  <c r="BA186" i="28"/>
  <c r="AZ186" i="28"/>
  <c r="BE186" i="28" s="1"/>
  <c r="AY186" i="28"/>
  <c r="AX186" i="28"/>
  <c r="AW186" i="28"/>
  <c r="AV186" i="28"/>
  <c r="AR186" i="28"/>
  <c r="BH185" i="28"/>
  <c r="BG185" i="28"/>
  <c r="BF185" i="28"/>
  <c r="BD185" i="28"/>
  <c r="BC185" i="28"/>
  <c r="BB185" i="28"/>
  <c r="BA185" i="28"/>
  <c r="AZ185" i="28"/>
  <c r="BE185" i="28" s="1"/>
  <c r="AY185" i="28"/>
  <c r="AX185" i="28"/>
  <c r="AW185" i="28"/>
  <c r="AV185" i="28"/>
  <c r="AR185" i="28"/>
  <c r="BH184" i="28"/>
  <c r="BG184" i="28"/>
  <c r="BF184" i="28"/>
  <c r="BD184" i="28"/>
  <c r="BC184" i="28"/>
  <c r="BB184" i="28"/>
  <c r="BA184" i="28"/>
  <c r="AZ184" i="28"/>
  <c r="BE184" i="28" s="1"/>
  <c r="AY184" i="28"/>
  <c r="AX184" i="28"/>
  <c r="AW184" i="28"/>
  <c r="AV184" i="28"/>
  <c r="AR184" i="28"/>
  <c r="BH183" i="28"/>
  <c r="BG183" i="28"/>
  <c r="BF183" i="28"/>
  <c r="BD183" i="28"/>
  <c r="BC183" i="28"/>
  <c r="BB183" i="28"/>
  <c r="BA183" i="28"/>
  <c r="AZ183" i="28"/>
  <c r="BE183" i="28" s="1"/>
  <c r="AY183" i="28"/>
  <c r="AX183" i="28"/>
  <c r="AW183" i="28"/>
  <c r="AV183" i="28"/>
  <c r="AR183" i="28"/>
  <c r="BH182" i="28"/>
  <c r="BG182" i="28"/>
  <c r="BF182" i="28"/>
  <c r="BD182" i="28"/>
  <c r="BC182" i="28"/>
  <c r="BB182" i="28"/>
  <c r="BA182" i="28"/>
  <c r="AZ182" i="28"/>
  <c r="BE182" i="28" s="1"/>
  <c r="AY182" i="28"/>
  <c r="AX182" i="28"/>
  <c r="AW182" i="28"/>
  <c r="AV182" i="28"/>
  <c r="AR182" i="28"/>
  <c r="BH181" i="28"/>
  <c r="BG181" i="28"/>
  <c r="BF181" i="28"/>
  <c r="BD181" i="28"/>
  <c r="BC181" i="28"/>
  <c r="BB181" i="28"/>
  <c r="BA181" i="28"/>
  <c r="AZ181" i="28"/>
  <c r="BE181" i="28" s="1"/>
  <c r="AY181" i="28"/>
  <c r="AX181" i="28"/>
  <c r="AW181" i="28"/>
  <c r="AV181" i="28"/>
  <c r="AR181" i="28"/>
  <c r="BH180" i="28"/>
  <c r="BG180" i="28"/>
  <c r="BF180" i="28"/>
  <c r="BD180" i="28"/>
  <c r="BC180" i="28"/>
  <c r="BB180" i="28"/>
  <c r="BA180" i="28"/>
  <c r="AZ180" i="28"/>
  <c r="BE180" i="28" s="1"/>
  <c r="AY180" i="28"/>
  <c r="AX180" i="28"/>
  <c r="AW180" i="28"/>
  <c r="AV180" i="28"/>
  <c r="AR180" i="28"/>
  <c r="BH179" i="28"/>
  <c r="BG179" i="28"/>
  <c r="BF179" i="28"/>
  <c r="BD179" i="28"/>
  <c r="BC179" i="28"/>
  <c r="BB179" i="28"/>
  <c r="BA179" i="28"/>
  <c r="AZ179" i="28"/>
  <c r="BE179" i="28" s="1"/>
  <c r="AY179" i="28"/>
  <c r="AX179" i="28"/>
  <c r="AW179" i="28"/>
  <c r="AV179" i="28"/>
  <c r="AR179" i="28"/>
  <c r="BH178" i="28"/>
  <c r="BG178" i="28"/>
  <c r="BF178" i="28"/>
  <c r="BD178" i="28"/>
  <c r="BC178" i="28"/>
  <c r="BB178" i="28"/>
  <c r="BA178" i="28"/>
  <c r="AZ178" i="28"/>
  <c r="BE178" i="28" s="1"/>
  <c r="AY178" i="28"/>
  <c r="AX178" i="28"/>
  <c r="AW178" i="28"/>
  <c r="AV178" i="28"/>
  <c r="AR178" i="28"/>
  <c r="BH177" i="28"/>
  <c r="BG177" i="28"/>
  <c r="BF177" i="28"/>
  <c r="BD177" i="28"/>
  <c r="BC177" i="28"/>
  <c r="BB177" i="28"/>
  <c r="BA177" i="28"/>
  <c r="AZ177" i="28"/>
  <c r="BE177" i="28" s="1"/>
  <c r="AY177" i="28"/>
  <c r="AX177" i="28"/>
  <c r="AW177" i="28"/>
  <c r="AV177" i="28"/>
  <c r="AR177" i="28"/>
  <c r="BH176" i="28"/>
  <c r="BG176" i="28"/>
  <c r="BF176" i="28"/>
  <c r="BD176" i="28"/>
  <c r="BC176" i="28"/>
  <c r="BB176" i="28"/>
  <c r="BA176" i="28"/>
  <c r="AZ176" i="28"/>
  <c r="BE176" i="28" s="1"/>
  <c r="AY176" i="28"/>
  <c r="AX176" i="28"/>
  <c r="AW176" i="28"/>
  <c r="AV176" i="28"/>
  <c r="AR176" i="28"/>
  <c r="BH175" i="28"/>
  <c r="BG175" i="28"/>
  <c r="BF175" i="28"/>
  <c r="BD175" i="28"/>
  <c r="BC175" i="28"/>
  <c r="BB175" i="28"/>
  <c r="BA175" i="28"/>
  <c r="AZ175" i="28"/>
  <c r="BE175" i="28" s="1"/>
  <c r="AY175" i="28"/>
  <c r="AX175" i="28"/>
  <c r="AW175" i="28"/>
  <c r="AV175" i="28"/>
  <c r="AR175" i="28"/>
  <c r="BH174" i="28"/>
  <c r="BG174" i="28"/>
  <c r="BF174" i="28"/>
  <c r="BD174" i="28"/>
  <c r="BC174" i="28"/>
  <c r="BB174" i="28"/>
  <c r="BA174" i="28"/>
  <c r="AZ174" i="28"/>
  <c r="BE174" i="28" s="1"/>
  <c r="AY174" i="28"/>
  <c r="AX174" i="28"/>
  <c r="AW174" i="28"/>
  <c r="AV174" i="28"/>
  <c r="AR174" i="28"/>
  <c r="BH173" i="28"/>
  <c r="BG173" i="28"/>
  <c r="BF173" i="28"/>
  <c r="BD173" i="28"/>
  <c r="BC173" i="28"/>
  <c r="BB173" i="28"/>
  <c r="BA173" i="28"/>
  <c r="AZ173" i="28"/>
  <c r="BE173" i="28" s="1"/>
  <c r="AY173" i="28"/>
  <c r="AX173" i="28"/>
  <c r="AW173" i="28"/>
  <c r="AV173" i="28"/>
  <c r="AR173" i="28"/>
  <c r="AT173" i="28" s="1"/>
  <c r="BH172" i="28"/>
  <c r="BG172" i="28"/>
  <c r="BF172" i="28"/>
  <c r="BD172" i="28"/>
  <c r="BC172" i="28"/>
  <c r="BB172" i="28"/>
  <c r="BA172" i="28"/>
  <c r="AZ172" i="28"/>
  <c r="BE172" i="28" s="1"/>
  <c r="AY172" i="28"/>
  <c r="AX172" i="28"/>
  <c r="AW172" i="28"/>
  <c r="AV172" i="28"/>
  <c r="AR172" i="28"/>
  <c r="BH171" i="28"/>
  <c r="BG171" i="28"/>
  <c r="BF171" i="28"/>
  <c r="BD171" i="28"/>
  <c r="BC171" i="28"/>
  <c r="BB171" i="28"/>
  <c r="BA171" i="28"/>
  <c r="AZ171" i="28"/>
  <c r="BE171" i="28" s="1"/>
  <c r="AY171" i="28"/>
  <c r="AX171" i="28"/>
  <c r="AW171" i="28"/>
  <c r="AV171" i="28"/>
  <c r="AR171" i="28"/>
  <c r="BH170" i="28"/>
  <c r="BG170" i="28"/>
  <c r="BF170" i="28"/>
  <c r="BD170" i="28"/>
  <c r="BC170" i="28"/>
  <c r="BB170" i="28"/>
  <c r="BA170" i="28"/>
  <c r="AZ170" i="28"/>
  <c r="BE170" i="28" s="1"/>
  <c r="AY170" i="28"/>
  <c r="AX170" i="28"/>
  <c r="AW170" i="28"/>
  <c r="AV170" i="28"/>
  <c r="AR170" i="28"/>
  <c r="BH169" i="28"/>
  <c r="BG169" i="28"/>
  <c r="BF169" i="28"/>
  <c r="BD169" i="28"/>
  <c r="BC169" i="28"/>
  <c r="BB169" i="28"/>
  <c r="BA169" i="28"/>
  <c r="AZ169" i="28"/>
  <c r="BE169" i="28" s="1"/>
  <c r="AY169" i="28"/>
  <c r="AX169" i="28"/>
  <c r="AW169" i="28"/>
  <c r="AV169" i="28"/>
  <c r="AR169" i="28"/>
  <c r="BH168" i="28"/>
  <c r="BG168" i="28"/>
  <c r="BF168" i="28"/>
  <c r="BD168" i="28"/>
  <c r="BC168" i="28"/>
  <c r="BB168" i="28"/>
  <c r="BA168" i="28"/>
  <c r="AZ168" i="28"/>
  <c r="BE168" i="28" s="1"/>
  <c r="AY168" i="28"/>
  <c r="AX168" i="28"/>
  <c r="AW168" i="28"/>
  <c r="AV168" i="28"/>
  <c r="AR168" i="28"/>
  <c r="BH167" i="28"/>
  <c r="BG167" i="28"/>
  <c r="BF167" i="28"/>
  <c r="BD167" i="28"/>
  <c r="BC167" i="28"/>
  <c r="BB167" i="28"/>
  <c r="BA167" i="28"/>
  <c r="AZ167" i="28"/>
  <c r="BE167" i="28" s="1"/>
  <c r="AY167" i="28"/>
  <c r="AX167" i="28"/>
  <c r="AW167" i="28"/>
  <c r="AV167" i="28"/>
  <c r="AR167" i="28"/>
  <c r="BH166" i="28"/>
  <c r="BG166" i="28"/>
  <c r="BF166" i="28"/>
  <c r="BD166" i="28"/>
  <c r="BC166" i="28"/>
  <c r="BB166" i="28"/>
  <c r="BA166" i="28"/>
  <c r="AZ166" i="28"/>
  <c r="BE166" i="28" s="1"/>
  <c r="AY166" i="28"/>
  <c r="AX166" i="28"/>
  <c r="AW166" i="28"/>
  <c r="AV166" i="28"/>
  <c r="AR166" i="28"/>
  <c r="AU166" i="28" s="1"/>
  <c r="BH165" i="28"/>
  <c r="BG165" i="28"/>
  <c r="BF165" i="28"/>
  <c r="BD165" i="28"/>
  <c r="BC165" i="28"/>
  <c r="BB165" i="28"/>
  <c r="BA165" i="28"/>
  <c r="AZ165" i="28"/>
  <c r="BE165" i="28" s="1"/>
  <c r="AY165" i="28"/>
  <c r="AX165" i="28"/>
  <c r="AW165" i="28"/>
  <c r="AV165" i="28"/>
  <c r="AR165" i="28"/>
  <c r="BH164" i="28"/>
  <c r="BG164" i="28"/>
  <c r="BF164" i="28"/>
  <c r="BD164" i="28"/>
  <c r="BC164" i="28"/>
  <c r="BB164" i="28"/>
  <c r="BA164" i="28"/>
  <c r="AZ164" i="28"/>
  <c r="BE164" i="28" s="1"/>
  <c r="AY164" i="28"/>
  <c r="AX164" i="28"/>
  <c r="AW164" i="28"/>
  <c r="AV164" i="28"/>
  <c r="AR164" i="28"/>
  <c r="AT164" i="28" s="1"/>
  <c r="BH163" i="28"/>
  <c r="BG163" i="28"/>
  <c r="BF163" i="28"/>
  <c r="BD163" i="28"/>
  <c r="BC163" i="28"/>
  <c r="BB163" i="28"/>
  <c r="BA163" i="28"/>
  <c r="AZ163" i="28"/>
  <c r="BE163" i="28" s="1"/>
  <c r="AY163" i="28"/>
  <c r="AX163" i="28"/>
  <c r="AW163" i="28"/>
  <c r="AV163" i="28"/>
  <c r="AR163" i="28"/>
  <c r="AU163" i="28" s="1"/>
  <c r="BH162" i="28"/>
  <c r="BG162" i="28"/>
  <c r="BF162" i="28"/>
  <c r="BD162" i="28"/>
  <c r="BC162" i="28"/>
  <c r="BB162" i="28"/>
  <c r="BA162" i="28"/>
  <c r="AZ162" i="28"/>
  <c r="BE162" i="28" s="1"/>
  <c r="AY162" i="28"/>
  <c r="AX162" i="28"/>
  <c r="AW162" i="28"/>
  <c r="AV162" i="28"/>
  <c r="AR162" i="28"/>
  <c r="BH161" i="28"/>
  <c r="BG161" i="28"/>
  <c r="BF161" i="28"/>
  <c r="BD161" i="28"/>
  <c r="BC161" i="28"/>
  <c r="BB161" i="28"/>
  <c r="BA161" i="28"/>
  <c r="AZ161" i="28"/>
  <c r="BE161" i="28" s="1"/>
  <c r="AY161" i="28"/>
  <c r="AX161" i="28"/>
  <c r="AW161" i="28"/>
  <c r="AV161" i="28"/>
  <c r="AR161" i="28"/>
  <c r="BH160" i="28"/>
  <c r="BG160" i="28"/>
  <c r="BF160" i="28"/>
  <c r="BD160" i="28"/>
  <c r="BC160" i="28"/>
  <c r="BB160" i="28"/>
  <c r="BA160" i="28"/>
  <c r="AZ160" i="28"/>
  <c r="BE160" i="28" s="1"/>
  <c r="AY160" i="28"/>
  <c r="AX160" i="28"/>
  <c r="AW160" i="28"/>
  <c r="AV160" i="28"/>
  <c r="AR160" i="28"/>
  <c r="BH159" i="28"/>
  <c r="BG159" i="28"/>
  <c r="BF159" i="28"/>
  <c r="BD159" i="28"/>
  <c r="BC159" i="28"/>
  <c r="BB159" i="28"/>
  <c r="BA159" i="28"/>
  <c r="AZ159" i="28"/>
  <c r="BE159" i="28" s="1"/>
  <c r="AY159" i="28"/>
  <c r="AX159" i="28"/>
  <c r="AW159" i="28"/>
  <c r="AV159" i="28"/>
  <c r="AR159" i="28"/>
  <c r="BH158" i="28"/>
  <c r="BG158" i="28"/>
  <c r="BF158" i="28"/>
  <c r="BD158" i="28"/>
  <c r="BC158" i="28"/>
  <c r="BB158" i="28"/>
  <c r="BA158" i="28"/>
  <c r="AZ158" i="28"/>
  <c r="BE158" i="28" s="1"/>
  <c r="AY158" i="28"/>
  <c r="AX158" i="28"/>
  <c r="AW158" i="28"/>
  <c r="AV158" i="28"/>
  <c r="AR158" i="28"/>
  <c r="AU158" i="28" s="1"/>
  <c r="BH157" i="28"/>
  <c r="BG157" i="28"/>
  <c r="BF157" i="28"/>
  <c r="BD157" i="28"/>
  <c r="BC157" i="28"/>
  <c r="BB157" i="28"/>
  <c r="BA157" i="28"/>
  <c r="AZ157" i="28"/>
  <c r="BE157" i="28" s="1"/>
  <c r="AY157" i="28"/>
  <c r="AX157" i="28"/>
  <c r="AW157" i="28"/>
  <c r="AV157" i="28"/>
  <c r="AR157" i="28"/>
  <c r="BH156" i="28"/>
  <c r="BG156" i="28"/>
  <c r="BF156" i="28"/>
  <c r="BD156" i="28"/>
  <c r="BC156" i="28"/>
  <c r="BB156" i="28"/>
  <c r="BA156" i="28"/>
  <c r="AZ156" i="28"/>
  <c r="BE156" i="28" s="1"/>
  <c r="AY156" i="28"/>
  <c r="AX156" i="28"/>
  <c r="AW156" i="28"/>
  <c r="AV156" i="28"/>
  <c r="AR156" i="28"/>
  <c r="BH155" i="28"/>
  <c r="BG155" i="28"/>
  <c r="BF155" i="28"/>
  <c r="BD155" i="28"/>
  <c r="BC155" i="28"/>
  <c r="BB155" i="28"/>
  <c r="BA155" i="28"/>
  <c r="AZ155" i="28"/>
  <c r="BE155" i="28" s="1"/>
  <c r="AY155" i="28"/>
  <c r="AX155" i="28"/>
  <c r="AW155" i="28"/>
  <c r="AV155" i="28"/>
  <c r="AR155" i="28"/>
  <c r="BH154" i="28"/>
  <c r="BG154" i="28"/>
  <c r="BF154" i="28"/>
  <c r="BD154" i="28"/>
  <c r="BC154" i="28"/>
  <c r="BB154" i="28"/>
  <c r="BA154" i="28"/>
  <c r="AZ154" i="28"/>
  <c r="BE154" i="28" s="1"/>
  <c r="AY154" i="28"/>
  <c r="AX154" i="28"/>
  <c r="AW154" i="28"/>
  <c r="AV154" i="28"/>
  <c r="AR154" i="28"/>
  <c r="BH153" i="28"/>
  <c r="BG153" i="28"/>
  <c r="BF153" i="28"/>
  <c r="BD153" i="28"/>
  <c r="BC153" i="28"/>
  <c r="BB153" i="28"/>
  <c r="BA153" i="28"/>
  <c r="AZ153" i="28"/>
  <c r="BE153" i="28" s="1"/>
  <c r="AY153" i="28"/>
  <c r="AX153" i="28"/>
  <c r="AW153" i="28"/>
  <c r="AV153" i="28"/>
  <c r="AR153" i="28"/>
  <c r="BH152" i="28"/>
  <c r="BG152" i="28"/>
  <c r="BF152" i="28"/>
  <c r="BD152" i="28"/>
  <c r="BC152" i="28"/>
  <c r="BB152" i="28"/>
  <c r="BA152" i="28"/>
  <c r="AZ152" i="28"/>
  <c r="BE152" i="28" s="1"/>
  <c r="AY152" i="28"/>
  <c r="AX152" i="28"/>
  <c r="AW152" i="28"/>
  <c r="AV152" i="28"/>
  <c r="AR152" i="28"/>
  <c r="BH151" i="28"/>
  <c r="BG151" i="28"/>
  <c r="BF151" i="28"/>
  <c r="BD151" i="28"/>
  <c r="BC151" i="28"/>
  <c r="BB151" i="28"/>
  <c r="BA151" i="28"/>
  <c r="AZ151" i="28"/>
  <c r="BE151" i="28" s="1"/>
  <c r="AY151" i="28"/>
  <c r="AX151" i="28"/>
  <c r="AW151" i="28"/>
  <c r="AV151" i="28"/>
  <c r="AR151" i="28"/>
  <c r="AT151" i="28" s="1"/>
  <c r="BH150" i="28"/>
  <c r="BG150" i="28"/>
  <c r="BF150" i="28"/>
  <c r="BD150" i="28"/>
  <c r="BC150" i="28"/>
  <c r="BB150" i="28"/>
  <c r="BA150" i="28"/>
  <c r="AZ150" i="28"/>
  <c r="BE150" i="28" s="1"/>
  <c r="AY150" i="28"/>
  <c r="AX150" i="28"/>
  <c r="AW150" i="28"/>
  <c r="AV150" i="28"/>
  <c r="AR150" i="28"/>
  <c r="BH149" i="28"/>
  <c r="BG149" i="28"/>
  <c r="BF149" i="28"/>
  <c r="BD149" i="28"/>
  <c r="BC149" i="28"/>
  <c r="BB149" i="28"/>
  <c r="BA149" i="28"/>
  <c r="AZ149" i="28"/>
  <c r="BE149" i="28" s="1"/>
  <c r="AY149" i="28"/>
  <c r="AX149" i="28"/>
  <c r="AW149" i="28"/>
  <c r="AV149" i="28"/>
  <c r="AR149" i="28"/>
  <c r="BH148" i="28"/>
  <c r="BG148" i="28"/>
  <c r="BF148" i="28"/>
  <c r="BD148" i="28"/>
  <c r="BC148" i="28"/>
  <c r="BB148" i="28"/>
  <c r="BA148" i="28"/>
  <c r="AZ148" i="28"/>
  <c r="BE148" i="28" s="1"/>
  <c r="AY148" i="28"/>
  <c r="AX148" i="28"/>
  <c r="AW148" i="28"/>
  <c r="AV148" i="28"/>
  <c r="AR148" i="28"/>
  <c r="BH147" i="28"/>
  <c r="BG147" i="28"/>
  <c r="BF147" i="28"/>
  <c r="BD147" i="28"/>
  <c r="BC147" i="28"/>
  <c r="BB147" i="28"/>
  <c r="BA147" i="28"/>
  <c r="AZ147" i="28"/>
  <c r="BE147" i="28" s="1"/>
  <c r="AY147" i="28"/>
  <c r="AX147" i="28"/>
  <c r="AW147" i="28"/>
  <c r="AV147" i="28"/>
  <c r="AR147" i="28"/>
  <c r="BH146" i="28"/>
  <c r="BG146" i="28"/>
  <c r="BF146" i="28"/>
  <c r="BD146" i="28"/>
  <c r="BC146" i="28"/>
  <c r="BB146" i="28"/>
  <c r="BA146" i="28"/>
  <c r="AZ146" i="28"/>
  <c r="BE146" i="28" s="1"/>
  <c r="AY146" i="28"/>
  <c r="AX146" i="28"/>
  <c r="AW146" i="28"/>
  <c r="AV146" i="28"/>
  <c r="AR146" i="28"/>
  <c r="BH145" i="28"/>
  <c r="BG145" i="28"/>
  <c r="BF145" i="28"/>
  <c r="BD145" i="28"/>
  <c r="BC145" i="28"/>
  <c r="BB145" i="28"/>
  <c r="BA145" i="28"/>
  <c r="AZ145" i="28"/>
  <c r="BE145" i="28" s="1"/>
  <c r="AY145" i="28"/>
  <c r="AX145" i="28"/>
  <c r="AW145" i="28"/>
  <c r="AV145" i="28"/>
  <c r="AR145" i="28"/>
  <c r="BH144" i="28"/>
  <c r="BG144" i="28"/>
  <c r="BF144" i="28"/>
  <c r="BD144" i="28"/>
  <c r="BC144" i="28"/>
  <c r="BB144" i="28"/>
  <c r="BA144" i="28"/>
  <c r="AZ144" i="28"/>
  <c r="BE144" i="28" s="1"/>
  <c r="AY144" i="28"/>
  <c r="AX144" i="28"/>
  <c r="AW144" i="28"/>
  <c r="AV144" i="28"/>
  <c r="AR144" i="28"/>
  <c r="AS144" i="28" s="1"/>
  <c r="BH143" i="28"/>
  <c r="BG143" i="28"/>
  <c r="BF143" i="28"/>
  <c r="BD143" i="28"/>
  <c r="BC143" i="28"/>
  <c r="BB143" i="28"/>
  <c r="BA143" i="28"/>
  <c r="AZ143" i="28"/>
  <c r="BE143" i="28" s="1"/>
  <c r="AY143" i="28"/>
  <c r="AX143" i="28"/>
  <c r="AW143" i="28"/>
  <c r="AV143" i="28"/>
  <c r="AR143" i="28"/>
  <c r="AU143" i="28" s="1"/>
  <c r="BH142" i="28"/>
  <c r="BG142" i="28"/>
  <c r="BF142" i="28"/>
  <c r="BD142" i="28"/>
  <c r="BC142" i="28"/>
  <c r="BB142" i="28"/>
  <c r="BA142" i="28"/>
  <c r="AZ142" i="28"/>
  <c r="BE142" i="28" s="1"/>
  <c r="AY142" i="28"/>
  <c r="AX142" i="28"/>
  <c r="AW142" i="28"/>
  <c r="AV142" i="28"/>
  <c r="AR142" i="28"/>
  <c r="BH141" i="28"/>
  <c r="BG141" i="28"/>
  <c r="BF141" i="28"/>
  <c r="BD141" i="28"/>
  <c r="BC141" i="28"/>
  <c r="BB141" i="28"/>
  <c r="BA141" i="28"/>
  <c r="AZ141" i="28"/>
  <c r="BE141" i="28" s="1"/>
  <c r="AY141" i="28"/>
  <c r="AX141" i="28"/>
  <c r="AW141" i="28"/>
  <c r="AV141" i="28"/>
  <c r="AR141" i="28"/>
  <c r="BH140" i="28"/>
  <c r="BG140" i="28"/>
  <c r="BF140" i="28"/>
  <c r="BD140" i="28"/>
  <c r="BC140" i="28"/>
  <c r="BB140" i="28"/>
  <c r="BA140" i="28"/>
  <c r="AZ140" i="28"/>
  <c r="BE140" i="28" s="1"/>
  <c r="AY140" i="28"/>
  <c r="AX140" i="28"/>
  <c r="AW140" i="28"/>
  <c r="AV140" i="28"/>
  <c r="AR140" i="28"/>
  <c r="BH139" i="28"/>
  <c r="BG139" i="28"/>
  <c r="BF139" i="28"/>
  <c r="BD139" i="28"/>
  <c r="BC139" i="28"/>
  <c r="BB139" i="28"/>
  <c r="BA139" i="28"/>
  <c r="AZ139" i="28"/>
  <c r="BE139" i="28" s="1"/>
  <c r="AY139" i="28"/>
  <c r="AX139" i="28"/>
  <c r="AW139" i="28"/>
  <c r="AV139" i="28"/>
  <c r="AR139" i="28"/>
  <c r="BH138" i="28"/>
  <c r="BG138" i="28"/>
  <c r="BF138" i="28"/>
  <c r="BD138" i="28"/>
  <c r="BC138" i="28"/>
  <c r="BB138" i="28"/>
  <c r="BA138" i="28"/>
  <c r="AZ138" i="28"/>
  <c r="BE138" i="28" s="1"/>
  <c r="AY138" i="28"/>
  <c r="AX138" i="28"/>
  <c r="AW138" i="28"/>
  <c r="AV138" i="28"/>
  <c r="AR138" i="28"/>
  <c r="BH137" i="28"/>
  <c r="BG137" i="28"/>
  <c r="BF137" i="28"/>
  <c r="BD137" i="28"/>
  <c r="BC137" i="28"/>
  <c r="BB137" i="28"/>
  <c r="BA137" i="28"/>
  <c r="AZ137" i="28"/>
  <c r="BE137" i="28" s="1"/>
  <c r="AY137" i="28"/>
  <c r="AX137" i="28"/>
  <c r="AW137" i="28"/>
  <c r="AV137" i="28"/>
  <c r="AR137" i="28"/>
  <c r="BH136" i="28"/>
  <c r="BG136" i="28"/>
  <c r="BF136" i="28"/>
  <c r="BD136" i="28"/>
  <c r="BC136" i="28"/>
  <c r="BB136" i="28"/>
  <c r="BA136" i="28"/>
  <c r="AZ136" i="28"/>
  <c r="BE136" i="28" s="1"/>
  <c r="AY136" i="28"/>
  <c r="AX136" i="28"/>
  <c r="AW136" i="28"/>
  <c r="AV136" i="28"/>
  <c r="AR136" i="28"/>
  <c r="BH135" i="28"/>
  <c r="BG135" i="28"/>
  <c r="BF135" i="28"/>
  <c r="BD135" i="28"/>
  <c r="BC135" i="28"/>
  <c r="BB135" i="28"/>
  <c r="BA135" i="28"/>
  <c r="AZ135" i="28"/>
  <c r="BE135" i="28" s="1"/>
  <c r="AY135" i="28"/>
  <c r="AX135" i="28"/>
  <c r="AW135" i="28"/>
  <c r="AV135" i="28"/>
  <c r="AR135" i="28"/>
  <c r="BH134" i="28"/>
  <c r="BG134" i="28"/>
  <c r="BF134" i="28"/>
  <c r="BD134" i="28"/>
  <c r="BC134" i="28"/>
  <c r="BB134" i="28"/>
  <c r="BA134" i="28"/>
  <c r="AZ134" i="28"/>
  <c r="BE134" i="28" s="1"/>
  <c r="AY134" i="28"/>
  <c r="AX134" i="28"/>
  <c r="AW134" i="28"/>
  <c r="AV134" i="28"/>
  <c r="AR134" i="28"/>
  <c r="BH133" i="28"/>
  <c r="BG133" i="28"/>
  <c r="BF133" i="28"/>
  <c r="BD133" i="28"/>
  <c r="BC133" i="28"/>
  <c r="BB133" i="28"/>
  <c r="BA133" i="28"/>
  <c r="AZ133" i="28"/>
  <c r="BE133" i="28" s="1"/>
  <c r="AY133" i="28"/>
  <c r="AX133" i="28"/>
  <c r="AW133" i="28"/>
  <c r="AV133" i="28"/>
  <c r="AR133" i="28"/>
  <c r="AT133" i="28" s="1"/>
  <c r="BH132" i="28"/>
  <c r="BG132" i="28"/>
  <c r="BF132" i="28"/>
  <c r="BD132" i="28"/>
  <c r="BC132" i="28"/>
  <c r="BB132" i="28"/>
  <c r="BA132" i="28"/>
  <c r="AZ132" i="28"/>
  <c r="BE132" i="28" s="1"/>
  <c r="AY132" i="28"/>
  <c r="AX132" i="28"/>
  <c r="AW132" i="28"/>
  <c r="AV132" i="28"/>
  <c r="AR132" i="28"/>
  <c r="BH131" i="28"/>
  <c r="BG131" i="28"/>
  <c r="BF131" i="28"/>
  <c r="BD131" i="28"/>
  <c r="BC131" i="28"/>
  <c r="BB131" i="28"/>
  <c r="BA131" i="28"/>
  <c r="AZ131" i="28"/>
  <c r="BE131" i="28" s="1"/>
  <c r="AY131" i="28"/>
  <c r="AX131" i="28"/>
  <c r="AW131" i="28"/>
  <c r="AV131" i="28"/>
  <c r="AR131" i="28"/>
  <c r="BH130" i="28"/>
  <c r="BG130" i="28"/>
  <c r="BF130" i="28"/>
  <c r="BD130" i="28"/>
  <c r="BC130" i="28"/>
  <c r="BB130" i="28"/>
  <c r="BA130" i="28"/>
  <c r="AZ130" i="28"/>
  <c r="BE130" i="28" s="1"/>
  <c r="AY130" i="28"/>
  <c r="AX130" i="28"/>
  <c r="AW130" i="28"/>
  <c r="AV130" i="28"/>
  <c r="AR130" i="28"/>
  <c r="AS130" i="28" s="1"/>
  <c r="BH129" i="28"/>
  <c r="BG129" i="28"/>
  <c r="BF129" i="28"/>
  <c r="BD129" i="28"/>
  <c r="BC129" i="28"/>
  <c r="BB129" i="28"/>
  <c r="BA129" i="28"/>
  <c r="AZ129" i="28"/>
  <c r="BE129" i="28" s="1"/>
  <c r="AY129" i="28"/>
  <c r="AX129" i="28"/>
  <c r="AW129" i="28"/>
  <c r="AV129" i="28"/>
  <c r="AR129" i="28"/>
  <c r="BH128" i="28"/>
  <c r="BG128" i="28"/>
  <c r="BF128" i="28"/>
  <c r="BD128" i="28"/>
  <c r="BC128" i="28"/>
  <c r="BB128" i="28"/>
  <c r="BA128" i="28"/>
  <c r="AZ128" i="28"/>
  <c r="BE128" i="28" s="1"/>
  <c r="AY128" i="28"/>
  <c r="AX128" i="28"/>
  <c r="AW128" i="28"/>
  <c r="AV128" i="28"/>
  <c r="AR128" i="28"/>
  <c r="BH127" i="28"/>
  <c r="BG127" i="28"/>
  <c r="BF127" i="28"/>
  <c r="BD127" i="28"/>
  <c r="BC127" i="28"/>
  <c r="BB127" i="28"/>
  <c r="BA127" i="28"/>
  <c r="AZ127" i="28"/>
  <c r="BE127" i="28" s="1"/>
  <c r="AY127" i="28"/>
  <c r="AX127" i="28"/>
  <c r="AW127" i="28"/>
  <c r="AV127" i="28"/>
  <c r="AR127" i="28"/>
  <c r="BH126" i="28"/>
  <c r="BG126" i="28"/>
  <c r="BF126" i="28"/>
  <c r="BD126" i="28"/>
  <c r="BC126" i="28"/>
  <c r="BB126" i="28"/>
  <c r="BA126" i="28"/>
  <c r="AZ126" i="28"/>
  <c r="BE126" i="28" s="1"/>
  <c r="AY126" i="28"/>
  <c r="AX126" i="28"/>
  <c r="AW126" i="28"/>
  <c r="AV126" i="28"/>
  <c r="AR126" i="28"/>
  <c r="BH125" i="28"/>
  <c r="BG125" i="28"/>
  <c r="BF125" i="28"/>
  <c r="BD125" i="28"/>
  <c r="BC125" i="28"/>
  <c r="BB125" i="28"/>
  <c r="BA125" i="28"/>
  <c r="AZ125" i="28"/>
  <c r="BE125" i="28" s="1"/>
  <c r="AY125" i="28"/>
  <c r="AX125" i="28"/>
  <c r="AW125" i="28"/>
  <c r="AV125" i="28"/>
  <c r="AR125" i="28"/>
  <c r="BH124" i="28"/>
  <c r="BG124" i="28"/>
  <c r="BF124" i="28"/>
  <c r="BD124" i="28"/>
  <c r="BC124" i="28"/>
  <c r="BB124" i="28"/>
  <c r="BA124" i="28"/>
  <c r="AZ124" i="28"/>
  <c r="BE124" i="28" s="1"/>
  <c r="AY124" i="28"/>
  <c r="AX124" i="28"/>
  <c r="AW124" i="28"/>
  <c r="AV124" i="28"/>
  <c r="AR124" i="28"/>
  <c r="AU124" i="28" s="1"/>
  <c r="BH123" i="28"/>
  <c r="BG123" i="28"/>
  <c r="BF123" i="28"/>
  <c r="BD123" i="28"/>
  <c r="BC123" i="28"/>
  <c r="BB123" i="28"/>
  <c r="BA123" i="28"/>
  <c r="AZ123" i="28"/>
  <c r="BE123" i="28" s="1"/>
  <c r="AY123" i="28"/>
  <c r="AX123" i="28"/>
  <c r="AW123" i="28"/>
  <c r="AV123" i="28"/>
  <c r="AR123" i="28"/>
  <c r="BH122" i="28"/>
  <c r="BG122" i="28"/>
  <c r="BF122" i="28"/>
  <c r="BD122" i="28"/>
  <c r="BC122" i="28"/>
  <c r="BB122" i="28"/>
  <c r="BA122" i="28"/>
  <c r="AZ122" i="28"/>
  <c r="BE122" i="28" s="1"/>
  <c r="AY122" i="28"/>
  <c r="AX122" i="28"/>
  <c r="AW122" i="28"/>
  <c r="AV122" i="28"/>
  <c r="AR122" i="28"/>
  <c r="BH121" i="28"/>
  <c r="BG121" i="28"/>
  <c r="BF121" i="28"/>
  <c r="BD121" i="28"/>
  <c r="BC121" i="28"/>
  <c r="BB121" i="28"/>
  <c r="BA121" i="28"/>
  <c r="AZ121" i="28"/>
  <c r="BE121" i="28" s="1"/>
  <c r="AY121" i="28"/>
  <c r="AX121" i="28"/>
  <c r="AW121" i="28"/>
  <c r="AV121" i="28"/>
  <c r="AR121" i="28"/>
  <c r="AU121" i="28" s="1"/>
  <c r="BH120" i="28"/>
  <c r="BG120" i="28"/>
  <c r="BF120" i="28"/>
  <c r="BD120" i="28"/>
  <c r="BC120" i="28"/>
  <c r="BB120" i="28"/>
  <c r="BA120" i="28"/>
  <c r="AZ120" i="28"/>
  <c r="BE120" i="28" s="1"/>
  <c r="AY120" i="28"/>
  <c r="AX120" i="28"/>
  <c r="AW120" i="28"/>
  <c r="AV120" i="28"/>
  <c r="AR120" i="28"/>
  <c r="AU120" i="28" s="1"/>
  <c r="BH119" i="28"/>
  <c r="BG119" i="28"/>
  <c r="BF119" i="28"/>
  <c r="BD119" i="28"/>
  <c r="BC119" i="28"/>
  <c r="BB119" i="28"/>
  <c r="BA119" i="28"/>
  <c r="AZ119" i="28"/>
  <c r="BE119" i="28" s="1"/>
  <c r="AY119" i="28"/>
  <c r="AX119" i="28"/>
  <c r="AW119" i="28"/>
  <c r="AV119" i="28"/>
  <c r="AR119" i="28"/>
  <c r="BH118" i="28"/>
  <c r="BG118" i="28"/>
  <c r="BF118" i="28"/>
  <c r="BD118" i="28"/>
  <c r="BC118" i="28"/>
  <c r="BB118" i="28"/>
  <c r="BA118" i="28"/>
  <c r="AZ118" i="28"/>
  <c r="BE118" i="28" s="1"/>
  <c r="AY118" i="28"/>
  <c r="AX118" i="28"/>
  <c r="AW118" i="28"/>
  <c r="AV118" i="28"/>
  <c r="AR118" i="28"/>
  <c r="BH117" i="28"/>
  <c r="BG117" i="28"/>
  <c r="BF117" i="28"/>
  <c r="BD117" i="28"/>
  <c r="BC117" i="28"/>
  <c r="BB117" i="28"/>
  <c r="BA117" i="28"/>
  <c r="AZ117" i="28"/>
  <c r="BE117" i="28" s="1"/>
  <c r="AY117" i="28"/>
  <c r="AX117" i="28"/>
  <c r="AW117" i="28"/>
  <c r="AV117" i="28"/>
  <c r="AR117" i="28"/>
  <c r="AU117" i="28" s="1"/>
  <c r="BH116" i="28"/>
  <c r="BG116" i="28"/>
  <c r="BF116" i="28"/>
  <c r="BD116" i="28"/>
  <c r="BC116" i="28"/>
  <c r="BB116" i="28"/>
  <c r="BA116" i="28"/>
  <c r="AZ116" i="28"/>
  <c r="BE116" i="28" s="1"/>
  <c r="AY116" i="28"/>
  <c r="AX116" i="28"/>
  <c r="AW116" i="28"/>
  <c r="AV116" i="28"/>
  <c r="AR116" i="28"/>
  <c r="AU116" i="28" s="1"/>
  <c r="BH115" i="28"/>
  <c r="BG115" i="28"/>
  <c r="BF115" i="28"/>
  <c r="BD115" i="28"/>
  <c r="BC115" i="28"/>
  <c r="BB115" i="28"/>
  <c r="BA115" i="28"/>
  <c r="AZ115" i="28"/>
  <c r="BE115" i="28" s="1"/>
  <c r="AY115" i="28"/>
  <c r="AX115" i="28"/>
  <c r="AW115" i="28"/>
  <c r="AV115" i="28"/>
  <c r="AR115" i="28"/>
  <c r="BH114" i="28"/>
  <c r="BG114" i="28"/>
  <c r="BF114" i="28"/>
  <c r="BD114" i="28"/>
  <c r="BC114" i="28"/>
  <c r="BB114" i="28"/>
  <c r="BA114" i="28"/>
  <c r="AZ114" i="28"/>
  <c r="BE114" i="28" s="1"/>
  <c r="AY114" i="28"/>
  <c r="AX114" i="28"/>
  <c r="AW114" i="28"/>
  <c r="AV114" i="28"/>
  <c r="AR114" i="28"/>
  <c r="AS114" i="28" s="1"/>
  <c r="BH113" i="28"/>
  <c r="BG113" i="28"/>
  <c r="BF113" i="28"/>
  <c r="BD113" i="28"/>
  <c r="BC113" i="28"/>
  <c r="BB113" i="28"/>
  <c r="BA113" i="28"/>
  <c r="AZ113" i="28"/>
  <c r="BE113" i="28" s="1"/>
  <c r="AY113" i="28"/>
  <c r="AX113" i="28"/>
  <c r="AW113" i="28"/>
  <c r="AV113" i="28"/>
  <c r="AR113" i="28"/>
  <c r="BH112" i="28"/>
  <c r="BG112" i="28"/>
  <c r="BF112" i="28"/>
  <c r="BD112" i="28"/>
  <c r="BC112" i="28"/>
  <c r="BB112" i="28"/>
  <c r="BA112" i="28"/>
  <c r="AZ112" i="28"/>
  <c r="BE112" i="28" s="1"/>
  <c r="AY112" i="28"/>
  <c r="AX112" i="28"/>
  <c r="AW112" i="28"/>
  <c r="AV112" i="28"/>
  <c r="AR112" i="28"/>
  <c r="BH111" i="28"/>
  <c r="BG111" i="28"/>
  <c r="BF111" i="28"/>
  <c r="BD111" i="28"/>
  <c r="BC111" i="28"/>
  <c r="BB111" i="28"/>
  <c r="BA111" i="28"/>
  <c r="AZ111" i="28"/>
  <c r="BE111" i="28" s="1"/>
  <c r="AY111" i="28"/>
  <c r="AX111" i="28"/>
  <c r="AW111" i="28"/>
  <c r="AV111" i="28"/>
  <c r="AR111" i="28"/>
  <c r="BH110" i="28"/>
  <c r="BG110" i="28"/>
  <c r="BF110" i="28"/>
  <c r="BD110" i="28"/>
  <c r="BC110" i="28"/>
  <c r="BB110" i="28"/>
  <c r="BA110" i="28"/>
  <c r="AZ110" i="28"/>
  <c r="BE110" i="28" s="1"/>
  <c r="AY110" i="28"/>
  <c r="AX110" i="28"/>
  <c r="AW110" i="28"/>
  <c r="AV110" i="28"/>
  <c r="AR110" i="28"/>
  <c r="AS110" i="28" s="1"/>
  <c r="BH109" i="28"/>
  <c r="BG109" i="28"/>
  <c r="BF109" i="28"/>
  <c r="BD109" i="28"/>
  <c r="BC109" i="28"/>
  <c r="BB109" i="28"/>
  <c r="BA109" i="28"/>
  <c r="AZ109" i="28"/>
  <c r="BE109" i="28" s="1"/>
  <c r="AY109" i="28"/>
  <c r="AX109" i="28"/>
  <c r="AW109" i="28"/>
  <c r="AV109" i="28"/>
  <c r="AR109" i="28"/>
  <c r="BH108" i="28"/>
  <c r="BG108" i="28"/>
  <c r="BF108" i="28"/>
  <c r="BD108" i="28"/>
  <c r="BC108" i="28"/>
  <c r="BB108" i="28"/>
  <c r="BA108" i="28"/>
  <c r="AZ108" i="28"/>
  <c r="BE108" i="28" s="1"/>
  <c r="AY108" i="28"/>
  <c r="AX108" i="28"/>
  <c r="AW108" i="28"/>
  <c r="AV108" i="28"/>
  <c r="AR108" i="28"/>
  <c r="AS108" i="28" s="1"/>
  <c r="BH107" i="28"/>
  <c r="BG107" i="28"/>
  <c r="BF107" i="28"/>
  <c r="BD107" i="28"/>
  <c r="BC107" i="28"/>
  <c r="BB107" i="28"/>
  <c r="BA107" i="28"/>
  <c r="AZ107" i="28"/>
  <c r="BE107" i="28" s="1"/>
  <c r="AY107" i="28"/>
  <c r="AX107" i="28"/>
  <c r="AW107" i="28"/>
  <c r="AV107" i="28"/>
  <c r="AR107" i="28"/>
  <c r="AS107" i="28" s="1"/>
  <c r="BH106" i="28"/>
  <c r="BG106" i="28"/>
  <c r="BF106" i="28"/>
  <c r="BD106" i="28"/>
  <c r="BC106" i="28"/>
  <c r="BB106" i="28"/>
  <c r="BA106" i="28"/>
  <c r="AZ106" i="28"/>
  <c r="BE106" i="28" s="1"/>
  <c r="AY106" i="28"/>
  <c r="AX106" i="28"/>
  <c r="AW106" i="28"/>
  <c r="AV106" i="28"/>
  <c r="AR106" i="28"/>
  <c r="AT106" i="28" s="1"/>
  <c r="BH105" i="28"/>
  <c r="BG105" i="28"/>
  <c r="BF105" i="28"/>
  <c r="BD105" i="28"/>
  <c r="BC105" i="28"/>
  <c r="BB105" i="28"/>
  <c r="BA105" i="28"/>
  <c r="AZ105" i="28"/>
  <c r="BE105" i="28" s="1"/>
  <c r="AY105" i="28"/>
  <c r="AX105" i="28"/>
  <c r="AW105" i="28"/>
  <c r="AV105" i="28"/>
  <c r="AR105" i="28"/>
  <c r="AT105" i="28" s="1"/>
  <c r="BH104" i="28"/>
  <c r="BG104" i="28"/>
  <c r="BF104" i="28"/>
  <c r="BD104" i="28"/>
  <c r="BC104" i="28"/>
  <c r="BB104" i="28"/>
  <c r="BA104" i="28"/>
  <c r="AZ104" i="28"/>
  <c r="BE104" i="28" s="1"/>
  <c r="AY104" i="28"/>
  <c r="AX104" i="28"/>
  <c r="AW104" i="28"/>
  <c r="AV104" i="28"/>
  <c r="AR104" i="28"/>
  <c r="AS104" i="28" s="1"/>
  <c r="BH103" i="28"/>
  <c r="BG103" i="28"/>
  <c r="BF103" i="28"/>
  <c r="BD103" i="28"/>
  <c r="BC103" i="28"/>
  <c r="BB103" i="28"/>
  <c r="BA103" i="28"/>
  <c r="AZ103" i="28"/>
  <c r="BE103" i="28" s="1"/>
  <c r="AY103" i="28"/>
  <c r="AX103" i="28"/>
  <c r="AW103" i="28"/>
  <c r="AV103" i="28"/>
  <c r="AR103" i="28"/>
  <c r="BH102" i="28"/>
  <c r="BG102" i="28"/>
  <c r="BF102" i="28"/>
  <c r="BD102" i="28"/>
  <c r="BC102" i="28"/>
  <c r="BB102" i="28"/>
  <c r="BA102" i="28"/>
  <c r="AZ102" i="28"/>
  <c r="BE102" i="28" s="1"/>
  <c r="AY102" i="28"/>
  <c r="AX102" i="28"/>
  <c r="AW102" i="28"/>
  <c r="AV102" i="28"/>
  <c r="AR102" i="28"/>
  <c r="BH101" i="28"/>
  <c r="BG101" i="28"/>
  <c r="BF101" i="28"/>
  <c r="BD101" i="28"/>
  <c r="BC101" i="28"/>
  <c r="BB101" i="28"/>
  <c r="BA101" i="28"/>
  <c r="AZ101" i="28"/>
  <c r="BE101" i="28" s="1"/>
  <c r="AY101" i="28"/>
  <c r="AX101" i="28"/>
  <c r="AW101" i="28"/>
  <c r="AV101" i="28"/>
  <c r="AR101" i="28"/>
  <c r="AT101" i="28" s="1"/>
  <c r="BH100" i="28"/>
  <c r="BG100" i="28"/>
  <c r="BF100" i="28"/>
  <c r="BD100" i="28"/>
  <c r="BC100" i="28"/>
  <c r="BB100" i="28"/>
  <c r="BA100" i="28"/>
  <c r="AZ100" i="28"/>
  <c r="BE100" i="28" s="1"/>
  <c r="AY100" i="28"/>
  <c r="AX100" i="28"/>
  <c r="AW100" i="28"/>
  <c r="AV100" i="28"/>
  <c r="AR100" i="28"/>
  <c r="AU100" i="28" s="1"/>
  <c r="BH99" i="28"/>
  <c r="BG99" i="28"/>
  <c r="BF99" i="28"/>
  <c r="BD99" i="28"/>
  <c r="BC99" i="28"/>
  <c r="BB99" i="28"/>
  <c r="BA99" i="28"/>
  <c r="AZ99" i="28"/>
  <c r="BE99" i="28" s="1"/>
  <c r="AY99" i="28"/>
  <c r="AX99" i="28"/>
  <c r="AW99" i="28"/>
  <c r="AV99" i="28"/>
  <c r="AR99" i="28"/>
  <c r="AT99" i="28" s="1"/>
  <c r="BH98" i="28"/>
  <c r="BG98" i="28"/>
  <c r="BF98" i="28"/>
  <c r="BD98" i="28"/>
  <c r="BC98" i="28"/>
  <c r="BB98" i="28"/>
  <c r="BA98" i="28"/>
  <c r="AZ98" i="28"/>
  <c r="BE98" i="28" s="1"/>
  <c r="AY98" i="28"/>
  <c r="AX98" i="28"/>
  <c r="AW98" i="28"/>
  <c r="AV98" i="28"/>
  <c r="AR98" i="28"/>
  <c r="AT98" i="28" s="1"/>
  <c r="BH97" i="28"/>
  <c r="BG97" i="28"/>
  <c r="BF97" i="28"/>
  <c r="BD97" i="28"/>
  <c r="BC97" i="28"/>
  <c r="BB97" i="28"/>
  <c r="BA97" i="28"/>
  <c r="AZ97" i="28"/>
  <c r="BE97" i="28" s="1"/>
  <c r="AY97" i="28"/>
  <c r="AX97" i="28"/>
  <c r="AW97" i="28"/>
  <c r="AV97" i="28"/>
  <c r="AR97" i="28"/>
  <c r="AT97" i="28" s="1"/>
  <c r="BH96" i="28"/>
  <c r="BG96" i="28"/>
  <c r="BF96" i="28"/>
  <c r="BD96" i="28"/>
  <c r="BC96" i="28"/>
  <c r="BB96" i="28"/>
  <c r="BA96" i="28"/>
  <c r="AZ96" i="28"/>
  <c r="BE96" i="28" s="1"/>
  <c r="AY96" i="28"/>
  <c r="AX96" i="28"/>
  <c r="AW96" i="28"/>
  <c r="AV96" i="28"/>
  <c r="AR96" i="28"/>
  <c r="BH95" i="28"/>
  <c r="BG95" i="28"/>
  <c r="BF95" i="28"/>
  <c r="BD95" i="28"/>
  <c r="BC95" i="28"/>
  <c r="BB95" i="28"/>
  <c r="BA95" i="28"/>
  <c r="AZ95" i="28"/>
  <c r="BE95" i="28" s="1"/>
  <c r="AY95" i="28"/>
  <c r="AX95" i="28"/>
  <c r="AW95" i="28"/>
  <c r="AV95" i="28"/>
  <c r="AR95" i="28"/>
  <c r="AT95" i="28" s="1"/>
  <c r="BH94" i="28"/>
  <c r="BG94" i="28"/>
  <c r="BF94" i="28"/>
  <c r="BD94" i="28"/>
  <c r="BC94" i="28"/>
  <c r="BB94" i="28"/>
  <c r="BA94" i="28"/>
  <c r="AZ94" i="28"/>
  <c r="BE94" i="28" s="1"/>
  <c r="AY94" i="28"/>
  <c r="AX94" i="28"/>
  <c r="AW94" i="28"/>
  <c r="AV94" i="28"/>
  <c r="AR94" i="28"/>
  <c r="AU94" i="28" s="1"/>
  <c r="BH93" i="28"/>
  <c r="BG93" i="28"/>
  <c r="BF93" i="28"/>
  <c r="BD93" i="28"/>
  <c r="BC93" i="28"/>
  <c r="BB93" i="28"/>
  <c r="BA93" i="28"/>
  <c r="AZ93" i="28"/>
  <c r="BE93" i="28" s="1"/>
  <c r="AY93" i="28"/>
  <c r="AX93" i="28"/>
  <c r="AW93" i="28"/>
  <c r="AV93" i="28"/>
  <c r="AR93" i="28"/>
  <c r="BH92" i="28"/>
  <c r="BG92" i="28"/>
  <c r="BF92" i="28"/>
  <c r="BD92" i="28"/>
  <c r="BC92" i="28"/>
  <c r="BB92" i="28"/>
  <c r="BA92" i="28"/>
  <c r="AZ92" i="28"/>
  <c r="BE92" i="28" s="1"/>
  <c r="AY92" i="28"/>
  <c r="AX92" i="28"/>
  <c r="AW92" i="28"/>
  <c r="AV92" i="28"/>
  <c r="AR92" i="28"/>
  <c r="AU92" i="28" s="1"/>
  <c r="BH91" i="28"/>
  <c r="BG91" i="28"/>
  <c r="BF91" i="28"/>
  <c r="BD91" i="28"/>
  <c r="BC91" i="28"/>
  <c r="BB91" i="28"/>
  <c r="BA91" i="28"/>
  <c r="AZ91" i="28"/>
  <c r="BE91" i="28" s="1"/>
  <c r="AY91" i="28"/>
  <c r="AX91" i="28"/>
  <c r="AW91" i="28"/>
  <c r="AV91" i="28"/>
  <c r="AR91" i="28"/>
  <c r="BH90" i="28"/>
  <c r="BG90" i="28"/>
  <c r="BF90" i="28"/>
  <c r="BD90" i="28"/>
  <c r="BC90" i="28"/>
  <c r="BB90" i="28"/>
  <c r="BA90" i="28"/>
  <c r="AZ90" i="28"/>
  <c r="BE90" i="28" s="1"/>
  <c r="AY90" i="28"/>
  <c r="AX90" i="28"/>
  <c r="AW90" i="28"/>
  <c r="AV90" i="28"/>
  <c r="AR90" i="28"/>
  <c r="AT90" i="28" s="1"/>
  <c r="BH89" i="28"/>
  <c r="BG89" i="28"/>
  <c r="BF89" i="28"/>
  <c r="BD89" i="28"/>
  <c r="BC89" i="28"/>
  <c r="BB89" i="28"/>
  <c r="BA89" i="28"/>
  <c r="AZ89" i="28"/>
  <c r="BE89" i="28" s="1"/>
  <c r="AY89" i="28"/>
  <c r="AX89" i="28"/>
  <c r="AW89" i="28"/>
  <c r="AV89" i="28"/>
  <c r="AR89" i="28"/>
  <c r="AU89" i="28" s="1"/>
  <c r="BH88" i="28"/>
  <c r="BG88" i="28"/>
  <c r="BF88" i="28"/>
  <c r="BD88" i="28"/>
  <c r="BC88" i="28"/>
  <c r="BB88" i="28"/>
  <c r="BA88" i="28"/>
  <c r="AZ88" i="28"/>
  <c r="BE88" i="28" s="1"/>
  <c r="AY88" i="28"/>
  <c r="AX88" i="28"/>
  <c r="AW88" i="28"/>
  <c r="AV88" i="28"/>
  <c r="AR88" i="28"/>
  <c r="AS88" i="28" s="1"/>
  <c r="BH87" i="28"/>
  <c r="BG87" i="28"/>
  <c r="BF87" i="28"/>
  <c r="BD87" i="28"/>
  <c r="BC87" i="28"/>
  <c r="BB87" i="28"/>
  <c r="BA87" i="28"/>
  <c r="AZ87" i="28"/>
  <c r="BE87" i="28" s="1"/>
  <c r="AY87" i="28"/>
  <c r="AX87" i="28"/>
  <c r="AW87" i="28"/>
  <c r="AV87" i="28"/>
  <c r="AR87" i="28"/>
  <c r="AU87" i="28" s="1"/>
  <c r="BH86" i="28"/>
  <c r="BG86" i="28"/>
  <c r="BF86" i="28"/>
  <c r="BD86" i="28"/>
  <c r="BC86" i="28"/>
  <c r="BB86" i="28"/>
  <c r="BA86" i="28"/>
  <c r="AZ86" i="28"/>
  <c r="BE86" i="28" s="1"/>
  <c r="AY86" i="28"/>
  <c r="AX86" i="28"/>
  <c r="AW86" i="28"/>
  <c r="AV86" i="28"/>
  <c r="AR86" i="28"/>
  <c r="BH85" i="28"/>
  <c r="BG85" i="28"/>
  <c r="BF85" i="28"/>
  <c r="BD85" i="28"/>
  <c r="BC85" i="28"/>
  <c r="BB85" i="28"/>
  <c r="BA85" i="28"/>
  <c r="AZ85" i="28"/>
  <c r="BE85" i="28" s="1"/>
  <c r="AY85" i="28"/>
  <c r="AX85" i="28"/>
  <c r="AW85" i="28"/>
  <c r="AV85" i="28"/>
  <c r="AR85" i="28"/>
  <c r="BH84" i="28"/>
  <c r="BG84" i="28"/>
  <c r="BF84" i="28"/>
  <c r="BD84" i="28"/>
  <c r="BC84" i="28"/>
  <c r="BB84" i="28"/>
  <c r="BA84" i="28"/>
  <c r="AZ84" i="28"/>
  <c r="BE84" i="28" s="1"/>
  <c r="AY84" i="28"/>
  <c r="AX84" i="28"/>
  <c r="AW84" i="28"/>
  <c r="AV84" i="28"/>
  <c r="AR84" i="28"/>
  <c r="AS84" i="28" s="1"/>
  <c r="BH83" i="28"/>
  <c r="BG83" i="28"/>
  <c r="BF83" i="28"/>
  <c r="BD83" i="28"/>
  <c r="BC83" i="28"/>
  <c r="BB83" i="28"/>
  <c r="BA83" i="28"/>
  <c r="AZ83" i="28"/>
  <c r="BE83" i="28" s="1"/>
  <c r="AY83" i="28"/>
  <c r="AX83" i="28"/>
  <c r="AW83" i="28"/>
  <c r="AV83" i="28"/>
  <c r="AR83" i="28"/>
  <c r="AT83" i="28" s="1"/>
  <c r="BH82" i="28"/>
  <c r="BG82" i="28"/>
  <c r="BF82" i="28"/>
  <c r="BD82" i="28"/>
  <c r="BC82" i="28"/>
  <c r="BB82" i="28"/>
  <c r="BA82" i="28"/>
  <c r="AZ82" i="28"/>
  <c r="BE82" i="28" s="1"/>
  <c r="AY82" i="28"/>
  <c r="AX82" i="28"/>
  <c r="AW82" i="28"/>
  <c r="AV82" i="28"/>
  <c r="AR82" i="28"/>
  <c r="AT82" i="28" s="1"/>
  <c r="BH81" i="28"/>
  <c r="BG81" i="28"/>
  <c r="BF81" i="28"/>
  <c r="BD81" i="28"/>
  <c r="BC81" i="28"/>
  <c r="BB81" i="28"/>
  <c r="BA81" i="28"/>
  <c r="AZ81" i="28"/>
  <c r="BE81" i="28" s="1"/>
  <c r="AY81" i="28"/>
  <c r="AX81" i="28"/>
  <c r="AW81" i="28"/>
  <c r="AV81" i="28"/>
  <c r="AR81" i="28"/>
  <c r="AU81" i="28" s="1"/>
  <c r="BH80" i="28"/>
  <c r="BG80" i="28"/>
  <c r="BF80" i="28"/>
  <c r="BD80" i="28"/>
  <c r="BC80" i="28"/>
  <c r="BB80" i="28"/>
  <c r="BA80" i="28"/>
  <c r="AZ80" i="28"/>
  <c r="BE80" i="28" s="1"/>
  <c r="AY80" i="28"/>
  <c r="AX80" i="28"/>
  <c r="AW80" i="28"/>
  <c r="AV80" i="28"/>
  <c r="AR80" i="28"/>
  <c r="AU80" i="28" s="1"/>
  <c r="BH79" i="28"/>
  <c r="BG79" i="28"/>
  <c r="BF79" i="28"/>
  <c r="BD79" i="28"/>
  <c r="BC79" i="28"/>
  <c r="BB79" i="28"/>
  <c r="BA79" i="28"/>
  <c r="AZ79" i="28"/>
  <c r="BE79" i="28" s="1"/>
  <c r="AY79" i="28"/>
  <c r="AX79" i="28"/>
  <c r="AW79" i="28"/>
  <c r="AV79" i="28"/>
  <c r="AR79" i="28"/>
  <c r="BH78" i="28"/>
  <c r="BG78" i="28"/>
  <c r="BF78" i="28"/>
  <c r="BD78" i="28"/>
  <c r="BC78" i="28"/>
  <c r="BB78" i="28"/>
  <c r="BA78" i="28"/>
  <c r="AZ78" i="28"/>
  <c r="BE78" i="28" s="1"/>
  <c r="AY78" i="28"/>
  <c r="AX78" i="28"/>
  <c r="AW78" i="28"/>
  <c r="AV78" i="28"/>
  <c r="AR78" i="28"/>
  <c r="BH77" i="28"/>
  <c r="BG77" i="28"/>
  <c r="BF77" i="28"/>
  <c r="BD77" i="28"/>
  <c r="BC77" i="28"/>
  <c r="BB77" i="28"/>
  <c r="BA77" i="28"/>
  <c r="AZ77" i="28"/>
  <c r="BE77" i="28" s="1"/>
  <c r="AY77" i="28"/>
  <c r="AX77" i="28"/>
  <c r="AW77" i="28"/>
  <c r="AV77" i="28"/>
  <c r="AR77" i="28"/>
  <c r="AU77" i="28" s="1"/>
  <c r="BH76" i="28"/>
  <c r="BG76" i="28"/>
  <c r="BF76" i="28"/>
  <c r="BD76" i="28"/>
  <c r="BC76" i="28"/>
  <c r="BB76" i="28"/>
  <c r="BA76" i="28"/>
  <c r="AZ76" i="28"/>
  <c r="BE76" i="28" s="1"/>
  <c r="AY76" i="28"/>
  <c r="AX76" i="28"/>
  <c r="AW76" i="28"/>
  <c r="AV76" i="28"/>
  <c r="AR76" i="28"/>
  <c r="BH75" i="28"/>
  <c r="BG75" i="28"/>
  <c r="BF75" i="28"/>
  <c r="BD75" i="28"/>
  <c r="BC75" i="28"/>
  <c r="BB75" i="28"/>
  <c r="BA75" i="28"/>
  <c r="AZ75" i="28"/>
  <c r="BE75" i="28" s="1"/>
  <c r="AY75" i="28"/>
  <c r="AX75" i="28"/>
  <c r="AW75" i="28"/>
  <c r="AV75" i="28"/>
  <c r="AR75" i="28"/>
  <c r="AS75" i="28" s="1"/>
  <c r="BH74" i="28"/>
  <c r="BG74" i="28"/>
  <c r="BF74" i="28"/>
  <c r="BD74" i="28"/>
  <c r="BC74" i="28"/>
  <c r="BB74" i="28"/>
  <c r="BA74" i="28"/>
  <c r="AZ74" i="28"/>
  <c r="BE74" i="28" s="1"/>
  <c r="AY74" i="28"/>
  <c r="AX74" i="28"/>
  <c r="AW74" i="28"/>
  <c r="AV74" i="28"/>
  <c r="AR74" i="28"/>
  <c r="BH73" i="28"/>
  <c r="BG73" i="28"/>
  <c r="BF73" i="28"/>
  <c r="BD73" i="28"/>
  <c r="BC73" i="28"/>
  <c r="BB73" i="28"/>
  <c r="BA73" i="28"/>
  <c r="AZ73" i="28"/>
  <c r="BE73" i="28" s="1"/>
  <c r="AY73" i="28"/>
  <c r="AX73" i="28"/>
  <c r="AW73" i="28"/>
  <c r="AV73" i="28"/>
  <c r="AR73" i="28"/>
  <c r="AS73" i="28" s="1"/>
  <c r="BH72" i="28"/>
  <c r="BG72" i="28"/>
  <c r="BF72" i="28"/>
  <c r="BD72" i="28"/>
  <c r="BC72" i="28"/>
  <c r="BB72" i="28"/>
  <c r="BA72" i="28"/>
  <c r="AZ72" i="28"/>
  <c r="BE72" i="28" s="1"/>
  <c r="AY72" i="28"/>
  <c r="AX72" i="28"/>
  <c r="AW72" i="28"/>
  <c r="AV72" i="28"/>
  <c r="AR72" i="28"/>
  <c r="BH71" i="28"/>
  <c r="BG71" i="28"/>
  <c r="BF71" i="28"/>
  <c r="BD71" i="28"/>
  <c r="BC71" i="28"/>
  <c r="BB71" i="28"/>
  <c r="BA71" i="28"/>
  <c r="AZ71" i="28"/>
  <c r="BE71" i="28" s="1"/>
  <c r="AY71" i="28"/>
  <c r="AX71" i="28"/>
  <c r="AW71" i="28"/>
  <c r="AV71" i="28"/>
  <c r="AR71" i="28"/>
  <c r="AU71" i="28" s="1"/>
  <c r="BH70" i="28"/>
  <c r="BG70" i="28"/>
  <c r="BF70" i="28"/>
  <c r="BD70" i="28"/>
  <c r="BC70" i="28"/>
  <c r="BB70" i="28"/>
  <c r="BA70" i="28"/>
  <c r="AZ70" i="28"/>
  <c r="BE70" i="28" s="1"/>
  <c r="AY70" i="28"/>
  <c r="AX70" i="28"/>
  <c r="AW70" i="28"/>
  <c r="AV70" i="28"/>
  <c r="AR70" i="28"/>
  <c r="AU70" i="28" s="1"/>
  <c r="BH69" i="28"/>
  <c r="BG69" i="28"/>
  <c r="BF69" i="28"/>
  <c r="BD69" i="28"/>
  <c r="BC69" i="28"/>
  <c r="BB69" i="28"/>
  <c r="BA69" i="28"/>
  <c r="AZ69" i="28"/>
  <c r="BE69" i="28" s="1"/>
  <c r="AY69" i="28"/>
  <c r="AX69" i="28"/>
  <c r="AW69" i="28"/>
  <c r="AV69" i="28"/>
  <c r="AR69" i="28"/>
  <c r="BH68" i="28"/>
  <c r="BG68" i="28"/>
  <c r="BF68" i="28"/>
  <c r="BD68" i="28"/>
  <c r="BC68" i="28"/>
  <c r="BB68" i="28"/>
  <c r="BA68" i="28"/>
  <c r="AZ68" i="28"/>
  <c r="BE68" i="28" s="1"/>
  <c r="AY68" i="28"/>
  <c r="AX68" i="28"/>
  <c r="AW68" i="28"/>
  <c r="AV68" i="28"/>
  <c r="AR68" i="28"/>
  <c r="BH67" i="28"/>
  <c r="BG67" i="28"/>
  <c r="BF67" i="28"/>
  <c r="BD67" i="28"/>
  <c r="BC67" i="28"/>
  <c r="BB67" i="28"/>
  <c r="BA67" i="28"/>
  <c r="AZ67" i="28"/>
  <c r="BE67" i="28" s="1"/>
  <c r="AY67" i="28"/>
  <c r="AX67" i="28"/>
  <c r="AW67" i="28"/>
  <c r="AV67" i="28"/>
  <c r="AR67" i="28"/>
  <c r="BH66" i="28"/>
  <c r="BG66" i="28"/>
  <c r="BF66" i="28"/>
  <c r="BD66" i="28"/>
  <c r="BC66" i="28"/>
  <c r="BB66" i="28"/>
  <c r="BA66" i="28"/>
  <c r="AZ66" i="28"/>
  <c r="BE66" i="28" s="1"/>
  <c r="AY66" i="28"/>
  <c r="AX66" i="28"/>
  <c r="AW66" i="28"/>
  <c r="AV66" i="28"/>
  <c r="AR66" i="28"/>
  <c r="BH65" i="28"/>
  <c r="BG65" i="28"/>
  <c r="BF65" i="28"/>
  <c r="BD65" i="28"/>
  <c r="BC65" i="28"/>
  <c r="BB65" i="28"/>
  <c r="BA65" i="28"/>
  <c r="AZ65" i="28"/>
  <c r="BE65" i="28" s="1"/>
  <c r="AY65" i="28"/>
  <c r="AX65" i="28"/>
  <c r="AW65" i="28"/>
  <c r="AV65" i="28"/>
  <c r="AR65" i="28"/>
  <c r="AT65" i="28" s="1"/>
  <c r="BH64" i="28"/>
  <c r="BG64" i="28"/>
  <c r="BF64" i="28"/>
  <c r="BD64" i="28"/>
  <c r="BC64" i="28"/>
  <c r="BB64" i="28"/>
  <c r="BA64" i="28"/>
  <c r="AZ64" i="28"/>
  <c r="BE64" i="28" s="1"/>
  <c r="AY64" i="28"/>
  <c r="AX64" i="28"/>
  <c r="AW64" i="28"/>
  <c r="AV64" i="28"/>
  <c r="AR64" i="28"/>
  <c r="BH63" i="28"/>
  <c r="BG63" i="28"/>
  <c r="BF63" i="28"/>
  <c r="BD63" i="28"/>
  <c r="BC63" i="28"/>
  <c r="BB63" i="28"/>
  <c r="BA63" i="28"/>
  <c r="AZ63" i="28"/>
  <c r="BE63" i="28" s="1"/>
  <c r="AY63" i="28"/>
  <c r="AX63" i="28"/>
  <c r="AW63" i="28"/>
  <c r="AV63" i="28"/>
  <c r="AR63" i="28"/>
  <c r="AU63" i="28" s="1"/>
  <c r="BH62" i="28"/>
  <c r="BG62" i="28"/>
  <c r="BF62" i="28"/>
  <c r="BD62" i="28"/>
  <c r="BC62" i="28"/>
  <c r="BB62" i="28"/>
  <c r="BA62" i="28"/>
  <c r="AZ62" i="28"/>
  <c r="BE62" i="28" s="1"/>
  <c r="AY62" i="28"/>
  <c r="AX62" i="28"/>
  <c r="AW62" i="28"/>
  <c r="AV62" i="28"/>
  <c r="AR62" i="28"/>
  <c r="AU62" i="28" s="1"/>
  <c r="BH61" i="28"/>
  <c r="BG61" i="28"/>
  <c r="BF61" i="28"/>
  <c r="BD61" i="28"/>
  <c r="BC61" i="28"/>
  <c r="BB61" i="28"/>
  <c r="BA61" i="28"/>
  <c r="AZ61" i="28"/>
  <c r="BE61" i="28" s="1"/>
  <c r="AY61" i="28"/>
  <c r="AX61" i="28"/>
  <c r="AW61" i="28"/>
  <c r="AV61" i="28"/>
  <c r="AR61" i="28"/>
  <c r="BH60" i="28"/>
  <c r="BG60" i="28"/>
  <c r="BF60" i="28"/>
  <c r="BD60" i="28"/>
  <c r="BC60" i="28"/>
  <c r="BB60" i="28"/>
  <c r="BA60" i="28"/>
  <c r="AZ60" i="28"/>
  <c r="BE60" i="28" s="1"/>
  <c r="AY60" i="28"/>
  <c r="AX60" i="28"/>
  <c r="AW60" i="28"/>
  <c r="AV60" i="28"/>
  <c r="AR60" i="28"/>
  <c r="AU60" i="28" s="1"/>
  <c r="BH59" i="28"/>
  <c r="BG59" i="28"/>
  <c r="BF59" i="28"/>
  <c r="BD59" i="28"/>
  <c r="BC59" i="28"/>
  <c r="BB59" i="28"/>
  <c r="BA59" i="28"/>
  <c r="AZ59" i="28"/>
  <c r="BE59" i="28" s="1"/>
  <c r="AY59" i="28"/>
  <c r="AX59" i="28"/>
  <c r="AW59" i="28"/>
  <c r="AV59" i="28"/>
  <c r="AR59" i="28"/>
  <c r="AU59" i="28" s="1"/>
  <c r="BH58" i="28"/>
  <c r="BG58" i="28"/>
  <c r="BF58" i="28"/>
  <c r="BD58" i="28"/>
  <c r="BC58" i="28"/>
  <c r="BB58" i="28"/>
  <c r="BA58" i="28"/>
  <c r="AZ58" i="28"/>
  <c r="BE58" i="28" s="1"/>
  <c r="AY58" i="28"/>
  <c r="AX58" i="28"/>
  <c r="AW58" i="28"/>
  <c r="AV58" i="28"/>
  <c r="AR58" i="28"/>
  <c r="AS58" i="28" s="1"/>
  <c r="BH57" i="28"/>
  <c r="BG57" i="28"/>
  <c r="BF57" i="28"/>
  <c r="BD57" i="28"/>
  <c r="BC57" i="28"/>
  <c r="BB57" i="28"/>
  <c r="BA57" i="28"/>
  <c r="AZ57" i="28"/>
  <c r="BE57" i="28" s="1"/>
  <c r="AY57" i="28"/>
  <c r="AX57" i="28"/>
  <c r="AW57" i="28"/>
  <c r="AV57" i="28"/>
  <c r="AR57" i="28"/>
  <c r="AU57" i="28" s="1"/>
  <c r="BH56" i="28"/>
  <c r="BG56" i="28"/>
  <c r="BF56" i="28"/>
  <c r="BD56" i="28"/>
  <c r="BC56" i="28"/>
  <c r="BB56" i="28"/>
  <c r="BA56" i="28"/>
  <c r="AZ56" i="28"/>
  <c r="BE56" i="28" s="1"/>
  <c r="AY56" i="28"/>
  <c r="AX56" i="28"/>
  <c r="AW56" i="28"/>
  <c r="AV56" i="28"/>
  <c r="AR56" i="28"/>
  <c r="AU56" i="28" s="1"/>
  <c r="BH55" i="28"/>
  <c r="BG55" i="28"/>
  <c r="BF55" i="28"/>
  <c r="BD55" i="28"/>
  <c r="BC55" i="28"/>
  <c r="BB55" i="28"/>
  <c r="BA55" i="28"/>
  <c r="AZ55" i="28"/>
  <c r="BE55" i="28" s="1"/>
  <c r="AY55" i="28"/>
  <c r="AX55" i="28"/>
  <c r="AW55" i="28"/>
  <c r="AV55" i="28"/>
  <c r="AR55" i="28"/>
  <c r="BH54" i="28"/>
  <c r="BG54" i="28"/>
  <c r="BF54" i="28"/>
  <c r="BD54" i="28"/>
  <c r="BC54" i="28"/>
  <c r="BB54" i="28"/>
  <c r="BA54" i="28"/>
  <c r="AZ54" i="28"/>
  <c r="BE54" i="28" s="1"/>
  <c r="AY54" i="28"/>
  <c r="AX54" i="28"/>
  <c r="AW54" i="28"/>
  <c r="AV54" i="28"/>
  <c r="AR54" i="28"/>
  <c r="AS54" i="28" s="1"/>
  <c r="BH53" i="28"/>
  <c r="BG53" i="28"/>
  <c r="BF53" i="28"/>
  <c r="BD53" i="28"/>
  <c r="BC53" i="28"/>
  <c r="BB53" i="28"/>
  <c r="BA53" i="28"/>
  <c r="AZ53" i="28"/>
  <c r="BE53" i="28" s="1"/>
  <c r="AY53" i="28"/>
  <c r="AX53" i="28"/>
  <c r="AW53" i="28"/>
  <c r="AV53" i="28"/>
  <c r="AR53" i="28"/>
  <c r="AU53" i="28" s="1"/>
  <c r="BH52" i="28"/>
  <c r="BG52" i="28"/>
  <c r="BF52" i="28"/>
  <c r="BD52" i="28"/>
  <c r="BC52" i="28"/>
  <c r="BB52" i="28"/>
  <c r="BA52" i="28"/>
  <c r="AZ52" i="28"/>
  <c r="BE52" i="28" s="1"/>
  <c r="AY52" i="28"/>
  <c r="AX52" i="28"/>
  <c r="AW52" i="28"/>
  <c r="AV52" i="28"/>
  <c r="AR52" i="28"/>
  <c r="BH51" i="28"/>
  <c r="BG51" i="28"/>
  <c r="BF51" i="28"/>
  <c r="BD51" i="28"/>
  <c r="BC51" i="28"/>
  <c r="BB51" i="28"/>
  <c r="BA51" i="28"/>
  <c r="AZ51" i="28"/>
  <c r="BE51" i="28" s="1"/>
  <c r="AY51" i="28"/>
  <c r="AX51" i="28"/>
  <c r="AW51" i="28"/>
  <c r="AV51" i="28"/>
  <c r="AR51" i="28"/>
  <c r="AU51" i="28" s="1"/>
  <c r="BH50" i="28"/>
  <c r="BG50" i="28"/>
  <c r="BF50" i="28"/>
  <c r="BD50" i="28"/>
  <c r="BC50" i="28"/>
  <c r="BB50" i="28"/>
  <c r="BA50" i="28"/>
  <c r="AZ50" i="28"/>
  <c r="BE50" i="28" s="1"/>
  <c r="AY50" i="28"/>
  <c r="AX50" i="28"/>
  <c r="AW50" i="28"/>
  <c r="AV50" i="28"/>
  <c r="AR50" i="28"/>
  <c r="AS50" i="28" s="1"/>
  <c r="BH49" i="28"/>
  <c r="BG49" i="28"/>
  <c r="BF49" i="28"/>
  <c r="BD49" i="28"/>
  <c r="BC49" i="28"/>
  <c r="BB49" i="28"/>
  <c r="BA49" i="28"/>
  <c r="AZ49" i="28"/>
  <c r="BE49" i="28" s="1"/>
  <c r="AY49" i="28"/>
  <c r="AX49" i="28"/>
  <c r="AW49" i="28"/>
  <c r="AV49" i="28"/>
  <c r="AR49" i="28"/>
  <c r="BH48" i="28"/>
  <c r="BG48" i="28"/>
  <c r="BF48" i="28"/>
  <c r="BD48" i="28"/>
  <c r="BC48" i="28"/>
  <c r="BB48" i="28"/>
  <c r="BA48" i="28"/>
  <c r="AZ48" i="28"/>
  <c r="BE48" i="28" s="1"/>
  <c r="AY48" i="28"/>
  <c r="AX48" i="28"/>
  <c r="AW48" i="28"/>
  <c r="AV48" i="28"/>
  <c r="AR48" i="28"/>
  <c r="AU48" i="28" s="1"/>
  <c r="BH47" i="28"/>
  <c r="BG47" i="28"/>
  <c r="BF47" i="28"/>
  <c r="BD47" i="28"/>
  <c r="BC47" i="28"/>
  <c r="BB47" i="28"/>
  <c r="BA47" i="28"/>
  <c r="AZ47" i="28"/>
  <c r="BE47" i="28" s="1"/>
  <c r="AY47" i="28"/>
  <c r="AX47" i="28"/>
  <c r="AW47" i="28"/>
  <c r="AV47" i="28"/>
  <c r="AR47" i="28"/>
  <c r="BH46" i="28"/>
  <c r="BG46" i="28"/>
  <c r="BF46" i="28"/>
  <c r="BD46" i="28"/>
  <c r="BC46" i="28"/>
  <c r="BB46" i="28"/>
  <c r="BA46" i="28"/>
  <c r="AZ46" i="28"/>
  <c r="BE46" i="28" s="1"/>
  <c r="AY46" i="28"/>
  <c r="AX46" i="28"/>
  <c r="AW46" i="28"/>
  <c r="AV46" i="28"/>
  <c r="AR46" i="28"/>
  <c r="AU46" i="28" s="1"/>
  <c r="BH45" i="28"/>
  <c r="BG45" i="28"/>
  <c r="BF45" i="28"/>
  <c r="BD45" i="28"/>
  <c r="BC45" i="28"/>
  <c r="BB45" i="28"/>
  <c r="BA45" i="28"/>
  <c r="AZ45" i="28"/>
  <c r="BE45" i="28" s="1"/>
  <c r="AY45" i="28"/>
  <c r="AX45" i="28"/>
  <c r="AW45" i="28"/>
  <c r="AV45" i="28"/>
  <c r="AR45" i="28"/>
  <c r="AS45" i="28" s="1"/>
  <c r="BH44" i="28"/>
  <c r="BG44" i="28"/>
  <c r="BF44" i="28"/>
  <c r="BD44" i="28"/>
  <c r="BC44" i="28"/>
  <c r="BB44" i="28"/>
  <c r="BA44" i="28"/>
  <c r="AZ44" i="28"/>
  <c r="BE44" i="28" s="1"/>
  <c r="AY44" i="28"/>
  <c r="AX44" i="28"/>
  <c r="AW44" i="28"/>
  <c r="AV44" i="28"/>
  <c r="AR44" i="28"/>
  <c r="AT44" i="28" s="1"/>
  <c r="BH43" i="28"/>
  <c r="BG43" i="28"/>
  <c r="BF43" i="28"/>
  <c r="BD43" i="28"/>
  <c r="BC43" i="28"/>
  <c r="BB43" i="28"/>
  <c r="BA43" i="28"/>
  <c r="AZ43" i="28"/>
  <c r="BE43" i="28" s="1"/>
  <c r="AY43" i="28"/>
  <c r="AX43" i="28"/>
  <c r="AW43" i="28"/>
  <c r="AV43" i="28"/>
  <c r="AR43" i="28"/>
  <c r="BH42" i="28"/>
  <c r="BG42" i="28"/>
  <c r="BF42" i="28"/>
  <c r="BD42" i="28"/>
  <c r="BC42" i="28"/>
  <c r="BB42" i="28"/>
  <c r="BA42" i="28"/>
  <c r="AZ42" i="28"/>
  <c r="BE42" i="28" s="1"/>
  <c r="AY42" i="28"/>
  <c r="AX42" i="28"/>
  <c r="AW42" i="28"/>
  <c r="AV42" i="28"/>
  <c r="AR42" i="28"/>
  <c r="BH41" i="28"/>
  <c r="BG41" i="28"/>
  <c r="BF41" i="28"/>
  <c r="BD41" i="28"/>
  <c r="BC41" i="28"/>
  <c r="BB41" i="28"/>
  <c r="BA41" i="28"/>
  <c r="AZ41" i="28"/>
  <c r="BE41" i="28" s="1"/>
  <c r="AY41" i="28"/>
  <c r="AX41" i="28"/>
  <c r="AW41" i="28"/>
  <c r="AV41" i="28"/>
  <c r="AR41" i="28"/>
  <c r="AU41" i="28" s="1"/>
  <c r="BH40" i="28"/>
  <c r="BG40" i="28"/>
  <c r="BF40" i="28"/>
  <c r="BD40" i="28"/>
  <c r="BC40" i="28"/>
  <c r="BB40" i="28"/>
  <c r="BA40" i="28"/>
  <c r="AZ40" i="28"/>
  <c r="BE40" i="28" s="1"/>
  <c r="AY40" i="28"/>
  <c r="AX40" i="28"/>
  <c r="AW40" i="28"/>
  <c r="AV40" i="28"/>
  <c r="AR40" i="28"/>
  <c r="BH39" i="28"/>
  <c r="BG39" i="28"/>
  <c r="BF39" i="28"/>
  <c r="BD39" i="28"/>
  <c r="BC39" i="28"/>
  <c r="BB39" i="28"/>
  <c r="BA39" i="28"/>
  <c r="AZ39" i="28"/>
  <c r="BE39" i="28" s="1"/>
  <c r="AY39" i="28"/>
  <c r="AX39" i="28"/>
  <c r="AW39" i="28"/>
  <c r="AV39" i="28"/>
  <c r="AR39" i="28"/>
  <c r="AU39" i="28" s="1"/>
  <c r="BH38" i="28"/>
  <c r="BG38" i="28"/>
  <c r="BF38" i="28"/>
  <c r="BD38" i="28"/>
  <c r="BC38" i="28"/>
  <c r="BB38" i="28"/>
  <c r="BA38" i="28"/>
  <c r="AZ38" i="28"/>
  <c r="BE38" i="28" s="1"/>
  <c r="AY38" i="28"/>
  <c r="AX38" i="28"/>
  <c r="AW38" i="28"/>
  <c r="AV38" i="28"/>
  <c r="AR38" i="28"/>
  <c r="BH37" i="28"/>
  <c r="BG37" i="28"/>
  <c r="BF37" i="28"/>
  <c r="BD37" i="28"/>
  <c r="BC37" i="28"/>
  <c r="BB37" i="28"/>
  <c r="BA37" i="28"/>
  <c r="AZ37" i="28"/>
  <c r="BE37" i="28" s="1"/>
  <c r="AY37" i="28"/>
  <c r="AX37" i="28"/>
  <c r="AW37" i="28"/>
  <c r="AV37" i="28"/>
  <c r="AR37" i="28"/>
  <c r="AS37" i="28" s="1"/>
  <c r="BH36" i="28"/>
  <c r="BG36" i="28"/>
  <c r="BF36" i="28"/>
  <c r="BD36" i="28"/>
  <c r="BC36" i="28"/>
  <c r="BB36" i="28"/>
  <c r="BA36" i="28"/>
  <c r="AZ36" i="28"/>
  <c r="BE36" i="28" s="1"/>
  <c r="AY36" i="28"/>
  <c r="AX36" i="28"/>
  <c r="AW36" i="28"/>
  <c r="AV36" i="28"/>
  <c r="AR36" i="28"/>
  <c r="BH35" i="28"/>
  <c r="BG35" i="28"/>
  <c r="BF35" i="28"/>
  <c r="BD35" i="28"/>
  <c r="BC35" i="28"/>
  <c r="BB35" i="28"/>
  <c r="BA35" i="28"/>
  <c r="AZ35" i="28"/>
  <c r="BE35" i="28" s="1"/>
  <c r="AY35" i="28"/>
  <c r="AX35" i="28"/>
  <c r="AW35" i="28"/>
  <c r="AV35" i="28"/>
  <c r="AR35" i="28"/>
  <c r="AU35" i="28" s="1"/>
  <c r="BH34" i="28"/>
  <c r="BG34" i="28"/>
  <c r="BF34" i="28"/>
  <c r="BD34" i="28"/>
  <c r="BC34" i="28"/>
  <c r="BB34" i="28"/>
  <c r="BA34" i="28"/>
  <c r="AZ34" i="28"/>
  <c r="BE34" i="28" s="1"/>
  <c r="AY34" i="28"/>
  <c r="AX34" i="28"/>
  <c r="AW34" i="28"/>
  <c r="AV34" i="28"/>
  <c r="AR34" i="28"/>
  <c r="BH33" i="28"/>
  <c r="BG33" i="28"/>
  <c r="BF33" i="28"/>
  <c r="BD33" i="28"/>
  <c r="BC33" i="28"/>
  <c r="BB33" i="28"/>
  <c r="BA33" i="28"/>
  <c r="AZ33" i="28"/>
  <c r="BE33" i="28" s="1"/>
  <c r="AY33" i="28"/>
  <c r="AX33" i="28"/>
  <c r="AW33" i="28"/>
  <c r="AV33" i="28"/>
  <c r="AR33" i="28"/>
  <c r="BH32" i="28"/>
  <c r="BG32" i="28"/>
  <c r="BF32" i="28"/>
  <c r="BD32" i="28"/>
  <c r="BC32" i="28"/>
  <c r="BB32" i="28"/>
  <c r="BA32" i="28"/>
  <c r="AZ32" i="28"/>
  <c r="BE32" i="28" s="1"/>
  <c r="AY32" i="28"/>
  <c r="AX32" i="28"/>
  <c r="AW32" i="28"/>
  <c r="AV32" i="28"/>
  <c r="AR32" i="28"/>
  <c r="BH31" i="28"/>
  <c r="BG31" i="28"/>
  <c r="BF31" i="28"/>
  <c r="BD31" i="28"/>
  <c r="BC31" i="28"/>
  <c r="BB31" i="28"/>
  <c r="BA31" i="28"/>
  <c r="AZ31" i="28"/>
  <c r="BE31" i="28" s="1"/>
  <c r="AY31" i="28"/>
  <c r="AX31" i="28"/>
  <c r="AW31" i="28"/>
  <c r="AV31" i="28"/>
  <c r="AR31" i="28"/>
  <c r="BH30" i="28"/>
  <c r="BG30" i="28"/>
  <c r="BF30" i="28"/>
  <c r="BD30" i="28"/>
  <c r="BC30" i="28"/>
  <c r="BB30" i="28"/>
  <c r="BA30" i="28"/>
  <c r="AZ30" i="28"/>
  <c r="BE30" i="28" s="1"/>
  <c r="AY30" i="28"/>
  <c r="AX30" i="28"/>
  <c r="AW30" i="28"/>
  <c r="AV30" i="28"/>
  <c r="AR30" i="28"/>
  <c r="BH29" i="28"/>
  <c r="BG29" i="28"/>
  <c r="BF29" i="28"/>
  <c r="BD29" i="28"/>
  <c r="BC29" i="28"/>
  <c r="BB29" i="28"/>
  <c r="BA29" i="28"/>
  <c r="AZ29" i="28"/>
  <c r="BE29" i="28" s="1"/>
  <c r="AY29" i="28"/>
  <c r="AX29" i="28"/>
  <c r="AW29" i="28"/>
  <c r="AV29" i="28"/>
  <c r="AR29" i="28"/>
  <c r="AS29" i="28" s="1"/>
  <c r="BH28" i="28"/>
  <c r="BG28" i="28"/>
  <c r="BF28" i="28"/>
  <c r="BD28" i="28"/>
  <c r="BC28" i="28"/>
  <c r="BB28" i="28"/>
  <c r="BA28" i="28"/>
  <c r="AZ28" i="28"/>
  <c r="BE28" i="28" s="1"/>
  <c r="AY28" i="28"/>
  <c r="AX28" i="28"/>
  <c r="AW28" i="28"/>
  <c r="AV28" i="28"/>
  <c r="AR28" i="28"/>
  <c r="BH27" i="28"/>
  <c r="BG27" i="28"/>
  <c r="BF27" i="28"/>
  <c r="BD27" i="28"/>
  <c r="BC27" i="28"/>
  <c r="BB27" i="28"/>
  <c r="BA27" i="28"/>
  <c r="AZ27" i="28"/>
  <c r="BE27" i="28" s="1"/>
  <c r="AY27" i="28"/>
  <c r="AX27" i="28"/>
  <c r="AW27" i="28"/>
  <c r="AV27" i="28"/>
  <c r="AR27" i="28"/>
  <c r="BH26" i="28"/>
  <c r="BG26" i="28"/>
  <c r="BF26" i="28"/>
  <c r="BD26" i="28"/>
  <c r="BC26" i="28"/>
  <c r="BB26" i="28"/>
  <c r="BA26" i="28"/>
  <c r="AZ26" i="28"/>
  <c r="BE26" i="28" s="1"/>
  <c r="AY26" i="28"/>
  <c r="AX26" i="28"/>
  <c r="AW26" i="28"/>
  <c r="AV26" i="28"/>
  <c r="AR26" i="28"/>
  <c r="BH25" i="28"/>
  <c r="BG25" i="28"/>
  <c r="BF25" i="28"/>
  <c r="BD25" i="28"/>
  <c r="BC25" i="28"/>
  <c r="BB25" i="28"/>
  <c r="BA25" i="28"/>
  <c r="AZ25" i="28"/>
  <c r="BE25" i="28" s="1"/>
  <c r="AY25" i="28"/>
  <c r="AX25" i="28"/>
  <c r="AW25" i="28"/>
  <c r="AV25" i="28"/>
  <c r="AR25" i="28"/>
  <c r="BH24" i="28"/>
  <c r="BG24" i="28"/>
  <c r="BF24" i="28"/>
  <c r="BD24" i="28"/>
  <c r="BC24" i="28"/>
  <c r="BB24" i="28"/>
  <c r="BA24" i="28"/>
  <c r="AZ24" i="28"/>
  <c r="BE24" i="28" s="1"/>
  <c r="AY24" i="28"/>
  <c r="AX24" i="28"/>
  <c r="AW24" i="28"/>
  <c r="AV24" i="28"/>
  <c r="AR24" i="28"/>
  <c r="BH23" i="28"/>
  <c r="BG23" i="28"/>
  <c r="BF23" i="28"/>
  <c r="BD23" i="28"/>
  <c r="BC23" i="28"/>
  <c r="BB23" i="28"/>
  <c r="BA23" i="28"/>
  <c r="AZ23" i="28"/>
  <c r="BE23" i="28" s="1"/>
  <c r="AY23" i="28"/>
  <c r="AX23" i="28"/>
  <c r="AW23" i="28"/>
  <c r="AV23" i="28"/>
  <c r="AR23" i="28"/>
  <c r="BH22" i="28"/>
  <c r="BG22" i="28"/>
  <c r="BF22" i="28"/>
  <c r="BD22" i="28"/>
  <c r="BC22" i="28"/>
  <c r="BB22" i="28"/>
  <c r="BA22" i="28"/>
  <c r="AZ22" i="28"/>
  <c r="BE22" i="28" s="1"/>
  <c r="AY22" i="28"/>
  <c r="AX22" i="28"/>
  <c r="AW22" i="28"/>
  <c r="AV22" i="28"/>
  <c r="AR22" i="28"/>
  <c r="BH21" i="28"/>
  <c r="BG21" i="28"/>
  <c r="BF21" i="28"/>
  <c r="BD21" i="28"/>
  <c r="BC21" i="28"/>
  <c r="BB21" i="28"/>
  <c r="BA21" i="28"/>
  <c r="AZ21" i="28"/>
  <c r="BE21" i="28" s="1"/>
  <c r="AY21" i="28"/>
  <c r="AX21" i="28"/>
  <c r="AW21" i="28"/>
  <c r="AV21" i="28"/>
  <c r="AR21" i="28"/>
  <c r="BH20" i="28"/>
  <c r="BG20" i="28"/>
  <c r="BF20" i="28"/>
  <c r="BD20" i="28"/>
  <c r="BC20" i="28"/>
  <c r="BB20" i="28"/>
  <c r="BA20" i="28"/>
  <c r="AZ20" i="28"/>
  <c r="BE20" i="28" s="1"/>
  <c r="AY20" i="28"/>
  <c r="AX20" i="28"/>
  <c r="AW20" i="28"/>
  <c r="AV20" i="28"/>
  <c r="AR20" i="28"/>
  <c r="BH19" i="28"/>
  <c r="BG19" i="28"/>
  <c r="BF19" i="28"/>
  <c r="BD19" i="28"/>
  <c r="BC19" i="28"/>
  <c r="BB19" i="28"/>
  <c r="BA19" i="28"/>
  <c r="AZ19" i="28"/>
  <c r="BE19" i="28" s="1"/>
  <c r="AY19" i="28"/>
  <c r="AX19" i="28"/>
  <c r="AW19" i="28"/>
  <c r="AV19" i="28"/>
  <c r="AR19" i="28"/>
  <c r="BH18" i="28"/>
  <c r="BG18" i="28"/>
  <c r="BF18" i="28"/>
  <c r="BD18" i="28"/>
  <c r="BC18" i="28"/>
  <c r="BB18" i="28"/>
  <c r="BA18" i="28"/>
  <c r="AZ18" i="28"/>
  <c r="BE18" i="28" s="1"/>
  <c r="AY18" i="28"/>
  <c r="AX18" i="28"/>
  <c r="AW18" i="28"/>
  <c r="AV18" i="28"/>
  <c r="AR18" i="28"/>
  <c r="BH17" i="28"/>
  <c r="BG17" i="28"/>
  <c r="BF17" i="28"/>
  <c r="BD17" i="28"/>
  <c r="BC17" i="28"/>
  <c r="BB17" i="28"/>
  <c r="BA17" i="28"/>
  <c r="AZ17" i="28"/>
  <c r="BE17" i="28" s="1"/>
  <c r="AY17" i="28"/>
  <c r="AX17" i="28"/>
  <c r="AW17" i="28"/>
  <c r="AV17" i="28"/>
  <c r="AR17" i="28"/>
  <c r="BH16" i="28"/>
  <c r="BG16" i="28"/>
  <c r="BF16" i="28"/>
  <c r="BD16" i="28"/>
  <c r="BC16" i="28"/>
  <c r="BB16" i="28"/>
  <c r="BA16" i="28"/>
  <c r="AZ16" i="28"/>
  <c r="BE16" i="28" s="1"/>
  <c r="AY16" i="28"/>
  <c r="AX16" i="28"/>
  <c r="AW16" i="28"/>
  <c r="AV16" i="28"/>
  <c r="AR16" i="28"/>
  <c r="BH15" i="28"/>
  <c r="BG15" i="28"/>
  <c r="BF15" i="28"/>
  <c r="BD15" i="28"/>
  <c r="BC15" i="28"/>
  <c r="BB15" i="28"/>
  <c r="BA15" i="28"/>
  <c r="AZ15" i="28"/>
  <c r="BE15" i="28" s="1"/>
  <c r="AY15" i="28"/>
  <c r="AX15" i="28"/>
  <c r="AW15" i="28"/>
  <c r="AV15" i="28"/>
  <c r="AR15" i="28"/>
  <c r="BH14" i="28"/>
  <c r="BG14" i="28"/>
  <c r="BF14" i="28"/>
  <c r="BD14" i="28"/>
  <c r="BC14" i="28"/>
  <c r="BB14" i="28"/>
  <c r="BA14" i="28"/>
  <c r="AZ14" i="28"/>
  <c r="BE14" i="28" s="1"/>
  <c r="AY14" i="28"/>
  <c r="AX14" i="28"/>
  <c r="AW14" i="28"/>
  <c r="AV14" i="28"/>
  <c r="AR14" i="28"/>
  <c r="BH13" i="28"/>
  <c r="BG13" i="28"/>
  <c r="BF13" i="28"/>
  <c r="BD13" i="28"/>
  <c r="BC13" i="28"/>
  <c r="BB13" i="28"/>
  <c r="BA13" i="28"/>
  <c r="AZ13" i="28"/>
  <c r="BE13" i="28" s="1"/>
  <c r="AY13" i="28"/>
  <c r="AX13" i="28"/>
  <c r="AW13" i="28"/>
  <c r="AV13" i="28"/>
  <c r="AR13" i="28"/>
  <c r="BH12" i="28"/>
  <c r="BG12" i="28"/>
  <c r="BF12" i="28"/>
  <c r="BD12" i="28"/>
  <c r="BC12" i="28"/>
  <c r="BB12" i="28"/>
  <c r="BA12" i="28"/>
  <c r="AZ12" i="28"/>
  <c r="BE12" i="28" s="1"/>
  <c r="AY12" i="28"/>
  <c r="AX12" i="28"/>
  <c r="AW12" i="28"/>
  <c r="AV12" i="28"/>
  <c r="AR12" i="28"/>
  <c r="BH11" i="28"/>
  <c r="BG11" i="28"/>
  <c r="BF11" i="28"/>
  <c r="BD11" i="28"/>
  <c r="BC11" i="28"/>
  <c r="BB11" i="28"/>
  <c r="BA11" i="28"/>
  <c r="AZ11" i="28"/>
  <c r="BE11" i="28" s="1"/>
  <c r="AY11" i="28"/>
  <c r="AX11" i="28"/>
  <c r="AW11" i="28"/>
  <c r="AV11" i="28"/>
  <c r="AR11" i="28"/>
  <c r="BH10" i="28"/>
  <c r="BG10" i="28"/>
  <c r="BF10" i="28"/>
  <c r="BD10" i="28"/>
  <c r="BC10" i="28"/>
  <c r="BB10" i="28"/>
  <c r="BA10" i="28"/>
  <c r="AZ10" i="28"/>
  <c r="BE10" i="28" s="1"/>
  <c r="AY10" i="28"/>
  <c r="AX10" i="28"/>
  <c r="AW10" i="28"/>
  <c r="AV10" i="28"/>
  <c r="AR10" i="28"/>
  <c r="BH9" i="28"/>
  <c r="BG9" i="28"/>
  <c r="BF9" i="28"/>
  <c r="BD9" i="28"/>
  <c r="BC9" i="28"/>
  <c r="BB9" i="28"/>
  <c r="BA9" i="28"/>
  <c r="AZ9" i="28"/>
  <c r="BE9" i="28" s="1"/>
  <c r="AY9" i="28"/>
  <c r="AX9" i="28"/>
  <c r="AW9" i="28"/>
  <c r="AR9" i="28"/>
  <c r="BH8" i="28"/>
  <c r="BG8" i="28"/>
  <c r="BF8" i="28"/>
  <c r="BD8" i="28"/>
  <c r="BC8" i="28"/>
  <c r="BB8" i="28"/>
  <c r="BA8" i="28"/>
  <c r="AZ8" i="28"/>
  <c r="BE8" i="28" s="1"/>
  <c r="AY8" i="28"/>
  <c r="AX8" i="28"/>
  <c r="AW8" i="28"/>
  <c r="AV8" i="28"/>
  <c r="AR8" i="28"/>
  <c r="BH7" i="28"/>
  <c r="BG7" i="28"/>
  <c r="BF7" i="28"/>
  <c r="BD7" i="28"/>
  <c r="BC7" i="28"/>
  <c r="BB7" i="28"/>
  <c r="BA7" i="28"/>
  <c r="AZ7" i="28"/>
  <c r="BE7" i="28" s="1"/>
  <c r="AY7" i="28"/>
  <c r="AX7" i="28"/>
  <c r="AW7" i="28"/>
  <c r="AV7" i="28"/>
  <c r="AR7" i="28"/>
  <c r="BH6" i="28"/>
  <c r="BG6" i="28"/>
  <c r="BF6" i="28"/>
  <c r="BD6" i="28"/>
  <c r="BC6" i="28"/>
  <c r="BB6" i="28"/>
  <c r="BA6" i="28"/>
  <c r="AZ6" i="28"/>
  <c r="BE6" i="28" s="1"/>
  <c r="AY6" i="28"/>
  <c r="AX6" i="28"/>
  <c r="AW6" i="28"/>
  <c r="AV6" i="28"/>
  <c r="AR6" i="28"/>
  <c r="BH5" i="28"/>
  <c r="BG5" i="28"/>
  <c r="BF5" i="28"/>
  <c r="BD5" i="28"/>
  <c r="BC5" i="28"/>
  <c r="BB5" i="28"/>
  <c r="BA5" i="28"/>
  <c r="AZ5" i="28"/>
  <c r="BE5" i="28" s="1"/>
  <c r="AY5" i="28"/>
  <c r="AX5" i="28"/>
  <c r="AW5" i="28"/>
  <c r="AV5" i="28"/>
  <c r="AR5" i="28"/>
  <c r="BH4" i="28"/>
  <c r="BG4" i="28"/>
  <c r="BF4" i="28"/>
  <c r="BD4" i="28"/>
  <c r="BC4" i="28"/>
  <c r="BB4" i="28"/>
  <c r="BA4" i="28"/>
  <c r="AZ4" i="28"/>
  <c r="BE4" i="28" s="1"/>
  <c r="AY4" i="28"/>
  <c r="AX4" i="28"/>
  <c r="AW4" i="28"/>
  <c r="AV4" i="28"/>
  <c r="AR4" i="28"/>
  <c r="BH3" i="28"/>
  <c r="BG3" i="28"/>
  <c r="BF3" i="28"/>
  <c r="BD3" i="28"/>
  <c r="BC3" i="28"/>
  <c r="BB3" i="28"/>
  <c r="BA3" i="28"/>
  <c r="AZ3" i="28"/>
  <c r="BE3" i="28" s="1"/>
  <c r="AY3" i="28"/>
  <c r="AX3" i="28"/>
  <c r="AW3" i="28"/>
  <c r="AV3" i="28"/>
  <c r="AR3" i="28"/>
  <c r="BH2" i="28"/>
  <c r="BG2" i="28"/>
  <c r="BF2" i="28"/>
  <c r="BD2" i="28"/>
  <c r="BC2" i="28"/>
  <c r="BB2" i="28"/>
  <c r="BA2" i="28"/>
  <c r="AZ2" i="28"/>
  <c r="BE2" i="28" s="1"/>
  <c r="AY2" i="28"/>
  <c r="AX2" i="28"/>
  <c r="AW2" i="28"/>
  <c r="AV2" i="28"/>
  <c r="AR2" i="28"/>
  <c r="V7" i="26"/>
  <c r="V8" i="26"/>
  <c r="V9" i="26"/>
  <c r="V10" i="26"/>
  <c r="V11" i="26"/>
  <c r="V12" i="26"/>
  <c r="V13" i="26"/>
  <c r="V14" i="26"/>
  <c r="V15" i="26"/>
  <c r="V16" i="26"/>
  <c r="V17" i="26"/>
  <c r="V18" i="26"/>
  <c r="V19" i="26"/>
  <c r="V20" i="26"/>
  <c r="V21" i="26"/>
  <c r="V22" i="26"/>
  <c r="V23" i="26"/>
  <c r="V24" i="26"/>
  <c r="V25" i="26"/>
  <c r="V26" i="26"/>
  <c r="V27" i="26"/>
  <c r="V28" i="26"/>
  <c r="V29" i="26"/>
  <c r="V30" i="26"/>
  <c r="V31" i="26"/>
  <c r="V32" i="26"/>
  <c r="V33" i="26"/>
  <c r="V34" i="26"/>
  <c r="V35" i="26"/>
  <c r="V36" i="26"/>
  <c r="V37" i="26"/>
  <c r="V38" i="26"/>
  <c r="V39" i="26"/>
  <c r="V40" i="26"/>
  <c r="V41" i="26"/>
  <c r="V42" i="26"/>
  <c r="V43" i="26"/>
  <c r="V44" i="26"/>
  <c r="V45" i="26"/>
  <c r="V46" i="26"/>
  <c r="V47" i="26"/>
  <c r="V48" i="26"/>
  <c r="V49" i="26"/>
  <c r="V50" i="26"/>
  <c r="V51" i="26"/>
  <c r="V52" i="26"/>
  <c r="V53" i="26"/>
  <c r="V54" i="26"/>
  <c r="V55" i="26"/>
  <c r="V56" i="26"/>
  <c r="V57" i="26"/>
  <c r="V58" i="26"/>
  <c r="V59" i="26"/>
  <c r="V60" i="26"/>
  <c r="V61" i="26"/>
  <c r="V62" i="26"/>
  <c r="V63" i="26"/>
  <c r="V64" i="26"/>
  <c r="V65" i="26"/>
  <c r="V66" i="26"/>
  <c r="V67" i="26"/>
  <c r="V68" i="26"/>
  <c r="V69" i="26"/>
  <c r="V70" i="26"/>
  <c r="V71" i="26"/>
  <c r="V72" i="26"/>
  <c r="V73" i="26"/>
  <c r="V74" i="26"/>
  <c r="V75" i="26"/>
  <c r="V76" i="26"/>
  <c r="V77" i="26"/>
  <c r="V78" i="26"/>
  <c r="V79" i="26"/>
  <c r="V80" i="26"/>
  <c r="V81" i="26"/>
  <c r="V82" i="26"/>
  <c r="V6" i="26"/>
  <c r="V3" i="26"/>
  <c r="V4" i="26"/>
  <c r="V5" i="26"/>
  <c r="V2" i="26"/>
  <c r="BC2" i="10"/>
  <c r="U9" i="26"/>
  <c r="U10" i="26"/>
  <c r="U11" i="26"/>
  <c r="U12" i="26"/>
  <c r="U13" i="26"/>
  <c r="U14" i="26"/>
  <c r="U15" i="26"/>
  <c r="U16" i="26"/>
  <c r="U17" i="26"/>
  <c r="U18" i="26"/>
  <c r="U19" i="26"/>
  <c r="U20" i="26"/>
  <c r="U21" i="26"/>
  <c r="U22" i="26"/>
  <c r="U23" i="26"/>
  <c r="U24" i="26"/>
  <c r="U25" i="26"/>
  <c r="U26" i="26"/>
  <c r="U27" i="26"/>
  <c r="U28" i="26"/>
  <c r="U29" i="26"/>
  <c r="U30" i="26"/>
  <c r="U31" i="26"/>
  <c r="U32" i="26"/>
  <c r="U33" i="26"/>
  <c r="U34" i="26"/>
  <c r="U35" i="26"/>
  <c r="U36" i="26"/>
  <c r="U37" i="26"/>
  <c r="U38" i="26"/>
  <c r="U39" i="26"/>
  <c r="U40" i="26"/>
  <c r="U41" i="26"/>
  <c r="U42" i="26"/>
  <c r="U43" i="26"/>
  <c r="U44" i="26"/>
  <c r="U45" i="26"/>
  <c r="U46" i="26"/>
  <c r="U47" i="26"/>
  <c r="U48" i="26"/>
  <c r="U49" i="26"/>
  <c r="U50" i="26"/>
  <c r="U51" i="26"/>
  <c r="U52" i="26"/>
  <c r="U53" i="26"/>
  <c r="U54" i="26"/>
  <c r="U55" i="26"/>
  <c r="U56" i="26"/>
  <c r="U57" i="26"/>
  <c r="U58" i="26"/>
  <c r="U59" i="26"/>
  <c r="U60" i="26"/>
  <c r="U61" i="26"/>
  <c r="U62" i="26"/>
  <c r="U63" i="26"/>
  <c r="U64" i="26"/>
  <c r="U65" i="26"/>
  <c r="U66" i="26"/>
  <c r="U67" i="26"/>
  <c r="U68" i="26"/>
  <c r="U69" i="26"/>
  <c r="U70" i="26"/>
  <c r="U71" i="26"/>
  <c r="U72" i="26"/>
  <c r="U73" i="26"/>
  <c r="U74" i="26"/>
  <c r="U75" i="26"/>
  <c r="U76" i="26"/>
  <c r="U77" i="26"/>
  <c r="U78" i="26"/>
  <c r="U79" i="26"/>
  <c r="U80" i="26"/>
  <c r="U81" i="26"/>
  <c r="U82" i="26"/>
  <c r="U2" i="26"/>
  <c r="U3" i="26"/>
  <c r="U4" i="26"/>
  <c r="U5" i="26"/>
  <c r="U6" i="26"/>
  <c r="U7" i="26"/>
  <c r="U8" i="26"/>
  <c r="T2" i="26"/>
  <c r="T3" i="26"/>
  <c r="T4" i="26"/>
  <c r="T5" i="26"/>
  <c r="T6" i="26"/>
  <c r="T7" i="26"/>
  <c r="T8" i="26"/>
  <c r="T9" i="26"/>
  <c r="T10" i="26"/>
  <c r="T11" i="26"/>
  <c r="T12" i="26"/>
  <c r="T13" i="26"/>
  <c r="T14" i="26"/>
  <c r="T15" i="26"/>
  <c r="T16" i="26"/>
  <c r="T17" i="26"/>
  <c r="T18" i="26"/>
  <c r="T19" i="26"/>
  <c r="T20" i="26"/>
  <c r="T21" i="26"/>
  <c r="T22" i="26"/>
  <c r="T23" i="26"/>
  <c r="T24" i="26"/>
  <c r="T25" i="26"/>
  <c r="T26" i="26"/>
  <c r="T27" i="26"/>
  <c r="T28" i="26"/>
  <c r="T29" i="26"/>
  <c r="T30" i="26"/>
  <c r="T31" i="26"/>
  <c r="T32" i="26"/>
  <c r="T33" i="26"/>
  <c r="T34" i="26"/>
  <c r="T35" i="26"/>
  <c r="T36" i="26"/>
  <c r="T37" i="26"/>
  <c r="T38" i="26"/>
  <c r="T39" i="26"/>
  <c r="T40" i="26"/>
  <c r="T41" i="26"/>
  <c r="T42" i="26"/>
  <c r="T43" i="26"/>
  <c r="T44" i="26"/>
  <c r="T45" i="26"/>
  <c r="T46" i="26"/>
  <c r="T47" i="26"/>
  <c r="T48" i="26"/>
  <c r="T49" i="26"/>
  <c r="T50" i="26"/>
  <c r="T51" i="26"/>
  <c r="T52" i="26"/>
  <c r="T53" i="26"/>
  <c r="T54" i="26"/>
  <c r="T55" i="26"/>
  <c r="T56" i="26"/>
  <c r="T57" i="26"/>
  <c r="T58" i="26"/>
  <c r="T59" i="26"/>
  <c r="T60" i="26"/>
  <c r="T61" i="26"/>
  <c r="T62" i="26"/>
  <c r="T63" i="26"/>
  <c r="T64" i="26"/>
  <c r="T65" i="26"/>
  <c r="T66" i="26"/>
  <c r="T67" i="26"/>
  <c r="T68" i="26"/>
  <c r="T69" i="26"/>
  <c r="T70" i="26"/>
  <c r="T71" i="26"/>
  <c r="T72" i="26"/>
  <c r="T73" i="26"/>
  <c r="T74" i="26"/>
  <c r="T75" i="26"/>
  <c r="T76" i="26"/>
  <c r="T77" i="26"/>
  <c r="T78" i="26"/>
  <c r="T79" i="26"/>
  <c r="T80" i="26"/>
  <c r="T81" i="26"/>
  <c r="T82" i="26"/>
  <c r="S2" i="26"/>
  <c r="S3" i="26"/>
  <c r="S4" i="26"/>
  <c r="S5" i="26"/>
  <c r="S6" i="26"/>
  <c r="S7" i="26"/>
  <c r="S8" i="26"/>
  <c r="S9" i="26"/>
  <c r="S10" i="26"/>
  <c r="S11" i="26"/>
  <c r="S12" i="26"/>
  <c r="S13" i="26"/>
  <c r="S14" i="26"/>
  <c r="S15" i="26"/>
  <c r="S16" i="26"/>
  <c r="S17" i="26"/>
  <c r="S18" i="26"/>
  <c r="S19" i="26"/>
  <c r="S20" i="26"/>
  <c r="S21" i="26"/>
  <c r="S22" i="26"/>
  <c r="S23" i="26"/>
  <c r="S24" i="26"/>
  <c r="S25" i="26"/>
  <c r="S26" i="26"/>
  <c r="S27" i="26"/>
  <c r="S28" i="26"/>
  <c r="S29" i="26"/>
  <c r="S30" i="26"/>
  <c r="S31" i="26"/>
  <c r="S32" i="26"/>
  <c r="S33" i="26"/>
  <c r="S34" i="26"/>
  <c r="S35" i="26"/>
  <c r="S36" i="26"/>
  <c r="S37" i="26"/>
  <c r="S38" i="26"/>
  <c r="S39" i="26"/>
  <c r="S40" i="26"/>
  <c r="S41" i="26"/>
  <c r="S42" i="26"/>
  <c r="S43" i="26"/>
  <c r="S44" i="26"/>
  <c r="S45" i="26"/>
  <c r="S46" i="26"/>
  <c r="S47" i="26"/>
  <c r="S48" i="26"/>
  <c r="S49" i="26"/>
  <c r="S50" i="26"/>
  <c r="S51" i="26"/>
  <c r="S52" i="26"/>
  <c r="S53" i="26"/>
  <c r="S54" i="26"/>
  <c r="S55" i="26"/>
  <c r="S56" i="26"/>
  <c r="S57" i="26"/>
  <c r="S58" i="26"/>
  <c r="S59" i="26"/>
  <c r="S60" i="26"/>
  <c r="S61" i="26"/>
  <c r="S62" i="26"/>
  <c r="S63" i="26"/>
  <c r="S64" i="26"/>
  <c r="S65" i="26"/>
  <c r="S66" i="26"/>
  <c r="S67" i="26"/>
  <c r="S68" i="26"/>
  <c r="S69" i="26"/>
  <c r="S70" i="26"/>
  <c r="S71" i="26"/>
  <c r="S72" i="26"/>
  <c r="S73" i="26"/>
  <c r="S74" i="26"/>
  <c r="S75" i="26"/>
  <c r="S76" i="26"/>
  <c r="S77" i="26"/>
  <c r="S78" i="26"/>
  <c r="S79" i="26"/>
  <c r="S80" i="26"/>
  <c r="S81" i="26"/>
  <c r="S82" i="26"/>
  <c r="R2" i="26"/>
  <c r="R3" i="26"/>
  <c r="R4" i="26"/>
  <c r="R5" i="26"/>
  <c r="R6" i="26"/>
  <c r="R7" i="26"/>
  <c r="R8" i="26"/>
  <c r="R9" i="26"/>
  <c r="R10" i="26"/>
  <c r="R11" i="26"/>
  <c r="R12" i="26"/>
  <c r="R13" i="26"/>
  <c r="R14" i="26"/>
  <c r="R15" i="26"/>
  <c r="R16" i="26"/>
  <c r="R17" i="26"/>
  <c r="R18" i="26"/>
  <c r="R19" i="26"/>
  <c r="R20" i="26"/>
  <c r="R21" i="26"/>
  <c r="R22" i="26"/>
  <c r="R23" i="26"/>
  <c r="R24" i="26"/>
  <c r="R25" i="26"/>
  <c r="R26" i="26"/>
  <c r="R27" i="26"/>
  <c r="R28" i="26"/>
  <c r="R29" i="26"/>
  <c r="R30" i="26"/>
  <c r="R31" i="26"/>
  <c r="R32" i="26"/>
  <c r="R33" i="26"/>
  <c r="R34" i="26"/>
  <c r="R35" i="26"/>
  <c r="R36" i="26"/>
  <c r="R37" i="26"/>
  <c r="R38" i="26"/>
  <c r="R39" i="26"/>
  <c r="R40" i="26"/>
  <c r="R41" i="26"/>
  <c r="R42" i="26"/>
  <c r="R43" i="26"/>
  <c r="R44" i="26"/>
  <c r="R45" i="26"/>
  <c r="R46" i="26"/>
  <c r="R47" i="26"/>
  <c r="R48" i="26"/>
  <c r="R49" i="26"/>
  <c r="R50" i="26"/>
  <c r="R51" i="26"/>
  <c r="R52" i="26"/>
  <c r="R53" i="26"/>
  <c r="R54" i="26"/>
  <c r="R55" i="26"/>
  <c r="R56" i="26"/>
  <c r="R57" i="26"/>
  <c r="R58" i="26"/>
  <c r="R59" i="26"/>
  <c r="R60" i="26"/>
  <c r="R61" i="26"/>
  <c r="R62" i="26"/>
  <c r="R63" i="26"/>
  <c r="R64" i="26"/>
  <c r="R65" i="26"/>
  <c r="R66" i="26"/>
  <c r="R67" i="26"/>
  <c r="R68" i="26"/>
  <c r="R69" i="26"/>
  <c r="R70" i="26"/>
  <c r="R71" i="26"/>
  <c r="R72" i="26"/>
  <c r="R73" i="26"/>
  <c r="R74" i="26"/>
  <c r="R75" i="26"/>
  <c r="R76" i="26"/>
  <c r="R77" i="26"/>
  <c r="R78" i="26"/>
  <c r="R79" i="26"/>
  <c r="R80" i="26"/>
  <c r="R81" i="26"/>
  <c r="R82" i="26"/>
  <c r="Q2" i="26"/>
  <c r="Q3" i="26"/>
  <c r="Q4" i="26"/>
  <c r="Q5" i="26"/>
  <c r="Q6" i="26"/>
  <c r="Q7" i="26"/>
  <c r="Q8" i="26"/>
  <c r="Q9" i="26"/>
  <c r="Q10" i="26"/>
  <c r="Q11" i="26"/>
  <c r="Q12" i="26"/>
  <c r="Q13" i="26"/>
  <c r="Q14" i="26"/>
  <c r="Q15" i="26"/>
  <c r="Q16" i="26"/>
  <c r="Q17" i="26"/>
  <c r="Q18" i="26"/>
  <c r="Q19" i="26"/>
  <c r="Q20" i="26"/>
  <c r="Q21" i="26"/>
  <c r="Q22" i="26"/>
  <c r="Q23" i="26"/>
  <c r="Q24" i="26"/>
  <c r="Q25" i="26"/>
  <c r="Q26" i="26"/>
  <c r="Q27" i="26"/>
  <c r="Q28" i="26"/>
  <c r="Q29" i="26"/>
  <c r="Q30" i="26"/>
  <c r="Q31" i="26"/>
  <c r="Q32" i="26"/>
  <c r="Q33" i="26"/>
  <c r="Q34" i="26"/>
  <c r="Q35" i="26"/>
  <c r="Q36" i="26"/>
  <c r="Q37" i="26"/>
  <c r="Q38" i="26"/>
  <c r="Q39" i="26"/>
  <c r="Q40" i="26"/>
  <c r="Q41" i="26"/>
  <c r="Q42" i="26"/>
  <c r="Q43" i="26"/>
  <c r="Q44" i="26"/>
  <c r="Q45" i="26"/>
  <c r="Q46" i="26"/>
  <c r="Q47" i="26"/>
  <c r="Q48" i="26"/>
  <c r="Q49" i="26"/>
  <c r="Q50" i="26"/>
  <c r="Q51" i="26"/>
  <c r="Q52" i="26"/>
  <c r="Q53" i="26"/>
  <c r="Q54" i="26"/>
  <c r="Q55" i="26"/>
  <c r="Q56" i="26"/>
  <c r="Q57" i="26"/>
  <c r="Q58" i="26"/>
  <c r="Q59" i="26"/>
  <c r="Q60" i="26"/>
  <c r="Q61" i="26"/>
  <c r="Q62" i="26"/>
  <c r="Q63" i="26"/>
  <c r="Q64" i="26"/>
  <c r="Q65" i="26"/>
  <c r="Q66" i="26"/>
  <c r="Q67" i="26"/>
  <c r="Q68" i="26"/>
  <c r="Q69" i="26"/>
  <c r="Q70" i="26"/>
  <c r="Q71" i="26"/>
  <c r="Q72" i="26"/>
  <c r="Q73" i="26"/>
  <c r="Q74" i="26"/>
  <c r="Q75" i="26"/>
  <c r="Q76" i="26"/>
  <c r="Q77" i="26"/>
  <c r="Q78" i="26"/>
  <c r="Q79" i="26"/>
  <c r="Q80" i="26"/>
  <c r="Q81" i="26"/>
  <c r="Q82" i="26"/>
  <c r="AQ4" i="10"/>
  <c r="AR4" i="10"/>
  <c r="AQ5" i="10"/>
  <c r="AR5" i="10" s="1"/>
  <c r="AQ6" i="10"/>
  <c r="AQ7" i="10"/>
  <c r="AT7" i="10" s="1"/>
  <c r="AQ8" i="10"/>
  <c r="AR8" i="10"/>
  <c r="AQ9" i="10"/>
  <c r="AR9" i="10" s="1"/>
  <c r="AQ10" i="10"/>
  <c r="AR10" i="10" s="1"/>
  <c r="AQ11" i="10"/>
  <c r="AQ12" i="10"/>
  <c r="AR12" i="10" s="1"/>
  <c r="AQ13" i="10"/>
  <c r="AR13" i="10" s="1"/>
  <c r="AQ14" i="10"/>
  <c r="AT14" i="10" s="1"/>
  <c r="AQ15" i="10"/>
  <c r="AT15" i="10" s="1"/>
  <c r="AQ16" i="10"/>
  <c r="AR16" i="10" s="1"/>
  <c r="AQ17" i="10"/>
  <c r="AT17" i="10" s="1"/>
  <c r="AQ18" i="10"/>
  <c r="AT18" i="10" s="1"/>
  <c r="AQ19" i="10"/>
  <c r="AT19" i="10" s="1"/>
  <c r="AQ20" i="10"/>
  <c r="AS20" i="10" s="1"/>
  <c r="AQ21" i="10"/>
  <c r="AR21" i="10"/>
  <c r="AQ22" i="10"/>
  <c r="AS22" i="10" s="1"/>
  <c r="AQ23" i="10"/>
  <c r="AR23" i="10"/>
  <c r="AQ24" i="10"/>
  <c r="AR24" i="10" s="1"/>
  <c r="AQ25" i="10"/>
  <c r="AQ26" i="10"/>
  <c r="AT26" i="10" s="1"/>
  <c r="AQ27" i="10"/>
  <c r="AT27" i="10" s="1"/>
  <c r="AQ28" i="10"/>
  <c r="AR28" i="10" s="1"/>
  <c r="AQ29" i="10"/>
  <c r="AR29" i="10" s="1"/>
  <c r="AQ30" i="10"/>
  <c r="AR30" i="10" s="1"/>
  <c r="AQ31" i="10"/>
  <c r="AR31" i="10" s="1"/>
  <c r="AQ32" i="10"/>
  <c r="AT32" i="10" s="1"/>
  <c r="AQ33" i="10"/>
  <c r="AR33" i="10" s="1"/>
  <c r="AQ34" i="10"/>
  <c r="AS34" i="10" s="1"/>
  <c r="AQ35" i="10"/>
  <c r="AQ36" i="10"/>
  <c r="AT36" i="10" s="1"/>
  <c r="AQ37" i="10"/>
  <c r="AT37" i="10" s="1"/>
  <c r="AQ38" i="10"/>
  <c r="AR38" i="10" s="1"/>
  <c r="AQ39" i="10"/>
  <c r="AR39" i="10" s="1"/>
  <c r="AQ40" i="10"/>
  <c r="AT40" i="10" s="1"/>
  <c r="AQ41" i="10"/>
  <c r="AT41" i="10" s="1"/>
  <c r="AQ42" i="10"/>
  <c r="AQ43" i="10"/>
  <c r="AT43" i="10" s="1"/>
  <c r="AQ44" i="10"/>
  <c r="AR44" i="10" s="1"/>
  <c r="AQ45" i="10"/>
  <c r="AT45" i="10" s="1"/>
  <c r="AQ46" i="10"/>
  <c r="AQ47" i="10"/>
  <c r="AR47" i="10" s="1"/>
  <c r="AQ48" i="10"/>
  <c r="AR48" i="10" s="1"/>
  <c r="AQ49" i="10"/>
  <c r="AT49" i="10" s="1"/>
  <c r="AQ50" i="10"/>
  <c r="AT50" i="10" s="1"/>
  <c r="AQ51" i="10"/>
  <c r="AS51" i="10" s="1"/>
  <c r="AQ52" i="10"/>
  <c r="AS52" i="10" s="1"/>
  <c r="AQ53" i="10"/>
  <c r="AT53" i="10" s="1"/>
  <c r="AQ54" i="10"/>
  <c r="AS54" i="10" s="1"/>
  <c r="AQ55" i="10"/>
  <c r="AT55" i="10" s="1"/>
  <c r="AQ56" i="10"/>
  <c r="AS56" i="10" s="1"/>
  <c r="AQ57" i="10"/>
  <c r="AT57" i="10" s="1"/>
  <c r="AQ58" i="10"/>
  <c r="AT58" i="10" s="1"/>
  <c r="AQ59" i="10"/>
  <c r="AR59" i="10" s="1"/>
  <c r="AQ60" i="10"/>
  <c r="AR60" i="10" s="1"/>
  <c r="AQ61" i="10"/>
  <c r="AT61" i="10" s="1"/>
  <c r="AQ62" i="10"/>
  <c r="AQ63" i="10"/>
  <c r="AQ64" i="10"/>
  <c r="AR64" i="10" s="1"/>
  <c r="AQ65" i="10"/>
  <c r="AT65" i="10" s="1"/>
  <c r="AQ66" i="10"/>
  <c r="AR66" i="10" s="1"/>
  <c r="AQ67" i="10"/>
  <c r="AR67" i="10" s="1"/>
  <c r="AQ68" i="10"/>
  <c r="AT68" i="10" s="1"/>
  <c r="AQ69" i="10"/>
  <c r="AT69" i="10" s="1"/>
  <c r="AQ70" i="10"/>
  <c r="AQ71" i="10"/>
  <c r="AS71" i="10" s="1"/>
  <c r="AQ72" i="10"/>
  <c r="AR72" i="10"/>
  <c r="AQ73" i="10"/>
  <c r="AR73" i="10" s="1"/>
  <c r="AQ74" i="10"/>
  <c r="AQ75" i="10"/>
  <c r="AT75" i="10" s="1"/>
  <c r="AQ76" i="10"/>
  <c r="AQ77" i="10"/>
  <c r="AR77" i="10" s="1"/>
  <c r="AQ78" i="10"/>
  <c r="AR78" i="10" s="1"/>
  <c r="AQ79" i="10"/>
  <c r="AR79" i="10" s="1"/>
  <c r="AQ80" i="10"/>
  <c r="AR80" i="10" s="1"/>
  <c r="AQ81" i="10"/>
  <c r="AT81" i="10" s="1"/>
  <c r="AQ82" i="10"/>
  <c r="AR82" i="10" s="1"/>
  <c r="AQ83" i="10"/>
  <c r="AR83" i="10" s="1"/>
  <c r="AQ84" i="10"/>
  <c r="AQ85" i="10"/>
  <c r="AT85" i="10" s="1"/>
  <c r="AQ86" i="10"/>
  <c r="AT86" i="10" s="1"/>
  <c r="AQ87" i="10"/>
  <c r="AR87" i="10" s="1"/>
  <c r="AQ88" i="10"/>
  <c r="AR88" i="10" s="1"/>
  <c r="AQ89" i="10"/>
  <c r="AQ90" i="10"/>
  <c r="AR90" i="10" s="1"/>
  <c r="AQ91" i="10"/>
  <c r="AT91" i="10" s="1"/>
  <c r="AQ92" i="10"/>
  <c r="AT92" i="10" s="1"/>
  <c r="AQ93" i="10"/>
  <c r="AR93" i="10" s="1"/>
  <c r="AQ94" i="10"/>
  <c r="AT94" i="10" s="1"/>
  <c r="AQ95" i="10"/>
  <c r="AT95" i="10" s="1"/>
  <c r="AQ96" i="10"/>
  <c r="AR96" i="10" s="1"/>
  <c r="AQ97" i="10"/>
  <c r="AT97" i="10" s="1"/>
  <c r="AQ98" i="10"/>
  <c r="AR98" i="10" s="1"/>
  <c r="AQ99" i="10"/>
  <c r="AR99" i="10" s="1"/>
  <c r="AQ100" i="10"/>
  <c r="AS100" i="10" s="1"/>
  <c r="AQ101" i="10"/>
  <c r="AQ102" i="10"/>
  <c r="AR102" i="10" s="1"/>
  <c r="AQ103" i="10"/>
  <c r="AR103" i="10" s="1"/>
  <c r="AQ104" i="10"/>
  <c r="AQ105" i="10"/>
  <c r="AQ106" i="10"/>
  <c r="AS106" i="10" s="1"/>
  <c r="AQ107" i="10"/>
  <c r="AQ108" i="10"/>
  <c r="AS108" i="10" s="1"/>
  <c r="AQ109" i="10"/>
  <c r="AR109" i="10" s="1"/>
  <c r="AQ110" i="10"/>
  <c r="AR110" i="10" s="1"/>
  <c r="AQ111" i="10"/>
  <c r="AR111" i="10" s="1"/>
  <c r="AQ112" i="10"/>
  <c r="AQ113" i="10"/>
  <c r="AT113" i="10" s="1"/>
  <c r="AQ114" i="10"/>
  <c r="AQ115" i="10"/>
  <c r="AT115" i="10" s="1"/>
  <c r="AQ116" i="10"/>
  <c r="AR116" i="10" s="1"/>
  <c r="AQ117" i="10"/>
  <c r="AR117" i="10" s="1"/>
  <c r="AQ118" i="10"/>
  <c r="AR118" i="10" s="1"/>
  <c r="AQ119" i="10"/>
  <c r="AS119" i="10" s="1"/>
  <c r="AQ120" i="10"/>
  <c r="AS120" i="10" s="1"/>
  <c r="AQ121" i="10"/>
  <c r="AR121" i="10" s="1"/>
  <c r="AQ122" i="10"/>
  <c r="AQ123" i="10"/>
  <c r="AR123" i="10" s="1"/>
  <c r="AQ124" i="10"/>
  <c r="AT124" i="10" s="1"/>
  <c r="AQ125" i="10"/>
  <c r="AT125" i="10" s="1"/>
  <c r="AQ126" i="10"/>
  <c r="AR126" i="10" s="1"/>
  <c r="AQ127" i="10"/>
  <c r="AR127" i="10" s="1"/>
  <c r="AQ128" i="10"/>
  <c r="AT128" i="10" s="1"/>
  <c r="AQ129" i="10"/>
  <c r="AT129" i="10" s="1"/>
  <c r="AQ130" i="10"/>
  <c r="AT130" i="10" s="1"/>
  <c r="AQ131" i="10"/>
  <c r="AT131" i="10" s="1"/>
  <c r="AQ132" i="10"/>
  <c r="AR132" i="10" s="1"/>
  <c r="AQ133" i="10"/>
  <c r="AS133" i="10" s="1"/>
  <c r="AQ134" i="10"/>
  <c r="AR134" i="10" s="1"/>
  <c r="AQ135" i="10"/>
  <c r="AR135" i="10" s="1"/>
  <c r="AQ136" i="10"/>
  <c r="AQ137" i="10"/>
  <c r="AS137" i="10" s="1"/>
  <c r="AQ138" i="10"/>
  <c r="AT138" i="10" s="1"/>
  <c r="AQ139" i="10"/>
  <c r="AS139" i="10" s="1"/>
  <c r="AQ140" i="10"/>
  <c r="AR140" i="10" s="1"/>
  <c r="AQ141" i="10"/>
  <c r="AR141" i="10" s="1"/>
  <c r="AQ142" i="10"/>
  <c r="AT142" i="10" s="1"/>
  <c r="AQ143" i="10"/>
  <c r="AQ144" i="10"/>
  <c r="AR144" i="10" s="1"/>
  <c r="AQ145" i="10"/>
  <c r="AT145" i="10" s="1"/>
  <c r="AQ146" i="10"/>
  <c r="AQ147" i="10"/>
  <c r="AR147" i="10" s="1"/>
  <c r="AQ148" i="10"/>
  <c r="AT148" i="10" s="1"/>
  <c r="AQ149" i="10"/>
  <c r="AT149" i="10" s="1"/>
  <c r="AQ150" i="10"/>
  <c r="AR150" i="10" s="1"/>
  <c r="AQ151" i="10"/>
  <c r="AT151" i="10" s="1"/>
  <c r="AQ152" i="10"/>
  <c r="AS152" i="10" s="1"/>
  <c r="AQ153" i="10"/>
  <c r="AR153" i="10" s="1"/>
  <c r="AQ154" i="10"/>
  <c r="AR154" i="10" s="1"/>
  <c r="AQ155" i="10"/>
  <c r="AQ156" i="10"/>
  <c r="AQ157" i="10"/>
  <c r="AT157" i="10" s="1"/>
  <c r="AQ158" i="10"/>
  <c r="AS158" i="10" s="1"/>
  <c r="AQ159" i="10"/>
  <c r="AR159" i="10" s="1"/>
  <c r="AQ160" i="10"/>
  <c r="AR160" i="10" s="1"/>
  <c r="AQ161" i="10"/>
  <c r="AT161" i="10" s="1"/>
  <c r="AQ162" i="10"/>
  <c r="AT162" i="10" s="1"/>
  <c r="AQ163" i="10"/>
  <c r="AT163" i="10" s="1"/>
  <c r="AQ164" i="10"/>
  <c r="AQ165" i="10"/>
  <c r="AS165" i="10" s="1"/>
  <c r="AQ166" i="10"/>
  <c r="AQ167" i="10"/>
  <c r="AR167" i="10" s="1"/>
  <c r="AQ168" i="10"/>
  <c r="AQ169" i="10"/>
  <c r="AR169" i="10" s="1"/>
  <c r="AQ170" i="10"/>
  <c r="AR170" i="10" s="1"/>
  <c r="AQ171" i="10"/>
  <c r="AT171" i="10" s="1"/>
  <c r="AQ172" i="10"/>
  <c r="AR172" i="10" s="1"/>
  <c r="AQ173" i="10"/>
  <c r="AQ174" i="10"/>
  <c r="AS174" i="10" s="1"/>
  <c r="AQ175" i="10"/>
  <c r="AR175" i="10" s="1"/>
  <c r="AQ176" i="10"/>
  <c r="AT176" i="10" s="1"/>
  <c r="AQ177" i="10"/>
  <c r="AR177" i="10" s="1"/>
  <c r="AQ178" i="10"/>
  <c r="AR178" i="10" s="1"/>
  <c r="AQ179" i="10"/>
  <c r="AS179" i="10" s="1"/>
  <c r="AQ180" i="10"/>
  <c r="AR180" i="10" s="1"/>
  <c r="AQ181" i="10"/>
  <c r="AS181" i="10" s="1"/>
  <c r="AQ182" i="10"/>
  <c r="AT182" i="10" s="1"/>
  <c r="AQ183" i="10"/>
  <c r="AT183" i="10" s="1"/>
  <c r="AQ184" i="10"/>
  <c r="AS184" i="10" s="1"/>
  <c r="AQ185" i="10"/>
  <c r="AQ186" i="10"/>
  <c r="AT186" i="10" s="1"/>
  <c r="AQ187" i="10"/>
  <c r="AT187" i="10" s="1"/>
  <c r="AQ188" i="10"/>
  <c r="AT188" i="10" s="1"/>
  <c r="AQ189" i="10"/>
  <c r="AR189" i="10" s="1"/>
  <c r="AQ190" i="10"/>
  <c r="AQ191" i="10"/>
  <c r="AQ192" i="10"/>
  <c r="AT192" i="10" s="1"/>
  <c r="AQ193" i="10"/>
  <c r="AQ194" i="10"/>
  <c r="AR194" i="10" s="1"/>
  <c r="AQ195" i="10"/>
  <c r="AT195" i="10" s="1"/>
  <c r="AQ196" i="10"/>
  <c r="AT196" i="10" s="1"/>
  <c r="AQ197" i="10"/>
  <c r="AT197" i="10" s="1"/>
  <c r="AQ198" i="10"/>
  <c r="AQ199" i="10"/>
  <c r="AQ200" i="10"/>
  <c r="AS200" i="10" s="1"/>
  <c r="AQ201" i="10"/>
  <c r="AT201" i="10" s="1"/>
  <c r="AQ202" i="10"/>
  <c r="AQ203" i="10"/>
  <c r="AT203" i="10" s="1"/>
  <c r="AQ204" i="10"/>
  <c r="AT204" i="10" s="1"/>
  <c r="AQ205" i="10"/>
  <c r="AQ206" i="10"/>
  <c r="AQ207" i="10"/>
  <c r="AS207" i="10" s="1"/>
  <c r="AQ208" i="10"/>
  <c r="AT208" i="10" s="1"/>
  <c r="AQ209" i="10"/>
  <c r="AR209" i="10" s="1"/>
  <c r="AQ210" i="10"/>
  <c r="AR210" i="10" s="1"/>
  <c r="AQ211" i="10"/>
  <c r="AT211" i="10" s="1"/>
  <c r="AQ212" i="10"/>
  <c r="AR212" i="10" s="1"/>
  <c r="AQ213" i="10"/>
  <c r="AR213" i="10" s="1"/>
  <c r="AQ214" i="10"/>
  <c r="AT214" i="10" s="1"/>
  <c r="AQ215" i="10"/>
  <c r="AR215" i="10" s="1"/>
  <c r="AQ216" i="10"/>
  <c r="AT216" i="10"/>
  <c r="AQ217" i="10"/>
  <c r="AT217" i="10" s="1"/>
  <c r="AQ218" i="10"/>
  <c r="AT218" i="10" s="1"/>
  <c r="AQ219" i="10"/>
  <c r="AR219" i="10" s="1"/>
  <c r="AQ220" i="10"/>
  <c r="AS220" i="10" s="1"/>
  <c r="AQ221" i="10"/>
  <c r="AS221" i="10" s="1"/>
  <c r="AQ222" i="10"/>
  <c r="AT222" i="10" s="1"/>
  <c r="AQ223" i="10"/>
  <c r="AQ224" i="10"/>
  <c r="AT224" i="10" s="1"/>
  <c r="AQ225" i="10"/>
  <c r="AT225" i="10" s="1"/>
  <c r="AQ226" i="10"/>
  <c r="AS226" i="10" s="1"/>
  <c r="AQ227" i="10"/>
  <c r="AR227" i="10" s="1"/>
  <c r="AQ228" i="10"/>
  <c r="AQ229" i="10"/>
  <c r="AT229" i="10"/>
  <c r="AQ230" i="10"/>
  <c r="AR230" i="10" s="1"/>
  <c r="AQ231" i="10"/>
  <c r="AT231" i="10" s="1"/>
  <c r="AQ232" i="10"/>
  <c r="AT232" i="10" s="1"/>
  <c r="AQ233" i="10"/>
  <c r="AQ234" i="10"/>
  <c r="AS234" i="10" s="1"/>
  <c r="AQ235" i="10"/>
  <c r="AQ236" i="10"/>
  <c r="AT236" i="10" s="1"/>
  <c r="AQ237" i="10"/>
  <c r="AQ238" i="10"/>
  <c r="AT238" i="10" s="1"/>
  <c r="AQ239" i="10"/>
  <c r="AR239" i="10" s="1"/>
  <c r="AQ240" i="10"/>
  <c r="AQ241" i="10"/>
  <c r="AR241" i="10" s="1"/>
  <c r="AQ242" i="10"/>
  <c r="AR242" i="10" s="1"/>
  <c r="AQ243" i="10"/>
  <c r="AQ244" i="10"/>
  <c r="AQ245" i="10"/>
  <c r="AT245" i="10" s="1"/>
  <c r="AQ246" i="10"/>
  <c r="AT246" i="10" s="1"/>
  <c r="AQ247" i="10"/>
  <c r="AS247" i="10" s="1"/>
  <c r="AQ248" i="10"/>
  <c r="AR248" i="10" s="1"/>
  <c r="AQ249" i="10"/>
  <c r="AS249" i="10" s="1"/>
  <c r="AQ250" i="10"/>
  <c r="AR250" i="10" s="1"/>
  <c r="AQ251" i="10"/>
  <c r="AT251" i="10" s="1"/>
  <c r="AQ252" i="10"/>
  <c r="AT252" i="10" s="1"/>
  <c r="AQ253" i="10"/>
  <c r="AS253" i="10" s="1"/>
  <c r="AQ254" i="10"/>
  <c r="AT254" i="10" s="1"/>
  <c r="AQ255" i="10"/>
  <c r="AR255" i="10" s="1"/>
  <c r="AQ256" i="10"/>
  <c r="AT256" i="10" s="1"/>
  <c r="AQ257" i="10"/>
  <c r="AS257" i="10" s="1"/>
  <c r="AQ258" i="10"/>
  <c r="AT258" i="10" s="1"/>
  <c r="AQ259" i="10"/>
  <c r="AS259" i="10" s="1"/>
  <c r="AQ260" i="10"/>
  <c r="AT260" i="10" s="1"/>
  <c r="AQ261" i="10"/>
  <c r="AR261" i="10" s="1"/>
  <c r="AQ262" i="10"/>
  <c r="AT262" i="10" s="1"/>
  <c r="AQ263" i="10"/>
  <c r="AR263" i="10" s="1"/>
  <c r="AQ264" i="10"/>
  <c r="AR264" i="10" s="1"/>
  <c r="AQ265" i="10"/>
  <c r="AQ266" i="10"/>
  <c r="AS266" i="10" s="1"/>
  <c r="AQ267" i="10"/>
  <c r="AT267" i="10" s="1"/>
  <c r="AQ268" i="10"/>
  <c r="AR268" i="10" s="1"/>
  <c r="AQ269" i="10"/>
  <c r="AQ270" i="10"/>
  <c r="AR270" i="10" s="1"/>
  <c r="AQ271" i="10"/>
  <c r="AR271" i="10" s="1"/>
  <c r="AQ272" i="10"/>
  <c r="AQ273" i="10"/>
  <c r="AT273" i="10" s="1"/>
  <c r="AQ274" i="10"/>
  <c r="AR274" i="10" s="1"/>
  <c r="AQ275" i="10"/>
  <c r="AR275" i="10" s="1"/>
  <c r="AQ276" i="10"/>
  <c r="AT276" i="10"/>
  <c r="AQ277" i="10"/>
  <c r="AR277" i="10" s="1"/>
  <c r="AQ278" i="10"/>
  <c r="AS278" i="10" s="1"/>
  <c r="AQ279" i="10"/>
  <c r="AR279" i="10" s="1"/>
  <c r="AQ280" i="10"/>
  <c r="AR280" i="10" s="1"/>
  <c r="AQ281" i="10"/>
  <c r="AT281" i="10" s="1"/>
  <c r="AQ282" i="10"/>
  <c r="AQ283" i="10"/>
  <c r="AT283" i="10" s="1"/>
  <c r="AQ284" i="10"/>
  <c r="AS284" i="10"/>
  <c r="AQ285" i="10"/>
  <c r="AQ286" i="10"/>
  <c r="AR286" i="10" s="1"/>
  <c r="AQ287" i="10"/>
  <c r="AR287" i="10" s="1"/>
  <c r="AQ288" i="10"/>
  <c r="AT288" i="10" s="1"/>
  <c r="AQ289" i="10"/>
  <c r="AQ290" i="10"/>
  <c r="AR290" i="10" s="1"/>
  <c r="AQ291" i="10"/>
  <c r="AQ292" i="10"/>
  <c r="AR292" i="10" s="1"/>
  <c r="AQ293" i="10"/>
  <c r="AT293" i="10" s="1"/>
  <c r="AQ294" i="10"/>
  <c r="AT294" i="10" s="1"/>
  <c r="AQ295" i="10"/>
  <c r="AS295" i="10" s="1"/>
  <c r="AQ296" i="10"/>
  <c r="AT296" i="10"/>
  <c r="AQ297" i="10"/>
  <c r="AS297" i="10"/>
  <c r="AQ298" i="10"/>
  <c r="AS298" i="10" s="1"/>
  <c r="AQ299" i="10"/>
  <c r="AR299" i="10" s="1"/>
  <c r="AQ300" i="10"/>
  <c r="AT300" i="10" s="1"/>
  <c r="AQ301" i="10"/>
  <c r="AR301" i="10" s="1"/>
  <c r="AQ302" i="10"/>
  <c r="AT302" i="10" s="1"/>
  <c r="AQ303" i="10"/>
  <c r="AQ304" i="10"/>
  <c r="AS304" i="10" s="1"/>
  <c r="AQ305" i="10"/>
  <c r="AT305" i="10" s="1"/>
  <c r="AQ306" i="10"/>
  <c r="AQ307" i="10"/>
  <c r="AR307" i="10" s="1"/>
  <c r="AQ308" i="10"/>
  <c r="AR308" i="10" s="1"/>
  <c r="AQ309" i="10"/>
  <c r="AQ310" i="10"/>
  <c r="AT310" i="10" s="1"/>
  <c r="AQ311" i="10"/>
  <c r="AR311" i="10" s="1"/>
  <c r="AQ312" i="10"/>
  <c r="AS312" i="10" s="1"/>
  <c r="AQ313" i="10"/>
  <c r="AR313" i="10" s="1"/>
  <c r="AQ314" i="10"/>
  <c r="AT314" i="10" s="1"/>
  <c r="AQ315" i="10"/>
  <c r="AT315" i="10" s="1"/>
  <c r="AQ316" i="10"/>
  <c r="AR316" i="10" s="1"/>
  <c r="AQ317" i="10"/>
  <c r="AT317" i="10" s="1"/>
  <c r="AQ318" i="10"/>
  <c r="AS318" i="10" s="1"/>
  <c r="AQ319" i="10"/>
  <c r="AS319" i="10" s="1"/>
  <c r="AQ320" i="10"/>
  <c r="AT320" i="10" s="1"/>
  <c r="AQ321" i="10"/>
  <c r="AQ322" i="10"/>
  <c r="AQ323" i="10"/>
  <c r="AS323" i="10"/>
  <c r="AQ324" i="10"/>
  <c r="AQ325" i="10"/>
  <c r="AS325" i="10" s="1"/>
  <c r="AQ326" i="10"/>
  <c r="AT326" i="10" s="1"/>
  <c r="AQ327" i="10"/>
  <c r="AR327" i="10" s="1"/>
  <c r="AQ328" i="10"/>
  <c r="AQ329" i="10"/>
  <c r="AS329" i="10" s="1"/>
  <c r="AQ330" i="10"/>
  <c r="AQ331" i="10"/>
  <c r="AT331" i="10" s="1"/>
  <c r="AQ332" i="10"/>
  <c r="AT332" i="10" s="1"/>
  <c r="AQ333" i="10"/>
  <c r="AS333" i="10" s="1"/>
  <c r="AQ334" i="10"/>
  <c r="AT334" i="10" s="1"/>
  <c r="AQ335" i="10"/>
  <c r="AQ336" i="10"/>
  <c r="AT336" i="10" s="1"/>
  <c r="AQ337" i="10"/>
  <c r="AR337" i="10" s="1"/>
  <c r="AQ338" i="10"/>
  <c r="AR338" i="10" s="1"/>
  <c r="AQ339" i="10"/>
  <c r="AR339" i="10" s="1"/>
  <c r="AQ340" i="10"/>
  <c r="AT340" i="10" s="1"/>
  <c r="AQ341" i="10"/>
  <c r="AT341" i="10" s="1"/>
  <c r="AQ342" i="10"/>
  <c r="AS342" i="10" s="1"/>
  <c r="AQ343" i="10"/>
  <c r="AS343" i="10" s="1"/>
  <c r="AQ344" i="10"/>
  <c r="AT344" i="10" s="1"/>
  <c r="AQ345" i="10"/>
  <c r="AQ346" i="10"/>
  <c r="AQ347" i="10"/>
  <c r="AT347" i="10" s="1"/>
  <c r="AQ348" i="10"/>
  <c r="AS348" i="10" s="1"/>
  <c r="AQ349" i="10"/>
  <c r="AQ350" i="10"/>
  <c r="AS350" i="10" s="1"/>
  <c r="AQ351" i="10"/>
  <c r="AQ352" i="10"/>
  <c r="AT352" i="10" s="1"/>
  <c r="AQ353" i="10"/>
  <c r="AQ354" i="10"/>
  <c r="AT354" i="10" s="1"/>
  <c r="AQ355" i="10"/>
  <c r="AS355" i="10" s="1"/>
  <c r="AQ356" i="10"/>
  <c r="AS356" i="10" s="1"/>
  <c r="AQ357" i="10"/>
  <c r="AQ358" i="10"/>
  <c r="AS358" i="10" s="1"/>
  <c r="AQ359" i="10"/>
  <c r="AR359" i="10" s="1"/>
  <c r="AQ360" i="10"/>
  <c r="AS360" i="10" s="1"/>
  <c r="AQ361" i="10"/>
  <c r="AQ362" i="10"/>
  <c r="AS362" i="10" s="1"/>
  <c r="AQ363" i="10"/>
  <c r="AR363" i="10" s="1"/>
  <c r="AQ364" i="10"/>
  <c r="AT364" i="10" s="1"/>
  <c r="AQ365" i="10"/>
  <c r="AQ366" i="10"/>
  <c r="AR366" i="10" s="1"/>
  <c r="AQ367" i="10"/>
  <c r="AS367" i="10" s="1"/>
  <c r="AQ368" i="10"/>
  <c r="AS368" i="10" s="1"/>
  <c r="AQ369" i="10"/>
  <c r="AQ370" i="10"/>
  <c r="AR370" i="10" s="1"/>
  <c r="AQ371" i="10"/>
  <c r="AT371" i="10" s="1"/>
  <c r="AQ372" i="10"/>
  <c r="AR372" i="10" s="1"/>
  <c r="AQ373" i="10"/>
  <c r="AQ374" i="10"/>
  <c r="AR374" i="10" s="1"/>
  <c r="AQ375" i="10"/>
  <c r="AR375" i="10" s="1"/>
  <c r="AQ376" i="10"/>
  <c r="AT376" i="10" s="1"/>
  <c r="AQ377" i="10"/>
  <c r="AQ378" i="10"/>
  <c r="AS378" i="10" s="1"/>
  <c r="AQ379" i="10"/>
  <c r="AR379" i="10" s="1"/>
  <c r="AQ380" i="10"/>
  <c r="AS380" i="10" s="1"/>
  <c r="AQ381" i="10"/>
  <c r="AQ382" i="10"/>
  <c r="AS382" i="10" s="1"/>
  <c r="AQ383" i="10"/>
  <c r="AT383" i="10" s="1"/>
  <c r="AQ384" i="10"/>
  <c r="AS384" i="10" s="1"/>
  <c r="AQ385" i="10"/>
  <c r="AQ386" i="10"/>
  <c r="AS386" i="10" s="1"/>
  <c r="AQ387" i="10"/>
  <c r="AT387" i="10"/>
  <c r="AQ388" i="10"/>
  <c r="AQ389" i="10"/>
  <c r="AQ390" i="10"/>
  <c r="AQ391" i="10"/>
  <c r="AT391" i="10" s="1"/>
  <c r="AQ392" i="10"/>
  <c r="AT392" i="10" s="1"/>
  <c r="AQ393" i="10"/>
  <c r="AQ394" i="10"/>
  <c r="AS394" i="10" s="1"/>
  <c r="AQ395" i="10"/>
  <c r="AT395" i="10" s="1"/>
  <c r="AQ396" i="10"/>
  <c r="AS396" i="10" s="1"/>
  <c r="AQ397" i="10"/>
  <c r="AQ398" i="10"/>
  <c r="AR398" i="10" s="1"/>
  <c r="AQ399" i="10"/>
  <c r="AS399" i="10" s="1"/>
  <c r="AQ400" i="10"/>
  <c r="AS400" i="10" s="1"/>
  <c r="AQ401" i="10"/>
  <c r="AQ402" i="10"/>
  <c r="AR402" i="10" s="1"/>
  <c r="AQ403" i="10"/>
  <c r="AQ404" i="10"/>
  <c r="AS404" i="10" s="1"/>
  <c r="AQ405" i="10"/>
  <c r="AQ406" i="10"/>
  <c r="AT406" i="10" s="1"/>
  <c r="AQ407" i="10"/>
  <c r="AR407" i="10" s="1"/>
  <c r="AQ408" i="10"/>
  <c r="AR408" i="10" s="1"/>
  <c r="AQ409" i="10"/>
  <c r="AQ410" i="10"/>
  <c r="AR410" i="10" s="1"/>
  <c r="AQ411" i="10"/>
  <c r="AR411" i="10" s="1"/>
  <c r="AQ412" i="10"/>
  <c r="AR412" i="10" s="1"/>
  <c r="AQ413" i="10"/>
  <c r="AQ414" i="10"/>
  <c r="AT414" i="10" s="1"/>
  <c r="AQ415" i="10"/>
  <c r="AS415" i="10" s="1"/>
  <c r="AQ416" i="10"/>
  <c r="AQ417" i="10"/>
  <c r="AQ418" i="10"/>
  <c r="AT418" i="10" s="1"/>
  <c r="AQ419" i="10"/>
  <c r="AS419" i="10" s="1"/>
  <c r="AQ420" i="10"/>
  <c r="AR420" i="10" s="1"/>
  <c r="AQ421" i="10"/>
  <c r="AQ422" i="10"/>
  <c r="AQ423" i="10"/>
  <c r="AR423" i="10" s="1"/>
  <c r="AQ424" i="10"/>
  <c r="AT424" i="10" s="1"/>
  <c r="AQ425" i="10"/>
  <c r="AQ426" i="10"/>
  <c r="AQ427" i="10"/>
  <c r="AT427" i="10" s="1"/>
  <c r="AQ428" i="10"/>
  <c r="AS428" i="10" s="1"/>
  <c r="AQ429" i="10"/>
  <c r="AQ430" i="10"/>
  <c r="AS430" i="10" s="1"/>
  <c r="AQ431" i="10"/>
  <c r="AR431" i="10" s="1"/>
  <c r="AQ432" i="10"/>
  <c r="AT432" i="10" s="1"/>
  <c r="AQ433" i="10"/>
  <c r="AQ434" i="10"/>
  <c r="AQ435" i="10"/>
  <c r="AQ436" i="10"/>
  <c r="AR436" i="10" s="1"/>
  <c r="AQ437" i="10"/>
  <c r="AQ438" i="10"/>
  <c r="AQ439" i="10"/>
  <c r="AR439" i="10" s="1"/>
  <c r="AQ440" i="10"/>
  <c r="AS440" i="10" s="1"/>
  <c r="AQ441" i="10"/>
  <c r="AR441" i="10" s="1"/>
  <c r="AQ442" i="10"/>
  <c r="AT442" i="10" s="1"/>
  <c r="AQ443" i="10"/>
  <c r="AR443" i="10" s="1"/>
  <c r="AQ444" i="10"/>
  <c r="AR444" i="10" s="1"/>
  <c r="AQ445" i="10"/>
  <c r="AT445" i="10" s="1"/>
  <c r="AQ446" i="10"/>
  <c r="AT446" i="10" s="1"/>
  <c r="AQ447" i="10"/>
  <c r="AT447" i="10" s="1"/>
  <c r="AQ448" i="10"/>
  <c r="AR448" i="10" s="1"/>
  <c r="AQ449" i="10"/>
  <c r="AT449" i="10" s="1"/>
  <c r="AQ450" i="10"/>
  <c r="AT450" i="10" s="1"/>
  <c r="AQ451" i="10"/>
  <c r="AR451" i="10" s="1"/>
  <c r="AQ452" i="10"/>
  <c r="AR452" i="10" s="1"/>
  <c r="AQ453" i="10"/>
  <c r="AR453" i="10" s="1"/>
  <c r="AQ454" i="10"/>
  <c r="AT454" i="10" s="1"/>
  <c r="AQ455" i="10"/>
  <c r="AS455" i="10" s="1"/>
  <c r="AQ456" i="10"/>
  <c r="AR456" i="10" s="1"/>
  <c r="AQ457" i="10"/>
  <c r="AT457" i="10" s="1"/>
  <c r="AQ458" i="10"/>
  <c r="AT458" i="10" s="1"/>
  <c r="AQ459" i="10"/>
  <c r="AS459" i="10" s="1"/>
  <c r="AQ460" i="10"/>
  <c r="AR460" i="10" s="1"/>
  <c r="AQ461" i="10"/>
  <c r="AS461" i="10" s="1"/>
  <c r="AQ462" i="10"/>
  <c r="AQ463" i="10"/>
  <c r="AR463" i="10" s="1"/>
  <c r="AQ464" i="10"/>
  <c r="AR464" i="10" s="1"/>
  <c r="AQ465" i="10"/>
  <c r="AT465" i="10" s="1"/>
  <c r="AQ466" i="10"/>
  <c r="AT466" i="10" s="1"/>
  <c r="AQ467" i="10"/>
  <c r="AS467" i="10" s="1"/>
  <c r="AQ468" i="10"/>
  <c r="AR468" i="10" s="1"/>
  <c r="AQ469" i="10"/>
  <c r="AR469" i="10" s="1"/>
  <c r="AQ470" i="10"/>
  <c r="AT470" i="10" s="1"/>
  <c r="AQ471" i="10"/>
  <c r="AT471" i="10" s="1"/>
  <c r="AQ472" i="10"/>
  <c r="AR472" i="10" s="1"/>
  <c r="AQ473" i="10"/>
  <c r="AT473" i="10" s="1"/>
  <c r="AQ474" i="10"/>
  <c r="AT474" i="10" s="1"/>
  <c r="AQ475" i="10"/>
  <c r="AR475" i="10" s="1"/>
  <c r="AQ476" i="10"/>
  <c r="AR476" i="10" s="1"/>
  <c r="AQ477" i="10"/>
  <c r="AT477" i="10" s="1"/>
  <c r="AQ478" i="10"/>
  <c r="AT478" i="10" s="1"/>
  <c r="AQ479" i="10"/>
  <c r="AT479" i="10" s="1"/>
  <c r="AQ480" i="10"/>
  <c r="AR480" i="10" s="1"/>
  <c r="AQ481" i="10"/>
  <c r="AQ482" i="10"/>
  <c r="AT482" i="10" s="1"/>
  <c r="AQ483" i="10"/>
  <c r="AR483" i="10" s="1"/>
  <c r="AQ484" i="10"/>
  <c r="AR484" i="10" s="1"/>
  <c r="AQ485" i="10"/>
  <c r="AT485" i="10" s="1"/>
  <c r="AQ486" i="10"/>
  <c r="AT486" i="10" s="1"/>
  <c r="AQ487" i="10"/>
  <c r="AQ488" i="10"/>
  <c r="AR488" i="10" s="1"/>
  <c r="AQ489" i="10"/>
  <c r="AR489" i="10" s="1"/>
  <c r="AQ490" i="10"/>
  <c r="AT490" i="10" s="1"/>
  <c r="AQ491" i="10"/>
  <c r="AR491" i="10" s="1"/>
  <c r="AQ492" i="10"/>
  <c r="AR492" i="10" s="1"/>
  <c r="AQ493" i="10"/>
  <c r="AQ494" i="10"/>
  <c r="AT494" i="10" s="1"/>
  <c r="AQ495" i="10"/>
  <c r="AS495" i="10" s="1"/>
  <c r="AQ496" i="10"/>
  <c r="AR496" i="10" s="1"/>
  <c r="AQ497" i="10"/>
  <c r="AS497" i="10" s="1"/>
  <c r="AQ498" i="10"/>
  <c r="AT498" i="10" s="1"/>
  <c r="AQ499" i="10"/>
  <c r="AT499" i="10" s="1"/>
  <c r="AQ500" i="10"/>
  <c r="AR500" i="10" s="1"/>
  <c r="AQ501" i="10"/>
  <c r="AS501" i="10" s="1"/>
  <c r="AQ502" i="10"/>
  <c r="AQ503" i="10"/>
  <c r="AT503" i="10" s="1"/>
  <c r="AQ504" i="10"/>
  <c r="AR504" i="10" s="1"/>
  <c r="AQ505" i="10"/>
  <c r="AQ506" i="10"/>
  <c r="AT506" i="10" s="1"/>
  <c r="AQ507" i="10"/>
  <c r="AS507" i="10" s="1"/>
  <c r="AQ508" i="10"/>
  <c r="AR508" i="10" s="1"/>
  <c r="AQ509" i="10"/>
  <c r="AR509" i="10" s="1"/>
  <c r="AQ510" i="10"/>
  <c r="AT510" i="10" s="1"/>
  <c r="AQ511" i="10"/>
  <c r="AT511" i="10" s="1"/>
  <c r="AQ512" i="10"/>
  <c r="AR512" i="10" s="1"/>
  <c r="AQ513" i="10"/>
  <c r="AS513" i="10" s="1"/>
  <c r="AQ514" i="10"/>
  <c r="AT514" i="10" s="1"/>
  <c r="AQ515" i="10"/>
  <c r="AQ516" i="10"/>
  <c r="AR516" i="10" s="1"/>
  <c r="AQ517" i="10"/>
  <c r="AT517" i="10" s="1"/>
  <c r="AQ518" i="10"/>
  <c r="AT518" i="10" s="1"/>
  <c r="AQ519" i="10"/>
  <c r="AS519" i="10" s="1"/>
  <c r="AQ520" i="10"/>
  <c r="AR520" i="10" s="1"/>
  <c r="AQ521" i="10"/>
  <c r="AS521" i="10" s="1"/>
  <c r="AQ522" i="10"/>
  <c r="AT522" i="10" s="1"/>
  <c r="AQ523" i="10"/>
  <c r="AQ524" i="10"/>
  <c r="AR524" i="10" s="1"/>
  <c r="AQ525" i="10"/>
  <c r="AR525" i="10" s="1"/>
  <c r="AQ526" i="10"/>
  <c r="AT526" i="10" s="1"/>
  <c r="AQ527" i="10"/>
  <c r="AR527" i="10" s="1"/>
  <c r="AQ528" i="10"/>
  <c r="AR528" i="10" s="1"/>
  <c r="AQ529" i="10"/>
  <c r="AQ530" i="10"/>
  <c r="AT530" i="10" s="1"/>
  <c r="AQ531" i="10"/>
  <c r="AR531" i="10" s="1"/>
  <c r="AQ3" i="10"/>
  <c r="AR3" i="10" s="1"/>
  <c r="AQ2" i="10"/>
  <c r="AT2" i="10" s="1"/>
  <c r="C27" i="23"/>
  <c r="F27" i="23" s="1"/>
  <c r="C27" i="24"/>
  <c r="F27" i="22"/>
  <c r="C29" i="22" a="1"/>
  <c r="C18" i="22"/>
  <c r="E18" i="22"/>
  <c r="F18" i="22"/>
  <c r="G18" i="22"/>
  <c r="D12" i="22" a="1"/>
  <c r="H10" i="22"/>
  <c r="C25" i="23"/>
  <c r="F25" i="23" s="1"/>
  <c r="BG531" i="10"/>
  <c r="BF531" i="10"/>
  <c r="BE531" i="10"/>
  <c r="BC531" i="10"/>
  <c r="BB531" i="10"/>
  <c r="BA531" i="10"/>
  <c r="AZ531" i="10"/>
  <c r="AY531" i="10"/>
  <c r="BD531" i="10" s="1"/>
  <c r="AX531" i="10"/>
  <c r="AW531" i="10"/>
  <c r="AV531" i="10"/>
  <c r="AU531" i="10"/>
  <c r="BG530" i="10"/>
  <c r="BF530" i="10"/>
  <c r="BE530" i="10"/>
  <c r="BC530" i="10"/>
  <c r="BB530" i="10"/>
  <c r="BA530" i="10"/>
  <c r="AZ530" i="10"/>
  <c r="AY530" i="10"/>
  <c r="BD530" i="10" s="1"/>
  <c r="AX530" i="10"/>
  <c r="AW530" i="10"/>
  <c r="AV530" i="10"/>
  <c r="AU530" i="10"/>
  <c r="BG529" i="10"/>
  <c r="BF529" i="10"/>
  <c r="BE529" i="10"/>
  <c r="BC529" i="10"/>
  <c r="BB529" i="10"/>
  <c r="BA529" i="10"/>
  <c r="AZ529" i="10"/>
  <c r="AY529" i="10"/>
  <c r="BD529" i="10" s="1"/>
  <c r="AX529" i="10"/>
  <c r="AW529" i="10"/>
  <c r="AV529" i="10"/>
  <c r="AU529" i="10"/>
  <c r="BG528" i="10"/>
  <c r="BF528" i="10"/>
  <c r="BE528" i="10"/>
  <c r="BC528" i="10"/>
  <c r="BB528" i="10"/>
  <c r="BA528" i="10"/>
  <c r="AZ528" i="10"/>
  <c r="AY528" i="10"/>
  <c r="BD528" i="10" s="1"/>
  <c r="AX528" i="10"/>
  <c r="AW528" i="10"/>
  <c r="AV528" i="10"/>
  <c r="AU528" i="10"/>
  <c r="BG527" i="10"/>
  <c r="BF527" i="10"/>
  <c r="BE527" i="10"/>
  <c r="BC527" i="10"/>
  <c r="BB527" i="10"/>
  <c r="BA527" i="10"/>
  <c r="AZ527" i="10"/>
  <c r="AY527" i="10"/>
  <c r="BD527" i="10" s="1"/>
  <c r="AX527" i="10"/>
  <c r="AW527" i="10"/>
  <c r="AV527" i="10"/>
  <c r="AU527" i="10"/>
  <c r="BG526" i="10"/>
  <c r="BF526" i="10"/>
  <c r="BE526" i="10"/>
  <c r="BC526" i="10"/>
  <c r="BB526" i="10"/>
  <c r="BA526" i="10"/>
  <c r="AZ526" i="10"/>
  <c r="AY526" i="10"/>
  <c r="BD526" i="10" s="1"/>
  <c r="AX526" i="10"/>
  <c r="AW526" i="10"/>
  <c r="AV526" i="10"/>
  <c r="AU526" i="10"/>
  <c r="BG525" i="10"/>
  <c r="BF525" i="10"/>
  <c r="BE525" i="10"/>
  <c r="BC525" i="10"/>
  <c r="BB525" i="10"/>
  <c r="BA525" i="10"/>
  <c r="AZ525" i="10"/>
  <c r="AY525" i="10"/>
  <c r="BD525" i="10" s="1"/>
  <c r="AX525" i="10"/>
  <c r="AW525" i="10"/>
  <c r="AV525" i="10"/>
  <c r="AU525" i="10"/>
  <c r="BG524" i="10"/>
  <c r="BF524" i="10"/>
  <c r="BE524" i="10"/>
  <c r="BC524" i="10"/>
  <c r="BB524" i="10"/>
  <c r="BA524" i="10"/>
  <c r="AZ524" i="10"/>
  <c r="AY524" i="10"/>
  <c r="BD524" i="10" s="1"/>
  <c r="AX524" i="10"/>
  <c r="AW524" i="10"/>
  <c r="AV524" i="10"/>
  <c r="AU524" i="10"/>
  <c r="BG523" i="10"/>
  <c r="BF523" i="10"/>
  <c r="BE523" i="10"/>
  <c r="BC523" i="10"/>
  <c r="BB523" i="10"/>
  <c r="BA523" i="10"/>
  <c r="AZ523" i="10"/>
  <c r="AY523" i="10"/>
  <c r="BD523" i="10" s="1"/>
  <c r="AX523" i="10"/>
  <c r="AW523" i="10"/>
  <c r="AV523" i="10"/>
  <c r="AU523" i="10"/>
  <c r="BG522" i="10"/>
  <c r="BF522" i="10"/>
  <c r="BE522" i="10"/>
  <c r="BC522" i="10"/>
  <c r="BB522" i="10"/>
  <c r="BA522" i="10"/>
  <c r="AZ522" i="10"/>
  <c r="AY522" i="10"/>
  <c r="BD522" i="10" s="1"/>
  <c r="AX522" i="10"/>
  <c r="AW522" i="10"/>
  <c r="AV522" i="10"/>
  <c r="AU522" i="10"/>
  <c r="BG521" i="10"/>
  <c r="BF521" i="10"/>
  <c r="BE521" i="10"/>
  <c r="BC521" i="10"/>
  <c r="BB521" i="10"/>
  <c r="BA521" i="10"/>
  <c r="AZ521" i="10"/>
  <c r="AY521" i="10"/>
  <c r="BD521" i="10" s="1"/>
  <c r="AX521" i="10"/>
  <c r="AW521" i="10"/>
  <c r="AV521" i="10"/>
  <c r="AU521" i="10"/>
  <c r="BG520" i="10"/>
  <c r="BF520" i="10"/>
  <c r="BE520" i="10"/>
  <c r="BC520" i="10"/>
  <c r="BB520" i="10"/>
  <c r="BA520" i="10"/>
  <c r="AZ520" i="10"/>
  <c r="AY520" i="10"/>
  <c r="BD520" i="10" s="1"/>
  <c r="AX520" i="10"/>
  <c r="AW520" i="10"/>
  <c r="AV520" i="10"/>
  <c r="AU520" i="10"/>
  <c r="BG519" i="10"/>
  <c r="BF519" i="10"/>
  <c r="BE519" i="10"/>
  <c r="BC519" i="10"/>
  <c r="BB519" i="10"/>
  <c r="BA519" i="10"/>
  <c r="AZ519" i="10"/>
  <c r="AY519" i="10"/>
  <c r="BD519" i="10" s="1"/>
  <c r="AX519" i="10"/>
  <c r="AW519" i="10"/>
  <c r="AV519" i="10"/>
  <c r="AU519" i="10"/>
  <c r="BG518" i="10"/>
  <c r="BF518" i="10"/>
  <c r="BE518" i="10"/>
  <c r="BC518" i="10"/>
  <c r="BB518" i="10"/>
  <c r="BA518" i="10"/>
  <c r="AZ518" i="10"/>
  <c r="AY518" i="10"/>
  <c r="BD518" i="10" s="1"/>
  <c r="AX518" i="10"/>
  <c r="AW518" i="10"/>
  <c r="AV518" i="10"/>
  <c r="AU518" i="10"/>
  <c r="BG517" i="10"/>
  <c r="BF517" i="10"/>
  <c r="BE517" i="10"/>
  <c r="BC517" i="10"/>
  <c r="BB517" i="10"/>
  <c r="BA517" i="10"/>
  <c r="AZ517" i="10"/>
  <c r="AY517" i="10"/>
  <c r="BD517" i="10" s="1"/>
  <c r="AX517" i="10"/>
  <c r="AW517" i="10"/>
  <c r="AV517" i="10"/>
  <c r="AU517" i="10"/>
  <c r="BG516" i="10"/>
  <c r="BF516" i="10"/>
  <c r="BE516" i="10"/>
  <c r="BC516" i="10"/>
  <c r="BB516" i="10"/>
  <c r="BA516" i="10"/>
  <c r="AZ516" i="10"/>
  <c r="AY516" i="10"/>
  <c r="BD516" i="10" s="1"/>
  <c r="AX516" i="10"/>
  <c r="AW516" i="10"/>
  <c r="AV516" i="10"/>
  <c r="AU516" i="10"/>
  <c r="BG515" i="10"/>
  <c r="BF515" i="10"/>
  <c r="BE515" i="10"/>
  <c r="BC515" i="10"/>
  <c r="BB515" i="10"/>
  <c r="BA515" i="10"/>
  <c r="AZ515" i="10"/>
  <c r="AY515" i="10"/>
  <c r="BD515" i="10" s="1"/>
  <c r="AX515" i="10"/>
  <c r="AW515" i="10"/>
  <c r="AV515" i="10"/>
  <c r="AU515" i="10"/>
  <c r="BG514" i="10"/>
  <c r="BF514" i="10"/>
  <c r="BE514" i="10"/>
  <c r="BC514" i="10"/>
  <c r="BB514" i="10"/>
  <c r="BA514" i="10"/>
  <c r="AZ514" i="10"/>
  <c r="AY514" i="10"/>
  <c r="BD514" i="10" s="1"/>
  <c r="AX514" i="10"/>
  <c r="AW514" i="10"/>
  <c r="AV514" i="10"/>
  <c r="AU514" i="10"/>
  <c r="BG513" i="10"/>
  <c r="BF513" i="10"/>
  <c r="BE513" i="10"/>
  <c r="BC513" i="10"/>
  <c r="BB513" i="10"/>
  <c r="BA513" i="10"/>
  <c r="AZ513" i="10"/>
  <c r="AY513" i="10"/>
  <c r="BD513" i="10" s="1"/>
  <c r="AX513" i="10"/>
  <c r="AW513" i="10"/>
  <c r="AV513" i="10"/>
  <c r="AU513" i="10"/>
  <c r="BG512" i="10"/>
  <c r="BF512" i="10"/>
  <c r="BE512" i="10"/>
  <c r="BC512" i="10"/>
  <c r="BB512" i="10"/>
  <c r="BA512" i="10"/>
  <c r="AZ512" i="10"/>
  <c r="AY512" i="10"/>
  <c r="BD512" i="10" s="1"/>
  <c r="AX512" i="10"/>
  <c r="AW512" i="10"/>
  <c r="AV512" i="10"/>
  <c r="AU512" i="10"/>
  <c r="BG511" i="10"/>
  <c r="BF511" i="10"/>
  <c r="BE511" i="10"/>
  <c r="BC511" i="10"/>
  <c r="BB511" i="10"/>
  <c r="BA511" i="10"/>
  <c r="AZ511" i="10"/>
  <c r="AY511" i="10"/>
  <c r="BD511" i="10" s="1"/>
  <c r="AX511" i="10"/>
  <c r="AW511" i="10"/>
  <c r="AV511" i="10"/>
  <c r="AU511" i="10"/>
  <c r="BG510" i="10"/>
  <c r="BF510" i="10"/>
  <c r="BE510" i="10"/>
  <c r="BC510" i="10"/>
  <c r="BB510" i="10"/>
  <c r="BA510" i="10"/>
  <c r="AZ510" i="10"/>
  <c r="AY510" i="10"/>
  <c r="BD510" i="10" s="1"/>
  <c r="AX510" i="10"/>
  <c r="AW510" i="10"/>
  <c r="AV510" i="10"/>
  <c r="AU510" i="10"/>
  <c r="BG509" i="10"/>
  <c r="BF509" i="10"/>
  <c r="BE509" i="10"/>
  <c r="BC509" i="10"/>
  <c r="BB509" i="10"/>
  <c r="BA509" i="10"/>
  <c r="AZ509" i="10"/>
  <c r="AY509" i="10"/>
  <c r="BD509" i="10" s="1"/>
  <c r="AX509" i="10"/>
  <c r="AW509" i="10"/>
  <c r="AV509" i="10"/>
  <c r="AU509" i="10"/>
  <c r="BG508" i="10"/>
  <c r="BF508" i="10"/>
  <c r="BE508" i="10"/>
  <c r="BC508" i="10"/>
  <c r="BB508" i="10"/>
  <c r="BA508" i="10"/>
  <c r="AZ508" i="10"/>
  <c r="AY508" i="10"/>
  <c r="BD508" i="10" s="1"/>
  <c r="AX508" i="10"/>
  <c r="AW508" i="10"/>
  <c r="AV508" i="10"/>
  <c r="AU508" i="10"/>
  <c r="BG507" i="10"/>
  <c r="BF507" i="10"/>
  <c r="BE507" i="10"/>
  <c r="BC507" i="10"/>
  <c r="BB507" i="10"/>
  <c r="BA507" i="10"/>
  <c r="AZ507" i="10"/>
  <c r="AY507" i="10"/>
  <c r="BD507" i="10" s="1"/>
  <c r="AX507" i="10"/>
  <c r="AW507" i="10"/>
  <c r="AV507" i="10"/>
  <c r="AU507" i="10"/>
  <c r="BG506" i="10"/>
  <c r="BF506" i="10"/>
  <c r="BE506" i="10"/>
  <c r="BC506" i="10"/>
  <c r="BB506" i="10"/>
  <c r="BA506" i="10"/>
  <c r="AZ506" i="10"/>
  <c r="AY506" i="10"/>
  <c r="BD506" i="10" s="1"/>
  <c r="AX506" i="10"/>
  <c r="AW506" i="10"/>
  <c r="AV506" i="10"/>
  <c r="AU506" i="10"/>
  <c r="BG505" i="10"/>
  <c r="BF505" i="10"/>
  <c r="BE505" i="10"/>
  <c r="BC505" i="10"/>
  <c r="BB505" i="10"/>
  <c r="BA505" i="10"/>
  <c r="AZ505" i="10"/>
  <c r="AY505" i="10"/>
  <c r="BD505" i="10" s="1"/>
  <c r="AX505" i="10"/>
  <c r="AW505" i="10"/>
  <c r="AV505" i="10"/>
  <c r="AU505" i="10"/>
  <c r="BG504" i="10"/>
  <c r="BF504" i="10"/>
  <c r="BE504" i="10"/>
  <c r="BC504" i="10"/>
  <c r="BB504" i="10"/>
  <c r="BA504" i="10"/>
  <c r="AZ504" i="10"/>
  <c r="AY504" i="10"/>
  <c r="BD504" i="10" s="1"/>
  <c r="AX504" i="10"/>
  <c r="AW504" i="10"/>
  <c r="AV504" i="10"/>
  <c r="AU504" i="10"/>
  <c r="BG503" i="10"/>
  <c r="BF503" i="10"/>
  <c r="BE503" i="10"/>
  <c r="BC503" i="10"/>
  <c r="BB503" i="10"/>
  <c r="BA503" i="10"/>
  <c r="AZ503" i="10"/>
  <c r="AY503" i="10"/>
  <c r="BD503" i="10" s="1"/>
  <c r="AX503" i="10"/>
  <c r="AW503" i="10"/>
  <c r="AV503" i="10"/>
  <c r="AU503" i="10"/>
  <c r="BG502" i="10"/>
  <c r="BF502" i="10"/>
  <c r="BE502" i="10"/>
  <c r="BC502" i="10"/>
  <c r="BB502" i="10"/>
  <c r="BA502" i="10"/>
  <c r="AZ502" i="10"/>
  <c r="AY502" i="10"/>
  <c r="BD502" i="10" s="1"/>
  <c r="AX502" i="10"/>
  <c r="AW502" i="10"/>
  <c r="AV502" i="10"/>
  <c r="AU502" i="10"/>
  <c r="BG501" i="10"/>
  <c r="BF501" i="10"/>
  <c r="BE501" i="10"/>
  <c r="BC501" i="10"/>
  <c r="BB501" i="10"/>
  <c r="BA501" i="10"/>
  <c r="AZ501" i="10"/>
  <c r="AY501" i="10"/>
  <c r="BD501" i="10" s="1"/>
  <c r="AX501" i="10"/>
  <c r="AW501" i="10"/>
  <c r="AV501" i="10"/>
  <c r="AU501" i="10"/>
  <c r="BG500" i="10"/>
  <c r="BF500" i="10"/>
  <c r="BE500" i="10"/>
  <c r="BC500" i="10"/>
  <c r="BB500" i="10"/>
  <c r="BA500" i="10"/>
  <c r="AZ500" i="10"/>
  <c r="AY500" i="10"/>
  <c r="BD500" i="10" s="1"/>
  <c r="AX500" i="10"/>
  <c r="AW500" i="10"/>
  <c r="AV500" i="10"/>
  <c r="AU500" i="10"/>
  <c r="BG499" i="10"/>
  <c r="BF499" i="10"/>
  <c r="BE499" i="10"/>
  <c r="BC499" i="10"/>
  <c r="BB499" i="10"/>
  <c r="BA499" i="10"/>
  <c r="AZ499" i="10"/>
  <c r="AY499" i="10"/>
  <c r="BD499" i="10" s="1"/>
  <c r="AX499" i="10"/>
  <c r="AW499" i="10"/>
  <c r="AV499" i="10"/>
  <c r="AU499" i="10"/>
  <c r="BG498" i="10"/>
  <c r="BF498" i="10"/>
  <c r="BE498" i="10"/>
  <c r="BC498" i="10"/>
  <c r="BB498" i="10"/>
  <c r="BA498" i="10"/>
  <c r="AZ498" i="10"/>
  <c r="AY498" i="10"/>
  <c r="BD498" i="10" s="1"/>
  <c r="AX498" i="10"/>
  <c r="AW498" i="10"/>
  <c r="AV498" i="10"/>
  <c r="AU498" i="10"/>
  <c r="BG497" i="10"/>
  <c r="BF497" i="10"/>
  <c r="BE497" i="10"/>
  <c r="BC497" i="10"/>
  <c r="BB497" i="10"/>
  <c r="BA497" i="10"/>
  <c r="AZ497" i="10"/>
  <c r="AY497" i="10"/>
  <c r="BD497" i="10" s="1"/>
  <c r="AX497" i="10"/>
  <c r="AW497" i="10"/>
  <c r="AV497" i="10"/>
  <c r="AU497" i="10"/>
  <c r="BG496" i="10"/>
  <c r="BF496" i="10"/>
  <c r="BE496" i="10"/>
  <c r="BC496" i="10"/>
  <c r="BB496" i="10"/>
  <c r="BA496" i="10"/>
  <c r="AZ496" i="10"/>
  <c r="AY496" i="10"/>
  <c r="BD496" i="10" s="1"/>
  <c r="AX496" i="10"/>
  <c r="AW496" i="10"/>
  <c r="AV496" i="10"/>
  <c r="AU496" i="10"/>
  <c r="BG495" i="10"/>
  <c r="BF495" i="10"/>
  <c r="BE495" i="10"/>
  <c r="BC495" i="10"/>
  <c r="BB495" i="10"/>
  <c r="BA495" i="10"/>
  <c r="AZ495" i="10"/>
  <c r="AY495" i="10"/>
  <c r="BD495" i="10" s="1"/>
  <c r="AX495" i="10"/>
  <c r="AW495" i="10"/>
  <c r="AV495" i="10"/>
  <c r="AU495" i="10"/>
  <c r="BG494" i="10"/>
  <c r="BF494" i="10"/>
  <c r="BE494" i="10"/>
  <c r="BC494" i="10"/>
  <c r="BB494" i="10"/>
  <c r="BA494" i="10"/>
  <c r="AZ494" i="10"/>
  <c r="AY494" i="10"/>
  <c r="BD494" i="10" s="1"/>
  <c r="AX494" i="10"/>
  <c r="AW494" i="10"/>
  <c r="AV494" i="10"/>
  <c r="AU494" i="10"/>
  <c r="BG493" i="10"/>
  <c r="BF493" i="10"/>
  <c r="BE493" i="10"/>
  <c r="BC493" i="10"/>
  <c r="BB493" i="10"/>
  <c r="BA493" i="10"/>
  <c r="AZ493" i="10"/>
  <c r="AY493" i="10"/>
  <c r="BD493" i="10" s="1"/>
  <c r="AX493" i="10"/>
  <c r="AW493" i="10"/>
  <c r="AV493" i="10"/>
  <c r="AU493" i="10"/>
  <c r="BG492" i="10"/>
  <c r="BF492" i="10"/>
  <c r="BE492" i="10"/>
  <c r="BC492" i="10"/>
  <c r="BB492" i="10"/>
  <c r="BA492" i="10"/>
  <c r="AZ492" i="10"/>
  <c r="AY492" i="10"/>
  <c r="BD492" i="10" s="1"/>
  <c r="AX492" i="10"/>
  <c r="AW492" i="10"/>
  <c r="AV492" i="10"/>
  <c r="AU492" i="10"/>
  <c r="AW483" i="10"/>
  <c r="BC483" i="10"/>
  <c r="BE483" i="10"/>
  <c r="BF483" i="10"/>
  <c r="AV483" i="10"/>
  <c r="AX483" i="10"/>
  <c r="AU483" i="10"/>
  <c r="BG483" i="10"/>
  <c r="AY483" i="10"/>
  <c r="BD483" i="10" s="1"/>
  <c r="AZ483" i="10"/>
  <c r="BA483" i="10"/>
  <c r="BB483" i="10"/>
  <c r="BG491" i="10"/>
  <c r="BF491" i="10"/>
  <c r="BE491" i="10"/>
  <c r="BC491" i="10"/>
  <c r="BB491" i="10"/>
  <c r="BA491" i="10"/>
  <c r="AZ491" i="10"/>
  <c r="AY491" i="10"/>
  <c r="BD491" i="10" s="1"/>
  <c r="AX491" i="10"/>
  <c r="AW491" i="10"/>
  <c r="AV491" i="10"/>
  <c r="AU491" i="10"/>
  <c r="BG490" i="10"/>
  <c r="BF490" i="10"/>
  <c r="BE490" i="10"/>
  <c r="BC490" i="10"/>
  <c r="BB490" i="10"/>
  <c r="BA490" i="10"/>
  <c r="AZ490" i="10"/>
  <c r="AY490" i="10"/>
  <c r="BD490" i="10" s="1"/>
  <c r="AX490" i="10"/>
  <c r="AW490" i="10"/>
  <c r="AV490" i="10"/>
  <c r="AU490" i="10"/>
  <c r="BG489" i="10"/>
  <c r="BF489" i="10"/>
  <c r="BE489" i="10"/>
  <c r="BC489" i="10"/>
  <c r="BB489" i="10"/>
  <c r="BA489" i="10"/>
  <c r="AZ489" i="10"/>
  <c r="AY489" i="10"/>
  <c r="BD489" i="10" s="1"/>
  <c r="AX489" i="10"/>
  <c r="AW489" i="10"/>
  <c r="AV489" i="10"/>
  <c r="AU489" i="10"/>
  <c r="BG488" i="10"/>
  <c r="BF488" i="10"/>
  <c r="BE488" i="10"/>
  <c r="BC488" i="10"/>
  <c r="BB488" i="10"/>
  <c r="BA488" i="10"/>
  <c r="AZ488" i="10"/>
  <c r="AY488" i="10"/>
  <c r="BD488" i="10" s="1"/>
  <c r="AX488" i="10"/>
  <c r="AW488" i="10"/>
  <c r="AV488" i="10"/>
  <c r="AU488" i="10"/>
  <c r="BG487" i="10"/>
  <c r="BF487" i="10"/>
  <c r="BE487" i="10"/>
  <c r="BC487" i="10"/>
  <c r="BB487" i="10"/>
  <c r="BA487" i="10"/>
  <c r="AZ487" i="10"/>
  <c r="AY487" i="10"/>
  <c r="BD487" i="10" s="1"/>
  <c r="AX487" i="10"/>
  <c r="AW487" i="10"/>
  <c r="AV487" i="10"/>
  <c r="AU487" i="10"/>
  <c r="BG486" i="10"/>
  <c r="BF486" i="10"/>
  <c r="BE486" i="10"/>
  <c r="BC486" i="10"/>
  <c r="BB486" i="10"/>
  <c r="BA486" i="10"/>
  <c r="AZ486" i="10"/>
  <c r="AY486" i="10"/>
  <c r="BD486" i="10" s="1"/>
  <c r="AX486" i="10"/>
  <c r="AW486" i="10"/>
  <c r="AV486" i="10"/>
  <c r="AU486" i="10"/>
  <c r="BG485" i="10"/>
  <c r="BF485" i="10"/>
  <c r="BE485" i="10"/>
  <c r="BC485" i="10"/>
  <c r="BB485" i="10"/>
  <c r="BA485" i="10"/>
  <c r="AZ485" i="10"/>
  <c r="AY485" i="10"/>
  <c r="BD485" i="10" s="1"/>
  <c r="AX485" i="10"/>
  <c r="AW485" i="10"/>
  <c r="AV485" i="10"/>
  <c r="AU485" i="10"/>
  <c r="BG484" i="10"/>
  <c r="BF484" i="10"/>
  <c r="BE484" i="10"/>
  <c r="BC484" i="10"/>
  <c r="BB484" i="10"/>
  <c r="BA484" i="10"/>
  <c r="AZ484" i="10"/>
  <c r="AY484" i="10"/>
  <c r="BD484" i="10" s="1"/>
  <c r="AX484" i="10"/>
  <c r="AW484" i="10"/>
  <c r="AV484" i="10"/>
  <c r="AU484" i="10"/>
  <c r="BG482" i="10"/>
  <c r="BF482" i="10"/>
  <c r="BE482" i="10"/>
  <c r="BC482" i="10"/>
  <c r="BB482" i="10"/>
  <c r="BA482" i="10"/>
  <c r="AZ482" i="10"/>
  <c r="AY482" i="10"/>
  <c r="BD482" i="10" s="1"/>
  <c r="AX482" i="10"/>
  <c r="AW482" i="10"/>
  <c r="AV482" i="10"/>
  <c r="AU482" i="10"/>
  <c r="AW479" i="10"/>
  <c r="BC479" i="10"/>
  <c r="BE479" i="10"/>
  <c r="BF479" i="10"/>
  <c r="AV479" i="10"/>
  <c r="AX479" i="10"/>
  <c r="AU479" i="10"/>
  <c r="BG479" i="10"/>
  <c r="AY479" i="10"/>
  <c r="BD479" i="10" s="1"/>
  <c r="AZ479" i="10"/>
  <c r="BA479" i="10"/>
  <c r="AW473" i="10"/>
  <c r="AX473" i="10"/>
  <c r="AW472" i="10"/>
  <c r="AX472" i="10"/>
  <c r="BB479" i="10"/>
  <c r="BG481" i="10"/>
  <c r="BF481" i="10"/>
  <c r="BE481" i="10"/>
  <c r="BC481" i="10"/>
  <c r="BB481" i="10"/>
  <c r="BA481" i="10"/>
  <c r="AZ481" i="10"/>
  <c r="AY481" i="10"/>
  <c r="BD481" i="10" s="1"/>
  <c r="AX481" i="10"/>
  <c r="AW481" i="10"/>
  <c r="AV481" i="10"/>
  <c r="AU481" i="10"/>
  <c r="BG480" i="10"/>
  <c r="BF480" i="10"/>
  <c r="BE480" i="10"/>
  <c r="BC480" i="10"/>
  <c r="BB480" i="10"/>
  <c r="BA480" i="10"/>
  <c r="AZ480" i="10"/>
  <c r="AY480" i="10"/>
  <c r="BD480" i="10" s="1"/>
  <c r="AX480" i="10"/>
  <c r="AW480" i="10"/>
  <c r="AV480" i="10"/>
  <c r="AU480" i="10"/>
  <c r="BG478" i="10"/>
  <c r="BF478" i="10"/>
  <c r="BE478" i="10"/>
  <c r="BC478" i="10"/>
  <c r="BB478" i="10"/>
  <c r="BA478" i="10"/>
  <c r="AZ478" i="10"/>
  <c r="AY478" i="10"/>
  <c r="BD478" i="10" s="1"/>
  <c r="AX478" i="10"/>
  <c r="AW478" i="10"/>
  <c r="AV478" i="10"/>
  <c r="AU478" i="10"/>
  <c r="BG477" i="10"/>
  <c r="BF477" i="10"/>
  <c r="BE477" i="10"/>
  <c r="BC477" i="10"/>
  <c r="BB477" i="10"/>
  <c r="BA477" i="10"/>
  <c r="AZ477" i="10"/>
  <c r="AY477" i="10"/>
  <c r="BD477" i="10" s="1"/>
  <c r="AX477" i="10"/>
  <c r="AW477" i="10"/>
  <c r="AV477" i="10"/>
  <c r="AU477" i="10"/>
  <c r="BG476" i="10"/>
  <c r="BF476" i="10"/>
  <c r="BE476" i="10"/>
  <c r="BC476" i="10"/>
  <c r="BB476" i="10"/>
  <c r="BA476" i="10"/>
  <c r="AZ476" i="10"/>
  <c r="AY476" i="10"/>
  <c r="BD476" i="10" s="1"/>
  <c r="AX476" i="10"/>
  <c r="AW476" i="10"/>
  <c r="AV476" i="10"/>
  <c r="AU476" i="10"/>
  <c r="BG475" i="10"/>
  <c r="BF475" i="10"/>
  <c r="BE475" i="10"/>
  <c r="BC475" i="10"/>
  <c r="BB475" i="10"/>
  <c r="BA475" i="10"/>
  <c r="AZ475" i="10"/>
  <c r="AY475" i="10"/>
  <c r="BD475" i="10" s="1"/>
  <c r="AX475" i="10"/>
  <c r="AW475" i="10"/>
  <c r="AV475" i="10"/>
  <c r="AU475" i="10"/>
  <c r="BG474" i="10"/>
  <c r="BF474" i="10"/>
  <c r="BE474" i="10"/>
  <c r="BC474" i="10"/>
  <c r="BB474" i="10"/>
  <c r="BA474" i="10"/>
  <c r="AZ474" i="10"/>
  <c r="AY474" i="10"/>
  <c r="BD474" i="10" s="1"/>
  <c r="AX474" i="10"/>
  <c r="AW474" i="10"/>
  <c r="AV474" i="10"/>
  <c r="AU474" i="10"/>
  <c r="BG473" i="10"/>
  <c r="BF473" i="10"/>
  <c r="BE473" i="10"/>
  <c r="BC473" i="10"/>
  <c r="BB473" i="10"/>
  <c r="BA473" i="10"/>
  <c r="AZ473" i="10"/>
  <c r="AY473" i="10"/>
  <c r="BD473" i="10" s="1"/>
  <c r="AV473" i="10"/>
  <c r="AU473" i="10"/>
  <c r="BG472" i="10"/>
  <c r="BF472" i="10"/>
  <c r="BE472" i="10"/>
  <c r="BC472" i="10"/>
  <c r="BB472" i="10"/>
  <c r="BA472" i="10"/>
  <c r="AZ472" i="10"/>
  <c r="AY472" i="10"/>
  <c r="BD472" i="10" s="1"/>
  <c r="AV472" i="10"/>
  <c r="AU472" i="10"/>
  <c r="AV466" i="10"/>
  <c r="AU462" i="10"/>
  <c r="AV462" i="10"/>
  <c r="AU463" i="10"/>
  <c r="AV463" i="10"/>
  <c r="AU464" i="10"/>
  <c r="AV464" i="10"/>
  <c r="AU465" i="10"/>
  <c r="AV465" i="10"/>
  <c r="AW465" i="10"/>
  <c r="AX465" i="10"/>
  <c r="AU466" i="10"/>
  <c r="AW466" i="10"/>
  <c r="AX466" i="10"/>
  <c r="AU467" i="10"/>
  <c r="AV467" i="10"/>
  <c r="AW467" i="10"/>
  <c r="AX467" i="10"/>
  <c r="AU468" i="10"/>
  <c r="AV468" i="10"/>
  <c r="AW468" i="10"/>
  <c r="AX468" i="10"/>
  <c r="AU469" i="10"/>
  <c r="AV469" i="10"/>
  <c r="AW469" i="10"/>
  <c r="AX469" i="10"/>
  <c r="AU470" i="10"/>
  <c r="AV470" i="10"/>
  <c r="AW470" i="10"/>
  <c r="AX470" i="10"/>
  <c r="AU471" i="10"/>
  <c r="AV471" i="10"/>
  <c r="AW471" i="10"/>
  <c r="AX471" i="10"/>
  <c r="AY462" i="10"/>
  <c r="BD462" i="10" s="1"/>
  <c r="AZ462" i="10"/>
  <c r="BA462" i="10"/>
  <c r="BB462" i="10"/>
  <c r="BC462" i="10"/>
  <c r="BE462" i="10"/>
  <c r="BF462" i="10"/>
  <c r="BG462" i="10"/>
  <c r="AY463" i="10"/>
  <c r="BD463" i="10" s="1"/>
  <c r="AZ463" i="10"/>
  <c r="BA463" i="10"/>
  <c r="BB463" i="10"/>
  <c r="BC463" i="10"/>
  <c r="BE463" i="10"/>
  <c r="BF463" i="10"/>
  <c r="BG463" i="10"/>
  <c r="AY464" i="10"/>
  <c r="BD464" i="10" s="1"/>
  <c r="AZ464" i="10"/>
  <c r="BA464" i="10"/>
  <c r="BB464" i="10"/>
  <c r="BC464" i="10"/>
  <c r="BE464" i="10"/>
  <c r="BF464" i="10"/>
  <c r="BG464" i="10"/>
  <c r="AY465" i="10"/>
  <c r="BD465" i="10" s="1"/>
  <c r="AZ465" i="10"/>
  <c r="BA465" i="10"/>
  <c r="BB465" i="10"/>
  <c r="BC465" i="10"/>
  <c r="BE465" i="10"/>
  <c r="BF465" i="10"/>
  <c r="BG465" i="10"/>
  <c r="AY466" i="10"/>
  <c r="BD466" i="10" s="1"/>
  <c r="AZ466" i="10"/>
  <c r="BA466" i="10"/>
  <c r="BB466" i="10"/>
  <c r="BC466" i="10"/>
  <c r="BE466" i="10"/>
  <c r="BF466" i="10"/>
  <c r="BG466" i="10"/>
  <c r="AY467" i="10"/>
  <c r="BD467" i="10" s="1"/>
  <c r="AZ467" i="10"/>
  <c r="BA467" i="10"/>
  <c r="BB467" i="10"/>
  <c r="BC467" i="10"/>
  <c r="BE467" i="10"/>
  <c r="BF467" i="10"/>
  <c r="BG467" i="10"/>
  <c r="AY468" i="10"/>
  <c r="BD468" i="10" s="1"/>
  <c r="AZ468" i="10"/>
  <c r="BA468" i="10"/>
  <c r="BB468" i="10"/>
  <c r="BC468" i="10"/>
  <c r="BE468" i="10"/>
  <c r="BF468" i="10"/>
  <c r="BG468" i="10"/>
  <c r="AY469" i="10"/>
  <c r="BD469" i="10" s="1"/>
  <c r="AZ469" i="10"/>
  <c r="BA469" i="10"/>
  <c r="BB469" i="10"/>
  <c r="BC469" i="10"/>
  <c r="BE469" i="10"/>
  <c r="BF469" i="10"/>
  <c r="BG469" i="10"/>
  <c r="AY470" i="10"/>
  <c r="BD470" i="10" s="1"/>
  <c r="AZ470" i="10"/>
  <c r="BA470" i="10"/>
  <c r="BB470" i="10"/>
  <c r="BC470" i="10"/>
  <c r="BE470" i="10"/>
  <c r="BF470" i="10"/>
  <c r="BG470" i="10"/>
  <c r="AY471" i="10"/>
  <c r="BD471" i="10" s="1"/>
  <c r="AZ471" i="10"/>
  <c r="BA471" i="10"/>
  <c r="BB471" i="10"/>
  <c r="BC471" i="10"/>
  <c r="BE471" i="10"/>
  <c r="BF471" i="10"/>
  <c r="BG471" i="10"/>
  <c r="AU458" i="10"/>
  <c r="AV458" i="10"/>
  <c r="AW458" i="10"/>
  <c r="AX458" i="10"/>
  <c r="AY458" i="10"/>
  <c r="BD458" i="10" s="1"/>
  <c r="AZ458" i="10"/>
  <c r="BA458" i="10"/>
  <c r="BB458" i="10"/>
  <c r="BC458" i="10"/>
  <c r="BE458" i="10"/>
  <c r="BF458" i="10"/>
  <c r="BG458" i="10"/>
  <c r="AU459" i="10"/>
  <c r="AV459" i="10"/>
  <c r="AW459" i="10"/>
  <c r="AX459" i="10"/>
  <c r="AY459" i="10"/>
  <c r="BD459" i="10" s="1"/>
  <c r="AZ459" i="10"/>
  <c r="BA459" i="10"/>
  <c r="BB459" i="10"/>
  <c r="BC459" i="10"/>
  <c r="BE459" i="10"/>
  <c r="BF459" i="10"/>
  <c r="BG459" i="10"/>
  <c r="AU460" i="10"/>
  <c r="AV460" i="10"/>
  <c r="AW460" i="10"/>
  <c r="AX460" i="10"/>
  <c r="AY460" i="10"/>
  <c r="BD460" i="10" s="1"/>
  <c r="AZ460" i="10"/>
  <c r="BA460" i="10"/>
  <c r="BB460" i="10"/>
  <c r="BC460" i="10"/>
  <c r="BE460" i="10"/>
  <c r="BF460" i="10"/>
  <c r="BG460" i="10"/>
  <c r="AU461" i="10"/>
  <c r="AV461" i="10"/>
  <c r="AW461" i="10"/>
  <c r="AX461" i="10"/>
  <c r="AY461" i="10"/>
  <c r="BD461" i="10" s="1"/>
  <c r="AZ461" i="10"/>
  <c r="BA461" i="10"/>
  <c r="BB461" i="10"/>
  <c r="BC461" i="10"/>
  <c r="BE461" i="10"/>
  <c r="BF461" i="10"/>
  <c r="BG461" i="10"/>
  <c r="AV2" i="10"/>
  <c r="AV3" i="10"/>
  <c r="AV4" i="10"/>
  <c r="AV5" i="10"/>
  <c r="AV6" i="10"/>
  <c r="AV7" i="10"/>
  <c r="AV8" i="10"/>
  <c r="AV9" i="10"/>
  <c r="AV10" i="10"/>
  <c r="AV11" i="10"/>
  <c r="AV12" i="10"/>
  <c r="AV13" i="10"/>
  <c r="AV14" i="10"/>
  <c r="AV15" i="10"/>
  <c r="AV16" i="10"/>
  <c r="AV17" i="10"/>
  <c r="AV18" i="10"/>
  <c r="AV19" i="10"/>
  <c r="AV20" i="10"/>
  <c r="AV21" i="10"/>
  <c r="AV22" i="10"/>
  <c r="AV23" i="10"/>
  <c r="AV24" i="10"/>
  <c r="AV25" i="10"/>
  <c r="AV26" i="10"/>
  <c r="AV27" i="10"/>
  <c r="AV28" i="10"/>
  <c r="AV29" i="10"/>
  <c r="AV30" i="10"/>
  <c r="AV31" i="10"/>
  <c r="AV32" i="10"/>
  <c r="AV33" i="10"/>
  <c r="AV34" i="10"/>
  <c r="AV35" i="10"/>
  <c r="AV36" i="10"/>
  <c r="AV37" i="10"/>
  <c r="AV38" i="10"/>
  <c r="AV39" i="10"/>
  <c r="AV40" i="10"/>
  <c r="AV41" i="10"/>
  <c r="AV42" i="10"/>
  <c r="AV43" i="10"/>
  <c r="AV44" i="10"/>
  <c r="AV45" i="10"/>
  <c r="AV46" i="10"/>
  <c r="AV47" i="10"/>
  <c r="AV48" i="10"/>
  <c r="AV49" i="10"/>
  <c r="AV50" i="10"/>
  <c r="AV51" i="10"/>
  <c r="AV52" i="10"/>
  <c r="AV53" i="10"/>
  <c r="AV54" i="10"/>
  <c r="AV55" i="10"/>
  <c r="AV56" i="10"/>
  <c r="AV57" i="10"/>
  <c r="AV58" i="10"/>
  <c r="AV59" i="10"/>
  <c r="AV60" i="10"/>
  <c r="AV61" i="10"/>
  <c r="AV62" i="10"/>
  <c r="AV63" i="10"/>
  <c r="AV64" i="10"/>
  <c r="AV65" i="10"/>
  <c r="AV66" i="10"/>
  <c r="AV67" i="10"/>
  <c r="AV68" i="10"/>
  <c r="AV69" i="10"/>
  <c r="AV70" i="10"/>
  <c r="AV71" i="10"/>
  <c r="AV72" i="10"/>
  <c r="AV73" i="10"/>
  <c r="AV74" i="10"/>
  <c r="AV75" i="10"/>
  <c r="AV76" i="10"/>
  <c r="AV77" i="10"/>
  <c r="AV78" i="10"/>
  <c r="AV79" i="10"/>
  <c r="AV80" i="10"/>
  <c r="AV81" i="10"/>
  <c r="AV82" i="10"/>
  <c r="AV83" i="10"/>
  <c r="AV84" i="10"/>
  <c r="AV85" i="10"/>
  <c r="AV86" i="10"/>
  <c r="AV87" i="10"/>
  <c r="AV88" i="10"/>
  <c r="AV89" i="10"/>
  <c r="AV90" i="10"/>
  <c r="AV91" i="10"/>
  <c r="AV92" i="10"/>
  <c r="AV93" i="10"/>
  <c r="AV94" i="10"/>
  <c r="AV95" i="10"/>
  <c r="AV96" i="10"/>
  <c r="AV97" i="10"/>
  <c r="AV98" i="10"/>
  <c r="AV99" i="10"/>
  <c r="AV100" i="10"/>
  <c r="AV101" i="10"/>
  <c r="AV102" i="10"/>
  <c r="AV103" i="10"/>
  <c r="AV104" i="10"/>
  <c r="AV105" i="10"/>
  <c r="AV106" i="10"/>
  <c r="AV107" i="10"/>
  <c r="AV108" i="10"/>
  <c r="AV109" i="10"/>
  <c r="AV110" i="10"/>
  <c r="AV111" i="10"/>
  <c r="AV112" i="10"/>
  <c r="AV113" i="10"/>
  <c r="AV114" i="10"/>
  <c r="AV115" i="10"/>
  <c r="AV116" i="10"/>
  <c r="AV117" i="10"/>
  <c r="AV118" i="10"/>
  <c r="AV119" i="10"/>
  <c r="AV120" i="10"/>
  <c r="AV121" i="10"/>
  <c r="AV122" i="10"/>
  <c r="AV123" i="10"/>
  <c r="AV124" i="10"/>
  <c r="AV125" i="10"/>
  <c r="AV126" i="10"/>
  <c r="AV127" i="10"/>
  <c r="AV128" i="10"/>
  <c r="AV129" i="10"/>
  <c r="AV130" i="10"/>
  <c r="AV131" i="10"/>
  <c r="AV132" i="10"/>
  <c r="AV133" i="10"/>
  <c r="AV134" i="10"/>
  <c r="AV135" i="10"/>
  <c r="AV136" i="10"/>
  <c r="AV137" i="10"/>
  <c r="AV138" i="10"/>
  <c r="AV139" i="10"/>
  <c r="AV140" i="10"/>
  <c r="AV141" i="10"/>
  <c r="AV142" i="10"/>
  <c r="AV143" i="10"/>
  <c r="AV144" i="10"/>
  <c r="AV145" i="10"/>
  <c r="AV146" i="10"/>
  <c r="AV147" i="10"/>
  <c r="AV148" i="10"/>
  <c r="AV149" i="10"/>
  <c r="AV150" i="10"/>
  <c r="AV151" i="10"/>
  <c r="AV152" i="10"/>
  <c r="AV153" i="10"/>
  <c r="AV154" i="10"/>
  <c r="AV155" i="10"/>
  <c r="AV156" i="10"/>
  <c r="AV157" i="10"/>
  <c r="AV158" i="10"/>
  <c r="AV159" i="10"/>
  <c r="AV160" i="10"/>
  <c r="AV161" i="10"/>
  <c r="AV162" i="10"/>
  <c r="AV163" i="10"/>
  <c r="AV164" i="10"/>
  <c r="AV165" i="10"/>
  <c r="AV166" i="10"/>
  <c r="AV167" i="10"/>
  <c r="AV168" i="10"/>
  <c r="AV169" i="10"/>
  <c r="AV170" i="10"/>
  <c r="AV171" i="10"/>
  <c r="AV172" i="10"/>
  <c r="AV173" i="10"/>
  <c r="AV174" i="10"/>
  <c r="AV175" i="10"/>
  <c r="AV176" i="10"/>
  <c r="AV177" i="10"/>
  <c r="AV178" i="10"/>
  <c r="AV179" i="10"/>
  <c r="AV180" i="10"/>
  <c r="AV181" i="10"/>
  <c r="AV182" i="10"/>
  <c r="AV183" i="10"/>
  <c r="AV184" i="10"/>
  <c r="AV185" i="10"/>
  <c r="AV186" i="10"/>
  <c r="AV187" i="10"/>
  <c r="AV188" i="10"/>
  <c r="AV189" i="10"/>
  <c r="AV190" i="10"/>
  <c r="AV191" i="10"/>
  <c r="AV192" i="10"/>
  <c r="AV193" i="10"/>
  <c r="AV194" i="10"/>
  <c r="AV195" i="10"/>
  <c r="AV196" i="10"/>
  <c r="AV197" i="10"/>
  <c r="AV198" i="10"/>
  <c r="AV199" i="10"/>
  <c r="AV200" i="10"/>
  <c r="AV201" i="10"/>
  <c r="AV202" i="10"/>
  <c r="AV203" i="10"/>
  <c r="AV204" i="10"/>
  <c r="AV205" i="10"/>
  <c r="AV206" i="10"/>
  <c r="AV207" i="10"/>
  <c r="AV208" i="10"/>
  <c r="AV209" i="10"/>
  <c r="AV210" i="10"/>
  <c r="AV211" i="10"/>
  <c r="AV212" i="10"/>
  <c r="AV213" i="10"/>
  <c r="AV214" i="10"/>
  <c r="AV215" i="10"/>
  <c r="AV216" i="10"/>
  <c r="AV217" i="10"/>
  <c r="AV218" i="10"/>
  <c r="AV219" i="10"/>
  <c r="AV220" i="10"/>
  <c r="AV221" i="10"/>
  <c r="AV222" i="10"/>
  <c r="AV223" i="10"/>
  <c r="AV224" i="10"/>
  <c r="AV225" i="10"/>
  <c r="AV226" i="10"/>
  <c r="AV227" i="10"/>
  <c r="AV228" i="10"/>
  <c r="AV229" i="10"/>
  <c r="AV230" i="10"/>
  <c r="AV231" i="10"/>
  <c r="AV232" i="10"/>
  <c r="AV233" i="10"/>
  <c r="AV234" i="10"/>
  <c r="AV235" i="10"/>
  <c r="AV236" i="10"/>
  <c r="AV237" i="10"/>
  <c r="AV238" i="10"/>
  <c r="AV239" i="10"/>
  <c r="AV240" i="10"/>
  <c r="AV241" i="10"/>
  <c r="AV242" i="10"/>
  <c r="AV243" i="10"/>
  <c r="AV244" i="10"/>
  <c r="AV245" i="10"/>
  <c r="AV246" i="10"/>
  <c r="AV247" i="10"/>
  <c r="AV248" i="10"/>
  <c r="AV249" i="10"/>
  <c r="AV250" i="10"/>
  <c r="AV251" i="10"/>
  <c r="AV252" i="10"/>
  <c r="AV253" i="10"/>
  <c r="AV254" i="10"/>
  <c r="AV255" i="10"/>
  <c r="AV256" i="10"/>
  <c r="AV257" i="10"/>
  <c r="AV258" i="10"/>
  <c r="AV259" i="10"/>
  <c r="AV260" i="10"/>
  <c r="AV261" i="10"/>
  <c r="AV262" i="10"/>
  <c r="AV263" i="10"/>
  <c r="AV264" i="10"/>
  <c r="AV265" i="10"/>
  <c r="AV266" i="10"/>
  <c r="AV267" i="10"/>
  <c r="AV268" i="10"/>
  <c r="AV269" i="10"/>
  <c r="AV270" i="10"/>
  <c r="AV271" i="10"/>
  <c r="AV272" i="10"/>
  <c r="AV273" i="10"/>
  <c r="AV274" i="10"/>
  <c r="AV275" i="10"/>
  <c r="AV276" i="10"/>
  <c r="AV277" i="10"/>
  <c r="AV278" i="10"/>
  <c r="AV279" i="10"/>
  <c r="AV280" i="10"/>
  <c r="AV281" i="10"/>
  <c r="AV282" i="10"/>
  <c r="AV283" i="10"/>
  <c r="AV284" i="10"/>
  <c r="AV285" i="10"/>
  <c r="AV286" i="10"/>
  <c r="AV287" i="10"/>
  <c r="AV288" i="10"/>
  <c r="AV289" i="10"/>
  <c r="AV290" i="10"/>
  <c r="AV291" i="10"/>
  <c r="AV292" i="10"/>
  <c r="AV293" i="10"/>
  <c r="AV294" i="10"/>
  <c r="AV295" i="10"/>
  <c r="AV296" i="10"/>
  <c r="AV297" i="10"/>
  <c r="AV298" i="10"/>
  <c r="AV299" i="10"/>
  <c r="AV300" i="10"/>
  <c r="AV301" i="10"/>
  <c r="AV302" i="10"/>
  <c r="AV303" i="10"/>
  <c r="AV304" i="10"/>
  <c r="AV305" i="10"/>
  <c r="AV306" i="10"/>
  <c r="AV307" i="10"/>
  <c r="AV308" i="10"/>
  <c r="AV309" i="10"/>
  <c r="AV310" i="10"/>
  <c r="AV311" i="10"/>
  <c r="AV312" i="10"/>
  <c r="AV313" i="10"/>
  <c r="AV314" i="10"/>
  <c r="AV315" i="10"/>
  <c r="AV316" i="10"/>
  <c r="AV317" i="10"/>
  <c r="AV318" i="10"/>
  <c r="AV319" i="10"/>
  <c r="AV320" i="10"/>
  <c r="AV321" i="10"/>
  <c r="AV322" i="10"/>
  <c r="AV323" i="10"/>
  <c r="AV324" i="10"/>
  <c r="AV325" i="10"/>
  <c r="AV326" i="10"/>
  <c r="AV327" i="10"/>
  <c r="AV328" i="10"/>
  <c r="AV329" i="10"/>
  <c r="AV330" i="10"/>
  <c r="AV331" i="10"/>
  <c r="AV332" i="10"/>
  <c r="AV333" i="10"/>
  <c r="AV334" i="10"/>
  <c r="AV335" i="10"/>
  <c r="AV336" i="10"/>
  <c r="AV337" i="10"/>
  <c r="AV338" i="10"/>
  <c r="AV339" i="10"/>
  <c r="AV340" i="10"/>
  <c r="AV341" i="10"/>
  <c r="AV342" i="10"/>
  <c r="AV343" i="10"/>
  <c r="AV344" i="10"/>
  <c r="AV345" i="10"/>
  <c r="AV346" i="10"/>
  <c r="AV347" i="10"/>
  <c r="AV348" i="10"/>
  <c r="AV349" i="10"/>
  <c r="AV350" i="10"/>
  <c r="AV351" i="10"/>
  <c r="AV352" i="10"/>
  <c r="AV353" i="10"/>
  <c r="AV354" i="10"/>
  <c r="AV355" i="10"/>
  <c r="AV356" i="10"/>
  <c r="AV357" i="10"/>
  <c r="AV358" i="10"/>
  <c r="AV359" i="10"/>
  <c r="AV360" i="10"/>
  <c r="AV361" i="10"/>
  <c r="AV362" i="10"/>
  <c r="AV363" i="10"/>
  <c r="AV364" i="10"/>
  <c r="AV365" i="10"/>
  <c r="AV366" i="10"/>
  <c r="AV367" i="10"/>
  <c r="AV368" i="10"/>
  <c r="AV369" i="10"/>
  <c r="AV370" i="10"/>
  <c r="AV371" i="10"/>
  <c r="AV372" i="10"/>
  <c r="AV373" i="10"/>
  <c r="AV374" i="10"/>
  <c r="AV375" i="10"/>
  <c r="AV376" i="10"/>
  <c r="AV377" i="10"/>
  <c r="AV378" i="10"/>
  <c r="AV379" i="10"/>
  <c r="AV380" i="10"/>
  <c r="AV381" i="10"/>
  <c r="AV382" i="10"/>
  <c r="AV383" i="10"/>
  <c r="AV384" i="10"/>
  <c r="AV385" i="10"/>
  <c r="AV386" i="10"/>
  <c r="AV387" i="10"/>
  <c r="AV388" i="10"/>
  <c r="AV389" i="10"/>
  <c r="AV390" i="10"/>
  <c r="AV391" i="10"/>
  <c r="AV392" i="10"/>
  <c r="AV393" i="10"/>
  <c r="AV394" i="10"/>
  <c r="AV395" i="10"/>
  <c r="AV396" i="10"/>
  <c r="AV397" i="10"/>
  <c r="AV398" i="10"/>
  <c r="AV399" i="10"/>
  <c r="AV400" i="10"/>
  <c r="AV401" i="10"/>
  <c r="AV402" i="10"/>
  <c r="AV403" i="10"/>
  <c r="AV404" i="10"/>
  <c r="AV405" i="10"/>
  <c r="AV406" i="10"/>
  <c r="AV407" i="10"/>
  <c r="AV408" i="10"/>
  <c r="AV409" i="10"/>
  <c r="AV410" i="10"/>
  <c r="AV411" i="10"/>
  <c r="AV412" i="10"/>
  <c r="AV413" i="10"/>
  <c r="AV414" i="10"/>
  <c r="AV415" i="10"/>
  <c r="AV416" i="10"/>
  <c r="AV417" i="10"/>
  <c r="AV418" i="10"/>
  <c r="AV419" i="10"/>
  <c r="AV420" i="10"/>
  <c r="AV421" i="10"/>
  <c r="AV422" i="10"/>
  <c r="AV423" i="10"/>
  <c r="AV424" i="10"/>
  <c r="AV425" i="10"/>
  <c r="AV426" i="10"/>
  <c r="AV427" i="10"/>
  <c r="AV428" i="10"/>
  <c r="AV429" i="10"/>
  <c r="AV430" i="10"/>
  <c r="AV431" i="10"/>
  <c r="AV432" i="10"/>
  <c r="AV433" i="10"/>
  <c r="AV434" i="10"/>
  <c r="AV435" i="10"/>
  <c r="AV436" i="10"/>
  <c r="AV437" i="10"/>
  <c r="AV438" i="10"/>
  <c r="AV439" i="10"/>
  <c r="AV440" i="10"/>
  <c r="AV441" i="10"/>
  <c r="AV442" i="10"/>
  <c r="AV443" i="10"/>
  <c r="AV444" i="10"/>
  <c r="AV445" i="10"/>
  <c r="AV446" i="10"/>
  <c r="AV447" i="10"/>
  <c r="AV448" i="10"/>
  <c r="AV449" i="10"/>
  <c r="AV450" i="10"/>
  <c r="AV451" i="10"/>
  <c r="AV452" i="10"/>
  <c r="AV453" i="10"/>
  <c r="AV454" i="10"/>
  <c r="AV455" i="10"/>
  <c r="AV456" i="10"/>
  <c r="AV457" i="10"/>
  <c r="AU457" i="10"/>
  <c r="AU47" i="10"/>
  <c r="AU48" i="10"/>
  <c r="AU49" i="10"/>
  <c r="AU50" i="10"/>
  <c r="AU51" i="10"/>
  <c r="AU52" i="10"/>
  <c r="AU53" i="10"/>
  <c r="AU54" i="10"/>
  <c r="AU55" i="10"/>
  <c r="AU56" i="10"/>
  <c r="AU57" i="10"/>
  <c r="AU58" i="10"/>
  <c r="AU59" i="10"/>
  <c r="AU60" i="10"/>
  <c r="AU61" i="10"/>
  <c r="AU62" i="10"/>
  <c r="AU63" i="10"/>
  <c r="AU64" i="10"/>
  <c r="AU65" i="10"/>
  <c r="AU66" i="10"/>
  <c r="AU67" i="10"/>
  <c r="AU68" i="10"/>
  <c r="AU69" i="10"/>
  <c r="AU70" i="10"/>
  <c r="AU71" i="10"/>
  <c r="AU72" i="10"/>
  <c r="AU73" i="10"/>
  <c r="AU74" i="10"/>
  <c r="AU75" i="10"/>
  <c r="AU76" i="10"/>
  <c r="AU77" i="10"/>
  <c r="AU78" i="10"/>
  <c r="AU79" i="10"/>
  <c r="AU80" i="10"/>
  <c r="AU81" i="10"/>
  <c r="AU82" i="10"/>
  <c r="AU83" i="10"/>
  <c r="AU84" i="10"/>
  <c r="AU85" i="10"/>
  <c r="AU86" i="10"/>
  <c r="AU87" i="10"/>
  <c r="AU88" i="10"/>
  <c r="AU89" i="10"/>
  <c r="AU90" i="10"/>
  <c r="AU91" i="10"/>
  <c r="AU92" i="10"/>
  <c r="AU93" i="10"/>
  <c r="AU94" i="10"/>
  <c r="AU95" i="10"/>
  <c r="AU96" i="10"/>
  <c r="AU97" i="10"/>
  <c r="AU98" i="10"/>
  <c r="AU99" i="10"/>
  <c r="AU100" i="10"/>
  <c r="AU101" i="10"/>
  <c r="AU102" i="10"/>
  <c r="AU103" i="10"/>
  <c r="AU104" i="10"/>
  <c r="AU105" i="10"/>
  <c r="AU106" i="10"/>
  <c r="AU107" i="10"/>
  <c r="AU108" i="10"/>
  <c r="AU109" i="10"/>
  <c r="AU110" i="10"/>
  <c r="AU111" i="10"/>
  <c r="AU112" i="10"/>
  <c r="AU113" i="10"/>
  <c r="AU114" i="10"/>
  <c r="AU115" i="10"/>
  <c r="AU116" i="10"/>
  <c r="AU117" i="10"/>
  <c r="AU118" i="10"/>
  <c r="AU119" i="10"/>
  <c r="AU120" i="10"/>
  <c r="AU121" i="10"/>
  <c r="AU122" i="10"/>
  <c r="AU123" i="10"/>
  <c r="AU124" i="10"/>
  <c r="AU125" i="10"/>
  <c r="AU126" i="10"/>
  <c r="AU127" i="10"/>
  <c r="AU128" i="10"/>
  <c r="AU129" i="10"/>
  <c r="AU130" i="10"/>
  <c r="AU131" i="10"/>
  <c r="AU132" i="10"/>
  <c r="AU133" i="10"/>
  <c r="AU134" i="10"/>
  <c r="AU135" i="10"/>
  <c r="AU136" i="10"/>
  <c r="AU137" i="10"/>
  <c r="AU138" i="10"/>
  <c r="AU139" i="10"/>
  <c r="AU140" i="10"/>
  <c r="AU141" i="10"/>
  <c r="AU142" i="10"/>
  <c r="AU143" i="10"/>
  <c r="AU144" i="10"/>
  <c r="AU145" i="10"/>
  <c r="AU146" i="10"/>
  <c r="AU147" i="10"/>
  <c r="AU148" i="10"/>
  <c r="AU149" i="10"/>
  <c r="AU150" i="10"/>
  <c r="AU151" i="10"/>
  <c r="AU152" i="10"/>
  <c r="AU153" i="10"/>
  <c r="AU154" i="10"/>
  <c r="AU155" i="10"/>
  <c r="AU156" i="10"/>
  <c r="AU157" i="10"/>
  <c r="AU158" i="10"/>
  <c r="AU159" i="10"/>
  <c r="AU160" i="10"/>
  <c r="AU161" i="10"/>
  <c r="AU162" i="10"/>
  <c r="AU163" i="10"/>
  <c r="AU164" i="10"/>
  <c r="AU165" i="10"/>
  <c r="AU166" i="10"/>
  <c r="AU167" i="10"/>
  <c r="AU168" i="10"/>
  <c r="AU169" i="10"/>
  <c r="AU170" i="10"/>
  <c r="AU171" i="10"/>
  <c r="AU172" i="10"/>
  <c r="AU173" i="10"/>
  <c r="AU174" i="10"/>
  <c r="AU175" i="10"/>
  <c r="AU176" i="10"/>
  <c r="AU177" i="10"/>
  <c r="AU178" i="10"/>
  <c r="AU179" i="10"/>
  <c r="AU180" i="10"/>
  <c r="AU181" i="10"/>
  <c r="AU182" i="10"/>
  <c r="AU183" i="10"/>
  <c r="AU184" i="10"/>
  <c r="AU185" i="10"/>
  <c r="AU186" i="10"/>
  <c r="AU41" i="10"/>
  <c r="AU42" i="10"/>
  <c r="AU43" i="10"/>
  <c r="AU44" i="10"/>
  <c r="AU45" i="10"/>
  <c r="AU46" i="10"/>
  <c r="AU34" i="10"/>
  <c r="AU35" i="10"/>
  <c r="AU36" i="10"/>
  <c r="AU37" i="10"/>
  <c r="AU38" i="10"/>
  <c r="AU39" i="10"/>
  <c r="AU40" i="10"/>
  <c r="AU20" i="10"/>
  <c r="AU21" i="10"/>
  <c r="AU22" i="10"/>
  <c r="AU23" i="10"/>
  <c r="AU24" i="10"/>
  <c r="AU25" i="10"/>
  <c r="AU26" i="10"/>
  <c r="AU27" i="10"/>
  <c r="AU28" i="10"/>
  <c r="AU29" i="10"/>
  <c r="AU30" i="10"/>
  <c r="AU31" i="10"/>
  <c r="AU32" i="10"/>
  <c r="AU33" i="10"/>
  <c r="AU11" i="10"/>
  <c r="AU12" i="10"/>
  <c r="AU13" i="10"/>
  <c r="AU14" i="10"/>
  <c r="AU15" i="10"/>
  <c r="AU16" i="10"/>
  <c r="AU17" i="10"/>
  <c r="AU18" i="10"/>
  <c r="AU19" i="10"/>
  <c r="AU3" i="10"/>
  <c r="AU4" i="10"/>
  <c r="AU5" i="10"/>
  <c r="AU6" i="10"/>
  <c r="AU7" i="10"/>
  <c r="AU8" i="10"/>
  <c r="AU9" i="10"/>
  <c r="AU10" i="10"/>
  <c r="AU2" i="10"/>
  <c r="AU187" i="10"/>
  <c r="AU188" i="10"/>
  <c r="AU189" i="10"/>
  <c r="AU190" i="10"/>
  <c r="AU191" i="10"/>
  <c r="AU192" i="10"/>
  <c r="AU193" i="10"/>
  <c r="AU194" i="10"/>
  <c r="AU195" i="10"/>
  <c r="AU196" i="10"/>
  <c r="AU197" i="10"/>
  <c r="AU198" i="10"/>
  <c r="AU199" i="10"/>
  <c r="AU200" i="10"/>
  <c r="AU201" i="10"/>
  <c r="AU202" i="10"/>
  <c r="AU203" i="10"/>
  <c r="AU204" i="10"/>
  <c r="AU205" i="10"/>
  <c r="AU206" i="10"/>
  <c r="AU207" i="10"/>
  <c r="AU208" i="10"/>
  <c r="AU209" i="10"/>
  <c r="AU210" i="10"/>
  <c r="AU211" i="10"/>
  <c r="AU212" i="10"/>
  <c r="AU213" i="10"/>
  <c r="AU214" i="10"/>
  <c r="AU215" i="10"/>
  <c r="AU216" i="10"/>
  <c r="AU217" i="10"/>
  <c r="AU218" i="10"/>
  <c r="AU219" i="10"/>
  <c r="AU220" i="10"/>
  <c r="AU221" i="10"/>
  <c r="AU222" i="10"/>
  <c r="AU223" i="10"/>
  <c r="AU224" i="10"/>
  <c r="AU225" i="10"/>
  <c r="AU226" i="10"/>
  <c r="AU227" i="10"/>
  <c r="AU228" i="10"/>
  <c r="AU229" i="10"/>
  <c r="AU230" i="10"/>
  <c r="AU231" i="10"/>
  <c r="AU232" i="10"/>
  <c r="AU233" i="10"/>
  <c r="AU234" i="10"/>
  <c r="AU235" i="10"/>
  <c r="AU236" i="10"/>
  <c r="AU237" i="10"/>
  <c r="AU238" i="10"/>
  <c r="AU239" i="10"/>
  <c r="AU240" i="10"/>
  <c r="AU241" i="10"/>
  <c r="AU242" i="10"/>
  <c r="AU243" i="10"/>
  <c r="AU244" i="10"/>
  <c r="AU245" i="10"/>
  <c r="AU246" i="10"/>
  <c r="AU247" i="10"/>
  <c r="AU248" i="10"/>
  <c r="AU249" i="10"/>
  <c r="AU250" i="10"/>
  <c r="AU251" i="10"/>
  <c r="AU252" i="10"/>
  <c r="AU253" i="10"/>
  <c r="AU254" i="10"/>
  <c r="AU255" i="10"/>
  <c r="AU256" i="10"/>
  <c r="AU257" i="10"/>
  <c r="AU258" i="10"/>
  <c r="AU259" i="10"/>
  <c r="AU260" i="10"/>
  <c r="AU261" i="10"/>
  <c r="AU262" i="10"/>
  <c r="AU263" i="10"/>
  <c r="AU264" i="10"/>
  <c r="AU265" i="10"/>
  <c r="AU266" i="10"/>
  <c r="AU267" i="10"/>
  <c r="AU268" i="10"/>
  <c r="AU269" i="10"/>
  <c r="AU270" i="10"/>
  <c r="AU271" i="10"/>
  <c r="AU272" i="10"/>
  <c r="AU273" i="10"/>
  <c r="AU274" i="10"/>
  <c r="AU275" i="10"/>
  <c r="AU276" i="10"/>
  <c r="AU277" i="10"/>
  <c r="AU278" i="10"/>
  <c r="AU279" i="10"/>
  <c r="AU280" i="10"/>
  <c r="AU281" i="10"/>
  <c r="AU282" i="10"/>
  <c r="AU283" i="10"/>
  <c r="AU284" i="10"/>
  <c r="AU285" i="10"/>
  <c r="AU286" i="10"/>
  <c r="AU287" i="10"/>
  <c r="AU288" i="10"/>
  <c r="AU289" i="10"/>
  <c r="AU290" i="10"/>
  <c r="AU291" i="10"/>
  <c r="AU292" i="10"/>
  <c r="AU293" i="10"/>
  <c r="AU294" i="10"/>
  <c r="AU295" i="10"/>
  <c r="AU296" i="10"/>
  <c r="AU297" i="10"/>
  <c r="AU298" i="10"/>
  <c r="AU299" i="10"/>
  <c r="AU300" i="10"/>
  <c r="AU301" i="10"/>
  <c r="AU302" i="10"/>
  <c r="AU303" i="10"/>
  <c r="AU304" i="10"/>
  <c r="AU305" i="10"/>
  <c r="AU306" i="10"/>
  <c r="AU307" i="10"/>
  <c r="AU308" i="10"/>
  <c r="AU309" i="10"/>
  <c r="AU310" i="10"/>
  <c r="AU311" i="10"/>
  <c r="AU312" i="10"/>
  <c r="AU313" i="10"/>
  <c r="AU314" i="10"/>
  <c r="AU315" i="10"/>
  <c r="AU316" i="10"/>
  <c r="AU317" i="10"/>
  <c r="AU318" i="10"/>
  <c r="AU319" i="10"/>
  <c r="AU320" i="10"/>
  <c r="AU321" i="10"/>
  <c r="AU322" i="10"/>
  <c r="AU323" i="10"/>
  <c r="AU324" i="10"/>
  <c r="AU325" i="10"/>
  <c r="AU326" i="10"/>
  <c r="AU327" i="10"/>
  <c r="AU328" i="10"/>
  <c r="AU329" i="10"/>
  <c r="AU330" i="10"/>
  <c r="AU331" i="10"/>
  <c r="AU332" i="10"/>
  <c r="AU333" i="10"/>
  <c r="AU334" i="10"/>
  <c r="AU335" i="10"/>
  <c r="AU336" i="10"/>
  <c r="AU337" i="10"/>
  <c r="AU338" i="10"/>
  <c r="AU339" i="10"/>
  <c r="AU340" i="10"/>
  <c r="AU341" i="10"/>
  <c r="AU342" i="10"/>
  <c r="AU343" i="10"/>
  <c r="AU344" i="10"/>
  <c r="AU345" i="10"/>
  <c r="AU346" i="10"/>
  <c r="AU347" i="10"/>
  <c r="AU348" i="10"/>
  <c r="AU349" i="10"/>
  <c r="AU350" i="10"/>
  <c r="AU351" i="10"/>
  <c r="AU352" i="10"/>
  <c r="AU353" i="10"/>
  <c r="AU354" i="10"/>
  <c r="AU355" i="10"/>
  <c r="AU356" i="10"/>
  <c r="AU357" i="10"/>
  <c r="AU358" i="10"/>
  <c r="AU359" i="10"/>
  <c r="AU360" i="10"/>
  <c r="AU361" i="10"/>
  <c r="AU362" i="10"/>
  <c r="AU363" i="10"/>
  <c r="AU364" i="10"/>
  <c r="AU365" i="10"/>
  <c r="AU366" i="10"/>
  <c r="AU367" i="10"/>
  <c r="AU368" i="10"/>
  <c r="AU369" i="10"/>
  <c r="AU370" i="10"/>
  <c r="AU371" i="10"/>
  <c r="AU372" i="10"/>
  <c r="AU373" i="10"/>
  <c r="AU374" i="10"/>
  <c r="AU375" i="10"/>
  <c r="AU376" i="10"/>
  <c r="AU377" i="10"/>
  <c r="AU378" i="10"/>
  <c r="AU379" i="10"/>
  <c r="AU380" i="10"/>
  <c r="AU381" i="10"/>
  <c r="AU382" i="10"/>
  <c r="AU383" i="10"/>
  <c r="AU384" i="10"/>
  <c r="AU385" i="10"/>
  <c r="AU386" i="10"/>
  <c r="AU387" i="10"/>
  <c r="AU388" i="10"/>
  <c r="AU389" i="10"/>
  <c r="AU390" i="10"/>
  <c r="AU391" i="10"/>
  <c r="AU392" i="10"/>
  <c r="AU393" i="10"/>
  <c r="AU394" i="10"/>
  <c r="AU395" i="10"/>
  <c r="AU396" i="10"/>
  <c r="AU397" i="10"/>
  <c r="AU398" i="10"/>
  <c r="AU399" i="10"/>
  <c r="AU400" i="10"/>
  <c r="AU401" i="10"/>
  <c r="AU402" i="10"/>
  <c r="AU403" i="10"/>
  <c r="AU404" i="10"/>
  <c r="AU405" i="10"/>
  <c r="AU406" i="10"/>
  <c r="AU407" i="10"/>
  <c r="AU408" i="10"/>
  <c r="AU409" i="10"/>
  <c r="AU410" i="10"/>
  <c r="AU411" i="10"/>
  <c r="AU412" i="10"/>
  <c r="AU413" i="10"/>
  <c r="AU414" i="10"/>
  <c r="AU415" i="10"/>
  <c r="AU416" i="10"/>
  <c r="AU417" i="10"/>
  <c r="AU418" i="10"/>
  <c r="AU419" i="10"/>
  <c r="AU420" i="10"/>
  <c r="AU421" i="10"/>
  <c r="AU422" i="10"/>
  <c r="AU423" i="10"/>
  <c r="AU424" i="10"/>
  <c r="AU425" i="10"/>
  <c r="AU426" i="10"/>
  <c r="AU427" i="10"/>
  <c r="AU428" i="10"/>
  <c r="AU429" i="10"/>
  <c r="AU430" i="10"/>
  <c r="AU431" i="10"/>
  <c r="AU432" i="10"/>
  <c r="AU433" i="10"/>
  <c r="AU434" i="10"/>
  <c r="AU435" i="10"/>
  <c r="AU436" i="10"/>
  <c r="AU437" i="10"/>
  <c r="AU438" i="10"/>
  <c r="AU439" i="10"/>
  <c r="AU440" i="10"/>
  <c r="AU441" i="10"/>
  <c r="AU442" i="10"/>
  <c r="AU443" i="10"/>
  <c r="AU444" i="10"/>
  <c r="AU445" i="10"/>
  <c r="AU446" i="10"/>
  <c r="AU447" i="10"/>
  <c r="AU448" i="10"/>
  <c r="AU449" i="10"/>
  <c r="AU450" i="10"/>
  <c r="AU451" i="10"/>
  <c r="AU452" i="10"/>
  <c r="AU453" i="10"/>
  <c r="AU454" i="10"/>
  <c r="AU455" i="10"/>
  <c r="AU456" i="10"/>
  <c r="AW457" i="10"/>
  <c r="BG457" i="10"/>
  <c r="BF457" i="10"/>
  <c r="BE457" i="10"/>
  <c r="BC457" i="10"/>
  <c r="BB457" i="10"/>
  <c r="BA457" i="10"/>
  <c r="AZ457" i="10"/>
  <c r="AY457" i="10"/>
  <c r="BD457" i="10" s="1"/>
  <c r="AX457" i="10"/>
  <c r="BG456" i="10"/>
  <c r="BF456" i="10"/>
  <c r="BE456" i="10"/>
  <c r="BC456" i="10"/>
  <c r="BB456" i="10"/>
  <c r="BA456" i="10"/>
  <c r="AZ456" i="10"/>
  <c r="AY456" i="10"/>
  <c r="BD456" i="10" s="1"/>
  <c r="AX456" i="10"/>
  <c r="AW456" i="10"/>
  <c r="BG455" i="10"/>
  <c r="BF455" i="10"/>
  <c r="BE455" i="10"/>
  <c r="BC455" i="10"/>
  <c r="BB455" i="10"/>
  <c r="BA455" i="10"/>
  <c r="AZ455" i="10"/>
  <c r="AY455" i="10"/>
  <c r="BD455" i="10" s="1"/>
  <c r="AX455" i="10"/>
  <c r="AW455" i="10"/>
  <c r="BG454" i="10"/>
  <c r="BF454" i="10"/>
  <c r="BE454" i="10"/>
  <c r="BC454" i="10"/>
  <c r="BB454" i="10"/>
  <c r="BA454" i="10"/>
  <c r="AZ454" i="10"/>
  <c r="AY454" i="10"/>
  <c r="BD454" i="10" s="1"/>
  <c r="AX454" i="10"/>
  <c r="AW454" i="10"/>
  <c r="BG453" i="10"/>
  <c r="BF453" i="10"/>
  <c r="BE453" i="10"/>
  <c r="BC453" i="10"/>
  <c r="BB453" i="10"/>
  <c r="BA453" i="10"/>
  <c r="AZ453" i="10"/>
  <c r="AY453" i="10"/>
  <c r="BD453" i="10" s="1"/>
  <c r="AX453" i="10"/>
  <c r="AW453" i="10"/>
  <c r="BG452" i="10"/>
  <c r="BF452" i="10"/>
  <c r="BE452" i="10"/>
  <c r="BC452" i="10"/>
  <c r="BB452" i="10"/>
  <c r="BA452" i="10"/>
  <c r="AZ452" i="10"/>
  <c r="AY452" i="10"/>
  <c r="BD452" i="10" s="1"/>
  <c r="AX452" i="10"/>
  <c r="AW452" i="10"/>
  <c r="BG451" i="10"/>
  <c r="BF451" i="10"/>
  <c r="BE451" i="10"/>
  <c r="BC451" i="10"/>
  <c r="BB451" i="10"/>
  <c r="BA451" i="10"/>
  <c r="AZ451" i="10"/>
  <c r="AY451" i="10"/>
  <c r="BD451" i="10" s="1"/>
  <c r="AX451" i="10"/>
  <c r="AW451" i="10"/>
  <c r="BG450" i="10"/>
  <c r="BF450" i="10"/>
  <c r="BE450" i="10"/>
  <c r="BC450" i="10"/>
  <c r="BB450" i="10"/>
  <c r="BA450" i="10"/>
  <c r="AZ450" i="10"/>
  <c r="AY450" i="10"/>
  <c r="BD450" i="10" s="1"/>
  <c r="AX450" i="10"/>
  <c r="AW450" i="10"/>
  <c r="BG449" i="10"/>
  <c r="BF449" i="10"/>
  <c r="BE449" i="10"/>
  <c r="BC449" i="10"/>
  <c r="BB449" i="10"/>
  <c r="BA449" i="10"/>
  <c r="AZ449" i="10"/>
  <c r="AY449" i="10"/>
  <c r="BD449" i="10" s="1"/>
  <c r="AX449" i="10"/>
  <c r="AW449" i="10"/>
  <c r="BG448" i="10"/>
  <c r="BF448" i="10"/>
  <c r="BE448" i="10"/>
  <c r="BC448" i="10"/>
  <c r="BB448" i="10"/>
  <c r="BA448" i="10"/>
  <c r="AZ448" i="10"/>
  <c r="AY448" i="10"/>
  <c r="BD448" i="10" s="1"/>
  <c r="AX448" i="10"/>
  <c r="AW448" i="10"/>
  <c r="BG447" i="10"/>
  <c r="BF447" i="10"/>
  <c r="BE447" i="10"/>
  <c r="BC447" i="10"/>
  <c r="BB447" i="10"/>
  <c r="BA447" i="10"/>
  <c r="AZ447" i="10"/>
  <c r="AY447" i="10"/>
  <c r="BD447" i="10" s="1"/>
  <c r="AX447" i="10"/>
  <c r="AW447" i="10"/>
  <c r="BG446" i="10"/>
  <c r="BF446" i="10"/>
  <c r="BE446" i="10"/>
  <c r="BC446" i="10"/>
  <c r="BB446" i="10"/>
  <c r="BA446" i="10"/>
  <c r="AZ446" i="10"/>
  <c r="AY446" i="10"/>
  <c r="BD446" i="10" s="1"/>
  <c r="AX446" i="10"/>
  <c r="AW446" i="10"/>
  <c r="BG445" i="10"/>
  <c r="BF445" i="10"/>
  <c r="BE445" i="10"/>
  <c r="BC445" i="10"/>
  <c r="BB445" i="10"/>
  <c r="BA445" i="10"/>
  <c r="AZ445" i="10"/>
  <c r="AY445" i="10"/>
  <c r="BD445" i="10" s="1"/>
  <c r="AX445" i="10"/>
  <c r="AW445" i="10"/>
  <c r="BG444" i="10"/>
  <c r="BF444" i="10"/>
  <c r="BE444" i="10"/>
  <c r="BC444" i="10"/>
  <c r="BB444" i="10"/>
  <c r="BA444" i="10"/>
  <c r="AZ444" i="10"/>
  <c r="AY444" i="10"/>
  <c r="BD444" i="10" s="1"/>
  <c r="AX444" i="10"/>
  <c r="AW444" i="10"/>
  <c r="BG443" i="10"/>
  <c r="BF443" i="10"/>
  <c r="BE443" i="10"/>
  <c r="BC443" i="10"/>
  <c r="BB443" i="10"/>
  <c r="BA443" i="10"/>
  <c r="AZ443" i="10"/>
  <c r="AY443" i="10"/>
  <c r="BD443" i="10" s="1"/>
  <c r="AX443" i="10"/>
  <c r="AW443" i="10"/>
  <c r="BG442" i="10"/>
  <c r="BF442" i="10"/>
  <c r="BE442" i="10"/>
  <c r="BC442" i="10"/>
  <c r="BB442" i="10"/>
  <c r="BA442" i="10"/>
  <c r="AZ442" i="10"/>
  <c r="AY442" i="10"/>
  <c r="BD442" i="10" s="1"/>
  <c r="AX442" i="10"/>
  <c r="AW442" i="10"/>
  <c r="BG441" i="10"/>
  <c r="BF441" i="10"/>
  <c r="BE441" i="10"/>
  <c r="BC441" i="10"/>
  <c r="BB441" i="10"/>
  <c r="BA441" i="10"/>
  <c r="AZ441" i="10"/>
  <c r="AY441" i="10"/>
  <c r="BD441" i="10" s="1"/>
  <c r="AX441" i="10"/>
  <c r="AW441" i="10"/>
  <c r="BG440" i="10"/>
  <c r="BF440" i="10"/>
  <c r="BE440" i="10"/>
  <c r="BC440" i="10"/>
  <c r="BB440" i="10"/>
  <c r="BA440" i="10"/>
  <c r="AZ440" i="10"/>
  <c r="AY440" i="10"/>
  <c r="BD440" i="10" s="1"/>
  <c r="AX440" i="10"/>
  <c r="AW440" i="10"/>
  <c r="BG439" i="10"/>
  <c r="BF439" i="10"/>
  <c r="BE439" i="10"/>
  <c r="BC439" i="10"/>
  <c r="BB439" i="10"/>
  <c r="BA439" i="10"/>
  <c r="AZ439" i="10"/>
  <c r="AY439" i="10"/>
  <c r="BD439" i="10" s="1"/>
  <c r="AX439" i="10"/>
  <c r="AW439" i="10"/>
  <c r="BG438" i="10"/>
  <c r="BF438" i="10"/>
  <c r="BE438" i="10"/>
  <c r="BC438" i="10"/>
  <c r="BB438" i="10"/>
  <c r="BA438" i="10"/>
  <c r="AZ438" i="10"/>
  <c r="AY438" i="10"/>
  <c r="BD438" i="10" s="1"/>
  <c r="AX438" i="10"/>
  <c r="AW438" i="10"/>
  <c r="BG437" i="10"/>
  <c r="BF437" i="10"/>
  <c r="BE437" i="10"/>
  <c r="BC437" i="10"/>
  <c r="BB437" i="10"/>
  <c r="BA437" i="10"/>
  <c r="AZ437" i="10"/>
  <c r="AY437" i="10"/>
  <c r="BD437" i="10" s="1"/>
  <c r="AX437" i="10"/>
  <c r="AW437" i="10"/>
  <c r="BG436" i="10"/>
  <c r="BF436" i="10"/>
  <c r="BE436" i="10"/>
  <c r="BC436" i="10"/>
  <c r="BB436" i="10"/>
  <c r="BA436" i="10"/>
  <c r="AZ436" i="10"/>
  <c r="AY436" i="10"/>
  <c r="BD436" i="10" s="1"/>
  <c r="AX436" i="10"/>
  <c r="AW436" i="10"/>
  <c r="BG435" i="10"/>
  <c r="BF435" i="10"/>
  <c r="BE435" i="10"/>
  <c r="BC435" i="10"/>
  <c r="BB435" i="10"/>
  <c r="BA435" i="10"/>
  <c r="AZ435" i="10"/>
  <c r="AY435" i="10"/>
  <c r="BD435" i="10" s="1"/>
  <c r="AX435" i="10"/>
  <c r="AW435" i="10"/>
  <c r="BG434" i="10"/>
  <c r="BF434" i="10"/>
  <c r="BE434" i="10"/>
  <c r="BC434" i="10"/>
  <c r="BB434" i="10"/>
  <c r="BA434" i="10"/>
  <c r="AZ434" i="10"/>
  <c r="AY434" i="10"/>
  <c r="BD434" i="10" s="1"/>
  <c r="AX434" i="10"/>
  <c r="AW434" i="10"/>
  <c r="BG433" i="10"/>
  <c r="BF433" i="10"/>
  <c r="BE433" i="10"/>
  <c r="BC433" i="10"/>
  <c r="BB433" i="10"/>
  <c r="BA433" i="10"/>
  <c r="AZ433" i="10"/>
  <c r="AY433" i="10"/>
  <c r="BD433" i="10" s="1"/>
  <c r="AX433" i="10"/>
  <c r="AW433" i="10"/>
  <c r="BG432" i="10"/>
  <c r="BF432" i="10"/>
  <c r="BE432" i="10"/>
  <c r="BC432" i="10"/>
  <c r="BB432" i="10"/>
  <c r="BA432" i="10"/>
  <c r="AZ432" i="10"/>
  <c r="AY432" i="10"/>
  <c r="BD432" i="10" s="1"/>
  <c r="AX432" i="10"/>
  <c r="AW432" i="10"/>
  <c r="BG431" i="10"/>
  <c r="BF431" i="10"/>
  <c r="BE431" i="10"/>
  <c r="BC431" i="10"/>
  <c r="BB431" i="10"/>
  <c r="BA431" i="10"/>
  <c r="AZ431" i="10"/>
  <c r="AY431" i="10"/>
  <c r="BD431" i="10" s="1"/>
  <c r="AX431" i="10"/>
  <c r="AW431" i="10"/>
  <c r="BG430" i="10"/>
  <c r="BF430" i="10"/>
  <c r="BE430" i="10"/>
  <c r="BC430" i="10"/>
  <c r="BB430" i="10"/>
  <c r="BA430" i="10"/>
  <c r="AZ430" i="10"/>
  <c r="AY430" i="10"/>
  <c r="BD430" i="10" s="1"/>
  <c r="AX430" i="10"/>
  <c r="AW430" i="10"/>
  <c r="BG429" i="10"/>
  <c r="BF429" i="10"/>
  <c r="BE429" i="10"/>
  <c r="BC429" i="10"/>
  <c r="BB429" i="10"/>
  <c r="BA429" i="10"/>
  <c r="AZ429" i="10"/>
  <c r="AY429" i="10"/>
  <c r="BD429" i="10" s="1"/>
  <c r="AX429" i="10"/>
  <c r="AW429" i="10"/>
  <c r="BG428" i="10"/>
  <c r="BF428" i="10"/>
  <c r="BE428" i="10"/>
  <c r="BC428" i="10"/>
  <c r="BB428" i="10"/>
  <c r="BA428" i="10"/>
  <c r="AZ428" i="10"/>
  <c r="AY428" i="10"/>
  <c r="BD428" i="10" s="1"/>
  <c r="AX428" i="10"/>
  <c r="AW428" i="10"/>
  <c r="BG427" i="10"/>
  <c r="BF427" i="10"/>
  <c r="BE427" i="10"/>
  <c r="BC427" i="10"/>
  <c r="BB427" i="10"/>
  <c r="BA427" i="10"/>
  <c r="AZ427" i="10"/>
  <c r="AY427" i="10"/>
  <c r="BD427" i="10" s="1"/>
  <c r="AX427" i="10"/>
  <c r="AW427" i="10"/>
  <c r="BG426" i="10"/>
  <c r="BF426" i="10"/>
  <c r="BE426" i="10"/>
  <c r="BC426" i="10"/>
  <c r="BB426" i="10"/>
  <c r="BA426" i="10"/>
  <c r="AZ426" i="10"/>
  <c r="AY426" i="10"/>
  <c r="BD426" i="10" s="1"/>
  <c r="AX426" i="10"/>
  <c r="AW426" i="10"/>
  <c r="BG425" i="10"/>
  <c r="BF425" i="10"/>
  <c r="BE425" i="10"/>
  <c r="BC425" i="10"/>
  <c r="BB425" i="10"/>
  <c r="BA425" i="10"/>
  <c r="AZ425" i="10"/>
  <c r="AY425" i="10"/>
  <c r="BD425" i="10" s="1"/>
  <c r="AX425" i="10"/>
  <c r="AW425" i="10"/>
  <c r="BG424" i="10"/>
  <c r="BF424" i="10"/>
  <c r="BE424" i="10"/>
  <c r="BC424" i="10"/>
  <c r="BB424" i="10"/>
  <c r="BA424" i="10"/>
  <c r="AZ424" i="10"/>
  <c r="AY424" i="10"/>
  <c r="BD424" i="10" s="1"/>
  <c r="AX424" i="10"/>
  <c r="AW424" i="10"/>
  <c r="BG423" i="10"/>
  <c r="BF423" i="10"/>
  <c r="BE423" i="10"/>
  <c r="BC423" i="10"/>
  <c r="BB423" i="10"/>
  <c r="BA423" i="10"/>
  <c r="AZ423" i="10"/>
  <c r="AY423" i="10"/>
  <c r="BD423" i="10" s="1"/>
  <c r="AX423" i="10"/>
  <c r="AW423" i="10"/>
  <c r="BG422" i="10"/>
  <c r="BF422" i="10"/>
  <c r="BE422" i="10"/>
  <c r="BC422" i="10"/>
  <c r="BB422" i="10"/>
  <c r="BA422" i="10"/>
  <c r="AZ422" i="10"/>
  <c r="AY422" i="10"/>
  <c r="BD422" i="10" s="1"/>
  <c r="AX422" i="10"/>
  <c r="AW422" i="10"/>
  <c r="BG421" i="10"/>
  <c r="BF421" i="10"/>
  <c r="BE421" i="10"/>
  <c r="BC421" i="10"/>
  <c r="BB421" i="10"/>
  <c r="BA421" i="10"/>
  <c r="AZ421" i="10"/>
  <c r="AY421" i="10"/>
  <c r="BD421" i="10" s="1"/>
  <c r="AX421" i="10"/>
  <c r="AW421" i="10"/>
  <c r="BG420" i="10"/>
  <c r="BF420" i="10"/>
  <c r="BE420" i="10"/>
  <c r="BC420" i="10"/>
  <c r="BB420" i="10"/>
  <c r="BA420" i="10"/>
  <c r="AZ420" i="10"/>
  <c r="AY420" i="10"/>
  <c r="BD420" i="10" s="1"/>
  <c r="AX420" i="10"/>
  <c r="AW420" i="10"/>
  <c r="BG419" i="10"/>
  <c r="BF419" i="10"/>
  <c r="BE419" i="10"/>
  <c r="BC419" i="10"/>
  <c r="BB419" i="10"/>
  <c r="BA419" i="10"/>
  <c r="AZ419" i="10"/>
  <c r="AY419" i="10"/>
  <c r="BD419" i="10" s="1"/>
  <c r="AX419" i="10"/>
  <c r="AW419" i="10"/>
  <c r="BG418" i="10"/>
  <c r="BF418" i="10"/>
  <c r="BE418" i="10"/>
  <c r="BC418" i="10"/>
  <c r="BB418" i="10"/>
  <c r="BA418" i="10"/>
  <c r="AZ418" i="10"/>
  <c r="AY418" i="10"/>
  <c r="BD418" i="10" s="1"/>
  <c r="AX418" i="10"/>
  <c r="AW418" i="10"/>
  <c r="BG417" i="10"/>
  <c r="BF417" i="10"/>
  <c r="BE417" i="10"/>
  <c r="BC417" i="10"/>
  <c r="BB417" i="10"/>
  <c r="BA417" i="10"/>
  <c r="AZ417" i="10"/>
  <c r="AY417" i="10"/>
  <c r="BD417" i="10" s="1"/>
  <c r="AX417" i="10"/>
  <c r="AW417" i="10"/>
  <c r="BG416" i="10"/>
  <c r="BF416" i="10"/>
  <c r="BE416" i="10"/>
  <c r="BC416" i="10"/>
  <c r="BB416" i="10"/>
  <c r="BA416" i="10"/>
  <c r="AZ416" i="10"/>
  <c r="AY416" i="10"/>
  <c r="BD416" i="10" s="1"/>
  <c r="AX416" i="10"/>
  <c r="AW416" i="10"/>
  <c r="BG415" i="10"/>
  <c r="BF415" i="10"/>
  <c r="BE415" i="10"/>
  <c r="BC415" i="10"/>
  <c r="BB415" i="10"/>
  <c r="BA415" i="10"/>
  <c r="AZ415" i="10"/>
  <c r="AY415" i="10"/>
  <c r="BD415" i="10" s="1"/>
  <c r="AX415" i="10"/>
  <c r="AW415" i="10"/>
  <c r="BG414" i="10"/>
  <c r="BF414" i="10"/>
  <c r="BE414" i="10"/>
  <c r="BC414" i="10"/>
  <c r="BB414" i="10"/>
  <c r="BA414" i="10"/>
  <c r="AZ414" i="10"/>
  <c r="AY414" i="10"/>
  <c r="BD414" i="10" s="1"/>
  <c r="AX414" i="10"/>
  <c r="AW414" i="10"/>
  <c r="BG413" i="10"/>
  <c r="BF413" i="10"/>
  <c r="BE413" i="10"/>
  <c r="BC413" i="10"/>
  <c r="BB413" i="10"/>
  <c r="BA413" i="10"/>
  <c r="AZ413" i="10"/>
  <c r="AY413" i="10"/>
  <c r="BD413" i="10" s="1"/>
  <c r="AX413" i="10"/>
  <c r="AW413" i="10"/>
  <c r="BG412" i="10"/>
  <c r="BF412" i="10"/>
  <c r="BE412" i="10"/>
  <c r="BC412" i="10"/>
  <c r="BB412" i="10"/>
  <c r="BA412" i="10"/>
  <c r="AZ412" i="10"/>
  <c r="AY412" i="10"/>
  <c r="BD412" i="10" s="1"/>
  <c r="AX412" i="10"/>
  <c r="AW412" i="10"/>
  <c r="BG411" i="10"/>
  <c r="BF411" i="10"/>
  <c r="BE411" i="10"/>
  <c r="BC411" i="10"/>
  <c r="BB411" i="10"/>
  <c r="BA411" i="10"/>
  <c r="AZ411" i="10"/>
  <c r="AY411" i="10"/>
  <c r="BD411" i="10" s="1"/>
  <c r="AX411" i="10"/>
  <c r="AW411" i="10"/>
  <c r="BG410" i="10"/>
  <c r="BF410" i="10"/>
  <c r="BE410" i="10"/>
  <c r="BC410" i="10"/>
  <c r="BB410" i="10"/>
  <c r="BA410" i="10"/>
  <c r="AZ410" i="10"/>
  <c r="AY410" i="10"/>
  <c r="BD410" i="10" s="1"/>
  <c r="AX410" i="10"/>
  <c r="AW410" i="10"/>
  <c r="BG409" i="10"/>
  <c r="BF409" i="10"/>
  <c r="BE409" i="10"/>
  <c r="BC409" i="10"/>
  <c r="BB409" i="10"/>
  <c r="BA409" i="10"/>
  <c r="AZ409" i="10"/>
  <c r="AY409" i="10"/>
  <c r="BD409" i="10" s="1"/>
  <c r="AX409" i="10"/>
  <c r="AW409" i="10"/>
  <c r="BG408" i="10"/>
  <c r="BF408" i="10"/>
  <c r="BE408" i="10"/>
  <c r="BC408" i="10"/>
  <c r="BB408" i="10"/>
  <c r="BA408" i="10"/>
  <c r="AZ408" i="10"/>
  <c r="AY408" i="10"/>
  <c r="BD408" i="10" s="1"/>
  <c r="AX408" i="10"/>
  <c r="AW408" i="10"/>
  <c r="BG407" i="10"/>
  <c r="BF407" i="10"/>
  <c r="BE407" i="10"/>
  <c r="BC407" i="10"/>
  <c r="BB407" i="10"/>
  <c r="BA407" i="10"/>
  <c r="AZ407" i="10"/>
  <c r="AY407" i="10"/>
  <c r="BD407" i="10" s="1"/>
  <c r="AX407" i="10"/>
  <c r="AW407" i="10"/>
  <c r="BG406" i="10"/>
  <c r="BF406" i="10"/>
  <c r="BE406" i="10"/>
  <c r="BC406" i="10"/>
  <c r="BB406" i="10"/>
  <c r="BA406" i="10"/>
  <c r="AZ406" i="10"/>
  <c r="AY406" i="10"/>
  <c r="BD406" i="10" s="1"/>
  <c r="AX406" i="10"/>
  <c r="AW406" i="10"/>
  <c r="BG405" i="10"/>
  <c r="BF405" i="10"/>
  <c r="BE405" i="10"/>
  <c r="BC405" i="10"/>
  <c r="BB405" i="10"/>
  <c r="BA405" i="10"/>
  <c r="AZ405" i="10"/>
  <c r="AY405" i="10"/>
  <c r="BD405" i="10" s="1"/>
  <c r="AX405" i="10"/>
  <c r="AW405" i="10"/>
  <c r="BG404" i="10"/>
  <c r="BF404" i="10"/>
  <c r="BE404" i="10"/>
  <c r="BC404" i="10"/>
  <c r="BB404" i="10"/>
  <c r="BA404" i="10"/>
  <c r="AZ404" i="10"/>
  <c r="AY404" i="10"/>
  <c r="BD404" i="10" s="1"/>
  <c r="AX404" i="10"/>
  <c r="AW404" i="10"/>
  <c r="BG403" i="10"/>
  <c r="BF403" i="10"/>
  <c r="BE403" i="10"/>
  <c r="BC403" i="10"/>
  <c r="BB403" i="10"/>
  <c r="BA403" i="10"/>
  <c r="AZ403" i="10"/>
  <c r="AY403" i="10"/>
  <c r="BD403" i="10" s="1"/>
  <c r="AX403" i="10"/>
  <c r="AW403" i="10"/>
  <c r="BG402" i="10"/>
  <c r="BF402" i="10"/>
  <c r="BE402" i="10"/>
  <c r="BC402" i="10"/>
  <c r="BB402" i="10"/>
  <c r="BA402" i="10"/>
  <c r="AZ402" i="10"/>
  <c r="AY402" i="10"/>
  <c r="BD402" i="10" s="1"/>
  <c r="AX402" i="10"/>
  <c r="AW402" i="10"/>
  <c r="BG401" i="10"/>
  <c r="BF401" i="10"/>
  <c r="BE401" i="10"/>
  <c r="BC401" i="10"/>
  <c r="BB401" i="10"/>
  <c r="BA401" i="10"/>
  <c r="AZ401" i="10"/>
  <c r="AY401" i="10"/>
  <c r="BD401" i="10" s="1"/>
  <c r="AX401" i="10"/>
  <c r="AW401" i="10"/>
  <c r="BG400" i="10"/>
  <c r="BF400" i="10"/>
  <c r="BE400" i="10"/>
  <c r="BC400" i="10"/>
  <c r="BB400" i="10"/>
  <c r="BA400" i="10"/>
  <c r="AZ400" i="10"/>
  <c r="AY400" i="10"/>
  <c r="BD400" i="10" s="1"/>
  <c r="AX400" i="10"/>
  <c r="AW400" i="10"/>
  <c r="AW398" i="10"/>
  <c r="AX398" i="10"/>
  <c r="AY398" i="10"/>
  <c r="BD398" i="10" s="1"/>
  <c r="AZ398" i="10"/>
  <c r="BA398" i="10"/>
  <c r="BB398" i="10"/>
  <c r="BC398" i="10"/>
  <c r="BE398" i="10"/>
  <c r="BF398" i="10"/>
  <c r="BG398" i="10"/>
  <c r="AW399" i="10"/>
  <c r="AX399" i="10"/>
  <c r="AY399" i="10"/>
  <c r="BD399" i="10" s="1"/>
  <c r="AZ399" i="10"/>
  <c r="BA399" i="10"/>
  <c r="BB399" i="10"/>
  <c r="BC399" i="10"/>
  <c r="BE399" i="10"/>
  <c r="BF399" i="10"/>
  <c r="BG399" i="10"/>
  <c r="AW390" i="10"/>
  <c r="AX390" i="10"/>
  <c r="AY390" i="10"/>
  <c r="BD390" i="10" s="1"/>
  <c r="AZ390" i="10"/>
  <c r="BA390" i="10"/>
  <c r="BB390" i="10"/>
  <c r="BC390" i="10"/>
  <c r="BE390" i="10"/>
  <c r="BF390" i="10"/>
  <c r="BG390" i="10"/>
  <c r="AW391" i="10"/>
  <c r="AX391" i="10"/>
  <c r="AY391" i="10"/>
  <c r="BD391" i="10" s="1"/>
  <c r="AZ391" i="10"/>
  <c r="BA391" i="10"/>
  <c r="BB391" i="10"/>
  <c r="BC391" i="10"/>
  <c r="BE391" i="10"/>
  <c r="BF391" i="10"/>
  <c r="BG391" i="10"/>
  <c r="AW392" i="10"/>
  <c r="AX392" i="10"/>
  <c r="AY392" i="10"/>
  <c r="BD392" i="10" s="1"/>
  <c r="AZ392" i="10"/>
  <c r="BA392" i="10"/>
  <c r="BB392" i="10"/>
  <c r="BC392" i="10"/>
  <c r="BE392" i="10"/>
  <c r="BF392" i="10"/>
  <c r="BG392" i="10"/>
  <c r="AW393" i="10"/>
  <c r="AX393" i="10"/>
  <c r="AY393" i="10"/>
  <c r="BD393" i="10" s="1"/>
  <c r="AZ393" i="10"/>
  <c r="BA393" i="10"/>
  <c r="BB393" i="10"/>
  <c r="BC393" i="10"/>
  <c r="BE393" i="10"/>
  <c r="BF393" i="10"/>
  <c r="BG393" i="10"/>
  <c r="AW394" i="10"/>
  <c r="AX394" i="10"/>
  <c r="AY394" i="10"/>
  <c r="BD394" i="10" s="1"/>
  <c r="AZ394" i="10"/>
  <c r="BA394" i="10"/>
  <c r="BB394" i="10"/>
  <c r="BC394" i="10"/>
  <c r="BE394" i="10"/>
  <c r="BF394" i="10"/>
  <c r="BG394" i="10"/>
  <c r="AW395" i="10"/>
  <c r="AX395" i="10"/>
  <c r="AY395" i="10"/>
  <c r="BD395" i="10" s="1"/>
  <c r="AZ395" i="10"/>
  <c r="BA395" i="10"/>
  <c r="BB395" i="10"/>
  <c r="BC395" i="10"/>
  <c r="BE395" i="10"/>
  <c r="BF395" i="10"/>
  <c r="BG395" i="10"/>
  <c r="AW396" i="10"/>
  <c r="AX396" i="10"/>
  <c r="AY396" i="10"/>
  <c r="BD396" i="10" s="1"/>
  <c r="AZ396" i="10"/>
  <c r="BA396" i="10"/>
  <c r="BB396" i="10"/>
  <c r="BC396" i="10"/>
  <c r="BE396" i="10"/>
  <c r="BF396" i="10"/>
  <c r="BG396" i="10"/>
  <c r="AW397" i="10"/>
  <c r="AX397" i="10"/>
  <c r="AY397" i="10"/>
  <c r="BD397" i="10" s="1"/>
  <c r="AZ397" i="10"/>
  <c r="BA397" i="10"/>
  <c r="BB397" i="10"/>
  <c r="BC397" i="10"/>
  <c r="BE397" i="10"/>
  <c r="BF397" i="10"/>
  <c r="BG397" i="10"/>
  <c r="AW359" i="10"/>
  <c r="AX359" i="10"/>
  <c r="AW360" i="10"/>
  <c r="AX360" i="10"/>
  <c r="AW361" i="10"/>
  <c r="AX361" i="10"/>
  <c r="AW362" i="10"/>
  <c r="AX362" i="10"/>
  <c r="AW363" i="10"/>
  <c r="AX363" i="10"/>
  <c r="AW364" i="10"/>
  <c r="AX364" i="10"/>
  <c r="AW365" i="10"/>
  <c r="AX365" i="10"/>
  <c r="AW366" i="10"/>
  <c r="AX366" i="10"/>
  <c r="AW367" i="10"/>
  <c r="AX367" i="10"/>
  <c r="AW368" i="10"/>
  <c r="AX368" i="10"/>
  <c r="AW369" i="10"/>
  <c r="AX369" i="10"/>
  <c r="AW370" i="10"/>
  <c r="AX370" i="10"/>
  <c r="AW371" i="10"/>
  <c r="AX371" i="10"/>
  <c r="AW372" i="10"/>
  <c r="AX372" i="10"/>
  <c r="AW373" i="10"/>
  <c r="AX373" i="10"/>
  <c r="AW374" i="10"/>
  <c r="AX374" i="10"/>
  <c r="AW375" i="10"/>
  <c r="AX375" i="10"/>
  <c r="AW376" i="10"/>
  <c r="AX376" i="10"/>
  <c r="AW377" i="10"/>
  <c r="AX377" i="10"/>
  <c r="AW378" i="10"/>
  <c r="AX378" i="10"/>
  <c r="AW379" i="10"/>
  <c r="AX379" i="10"/>
  <c r="AW380" i="10"/>
  <c r="AX380" i="10"/>
  <c r="AW381" i="10"/>
  <c r="AX381" i="10"/>
  <c r="AW382" i="10"/>
  <c r="AX382" i="10"/>
  <c r="AW383" i="10"/>
  <c r="AX383" i="10"/>
  <c r="AW384" i="10"/>
  <c r="AX384" i="10"/>
  <c r="AW385" i="10"/>
  <c r="AX385" i="10"/>
  <c r="AW386" i="10"/>
  <c r="AX386" i="10"/>
  <c r="AW387" i="10"/>
  <c r="AX387" i="10"/>
  <c r="AW388" i="10"/>
  <c r="AX388" i="10"/>
  <c r="AW389" i="10"/>
  <c r="AX389" i="10"/>
  <c r="AY359" i="10"/>
  <c r="BD359" i="10" s="1"/>
  <c r="AZ359" i="10"/>
  <c r="BA359" i="10"/>
  <c r="BB359" i="10"/>
  <c r="BC359" i="10"/>
  <c r="BE359" i="10"/>
  <c r="BF359" i="10"/>
  <c r="BG359" i="10"/>
  <c r="AY360" i="10"/>
  <c r="BD360" i="10" s="1"/>
  <c r="AZ360" i="10"/>
  <c r="BA360" i="10"/>
  <c r="BB360" i="10"/>
  <c r="BC360" i="10"/>
  <c r="BE360" i="10"/>
  <c r="BF360" i="10"/>
  <c r="BG360" i="10"/>
  <c r="AY361" i="10"/>
  <c r="BD361" i="10" s="1"/>
  <c r="AZ361" i="10"/>
  <c r="BA361" i="10"/>
  <c r="BB361" i="10"/>
  <c r="BC361" i="10"/>
  <c r="BE361" i="10"/>
  <c r="BF361" i="10"/>
  <c r="BG361" i="10"/>
  <c r="AY362" i="10"/>
  <c r="BD362" i="10" s="1"/>
  <c r="AZ362" i="10"/>
  <c r="BA362" i="10"/>
  <c r="BB362" i="10"/>
  <c r="BC362" i="10"/>
  <c r="BE362" i="10"/>
  <c r="BF362" i="10"/>
  <c r="BG362" i="10"/>
  <c r="AY363" i="10"/>
  <c r="BD363" i="10" s="1"/>
  <c r="AZ363" i="10"/>
  <c r="BA363" i="10"/>
  <c r="BB363" i="10"/>
  <c r="BC363" i="10"/>
  <c r="BE363" i="10"/>
  <c r="BF363" i="10"/>
  <c r="BG363" i="10"/>
  <c r="AY364" i="10"/>
  <c r="BD364" i="10" s="1"/>
  <c r="AZ364" i="10"/>
  <c r="BA364" i="10"/>
  <c r="BB364" i="10"/>
  <c r="BC364" i="10"/>
  <c r="BE364" i="10"/>
  <c r="BF364" i="10"/>
  <c r="BG364" i="10"/>
  <c r="AY365" i="10"/>
  <c r="BD365" i="10" s="1"/>
  <c r="AZ365" i="10"/>
  <c r="BA365" i="10"/>
  <c r="BB365" i="10"/>
  <c r="BC365" i="10"/>
  <c r="BE365" i="10"/>
  <c r="BF365" i="10"/>
  <c r="BG365" i="10"/>
  <c r="AY366" i="10"/>
  <c r="BD366" i="10" s="1"/>
  <c r="AZ366" i="10"/>
  <c r="BA366" i="10"/>
  <c r="BB366" i="10"/>
  <c r="BC366" i="10"/>
  <c r="BE366" i="10"/>
  <c r="BF366" i="10"/>
  <c r="BG366" i="10"/>
  <c r="AY367" i="10"/>
  <c r="BD367" i="10" s="1"/>
  <c r="AZ367" i="10"/>
  <c r="BA367" i="10"/>
  <c r="BB367" i="10"/>
  <c r="BC367" i="10"/>
  <c r="BE367" i="10"/>
  <c r="BF367" i="10"/>
  <c r="BG367" i="10"/>
  <c r="AY368" i="10"/>
  <c r="BD368" i="10" s="1"/>
  <c r="AZ368" i="10"/>
  <c r="BA368" i="10"/>
  <c r="BB368" i="10"/>
  <c r="BC368" i="10"/>
  <c r="BE368" i="10"/>
  <c r="BF368" i="10"/>
  <c r="BG368" i="10"/>
  <c r="AY369" i="10"/>
  <c r="BD369" i="10" s="1"/>
  <c r="AZ369" i="10"/>
  <c r="BA369" i="10"/>
  <c r="BB369" i="10"/>
  <c r="BC369" i="10"/>
  <c r="BE369" i="10"/>
  <c r="BF369" i="10"/>
  <c r="BG369" i="10"/>
  <c r="AY370" i="10"/>
  <c r="BD370" i="10" s="1"/>
  <c r="AZ370" i="10"/>
  <c r="BA370" i="10"/>
  <c r="BB370" i="10"/>
  <c r="BC370" i="10"/>
  <c r="BE370" i="10"/>
  <c r="BF370" i="10"/>
  <c r="BG370" i="10"/>
  <c r="AY371" i="10"/>
  <c r="BD371" i="10" s="1"/>
  <c r="AZ371" i="10"/>
  <c r="BA371" i="10"/>
  <c r="BB371" i="10"/>
  <c r="BC371" i="10"/>
  <c r="BE371" i="10"/>
  <c r="BF371" i="10"/>
  <c r="BG371" i="10"/>
  <c r="AY372" i="10"/>
  <c r="BD372" i="10" s="1"/>
  <c r="AZ372" i="10"/>
  <c r="BA372" i="10"/>
  <c r="BB372" i="10"/>
  <c r="BC372" i="10"/>
  <c r="BE372" i="10"/>
  <c r="BF372" i="10"/>
  <c r="BG372" i="10"/>
  <c r="AY373" i="10"/>
  <c r="BD373" i="10" s="1"/>
  <c r="AZ373" i="10"/>
  <c r="BA373" i="10"/>
  <c r="BB373" i="10"/>
  <c r="BC373" i="10"/>
  <c r="BE373" i="10"/>
  <c r="BF373" i="10"/>
  <c r="BG373" i="10"/>
  <c r="AY374" i="10"/>
  <c r="BD374" i="10" s="1"/>
  <c r="AZ374" i="10"/>
  <c r="BA374" i="10"/>
  <c r="BB374" i="10"/>
  <c r="BC374" i="10"/>
  <c r="BE374" i="10"/>
  <c r="BF374" i="10"/>
  <c r="BG374" i="10"/>
  <c r="AY375" i="10"/>
  <c r="BD375" i="10" s="1"/>
  <c r="AZ375" i="10"/>
  <c r="BA375" i="10"/>
  <c r="BB375" i="10"/>
  <c r="BC375" i="10"/>
  <c r="BE375" i="10"/>
  <c r="BF375" i="10"/>
  <c r="BG375" i="10"/>
  <c r="AY376" i="10"/>
  <c r="BD376" i="10" s="1"/>
  <c r="AZ376" i="10"/>
  <c r="BA376" i="10"/>
  <c r="BB376" i="10"/>
  <c r="BC376" i="10"/>
  <c r="BE376" i="10"/>
  <c r="BF376" i="10"/>
  <c r="BG376" i="10"/>
  <c r="AY377" i="10"/>
  <c r="BD377" i="10" s="1"/>
  <c r="AZ377" i="10"/>
  <c r="BA377" i="10"/>
  <c r="BB377" i="10"/>
  <c r="BC377" i="10"/>
  <c r="BE377" i="10"/>
  <c r="BF377" i="10"/>
  <c r="BG377" i="10"/>
  <c r="AY378" i="10"/>
  <c r="BD378" i="10" s="1"/>
  <c r="AZ378" i="10"/>
  <c r="BA378" i="10"/>
  <c r="BB378" i="10"/>
  <c r="BC378" i="10"/>
  <c r="BE378" i="10"/>
  <c r="BF378" i="10"/>
  <c r="BG378" i="10"/>
  <c r="AY379" i="10"/>
  <c r="BD379" i="10" s="1"/>
  <c r="AZ379" i="10"/>
  <c r="BA379" i="10"/>
  <c r="BB379" i="10"/>
  <c r="BC379" i="10"/>
  <c r="BE379" i="10"/>
  <c r="BF379" i="10"/>
  <c r="BG379" i="10"/>
  <c r="AY380" i="10"/>
  <c r="BD380" i="10" s="1"/>
  <c r="AZ380" i="10"/>
  <c r="BA380" i="10"/>
  <c r="BB380" i="10"/>
  <c r="BC380" i="10"/>
  <c r="BE380" i="10"/>
  <c r="BF380" i="10"/>
  <c r="BG380" i="10"/>
  <c r="AY381" i="10"/>
  <c r="BD381" i="10" s="1"/>
  <c r="AZ381" i="10"/>
  <c r="BA381" i="10"/>
  <c r="BB381" i="10"/>
  <c r="BC381" i="10"/>
  <c r="BE381" i="10"/>
  <c r="BF381" i="10"/>
  <c r="BG381" i="10"/>
  <c r="AY382" i="10"/>
  <c r="BD382" i="10" s="1"/>
  <c r="AZ382" i="10"/>
  <c r="BA382" i="10"/>
  <c r="BB382" i="10"/>
  <c r="BC382" i="10"/>
  <c r="BE382" i="10"/>
  <c r="BF382" i="10"/>
  <c r="BG382" i="10"/>
  <c r="AY383" i="10"/>
  <c r="BD383" i="10" s="1"/>
  <c r="AZ383" i="10"/>
  <c r="BA383" i="10"/>
  <c r="BB383" i="10"/>
  <c r="BC383" i="10"/>
  <c r="BE383" i="10"/>
  <c r="BF383" i="10"/>
  <c r="BG383" i="10"/>
  <c r="AY384" i="10"/>
  <c r="BD384" i="10" s="1"/>
  <c r="AZ384" i="10"/>
  <c r="BA384" i="10"/>
  <c r="BB384" i="10"/>
  <c r="BC384" i="10"/>
  <c r="BE384" i="10"/>
  <c r="BF384" i="10"/>
  <c r="BG384" i="10"/>
  <c r="AY385" i="10"/>
  <c r="BD385" i="10" s="1"/>
  <c r="AZ385" i="10"/>
  <c r="BA385" i="10"/>
  <c r="BB385" i="10"/>
  <c r="BC385" i="10"/>
  <c r="BE385" i="10"/>
  <c r="BF385" i="10"/>
  <c r="BG385" i="10"/>
  <c r="AY386" i="10"/>
  <c r="BD386" i="10" s="1"/>
  <c r="AZ386" i="10"/>
  <c r="BA386" i="10"/>
  <c r="BB386" i="10"/>
  <c r="BC386" i="10"/>
  <c r="BE386" i="10"/>
  <c r="BF386" i="10"/>
  <c r="BG386" i="10"/>
  <c r="AY387" i="10"/>
  <c r="BD387" i="10" s="1"/>
  <c r="AZ387" i="10"/>
  <c r="BA387" i="10"/>
  <c r="BB387" i="10"/>
  <c r="BC387" i="10"/>
  <c r="BE387" i="10"/>
  <c r="BF387" i="10"/>
  <c r="BG387" i="10"/>
  <c r="AY388" i="10"/>
  <c r="BD388" i="10" s="1"/>
  <c r="AZ388" i="10"/>
  <c r="BA388" i="10"/>
  <c r="BB388" i="10"/>
  <c r="BC388" i="10"/>
  <c r="BE388" i="10"/>
  <c r="BF388" i="10"/>
  <c r="BG388" i="10"/>
  <c r="AY389" i="10"/>
  <c r="BD389" i="10" s="1"/>
  <c r="AZ389" i="10"/>
  <c r="BA389" i="10"/>
  <c r="BB389" i="10"/>
  <c r="BC389" i="10"/>
  <c r="BE389" i="10"/>
  <c r="BF389" i="10"/>
  <c r="BG389" i="10"/>
  <c r="BG358" i="10"/>
  <c r="BF358" i="10"/>
  <c r="BE358" i="10"/>
  <c r="BC358" i="10"/>
  <c r="BB358" i="10"/>
  <c r="BA358" i="10"/>
  <c r="AZ358" i="10"/>
  <c r="AY358" i="10"/>
  <c r="BD358" i="10" s="1"/>
  <c r="AX358" i="10"/>
  <c r="AW358" i="10"/>
  <c r="BG357" i="10"/>
  <c r="BF357" i="10"/>
  <c r="BE357" i="10"/>
  <c r="BC357" i="10"/>
  <c r="BB357" i="10"/>
  <c r="BA357" i="10"/>
  <c r="AZ357" i="10"/>
  <c r="AY357" i="10"/>
  <c r="BD357" i="10" s="1"/>
  <c r="AX357" i="10"/>
  <c r="AW357" i="10"/>
  <c r="BG356" i="10"/>
  <c r="BF356" i="10"/>
  <c r="BE356" i="10"/>
  <c r="BC356" i="10"/>
  <c r="BB356" i="10"/>
  <c r="BA356" i="10"/>
  <c r="AZ356" i="10"/>
  <c r="AY356" i="10"/>
  <c r="BD356" i="10" s="1"/>
  <c r="AX356" i="10"/>
  <c r="AW356" i="10"/>
  <c r="BG355" i="10"/>
  <c r="BF355" i="10"/>
  <c r="BE355" i="10"/>
  <c r="BC355" i="10"/>
  <c r="BB355" i="10"/>
  <c r="BA355" i="10"/>
  <c r="AZ355" i="10"/>
  <c r="AY355" i="10"/>
  <c r="BD355" i="10" s="1"/>
  <c r="AX355" i="10"/>
  <c r="AW355" i="10"/>
  <c r="BG354" i="10"/>
  <c r="BF354" i="10"/>
  <c r="BE354" i="10"/>
  <c r="BC354" i="10"/>
  <c r="BB354" i="10"/>
  <c r="BA354" i="10"/>
  <c r="AZ354" i="10"/>
  <c r="AY354" i="10"/>
  <c r="BD354" i="10" s="1"/>
  <c r="AX354" i="10"/>
  <c r="AW354" i="10"/>
  <c r="BG353" i="10"/>
  <c r="BF353" i="10"/>
  <c r="BE353" i="10"/>
  <c r="BC353" i="10"/>
  <c r="BB353" i="10"/>
  <c r="BA353" i="10"/>
  <c r="AZ353" i="10"/>
  <c r="AY353" i="10"/>
  <c r="BD353" i="10" s="1"/>
  <c r="AX353" i="10"/>
  <c r="AW353" i="10"/>
  <c r="BG352" i="10"/>
  <c r="BF352" i="10"/>
  <c r="BE352" i="10"/>
  <c r="BC352" i="10"/>
  <c r="BB352" i="10"/>
  <c r="BA352" i="10"/>
  <c r="AZ352" i="10"/>
  <c r="AY352" i="10"/>
  <c r="BD352" i="10" s="1"/>
  <c r="AX352" i="10"/>
  <c r="AW352" i="10"/>
  <c r="BG351" i="10"/>
  <c r="BF351" i="10"/>
  <c r="BE351" i="10"/>
  <c r="BC351" i="10"/>
  <c r="BB351" i="10"/>
  <c r="BA351" i="10"/>
  <c r="AZ351" i="10"/>
  <c r="AY351" i="10"/>
  <c r="BD351" i="10" s="1"/>
  <c r="AX351" i="10"/>
  <c r="AW351" i="10"/>
  <c r="BG350" i="10"/>
  <c r="BF350" i="10"/>
  <c r="BE350" i="10"/>
  <c r="BC350" i="10"/>
  <c r="BB350" i="10"/>
  <c r="BA350" i="10"/>
  <c r="AZ350" i="10"/>
  <c r="AY350" i="10"/>
  <c r="BD350" i="10" s="1"/>
  <c r="AX350" i="10"/>
  <c r="AW350" i="10"/>
  <c r="BG349" i="10"/>
  <c r="BF349" i="10"/>
  <c r="BE349" i="10"/>
  <c r="BC349" i="10"/>
  <c r="BB349" i="10"/>
  <c r="BA349" i="10"/>
  <c r="AZ349" i="10"/>
  <c r="AY349" i="10"/>
  <c r="BD349" i="10" s="1"/>
  <c r="AX349" i="10"/>
  <c r="AW349" i="10"/>
  <c r="BG348" i="10"/>
  <c r="BF348" i="10"/>
  <c r="BE348" i="10"/>
  <c r="BC348" i="10"/>
  <c r="BB348" i="10"/>
  <c r="BA348" i="10"/>
  <c r="AZ348" i="10"/>
  <c r="AY348" i="10"/>
  <c r="BD348" i="10" s="1"/>
  <c r="AX348" i="10"/>
  <c r="AW348" i="10"/>
  <c r="BG347" i="10"/>
  <c r="BF347" i="10"/>
  <c r="BE347" i="10"/>
  <c r="BC347" i="10"/>
  <c r="BB347" i="10"/>
  <c r="BA347" i="10"/>
  <c r="AZ347" i="10"/>
  <c r="AY347" i="10"/>
  <c r="BD347" i="10" s="1"/>
  <c r="AX347" i="10"/>
  <c r="AW347" i="10"/>
  <c r="BG346" i="10"/>
  <c r="BF346" i="10"/>
  <c r="BE346" i="10"/>
  <c r="BC346" i="10"/>
  <c r="BB346" i="10"/>
  <c r="BA346" i="10"/>
  <c r="AZ346" i="10"/>
  <c r="AY346" i="10"/>
  <c r="BD346" i="10" s="1"/>
  <c r="AX346" i="10"/>
  <c r="AW346" i="10"/>
  <c r="BG345" i="10"/>
  <c r="BF345" i="10"/>
  <c r="BE345" i="10"/>
  <c r="BC345" i="10"/>
  <c r="BB345" i="10"/>
  <c r="BA345" i="10"/>
  <c r="AZ345" i="10"/>
  <c r="AY345" i="10"/>
  <c r="BD345" i="10" s="1"/>
  <c r="AX345" i="10"/>
  <c r="AW345" i="10"/>
  <c r="BG344" i="10"/>
  <c r="BF344" i="10"/>
  <c r="BE344" i="10"/>
  <c r="BC344" i="10"/>
  <c r="BB344" i="10"/>
  <c r="BA344" i="10"/>
  <c r="AZ344" i="10"/>
  <c r="AY344" i="10"/>
  <c r="BD344" i="10" s="1"/>
  <c r="AX344" i="10"/>
  <c r="AW344" i="10"/>
  <c r="BG343" i="10"/>
  <c r="BF343" i="10"/>
  <c r="BE343" i="10"/>
  <c r="BC343" i="10"/>
  <c r="BB343" i="10"/>
  <c r="BA343" i="10"/>
  <c r="AZ343" i="10"/>
  <c r="AY343" i="10"/>
  <c r="BD343" i="10" s="1"/>
  <c r="AX343" i="10"/>
  <c r="AW343" i="10"/>
  <c r="BG342" i="10"/>
  <c r="BF342" i="10"/>
  <c r="BE342" i="10"/>
  <c r="BC342" i="10"/>
  <c r="BB342" i="10"/>
  <c r="BA342" i="10"/>
  <c r="AZ342" i="10"/>
  <c r="AY342" i="10"/>
  <c r="BD342" i="10" s="1"/>
  <c r="AX342" i="10"/>
  <c r="AW342" i="10"/>
  <c r="BG341" i="10"/>
  <c r="BF341" i="10"/>
  <c r="BE341" i="10"/>
  <c r="BC341" i="10"/>
  <c r="BB341" i="10"/>
  <c r="BA341" i="10"/>
  <c r="AZ341" i="10"/>
  <c r="AY341" i="10"/>
  <c r="BD341" i="10" s="1"/>
  <c r="AX341" i="10"/>
  <c r="AW341" i="10"/>
  <c r="BG340" i="10"/>
  <c r="BF340" i="10"/>
  <c r="BE340" i="10"/>
  <c r="BC340" i="10"/>
  <c r="BB340" i="10"/>
  <c r="BA340" i="10"/>
  <c r="AZ340" i="10"/>
  <c r="AY340" i="10"/>
  <c r="BD340" i="10" s="1"/>
  <c r="AX340" i="10"/>
  <c r="AW340" i="10"/>
  <c r="BG339" i="10"/>
  <c r="BF339" i="10"/>
  <c r="BE339" i="10"/>
  <c r="BC339" i="10"/>
  <c r="BB339" i="10"/>
  <c r="BA339" i="10"/>
  <c r="AZ339" i="10"/>
  <c r="AY339" i="10"/>
  <c r="BD339" i="10" s="1"/>
  <c r="AX339" i="10"/>
  <c r="AW339" i="10"/>
  <c r="AX3" i="10"/>
  <c r="AX4" i="10"/>
  <c r="AX5" i="10"/>
  <c r="AX6" i="10"/>
  <c r="AX7" i="10"/>
  <c r="AX8" i="10"/>
  <c r="AX9" i="10"/>
  <c r="AX10" i="10"/>
  <c r="AX11" i="10"/>
  <c r="AX12" i="10"/>
  <c r="AX13" i="10"/>
  <c r="AX14" i="10"/>
  <c r="AX15" i="10"/>
  <c r="AX16" i="10"/>
  <c r="AX17" i="10"/>
  <c r="AX18" i="10"/>
  <c r="AX19" i="10"/>
  <c r="AX20" i="10"/>
  <c r="AX21" i="10"/>
  <c r="AX22" i="10"/>
  <c r="AX23" i="10"/>
  <c r="AX24" i="10"/>
  <c r="AX25" i="10"/>
  <c r="AX26" i="10"/>
  <c r="AX27" i="10"/>
  <c r="AX28" i="10"/>
  <c r="AX29" i="10"/>
  <c r="AX30" i="10"/>
  <c r="AX31" i="10"/>
  <c r="AX32" i="10"/>
  <c r="AX33" i="10"/>
  <c r="AX34" i="10"/>
  <c r="AX35" i="10"/>
  <c r="AX36" i="10"/>
  <c r="AX37" i="10"/>
  <c r="AX38" i="10"/>
  <c r="AX39" i="10"/>
  <c r="AX40" i="10"/>
  <c r="AX41" i="10"/>
  <c r="AX42" i="10"/>
  <c r="AX43" i="10"/>
  <c r="AX44" i="10"/>
  <c r="AX45" i="10"/>
  <c r="AX46" i="10"/>
  <c r="AX47" i="10"/>
  <c r="AX48" i="10"/>
  <c r="AX49" i="10"/>
  <c r="AX50" i="10"/>
  <c r="AX51" i="10"/>
  <c r="AX52" i="10"/>
  <c r="AX53" i="10"/>
  <c r="AX54" i="10"/>
  <c r="AX55" i="10"/>
  <c r="AX56" i="10"/>
  <c r="AX57" i="10"/>
  <c r="AX58" i="10"/>
  <c r="AX59" i="10"/>
  <c r="AX60" i="10"/>
  <c r="AX61" i="10"/>
  <c r="AX62" i="10"/>
  <c r="AX63" i="10"/>
  <c r="AX64" i="10"/>
  <c r="AX65" i="10"/>
  <c r="AX66" i="10"/>
  <c r="AX67" i="10"/>
  <c r="AX68" i="10"/>
  <c r="AX69" i="10"/>
  <c r="AX70" i="10"/>
  <c r="AX71" i="10"/>
  <c r="AX72" i="10"/>
  <c r="AX73" i="10"/>
  <c r="AX74" i="10"/>
  <c r="AX75" i="10"/>
  <c r="AX76" i="10"/>
  <c r="AX77" i="10"/>
  <c r="AX78" i="10"/>
  <c r="AX79" i="10"/>
  <c r="AX80" i="10"/>
  <c r="AX81" i="10"/>
  <c r="AX82" i="10"/>
  <c r="AX83" i="10"/>
  <c r="AX84" i="10"/>
  <c r="AX85" i="10"/>
  <c r="AX86" i="10"/>
  <c r="AX87" i="10"/>
  <c r="AX88" i="10"/>
  <c r="AX89" i="10"/>
  <c r="AX90" i="10"/>
  <c r="AX91" i="10"/>
  <c r="AX92" i="10"/>
  <c r="AX93" i="10"/>
  <c r="AX94" i="10"/>
  <c r="AX95" i="10"/>
  <c r="AX96" i="10"/>
  <c r="AX97" i="10"/>
  <c r="AX98" i="10"/>
  <c r="AX99" i="10"/>
  <c r="AX100" i="10"/>
  <c r="AX101" i="10"/>
  <c r="AX102" i="10"/>
  <c r="AX103" i="10"/>
  <c r="AX104" i="10"/>
  <c r="AX105" i="10"/>
  <c r="AX106" i="10"/>
  <c r="AX107" i="10"/>
  <c r="AX108" i="10"/>
  <c r="AX109" i="10"/>
  <c r="AX110" i="10"/>
  <c r="AX111" i="10"/>
  <c r="AX112" i="10"/>
  <c r="AX113" i="10"/>
  <c r="AX114" i="10"/>
  <c r="AX115" i="10"/>
  <c r="AX116" i="10"/>
  <c r="AX117" i="10"/>
  <c r="AX118" i="10"/>
  <c r="AX119" i="10"/>
  <c r="AX120" i="10"/>
  <c r="AX121" i="10"/>
  <c r="AX122" i="10"/>
  <c r="AX123" i="10"/>
  <c r="AX124" i="10"/>
  <c r="AX125" i="10"/>
  <c r="AX126" i="10"/>
  <c r="AX127" i="10"/>
  <c r="AX128" i="10"/>
  <c r="AX129" i="10"/>
  <c r="AX130" i="10"/>
  <c r="AX131" i="10"/>
  <c r="AX132" i="10"/>
  <c r="AX133" i="10"/>
  <c r="AX134" i="10"/>
  <c r="AX135" i="10"/>
  <c r="AX136" i="10"/>
  <c r="AX137" i="10"/>
  <c r="AX138" i="10"/>
  <c r="AX139" i="10"/>
  <c r="AX140" i="10"/>
  <c r="AX141" i="10"/>
  <c r="AX142" i="10"/>
  <c r="AX143" i="10"/>
  <c r="AX144" i="10"/>
  <c r="AX145" i="10"/>
  <c r="AX146" i="10"/>
  <c r="AX147" i="10"/>
  <c r="AX148" i="10"/>
  <c r="AX149" i="10"/>
  <c r="AX150" i="10"/>
  <c r="AX151" i="10"/>
  <c r="AX152" i="10"/>
  <c r="AX153" i="10"/>
  <c r="AX154" i="10"/>
  <c r="AX155" i="10"/>
  <c r="AX156" i="10"/>
  <c r="AX157" i="10"/>
  <c r="AX158" i="10"/>
  <c r="AX159" i="10"/>
  <c r="AX160" i="10"/>
  <c r="AX161" i="10"/>
  <c r="AX162" i="10"/>
  <c r="AX163" i="10"/>
  <c r="AX164" i="10"/>
  <c r="AX165" i="10"/>
  <c r="AX166" i="10"/>
  <c r="AX167" i="10"/>
  <c r="AX168" i="10"/>
  <c r="AX169" i="10"/>
  <c r="AX170" i="10"/>
  <c r="AX171" i="10"/>
  <c r="AX172" i="10"/>
  <c r="AX173" i="10"/>
  <c r="AX174" i="10"/>
  <c r="AX175" i="10"/>
  <c r="AX176" i="10"/>
  <c r="AX177" i="10"/>
  <c r="AX178" i="10"/>
  <c r="AX179" i="10"/>
  <c r="AX180" i="10"/>
  <c r="AX181" i="10"/>
  <c r="AX182" i="10"/>
  <c r="AX183" i="10"/>
  <c r="AX184" i="10"/>
  <c r="AX185" i="10"/>
  <c r="AX186" i="10"/>
  <c r="AX187" i="10"/>
  <c r="AX188" i="10"/>
  <c r="AX189" i="10"/>
  <c r="AX190" i="10"/>
  <c r="AX191" i="10"/>
  <c r="AX192" i="10"/>
  <c r="AX193" i="10"/>
  <c r="AX194" i="10"/>
  <c r="AX195" i="10"/>
  <c r="AX196" i="10"/>
  <c r="AX197" i="10"/>
  <c r="AX198" i="10"/>
  <c r="AX199" i="10"/>
  <c r="AX200" i="10"/>
  <c r="AX201" i="10"/>
  <c r="AX202" i="10"/>
  <c r="AX203" i="10"/>
  <c r="AX204" i="10"/>
  <c r="AX205" i="10"/>
  <c r="AX206" i="10"/>
  <c r="AX207" i="10"/>
  <c r="AX208" i="10"/>
  <c r="AX209" i="10"/>
  <c r="AX210" i="10"/>
  <c r="AX211" i="10"/>
  <c r="AX212" i="10"/>
  <c r="AX213" i="10"/>
  <c r="AX214" i="10"/>
  <c r="AX215" i="10"/>
  <c r="AX216" i="10"/>
  <c r="AX217" i="10"/>
  <c r="AX218" i="10"/>
  <c r="AX219" i="10"/>
  <c r="AX220" i="10"/>
  <c r="AX221" i="10"/>
  <c r="AX222" i="10"/>
  <c r="AX223" i="10"/>
  <c r="AX224" i="10"/>
  <c r="AX225" i="10"/>
  <c r="AX226" i="10"/>
  <c r="AX227" i="10"/>
  <c r="AX228" i="10"/>
  <c r="AX229" i="10"/>
  <c r="AX230" i="10"/>
  <c r="AX231" i="10"/>
  <c r="AX232" i="10"/>
  <c r="AX233" i="10"/>
  <c r="AX234" i="10"/>
  <c r="AX235" i="10"/>
  <c r="AX236" i="10"/>
  <c r="AX237" i="10"/>
  <c r="AX238" i="10"/>
  <c r="AX239" i="10"/>
  <c r="AX240" i="10"/>
  <c r="AX241" i="10"/>
  <c r="AX242" i="10"/>
  <c r="AX243" i="10"/>
  <c r="AX244" i="10"/>
  <c r="AX245" i="10"/>
  <c r="AX246" i="10"/>
  <c r="AX247" i="10"/>
  <c r="AX248" i="10"/>
  <c r="AX249" i="10"/>
  <c r="AX250" i="10"/>
  <c r="AX251" i="10"/>
  <c r="AX252" i="10"/>
  <c r="AX253" i="10"/>
  <c r="AX254" i="10"/>
  <c r="AX255" i="10"/>
  <c r="AX256" i="10"/>
  <c r="AX257" i="10"/>
  <c r="AX258" i="10"/>
  <c r="AX259" i="10"/>
  <c r="AX260" i="10"/>
  <c r="AX261" i="10"/>
  <c r="AX262" i="10"/>
  <c r="AX263" i="10"/>
  <c r="AX264" i="10"/>
  <c r="AX265" i="10"/>
  <c r="AX266" i="10"/>
  <c r="AX267" i="10"/>
  <c r="AX268" i="10"/>
  <c r="AX269" i="10"/>
  <c r="AX270" i="10"/>
  <c r="AX271" i="10"/>
  <c r="AX272" i="10"/>
  <c r="AX273" i="10"/>
  <c r="AX274" i="10"/>
  <c r="AX275" i="10"/>
  <c r="AX276" i="10"/>
  <c r="AX277" i="10"/>
  <c r="AX278" i="10"/>
  <c r="AX279" i="10"/>
  <c r="AX280" i="10"/>
  <c r="AX281" i="10"/>
  <c r="AX282" i="10"/>
  <c r="AX283" i="10"/>
  <c r="AX284" i="10"/>
  <c r="AX285" i="10"/>
  <c r="AX286" i="10"/>
  <c r="AX287" i="10"/>
  <c r="AX288" i="10"/>
  <c r="AX289" i="10"/>
  <c r="AX290" i="10"/>
  <c r="AX291" i="10"/>
  <c r="AX292" i="10"/>
  <c r="AX293" i="10"/>
  <c r="AX294" i="10"/>
  <c r="AX295" i="10"/>
  <c r="AX296" i="10"/>
  <c r="AX297" i="10"/>
  <c r="AX298" i="10"/>
  <c r="AX299" i="10"/>
  <c r="AX300" i="10"/>
  <c r="AX301" i="10"/>
  <c r="AX302" i="10"/>
  <c r="AX303" i="10"/>
  <c r="AX304" i="10"/>
  <c r="AX305" i="10"/>
  <c r="AX306" i="10"/>
  <c r="AX307" i="10"/>
  <c r="AX308" i="10"/>
  <c r="AX309" i="10"/>
  <c r="AX310" i="10"/>
  <c r="AX311" i="10"/>
  <c r="AX312" i="10"/>
  <c r="AX313" i="10"/>
  <c r="AX314" i="10"/>
  <c r="AX315" i="10"/>
  <c r="AX316" i="10"/>
  <c r="AX317" i="10"/>
  <c r="AX318" i="10"/>
  <c r="AX319" i="10"/>
  <c r="AX320" i="10"/>
  <c r="AX321" i="10"/>
  <c r="AX322" i="10"/>
  <c r="AX323" i="10"/>
  <c r="AX324" i="10"/>
  <c r="AX325" i="10"/>
  <c r="AX326" i="10"/>
  <c r="AX327" i="10"/>
  <c r="AX328" i="10"/>
  <c r="AX329" i="10"/>
  <c r="AX330" i="10"/>
  <c r="AX331" i="10"/>
  <c r="AX332" i="10"/>
  <c r="AX333" i="10"/>
  <c r="AX334" i="10"/>
  <c r="AX335" i="10"/>
  <c r="AX336" i="10"/>
  <c r="AX337" i="10"/>
  <c r="AX338" i="10"/>
  <c r="AX2" i="10"/>
  <c r="AW2" i="10"/>
  <c r="AW24" i="10"/>
  <c r="AW25" i="10"/>
  <c r="AW26" i="10"/>
  <c r="AW27" i="10"/>
  <c r="AW28" i="10"/>
  <c r="AW29" i="10"/>
  <c r="AW30" i="10"/>
  <c r="AW31" i="10"/>
  <c r="AW32" i="10"/>
  <c r="AW33" i="10"/>
  <c r="AW34" i="10"/>
  <c r="AW35" i="10"/>
  <c r="AW36" i="10"/>
  <c r="AW37" i="10"/>
  <c r="AW38" i="10"/>
  <c r="AW39" i="10"/>
  <c r="AW40" i="10"/>
  <c r="AW41" i="10"/>
  <c r="AW42" i="10"/>
  <c r="AW43" i="10"/>
  <c r="AW44" i="10"/>
  <c r="AW45" i="10"/>
  <c r="AW46" i="10"/>
  <c r="AW47" i="10"/>
  <c r="AW48" i="10"/>
  <c r="AW49" i="10"/>
  <c r="AW50" i="10"/>
  <c r="AW51" i="10"/>
  <c r="AW52" i="10"/>
  <c r="AW53" i="10"/>
  <c r="AW54" i="10"/>
  <c r="AW55" i="10"/>
  <c r="AW56" i="10"/>
  <c r="AW57" i="10"/>
  <c r="AW58" i="10"/>
  <c r="AW59" i="10"/>
  <c r="AW60" i="10"/>
  <c r="AW61" i="10"/>
  <c r="AW62" i="10"/>
  <c r="AW63" i="10"/>
  <c r="AW64" i="10"/>
  <c r="AW65" i="10"/>
  <c r="AW66" i="10"/>
  <c r="AW67" i="10"/>
  <c r="AW68" i="10"/>
  <c r="AW69" i="10"/>
  <c r="AW70" i="10"/>
  <c r="AW71" i="10"/>
  <c r="AW72" i="10"/>
  <c r="AW73" i="10"/>
  <c r="AW74" i="10"/>
  <c r="AW75" i="10"/>
  <c r="AW76" i="10"/>
  <c r="AW77" i="10"/>
  <c r="AW78" i="10"/>
  <c r="AW79" i="10"/>
  <c r="AW80" i="10"/>
  <c r="AW81" i="10"/>
  <c r="AW82" i="10"/>
  <c r="AW83" i="10"/>
  <c r="AW84" i="10"/>
  <c r="AW85" i="10"/>
  <c r="AW86" i="10"/>
  <c r="AW87" i="10"/>
  <c r="AW88" i="10"/>
  <c r="AW89" i="10"/>
  <c r="AW90" i="10"/>
  <c r="AW91" i="10"/>
  <c r="AW92" i="10"/>
  <c r="AW93" i="10"/>
  <c r="AW94" i="10"/>
  <c r="AW95" i="10"/>
  <c r="AW96" i="10"/>
  <c r="AW97" i="10"/>
  <c r="AW98" i="10"/>
  <c r="AW99" i="10"/>
  <c r="AW100" i="10"/>
  <c r="AW101" i="10"/>
  <c r="AW102" i="10"/>
  <c r="AW103" i="10"/>
  <c r="AW104" i="10"/>
  <c r="AW105" i="10"/>
  <c r="AW106" i="10"/>
  <c r="AW107" i="10"/>
  <c r="AW108" i="10"/>
  <c r="AW109" i="10"/>
  <c r="AW110" i="10"/>
  <c r="AW111" i="10"/>
  <c r="AW112" i="10"/>
  <c r="AW113" i="10"/>
  <c r="AW114" i="10"/>
  <c r="AW115" i="10"/>
  <c r="AW116" i="10"/>
  <c r="AW117" i="10"/>
  <c r="AW118" i="10"/>
  <c r="AW119" i="10"/>
  <c r="AW120" i="10"/>
  <c r="AW121" i="10"/>
  <c r="AW122" i="10"/>
  <c r="AW123" i="10"/>
  <c r="AW124" i="10"/>
  <c r="AW125" i="10"/>
  <c r="AW126" i="10"/>
  <c r="AW127" i="10"/>
  <c r="AW128" i="10"/>
  <c r="AW129" i="10"/>
  <c r="AW130" i="10"/>
  <c r="AW131" i="10"/>
  <c r="AW132" i="10"/>
  <c r="AW133" i="10"/>
  <c r="AW134" i="10"/>
  <c r="AW135" i="10"/>
  <c r="AW136" i="10"/>
  <c r="AW137" i="10"/>
  <c r="AW138" i="10"/>
  <c r="AW139" i="10"/>
  <c r="AW140" i="10"/>
  <c r="AW141" i="10"/>
  <c r="AW142" i="10"/>
  <c r="AW143" i="10"/>
  <c r="AW144" i="10"/>
  <c r="AW145" i="10"/>
  <c r="AW146" i="10"/>
  <c r="AW147" i="10"/>
  <c r="AW148" i="10"/>
  <c r="AW149" i="10"/>
  <c r="AW150" i="10"/>
  <c r="AW151" i="10"/>
  <c r="AW152" i="10"/>
  <c r="AW153" i="10"/>
  <c r="AW154" i="10"/>
  <c r="AW155" i="10"/>
  <c r="AW156" i="10"/>
  <c r="AW157" i="10"/>
  <c r="AW158" i="10"/>
  <c r="AW159" i="10"/>
  <c r="AW160" i="10"/>
  <c r="AW161" i="10"/>
  <c r="AW162" i="10"/>
  <c r="AW163" i="10"/>
  <c r="AW164" i="10"/>
  <c r="AW165" i="10"/>
  <c r="AW166" i="10"/>
  <c r="AW167" i="10"/>
  <c r="AW168" i="10"/>
  <c r="AW169" i="10"/>
  <c r="AW170" i="10"/>
  <c r="AW171" i="10"/>
  <c r="AW172" i="10"/>
  <c r="AW173" i="10"/>
  <c r="AW174" i="10"/>
  <c r="AW175" i="10"/>
  <c r="AW176" i="10"/>
  <c r="AW177" i="10"/>
  <c r="AW178" i="10"/>
  <c r="AW179" i="10"/>
  <c r="AW180" i="10"/>
  <c r="AW181" i="10"/>
  <c r="AW182" i="10"/>
  <c r="AW183" i="10"/>
  <c r="AW184" i="10"/>
  <c r="AW185" i="10"/>
  <c r="AW186" i="10"/>
  <c r="AW187" i="10"/>
  <c r="AW188" i="10"/>
  <c r="AW189" i="10"/>
  <c r="AW190" i="10"/>
  <c r="AW191" i="10"/>
  <c r="AW192" i="10"/>
  <c r="AW193" i="10"/>
  <c r="AW194" i="10"/>
  <c r="AW195" i="10"/>
  <c r="AW196" i="10"/>
  <c r="AW197" i="10"/>
  <c r="AW198" i="10"/>
  <c r="AW199" i="10"/>
  <c r="AW200" i="10"/>
  <c r="AW201" i="10"/>
  <c r="AW202" i="10"/>
  <c r="AW203" i="10"/>
  <c r="AW204" i="10"/>
  <c r="AW205" i="10"/>
  <c r="AW206" i="10"/>
  <c r="AW207" i="10"/>
  <c r="AW208" i="10"/>
  <c r="AW209" i="10"/>
  <c r="AW210" i="10"/>
  <c r="AW211" i="10"/>
  <c r="AW212" i="10"/>
  <c r="AW213" i="10"/>
  <c r="AW214" i="10"/>
  <c r="AW215" i="10"/>
  <c r="AW216" i="10"/>
  <c r="AW217" i="10"/>
  <c r="AW218" i="10"/>
  <c r="AW219" i="10"/>
  <c r="AW220" i="10"/>
  <c r="AW221" i="10"/>
  <c r="AW222" i="10"/>
  <c r="AW223" i="10"/>
  <c r="AW224" i="10"/>
  <c r="AW225" i="10"/>
  <c r="AW226" i="10"/>
  <c r="AW227" i="10"/>
  <c r="AW228" i="10"/>
  <c r="AW229" i="10"/>
  <c r="AW230" i="10"/>
  <c r="AW231" i="10"/>
  <c r="AW232" i="10"/>
  <c r="AW233" i="10"/>
  <c r="AW234" i="10"/>
  <c r="AW235" i="10"/>
  <c r="AW236" i="10"/>
  <c r="AW237" i="10"/>
  <c r="AW238" i="10"/>
  <c r="AW239" i="10"/>
  <c r="AW240" i="10"/>
  <c r="AW241" i="10"/>
  <c r="AW242" i="10"/>
  <c r="AW243" i="10"/>
  <c r="AW244" i="10"/>
  <c r="AW245" i="10"/>
  <c r="AW246" i="10"/>
  <c r="AW247" i="10"/>
  <c r="AW248" i="10"/>
  <c r="AW249" i="10"/>
  <c r="AW250" i="10"/>
  <c r="AW251" i="10"/>
  <c r="AW252" i="10"/>
  <c r="AW253" i="10"/>
  <c r="AW254" i="10"/>
  <c r="AW255" i="10"/>
  <c r="AW256" i="10"/>
  <c r="AW257" i="10"/>
  <c r="AW258" i="10"/>
  <c r="AW259" i="10"/>
  <c r="AW260" i="10"/>
  <c r="AW261" i="10"/>
  <c r="AW262" i="10"/>
  <c r="AW263" i="10"/>
  <c r="AW264" i="10"/>
  <c r="AW265" i="10"/>
  <c r="AW266" i="10"/>
  <c r="AW267" i="10"/>
  <c r="AW268" i="10"/>
  <c r="AW269" i="10"/>
  <c r="AW270" i="10"/>
  <c r="AW271" i="10"/>
  <c r="AW272" i="10"/>
  <c r="AW273" i="10"/>
  <c r="AW274" i="10"/>
  <c r="AW275" i="10"/>
  <c r="AW276" i="10"/>
  <c r="AW277" i="10"/>
  <c r="AW278" i="10"/>
  <c r="AW279" i="10"/>
  <c r="AW280" i="10"/>
  <c r="AW281" i="10"/>
  <c r="AW282" i="10"/>
  <c r="AW283" i="10"/>
  <c r="AW284" i="10"/>
  <c r="AW285" i="10"/>
  <c r="AW286" i="10"/>
  <c r="AW287" i="10"/>
  <c r="AW288" i="10"/>
  <c r="AW289" i="10"/>
  <c r="AW290" i="10"/>
  <c r="AW291" i="10"/>
  <c r="AW292" i="10"/>
  <c r="AW293" i="10"/>
  <c r="AW294" i="10"/>
  <c r="AW295" i="10"/>
  <c r="AW296" i="10"/>
  <c r="AW297" i="10"/>
  <c r="AW298" i="10"/>
  <c r="AW299" i="10"/>
  <c r="AW300" i="10"/>
  <c r="AW301" i="10"/>
  <c r="AW302" i="10"/>
  <c r="AW303" i="10"/>
  <c r="AW304" i="10"/>
  <c r="AW305" i="10"/>
  <c r="AW306" i="10"/>
  <c r="AW307" i="10"/>
  <c r="AW308" i="10"/>
  <c r="AW309" i="10"/>
  <c r="AW310" i="10"/>
  <c r="AW311" i="10"/>
  <c r="AW312" i="10"/>
  <c r="AW313" i="10"/>
  <c r="AW314" i="10"/>
  <c r="AW315" i="10"/>
  <c r="AW316" i="10"/>
  <c r="AW317" i="10"/>
  <c r="AW318" i="10"/>
  <c r="AW319" i="10"/>
  <c r="AW320" i="10"/>
  <c r="AW321" i="10"/>
  <c r="AW322" i="10"/>
  <c r="AW323" i="10"/>
  <c r="AW324" i="10"/>
  <c r="AW325" i="10"/>
  <c r="AW326" i="10"/>
  <c r="AW327" i="10"/>
  <c r="AW328" i="10"/>
  <c r="AW329" i="10"/>
  <c r="AW330" i="10"/>
  <c r="AW331" i="10"/>
  <c r="AW332" i="10"/>
  <c r="AW333" i="10"/>
  <c r="AW334" i="10"/>
  <c r="AW335" i="10"/>
  <c r="AW336" i="10"/>
  <c r="AW337" i="10"/>
  <c r="AW338" i="10"/>
  <c r="AW3" i="10"/>
  <c r="AW4" i="10"/>
  <c r="AW5" i="10"/>
  <c r="AW6" i="10"/>
  <c r="AW7" i="10"/>
  <c r="AW8" i="10"/>
  <c r="AW9" i="10"/>
  <c r="AW10" i="10"/>
  <c r="AW11" i="10"/>
  <c r="AW12" i="10"/>
  <c r="AW13" i="10"/>
  <c r="AW14" i="10"/>
  <c r="AW15" i="10"/>
  <c r="AW16" i="10"/>
  <c r="AW17" i="10"/>
  <c r="AW18" i="10"/>
  <c r="AW19" i="10"/>
  <c r="AW20" i="10"/>
  <c r="AW21" i="10"/>
  <c r="AW22" i="10"/>
  <c r="AW23" i="10"/>
  <c r="BG338" i="10"/>
  <c r="BF338" i="10"/>
  <c r="BE338" i="10"/>
  <c r="BC338" i="10"/>
  <c r="BB338" i="10"/>
  <c r="BA338" i="10"/>
  <c r="AZ338" i="10"/>
  <c r="AY338" i="10"/>
  <c r="BD338" i="10" s="1"/>
  <c r="BG337" i="10"/>
  <c r="BF337" i="10"/>
  <c r="BE337" i="10"/>
  <c r="BC337" i="10"/>
  <c r="BB337" i="10"/>
  <c r="BA337" i="10"/>
  <c r="AZ337" i="10"/>
  <c r="AY337" i="10"/>
  <c r="BD337" i="10" s="1"/>
  <c r="BG336" i="10"/>
  <c r="BF336" i="10"/>
  <c r="BE336" i="10"/>
  <c r="BC336" i="10"/>
  <c r="BB336" i="10"/>
  <c r="BA336" i="10"/>
  <c r="AZ336" i="10"/>
  <c r="AY336" i="10"/>
  <c r="BD336" i="10" s="1"/>
  <c r="BG335" i="10"/>
  <c r="BF335" i="10"/>
  <c r="BE335" i="10"/>
  <c r="BC335" i="10"/>
  <c r="BB335" i="10"/>
  <c r="BA335" i="10"/>
  <c r="AZ335" i="10"/>
  <c r="AY335" i="10"/>
  <c r="BD335" i="10" s="1"/>
  <c r="BG334" i="10"/>
  <c r="BF334" i="10"/>
  <c r="BE334" i="10"/>
  <c r="BC334" i="10"/>
  <c r="BB334" i="10"/>
  <c r="BA334" i="10"/>
  <c r="AZ334" i="10"/>
  <c r="AY334" i="10"/>
  <c r="BD334" i="10" s="1"/>
  <c r="BG333" i="10"/>
  <c r="BF333" i="10"/>
  <c r="BE333" i="10"/>
  <c r="BC333" i="10"/>
  <c r="BB333" i="10"/>
  <c r="BA333" i="10"/>
  <c r="AZ333" i="10"/>
  <c r="AY333" i="10"/>
  <c r="BD333" i="10" s="1"/>
  <c r="BG332" i="10"/>
  <c r="BF332" i="10"/>
  <c r="BE332" i="10"/>
  <c r="BC332" i="10"/>
  <c r="BB332" i="10"/>
  <c r="BA332" i="10"/>
  <c r="AZ332" i="10"/>
  <c r="AY332" i="10"/>
  <c r="BD332" i="10" s="1"/>
  <c r="BG331" i="10"/>
  <c r="BF331" i="10"/>
  <c r="BE331" i="10"/>
  <c r="BC331" i="10"/>
  <c r="BB331" i="10"/>
  <c r="BA331" i="10"/>
  <c r="AZ331" i="10"/>
  <c r="AY331" i="10"/>
  <c r="BD331" i="10" s="1"/>
  <c r="BG330" i="10"/>
  <c r="BF330" i="10"/>
  <c r="BE330" i="10"/>
  <c r="BC330" i="10"/>
  <c r="BB330" i="10"/>
  <c r="BA330" i="10"/>
  <c r="AZ330" i="10"/>
  <c r="AY330" i="10"/>
  <c r="BD330" i="10" s="1"/>
  <c r="BG329" i="10"/>
  <c r="BF329" i="10"/>
  <c r="BE329" i="10"/>
  <c r="BC329" i="10"/>
  <c r="BB329" i="10"/>
  <c r="BA329" i="10"/>
  <c r="AZ329" i="10"/>
  <c r="AY329" i="10"/>
  <c r="BD329" i="10" s="1"/>
  <c r="BC10" i="10"/>
  <c r="BC11" i="10"/>
  <c r="BC12" i="10"/>
  <c r="BC13" i="10"/>
  <c r="BC14" i="10"/>
  <c r="BC15" i="10"/>
  <c r="BC16" i="10"/>
  <c r="BC17" i="10"/>
  <c r="BC18" i="10"/>
  <c r="BC19" i="10"/>
  <c r="BC20" i="10"/>
  <c r="BC21" i="10"/>
  <c r="BC22" i="10"/>
  <c r="BC23" i="10"/>
  <c r="BC24" i="10"/>
  <c r="BC25" i="10"/>
  <c r="BC26" i="10"/>
  <c r="BC27" i="10"/>
  <c r="BC28" i="10"/>
  <c r="BC29" i="10"/>
  <c r="BC30" i="10"/>
  <c r="BC31" i="10"/>
  <c r="BC32" i="10"/>
  <c r="BC33" i="10"/>
  <c r="BC34" i="10"/>
  <c r="BC35" i="10"/>
  <c r="BC36" i="10"/>
  <c r="BC37" i="10"/>
  <c r="BC38" i="10"/>
  <c r="BC39" i="10"/>
  <c r="BC40" i="10"/>
  <c r="BC41" i="10"/>
  <c r="BC42" i="10"/>
  <c r="BC43" i="10"/>
  <c r="BC44" i="10"/>
  <c r="BC45" i="10"/>
  <c r="BC46" i="10"/>
  <c r="BC47" i="10"/>
  <c r="BC48" i="10"/>
  <c r="BC49" i="10"/>
  <c r="BC50" i="10"/>
  <c r="BC51" i="10"/>
  <c r="BC52" i="10"/>
  <c r="BC53" i="10"/>
  <c r="BC54" i="10"/>
  <c r="BC55" i="10"/>
  <c r="BC56" i="10"/>
  <c r="BC57" i="10"/>
  <c r="BC58" i="10"/>
  <c r="BC59" i="10"/>
  <c r="BC60" i="10"/>
  <c r="BC61" i="10"/>
  <c r="BC62" i="10"/>
  <c r="BC63" i="10"/>
  <c r="BC64" i="10"/>
  <c r="BC65" i="10"/>
  <c r="BC66" i="10"/>
  <c r="BC67" i="10"/>
  <c r="BC68" i="10"/>
  <c r="BC69" i="10"/>
  <c r="BC70" i="10"/>
  <c r="BC71" i="10"/>
  <c r="BC72" i="10"/>
  <c r="BC73" i="10"/>
  <c r="BC74" i="10"/>
  <c r="BC75" i="10"/>
  <c r="BC76" i="10"/>
  <c r="BC77" i="10"/>
  <c r="BC78" i="10"/>
  <c r="BC79" i="10"/>
  <c r="BC80" i="10"/>
  <c r="BC81" i="10"/>
  <c r="BC82" i="10"/>
  <c r="BC83" i="10"/>
  <c r="BC84" i="10"/>
  <c r="BC85" i="10"/>
  <c r="BC86" i="10"/>
  <c r="BC87" i="10"/>
  <c r="BC88" i="10"/>
  <c r="BC89" i="10"/>
  <c r="BC90" i="10"/>
  <c r="BC91" i="10"/>
  <c r="BC92" i="10"/>
  <c r="BC93" i="10"/>
  <c r="BC94" i="10"/>
  <c r="BC95" i="10"/>
  <c r="BC96" i="10"/>
  <c r="BC97" i="10"/>
  <c r="BC98" i="10"/>
  <c r="BC99" i="10"/>
  <c r="BC100" i="10"/>
  <c r="BC101" i="10"/>
  <c r="BC102" i="10"/>
  <c r="BC103" i="10"/>
  <c r="BC104" i="10"/>
  <c r="BC105" i="10"/>
  <c r="BC106" i="10"/>
  <c r="BC107" i="10"/>
  <c r="BC108" i="10"/>
  <c r="BC109" i="10"/>
  <c r="BC110" i="10"/>
  <c r="BC111" i="10"/>
  <c r="BC112" i="10"/>
  <c r="BC113" i="10"/>
  <c r="BC114" i="10"/>
  <c r="BC115" i="10"/>
  <c r="BC116" i="10"/>
  <c r="BC117" i="10"/>
  <c r="BC118" i="10"/>
  <c r="BC119" i="10"/>
  <c r="BC120" i="10"/>
  <c r="BC121" i="10"/>
  <c r="BC122" i="10"/>
  <c r="BC123" i="10"/>
  <c r="BC124" i="10"/>
  <c r="BC125" i="10"/>
  <c r="BC126" i="10"/>
  <c r="BC127" i="10"/>
  <c r="BC128" i="10"/>
  <c r="BC129" i="10"/>
  <c r="BC130" i="10"/>
  <c r="BC131" i="10"/>
  <c r="BC132" i="10"/>
  <c r="BC133" i="10"/>
  <c r="BC134" i="10"/>
  <c r="BC135" i="10"/>
  <c r="BC136" i="10"/>
  <c r="BC137" i="10"/>
  <c r="BC138" i="10"/>
  <c r="BC139" i="10"/>
  <c r="BC140" i="10"/>
  <c r="BC141" i="10"/>
  <c r="BC142" i="10"/>
  <c r="BC143" i="10"/>
  <c r="BC144" i="10"/>
  <c r="BC145" i="10"/>
  <c r="BC146" i="10"/>
  <c r="BC147" i="10"/>
  <c r="BC148" i="10"/>
  <c r="BC149" i="10"/>
  <c r="BC150" i="10"/>
  <c r="BC151" i="10"/>
  <c r="BC152" i="10"/>
  <c r="BC153" i="10"/>
  <c r="BC154" i="10"/>
  <c r="BC155" i="10"/>
  <c r="BC156" i="10"/>
  <c r="BC157" i="10"/>
  <c r="BC158" i="10"/>
  <c r="BC159" i="10"/>
  <c r="BC160" i="10"/>
  <c r="BC161" i="10"/>
  <c r="BC162" i="10"/>
  <c r="BC163" i="10"/>
  <c r="BC164" i="10"/>
  <c r="BC165" i="10"/>
  <c r="BC166" i="10"/>
  <c r="BC167" i="10"/>
  <c r="BC168" i="10"/>
  <c r="BC169" i="10"/>
  <c r="BC170" i="10"/>
  <c r="BC171" i="10"/>
  <c r="BC172" i="10"/>
  <c r="BC173" i="10"/>
  <c r="BC174" i="10"/>
  <c r="BC175" i="10"/>
  <c r="BC176" i="10"/>
  <c r="BC177" i="10"/>
  <c r="BC178" i="10"/>
  <c r="BC179" i="10"/>
  <c r="BC180" i="10"/>
  <c r="BC181" i="10"/>
  <c r="BC182" i="10"/>
  <c r="BC183" i="10"/>
  <c r="BC184" i="10"/>
  <c r="BC185" i="10"/>
  <c r="BC186" i="10"/>
  <c r="BC187" i="10"/>
  <c r="BC188" i="10"/>
  <c r="BC189" i="10"/>
  <c r="BC190" i="10"/>
  <c r="BC191" i="10"/>
  <c r="BC192" i="10"/>
  <c r="BC193" i="10"/>
  <c r="BC194" i="10"/>
  <c r="BC195" i="10"/>
  <c r="BC196" i="10"/>
  <c r="BC197" i="10"/>
  <c r="BC198" i="10"/>
  <c r="BC199" i="10"/>
  <c r="BC200" i="10"/>
  <c r="BC201" i="10"/>
  <c r="BC202" i="10"/>
  <c r="BC203" i="10"/>
  <c r="BC204" i="10"/>
  <c r="BC205" i="10"/>
  <c r="BC206" i="10"/>
  <c r="BC207" i="10"/>
  <c r="BC208" i="10"/>
  <c r="BC209" i="10"/>
  <c r="BC210" i="10"/>
  <c r="BC211" i="10"/>
  <c r="BC212" i="10"/>
  <c r="BC213" i="10"/>
  <c r="BC214" i="10"/>
  <c r="BC215" i="10"/>
  <c r="BC216" i="10"/>
  <c r="BC217" i="10"/>
  <c r="BC218" i="10"/>
  <c r="BC219" i="10"/>
  <c r="BC220" i="10"/>
  <c r="BC221" i="10"/>
  <c r="BC222" i="10"/>
  <c r="BC223" i="10"/>
  <c r="BC224" i="10"/>
  <c r="BC225" i="10"/>
  <c r="BC226" i="10"/>
  <c r="BC227" i="10"/>
  <c r="BC228" i="10"/>
  <c r="BC229" i="10"/>
  <c r="BC230" i="10"/>
  <c r="BC231" i="10"/>
  <c r="BC232" i="10"/>
  <c r="BC233" i="10"/>
  <c r="BC234" i="10"/>
  <c r="BC235" i="10"/>
  <c r="BC236" i="10"/>
  <c r="BC237" i="10"/>
  <c r="BC238" i="10"/>
  <c r="BC239" i="10"/>
  <c r="BC240" i="10"/>
  <c r="BC241" i="10"/>
  <c r="BC242" i="10"/>
  <c r="BC243" i="10"/>
  <c r="BC244" i="10"/>
  <c r="BC245" i="10"/>
  <c r="BC246" i="10"/>
  <c r="BC247" i="10"/>
  <c r="BC248" i="10"/>
  <c r="BC249" i="10"/>
  <c r="BC250" i="10"/>
  <c r="BC251" i="10"/>
  <c r="BC252" i="10"/>
  <c r="BC253" i="10"/>
  <c r="BC254" i="10"/>
  <c r="BC255" i="10"/>
  <c r="BC256" i="10"/>
  <c r="BC257" i="10"/>
  <c r="BC258" i="10"/>
  <c r="BC259" i="10"/>
  <c r="BC260" i="10"/>
  <c r="BC261" i="10"/>
  <c r="BC262" i="10"/>
  <c r="BC263" i="10"/>
  <c r="BC264" i="10"/>
  <c r="BC265" i="10"/>
  <c r="BC266" i="10"/>
  <c r="BC267" i="10"/>
  <c r="BC268" i="10"/>
  <c r="BC269" i="10"/>
  <c r="BC270" i="10"/>
  <c r="BC271" i="10"/>
  <c r="BC272" i="10"/>
  <c r="BC273" i="10"/>
  <c r="BC274" i="10"/>
  <c r="BC275" i="10"/>
  <c r="BC276" i="10"/>
  <c r="BC277" i="10"/>
  <c r="BC278" i="10"/>
  <c r="BC279" i="10"/>
  <c r="BC280" i="10"/>
  <c r="BC281" i="10"/>
  <c r="BC282" i="10"/>
  <c r="BC283" i="10"/>
  <c r="BC284" i="10"/>
  <c r="BC285" i="10"/>
  <c r="BC286" i="10"/>
  <c r="BC287" i="10"/>
  <c r="BC288" i="10"/>
  <c r="BC289" i="10"/>
  <c r="BC290" i="10"/>
  <c r="BC291" i="10"/>
  <c r="BC292" i="10"/>
  <c r="BC293" i="10"/>
  <c r="BC294" i="10"/>
  <c r="BC295" i="10"/>
  <c r="BC296" i="10"/>
  <c r="BC297" i="10"/>
  <c r="BC298" i="10"/>
  <c r="BC299" i="10"/>
  <c r="BC300" i="10"/>
  <c r="BC301" i="10"/>
  <c r="BC302" i="10"/>
  <c r="BC303" i="10"/>
  <c r="BC304" i="10"/>
  <c r="BC305" i="10"/>
  <c r="BC306" i="10"/>
  <c r="BC307" i="10"/>
  <c r="BC308" i="10"/>
  <c r="BC309" i="10"/>
  <c r="BC310" i="10"/>
  <c r="BC311" i="10"/>
  <c r="BC312" i="10"/>
  <c r="BC313" i="10"/>
  <c r="BC314" i="10"/>
  <c r="BC315" i="10"/>
  <c r="BC316" i="10"/>
  <c r="BC317" i="10"/>
  <c r="BC318" i="10"/>
  <c r="BC319" i="10"/>
  <c r="BC320" i="10"/>
  <c r="BC321" i="10"/>
  <c r="BC322" i="10"/>
  <c r="BC323" i="10"/>
  <c r="BC324" i="10"/>
  <c r="BC325" i="10"/>
  <c r="BC326" i="10"/>
  <c r="BC327" i="10"/>
  <c r="BC328" i="10"/>
  <c r="BC3" i="10"/>
  <c r="BC4" i="10"/>
  <c r="BC5" i="10"/>
  <c r="BC6" i="10"/>
  <c r="BC7" i="10"/>
  <c r="BC8" i="10"/>
  <c r="BC9" i="10"/>
  <c r="BE2" i="10"/>
  <c r="AY319" i="10"/>
  <c r="BD319" i="10" s="1"/>
  <c r="BG328" i="10"/>
  <c r="BF328" i="10"/>
  <c r="BE328" i="10"/>
  <c r="BB328" i="10"/>
  <c r="BA328" i="10"/>
  <c r="AZ328" i="10"/>
  <c r="AY328" i="10"/>
  <c r="BD328" i="10" s="1"/>
  <c r="BG327" i="10"/>
  <c r="BF327" i="10"/>
  <c r="BE327" i="10"/>
  <c r="BB327" i="10"/>
  <c r="BA327" i="10"/>
  <c r="AZ327" i="10"/>
  <c r="AY327" i="10"/>
  <c r="BD327" i="10" s="1"/>
  <c r="BG326" i="10"/>
  <c r="BF326" i="10"/>
  <c r="BE326" i="10"/>
  <c r="BB326" i="10"/>
  <c r="BA326" i="10"/>
  <c r="AZ326" i="10"/>
  <c r="AY326" i="10"/>
  <c r="BD326" i="10" s="1"/>
  <c r="BG325" i="10"/>
  <c r="BF325" i="10"/>
  <c r="BE325" i="10"/>
  <c r="BB325" i="10"/>
  <c r="BA325" i="10"/>
  <c r="AZ325" i="10"/>
  <c r="AY325" i="10"/>
  <c r="BD325" i="10" s="1"/>
  <c r="BG324" i="10"/>
  <c r="BF324" i="10"/>
  <c r="BE324" i="10"/>
  <c r="BB324" i="10"/>
  <c r="BA324" i="10"/>
  <c r="AZ324" i="10"/>
  <c r="AY324" i="10"/>
  <c r="BD324" i="10" s="1"/>
  <c r="BG323" i="10"/>
  <c r="BF323" i="10"/>
  <c r="BE323" i="10"/>
  <c r="BB323" i="10"/>
  <c r="BA323" i="10"/>
  <c r="AZ323" i="10"/>
  <c r="AY323" i="10"/>
  <c r="BD323" i="10" s="1"/>
  <c r="BG322" i="10"/>
  <c r="BF322" i="10"/>
  <c r="BE322" i="10"/>
  <c r="BB322" i="10"/>
  <c r="BA322" i="10"/>
  <c r="AZ322" i="10"/>
  <c r="AY322" i="10"/>
  <c r="BD322" i="10" s="1"/>
  <c r="BG321" i="10"/>
  <c r="BF321" i="10"/>
  <c r="BE321" i="10"/>
  <c r="BB321" i="10"/>
  <c r="BA321" i="10"/>
  <c r="AZ321" i="10"/>
  <c r="AY321" i="10"/>
  <c r="BD321" i="10" s="1"/>
  <c r="BG320" i="10"/>
  <c r="BF320" i="10"/>
  <c r="BE320" i="10"/>
  <c r="BB320" i="10"/>
  <c r="BA320" i="10"/>
  <c r="AZ320" i="10"/>
  <c r="AY320" i="10"/>
  <c r="BD320" i="10" s="1"/>
  <c r="BG319" i="10"/>
  <c r="BF319" i="10"/>
  <c r="BE319" i="10"/>
  <c r="BB319" i="10"/>
  <c r="BA319" i="10"/>
  <c r="AZ319" i="10"/>
  <c r="BG318" i="10"/>
  <c r="BF318" i="10"/>
  <c r="BE318" i="10"/>
  <c r="BB318" i="10"/>
  <c r="BA318" i="10"/>
  <c r="AZ318" i="10"/>
  <c r="AY318" i="10"/>
  <c r="BD318" i="10" s="1"/>
  <c r="BE11" i="10"/>
  <c r="BE12" i="10"/>
  <c r="BE13" i="10"/>
  <c r="BE14" i="10"/>
  <c r="BE15" i="10"/>
  <c r="BE16" i="10"/>
  <c r="BE17" i="10"/>
  <c r="BE18" i="10"/>
  <c r="BE19" i="10"/>
  <c r="BE20" i="10"/>
  <c r="BE21" i="10"/>
  <c r="BE22" i="10"/>
  <c r="BE23" i="10"/>
  <c r="BE24" i="10"/>
  <c r="BE25" i="10"/>
  <c r="BE26" i="10"/>
  <c r="BE27" i="10"/>
  <c r="BE28" i="10"/>
  <c r="BE29" i="10"/>
  <c r="BE30" i="10"/>
  <c r="BE31" i="10"/>
  <c r="BE32" i="10"/>
  <c r="BE33" i="10"/>
  <c r="BE34" i="10"/>
  <c r="BE35" i="10"/>
  <c r="BE36" i="10"/>
  <c r="BE37" i="10"/>
  <c r="BE38" i="10"/>
  <c r="BE39" i="10"/>
  <c r="BE40" i="10"/>
  <c r="BE41" i="10"/>
  <c r="BE42" i="10"/>
  <c r="BE43" i="10"/>
  <c r="BE44" i="10"/>
  <c r="BE45" i="10"/>
  <c r="BE46" i="10"/>
  <c r="BE47" i="10"/>
  <c r="BE48" i="10"/>
  <c r="BE49" i="10"/>
  <c r="BE50" i="10"/>
  <c r="BE51" i="10"/>
  <c r="BE52" i="10"/>
  <c r="BE53" i="10"/>
  <c r="BE54" i="10"/>
  <c r="BE55" i="10"/>
  <c r="BE56" i="10"/>
  <c r="BE57" i="10"/>
  <c r="BE58" i="10"/>
  <c r="BE59" i="10"/>
  <c r="BE60" i="10"/>
  <c r="BE61" i="10"/>
  <c r="BE62" i="10"/>
  <c r="BE63" i="10"/>
  <c r="BE64" i="10"/>
  <c r="BE65" i="10"/>
  <c r="BE66" i="10"/>
  <c r="BE67" i="10"/>
  <c r="BE68" i="10"/>
  <c r="BE69" i="10"/>
  <c r="BE70" i="10"/>
  <c r="BE71" i="10"/>
  <c r="BE72" i="10"/>
  <c r="BE73" i="10"/>
  <c r="BE74" i="10"/>
  <c r="BE75" i="10"/>
  <c r="BE76" i="10"/>
  <c r="BE77" i="10"/>
  <c r="BE78" i="10"/>
  <c r="BE79" i="10"/>
  <c r="BE80" i="10"/>
  <c r="BE81" i="10"/>
  <c r="BE82" i="10"/>
  <c r="BE83" i="10"/>
  <c r="BE84" i="10"/>
  <c r="BE85" i="10"/>
  <c r="BE86" i="10"/>
  <c r="BE87" i="10"/>
  <c r="BE88" i="10"/>
  <c r="BE89" i="10"/>
  <c r="BE90" i="10"/>
  <c r="BE91" i="10"/>
  <c r="BE92" i="10"/>
  <c r="BE93" i="10"/>
  <c r="BE94" i="10"/>
  <c r="BE95" i="10"/>
  <c r="BE96" i="10"/>
  <c r="BE97" i="10"/>
  <c r="BE98" i="10"/>
  <c r="BE99" i="10"/>
  <c r="BE100" i="10"/>
  <c r="BE101" i="10"/>
  <c r="BE102" i="10"/>
  <c r="BE103" i="10"/>
  <c r="BE104" i="10"/>
  <c r="BE105" i="10"/>
  <c r="BE106" i="10"/>
  <c r="BE107" i="10"/>
  <c r="BE108" i="10"/>
  <c r="BE109" i="10"/>
  <c r="BE110" i="10"/>
  <c r="BE111" i="10"/>
  <c r="BE112" i="10"/>
  <c r="BE113" i="10"/>
  <c r="BE114" i="10"/>
  <c r="BE115" i="10"/>
  <c r="BE116" i="10"/>
  <c r="BE117" i="10"/>
  <c r="BE118" i="10"/>
  <c r="BE119" i="10"/>
  <c r="BE120" i="10"/>
  <c r="BE121" i="10"/>
  <c r="BE122" i="10"/>
  <c r="BE123" i="10"/>
  <c r="BE124" i="10"/>
  <c r="BE125" i="10"/>
  <c r="BE126" i="10"/>
  <c r="BE127" i="10"/>
  <c r="BE128" i="10"/>
  <c r="BE129" i="10"/>
  <c r="BE130" i="10"/>
  <c r="BE131" i="10"/>
  <c r="BE132" i="10"/>
  <c r="BE133" i="10"/>
  <c r="BE134" i="10"/>
  <c r="BE135" i="10"/>
  <c r="BE136" i="10"/>
  <c r="BE137" i="10"/>
  <c r="BE138" i="10"/>
  <c r="BE139" i="10"/>
  <c r="BE140" i="10"/>
  <c r="BE141" i="10"/>
  <c r="BE142" i="10"/>
  <c r="BE143" i="10"/>
  <c r="BE144" i="10"/>
  <c r="BE145" i="10"/>
  <c r="BE146" i="10"/>
  <c r="BE147" i="10"/>
  <c r="BE148" i="10"/>
  <c r="BE149" i="10"/>
  <c r="BE150" i="10"/>
  <c r="BE151" i="10"/>
  <c r="BE152" i="10"/>
  <c r="BE153" i="10"/>
  <c r="BE154" i="10"/>
  <c r="BE155" i="10"/>
  <c r="BE156" i="10"/>
  <c r="BE157" i="10"/>
  <c r="BE158" i="10"/>
  <c r="BE159" i="10"/>
  <c r="BE160" i="10"/>
  <c r="BE161" i="10"/>
  <c r="BE162" i="10"/>
  <c r="BE163" i="10"/>
  <c r="BE164" i="10"/>
  <c r="BE165" i="10"/>
  <c r="BE166" i="10"/>
  <c r="BE167" i="10"/>
  <c r="BE168" i="10"/>
  <c r="BE169" i="10"/>
  <c r="BE170" i="10"/>
  <c r="BE171" i="10"/>
  <c r="BE172" i="10"/>
  <c r="BE173" i="10"/>
  <c r="BE174" i="10"/>
  <c r="BE175" i="10"/>
  <c r="BE176" i="10"/>
  <c r="BE177" i="10"/>
  <c r="BE178" i="10"/>
  <c r="BE179" i="10"/>
  <c r="BE180" i="10"/>
  <c r="BE181" i="10"/>
  <c r="BE182" i="10"/>
  <c r="BE183" i="10"/>
  <c r="BE184" i="10"/>
  <c r="BE185" i="10"/>
  <c r="BE186" i="10"/>
  <c r="BE187" i="10"/>
  <c r="BE188" i="10"/>
  <c r="BE189" i="10"/>
  <c r="BE190" i="10"/>
  <c r="BE191" i="10"/>
  <c r="BE192" i="10"/>
  <c r="BE193" i="10"/>
  <c r="BE194" i="10"/>
  <c r="BE195" i="10"/>
  <c r="BE196" i="10"/>
  <c r="BE197" i="10"/>
  <c r="BE198" i="10"/>
  <c r="BE199" i="10"/>
  <c r="BE200" i="10"/>
  <c r="BE201" i="10"/>
  <c r="BE202" i="10"/>
  <c r="BE203" i="10"/>
  <c r="BE204" i="10"/>
  <c r="BE205" i="10"/>
  <c r="BE206" i="10"/>
  <c r="BE207" i="10"/>
  <c r="BE208" i="10"/>
  <c r="BE209" i="10"/>
  <c r="BE210" i="10"/>
  <c r="BE211" i="10"/>
  <c r="BE212" i="10"/>
  <c r="BE213" i="10"/>
  <c r="BE214" i="10"/>
  <c r="BE215" i="10"/>
  <c r="BE216" i="10"/>
  <c r="BE217" i="10"/>
  <c r="BE218" i="10"/>
  <c r="BE219" i="10"/>
  <c r="BE220" i="10"/>
  <c r="BE221" i="10"/>
  <c r="BE222" i="10"/>
  <c r="BE223" i="10"/>
  <c r="BE224" i="10"/>
  <c r="BE225" i="10"/>
  <c r="BE226" i="10"/>
  <c r="BE227" i="10"/>
  <c r="BE228" i="10"/>
  <c r="BE229" i="10"/>
  <c r="BE230" i="10"/>
  <c r="BE231" i="10"/>
  <c r="BE232" i="10"/>
  <c r="BE233" i="10"/>
  <c r="BE234" i="10"/>
  <c r="BE235" i="10"/>
  <c r="BE236" i="10"/>
  <c r="BE237" i="10"/>
  <c r="BE238" i="10"/>
  <c r="BE239" i="10"/>
  <c r="BE240" i="10"/>
  <c r="BE241" i="10"/>
  <c r="BE242" i="10"/>
  <c r="BE243" i="10"/>
  <c r="BE244" i="10"/>
  <c r="BE245" i="10"/>
  <c r="BE246" i="10"/>
  <c r="BE247" i="10"/>
  <c r="BE248" i="10"/>
  <c r="BE249" i="10"/>
  <c r="BE250" i="10"/>
  <c r="BE251" i="10"/>
  <c r="BE252" i="10"/>
  <c r="BE253" i="10"/>
  <c r="BE254" i="10"/>
  <c r="BE255" i="10"/>
  <c r="BE256" i="10"/>
  <c r="BE257" i="10"/>
  <c r="BE258" i="10"/>
  <c r="BE259" i="10"/>
  <c r="BE260" i="10"/>
  <c r="BE261" i="10"/>
  <c r="BE262" i="10"/>
  <c r="BE263" i="10"/>
  <c r="BE264" i="10"/>
  <c r="BE265" i="10"/>
  <c r="BE266" i="10"/>
  <c r="BE267" i="10"/>
  <c r="BE268" i="10"/>
  <c r="BE269" i="10"/>
  <c r="BE270" i="10"/>
  <c r="BE271" i="10"/>
  <c r="BE272" i="10"/>
  <c r="BE273" i="10"/>
  <c r="BE274" i="10"/>
  <c r="BE275" i="10"/>
  <c r="BE276" i="10"/>
  <c r="BE277" i="10"/>
  <c r="BE278" i="10"/>
  <c r="BE279" i="10"/>
  <c r="BE280" i="10"/>
  <c r="BE281" i="10"/>
  <c r="BE282" i="10"/>
  <c r="BE283" i="10"/>
  <c r="BE284" i="10"/>
  <c r="BE285" i="10"/>
  <c r="BE286" i="10"/>
  <c r="BE287" i="10"/>
  <c r="BE288" i="10"/>
  <c r="BE289" i="10"/>
  <c r="BE290" i="10"/>
  <c r="BE291" i="10"/>
  <c r="BE292" i="10"/>
  <c r="BE293" i="10"/>
  <c r="BE294" i="10"/>
  <c r="BE295" i="10"/>
  <c r="BE296" i="10"/>
  <c r="BE297" i="10"/>
  <c r="BE298" i="10"/>
  <c r="BE299" i="10"/>
  <c r="BE300" i="10"/>
  <c r="BE301" i="10"/>
  <c r="BE302" i="10"/>
  <c r="BE303" i="10"/>
  <c r="BE304" i="10"/>
  <c r="BE305" i="10"/>
  <c r="BE306" i="10"/>
  <c r="BE307" i="10"/>
  <c r="BE308" i="10"/>
  <c r="BE309" i="10"/>
  <c r="BE310" i="10"/>
  <c r="BE311" i="10"/>
  <c r="BE312" i="10"/>
  <c r="BE313" i="10"/>
  <c r="BE314" i="10"/>
  <c r="BE315" i="10"/>
  <c r="BE316" i="10"/>
  <c r="BE317" i="10"/>
  <c r="BF2" i="10"/>
  <c r="BE3" i="10"/>
  <c r="BE4" i="10"/>
  <c r="BE5" i="10"/>
  <c r="BE6" i="10"/>
  <c r="BE7" i="10"/>
  <c r="BE8" i="10"/>
  <c r="BE9" i="10"/>
  <c r="BE10" i="10"/>
  <c r="BG3" i="10"/>
  <c r="BG4" i="10"/>
  <c r="BG5" i="10"/>
  <c r="BG6" i="10"/>
  <c r="BG7" i="10"/>
  <c r="BG8" i="10"/>
  <c r="BG9" i="10"/>
  <c r="BG10" i="10"/>
  <c r="BG11" i="10"/>
  <c r="BG12" i="10"/>
  <c r="BG13" i="10"/>
  <c r="BG14" i="10"/>
  <c r="BG15" i="10"/>
  <c r="BG16" i="10"/>
  <c r="BG17" i="10"/>
  <c r="BG18" i="10"/>
  <c r="BG19" i="10"/>
  <c r="BG20" i="10"/>
  <c r="BG21" i="10"/>
  <c r="BG22" i="10"/>
  <c r="BG23" i="10"/>
  <c r="BG24" i="10"/>
  <c r="BG25" i="10"/>
  <c r="BG26" i="10"/>
  <c r="BG27" i="10"/>
  <c r="BG28" i="10"/>
  <c r="BG29" i="10"/>
  <c r="BG30" i="10"/>
  <c r="BG31" i="10"/>
  <c r="BG32" i="10"/>
  <c r="BG33" i="10"/>
  <c r="BG34" i="10"/>
  <c r="BG35" i="10"/>
  <c r="BG36" i="10"/>
  <c r="BG37" i="10"/>
  <c r="BG38" i="10"/>
  <c r="BG39" i="10"/>
  <c r="BG40" i="10"/>
  <c r="BG41" i="10"/>
  <c r="BG42" i="10"/>
  <c r="BG43" i="10"/>
  <c r="BG44" i="10"/>
  <c r="BG45" i="10"/>
  <c r="BG46" i="10"/>
  <c r="BG47" i="10"/>
  <c r="BG48" i="10"/>
  <c r="BG49" i="10"/>
  <c r="BG50" i="10"/>
  <c r="BG51" i="10"/>
  <c r="BG52" i="10"/>
  <c r="BG53" i="10"/>
  <c r="BG54" i="10"/>
  <c r="BG55" i="10"/>
  <c r="BG56" i="10"/>
  <c r="BG57" i="10"/>
  <c r="BG58" i="10"/>
  <c r="BG59" i="10"/>
  <c r="BG60" i="10"/>
  <c r="BG61" i="10"/>
  <c r="BG62" i="10"/>
  <c r="BG63" i="10"/>
  <c r="BG64" i="10"/>
  <c r="BG65" i="10"/>
  <c r="BG66" i="10"/>
  <c r="BG67" i="10"/>
  <c r="BG68" i="10"/>
  <c r="BG69" i="10"/>
  <c r="BG70" i="10"/>
  <c r="BG71" i="10"/>
  <c r="BG72" i="10"/>
  <c r="BG73" i="10"/>
  <c r="BG74" i="10"/>
  <c r="BG75" i="10"/>
  <c r="BG76" i="10"/>
  <c r="BG77" i="10"/>
  <c r="BG78" i="10"/>
  <c r="BG79" i="10"/>
  <c r="BG80" i="10"/>
  <c r="BG81" i="10"/>
  <c r="BG82" i="10"/>
  <c r="BG83" i="10"/>
  <c r="BG84" i="10"/>
  <c r="BG85" i="10"/>
  <c r="BG86" i="10"/>
  <c r="BG87" i="10"/>
  <c r="BG88" i="10"/>
  <c r="BG89" i="10"/>
  <c r="BG90" i="10"/>
  <c r="BG91" i="10"/>
  <c r="BG92" i="10"/>
  <c r="BG93" i="10"/>
  <c r="BG94" i="10"/>
  <c r="BG95" i="10"/>
  <c r="BG96" i="10"/>
  <c r="BG97" i="10"/>
  <c r="BG98" i="10"/>
  <c r="BG99" i="10"/>
  <c r="BG100" i="10"/>
  <c r="BG101" i="10"/>
  <c r="BG102" i="10"/>
  <c r="BG103" i="10"/>
  <c r="BG104" i="10"/>
  <c r="BG105" i="10"/>
  <c r="BG106" i="10"/>
  <c r="BG107" i="10"/>
  <c r="BG108" i="10"/>
  <c r="BG109" i="10"/>
  <c r="BG110" i="10"/>
  <c r="BG111" i="10"/>
  <c r="BG112" i="10"/>
  <c r="BG113" i="10"/>
  <c r="BG114" i="10"/>
  <c r="BG115" i="10"/>
  <c r="BG116" i="10"/>
  <c r="BG117" i="10"/>
  <c r="BG118" i="10"/>
  <c r="BG119" i="10"/>
  <c r="BG120" i="10"/>
  <c r="BG121" i="10"/>
  <c r="BG122" i="10"/>
  <c r="BG123" i="10"/>
  <c r="BG124" i="10"/>
  <c r="BG125" i="10"/>
  <c r="BG126" i="10"/>
  <c r="BG127" i="10"/>
  <c r="BG128" i="10"/>
  <c r="BG129" i="10"/>
  <c r="BG130" i="10"/>
  <c r="BG131" i="10"/>
  <c r="BG132" i="10"/>
  <c r="BG133" i="10"/>
  <c r="BG134" i="10"/>
  <c r="BG135" i="10"/>
  <c r="BG136" i="10"/>
  <c r="BG137" i="10"/>
  <c r="BG138" i="10"/>
  <c r="BG139" i="10"/>
  <c r="BG140" i="10"/>
  <c r="BG141" i="10"/>
  <c r="BG142" i="10"/>
  <c r="BG143" i="10"/>
  <c r="BG144" i="10"/>
  <c r="BG145" i="10"/>
  <c r="BG146" i="10"/>
  <c r="BG147" i="10"/>
  <c r="BG148" i="10"/>
  <c r="BG149" i="10"/>
  <c r="BG150" i="10"/>
  <c r="BG151" i="10"/>
  <c r="BG152" i="10"/>
  <c r="BG153" i="10"/>
  <c r="BG154" i="10"/>
  <c r="BG155" i="10"/>
  <c r="BG156" i="10"/>
  <c r="BG157" i="10"/>
  <c r="BG158" i="10"/>
  <c r="BG159" i="10"/>
  <c r="BG160" i="10"/>
  <c r="BG161" i="10"/>
  <c r="BG162" i="10"/>
  <c r="BG163" i="10"/>
  <c r="BG164" i="10"/>
  <c r="BG165" i="10"/>
  <c r="BG166" i="10"/>
  <c r="BG167" i="10"/>
  <c r="BG168" i="10"/>
  <c r="BG169" i="10"/>
  <c r="BG170" i="10"/>
  <c r="BG171" i="10"/>
  <c r="BG172" i="10"/>
  <c r="BG173" i="10"/>
  <c r="BG174" i="10"/>
  <c r="BG175" i="10"/>
  <c r="BG176" i="10"/>
  <c r="BG177" i="10"/>
  <c r="BG178" i="10"/>
  <c r="BG179" i="10"/>
  <c r="BG180" i="10"/>
  <c r="BG181" i="10"/>
  <c r="BG182" i="10"/>
  <c r="BG183" i="10"/>
  <c r="BG184" i="10"/>
  <c r="BG185" i="10"/>
  <c r="BG186" i="10"/>
  <c r="BG187" i="10"/>
  <c r="BG188" i="10"/>
  <c r="BG189" i="10"/>
  <c r="BG190" i="10"/>
  <c r="BG191" i="10"/>
  <c r="BG192" i="10"/>
  <c r="BG193" i="10"/>
  <c r="BG194" i="10"/>
  <c r="BG195" i="10"/>
  <c r="BG196" i="10"/>
  <c r="BG197" i="10"/>
  <c r="BG198" i="10"/>
  <c r="BG199" i="10"/>
  <c r="BG200" i="10"/>
  <c r="BG201" i="10"/>
  <c r="BG202" i="10"/>
  <c r="BG203" i="10"/>
  <c r="BG204" i="10"/>
  <c r="BG205" i="10"/>
  <c r="BG206" i="10"/>
  <c r="BG207" i="10"/>
  <c r="BG208" i="10"/>
  <c r="BG209" i="10"/>
  <c r="BG210" i="10"/>
  <c r="BG211" i="10"/>
  <c r="BG212" i="10"/>
  <c r="BG213" i="10"/>
  <c r="BG214" i="10"/>
  <c r="BG215" i="10"/>
  <c r="BG216" i="10"/>
  <c r="BG217" i="10"/>
  <c r="BG218" i="10"/>
  <c r="BG219" i="10"/>
  <c r="BG220" i="10"/>
  <c r="BG221" i="10"/>
  <c r="BG222" i="10"/>
  <c r="BG223" i="10"/>
  <c r="BG224" i="10"/>
  <c r="BG225" i="10"/>
  <c r="BG226" i="10"/>
  <c r="BG227" i="10"/>
  <c r="BG228" i="10"/>
  <c r="BG229" i="10"/>
  <c r="BG230" i="10"/>
  <c r="BG231" i="10"/>
  <c r="BG232" i="10"/>
  <c r="BG233" i="10"/>
  <c r="BG234" i="10"/>
  <c r="BG235" i="10"/>
  <c r="BG236" i="10"/>
  <c r="BG237" i="10"/>
  <c r="BG238" i="10"/>
  <c r="BG239" i="10"/>
  <c r="BG240" i="10"/>
  <c r="BG241" i="10"/>
  <c r="BG242" i="10"/>
  <c r="BG243" i="10"/>
  <c r="BG244" i="10"/>
  <c r="BG245" i="10"/>
  <c r="BG246" i="10"/>
  <c r="BG247" i="10"/>
  <c r="BG248" i="10"/>
  <c r="BG249" i="10"/>
  <c r="BG250" i="10"/>
  <c r="BG251" i="10"/>
  <c r="BG252" i="10"/>
  <c r="BG253" i="10"/>
  <c r="BG254" i="10"/>
  <c r="BG255" i="10"/>
  <c r="BG256" i="10"/>
  <c r="BG257" i="10"/>
  <c r="BG258" i="10"/>
  <c r="BG259" i="10"/>
  <c r="BG260" i="10"/>
  <c r="BG261" i="10"/>
  <c r="BG262" i="10"/>
  <c r="BG263" i="10"/>
  <c r="BG264" i="10"/>
  <c r="BG265" i="10"/>
  <c r="BG266" i="10"/>
  <c r="BG267" i="10"/>
  <c r="BG268" i="10"/>
  <c r="BG269" i="10"/>
  <c r="BG270" i="10"/>
  <c r="BG271" i="10"/>
  <c r="BG272" i="10"/>
  <c r="BG273" i="10"/>
  <c r="BG274" i="10"/>
  <c r="BG275" i="10"/>
  <c r="BG276" i="10"/>
  <c r="BG277" i="10"/>
  <c r="BG278" i="10"/>
  <c r="BG279" i="10"/>
  <c r="BG280" i="10"/>
  <c r="BG281" i="10"/>
  <c r="BG282" i="10"/>
  <c r="BG283" i="10"/>
  <c r="BG284" i="10"/>
  <c r="BG285" i="10"/>
  <c r="BG286" i="10"/>
  <c r="BG287" i="10"/>
  <c r="BG288" i="10"/>
  <c r="BG289" i="10"/>
  <c r="BG290" i="10"/>
  <c r="BG291" i="10"/>
  <c r="BG292" i="10"/>
  <c r="BG293" i="10"/>
  <c r="BG294" i="10"/>
  <c r="BG295" i="10"/>
  <c r="BG296" i="10"/>
  <c r="BG297" i="10"/>
  <c r="BG298" i="10"/>
  <c r="BG299" i="10"/>
  <c r="BG300" i="10"/>
  <c r="BG301" i="10"/>
  <c r="BG302" i="10"/>
  <c r="BG303" i="10"/>
  <c r="BG304" i="10"/>
  <c r="BG305" i="10"/>
  <c r="BG306" i="10"/>
  <c r="BG307" i="10"/>
  <c r="BG308" i="10"/>
  <c r="BG309" i="10"/>
  <c r="BG310" i="10"/>
  <c r="BG311" i="10"/>
  <c r="BG312" i="10"/>
  <c r="BG313" i="10"/>
  <c r="BG314" i="10"/>
  <c r="BG315" i="10"/>
  <c r="BG316" i="10"/>
  <c r="BG317" i="10"/>
  <c r="BG2" i="10"/>
  <c r="BF21" i="10"/>
  <c r="BF22" i="10"/>
  <c r="BF23" i="10"/>
  <c r="BF24" i="10"/>
  <c r="BF25" i="10"/>
  <c r="BF26" i="10"/>
  <c r="BF27" i="10"/>
  <c r="BF28" i="10"/>
  <c r="BF29" i="10"/>
  <c r="BF30" i="10"/>
  <c r="BF31" i="10"/>
  <c r="BF32" i="10"/>
  <c r="BF33" i="10"/>
  <c r="BF34" i="10"/>
  <c r="BF35" i="10"/>
  <c r="BF36" i="10"/>
  <c r="BF37" i="10"/>
  <c r="BF38" i="10"/>
  <c r="BF39" i="10"/>
  <c r="BF40" i="10"/>
  <c r="BF41" i="10"/>
  <c r="BF42" i="10"/>
  <c r="BF43" i="10"/>
  <c r="BF44" i="10"/>
  <c r="BF45" i="10"/>
  <c r="BF46" i="10"/>
  <c r="BF47" i="10"/>
  <c r="BF48" i="10"/>
  <c r="BF49" i="10"/>
  <c r="BF50" i="10"/>
  <c r="BF51" i="10"/>
  <c r="BF52" i="10"/>
  <c r="BF53" i="10"/>
  <c r="BF54" i="10"/>
  <c r="BF55" i="10"/>
  <c r="BF56" i="10"/>
  <c r="BF57" i="10"/>
  <c r="BF58" i="10"/>
  <c r="BF59" i="10"/>
  <c r="BF60" i="10"/>
  <c r="BF61" i="10"/>
  <c r="BF62" i="10"/>
  <c r="BF63" i="10"/>
  <c r="BF64" i="10"/>
  <c r="BF65" i="10"/>
  <c r="BF66" i="10"/>
  <c r="BF67" i="10"/>
  <c r="BF68" i="10"/>
  <c r="BF69" i="10"/>
  <c r="BF70" i="10"/>
  <c r="BF71" i="10"/>
  <c r="BF72" i="10"/>
  <c r="BF73" i="10"/>
  <c r="BF74" i="10"/>
  <c r="BF75" i="10"/>
  <c r="BF76" i="10"/>
  <c r="BF77" i="10"/>
  <c r="BF78" i="10"/>
  <c r="BF79" i="10"/>
  <c r="BF80" i="10"/>
  <c r="BF81" i="10"/>
  <c r="BF82" i="10"/>
  <c r="BF83" i="10"/>
  <c r="BF84" i="10"/>
  <c r="BF85" i="10"/>
  <c r="BF86" i="10"/>
  <c r="BF87" i="10"/>
  <c r="BF88" i="10"/>
  <c r="BF89" i="10"/>
  <c r="BF90" i="10"/>
  <c r="BF91" i="10"/>
  <c r="BF92" i="10"/>
  <c r="BF93" i="10"/>
  <c r="BF94" i="10"/>
  <c r="BF95" i="10"/>
  <c r="BF96" i="10"/>
  <c r="BF97" i="10"/>
  <c r="BF98" i="10"/>
  <c r="BF99" i="10"/>
  <c r="BF100" i="10"/>
  <c r="BF101" i="10"/>
  <c r="BF102" i="10"/>
  <c r="BF103" i="10"/>
  <c r="BF104" i="10"/>
  <c r="BF105" i="10"/>
  <c r="BF106" i="10"/>
  <c r="BF107" i="10"/>
  <c r="BF108" i="10"/>
  <c r="BF109" i="10"/>
  <c r="BF110" i="10"/>
  <c r="BF111" i="10"/>
  <c r="BF112" i="10"/>
  <c r="BF113" i="10"/>
  <c r="BF114" i="10"/>
  <c r="BF115" i="10"/>
  <c r="BF116" i="10"/>
  <c r="BF117" i="10"/>
  <c r="BF118" i="10"/>
  <c r="BF119" i="10"/>
  <c r="BF120" i="10"/>
  <c r="BF121" i="10"/>
  <c r="BF122" i="10"/>
  <c r="BF123" i="10"/>
  <c r="BF124" i="10"/>
  <c r="BF125" i="10"/>
  <c r="BF126" i="10"/>
  <c r="BF127" i="10"/>
  <c r="BF128" i="10"/>
  <c r="BF129" i="10"/>
  <c r="BF130" i="10"/>
  <c r="BF131" i="10"/>
  <c r="BF132" i="10"/>
  <c r="BF133" i="10"/>
  <c r="BF134" i="10"/>
  <c r="BF135" i="10"/>
  <c r="BF136" i="10"/>
  <c r="BF137" i="10"/>
  <c r="BF138" i="10"/>
  <c r="BF139" i="10"/>
  <c r="BF140" i="10"/>
  <c r="BF141" i="10"/>
  <c r="BF142" i="10"/>
  <c r="BF143" i="10"/>
  <c r="BF144" i="10"/>
  <c r="BF145" i="10"/>
  <c r="BF146" i="10"/>
  <c r="BF147" i="10"/>
  <c r="BF148" i="10"/>
  <c r="BF149" i="10"/>
  <c r="BF150" i="10"/>
  <c r="BF151" i="10"/>
  <c r="BF152" i="10"/>
  <c r="BF153" i="10"/>
  <c r="BF154" i="10"/>
  <c r="BF155" i="10"/>
  <c r="BF156" i="10"/>
  <c r="BF157" i="10"/>
  <c r="BF158" i="10"/>
  <c r="BF159" i="10"/>
  <c r="BF160" i="10"/>
  <c r="BF161" i="10"/>
  <c r="BF162" i="10"/>
  <c r="BF163" i="10"/>
  <c r="BF164" i="10"/>
  <c r="BF165" i="10"/>
  <c r="BF166" i="10"/>
  <c r="BF167" i="10"/>
  <c r="BF168" i="10"/>
  <c r="BF169" i="10"/>
  <c r="BF170" i="10"/>
  <c r="BF171" i="10"/>
  <c r="BF172" i="10"/>
  <c r="BF173" i="10"/>
  <c r="BF174" i="10"/>
  <c r="BF175" i="10"/>
  <c r="BF176" i="10"/>
  <c r="BF177" i="10"/>
  <c r="BF178" i="10"/>
  <c r="BF179" i="10"/>
  <c r="BF180" i="10"/>
  <c r="BF181" i="10"/>
  <c r="BF182" i="10"/>
  <c r="BF183" i="10"/>
  <c r="BF184" i="10"/>
  <c r="BF185" i="10"/>
  <c r="BF186" i="10"/>
  <c r="BF187" i="10"/>
  <c r="BF188" i="10"/>
  <c r="BF189" i="10"/>
  <c r="BF190" i="10"/>
  <c r="BF191" i="10"/>
  <c r="BF192" i="10"/>
  <c r="BF193" i="10"/>
  <c r="BF194" i="10"/>
  <c r="BF195" i="10"/>
  <c r="BF196" i="10"/>
  <c r="BF197" i="10"/>
  <c r="BF198" i="10"/>
  <c r="BF199" i="10"/>
  <c r="BF200" i="10"/>
  <c r="BF201" i="10"/>
  <c r="BF202" i="10"/>
  <c r="BF203" i="10"/>
  <c r="BF204" i="10"/>
  <c r="BF205" i="10"/>
  <c r="BF206" i="10"/>
  <c r="BF207" i="10"/>
  <c r="BF208" i="10"/>
  <c r="BF209" i="10"/>
  <c r="BF210" i="10"/>
  <c r="BF211" i="10"/>
  <c r="BF212" i="10"/>
  <c r="BF213" i="10"/>
  <c r="BF214" i="10"/>
  <c r="BF215" i="10"/>
  <c r="BF216" i="10"/>
  <c r="BF217" i="10"/>
  <c r="BF218" i="10"/>
  <c r="BF219" i="10"/>
  <c r="BF220" i="10"/>
  <c r="BF221" i="10"/>
  <c r="BF222" i="10"/>
  <c r="BF223" i="10"/>
  <c r="BF224" i="10"/>
  <c r="BF225" i="10"/>
  <c r="BF226" i="10"/>
  <c r="BF227" i="10"/>
  <c r="BF228" i="10"/>
  <c r="BF229" i="10"/>
  <c r="BF230" i="10"/>
  <c r="BF231" i="10"/>
  <c r="BF232" i="10"/>
  <c r="BF233" i="10"/>
  <c r="BF234" i="10"/>
  <c r="BF235" i="10"/>
  <c r="BF236" i="10"/>
  <c r="BF237" i="10"/>
  <c r="BF238" i="10"/>
  <c r="BF239" i="10"/>
  <c r="BF240" i="10"/>
  <c r="BF241" i="10"/>
  <c r="BF242" i="10"/>
  <c r="BF243" i="10"/>
  <c r="BF244" i="10"/>
  <c r="BF245" i="10"/>
  <c r="BF246" i="10"/>
  <c r="BF247" i="10"/>
  <c r="BF248" i="10"/>
  <c r="BF249" i="10"/>
  <c r="BF250" i="10"/>
  <c r="BF251" i="10"/>
  <c r="BF252" i="10"/>
  <c r="BF253" i="10"/>
  <c r="BF254" i="10"/>
  <c r="BF255" i="10"/>
  <c r="BF256" i="10"/>
  <c r="BF257" i="10"/>
  <c r="BF258" i="10"/>
  <c r="BF259" i="10"/>
  <c r="BF260" i="10"/>
  <c r="BF261" i="10"/>
  <c r="BF262" i="10"/>
  <c r="BF263" i="10"/>
  <c r="BF264" i="10"/>
  <c r="BF265" i="10"/>
  <c r="BF266" i="10"/>
  <c r="BF267" i="10"/>
  <c r="BF268" i="10"/>
  <c r="BF269" i="10"/>
  <c r="BF270" i="10"/>
  <c r="BF271" i="10"/>
  <c r="BF272" i="10"/>
  <c r="BF273" i="10"/>
  <c r="BF274" i="10"/>
  <c r="BF275" i="10"/>
  <c r="BF276" i="10"/>
  <c r="BF277" i="10"/>
  <c r="BF278" i="10"/>
  <c r="BF279" i="10"/>
  <c r="BF280" i="10"/>
  <c r="BF281" i="10"/>
  <c r="BF282" i="10"/>
  <c r="BF283" i="10"/>
  <c r="BF284" i="10"/>
  <c r="BF285" i="10"/>
  <c r="BF286" i="10"/>
  <c r="BF287" i="10"/>
  <c r="BF288" i="10"/>
  <c r="BF289" i="10"/>
  <c r="BF290" i="10"/>
  <c r="BF291" i="10"/>
  <c r="BF292" i="10"/>
  <c r="BF293" i="10"/>
  <c r="BF294" i="10"/>
  <c r="BF295" i="10"/>
  <c r="BF296" i="10"/>
  <c r="BF297" i="10"/>
  <c r="BF298" i="10"/>
  <c r="BF299" i="10"/>
  <c r="BF300" i="10"/>
  <c r="BF301" i="10"/>
  <c r="BF302" i="10"/>
  <c r="BF303" i="10"/>
  <c r="BF304" i="10"/>
  <c r="BF305" i="10"/>
  <c r="BF306" i="10"/>
  <c r="BF307" i="10"/>
  <c r="BF308" i="10"/>
  <c r="BF309" i="10"/>
  <c r="BF310" i="10"/>
  <c r="BF311" i="10"/>
  <c r="BF312" i="10"/>
  <c r="BF313" i="10"/>
  <c r="BF314" i="10"/>
  <c r="BF315" i="10"/>
  <c r="BF316" i="10"/>
  <c r="BF317" i="10"/>
  <c r="BF11" i="10"/>
  <c r="BF12" i="10"/>
  <c r="BF13" i="10"/>
  <c r="BF14" i="10"/>
  <c r="BF15" i="10"/>
  <c r="BF16" i="10"/>
  <c r="BF17" i="10"/>
  <c r="BF18" i="10"/>
  <c r="BF19" i="10"/>
  <c r="BF20" i="10"/>
  <c r="BF3" i="10"/>
  <c r="BF4" i="10"/>
  <c r="BF5" i="10"/>
  <c r="BF6" i="10"/>
  <c r="BF7" i="10"/>
  <c r="BF8" i="10"/>
  <c r="BF9" i="10"/>
  <c r="BF10" i="10"/>
  <c r="BA3" i="10"/>
  <c r="BA4" i="10"/>
  <c r="BA5" i="10"/>
  <c r="BA6" i="10"/>
  <c r="BA7" i="10"/>
  <c r="BA8" i="10"/>
  <c r="BA9" i="10"/>
  <c r="BA10" i="10"/>
  <c r="BA11" i="10"/>
  <c r="BA12" i="10"/>
  <c r="BA13" i="10"/>
  <c r="BA14" i="10"/>
  <c r="BA15" i="10"/>
  <c r="BA16" i="10"/>
  <c r="BA17" i="10"/>
  <c r="BA18" i="10"/>
  <c r="BA19" i="10"/>
  <c r="BA20" i="10"/>
  <c r="BA21" i="10"/>
  <c r="BA22" i="10"/>
  <c r="BA23" i="10"/>
  <c r="BA24" i="10"/>
  <c r="BA25" i="10"/>
  <c r="BA26" i="10"/>
  <c r="BA27" i="10"/>
  <c r="BA28" i="10"/>
  <c r="BA29" i="10"/>
  <c r="BA30" i="10"/>
  <c r="BA31" i="10"/>
  <c r="BA32" i="10"/>
  <c r="BA33" i="10"/>
  <c r="BA34" i="10"/>
  <c r="BA35" i="10"/>
  <c r="BA36" i="10"/>
  <c r="BA37" i="10"/>
  <c r="BA38" i="10"/>
  <c r="BA39" i="10"/>
  <c r="BA40" i="10"/>
  <c r="BA41" i="10"/>
  <c r="BA42" i="10"/>
  <c r="BA43" i="10"/>
  <c r="BA44" i="10"/>
  <c r="BA45" i="10"/>
  <c r="BA46" i="10"/>
  <c r="BA47" i="10"/>
  <c r="BA48" i="10"/>
  <c r="BA49" i="10"/>
  <c r="BA50" i="10"/>
  <c r="BA51" i="10"/>
  <c r="BA52" i="10"/>
  <c r="BA53" i="10"/>
  <c r="BA54" i="10"/>
  <c r="BA55" i="10"/>
  <c r="BA56" i="10"/>
  <c r="BA57" i="10"/>
  <c r="BA58" i="10"/>
  <c r="BA59" i="10"/>
  <c r="BA60" i="10"/>
  <c r="BA61" i="10"/>
  <c r="BA62" i="10"/>
  <c r="BA63" i="10"/>
  <c r="BA64" i="10"/>
  <c r="BA65" i="10"/>
  <c r="BA66" i="10"/>
  <c r="BA67" i="10"/>
  <c r="BA68" i="10"/>
  <c r="BA69" i="10"/>
  <c r="BA70" i="10"/>
  <c r="BA71" i="10"/>
  <c r="BA72" i="10"/>
  <c r="BA73" i="10"/>
  <c r="BA74" i="10"/>
  <c r="BA75" i="10"/>
  <c r="BA76" i="10"/>
  <c r="BA77" i="10"/>
  <c r="BA78" i="10"/>
  <c r="BA79" i="10"/>
  <c r="BA80" i="10"/>
  <c r="BA81" i="10"/>
  <c r="BA82" i="10"/>
  <c r="BA83" i="10"/>
  <c r="BA84" i="10"/>
  <c r="BA85" i="10"/>
  <c r="BA86" i="10"/>
  <c r="BA87" i="10"/>
  <c r="BA88" i="10"/>
  <c r="BA89" i="10"/>
  <c r="BA90" i="10"/>
  <c r="BA91" i="10"/>
  <c r="BA92" i="10"/>
  <c r="BA93" i="10"/>
  <c r="BA94" i="10"/>
  <c r="BA95" i="10"/>
  <c r="BA96" i="10"/>
  <c r="BA97" i="10"/>
  <c r="BA98" i="10"/>
  <c r="BA99" i="10"/>
  <c r="BA100" i="10"/>
  <c r="BA101" i="10"/>
  <c r="BA102" i="10"/>
  <c r="BA103" i="10"/>
  <c r="BA104" i="10"/>
  <c r="BA105" i="10"/>
  <c r="BA106" i="10"/>
  <c r="BA107" i="10"/>
  <c r="BA108" i="10"/>
  <c r="BA109" i="10"/>
  <c r="BA110" i="10"/>
  <c r="BA111" i="10"/>
  <c r="BA112" i="10"/>
  <c r="BA113" i="10"/>
  <c r="BA114" i="10"/>
  <c r="BA115" i="10"/>
  <c r="BA116" i="10"/>
  <c r="BA117" i="10"/>
  <c r="BA118" i="10"/>
  <c r="BA119" i="10"/>
  <c r="BA120" i="10"/>
  <c r="BA121" i="10"/>
  <c r="BA122" i="10"/>
  <c r="BA123" i="10"/>
  <c r="BA124" i="10"/>
  <c r="BA125" i="10"/>
  <c r="BA126" i="10"/>
  <c r="BA127" i="10"/>
  <c r="BA128" i="10"/>
  <c r="BA129" i="10"/>
  <c r="BA130" i="10"/>
  <c r="BA131" i="10"/>
  <c r="BA132" i="10"/>
  <c r="BA133" i="10"/>
  <c r="BA134" i="10"/>
  <c r="BA135" i="10"/>
  <c r="BA136" i="10"/>
  <c r="BA137" i="10"/>
  <c r="BA138" i="10"/>
  <c r="BA139" i="10"/>
  <c r="BA140" i="10"/>
  <c r="BA141" i="10"/>
  <c r="BA142" i="10"/>
  <c r="BA143" i="10"/>
  <c r="BA144" i="10"/>
  <c r="BA145" i="10"/>
  <c r="BA146" i="10"/>
  <c r="BA147" i="10"/>
  <c r="BA148" i="10"/>
  <c r="BA149" i="10"/>
  <c r="BA150" i="10"/>
  <c r="BA151" i="10"/>
  <c r="BA152" i="10"/>
  <c r="BA153" i="10"/>
  <c r="BA154" i="10"/>
  <c r="BA155" i="10"/>
  <c r="BA156" i="10"/>
  <c r="BA157" i="10"/>
  <c r="BA158" i="10"/>
  <c r="BA159" i="10"/>
  <c r="BA160" i="10"/>
  <c r="BA161" i="10"/>
  <c r="BA162" i="10"/>
  <c r="BA163" i="10"/>
  <c r="BA164" i="10"/>
  <c r="BA165" i="10"/>
  <c r="BA166" i="10"/>
  <c r="BA167" i="10"/>
  <c r="BA168" i="10"/>
  <c r="BA169" i="10"/>
  <c r="BA170" i="10"/>
  <c r="BA171" i="10"/>
  <c r="BA172" i="10"/>
  <c r="BA173" i="10"/>
  <c r="BA174" i="10"/>
  <c r="BA175" i="10"/>
  <c r="BA176" i="10"/>
  <c r="BA177" i="10"/>
  <c r="BA178" i="10"/>
  <c r="BA179" i="10"/>
  <c r="BA180" i="10"/>
  <c r="BA181" i="10"/>
  <c r="BA182" i="10"/>
  <c r="BA183" i="10"/>
  <c r="BA184" i="10"/>
  <c r="BA185" i="10"/>
  <c r="BA186" i="10"/>
  <c r="BA187" i="10"/>
  <c r="BA188" i="10"/>
  <c r="BA189" i="10"/>
  <c r="BA190" i="10"/>
  <c r="BA191" i="10"/>
  <c r="BA192" i="10"/>
  <c r="BA193" i="10"/>
  <c r="BA194" i="10"/>
  <c r="BA195" i="10"/>
  <c r="BA196" i="10"/>
  <c r="BA197" i="10"/>
  <c r="BA198" i="10"/>
  <c r="BA199" i="10"/>
  <c r="BA200" i="10"/>
  <c r="BA201" i="10"/>
  <c r="BA202" i="10"/>
  <c r="BA203" i="10"/>
  <c r="BA204" i="10"/>
  <c r="BA205" i="10"/>
  <c r="BA206" i="10"/>
  <c r="BA207" i="10"/>
  <c r="BA208" i="10"/>
  <c r="BA209" i="10"/>
  <c r="BA210" i="10"/>
  <c r="BA211" i="10"/>
  <c r="BA212" i="10"/>
  <c r="BA213" i="10"/>
  <c r="BA214" i="10"/>
  <c r="BA215" i="10"/>
  <c r="BA216" i="10"/>
  <c r="BA217" i="10"/>
  <c r="BA218" i="10"/>
  <c r="BA219" i="10"/>
  <c r="BA220" i="10"/>
  <c r="BA221" i="10"/>
  <c r="BA222" i="10"/>
  <c r="BA223" i="10"/>
  <c r="BA224" i="10"/>
  <c r="BA225" i="10"/>
  <c r="BA226" i="10"/>
  <c r="BA227" i="10"/>
  <c r="BA228" i="10"/>
  <c r="BA229" i="10"/>
  <c r="BA230" i="10"/>
  <c r="BA231" i="10"/>
  <c r="BA232" i="10"/>
  <c r="BA233" i="10"/>
  <c r="BA234" i="10"/>
  <c r="BA235" i="10"/>
  <c r="BA236" i="10"/>
  <c r="BA237" i="10"/>
  <c r="BA238" i="10"/>
  <c r="BA239" i="10"/>
  <c r="BA240" i="10"/>
  <c r="BA241" i="10"/>
  <c r="BA242" i="10"/>
  <c r="BA243" i="10"/>
  <c r="BA244" i="10"/>
  <c r="BA245" i="10"/>
  <c r="BA246" i="10"/>
  <c r="BA247" i="10"/>
  <c r="BA248" i="10"/>
  <c r="BA249" i="10"/>
  <c r="BA250" i="10"/>
  <c r="BA251" i="10"/>
  <c r="BA252" i="10"/>
  <c r="BA253" i="10"/>
  <c r="BA254" i="10"/>
  <c r="BA255" i="10"/>
  <c r="BA256" i="10"/>
  <c r="BA257" i="10"/>
  <c r="BA258" i="10"/>
  <c r="BA259" i="10"/>
  <c r="BA260" i="10"/>
  <c r="BA261" i="10"/>
  <c r="BA262" i="10"/>
  <c r="BA263" i="10"/>
  <c r="BA264" i="10"/>
  <c r="BA265" i="10"/>
  <c r="BA266" i="10"/>
  <c r="BA267" i="10"/>
  <c r="BA268" i="10"/>
  <c r="BA269" i="10"/>
  <c r="BA270" i="10"/>
  <c r="BA271" i="10"/>
  <c r="BA272" i="10"/>
  <c r="BA273" i="10"/>
  <c r="BA274" i="10"/>
  <c r="BA275" i="10"/>
  <c r="BA276" i="10"/>
  <c r="BA277" i="10"/>
  <c r="BA278" i="10"/>
  <c r="BA279" i="10"/>
  <c r="BA280" i="10"/>
  <c r="BA281" i="10"/>
  <c r="BA282" i="10"/>
  <c r="BA283" i="10"/>
  <c r="BA284" i="10"/>
  <c r="BA285" i="10"/>
  <c r="BA286" i="10"/>
  <c r="BA287" i="10"/>
  <c r="BA288" i="10"/>
  <c r="BA289" i="10"/>
  <c r="BA290" i="10"/>
  <c r="BA291" i="10"/>
  <c r="BA292" i="10"/>
  <c r="BA293" i="10"/>
  <c r="BA294" i="10"/>
  <c r="BA295" i="10"/>
  <c r="BA296" i="10"/>
  <c r="BA297" i="10"/>
  <c r="BA298" i="10"/>
  <c r="BA299" i="10"/>
  <c r="BA300" i="10"/>
  <c r="BA301" i="10"/>
  <c r="BA302" i="10"/>
  <c r="BA303" i="10"/>
  <c r="BA304" i="10"/>
  <c r="BA305" i="10"/>
  <c r="BA306" i="10"/>
  <c r="BA307" i="10"/>
  <c r="BA308" i="10"/>
  <c r="BA309" i="10"/>
  <c r="BA310" i="10"/>
  <c r="BA311" i="10"/>
  <c r="BA312" i="10"/>
  <c r="BA313" i="10"/>
  <c r="BA314" i="10"/>
  <c r="BA315" i="10"/>
  <c r="BA316" i="10"/>
  <c r="BA317" i="10"/>
  <c r="BA2" i="10"/>
  <c r="AY10" i="10"/>
  <c r="BD10" i="10" s="1"/>
  <c r="AY11" i="10"/>
  <c r="BD11" i="10" s="1"/>
  <c r="AY12" i="10"/>
  <c r="BD12" i="10" s="1"/>
  <c r="AY13" i="10"/>
  <c r="BD13" i="10" s="1"/>
  <c r="AY14" i="10"/>
  <c r="BD14" i="10" s="1"/>
  <c r="AY15" i="10"/>
  <c r="BD15" i="10" s="1"/>
  <c r="AY16" i="10"/>
  <c r="BD16" i="10" s="1"/>
  <c r="AY17" i="10"/>
  <c r="BD17" i="10" s="1"/>
  <c r="AY18" i="10"/>
  <c r="BD18" i="10" s="1"/>
  <c r="AY19" i="10"/>
  <c r="BD19" i="10" s="1"/>
  <c r="AY20" i="10"/>
  <c r="BD20" i="10" s="1"/>
  <c r="AY21" i="10"/>
  <c r="BD21" i="10" s="1"/>
  <c r="AY22" i="10"/>
  <c r="BD22" i="10" s="1"/>
  <c r="AY23" i="10"/>
  <c r="BD23" i="10" s="1"/>
  <c r="AY24" i="10"/>
  <c r="BD24" i="10" s="1"/>
  <c r="AY25" i="10"/>
  <c r="BD25" i="10" s="1"/>
  <c r="AY26" i="10"/>
  <c r="BD26" i="10" s="1"/>
  <c r="AY27" i="10"/>
  <c r="BD27" i="10" s="1"/>
  <c r="AY28" i="10"/>
  <c r="BD28" i="10" s="1"/>
  <c r="AY29" i="10"/>
  <c r="BD29" i="10" s="1"/>
  <c r="AY30" i="10"/>
  <c r="BD30" i="10" s="1"/>
  <c r="AY31" i="10"/>
  <c r="BD31" i="10" s="1"/>
  <c r="AY32" i="10"/>
  <c r="BD32" i="10" s="1"/>
  <c r="AY33" i="10"/>
  <c r="BD33" i="10" s="1"/>
  <c r="AY34" i="10"/>
  <c r="BD34" i="10" s="1"/>
  <c r="AY35" i="10"/>
  <c r="BD35" i="10" s="1"/>
  <c r="AY36" i="10"/>
  <c r="BD36" i="10" s="1"/>
  <c r="AY37" i="10"/>
  <c r="BD37" i="10" s="1"/>
  <c r="AY38" i="10"/>
  <c r="BD38" i="10" s="1"/>
  <c r="AY39" i="10"/>
  <c r="BD39" i="10" s="1"/>
  <c r="AY40" i="10"/>
  <c r="BD40" i="10" s="1"/>
  <c r="AY41" i="10"/>
  <c r="BD41" i="10" s="1"/>
  <c r="AY42" i="10"/>
  <c r="BD42" i="10" s="1"/>
  <c r="AY43" i="10"/>
  <c r="BD43" i="10" s="1"/>
  <c r="AY44" i="10"/>
  <c r="BD44" i="10" s="1"/>
  <c r="AY45" i="10"/>
  <c r="BD45" i="10" s="1"/>
  <c r="AY46" i="10"/>
  <c r="BD46" i="10" s="1"/>
  <c r="AY47" i="10"/>
  <c r="BD47" i="10" s="1"/>
  <c r="AY48" i="10"/>
  <c r="BD48" i="10" s="1"/>
  <c r="AY49" i="10"/>
  <c r="BD49" i="10" s="1"/>
  <c r="AY50" i="10"/>
  <c r="BD50" i="10" s="1"/>
  <c r="AY51" i="10"/>
  <c r="BD51" i="10" s="1"/>
  <c r="AY52" i="10"/>
  <c r="BD52" i="10" s="1"/>
  <c r="AY53" i="10"/>
  <c r="BD53" i="10" s="1"/>
  <c r="AY54" i="10"/>
  <c r="BD54" i="10" s="1"/>
  <c r="AY55" i="10"/>
  <c r="BD55" i="10" s="1"/>
  <c r="AY56" i="10"/>
  <c r="BD56" i="10" s="1"/>
  <c r="AY57" i="10"/>
  <c r="BD57" i="10" s="1"/>
  <c r="AY58" i="10"/>
  <c r="BD58" i="10" s="1"/>
  <c r="AY59" i="10"/>
  <c r="BD59" i="10" s="1"/>
  <c r="AY60" i="10"/>
  <c r="BD60" i="10" s="1"/>
  <c r="AY61" i="10"/>
  <c r="BD61" i="10" s="1"/>
  <c r="AY62" i="10"/>
  <c r="BD62" i="10" s="1"/>
  <c r="AY63" i="10"/>
  <c r="BD63" i="10" s="1"/>
  <c r="AY64" i="10"/>
  <c r="BD64" i="10" s="1"/>
  <c r="AY65" i="10"/>
  <c r="BD65" i="10" s="1"/>
  <c r="AY66" i="10"/>
  <c r="BD66" i="10" s="1"/>
  <c r="AY67" i="10"/>
  <c r="BD67" i="10" s="1"/>
  <c r="AY68" i="10"/>
  <c r="BD68" i="10" s="1"/>
  <c r="AY69" i="10"/>
  <c r="BD69" i="10" s="1"/>
  <c r="AY70" i="10"/>
  <c r="BD70" i="10" s="1"/>
  <c r="AY71" i="10"/>
  <c r="BD71" i="10" s="1"/>
  <c r="AY72" i="10"/>
  <c r="BD72" i="10" s="1"/>
  <c r="AY73" i="10"/>
  <c r="BD73" i="10" s="1"/>
  <c r="AY74" i="10"/>
  <c r="BD74" i="10" s="1"/>
  <c r="AY75" i="10"/>
  <c r="BD75" i="10" s="1"/>
  <c r="AY76" i="10"/>
  <c r="BD76" i="10" s="1"/>
  <c r="AY77" i="10"/>
  <c r="BD77" i="10" s="1"/>
  <c r="AY78" i="10"/>
  <c r="BD78" i="10" s="1"/>
  <c r="AY79" i="10"/>
  <c r="BD79" i="10" s="1"/>
  <c r="AY80" i="10"/>
  <c r="BD80" i="10" s="1"/>
  <c r="AY81" i="10"/>
  <c r="BD81" i="10" s="1"/>
  <c r="AY82" i="10"/>
  <c r="BD82" i="10" s="1"/>
  <c r="AY83" i="10"/>
  <c r="BD83" i="10" s="1"/>
  <c r="AY84" i="10"/>
  <c r="BD84" i="10" s="1"/>
  <c r="AY85" i="10"/>
  <c r="BD85" i="10" s="1"/>
  <c r="AY86" i="10"/>
  <c r="BD86" i="10" s="1"/>
  <c r="AY87" i="10"/>
  <c r="BD87" i="10" s="1"/>
  <c r="AY88" i="10"/>
  <c r="BD88" i="10" s="1"/>
  <c r="AY89" i="10"/>
  <c r="BD89" i="10" s="1"/>
  <c r="AY90" i="10"/>
  <c r="BD90" i="10" s="1"/>
  <c r="AY91" i="10"/>
  <c r="BD91" i="10" s="1"/>
  <c r="AY92" i="10"/>
  <c r="BD92" i="10" s="1"/>
  <c r="AY93" i="10"/>
  <c r="BD93" i="10" s="1"/>
  <c r="AY94" i="10"/>
  <c r="BD94" i="10" s="1"/>
  <c r="AY95" i="10"/>
  <c r="BD95" i="10" s="1"/>
  <c r="AY96" i="10"/>
  <c r="BD96" i="10" s="1"/>
  <c r="AY97" i="10"/>
  <c r="BD97" i="10" s="1"/>
  <c r="AY98" i="10"/>
  <c r="BD98" i="10" s="1"/>
  <c r="AY99" i="10"/>
  <c r="BD99" i="10" s="1"/>
  <c r="AY100" i="10"/>
  <c r="BD100" i="10" s="1"/>
  <c r="AY101" i="10"/>
  <c r="BD101" i="10" s="1"/>
  <c r="AY102" i="10"/>
  <c r="BD102" i="10" s="1"/>
  <c r="AY103" i="10"/>
  <c r="BD103" i="10" s="1"/>
  <c r="AY104" i="10"/>
  <c r="BD104" i="10" s="1"/>
  <c r="AY105" i="10"/>
  <c r="BD105" i="10" s="1"/>
  <c r="AY106" i="10"/>
  <c r="BD106" i="10" s="1"/>
  <c r="AY107" i="10"/>
  <c r="BD107" i="10" s="1"/>
  <c r="AY108" i="10"/>
  <c r="BD108" i="10" s="1"/>
  <c r="AY109" i="10"/>
  <c r="BD109" i="10" s="1"/>
  <c r="AY110" i="10"/>
  <c r="BD110" i="10" s="1"/>
  <c r="AY111" i="10"/>
  <c r="BD111" i="10" s="1"/>
  <c r="AY112" i="10"/>
  <c r="BD112" i="10" s="1"/>
  <c r="AY113" i="10"/>
  <c r="BD113" i="10" s="1"/>
  <c r="AY114" i="10"/>
  <c r="BD114" i="10" s="1"/>
  <c r="AY115" i="10"/>
  <c r="BD115" i="10" s="1"/>
  <c r="AY116" i="10"/>
  <c r="BD116" i="10" s="1"/>
  <c r="AY117" i="10"/>
  <c r="BD117" i="10" s="1"/>
  <c r="AY118" i="10"/>
  <c r="BD118" i="10" s="1"/>
  <c r="AY119" i="10"/>
  <c r="BD119" i="10" s="1"/>
  <c r="AY120" i="10"/>
  <c r="BD120" i="10" s="1"/>
  <c r="AY121" i="10"/>
  <c r="BD121" i="10" s="1"/>
  <c r="AY122" i="10"/>
  <c r="BD122" i="10" s="1"/>
  <c r="AY123" i="10"/>
  <c r="BD123" i="10" s="1"/>
  <c r="AY124" i="10"/>
  <c r="BD124" i="10" s="1"/>
  <c r="AY125" i="10"/>
  <c r="BD125" i="10" s="1"/>
  <c r="AY126" i="10"/>
  <c r="BD126" i="10" s="1"/>
  <c r="AY127" i="10"/>
  <c r="BD127" i="10" s="1"/>
  <c r="AY128" i="10"/>
  <c r="BD128" i="10" s="1"/>
  <c r="AY129" i="10"/>
  <c r="BD129" i="10" s="1"/>
  <c r="AY130" i="10"/>
  <c r="BD130" i="10" s="1"/>
  <c r="AY131" i="10"/>
  <c r="BD131" i="10" s="1"/>
  <c r="AY132" i="10"/>
  <c r="BD132" i="10" s="1"/>
  <c r="AY133" i="10"/>
  <c r="BD133" i="10" s="1"/>
  <c r="AY134" i="10"/>
  <c r="BD134" i="10" s="1"/>
  <c r="AY135" i="10"/>
  <c r="BD135" i="10" s="1"/>
  <c r="AY136" i="10"/>
  <c r="BD136" i="10" s="1"/>
  <c r="AY137" i="10"/>
  <c r="BD137" i="10" s="1"/>
  <c r="AY138" i="10"/>
  <c r="BD138" i="10" s="1"/>
  <c r="AY139" i="10"/>
  <c r="BD139" i="10" s="1"/>
  <c r="AY140" i="10"/>
  <c r="BD140" i="10" s="1"/>
  <c r="AY141" i="10"/>
  <c r="BD141" i="10" s="1"/>
  <c r="AY142" i="10"/>
  <c r="BD142" i="10" s="1"/>
  <c r="AY143" i="10"/>
  <c r="BD143" i="10" s="1"/>
  <c r="AY144" i="10"/>
  <c r="BD144" i="10" s="1"/>
  <c r="AY145" i="10"/>
  <c r="BD145" i="10" s="1"/>
  <c r="AY146" i="10"/>
  <c r="BD146" i="10" s="1"/>
  <c r="AY147" i="10"/>
  <c r="BD147" i="10" s="1"/>
  <c r="AY148" i="10"/>
  <c r="BD148" i="10" s="1"/>
  <c r="AY149" i="10"/>
  <c r="BD149" i="10" s="1"/>
  <c r="AY150" i="10"/>
  <c r="BD150" i="10" s="1"/>
  <c r="AY151" i="10"/>
  <c r="BD151" i="10" s="1"/>
  <c r="AY152" i="10"/>
  <c r="BD152" i="10" s="1"/>
  <c r="AY153" i="10"/>
  <c r="BD153" i="10" s="1"/>
  <c r="AY154" i="10"/>
  <c r="BD154" i="10" s="1"/>
  <c r="AY155" i="10"/>
  <c r="BD155" i="10" s="1"/>
  <c r="AY156" i="10"/>
  <c r="BD156" i="10" s="1"/>
  <c r="AY157" i="10"/>
  <c r="BD157" i="10" s="1"/>
  <c r="AY158" i="10"/>
  <c r="BD158" i="10" s="1"/>
  <c r="AY159" i="10"/>
  <c r="BD159" i="10" s="1"/>
  <c r="AY160" i="10"/>
  <c r="BD160" i="10" s="1"/>
  <c r="AY161" i="10"/>
  <c r="BD161" i="10" s="1"/>
  <c r="AY162" i="10"/>
  <c r="BD162" i="10" s="1"/>
  <c r="AY163" i="10"/>
  <c r="BD163" i="10" s="1"/>
  <c r="AY164" i="10"/>
  <c r="BD164" i="10" s="1"/>
  <c r="AY165" i="10"/>
  <c r="BD165" i="10" s="1"/>
  <c r="AY166" i="10"/>
  <c r="BD166" i="10" s="1"/>
  <c r="AY167" i="10"/>
  <c r="BD167" i="10" s="1"/>
  <c r="AY168" i="10"/>
  <c r="BD168" i="10" s="1"/>
  <c r="AY169" i="10"/>
  <c r="BD169" i="10" s="1"/>
  <c r="AY170" i="10"/>
  <c r="BD170" i="10" s="1"/>
  <c r="AY171" i="10"/>
  <c r="BD171" i="10" s="1"/>
  <c r="AY172" i="10"/>
  <c r="BD172" i="10" s="1"/>
  <c r="AY173" i="10"/>
  <c r="BD173" i="10" s="1"/>
  <c r="AY174" i="10"/>
  <c r="BD174" i="10" s="1"/>
  <c r="AY175" i="10"/>
  <c r="BD175" i="10" s="1"/>
  <c r="AY176" i="10"/>
  <c r="BD176" i="10" s="1"/>
  <c r="AY177" i="10"/>
  <c r="BD177" i="10" s="1"/>
  <c r="AY178" i="10"/>
  <c r="BD178" i="10" s="1"/>
  <c r="AY179" i="10"/>
  <c r="BD179" i="10" s="1"/>
  <c r="AY180" i="10"/>
  <c r="BD180" i="10" s="1"/>
  <c r="AY181" i="10"/>
  <c r="BD181" i="10" s="1"/>
  <c r="AY182" i="10"/>
  <c r="BD182" i="10" s="1"/>
  <c r="AY183" i="10"/>
  <c r="BD183" i="10" s="1"/>
  <c r="AY184" i="10"/>
  <c r="BD184" i="10" s="1"/>
  <c r="AY185" i="10"/>
  <c r="BD185" i="10" s="1"/>
  <c r="AY186" i="10"/>
  <c r="BD186" i="10" s="1"/>
  <c r="AY187" i="10"/>
  <c r="BD187" i="10" s="1"/>
  <c r="AY188" i="10"/>
  <c r="BD188" i="10" s="1"/>
  <c r="AY189" i="10"/>
  <c r="BD189" i="10" s="1"/>
  <c r="AY190" i="10"/>
  <c r="BD190" i="10" s="1"/>
  <c r="AY191" i="10"/>
  <c r="BD191" i="10" s="1"/>
  <c r="AY192" i="10"/>
  <c r="BD192" i="10" s="1"/>
  <c r="AY193" i="10"/>
  <c r="BD193" i="10" s="1"/>
  <c r="AY194" i="10"/>
  <c r="BD194" i="10" s="1"/>
  <c r="AY195" i="10"/>
  <c r="BD195" i="10" s="1"/>
  <c r="AY196" i="10"/>
  <c r="BD196" i="10" s="1"/>
  <c r="AY197" i="10"/>
  <c r="BD197" i="10" s="1"/>
  <c r="AY198" i="10"/>
  <c r="BD198" i="10" s="1"/>
  <c r="AY199" i="10"/>
  <c r="BD199" i="10" s="1"/>
  <c r="AY200" i="10"/>
  <c r="BD200" i="10" s="1"/>
  <c r="AY201" i="10"/>
  <c r="BD201" i="10" s="1"/>
  <c r="AY202" i="10"/>
  <c r="BD202" i="10" s="1"/>
  <c r="AY203" i="10"/>
  <c r="BD203" i="10" s="1"/>
  <c r="AY204" i="10"/>
  <c r="BD204" i="10" s="1"/>
  <c r="AY205" i="10"/>
  <c r="BD205" i="10" s="1"/>
  <c r="AY206" i="10"/>
  <c r="BD206" i="10" s="1"/>
  <c r="AY207" i="10"/>
  <c r="BD207" i="10" s="1"/>
  <c r="AY208" i="10"/>
  <c r="BD208" i="10" s="1"/>
  <c r="AY209" i="10"/>
  <c r="BD209" i="10" s="1"/>
  <c r="AY210" i="10"/>
  <c r="BD210" i="10" s="1"/>
  <c r="AY211" i="10"/>
  <c r="BD211" i="10" s="1"/>
  <c r="AY212" i="10"/>
  <c r="BD212" i="10" s="1"/>
  <c r="AY213" i="10"/>
  <c r="BD213" i="10" s="1"/>
  <c r="AY214" i="10"/>
  <c r="BD214" i="10" s="1"/>
  <c r="AY215" i="10"/>
  <c r="BD215" i="10" s="1"/>
  <c r="AY216" i="10"/>
  <c r="BD216" i="10" s="1"/>
  <c r="AY217" i="10"/>
  <c r="BD217" i="10" s="1"/>
  <c r="AY218" i="10"/>
  <c r="BD218" i="10" s="1"/>
  <c r="AY219" i="10"/>
  <c r="BD219" i="10" s="1"/>
  <c r="AY220" i="10"/>
  <c r="BD220" i="10" s="1"/>
  <c r="AY221" i="10"/>
  <c r="BD221" i="10" s="1"/>
  <c r="AY222" i="10"/>
  <c r="BD222" i="10" s="1"/>
  <c r="AY223" i="10"/>
  <c r="BD223" i="10" s="1"/>
  <c r="AY224" i="10"/>
  <c r="BD224" i="10" s="1"/>
  <c r="AY225" i="10"/>
  <c r="BD225" i="10" s="1"/>
  <c r="AY226" i="10"/>
  <c r="BD226" i="10" s="1"/>
  <c r="AY227" i="10"/>
  <c r="BD227" i="10" s="1"/>
  <c r="AY228" i="10"/>
  <c r="BD228" i="10" s="1"/>
  <c r="AY229" i="10"/>
  <c r="BD229" i="10" s="1"/>
  <c r="AY230" i="10"/>
  <c r="BD230" i="10" s="1"/>
  <c r="AY231" i="10"/>
  <c r="BD231" i="10" s="1"/>
  <c r="AY232" i="10"/>
  <c r="BD232" i="10" s="1"/>
  <c r="AY233" i="10"/>
  <c r="BD233" i="10" s="1"/>
  <c r="AY234" i="10"/>
  <c r="BD234" i="10" s="1"/>
  <c r="AY235" i="10"/>
  <c r="BD235" i="10" s="1"/>
  <c r="AY236" i="10"/>
  <c r="BD236" i="10" s="1"/>
  <c r="AY237" i="10"/>
  <c r="BD237" i="10" s="1"/>
  <c r="AY238" i="10"/>
  <c r="BD238" i="10" s="1"/>
  <c r="AY239" i="10"/>
  <c r="BD239" i="10" s="1"/>
  <c r="AY240" i="10"/>
  <c r="BD240" i="10" s="1"/>
  <c r="AY241" i="10"/>
  <c r="BD241" i="10" s="1"/>
  <c r="AY242" i="10"/>
  <c r="BD242" i="10" s="1"/>
  <c r="AY243" i="10"/>
  <c r="BD243" i="10" s="1"/>
  <c r="AY244" i="10"/>
  <c r="BD244" i="10" s="1"/>
  <c r="AY245" i="10"/>
  <c r="BD245" i="10" s="1"/>
  <c r="AY246" i="10"/>
  <c r="BD246" i="10" s="1"/>
  <c r="AY247" i="10"/>
  <c r="BD247" i="10" s="1"/>
  <c r="AY248" i="10"/>
  <c r="BD248" i="10" s="1"/>
  <c r="AY249" i="10"/>
  <c r="BD249" i="10" s="1"/>
  <c r="AY250" i="10"/>
  <c r="BD250" i="10" s="1"/>
  <c r="AY251" i="10"/>
  <c r="BD251" i="10" s="1"/>
  <c r="AY252" i="10"/>
  <c r="BD252" i="10" s="1"/>
  <c r="AY253" i="10"/>
  <c r="BD253" i="10" s="1"/>
  <c r="AY254" i="10"/>
  <c r="BD254" i="10" s="1"/>
  <c r="AY255" i="10"/>
  <c r="BD255" i="10" s="1"/>
  <c r="AY256" i="10"/>
  <c r="BD256" i="10" s="1"/>
  <c r="AY257" i="10"/>
  <c r="BD257" i="10" s="1"/>
  <c r="AY258" i="10"/>
  <c r="BD258" i="10" s="1"/>
  <c r="AY259" i="10"/>
  <c r="BD259" i="10" s="1"/>
  <c r="AY260" i="10"/>
  <c r="BD260" i="10" s="1"/>
  <c r="AY261" i="10"/>
  <c r="BD261" i="10" s="1"/>
  <c r="AY262" i="10"/>
  <c r="BD262" i="10" s="1"/>
  <c r="AY263" i="10"/>
  <c r="BD263" i="10" s="1"/>
  <c r="AY264" i="10"/>
  <c r="BD264" i="10" s="1"/>
  <c r="AY265" i="10"/>
  <c r="BD265" i="10" s="1"/>
  <c r="AY266" i="10"/>
  <c r="BD266" i="10" s="1"/>
  <c r="AY267" i="10"/>
  <c r="BD267" i="10" s="1"/>
  <c r="AY268" i="10"/>
  <c r="BD268" i="10" s="1"/>
  <c r="AY269" i="10"/>
  <c r="BD269" i="10" s="1"/>
  <c r="AY270" i="10"/>
  <c r="BD270" i="10" s="1"/>
  <c r="AY271" i="10"/>
  <c r="BD271" i="10" s="1"/>
  <c r="AY272" i="10"/>
  <c r="BD272" i="10" s="1"/>
  <c r="AY273" i="10"/>
  <c r="BD273" i="10" s="1"/>
  <c r="AY274" i="10"/>
  <c r="BD274" i="10" s="1"/>
  <c r="AY275" i="10"/>
  <c r="BD275" i="10" s="1"/>
  <c r="AY276" i="10"/>
  <c r="BD276" i="10" s="1"/>
  <c r="AY277" i="10"/>
  <c r="BD277" i="10" s="1"/>
  <c r="AY278" i="10"/>
  <c r="BD278" i="10" s="1"/>
  <c r="AY279" i="10"/>
  <c r="BD279" i="10" s="1"/>
  <c r="AY280" i="10"/>
  <c r="BD280" i="10" s="1"/>
  <c r="AY281" i="10"/>
  <c r="BD281" i="10" s="1"/>
  <c r="AY282" i="10"/>
  <c r="BD282" i="10" s="1"/>
  <c r="AY283" i="10"/>
  <c r="BD283" i="10" s="1"/>
  <c r="AY284" i="10"/>
  <c r="BD284" i="10" s="1"/>
  <c r="AY285" i="10"/>
  <c r="BD285" i="10" s="1"/>
  <c r="AY286" i="10"/>
  <c r="BD286" i="10" s="1"/>
  <c r="AY287" i="10"/>
  <c r="BD287" i="10" s="1"/>
  <c r="AY288" i="10"/>
  <c r="BD288" i="10" s="1"/>
  <c r="AY289" i="10"/>
  <c r="BD289" i="10" s="1"/>
  <c r="AY290" i="10"/>
  <c r="BD290" i="10" s="1"/>
  <c r="AY291" i="10"/>
  <c r="BD291" i="10" s="1"/>
  <c r="AY292" i="10"/>
  <c r="BD292" i="10" s="1"/>
  <c r="AY293" i="10"/>
  <c r="BD293" i="10" s="1"/>
  <c r="AY294" i="10"/>
  <c r="BD294" i="10" s="1"/>
  <c r="AY295" i="10"/>
  <c r="BD295" i="10" s="1"/>
  <c r="AY296" i="10"/>
  <c r="BD296" i="10" s="1"/>
  <c r="AY297" i="10"/>
  <c r="BD297" i="10" s="1"/>
  <c r="AY298" i="10"/>
  <c r="BD298" i="10" s="1"/>
  <c r="AY299" i="10"/>
  <c r="BD299" i="10" s="1"/>
  <c r="AY300" i="10"/>
  <c r="BD300" i="10" s="1"/>
  <c r="AY301" i="10"/>
  <c r="BD301" i="10" s="1"/>
  <c r="AY302" i="10"/>
  <c r="BD302" i="10" s="1"/>
  <c r="AY303" i="10"/>
  <c r="BD303" i="10" s="1"/>
  <c r="AY304" i="10"/>
  <c r="BD304" i="10" s="1"/>
  <c r="AY305" i="10"/>
  <c r="BD305" i="10" s="1"/>
  <c r="AY306" i="10"/>
  <c r="BD306" i="10" s="1"/>
  <c r="AY307" i="10"/>
  <c r="BD307" i="10" s="1"/>
  <c r="AY308" i="10"/>
  <c r="BD308" i="10" s="1"/>
  <c r="AY309" i="10"/>
  <c r="BD309" i="10" s="1"/>
  <c r="AY310" i="10"/>
  <c r="BD310" i="10" s="1"/>
  <c r="AY311" i="10"/>
  <c r="BD311" i="10" s="1"/>
  <c r="AY312" i="10"/>
  <c r="BD312" i="10" s="1"/>
  <c r="AY313" i="10"/>
  <c r="BD313" i="10" s="1"/>
  <c r="AY314" i="10"/>
  <c r="BD314" i="10" s="1"/>
  <c r="AY315" i="10"/>
  <c r="BD315" i="10" s="1"/>
  <c r="AY316" i="10"/>
  <c r="BD316" i="10" s="1"/>
  <c r="AY317" i="10"/>
  <c r="BD317" i="10" s="1"/>
  <c r="AY3" i="10"/>
  <c r="BD3" i="10" s="1"/>
  <c r="AY4" i="10"/>
  <c r="BD4" i="10" s="1"/>
  <c r="AY5" i="10"/>
  <c r="BD5" i="10" s="1"/>
  <c r="AY6" i="10"/>
  <c r="BD6" i="10" s="1"/>
  <c r="AY7" i="10"/>
  <c r="BD7" i="10" s="1"/>
  <c r="AY8" i="10"/>
  <c r="BD8" i="10" s="1"/>
  <c r="AY9" i="10"/>
  <c r="BD9" i="10" s="1"/>
  <c r="AY2" i="10"/>
  <c r="BD2" i="10" s="1"/>
  <c r="AZ10" i="10"/>
  <c r="AZ11" i="10"/>
  <c r="AZ12" i="10"/>
  <c r="AZ13" i="10"/>
  <c r="AZ14" i="10"/>
  <c r="AZ15" i="10"/>
  <c r="AZ16" i="10"/>
  <c r="AZ17" i="10"/>
  <c r="AZ18" i="10"/>
  <c r="AZ19" i="10"/>
  <c r="AZ20" i="10"/>
  <c r="AZ21" i="10"/>
  <c r="AZ22" i="10"/>
  <c r="AZ23" i="10"/>
  <c r="AZ24" i="10"/>
  <c r="AZ25" i="10"/>
  <c r="AZ26" i="10"/>
  <c r="AZ27" i="10"/>
  <c r="AZ28" i="10"/>
  <c r="AZ29" i="10"/>
  <c r="AZ30" i="10"/>
  <c r="AZ31" i="10"/>
  <c r="AZ32" i="10"/>
  <c r="AZ33" i="10"/>
  <c r="AZ34" i="10"/>
  <c r="AZ35" i="10"/>
  <c r="AZ36" i="10"/>
  <c r="AZ37" i="10"/>
  <c r="AZ38" i="10"/>
  <c r="AZ39" i="10"/>
  <c r="AZ40" i="10"/>
  <c r="AZ41" i="10"/>
  <c r="AZ42" i="10"/>
  <c r="AZ43" i="10"/>
  <c r="AZ44" i="10"/>
  <c r="AZ45" i="10"/>
  <c r="AZ46" i="10"/>
  <c r="AZ47" i="10"/>
  <c r="AZ48" i="10"/>
  <c r="AZ49" i="10"/>
  <c r="AZ50" i="10"/>
  <c r="AZ51" i="10"/>
  <c r="AZ52" i="10"/>
  <c r="AZ53" i="10"/>
  <c r="AZ54" i="10"/>
  <c r="AZ55" i="10"/>
  <c r="AZ56" i="10"/>
  <c r="AZ57" i="10"/>
  <c r="AZ58" i="10"/>
  <c r="AZ59" i="10"/>
  <c r="AZ60" i="10"/>
  <c r="AZ61" i="10"/>
  <c r="AZ62" i="10"/>
  <c r="AZ63" i="10"/>
  <c r="AZ64" i="10"/>
  <c r="AZ65" i="10"/>
  <c r="AZ66" i="10"/>
  <c r="AZ67" i="10"/>
  <c r="AZ68" i="10"/>
  <c r="AZ69" i="10"/>
  <c r="AZ70" i="10"/>
  <c r="AZ71" i="10"/>
  <c r="AZ72" i="10"/>
  <c r="AZ73" i="10"/>
  <c r="AZ74" i="10"/>
  <c r="AZ75" i="10"/>
  <c r="AZ76" i="10"/>
  <c r="AZ77" i="10"/>
  <c r="AZ78" i="10"/>
  <c r="AZ79" i="10"/>
  <c r="AZ80" i="10"/>
  <c r="AZ81" i="10"/>
  <c r="AZ82" i="10"/>
  <c r="AZ83" i="10"/>
  <c r="AZ84" i="10"/>
  <c r="AZ85" i="10"/>
  <c r="AZ86" i="10"/>
  <c r="AZ87" i="10"/>
  <c r="AZ88" i="10"/>
  <c r="AZ89" i="10"/>
  <c r="AZ90" i="10"/>
  <c r="AZ91" i="10"/>
  <c r="AZ92" i="10"/>
  <c r="AZ93" i="10"/>
  <c r="AZ94" i="10"/>
  <c r="AZ95" i="10"/>
  <c r="AZ96" i="10"/>
  <c r="AZ97" i="10"/>
  <c r="AZ98" i="10"/>
  <c r="AZ99" i="10"/>
  <c r="AZ100" i="10"/>
  <c r="AZ101" i="10"/>
  <c r="AZ102" i="10"/>
  <c r="AZ103" i="10"/>
  <c r="AZ104" i="10"/>
  <c r="AZ105" i="10"/>
  <c r="AZ106" i="10"/>
  <c r="AZ107" i="10"/>
  <c r="AZ108" i="10"/>
  <c r="AZ109" i="10"/>
  <c r="AZ110" i="10"/>
  <c r="AZ111" i="10"/>
  <c r="AZ112" i="10"/>
  <c r="AZ113" i="10"/>
  <c r="AZ114" i="10"/>
  <c r="AZ115" i="10"/>
  <c r="AZ116" i="10"/>
  <c r="AZ117" i="10"/>
  <c r="AZ118" i="10"/>
  <c r="AZ119" i="10"/>
  <c r="AZ120" i="10"/>
  <c r="AZ121" i="10"/>
  <c r="AZ122" i="10"/>
  <c r="AZ123" i="10"/>
  <c r="AZ124" i="10"/>
  <c r="AZ125" i="10"/>
  <c r="AZ126" i="10"/>
  <c r="AZ127" i="10"/>
  <c r="AZ128" i="10"/>
  <c r="AZ129" i="10"/>
  <c r="AZ130" i="10"/>
  <c r="AZ131" i="10"/>
  <c r="AZ132" i="10"/>
  <c r="AZ133" i="10"/>
  <c r="AZ134" i="10"/>
  <c r="AZ135" i="10"/>
  <c r="AZ136" i="10"/>
  <c r="AZ137" i="10"/>
  <c r="AZ138" i="10"/>
  <c r="AZ139" i="10"/>
  <c r="AZ140" i="10"/>
  <c r="AZ141" i="10"/>
  <c r="AZ142" i="10"/>
  <c r="AZ143" i="10"/>
  <c r="AZ144" i="10"/>
  <c r="AZ145" i="10"/>
  <c r="AZ146" i="10"/>
  <c r="AZ147" i="10"/>
  <c r="AZ148" i="10"/>
  <c r="AZ149" i="10"/>
  <c r="AZ150" i="10"/>
  <c r="AZ151" i="10"/>
  <c r="AZ152" i="10"/>
  <c r="AZ153" i="10"/>
  <c r="AZ154" i="10"/>
  <c r="AZ155" i="10"/>
  <c r="AZ156" i="10"/>
  <c r="AZ157" i="10"/>
  <c r="AZ158" i="10"/>
  <c r="AZ159" i="10"/>
  <c r="AZ160" i="10"/>
  <c r="AZ161" i="10"/>
  <c r="AZ162" i="10"/>
  <c r="AZ163" i="10"/>
  <c r="AZ164" i="10"/>
  <c r="AZ165" i="10"/>
  <c r="AZ166" i="10"/>
  <c r="AZ167" i="10"/>
  <c r="AZ168" i="10"/>
  <c r="AZ169" i="10"/>
  <c r="AZ170" i="10"/>
  <c r="AZ171" i="10"/>
  <c r="AZ172" i="10"/>
  <c r="AZ173" i="10"/>
  <c r="AZ174" i="10"/>
  <c r="AZ175" i="10"/>
  <c r="AZ176" i="10"/>
  <c r="AZ177" i="10"/>
  <c r="AZ178" i="10"/>
  <c r="AZ179" i="10"/>
  <c r="AZ180" i="10"/>
  <c r="AZ181" i="10"/>
  <c r="AZ182" i="10"/>
  <c r="AZ183" i="10"/>
  <c r="AZ184" i="10"/>
  <c r="AZ185" i="10"/>
  <c r="AZ186" i="10"/>
  <c r="AZ187" i="10"/>
  <c r="AZ188" i="10"/>
  <c r="AZ189" i="10"/>
  <c r="AZ190" i="10"/>
  <c r="AZ191" i="10"/>
  <c r="AZ192" i="10"/>
  <c r="AZ193" i="10"/>
  <c r="AZ194" i="10"/>
  <c r="AZ195" i="10"/>
  <c r="AZ196" i="10"/>
  <c r="AZ197" i="10"/>
  <c r="AZ198" i="10"/>
  <c r="AZ199" i="10"/>
  <c r="AZ200" i="10"/>
  <c r="AZ201" i="10"/>
  <c r="AZ202" i="10"/>
  <c r="AZ203" i="10"/>
  <c r="AZ204" i="10"/>
  <c r="AZ205" i="10"/>
  <c r="AZ206" i="10"/>
  <c r="AZ207" i="10"/>
  <c r="AZ208" i="10"/>
  <c r="AZ209" i="10"/>
  <c r="AZ210" i="10"/>
  <c r="AZ211" i="10"/>
  <c r="AZ212" i="10"/>
  <c r="AZ213" i="10"/>
  <c r="AZ214" i="10"/>
  <c r="AZ215" i="10"/>
  <c r="AZ216" i="10"/>
  <c r="AZ217" i="10"/>
  <c r="AZ218" i="10"/>
  <c r="AZ219" i="10"/>
  <c r="AZ220" i="10"/>
  <c r="AZ221" i="10"/>
  <c r="AZ222" i="10"/>
  <c r="AZ223" i="10"/>
  <c r="AZ224" i="10"/>
  <c r="AZ225" i="10"/>
  <c r="AZ226" i="10"/>
  <c r="AZ227" i="10"/>
  <c r="AZ228" i="10"/>
  <c r="AZ229" i="10"/>
  <c r="AZ230" i="10"/>
  <c r="AZ231" i="10"/>
  <c r="AZ232" i="10"/>
  <c r="AZ233" i="10"/>
  <c r="AZ234" i="10"/>
  <c r="AZ235" i="10"/>
  <c r="AZ236" i="10"/>
  <c r="AZ237" i="10"/>
  <c r="AZ238" i="10"/>
  <c r="AZ239" i="10"/>
  <c r="AZ240" i="10"/>
  <c r="AZ241" i="10"/>
  <c r="AZ242" i="10"/>
  <c r="AZ243" i="10"/>
  <c r="AZ244" i="10"/>
  <c r="AZ245" i="10"/>
  <c r="AZ246" i="10"/>
  <c r="AZ247" i="10"/>
  <c r="AZ248" i="10"/>
  <c r="AZ249" i="10"/>
  <c r="AZ250" i="10"/>
  <c r="AZ251" i="10"/>
  <c r="AZ252" i="10"/>
  <c r="AZ253" i="10"/>
  <c r="AZ254" i="10"/>
  <c r="AZ255" i="10"/>
  <c r="AZ256" i="10"/>
  <c r="AZ257" i="10"/>
  <c r="AZ258" i="10"/>
  <c r="AZ259" i="10"/>
  <c r="AZ260" i="10"/>
  <c r="AZ261" i="10"/>
  <c r="AZ262" i="10"/>
  <c r="AZ263" i="10"/>
  <c r="AZ264" i="10"/>
  <c r="AZ265" i="10"/>
  <c r="AZ266" i="10"/>
  <c r="AZ267" i="10"/>
  <c r="AZ268" i="10"/>
  <c r="AZ269" i="10"/>
  <c r="AZ270" i="10"/>
  <c r="AZ271" i="10"/>
  <c r="AZ272" i="10"/>
  <c r="AZ273" i="10"/>
  <c r="AZ274" i="10"/>
  <c r="AZ275" i="10"/>
  <c r="AZ276" i="10"/>
  <c r="AZ277" i="10"/>
  <c r="AZ278" i="10"/>
  <c r="AZ279" i="10"/>
  <c r="AZ280" i="10"/>
  <c r="AZ281" i="10"/>
  <c r="AZ282" i="10"/>
  <c r="AZ283" i="10"/>
  <c r="AZ284" i="10"/>
  <c r="AZ285" i="10"/>
  <c r="AZ286" i="10"/>
  <c r="AZ287" i="10"/>
  <c r="AZ288" i="10"/>
  <c r="AZ289" i="10"/>
  <c r="AZ290" i="10"/>
  <c r="AZ291" i="10"/>
  <c r="AZ292" i="10"/>
  <c r="AZ293" i="10"/>
  <c r="AZ294" i="10"/>
  <c r="AZ295" i="10"/>
  <c r="AZ296" i="10"/>
  <c r="AZ297" i="10"/>
  <c r="AZ298" i="10"/>
  <c r="AZ299" i="10"/>
  <c r="AZ300" i="10"/>
  <c r="AZ301" i="10"/>
  <c r="AZ302" i="10"/>
  <c r="AZ303" i="10"/>
  <c r="AZ304" i="10"/>
  <c r="AZ305" i="10"/>
  <c r="AZ306" i="10"/>
  <c r="AZ307" i="10"/>
  <c r="AZ308" i="10"/>
  <c r="AZ309" i="10"/>
  <c r="AZ310" i="10"/>
  <c r="AZ311" i="10"/>
  <c r="AZ312" i="10"/>
  <c r="AZ313" i="10"/>
  <c r="AZ314" i="10"/>
  <c r="AZ315" i="10"/>
  <c r="AZ316" i="10"/>
  <c r="AZ317" i="10"/>
  <c r="AZ4" i="10"/>
  <c r="AZ5" i="10"/>
  <c r="AZ6" i="10"/>
  <c r="AZ7" i="10"/>
  <c r="AZ8" i="10"/>
  <c r="AZ9" i="10"/>
  <c r="AZ3" i="10"/>
  <c r="AZ2" i="10"/>
  <c r="BB3" i="10"/>
  <c r="BB4" i="10"/>
  <c r="BB5" i="10"/>
  <c r="BB6" i="10"/>
  <c r="BB7" i="10"/>
  <c r="BB8" i="10"/>
  <c r="BB9" i="10"/>
  <c r="BB10" i="10"/>
  <c r="BB11" i="10"/>
  <c r="BB12" i="10"/>
  <c r="BB13" i="10"/>
  <c r="BB14" i="10"/>
  <c r="BB15" i="10"/>
  <c r="BB16" i="10"/>
  <c r="BB17" i="10"/>
  <c r="BB18" i="10"/>
  <c r="BB19" i="10"/>
  <c r="BB20" i="10"/>
  <c r="BB21" i="10"/>
  <c r="BB22" i="10"/>
  <c r="BB23" i="10"/>
  <c r="BB24" i="10"/>
  <c r="BB25" i="10"/>
  <c r="BB26" i="10"/>
  <c r="BB27" i="10"/>
  <c r="BB28" i="10"/>
  <c r="BB29" i="10"/>
  <c r="BB30" i="10"/>
  <c r="BB31" i="10"/>
  <c r="BB32" i="10"/>
  <c r="BB33" i="10"/>
  <c r="BB34" i="10"/>
  <c r="BB35" i="10"/>
  <c r="BB36" i="10"/>
  <c r="BB37" i="10"/>
  <c r="BB38" i="10"/>
  <c r="BB39" i="10"/>
  <c r="BB40" i="10"/>
  <c r="BB41" i="10"/>
  <c r="BB42" i="10"/>
  <c r="BB43" i="10"/>
  <c r="BB44" i="10"/>
  <c r="BB45" i="10"/>
  <c r="BB46" i="10"/>
  <c r="BB47" i="10"/>
  <c r="BB48" i="10"/>
  <c r="BB49" i="10"/>
  <c r="BB50" i="10"/>
  <c r="BB51" i="10"/>
  <c r="BB52" i="10"/>
  <c r="BB53" i="10"/>
  <c r="BB54" i="10"/>
  <c r="BB55" i="10"/>
  <c r="BB56" i="10"/>
  <c r="BB57" i="10"/>
  <c r="BB58" i="10"/>
  <c r="BB59" i="10"/>
  <c r="BB60" i="10"/>
  <c r="BB61" i="10"/>
  <c r="BB62" i="10"/>
  <c r="BB63" i="10"/>
  <c r="BB64" i="10"/>
  <c r="BB65" i="10"/>
  <c r="BB66" i="10"/>
  <c r="BB67" i="10"/>
  <c r="BB68" i="10"/>
  <c r="BB69" i="10"/>
  <c r="BB70" i="10"/>
  <c r="BB71" i="10"/>
  <c r="BB72" i="10"/>
  <c r="BB73" i="10"/>
  <c r="BB74" i="10"/>
  <c r="BB75" i="10"/>
  <c r="BB76" i="10"/>
  <c r="BB77" i="10"/>
  <c r="BB78" i="10"/>
  <c r="BB79" i="10"/>
  <c r="BB80" i="10"/>
  <c r="BB81" i="10"/>
  <c r="BB82" i="10"/>
  <c r="BB83" i="10"/>
  <c r="BB84" i="10"/>
  <c r="BB85" i="10"/>
  <c r="BB86" i="10"/>
  <c r="BB87" i="10"/>
  <c r="BB88" i="10"/>
  <c r="BB89" i="10"/>
  <c r="BB90" i="10"/>
  <c r="BB91" i="10"/>
  <c r="BB92" i="10"/>
  <c r="BB93" i="10"/>
  <c r="BB94" i="10"/>
  <c r="BB95" i="10"/>
  <c r="BB96" i="10"/>
  <c r="BB97" i="10"/>
  <c r="BB98" i="10"/>
  <c r="BB99" i="10"/>
  <c r="BB100" i="10"/>
  <c r="BB101" i="10"/>
  <c r="BB102" i="10"/>
  <c r="BB103" i="10"/>
  <c r="BB104" i="10"/>
  <c r="BB105" i="10"/>
  <c r="BB106" i="10"/>
  <c r="BB107" i="10"/>
  <c r="BB108" i="10"/>
  <c r="BB109" i="10"/>
  <c r="BB110" i="10"/>
  <c r="BB111" i="10"/>
  <c r="BB112" i="10"/>
  <c r="BB113" i="10"/>
  <c r="BB114" i="10"/>
  <c r="BB115" i="10"/>
  <c r="BB116" i="10"/>
  <c r="BB117" i="10"/>
  <c r="BB118" i="10"/>
  <c r="BB119" i="10"/>
  <c r="BB120" i="10"/>
  <c r="BB121" i="10"/>
  <c r="BB122" i="10"/>
  <c r="BB123" i="10"/>
  <c r="BB124" i="10"/>
  <c r="BB125" i="10"/>
  <c r="BB126" i="10"/>
  <c r="BB127" i="10"/>
  <c r="BB128" i="10"/>
  <c r="BB129" i="10"/>
  <c r="BB130" i="10"/>
  <c r="BB131" i="10"/>
  <c r="BB132" i="10"/>
  <c r="BB133" i="10"/>
  <c r="BB134" i="10"/>
  <c r="BB135" i="10"/>
  <c r="BB136" i="10"/>
  <c r="BB137" i="10"/>
  <c r="BB138" i="10"/>
  <c r="BB139" i="10"/>
  <c r="BB140" i="10"/>
  <c r="BB141" i="10"/>
  <c r="BB142" i="10"/>
  <c r="BB143" i="10"/>
  <c r="BB144" i="10"/>
  <c r="BB145" i="10"/>
  <c r="BB146" i="10"/>
  <c r="BB147" i="10"/>
  <c r="BB148" i="10"/>
  <c r="BB149" i="10"/>
  <c r="BB150" i="10"/>
  <c r="BB151" i="10"/>
  <c r="BB152" i="10"/>
  <c r="BB153" i="10"/>
  <c r="BB154" i="10"/>
  <c r="BB155" i="10"/>
  <c r="BB156" i="10"/>
  <c r="BB157" i="10"/>
  <c r="BB158" i="10"/>
  <c r="BB159" i="10"/>
  <c r="BB160" i="10"/>
  <c r="BB161" i="10"/>
  <c r="BB162" i="10"/>
  <c r="BB163" i="10"/>
  <c r="BB164" i="10"/>
  <c r="BB165" i="10"/>
  <c r="BB166" i="10"/>
  <c r="BB167" i="10"/>
  <c r="BB168" i="10"/>
  <c r="BB169" i="10"/>
  <c r="BB170" i="10"/>
  <c r="BB171" i="10"/>
  <c r="BB172" i="10"/>
  <c r="BB173" i="10"/>
  <c r="BB174" i="10"/>
  <c r="BB175" i="10"/>
  <c r="BB176" i="10"/>
  <c r="BB177" i="10"/>
  <c r="BB178" i="10"/>
  <c r="BB179" i="10"/>
  <c r="BB180" i="10"/>
  <c r="BB181" i="10"/>
  <c r="BB182" i="10"/>
  <c r="BB183" i="10"/>
  <c r="BB184" i="10"/>
  <c r="BB185" i="10"/>
  <c r="BB186" i="10"/>
  <c r="BB187" i="10"/>
  <c r="BB188" i="10"/>
  <c r="BB189" i="10"/>
  <c r="BB190" i="10"/>
  <c r="BB191" i="10"/>
  <c r="BB192" i="10"/>
  <c r="BB193" i="10"/>
  <c r="BB194" i="10"/>
  <c r="BB195" i="10"/>
  <c r="BB196" i="10"/>
  <c r="BB197" i="10"/>
  <c r="BB198" i="10"/>
  <c r="BB199" i="10"/>
  <c r="BB200" i="10"/>
  <c r="BB201" i="10"/>
  <c r="BB202" i="10"/>
  <c r="BB203" i="10"/>
  <c r="BB204" i="10"/>
  <c r="BB205" i="10"/>
  <c r="BB206" i="10"/>
  <c r="BB207" i="10"/>
  <c r="BB208" i="10"/>
  <c r="BB209" i="10"/>
  <c r="BB210" i="10"/>
  <c r="BB211" i="10"/>
  <c r="BB212" i="10"/>
  <c r="BB213" i="10"/>
  <c r="BB214" i="10"/>
  <c r="BB215" i="10"/>
  <c r="BB216" i="10"/>
  <c r="BB217" i="10"/>
  <c r="BB218" i="10"/>
  <c r="BB219" i="10"/>
  <c r="BB220" i="10"/>
  <c r="BB221" i="10"/>
  <c r="BB222" i="10"/>
  <c r="BB223" i="10"/>
  <c r="BB224" i="10"/>
  <c r="BB225" i="10"/>
  <c r="BB226" i="10"/>
  <c r="BB227" i="10"/>
  <c r="BB228" i="10"/>
  <c r="BB229" i="10"/>
  <c r="BB230" i="10"/>
  <c r="BB231" i="10"/>
  <c r="BB232" i="10"/>
  <c r="BB233" i="10"/>
  <c r="BB234" i="10"/>
  <c r="BB235" i="10"/>
  <c r="BB236" i="10"/>
  <c r="BB237" i="10"/>
  <c r="BB238" i="10"/>
  <c r="BB239" i="10"/>
  <c r="BB240" i="10"/>
  <c r="BB241" i="10"/>
  <c r="BB242" i="10"/>
  <c r="BB243" i="10"/>
  <c r="BB244" i="10"/>
  <c r="BB245" i="10"/>
  <c r="BB246" i="10"/>
  <c r="BB247" i="10"/>
  <c r="BB248" i="10"/>
  <c r="BB249" i="10"/>
  <c r="BB250" i="10"/>
  <c r="BB251" i="10"/>
  <c r="BB252" i="10"/>
  <c r="BB253" i="10"/>
  <c r="BB254" i="10"/>
  <c r="BB255" i="10"/>
  <c r="BB256" i="10"/>
  <c r="BB257" i="10"/>
  <c r="BB258" i="10"/>
  <c r="BB259" i="10"/>
  <c r="BB260" i="10"/>
  <c r="BB261" i="10"/>
  <c r="BB262" i="10"/>
  <c r="BB263" i="10"/>
  <c r="BB264" i="10"/>
  <c r="BB265" i="10"/>
  <c r="BB266" i="10"/>
  <c r="BB267" i="10"/>
  <c r="BB268" i="10"/>
  <c r="BB269" i="10"/>
  <c r="BB270" i="10"/>
  <c r="BB271" i="10"/>
  <c r="BB272" i="10"/>
  <c r="BB273" i="10"/>
  <c r="BB274" i="10"/>
  <c r="BB275" i="10"/>
  <c r="BB276" i="10"/>
  <c r="BB277" i="10"/>
  <c r="BB278" i="10"/>
  <c r="BB279" i="10"/>
  <c r="BB280" i="10"/>
  <c r="BB281" i="10"/>
  <c r="BB282" i="10"/>
  <c r="BB283" i="10"/>
  <c r="BB284" i="10"/>
  <c r="BB285" i="10"/>
  <c r="BB286" i="10"/>
  <c r="BB287" i="10"/>
  <c r="BB288" i="10"/>
  <c r="BB289" i="10"/>
  <c r="BB290" i="10"/>
  <c r="BB291" i="10"/>
  <c r="BB292" i="10"/>
  <c r="BB293" i="10"/>
  <c r="BB294" i="10"/>
  <c r="BB295" i="10"/>
  <c r="BB296" i="10"/>
  <c r="BB297" i="10"/>
  <c r="BB298" i="10"/>
  <c r="BB299" i="10"/>
  <c r="BB300" i="10"/>
  <c r="BB301" i="10"/>
  <c r="BB302" i="10"/>
  <c r="BB303" i="10"/>
  <c r="BB304" i="10"/>
  <c r="BB305" i="10"/>
  <c r="BB306" i="10"/>
  <c r="BB307" i="10"/>
  <c r="BB308" i="10"/>
  <c r="BB309" i="10"/>
  <c r="BB310" i="10"/>
  <c r="BB311" i="10"/>
  <c r="BB312" i="10"/>
  <c r="BB313" i="10"/>
  <c r="BB314" i="10"/>
  <c r="BB315" i="10"/>
  <c r="BB316" i="10"/>
  <c r="BB317" i="10"/>
  <c r="BB2" i="10"/>
  <c r="AR156" i="10"/>
  <c r="AT156" i="10"/>
  <c r="AS438" i="10"/>
  <c r="AT438" i="10"/>
  <c r="AS321" i="10"/>
  <c r="AR321" i="10"/>
  <c r="AS322" i="10"/>
  <c r="AR322" i="10"/>
  <c r="AT351" i="10"/>
  <c r="AR351" i="10"/>
  <c r="AT289" i="10"/>
  <c r="AS289" i="10"/>
  <c r="AT403" i="10"/>
  <c r="AR403" i="10"/>
  <c r="AS493" i="10"/>
  <c r="AT493" i="10"/>
  <c r="AR449" i="10"/>
  <c r="AR334" i="10"/>
  <c r="AT101" i="10"/>
  <c r="AT420" i="10"/>
  <c r="AT52" i="10"/>
  <c r="AS387" i="10"/>
  <c r="AS196" i="10"/>
  <c r="AR196" i="10"/>
  <c r="AT453" i="10"/>
  <c r="AS471" i="10"/>
  <c r="AR342" i="10"/>
  <c r="AT12" i="10"/>
  <c r="AS411" i="10"/>
  <c r="AT443" i="10"/>
  <c r="AR333" i="10"/>
  <c r="AS216" i="10"/>
  <c r="AR137" i="10"/>
  <c r="AS218" i="10"/>
  <c r="AS403" i="10"/>
  <c r="AS334" i="10"/>
  <c r="AR319" i="10"/>
  <c r="AR218" i="10"/>
  <c r="AS30" i="10"/>
  <c r="AS449" i="10"/>
  <c r="AS114" i="10"/>
  <c r="AR65" i="10"/>
  <c r="AR249" i="10"/>
  <c r="AR216" i="10"/>
  <c r="AR81" i="10"/>
  <c r="AS64" i="10"/>
  <c r="AT415" i="10"/>
  <c r="AR382" i="10"/>
  <c r="AS315" i="10"/>
  <c r="AR497" i="10"/>
  <c r="AT463" i="10"/>
  <c r="AS432" i="10"/>
  <c r="AS80" i="10"/>
  <c r="AT298" i="10"/>
  <c r="AS262" i="10"/>
  <c r="AT312" i="10"/>
  <c r="AR262" i="10"/>
  <c r="AT144" i="10"/>
  <c r="AR312" i="10"/>
  <c r="AS195" i="10"/>
  <c r="AT160" i="10"/>
  <c r="AR92" i="10"/>
  <c r="AS509" i="10"/>
  <c r="AR493" i="10"/>
  <c r="AT358" i="10"/>
  <c r="AS277" i="10"/>
  <c r="AS91" i="10"/>
  <c r="AS375" i="10"/>
  <c r="AR358" i="10"/>
  <c r="AT104" i="10"/>
  <c r="AS391" i="10"/>
  <c r="AS241" i="10"/>
  <c r="AS47" i="10"/>
  <c r="AR91" i="10"/>
  <c r="AR432" i="10"/>
  <c r="AR138" i="10"/>
  <c r="AT184" i="10"/>
  <c r="AT400" i="10"/>
  <c r="AT277" i="10"/>
  <c r="AR184" i="10"/>
  <c r="AS151" i="10"/>
  <c r="AT9" i="10"/>
  <c r="AT368" i="10"/>
  <c r="AS211" i="10"/>
  <c r="AS398" i="10"/>
  <c r="AR368" i="10"/>
  <c r="AR305" i="10"/>
  <c r="AR276" i="10"/>
  <c r="AR211" i="10"/>
  <c r="AT165" i="10"/>
  <c r="AS39" i="10"/>
  <c r="AR22" i="10"/>
  <c r="AT411" i="10"/>
  <c r="AT382" i="10"/>
  <c r="AS287" i="10"/>
  <c r="AT21" i="10"/>
  <c r="AS453" i="10"/>
  <c r="AS424" i="10"/>
  <c r="AS395" i="10"/>
  <c r="AS68" i="10"/>
  <c r="AR424" i="10"/>
  <c r="AR395" i="10"/>
  <c r="AS332" i="10"/>
  <c r="AR130" i="10"/>
  <c r="AR51" i="10"/>
  <c r="AT284" i="10"/>
  <c r="AR465" i="10"/>
  <c r="AR284" i="10"/>
  <c r="AR207" i="10"/>
  <c r="AS129" i="10"/>
  <c r="AR50" i="10"/>
  <c r="AT140" i="10"/>
  <c r="AR507" i="10"/>
  <c r="AS344" i="10"/>
  <c r="AS154" i="10"/>
  <c r="AS140" i="10"/>
  <c r="AR68" i="10"/>
  <c r="AR52" i="10"/>
  <c r="AS38" i="10"/>
  <c r="AS9" i="10"/>
  <c r="AR384" i="10"/>
  <c r="AR344" i="10"/>
  <c r="AS260" i="10"/>
  <c r="AT356" i="10"/>
  <c r="AT274" i="10"/>
  <c r="AS37" i="10"/>
  <c r="AR356" i="10"/>
  <c r="AR343" i="10"/>
  <c r="AS274" i="10"/>
  <c r="AR259" i="10"/>
  <c r="AT108" i="10"/>
  <c r="AR37" i="10"/>
  <c r="AR471" i="10"/>
  <c r="AT419" i="10"/>
  <c r="AT394" i="10"/>
  <c r="AT367" i="10"/>
  <c r="AT431" i="10"/>
  <c r="AT404" i="10"/>
  <c r="AR394" i="10"/>
  <c r="AS352" i="10"/>
  <c r="AR296" i="10"/>
  <c r="AR163" i="10"/>
  <c r="AS431" i="10"/>
  <c r="AR404" i="10"/>
  <c r="AR352" i="10"/>
  <c r="AT135" i="10"/>
  <c r="AR119" i="10"/>
  <c r="AT483" i="10"/>
  <c r="AT322" i="10"/>
  <c r="AT219" i="10"/>
  <c r="AS469" i="10"/>
  <c r="AS351" i="10"/>
  <c r="AS231" i="10"/>
  <c r="AS75" i="10"/>
  <c r="AS475" i="10"/>
  <c r="AT342" i="10"/>
  <c r="AR331" i="10"/>
  <c r="AT319" i="10"/>
  <c r="AR231" i="10"/>
  <c r="AS138" i="10"/>
  <c r="AR75" i="10"/>
  <c r="AR34" i="10"/>
  <c r="AR517" i="10"/>
  <c r="AS473" i="10"/>
  <c r="AS463" i="10"/>
  <c r="AT439" i="10"/>
  <c r="AT329" i="10"/>
  <c r="AT279" i="10"/>
  <c r="AT177" i="10"/>
  <c r="AR473" i="10"/>
  <c r="AS439" i="10"/>
  <c r="AT362" i="10"/>
  <c r="AR329" i="10"/>
  <c r="AS279" i="10"/>
  <c r="AS204" i="10"/>
  <c r="AS177" i="10"/>
  <c r="AR148" i="10"/>
  <c r="AR57" i="10"/>
  <c r="AS32" i="10"/>
  <c r="AR485" i="10"/>
  <c r="AR362" i="10"/>
  <c r="AR254" i="10"/>
  <c r="AT241" i="10"/>
  <c r="AS215" i="10"/>
  <c r="AR204" i="10"/>
  <c r="AR32" i="10"/>
  <c r="AR461" i="10"/>
  <c r="AR438" i="10"/>
  <c r="AR387" i="10"/>
  <c r="AR315" i="10"/>
  <c r="AR253" i="10"/>
  <c r="AR203" i="10"/>
  <c r="AT120" i="10"/>
  <c r="AR108" i="10"/>
  <c r="AS82" i="10"/>
  <c r="AR18" i="10"/>
  <c r="AT525" i="10"/>
  <c r="AR513" i="10"/>
  <c r="AS337" i="10"/>
  <c r="AT134" i="10"/>
  <c r="AR120" i="10"/>
  <c r="AS525" i="10"/>
  <c r="AS252" i="10"/>
  <c r="AS336" i="10"/>
  <c r="AT287" i="10"/>
  <c r="AR252" i="10"/>
  <c r="AR157" i="10"/>
  <c r="AT119" i="10"/>
  <c r="AR415" i="10"/>
  <c r="AR323" i="10"/>
  <c r="AR289" i="10"/>
  <c r="AS135" i="10"/>
  <c r="AS121" i="10"/>
  <c r="AT423" i="10"/>
  <c r="AS412" i="10"/>
  <c r="AT379" i="10"/>
  <c r="AT321" i="10"/>
  <c r="AS242" i="10"/>
  <c r="AT167" i="10"/>
  <c r="AT412" i="10"/>
  <c r="AT242" i="10"/>
  <c r="AS517" i="10"/>
  <c r="AS479" i="10"/>
  <c r="AT469" i="10"/>
  <c r="AS423" i="10"/>
  <c r="AS379" i="10"/>
  <c r="AS296" i="10"/>
  <c r="AS276" i="10"/>
  <c r="AS167" i="10"/>
  <c r="AT154" i="10"/>
  <c r="AS96" i="10"/>
  <c r="AT103" i="10"/>
  <c r="AT513" i="10"/>
  <c r="AS261" i="10"/>
  <c r="AT239" i="10"/>
  <c r="AS113" i="10"/>
  <c r="AS103" i="10"/>
  <c r="AT261" i="10"/>
  <c r="AT408" i="10"/>
  <c r="AT384" i="10"/>
  <c r="AR350" i="10"/>
  <c r="AT304" i="10"/>
  <c r="AR273" i="10"/>
  <c r="AS239" i="10"/>
  <c r="AR188" i="10"/>
  <c r="AS162" i="10"/>
  <c r="AR113" i="10"/>
  <c r="AS40" i="10"/>
  <c r="AT30" i="10"/>
  <c r="AS310" i="10"/>
  <c r="AR195" i="10"/>
  <c r="AR151" i="10"/>
  <c r="AR139" i="10"/>
  <c r="AR100" i="10"/>
  <c r="AT80" i="10"/>
  <c r="AS18" i="10"/>
  <c r="AT327" i="10"/>
  <c r="AT118" i="10"/>
  <c r="AS511" i="10"/>
  <c r="AT428" i="10"/>
  <c r="AR367" i="10"/>
  <c r="AS327" i="10"/>
  <c r="AT194" i="10"/>
  <c r="AS118" i="10"/>
  <c r="AT99" i="10"/>
  <c r="AR511" i="10"/>
  <c r="AS499" i="10"/>
  <c r="AS489" i="10"/>
  <c r="AR457" i="10"/>
  <c r="AR428" i="10"/>
  <c r="AT378" i="10"/>
  <c r="AR318" i="10"/>
  <c r="AT266" i="10"/>
  <c r="AT247" i="10"/>
  <c r="AR214" i="10"/>
  <c r="AS194" i="10"/>
  <c r="AT181" i="10"/>
  <c r="AS99" i="10"/>
  <c r="AR56" i="10"/>
  <c r="AT28" i="10"/>
  <c r="AS17" i="10"/>
  <c r="AT4" i="10"/>
  <c r="AR499" i="10"/>
  <c r="AT407" i="10"/>
  <c r="AR378" i="10"/>
  <c r="AR266" i="10"/>
  <c r="AR181" i="10"/>
  <c r="AT169" i="10"/>
  <c r="AS159" i="10"/>
  <c r="AR36" i="10"/>
  <c r="AS28" i="10"/>
  <c r="AR17" i="10"/>
  <c r="AS407" i="10"/>
  <c r="AS317" i="10"/>
  <c r="AT213" i="10"/>
  <c r="AS169" i="10"/>
  <c r="AR455" i="10"/>
  <c r="AS364" i="10"/>
  <c r="AR317" i="10"/>
  <c r="AT255" i="10"/>
  <c r="AS213" i="10"/>
  <c r="AT180" i="10"/>
  <c r="AS116" i="10"/>
  <c r="AT98" i="10"/>
  <c r="AT66" i="10"/>
  <c r="AT44" i="10"/>
  <c r="AT497" i="10"/>
  <c r="AS445" i="10"/>
  <c r="AT343" i="10"/>
  <c r="AT333" i="10"/>
  <c r="AS283" i="10"/>
  <c r="AT221" i="10"/>
  <c r="AS124" i="10"/>
  <c r="AS98" i="10"/>
  <c r="AT54" i="10"/>
  <c r="AS44" i="10"/>
  <c r="AT34" i="10"/>
  <c r="AS465" i="10"/>
  <c r="AR445" i="10"/>
  <c r="AR396" i="10"/>
  <c r="AR283" i="10"/>
  <c r="AS254" i="10"/>
  <c r="AR221" i="10"/>
  <c r="AS157" i="10"/>
  <c r="AR124" i="10"/>
  <c r="AS65" i="10"/>
  <c r="AR54" i="10"/>
  <c r="AS14" i="10"/>
  <c r="AR505" i="10"/>
  <c r="AS505" i="10"/>
  <c r="AS485" i="10"/>
  <c r="AR459" i="10"/>
  <c r="AT398" i="10"/>
  <c r="AT390" i="10"/>
  <c r="AR390" i="10"/>
  <c r="AS390" i="10"/>
  <c r="AS372" i="10"/>
  <c r="AS339" i="10"/>
  <c r="AS305" i="10"/>
  <c r="AR272" i="10"/>
  <c r="AS272" i="10"/>
  <c r="AR245" i="10"/>
  <c r="AR226" i="10"/>
  <c r="AS190" i="10"/>
  <c r="AT190" i="10"/>
  <c r="AT116" i="10"/>
  <c r="AR495" i="10"/>
  <c r="AT495" i="10"/>
  <c r="AR467" i="10"/>
  <c r="AT467" i="10"/>
  <c r="AS363" i="10"/>
  <c r="AT363" i="10"/>
  <c r="AR347" i="10"/>
  <c r="AS347" i="10"/>
  <c r="AT237" i="10"/>
  <c r="AR237" i="10"/>
  <c r="AS237" i="10"/>
  <c r="AT210" i="10"/>
  <c r="AS210" i="10"/>
  <c r="AR200" i="10"/>
  <c r="AT200" i="10"/>
  <c r="AR152" i="10"/>
  <c r="AT152" i="10"/>
  <c r="AR106" i="10"/>
  <c r="AT106" i="10"/>
  <c r="AR440" i="10"/>
  <c r="AT440" i="10"/>
  <c r="AR380" i="10"/>
  <c r="AT380" i="10"/>
  <c r="AS371" i="10"/>
  <c r="AR355" i="10"/>
  <c r="AT355" i="10"/>
  <c r="AS141" i="10"/>
  <c r="AT141" i="10"/>
  <c r="AS72" i="10"/>
  <c r="AT72" i="10"/>
  <c r="AS61" i="10"/>
  <c r="AS53" i="10"/>
  <c r="AS335" i="10"/>
  <c r="AT335" i="10"/>
  <c r="AR503" i="10"/>
  <c r="AS503" i="10"/>
  <c r="AS457" i="10"/>
  <c r="AS406" i="10"/>
  <c r="AR406" i="10"/>
  <c r="AR371" i="10"/>
  <c r="AR278" i="10"/>
  <c r="AT278" i="10"/>
  <c r="AR243" i="10"/>
  <c r="AT243" i="10"/>
  <c r="AR225" i="10"/>
  <c r="AS225" i="10"/>
  <c r="AS188" i="10"/>
  <c r="AR179" i="10"/>
  <c r="AT179" i="10"/>
  <c r="AR61" i="10"/>
  <c r="AR53" i="10"/>
  <c r="AS45" i="10"/>
  <c r="AR45" i="10"/>
  <c r="AS36" i="10"/>
  <c r="AR20" i="10"/>
  <c r="AT20" i="10"/>
  <c r="AR430" i="10"/>
  <c r="AT430" i="10"/>
  <c r="AT422" i="10"/>
  <c r="AR422" i="10"/>
  <c r="AS422" i="10"/>
  <c r="AT386" i="10"/>
  <c r="AT360" i="10"/>
  <c r="AS320" i="10"/>
  <c r="AS302" i="10"/>
  <c r="AS268" i="10"/>
  <c r="AT268" i="10"/>
  <c r="AS251" i="10"/>
  <c r="AR234" i="10"/>
  <c r="AT234" i="10"/>
  <c r="AS131" i="10"/>
  <c r="AS97" i="10"/>
  <c r="AT79" i="10"/>
  <c r="AS79" i="10"/>
  <c r="AR521" i="10"/>
  <c r="AT521" i="10"/>
  <c r="AR295" i="10"/>
  <c r="AT295" i="10"/>
  <c r="AS270" i="10"/>
  <c r="AT270" i="10"/>
  <c r="AR236" i="10"/>
  <c r="AS236" i="10"/>
  <c r="AS198" i="10"/>
  <c r="AR198" i="10"/>
  <c r="AT198" i="10"/>
  <c r="AR133" i="10"/>
  <c r="AT133" i="10"/>
  <c r="AT71" i="10"/>
  <c r="AR71" i="10"/>
  <c r="AR354" i="10"/>
  <c r="AS354" i="10"/>
  <c r="AS123" i="10"/>
  <c r="AT123" i="10"/>
  <c r="AR114" i="10"/>
  <c r="AT114" i="10"/>
  <c r="AT70" i="10"/>
  <c r="AR70" i="10"/>
  <c r="AS70" i="10"/>
  <c r="AT529" i="10"/>
  <c r="AR529" i="10"/>
  <c r="AS529" i="10"/>
  <c r="AR501" i="10"/>
  <c r="AT501" i="10"/>
  <c r="AS447" i="10"/>
  <c r="AR447" i="10"/>
  <c r="AS370" i="10"/>
  <c r="AT370" i="10"/>
  <c r="AR294" i="10"/>
  <c r="AS294" i="10"/>
  <c r="AR224" i="10"/>
  <c r="AS224" i="10"/>
  <c r="AS150" i="10"/>
  <c r="AT150" i="10"/>
  <c r="AR89" i="10"/>
  <c r="AS89" i="10"/>
  <c r="AT89" i="10"/>
  <c r="AS60" i="10"/>
  <c r="AT60" i="10"/>
  <c r="AT35" i="10"/>
  <c r="AR35" i="10"/>
  <c r="AS35" i="10"/>
  <c r="AR19" i="10"/>
  <c r="AS19" i="10"/>
  <c r="AT527" i="10"/>
  <c r="AT519" i="10"/>
  <c r="AR519" i="10"/>
  <c r="AR386" i="10"/>
  <c r="AR360" i="10"/>
  <c r="AR335" i="10"/>
  <c r="AR320" i="10"/>
  <c r="AR302" i="10"/>
  <c r="AT259" i="10"/>
  <c r="AR251" i="10"/>
  <c r="AR158" i="10"/>
  <c r="AT158" i="10"/>
  <c r="AS148" i="10"/>
  <c r="AR131" i="10"/>
  <c r="AR97" i="10"/>
  <c r="AT51" i="10"/>
  <c r="AR58" i="10"/>
  <c r="AS58" i="10"/>
  <c r="AT481" i="10"/>
  <c r="AR481" i="10"/>
  <c r="AS481" i="10"/>
  <c r="AR232" i="10"/>
  <c r="AS232" i="10"/>
  <c r="AS78" i="10"/>
  <c r="AT78" i="10"/>
  <c r="AS26" i="10"/>
  <c r="AR26" i="10"/>
  <c r="AS301" i="10"/>
  <c r="AT301" i="10"/>
  <c r="AT291" i="10"/>
  <c r="AR291" i="10"/>
  <c r="AS291" i="10"/>
  <c r="AS359" i="10"/>
  <c r="AT359" i="10"/>
  <c r="AT275" i="10"/>
  <c r="AS275" i="10"/>
  <c r="AS175" i="10"/>
  <c r="AT175" i="10"/>
  <c r="AT146" i="10"/>
  <c r="AR146" i="10"/>
  <c r="AS146" i="10"/>
  <c r="AT507" i="10"/>
  <c r="AR479" i="10"/>
  <c r="AT436" i="10"/>
  <c r="AS427" i="10"/>
  <c r="AR419" i="10"/>
  <c r="AT402" i="10"/>
  <c r="AS402" i="10"/>
  <c r="AS392" i="10"/>
  <c r="AR310" i="10"/>
  <c r="AR300" i="10"/>
  <c r="AS300" i="10"/>
  <c r="AT290" i="10"/>
  <c r="AS290" i="10"/>
  <c r="AS281" i="10"/>
  <c r="AT240" i="10"/>
  <c r="AR240" i="10"/>
  <c r="AS240" i="10"/>
  <c r="AT220" i="10"/>
  <c r="AR183" i="10"/>
  <c r="AS183" i="10"/>
  <c r="AS156" i="10"/>
  <c r="AS145" i="10"/>
  <c r="AR129" i="10"/>
  <c r="AS110" i="10"/>
  <c r="AT110" i="10"/>
  <c r="AS95" i="10"/>
  <c r="AR95" i="10"/>
  <c r="AS49" i="10"/>
  <c r="AR40" i="10"/>
  <c r="AS436" i="10"/>
  <c r="AR427" i="10"/>
  <c r="AR392" i="10"/>
  <c r="AT366" i="10"/>
  <c r="AT325" i="10"/>
  <c r="AR325" i="10"/>
  <c r="AT299" i="10"/>
  <c r="AR281" i="10"/>
  <c r="AR257" i="10"/>
  <c r="AT257" i="10"/>
  <c r="AR220" i="10"/>
  <c r="AS203" i="10"/>
  <c r="AT174" i="10"/>
  <c r="AR174" i="10"/>
  <c r="AS163" i="10"/>
  <c r="AR145" i="10"/>
  <c r="AT137" i="10"/>
  <c r="AR94" i="10"/>
  <c r="AT76" i="10"/>
  <c r="AR76" i="10"/>
  <c r="AS76" i="10"/>
  <c r="AT56" i="10"/>
  <c r="AR49" i="10"/>
  <c r="AS24" i="10"/>
  <c r="AT24" i="10"/>
  <c r="AS15" i="10"/>
  <c r="AR15" i="10"/>
  <c r="AR487" i="10"/>
  <c r="AT487" i="10"/>
  <c r="AT435" i="10"/>
  <c r="AR435" i="10"/>
  <c r="AS435" i="10"/>
  <c r="AR418" i="10"/>
  <c r="AS418" i="10"/>
  <c r="AR256" i="10"/>
  <c r="AS256" i="10"/>
  <c r="AR182" i="10"/>
  <c r="AS182" i="10"/>
  <c r="AS83" i="10"/>
  <c r="AT83" i="10"/>
  <c r="AS59" i="10"/>
  <c r="AT59" i="10"/>
  <c r="AS434" i="10"/>
  <c r="AR434" i="10"/>
  <c r="AT308" i="10"/>
  <c r="AS308" i="10"/>
  <c r="AS280" i="10"/>
  <c r="AT280" i="10"/>
  <c r="AR228" i="10"/>
  <c r="AS228" i="10"/>
  <c r="AT172" i="10"/>
  <c r="AS172" i="10"/>
  <c r="AT136" i="10"/>
  <c r="AR136" i="10"/>
  <c r="AS136" i="10"/>
  <c r="AS93" i="10"/>
  <c r="AT93" i="10"/>
  <c r="AS48" i="10"/>
  <c r="AT48" i="10"/>
  <c r="AS23" i="10"/>
  <c r="AT23" i="10"/>
  <c r="AR383" i="10"/>
  <c r="AS383" i="10"/>
  <c r="AT264" i="10"/>
  <c r="AS264" i="10"/>
  <c r="AT193" i="10"/>
  <c r="AR193" i="10"/>
  <c r="AS193" i="10"/>
  <c r="AR477" i="10"/>
  <c r="AS477" i="10"/>
  <c r="AR399" i="10"/>
  <c r="AT399" i="10"/>
  <c r="AR391" i="10"/>
  <c r="AR364" i="10"/>
  <c r="AR348" i="10"/>
  <c r="AT348" i="10"/>
  <c r="AR340" i="10"/>
  <c r="AS340" i="10"/>
  <c r="AS263" i="10"/>
  <c r="AT263" i="10"/>
  <c r="AS238" i="10"/>
  <c r="AR162" i="10"/>
  <c r="AS125" i="10"/>
  <c r="AS74" i="10"/>
  <c r="AR74" i="10"/>
  <c r="AT74" i="10"/>
  <c r="AR55" i="10"/>
  <c r="AS55" i="10"/>
  <c r="AT112" i="10"/>
  <c r="AR112" i="10"/>
  <c r="AT515" i="10"/>
  <c r="AR515" i="10"/>
  <c r="AS515" i="10"/>
  <c r="AR341" i="10"/>
  <c r="AS341" i="10"/>
  <c r="AT173" i="10"/>
  <c r="AR173" i="10"/>
  <c r="AS173" i="10"/>
  <c r="AS155" i="10"/>
  <c r="AR155" i="10"/>
  <c r="AT155" i="10"/>
  <c r="AT3" i="10"/>
  <c r="AS3" i="10"/>
  <c r="AT505" i="10"/>
  <c r="AT459" i="10"/>
  <c r="AT372" i="10"/>
  <c r="AT339" i="10"/>
  <c r="AS316" i="10"/>
  <c r="AT316" i="10"/>
  <c r="AR297" i="10"/>
  <c r="AT297" i="10"/>
  <c r="AT272" i="10"/>
  <c r="AS245" i="10"/>
  <c r="AR238" i="10"/>
  <c r="AT226" i="10"/>
  <c r="AR190" i="10"/>
  <c r="AS142" i="10"/>
  <c r="AR125" i="10"/>
  <c r="AS13" i="10"/>
  <c r="AT13" i="10"/>
  <c r="AT461" i="10"/>
  <c r="AT455" i="10"/>
  <c r="AT323" i="10"/>
  <c r="AT318" i="10"/>
  <c r="AT253" i="10"/>
  <c r="AT100" i="10"/>
  <c r="AT337" i="10"/>
  <c r="AS331" i="10"/>
  <c r="AT207" i="10"/>
  <c r="AT139" i="10"/>
  <c r="AS81" i="10"/>
  <c r="AT38" i="10"/>
  <c r="AT8" i="10"/>
  <c r="AS8" i="10"/>
  <c r="AT5" i="10"/>
  <c r="AS12" i="10"/>
  <c r="AS4" i="10"/>
  <c r="AT509" i="10"/>
  <c r="AT489" i="10"/>
  <c r="AT475" i="10"/>
  <c r="AT375" i="10"/>
  <c r="AT159" i="10"/>
  <c r="AT121" i="10"/>
  <c r="AT96" i="10"/>
  <c r="AT82" i="10"/>
  <c r="AT64" i="10"/>
  <c r="AT47" i="10"/>
  <c r="AT39" i="10"/>
  <c r="AT16" i="10"/>
  <c r="AS16" i="10"/>
  <c r="AR400" i="10"/>
  <c r="AT338" i="10"/>
  <c r="AR332" i="10"/>
  <c r="AR304" i="10"/>
  <c r="AR298" i="10"/>
  <c r="AR260" i="10"/>
  <c r="AR247" i="10"/>
  <c r="AT215" i="10"/>
  <c r="AR165" i="10"/>
  <c r="AS134" i="10"/>
  <c r="AR115" i="10"/>
  <c r="AS57" i="10"/>
  <c r="AS21" i="10"/>
  <c r="AT33" i="10"/>
  <c r="AS33" i="10"/>
  <c r="AS512" i="10"/>
  <c r="AT512" i="10"/>
  <c r="AS472" i="10"/>
  <c r="AT472" i="10"/>
  <c r="AT311" i="10"/>
  <c r="AS311" i="10"/>
  <c r="AR303" i="10"/>
  <c r="AS303" i="10"/>
  <c r="AT303" i="10"/>
  <c r="AS250" i="10"/>
  <c r="AT250" i="10"/>
  <c r="AR176" i="10"/>
  <c r="AS176" i="10"/>
  <c r="AS126" i="10"/>
  <c r="AT126" i="10"/>
  <c r="AS523" i="10"/>
  <c r="AR506" i="10"/>
  <c r="AS506" i="10"/>
  <c r="AS483" i="10"/>
  <c r="AR466" i="10"/>
  <c r="AS466" i="10"/>
  <c r="AS443" i="10"/>
  <c r="AR426" i="10"/>
  <c r="AS426" i="10"/>
  <c r="AT426" i="10"/>
  <c r="AS420" i="10"/>
  <c r="AT396" i="10"/>
  <c r="AT350" i="10"/>
  <c r="AS255" i="10"/>
  <c r="AT249" i="10"/>
  <c r="AS243" i="10"/>
  <c r="AS233" i="10"/>
  <c r="AT233" i="10"/>
  <c r="AR233" i="10"/>
  <c r="AS66" i="10"/>
  <c r="AS43" i="10"/>
  <c r="AS500" i="10"/>
  <c r="AT500" i="10"/>
  <c r="AS460" i="10"/>
  <c r="AT460" i="10"/>
  <c r="AR437" i="10"/>
  <c r="AS437" i="10"/>
  <c r="AT437" i="10"/>
  <c r="AR414" i="10"/>
  <c r="AS414" i="10"/>
  <c r="AR373" i="10"/>
  <c r="AS373" i="10"/>
  <c r="AT373" i="10"/>
  <c r="AS214" i="10"/>
  <c r="AR208" i="10"/>
  <c r="AS208" i="10"/>
  <c r="AR201" i="10"/>
  <c r="AS201" i="10"/>
  <c r="AR43" i="10"/>
  <c r="AS516" i="10"/>
  <c r="AT516" i="10"/>
  <c r="AS476" i="10"/>
  <c r="AT476" i="10"/>
  <c r="AR349" i="10"/>
  <c r="AS349" i="10"/>
  <c r="AT349" i="10"/>
  <c r="AR309" i="10"/>
  <c r="AS309" i="10"/>
  <c r="AT309" i="10"/>
  <c r="AR186" i="10"/>
  <c r="AS186" i="10"/>
  <c r="AS527" i="10"/>
  <c r="AR510" i="10"/>
  <c r="AS510" i="10"/>
  <c r="AS487" i="10"/>
  <c r="AR470" i="10"/>
  <c r="AS470" i="10"/>
  <c r="AS206" i="10"/>
  <c r="AT206" i="10"/>
  <c r="AR206" i="10"/>
  <c r="AR142" i="10"/>
  <c r="AS112" i="10"/>
  <c r="AR41" i="10"/>
  <c r="AS41" i="10"/>
  <c r="AR7" i="10"/>
  <c r="AS7" i="10"/>
  <c r="AS484" i="10"/>
  <c r="AT484" i="10"/>
  <c r="AS504" i="10"/>
  <c r="AT504" i="10"/>
  <c r="AS464" i="10"/>
  <c r="AT464" i="10"/>
  <c r="AR388" i="10"/>
  <c r="AS388" i="10"/>
  <c r="AT388" i="10"/>
  <c r="AR199" i="10"/>
  <c r="AS199" i="10"/>
  <c r="AT199" i="10"/>
  <c r="AR6" i="10"/>
  <c r="AS6" i="10"/>
  <c r="AT6" i="10"/>
  <c r="AS132" i="10"/>
  <c r="AT132" i="10"/>
  <c r="AR42" i="10"/>
  <c r="AS42" i="10"/>
  <c r="AT42" i="10"/>
  <c r="AR498" i="10"/>
  <c r="AS498" i="10"/>
  <c r="AR458" i="10"/>
  <c r="AS458" i="10"/>
  <c r="AR192" i="10"/>
  <c r="AS192" i="10"/>
  <c r="AR166" i="10"/>
  <c r="AS166" i="10"/>
  <c r="AT166" i="10"/>
  <c r="AR11" i="10"/>
  <c r="AS11" i="10"/>
  <c r="AS496" i="10"/>
  <c r="AT496" i="10"/>
  <c r="AS456" i="10"/>
  <c r="AT456" i="10"/>
  <c r="AR27" i="10"/>
  <c r="AS27" i="10"/>
  <c r="AR357" i="10"/>
  <c r="AS357" i="10"/>
  <c r="AT357" i="10"/>
  <c r="AR285" i="10"/>
  <c r="AS285" i="10"/>
  <c r="AT285" i="10"/>
  <c r="AR478" i="10"/>
  <c r="AS478" i="10"/>
  <c r="AR397" i="10"/>
  <c r="AS397" i="10"/>
  <c r="AT397" i="10"/>
  <c r="AS328" i="10"/>
  <c r="AT328" i="10"/>
  <c r="AR328" i="10"/>
  <c r="AS374" i="10"/>
  <c r="AT374" i="10"/>
  <c r="AS448" i="10"/>
  <c r="AT448" i="10"/>
  <c r="AR522" i="10"/>
  <c r="AS522" i="10"/>
  <c r="AR161" i="10"/>
  <c r="AS161" i="10"/>
  <c r="AS452" i="10"/>
  <c r="AT452" i="10"/>
  <c r="AS230" i="10"/>
  <c r="AT230" i="10"/>
  <c r="AR526" i="10"/>
  <c r="AS526" i="10"/>
  <c r="AR486" i="10"/>
  <c r="AS486" i="10"/>
  <c r="AR446" i="10"/>
  <c r="AS446" i="10"/>
  <c r="AR377" i="10"/>
  <c r="AS377" i="10"/>
  <c r="AT377" i="10"/>
  <c r="AR306" i="10"/>
  <c r="AS306" i="10"/>
  <c r="AT306" i="10"/>
  <c r="AR104" i="10"/>
  <c r="AS104" i="10"/>
  <c r="AS87" i="10"/>
  <c r="AT87" i="10"/>
  <c r="AR502" i="10"/>
  <c r="AS502" i="10"/>
  <c r="AR462" i="10"/>
  <c r="AS462" i="10"/>
  <c r="AS235" i="10"/>
  <c r="AT235" i="10"/>
  <c r="AR222" i="10"/>
  <c r="AS222" i="10"/>
  <c r="AR85" i="10"/>
  <c r="AS85" i="10"/>
  <c r="AR450" i="10"/>
  <c r="AS450" i="10"/>
  <c r="AS127" i="10"/>
  <c r="AT127" i="10"/>
  <c r="AR518" i="10"/>
  <c r="AS518" i="10"/>
  <c r="AR425" i="10"/>
  <c r="AS425" i="10"/>
  <c r="AT425" i="10"/>
  <c r="AR482" i="10"/>
  <c r="AS482" i="10"/>
  <c r="AT531" i="10"/>
  <c r="AS520" i="10"/>
  <c r="AT520" i="10"/>
  <c r="AT491" i="10"/>
  <c r="AS480" i="10"/>
  <c r="AT480" i="10"/>
  <c r="AT451" i="10"/>
  <c r="AR324" i="10"/>
  <c r="AS324" i="10"/>
  <c r="AT324" i="10"/>
  <c r="AR314" i="10"/>
  <c r="AS314" i="10"/>
  <c r="AR258" i="10"/>
  <c r="AS258" i="10"/>
  <c r="AR229" i="10"/>
  <c r="AS229" i="10"/>
  <c r="AT178" i="10"/>
  <c r="AS147" i="10"/>
  <c r="AT147" i="10"/>
  <c r="AS117" i="10"/>
  <c r="AT117" i="10"/>
  <c r="AS111" i="10"/>
  <c r="AT111" i="10"/>
  <c r="AR369" i="10"/>
  <c r="AS369" i="10"/>
  <c r="AT369" i="10"/>
  <c r="AS330" i="10"/>
  <c r="AT330" i="10"/>
  <c r="AS269" i="10"/>
  <c r="AT269" i="10"/>
  <c r="AR490" i="10"/>
  <c r="AS490" i="10"/>
  <c r="AR433" i="10"/>
  <c r="AS433" i="10"/>
  <c r="AT433" i="10"/>
  <c r="AR346" i="10"/>
  <c r="AS346" i="10"/>
  <c r="AT346" i="10"/>
  <c r="AR293" i="10"/>
  <c r="AS293" i="10"/>
  <c r="AS524" i="10"/>
  <c r="AT524" i="10"/>
  <c r="AS102" i="10"/>
  <c r="AT102" i="10"/>
  <c r="AS209" i="10"/>
  <c r="AT209" i="10"/>
  <c r="AR454" i="10"/>
  <c r="AS454" i="10"/>
  <c r="AR107" i="10"/>
  <c r="AS107" i="10"/>
  <c r="AT107" i="10"/>
  <c r="AS528" i="10"/>
  <c r="AT528" i="10"/>
  <c r="AS488" i="10"/>
  <c r="AT488" i="10"/>
  <c r="AR401" i="10"/>
  <c r="AS401" i="10"/>
  <c r="AT401" i="10"/>
  <c r="AT77" i="10"/>
  <c r="AS77" i="10"/>
  <c r="AR442" i="10"/>
  <c r="AS442" i="10"/>
  <c r="AS492" i="10"/>
  <c r="AT492" i="10"/>
  <c r="AR429" i="10"/>
  <c r="AS429" i="10"/>
  <c r="AT429" i="10"/>
  <c r="AS531" i="10"/>
  <c r="AR514" i="10"/>
  <c r="AS514" i="10"/>
  <c r="AS491" i="10"/>
  <c r="AR474" i="10"/>
  <c r="AS474" i="10"/>
  <c r="AS451" i="10"/>
  <c r="AT434" i="10"/>
  <c r="AT410" i="10"/>
  <c r="AR376" i="10"/>
  <c r="AS376" i="10"/>
  <c r="AR353" i="10"/>
  <c r="AS353" i="10"/>
  <c r="AT353" i="10"/>
  <c r="AR336" i="10"/>
  <c r="AS178" i="10"/>
  <c r="AR62" i="10"/>
  <c r="AS62" i="10"/>
  <c r="AT62" i="10"/>
  <c r="AS46" i="10"/>
  <c r="AT46" i="10"/>
  <c r="AR46" i="10"/>
  <c r="AT22" i="10"/>
  <c r="AS416" i="10"/>
  <c r="AT416" i="10"/>
  <c r="AR530" i="10"/>
  <c r="AS530" i="10"/>
  <c r="AR171" i="10"/>
  <c r="AS171" i="10"/>
  <c r="AS444" i="10"/>
  <c r="AT444" i="10"/>
  <c r="AR244" i="10"/>
  <c r="AS244" i="10"/>
  <c r="AT244" i="10"/>
  <c r="AR345" i="10"/>
  <c r="AS345" i="10"/>
  <c r="AT345" i="10"/>
  <c r="AR494" i="10"/>
  <c r="AS494" i="10"/>
  <c r="AS168" i="10"/>
  <c r="AT168" i="10"/>
  <c r="AR168" i="10"/>
  <c r="AS191" i="10"/>
  <c r="AT191" i="10"/>
  <c r="AR191" i="10"/>
  <c r="AS508" i="10"/>
  <c r="AT508" i="10"/>
  <c r="AT502" i="10"/>
  <c r="AS468" i="10"/>
  <c r="AT468" i="10"/>
  <c r="AT462" i="10"/>
  <c r="AR416" i="10"/>
  <c r="AS410" i="10"/>
  <c r="AR330" i="10"/>
  <c r="AR269" i="10"/>
  <c r="AR235" i="10"/>
  <c r="AT228" i="10"/>
  <c r="AR223" i="10"/>
  <c r="AS223" i="10"/>
  <c r="AT223" i="10"/>
  <c r="AR217" i="10"/>
  <c r="AS217" i="10"/>
  <c r="AR197" i="10"/>
  <c r="AS197" i="10"/>
  <c r="AS92" i="10"/>
  <c r="AR86" i="10"/>
  <c r="AS86" i="10"/>
  <c r="AT11" i="10"/>
  <c r="AR187" i="10"/>
  <c r="AS187" i="10"/>
  <c r="AR105" i="10"/>
  <c r="AS105" i="10"/>
  <c r="AT105" i="10"/>
  <c r="AR405" i="10"/>
  <c r="AS405" i="10"/>
  <c r="AT405" i="10"/>
  <c r="AS273" i="10"/>
  <c r="AS248" i="10"/>
  <c r="AT248" i="10"/>
  <c r="AR202" i="10"/>
  <c r="AS202" i="10"/>
  <c r="AT202" i="10"/>
  <c r="AS130" i="10"/>
  <c r="AS115" i="10"/>
  <c r="AR381" i="10"/>
  <c r="AS381" i="10"/>
  <c r="AT381" i="10"/>
  <c r="AR288" i="10"/>
  <c r="AS288" i="10"/>
  <c r="AS212" i="10"/>
  <c r="AT212" i="10"/>
  <c r="AS31" i="10"/>
  <c r="AT31" i="10"/>
  <c r="AR409" i="10"/>
  <c r="AS409" i="10"/>
  <c r="AT409" i="10"/>
  <c r="AS227" i="10"/>
  <c r="AT227" i="10"/>
  <c r="AS90" i="10"/>
  <c r="AT90" i="10"/>
  <c r="AR84" i="10"/>
  <c r="AS84" i="10"/>
  <c r="AT84" i="10"/>
  <c r="AS50" i="10"/>
  <c r="AR25" i="10"/>
  <c r="AS25" i="10"/>
  <c r="AT25" i="10"/>
  <c r="AR413" i="10"/>
  <c r="AS413" i="10"/>
  <c r="AT413" i="10"/>
  <c r="AS408" i="10"/>
  <c r="AS366" i="10"/>
  <c r="AS338" i="10"/>
  <c r="AS313" i="10"/>
  <c r="AT313" i="10"/>
  <c r="AS205" i="10"/>
  <c r="AS180" i="10"/>
  <c r="AS144" i="10"/>
  <c r="AS94" i="10"/>
  <c r="AS5" i="10"/>
  <c r="AS441" i="10"/>
  <c r="AT441" i="10"/>
  <c r="AR361" i="10"/>
  <c r="AS361" i="10"/>
  <c r="AT361" i="10"/>
  <c r="AS292" i="10"/>
  <c r="AT292" i="10"/>
  <c r="AS170" i="10"/>
  <c r="AT170" i="10"/>
  <c r="AR164" i="10"/>
  <c r="AS164" i="10"/>
  <c r="AT164" i="10"/>
  <c r="AR149" i="10"/>
  <c r="AS149" i="10"/>
  <c r="AS10" i="10"/>
  <c r="AT10" i="10"/>
  <c r="AR389" i="10"/>
  <c r="AS389" i="10"/>
  <c r="AT389" i="10"/>
  <c r="AS307" i="10"/>
  <c r="AT307" i="10"/>
  <c r="AR246" i="10"/>
  <c r="AS246" i="10"/>
  <c r="AR63" i="10"/>
  <c r="AS63" i="10"/>
  <c r="AT63" i="10"/>
  <c r="AR417" i="10"/>
  <c r="AS417" i="10"/>
  <c r="AT417" i="10"/>
  <c r="AS286" i="10"/>
  <c r="AT286" i="10"/>
  <c r="AR128" i="10"/>
  <c r="AS128" i="10"/>
  <c r="AS88" i="10"/>
  <c r="AT88" i="10"/>
  <c r="AS29" i="10"/>
  <c r="AT29" i="10"/>
  <c r="AR282" i="10"/>
  <c r="AS282" i="10"/>
  <c r="AT282" i="10"/>
  <c r="AS109" i="10"/>
  <c r="AT109" i="10"/>
  <c r="AR69" i="10"/>
  <c r="AS69" i="10"/>
  <c r="AR365" i="10"/>
  <c r="AS365" i="10"/>
  <c r="AT365" i="10"/>
  <c r="AS271" i="10"/>
  <c r="AT271" i="10"/>
  <c r="AR143" i="10"/>
  <c r="AS143" i="10"/>
  <c r="AT143" i="10"/>
  <c r="AS73" i="10"/>
  <c r="AT73" i="10"/>
  <c r="AR14" i="10"/>
  <c r="AR385" i="10"/>
  <c r="AS385" i="10"/>
  <c r="AT385" i="10"/>
  <c r="AR393" i="10"/>
  <c r="AS393" i="10"/>
  <c r="AT393" i="10"/>
  <c r="AR265" i="10"/>
  <c r="AS265" i="10"/>
  <c r="AT265" i="10"/>
  <c r="AS189" i="10"/>
  <c r="AT189" i="10"/>
  <c r="AR267" i="10"/>
  <c r="AS267" i="10"/>
  <c r="AR185" i="10"/>
  <c r="AS185" i="10"/>
  <c r="AT185" i="10"/>
  <c r="AR421" i="10"/>
  <c r="AS421" i="10"/>
  <c r="AT421" i="10"/>
  <c r="AR326" i="10"/>
  <c r="AS326" i="10"/>
  <c r="AS153" i="10"/>
  <c r="AT153" i="10"/>
  <c r="AR122" i="10"/>
  <c r="AS122" i="10"/>
  <c r="AT122" i="10"/>
  <c r="AS67" i="10"/>
  <c r="AT67" i="10"/>
  <c r="AS299" i="10"/>
  <c r="AS219" i="10"/>
  <c r="AS160" i="10"/>
  <c r="AR2" i="10"/>
  <c r="AS2" i="10"/>
  <c r="B3" i="24"/>
  <c r="C23" i="24"/>
  <c r="C24" i="24"/>
  <c r="C26" i="24"/>
  <c r="C28" i="24"/>
  <c r="G17" i="24"/>
  <c r="G18" i="24"/>
  <c r="G20" i="24"/>
  <c r="K7" i="21"/>
  <c r="K8" i="21"/>
  <c r="K9" i="21"/>
  <c r="C9" i="22"/>
  <c r="C12" i="22"/>
  <c r="C25" i="24"/>
  <c r="C30" i="22" a="1"/>
  <c r="G19" i="24"/>
  <c r="F28" i="22"/>
  <c r="F29" i="22" s="1"/>
  <c r="G21" i="24"/>
  <c r="G22" i="24"/>
  <c r="B3" i="22"/>
  <c r="K5" i="21"/>
  <c r="B3" i="23"/>
  <c r="F30" i="22"/>
  <c r="K6" i="21"/>
  <c r="H7" i="22"/>
  <c r="F9" i="23" a="1"/>
  <c r="G7" i="22"/>
  <c r="F7" i="22"/>
  <c r="D19" i="23"/>
  <c r="E7" i="22" a="1"/>
  <c r="C19" i="23"/>
  <c r="D7" i="22" a="1"/>
  <c r="G10" i="22"/>
  <c r="C26" i="23"/>
  <c r="F26" i="23" s="1"/>
  <c r="F10" i="22"/>
  <c r="C15" i="24"/>
  <c r="G10" i="24"/>
  <c r="C18" i="23"/>
  <c r="C27" i="22"/>
  <c r="E12" i="22" a="1"/>
  <c r="D9" i="22" a="1"/>
  <c r="G9" i="24"/>
  <c r="D18" i="23"/>
  <c r="C8" i="23"/>
  <c r="F12" i="22"/>
  <c r="E9" i="22" a="1"/>
  <c r="G8" i="24"/>
  <c r="D8" i="23"/>
  <c r="G12" i="22"/>
  <c r="F9" i="22"/>
  <c r="G7" i="24"/>
  <c r="C17" i="23"/>
  <c r="F8" i="23" a="1"/>
  <c r="C20" i="22"/>
  <c r="C17" i="24" s="1"/>
  <c r="H12" i="22"/>
  <c r="G9" i="22"/>
  <c r="D17" i="23"/>
  <c r="H9" i="22"/>
  <c r="E20" i="22"/>
  <c r="D11" i="22" a="1"/>
  <c r="C7" i="23"/>
  <c r="F20" i="22"/>
  <c r="E11" i="22" a="1"/>
  <c r="C16" i="23"/>
  <c r="D7" i="23"/>
  <c r="D9" i="24" s="1"/>
  <c r="G20" i="22"/>
  <c r="D16" i="23"/>
  <c r="C19" i="22"/>
  <c r="C16" i="24" s="1"/>
  <c r="F11" i="22"/>
  <c r="E8" i="22" a="1"/>
  <c r="F7" i="23" a="1"/>
  <c r="C10" i="23"/>
  <c r="D10" i="23"/>
  <c r="D8" i="24" s="1"/>
  <c r="F19" i="22"/>
  <c r="C10" i="22"/>
  <c r="H8" i="22"/>
  <c r="F10" i="23" a="1"/>
  <c r="C7" i="22"/>
  <c r="C11" i="22"/>
  <c r="C8" i="22"/>
  <c r="D8" i="22" a="1"/>
  <c r="G11" i="22"/>
  <c r="F8" i="22"/>
  <c r="E19" i="22"/>
  <c r="H11" i="22"/>
  <c r="G8" i="22"/>
  <c r="G19" i="22"/>
  <c r="D10" i="22" a="1"/>
  <c r="C28" i="22" a="1"/>
  <c r="C28" i="23"/>
  <c r="F28" i="23" s="1"/>
  <c r="E10" i="22" a="1"/>
  <c r="D9" i="23"/>
  <c r="D7" i="24" s="1"/>
  <c r="C9" i="23"/>
  <c r="D25" i="24"/>
  <c r="E16" i="23"/>
  <c r="D23" i="24"/>
  <c r="D28" i="24"/>
  <c r="D26" i="24"/>
  <c r="D24" i="24"/>
  <c r="D27" i="24"/>
  <c r="C29" i="24"/>
  <c r="E18" i="23"/>
  <c r="C21" i="22"/>
  <c r="D18" i="22" s="1"/>
  <c r="G11" i="24"/>
  <c r="E17" i="23"/>
  <c r="F17" i="23"/>
  <c r="E10" i="23"/>
  <c r="C8" i="24"/>
  <c r="F16" i="23"/>
  <c r="G23" i="24"/>
  <c r="C9" i="24"/>
  <c r="E7" i="23"/>
  <c r="F18" i="23"/>
  <c r="D20" i="22"/>
  <c r="D17" i="24" s="1"/>
  <c r="D19" i="22"/>
  <c r="D16" i="24" s="1"/>
  <c r="H17" i="24"/>
  <c r="H18" i="24"/>
  <c r="H19" i="24"/>
  <c r="H20" i="24"/>
  <c r="H21" i="24"/>
  <c r="H22" i="24"/>
  <c r="D29" i="24"/>
  <c r="W100" i="10" l="1"/>
  <c r="W139" i="10"/>
  <c r="W140" i="10"/>
  <c r="W141" i="10"/>
  <c r="W142" i="10"/>
  <c r="W143" i="10"/>
  <c r="W144" i="10"/>
  <c r="W145" i="10"/>
  <c r="W146" i="10"/>
  <c r="W147" i="10"/>
  <c r="W148" i="10"/>
  <c r="W149" i="10"/>
  <c r="W150" i="10"/>
  <c r="W151" i="10"/>
  <c r="W152" i="10"/>
  <c r="W153" i="10"/>
  <c r="W154" i="10"/>
  <c r="W155" i="10"/>
  <c r="W156" i="10"/>
  <c r="W157" i="10"/>
  <c r="W158" i="10"/>
  <c r="W159" i="10"/>
  <c r="W160" i="10"/>
  <c r="W161" i="10"/>
  <c r="W162" i="10"/>
  <c r="W163" i="10"/>
  <c r="W164" i="10"/>
  <c r="W165" i="10"/>
  <c r="W166" i="10"/>
  <c r="W167" i="10"/>
  <c r="W168" i="10"/>
  <c r="W169" i="10"/>
  <c r="W170" i="10"/>
  <c r="W171" i="10"/>
  <c r="W172" i="10"/>
  <c r="W173" i="10"/>
  <c r="W174" i="10"/>
  <c r="W175" i="10"/>
  <c r="W176" i="10"/>
  <c r="W177" i="10"/>
  <c r="W178" i="10"/>
  <c r="W179" i="10"/>
  <c r="W180" i="10"/>
  <c r="W181" i="10"/>
  <c r="W182" i="10"/>
  <c r="W183" i="10"/>
  <c r="W184" i="10"/>
  <c r="W185" i="10"/>
  <c r="W186" i="10"/>
  <c r="W187" i="10"/>
  <c r="W188" i="10"/>
  <c r="W189" i="10"/>
  <c r="W190" i="10"/>
  <c r="W191" i="10"/>
  <c r="W192" i="10"/>
  <c r="W193" i="10"/>
  <c r="W194" i="10"/>
  <c r="W195" i="10"/>
  <c r="W196" i="10"/>
  <c r="W197" i="10"/>
  <c r="W198" i="10"/>
  <c r="W199" i="10"/>
  <c r="W200" i="10"/>
  <c r="W201" i="10"/>
  <c r="W202" i="10"/>
  <c r="W203" i="10"/>
  <c r="W204" i="10"/>
  <c r="W205" i="10"/>
  <c r="W206" i="10"/>
  <c r="W207" i="10"/>
  <c r="W208" i="10"/>
  <c r="W209" i="10"/>
  <c r="W210" i="10"/>
  <c r="W211" i="10"/>
  <c r="W212" i="10"/>
  <c r="W213" i="10"/>
  <c r="W214" i="10"/>
  <c r="W215" i="10"/>
  <c r="W216" i="10"/>
  <c r="W217" i="10"/>
  <c r="W218" i="10"/>
  <c r="W219" i="10"/>
  <c r="W220" i="10"/>
  <c r="W221" i="10"/>
  <c r="W222" i="10"/>
  <c r="W223" i="10"/>
  <c r="W224" i="10"/>
  <c r="W225" i="10"/>
  <c r="W226" i="10"/>
  <c r="W227" i="10"/>
  <c r="W228" i="10"/>
  <c r="W229" i="10"/>
  <c r="W230" i="10"/>
  <c r="W231" i="10"/>
  <c r="W232" i="10"/>
  <c r="W233" i="10"/>
  <c r="W234" i="10"/>
  <c r="W235" i="10"/>
  <c r="W236" i="10"/>
  <c r="W237" i="10"/>
  <c r="W238" i="10"/>
  <c r="W239" i="10"/>
  <c r="W240" i="10"/>
  <c r="W241" i="10"/>
  <c r="W242" i="10"/>
  <c r="W243" i="10"/>
  <c r="W244" i="10"/>
  <c r="W245" i="10"/>
  <c r="W246" i="10"/>
  <c r="W247" i="10"/>
  <c r="W248" i="10"/>
  <c r="W249" i="10"/>
  <c r="W250" i="10"/>
  <c r="W251" i="10"/>
  <c r="W252" i="10"/>
  <c r="W253" i="10"/>
  <c r="W254" i="10"/>
  <c r="W255" i="10"/>
  <c r="W256" i="10"/>
  <c r="W257" i="10"/>
  <c r="W258" i="10"/>
  <c r="W259" i="10"/>
  <c r="W260" i="10"/>
  <c r="W261" i="10"/>
  <c r="W262" i="10"/>
  <c r="W263" i="10"/>
  <c r="W264" i="10"/>
  <c r="W265" i="10"/>
  <c r="W266" i="10"/>
  <c r="W267" i="10"/>
  <c r="W268" i="10"/>
  <c r="W269" i="10"/>
  <c r="W270" i="10"/>
  <c r="W271" i="10"/>
  <c r="W272" i="10"/>
  <c r="W273" i="10"/>
  <c r="W274" i="10"/>
  <c r="W275" i="10"/>
  <c r="W276" i="10"/>
  <c r="W277" i="10"/>
  <c r="W278" i="10"/>
  <c r="W279" i="10"/>
  <c r="W280" i="10"/>
  <c r="W281" i="10"/>
  <c r="W282" i="10"/>
  <c r="W283" i="10"/>
  <c r="W284" i="10"/>
  <c r="W285" i="10"/>
  <c r="W286" i="10"/>
  <c r="W287" i="10"/>
  <c r="W288" i="10"/>
  <c r="W289" i="10"/>
  <c r="W290" i="10"/>
  <c r="W291" i="10"/>
  <c r="W292" i="10"/>
  <c r="W293" i="10"/>
  <c r="W294" i="10"/>
  <c r="W295" i="10"/>
  <c r="W296" i="10"/>
  <c r="W297" i="10"/>
  <c r="W298" i="10"/>
  <c r="W299" i="10"/>
  <c r="W300" i="10"/>
  <c r="W301" i="10"/>
  <c r="W302" i="10"/>
  <c r="W303" i="10"/>
  <c r="W304" i="10"/>
  <c r="W305" i="10"/>
  <c r="W306" i="10"/>
  <c r="W307" i="10"/>
  <c r="W308" i="10"/>
  <c r="W309" i="10"/>
  <c r="W310" i="10"/>
  <c r="W311" i="10"/>
  <c r="W312" i="10"/>
  <c r="W313" i="10"/>
  <c r="W314" i="10"/>
  <c r="W315" i="10"/>
  <c r="W316" i="10"/>
  <c r="W317" i="10"/>
  <c r="W318" i="10"/>
  <c r="W319" i="10"/>
  <c r="X3" i="28"/>
  <c r="X4" i="28"/>
  <c r="X5" i="28"/>
  <c r="X6" i="28"/>
  <c r="X7" i="28"/>
  <c r="X8" i="28"/>
  <c r="X9" i="28"/>
  <c r="X10" i="28"/>
  <c r="X11" i="28"/>
  <c r="X12" i="28"/>
  <c r="X13" i="28"/>
  <c r="X14" i="28"/>
  <c r="X15" i="28"/>
  <c r="X16" i="28"/>
  <c r="X17" i="28"/>
  <c r="X18" i="28"/>
  <c r="X19" i="28"/>
  <c r="X20" i="28"/>
  <c r="X21" i="28"/>
  <c r="X22" i="28"/>
  <c r="X23" i="28"/>
  <c r="X24" i="28"/>
  <c r="X25" i="28"/>
  <c r="X26" i="28"/>
  <c r="X27" i="28"/>
  <c r="X28" i="28"/>
  <c r="X29" i="28"/>
  <c r="X30" i="28"/>
  <c r="X31" i="28"/>
  <c r="X32" i="28"/>
  <c r="X33" i="28"/>
  <c r="X34" i="28"/>
  <c r="X35" i="28"/>
  <c r="X36" i="28"/>
  <c r="X37" i="28"/>
  <c r="X38" i="28"/>
  <c r="X39" i="28"/>
  <c r="X40" i="28"/>
  <c r="X41" i="28"/>
  <c r="X42" i="28"/>
  <c r="X43" i="28"/>
  <c r="X44" i="28"/>
  <c r="X45" i="28"/>
  <c r="X46" i="28"/>
  <c r="X47" i="28"/>
  <c r="X48" i="28"/>
  <c r="X49" i="28"/>
  <c r="X50" i="28"/>
  <c r="X51" i="28"/>
  <c r="X52" i="28"/>
  <c r="X53" i="28"/>
  <c r="X54" i="28"/>
  <c r="X55" i="28"/>
  <c r="X56" i="28"/>
  <c r="X57" i="28"/>
  <c r="X58" i="28"/>
  <c r="X59" i="28"/>
  <c r="X60" i="28"/>
  <c r="X61" i="28"/>
  <c r="X62" i="28"/>
  <c r="X63" i="28"/>
  <c r="X64" i="28"/>
  <c r="X65" i="28"/>
  <c r="X66" i="28"/>
  <c r="X67" i="28"/>
  <c r="X68" i="28"/>
  <c r="X69" i="28"/>
  <c r="X70" i="28"/>
  <c r="X71" i="28"/>
  <c r="X72" i="28"/>
  <c r="X73" i="28"/>
  <c r="X74" i="28"/>
  <c r="X75" i="28"/>
  <c r="X76" i="28"/>
  <c r="X77" i="28"/>
  <c r="X78" i="28"/>
  <c r="X79" i="28"/>
  <c r="X80" i="28"/>
  <c r="X81" i="28"/>
  <c r="X82" i="28"/>
  <c r="X83" i="28"/>
  <c r="X84" i="28"/>
  <c r="X85" i="28"/>
  <c r="X86" i="28"/>
  <c r="X87" i="28"/>
  <c r="X88" i="28"/>
  <c r="X89" i="28"/>
  <c r="X90" i="28"/>
  <c r="X91" i="28"/>
  <c r="X92" i="28"/>
  <c r="X93" i="28"/>
  <c r="X94" i="28"/>
  <c r="X95" i="28"/>
  <c r="X96" i="28"/>
  <c r="X97" i="28"/>
  <c r="X98" i="28"/>
  <c r="X99" i="28"/>
  <c r="X100" i="28"/>
  <c r="X101" i="28"/>
  <c r="X102" i="28"/>
  <c r="X103" i="28"/>
  <c r="X104" i="28"/>
  <c r="X105" i="28"/>
  <c r="X106" i="28"/>
  <c r="X107" i="28"/>
  <c r="X108" i="28"/>
  <c r="X109" i="28"/>
  <c r="X110" i="28"/>
  <c r="X111" i="28"/>
  <c r="X112" i="28"/>
  <c r="X113" i="28"/>
  <c r="X114" i="28"/>
  <c r="X115" i="28"/>
  <c r="X116" i="28"/>
  <c r="X117" i="28"/>
  <c r="X118" i="28"/>
  <c r="X119" i="28"/>
  <c r="X120" i="28"/>
  <c r="X121" i="28"/>
  <c r="X122" i="28"/>
  <c r="X123" i="28"/>
  <c r="X124" i="28"/>
  <c r="X125" i="28"/>
  <c r="X126" i="28"/>
  <c r="X127" i="28"/>
  <c r="X128" i="28"/>
  <c r="X129" i="28"/>
  <c r="X130" i="28"/>
  <c r="X131" i="28"/>
  <c r="X132" i="28"/>
  <c r="X133" i="28"/>
  <c r="X134" i="28"/>
  <c r="X135" i="28"/>
  <c r="X136" i="28"/>
  <c r="X137" i="28"/>
  <c r="X138" i="28"/>
  <c r="X139" i="28"/>
  <c r="X140" i="28"/>
  <c r="X141" i="28"/>
  <c r="X142" i="28"/>
  <c r="X143" i="28"/>
  <c r="X144" i="28"/>
  <c r="X145" i="28"/>
  <c r="X146" i="28"/>
  <c r="X147" i="28"/>
  <c r="X148" i="28"/>
  <c r="X149" i="28"/>
  <c r="X150" i="28"/>
  <c r="X151" i="28"/>
  <c r="X152" i="28"/>
  <c r="X153" i="28"/>
  <c r="X154" i="28"/>
  <c r="X155" i="28"/>
  <c r="X156" i="28"/>
  <c r="X157" i="28"/>
  <c r="X158" i="28"/>
  <c r="X159" i="28"/>
  <c r="X160" i="28"/>
  <c r="X161" i="28"/>
  <c r="X162" i="28"/>
  <c r="X163" i="28"/>
  <c r="X164" i="28"/>
  <c r="X165" i="28"/>
  <c r="X166" i="28"/>
  <c r="X167" i="28"/>
  <c r="X168" i="28"/>
  <c r="X169" i="28"/>
  <c r="X170" i="28"/>
  <c r="X171" i="28"/>
  <c r="X172" i="28"/>
  <c r="X173" i="28"/>
  <c r="X174" i="28"/>
  <c r="X175" i="28"/>
  <c r="X176" i="28"/>
  <c r="X177" i="28"/>
  <c r="X178" i="28"/>
  <c r="X179" i="28"/>
  <c r="X180" i="28"/>
  <c r="X181" i="28"/>
  <c r="X182" i="28"/>
  <c r="X183" i="28"/>
  <c r="X184" i="28"/>
  <c r="X185" i="28"/>
  <c r="X186" i="28"/>
  <c r="X187" i="28"/>
  <c r="X188" i="28"/>
  <c r="X189" i="28"/>
  <c r="X190" i="28"/>
  <c r="X191" i="28"/>
  <c r="X192" i="28"/>
  <c r="X193" i="28"/>
  <c r="X194" i="28"/>
  <c r="X195" i="28"/>
  <c r="X196" i="28"/>
  <c r="X197" i="28"/>
  <c r="X198" i="28"/>
  <c r="X199" i="28"/>
  <c r="X200" i="28"/>
  <c r="X201" i="28"/>
  <c r="X202" i="28"/>
  <c r="X203" i="28"/>
  <c r="X204" i="28"/>
  <c r="X205" i="28"/>
  <c r="X206" i="28"/>
  <c r="X207" i="28"/>
  <c r="X208" i="28"/>
  <c r="X209" i="28"/>
  <c r="X210" i="28"/>
  <c r="X211" i="28"/>
  <c r="X212" i="28"/>
  <c r="X213" i="28"/>
  <c r="X214" i="28"/>
  <c r="X215" i="28"/>
  <c r="X216" i="28"/>
  <c r="X217" i="28"/>
  <c r="X218" i="28"/>
  <c r="X219" i="28"/>
  <c r="X220" i="28"/>
  <c r="X221" i="28"/>
  <c r="X222" i="28"/>
  <c r="X223" i="28"/>
  <c r="X224" i="28"/>
  <c r="X225" i="28"/>
  <c r="X226" i="28"/>
  <c r="X227" i="28"/>
  <c r="X228" i="28"/>
  <c r="X229" i="28"/>
  <c r="X230" i="28"/>
  <c r="X231" i="28"/>
  <c r="X232" i="28"/>
  <c r="X233" i="28"/>
  <c r="X234" i="28"/>
  <c r="X235" i="28"/>
  <c r="X236" i="28"/>
  <c r="X237" i="28"/>
  <c r="X238" i="28"/>
  <c r="X239" i="28"/>
  <c r="X240" i="28"/>
  <c r="X241" i="28"/>
  <c r="X242" i="28"/>
  <c r="X243" i="28"/>
  <c r="X244" i="28"/>
  <c r="X245" i="28"/>
  <c r="X246" i="28"/>
  <c r="X247" i="28"/>
  <c r="X248" i="28"/>
  <c r="X249" i="28"/>
  <c r="X250" i="28"/>
  <c r="X251" i="28"/>
  <c r="X252" i="28"/>
  <c r="X253" i="28"/>
  <c r="X254" i="28"/>
  <c r="X255" i="28"/>
  <c r="X256" i="28"/>
  <c r="X257" i="28"/>
  <c r="X258" i="28"/>
  <c r="X259" i="28"/>
  <c r="X260" i="28"/>
  <c r="X261" i="28"/>
  <c r="X262" i="28"/>
  <c r="X263" i="28"/>
  <c r="X264" i="28"/>
  <c r="X265" i="28"/>
  <c r="X266" i="28"/>
  <c r="X267" i="28"/>
  <c r="X268" i="28"/>
  <c r="X269" i="28"/>
  <c r="X270" i="28"/>
  <c r="X271" i="28"/>
  <c r="X272" i="28"/>
  <c r="X273" i="28"/>
  <c r="X274" i="28"/>
  <c r="X275" i="28"/>
  <c r="X276" i="28"/>
  <c r="X277" i="28"/>
  <c r="X278" i="28"/>
  <c r="X279" i="28"/>
  <c r="X280" i="28"/>
  <c r="X281" i="28"/>
  <c r="X282" i="28"/>
  <c r="X283" i="28"/>
  <c r="X284" i="28"/>
  <c r="X285" i="28"/>
  <c r="X286" i="28"/>
  <c r="X287" i="28"/>
  <c r="X288" i="28"/>
  <c r="X289" i="28"/>
  <c r="X290" i="28"/>
  <c r="X291" i="28"/>
  <c r="X292" i="28"/>
  <c r="X293" i="28"/>
  <c r="X294" i="28"/>
  <c r="X295" i="28"/>
  <c r="X296" i="28"/>
  <c r="X297" i="28"/>
  <c r="X298" i="28"/>
  <c r="X299" i="28"/>
  <c r="X300" i="28"/>
  <c r="X301" i="28"/>
  <c r="X302" i="28"/>
  <c r="X303" i="28"/>
  <c r="X304" i="28"/>
  <c r="X305" i="28"/>
  <c r="X306" i="28"/>
  <c r="X307" i="28"/>
  <c r="X308" i="28"/>
  <c r="X309" i="28"/>
  <c r="X310" i="28"/>
  <c r="X311" i="28"/>
  <c r="X312" i="28"/>
  <c r="X313" i="28"/>
  <c r="X314" i="28"/>
  <c r="X315" i="28"/>
  <c r="X316" i="28"/>
  <c r="X317" i="28"/>
  <c r="X318" i="28"/>
  <c r="X319" i="28"/>
  <c r="X320" i="28"/>
  <c r="X321" i="28"/>
  <c r="X322" i="28"/>
  <c r="X323" i="28"/>
  <c r="X324" i="28"/>
  <c r="X325" i="28"/>
  <c r="X326" i="28"/>
  <c r="X327" i="28"/>
  <c r="X328" i="28"/>
  <c r="X329" i="28"/>
  <c r="X330" i="28"/>
  <c r="X331" i="28"/>
  <c r="X332" i="28"/>
  <c r="X333" i="28"/>
  <c r="X334" i="28"/>
  <c r="X335" i="28"/>
  <c r="X336" i="28"/>
  <c r="X337" i="28"/>
  <c r="X338" i="28"/>
  <c r="X339" i="28"/>
  <c r="X340" i="28"/>
  <c r="X341" i="28"/>
  <c r="X342" i="28"/>
  <c r="X343" i="28"/>
  <c r="X344" i="28"/>
  <c r="X345" i="28"/>
  <c r="X346" i="28"/>
  <c r="X347" i="28"/>
  <c r="X348" i="28"/>
  <c r="X349" i="28"/>
  <c r="X350" i="28"/>
  <c r="X351" i="28"/>
  <c r="X352" i="28"/>
  <c r="X353" i="28"/>
  <c r="X354" i="28"/>
  <c r="X355" i="28"/>
  <c r="X356" i="28"/>
  <c r="X357" i="28"/>
  <c r="X358" i="28"/>
  <c r="X359" i="28"/>
  <c r="X360" i="28"/>
  <c r="X361" i="28"/>
  <c r="X362" i="28"/>
  <c r="X363" i="28"/>
  <c r="X364" i="28"/>
  <c r="X365" i="28"/>
  <c r="X366" i="28"/>
  <c r="X367" i="28"/>
  <c r="X368" i="28"/>
  <c r="X369" i="28"/>
  <c r="X370" i="28"/>
  <c r="X371" i="28"/>
  <c r="X372" i="28"/>
  <c r="X373" i="28"/>
  <c r="X374" i="28"/>
  <c r="X375" i="28"/>
  <c r="X376" i="28"/>
  <c r="X377" i="28"/>
  <c r="X378" i="28"/>
  <c r="X379" i="28"/>
  <c r="X380" i="28"/>
  <c r="X381" i="28"/>
  <c r="X382" i="28"/>
  <c r="X383" i="28"/>
  <c r="X384" i="28"/>
  <c r="X385" i="28"/>
  <c r="X386" i="28"/>
  <c r="X387" i="28"/>
  <c r="X388" i="28"/>
  <c r="X389" i="28"/>
  <c r="X390" i="28"/>
  <c r="X391" i="28"/>
  <c r="X392" i="28"/>
  <c r="X393" i="28"/>
  <c r="X394" i="28"/>
  <c r="X395" i="28"/>
  <c r="X396" i="28"/>
  <c r="X397" i="28"/>
  <c r="X398" i="28"/>
  <c r="X399" i="28"/>
  <c r="X400" i="28"/>
  <c r="X401" i="28"/>
  <c r="X402" i="28"/>
  <c r="X403" i="28"/>
  <c r="X404" i="28"/>
  <c r="X405" i="28"/>
  <c r="X406" i="28"/>
  <c r="X407" i="28"/>
  <c r="X408" i="28"/>
  <c r="X409" i="28"/>
  <c r="X410" i="28"/>
  <c r="X411" i="28"/>
  <c r="X412" i="28"/>
  <c r="X413" i="28"/>
  <c r="X414" i="28"/>
  <c r="X415" i="28"/>
  <c r="X416" i="28"/>
  <c r="X417" i="28"/>
  <c r="X418" i="28"/>
  <c r="X419" i="28"/>
  <c r="X420" i="28"/>
  <c r="X421" i="28"/>
  <c r="X422" i="28"/>
  <c r="X423" i="28"/>
  <c r="X424" i="28"/>
  <c r="X425" i="28"/>
  <c r="X426" i="28"/>
  <c r="X427" i="28"/>
  <c r="X428" i="28"/>
  <c r="X429" i="28"/>
  <c r="X430" i="28"/>
  <c r="X431" i="28"/>
  <c r="X432" i="28"/>
  <c r="X433" i="28"/>
  <c r="X434" i="28"/>
  <c r="X435" i="28"/>
  <c r="X436" i="28"/>
  <c r="X437" i="28"/>
  <c r="X438" i="28"/>
  <c r="X439" i="28"/>
  <c r="X440" i="28"/>
  <c r="X441" i="28"/>
  <c r="X442" i="28"/>
  <c r="X443" i="28"/>
  <c r="X444" i="28"/>
  <c r="X445" i="28"/>
  <c r="X446" i="28"/>
  <c r="X447" i="28"/>
  <c r="X448" i="28"/>
  <c r="X449" i="28"/>
  <c r="X450" i="28"/>
  <c r="X451" i="28"/>
  <c r="X452" i="28"/>
  <c r="X453" i="28"/>
  <c r="X454" i="28"/>
  <c r="X455" i="28"/>
  <c r="X456" i="28"/>
  <c r="X457" i="28"/>
  <c r="X458" i="28"/>
  <c r="X459" i="28"/>
  <c r="X460" i="28"/>
  <c r="X461" i="28"/>
  <c r="X462" i="28"/>
  <c r="X463" i="28"/>
  <c r="X464" i="28"/>
  <c r="X465" i="28"/>
  <c r="X466" i="28"/>
  <c r="X467" i="28"/>
  <c r="X468" i="28"/>
  <c r="X469" i="28"/>
  <c r="X470" i="28"/>
  <c r="X471" i="28"/>
  <c r="X472" i="28"/>
  <c r="X473" i="28"/>
  <c r="X474" i="28"/>
  <c r="X475" i="28"/>
  <c r="X476" i="28"/>
  <c r="X477" i="28"/>
  <c r="X478" i="28"/>
  <c r="X479" i="28"/>
  <c r="X480" i="28"/>
  <c r="X481" i="28"/>
  <c r="X482" i="28"/>
  <c r="X483" i="28"/>
  <c r="X484" i="28"/>
  <c r="X485" i="28"/>
  <c r="X486" i="28"/>
  <c r="X487" i="28"/>
  <c r="X488" i="28"/>
  <c r="X489" i="28"/>
  <c r="X490" i="28"/>
  <c r="X491" i="28"/>
  <c r="X492" i="28"/>
  <c r="X493" i="28"/>
  <c r="X494" i="28"/>
  <c r="X495" i="28"/>
  <c r="X496" i="28"/>
  <c r="X497" i="28"/>
  <c r="X498" i="28"/>
  <c r="X499" i="28"/>
  <c r="X500" i="28"/>
  <c r="X501" i="28"/>
  <c r="X502" i="28"/>
  <c r="X503" i="28"/>
  <c r="X504" i="28"/>
  <c r="X505" i="28"/>
  <c r="X506" i="28"/>
  <c r="X507" i="28"/>
  <c r="X508" i="28"/>
  <c r="X509" i="28"/>
  <c r="X510" i="28"/>
  <c r="X511" i="28"/>
  <c r="AS511" i="28"/>
  <c r="AT511" i="28"/>
  <c r="AU511" i="28"/>
  <c r="AT510" i="28"/>
  <c r="AS510" i="28"/>
  <c r="AT509" i="28"/>
  <c r="AU509" i="28"/>
  <c r="AS509" i="28"/>
  <c r="AT508" i="28"/>
  <c r="AS508" i="28"/>
  <c r="AT507" i="28"/>
  <c r="AS507" i="28"/>
  <c r="AT506" i="28"/>
  <c r="AS506" i="28"/>
  <c r="AU506" i="28"/>
  <c r="AT505" i="28"/>
  <c r="AS505" i="28"/>
  <c r="AS504" i="28"/>
  <c r="AU504" i="28"/>
  <c r="AT504" i="28"/>
  <c r="AS503" i="28"/>
  <c r="AT503" i="28"/>
  <c r="AS431" i="28"/>
  <c r="AU431" i="28"/>
  <c r="AT431" i="28"/>
  <c r="AS432" i="28"/>
  <c r="AT432" i="28"/>
  <c r="AU432" i="28"/>
  <c r="AU433" i="28"/>
  <c r="AT433" i="28"/>
  <c r="AU434" i="28"/>
  <c r="AS434" i="28"/>
  <c r="AT435" i="28"/>
  <c r="AU435" i="28"/>
  <c r="AT436" i="28"/>
  <c r="AS436" i="28"/>
  <c r="AU436" i="28"/>
  <c r="AS437" i="28"/>
  <c r="AU437" i="28"/>
  <c r="AS438" i="28"/>
  <c r="AT438" i="28"/>
  <c r="AS439" i="28"/>
  <c r="AT439" i="28"/>
  <c r="AU440" i="28"/>
  <c r="AT440" i="28"/>
  <c r="AS440" i="28"/>
  <c r="AU441" i="28"/>
  <c r="AT441" i="28"/>
  <c r="AS441" i="28"/>
  <c r="AS442" i="28"/>
  <c r="AT442" i="28"/>
  <c r="AT443" i="28"/>
  <c r="AS443" i="28"/>
  <c r="AU443" i="28"/>
  <c r="AT444" i="28"/>
  <c r="AS444" i="28"/>
  <c r="AS445" i="28"/>
  <c r="AT445" i="28"/>
  <c r="AU445" i="28"/>
  <c r="AS446" i="28"/>
  <c r="AT446" i="28"/>
  <c r="AS447" i="28"/>
  <c r="AT447" i="28"/>
  <c r="AU447" i="28"/>
  <c r="AS448" i="28"/>
  <c r="AT448" i="28"/>
  <c r="AT449" i="28"/>
  <c r="AS449" i="28"/>
  <c r="AU449" i="28"/>
  <c r="AU450" i="28"/>
  <c r="AS450" i="28"/>
  <c r="AT450" i="28"/>
  <c r="AS451" i="28"/>
  <c r="AT451" i="28"/>
  <c r="AU451" i="28"/>
  <c r="AS452" i="28"/>
  <c r="AT452" i="28"/>
  <c r="AS453" i="28"/>
  <c r="AT453" i="28"/>
  <c r="AU454" i="28"/>
  <c r="AT454" i="28"/>
  <c r="AS454" i="28"/>
  <c r="AT455" i="28"/>
  <c r="AS455" i="28"/>
  <c r="AT456" i="28"/>
  <c r="AU456" i="28"/>
  <c r="AS456" i="28"/>
  <c r="AU457" i="28"/>
  <c r="AT457" i="28"/>
  <c r="AS457" i="28"/>
  <c r="AS458" i="28"/>
  <c r="AT458" i="28"/>
  <c r="AS459" i="28"/>
  <c r="AT459" i="28"/>
  <c r="AU459" i="28"/>
  <c r="AT460" i="28"/>
  <c r="AU460" i="28"/>
  <c r="AS460" i="28"/>
  <c r="AU461" i="28"/>
  <c r="AS461" i="28"/>
  <c r="AT461" i="28"/>
  <c r="AT462" i="28"/>
  <c r="AS462" i="28"/>
  <c r="AT463" i="28"/>
  <c r="AS463" i="28"/>
  <c r="AU463" i="28"/>
  <c r="AU464" i="28"/>
  <c r="AS464" i="28"/>
  <c r="AT464" i="28"/>
  <c r="AU465" i="28"/>
  <c r="AS465" i="28"/>
  <c r="AT465" i="28"/>
  <c r="AT466" i="28"/>
  <c r="AS466" i="28"/>
  <c r="AU466" i="28"/>
  <c r="AS467" i="28"/>
  <c r="AT467" i="28"/>
  <c r="AU467" i="28"/>
  <c r="AU468" i="28"/>
  <c r="AT468" i="28"/>
  <c r="AS468" i="28"/>
  <c r="AS469" i="28"/>
  <c r="AU469" i="28"/>
  <c r="AT469" i="28"/>
  <c r="AU470" i="28"/>
  <c r="AT470" i="28"/>
  <c r="AS470" i="28"/>
  <c r="AT471" i="28"/>
  <c r="AU471" i="28"/>
  <c r="AS471" i="28"/>
  <c r="AS472" i="28"/>
  <c r="AT472" i="28"/>
  <c r="AU472" i="28"/>
  <c r="AT475" i="28"/>
  <c r="AU475" i="28"/>
  <c r="AS475" i="28"/>
  <c r="AS157" i="28"/>
  <c r="AU157" i="28"/>
  <c r="AT157" i="28"/>
  <c r="AT156" i="28"/>
  <c r="AS156" i="28"/>
  <c r="AU156" i="28"/>
  <c r="AT155" i="28"/>
  <c r="AS155" i="28"/>
  <c r="AU155" i="28"/>
  <c r="AU154" i="28"/>
  <c r="AS154" i="28"/>
  <c r="AT154" i="28"/>
  <c r="AS153" i="28"/>
  <c r="AU153" i="28"/>
  <c r="AT153" i="28"/>
  <c r="AT152" i="28"/>
  <c r="AS152" i="28"/>
  <c r="AU152" i="28"/>
  <c r="AU151" i="28"/>
  <c r="AS151" i="28"/>
  <c r="AU150" i="28"/>
  <c r="AT150" i="28"/>
  <c r="AS150" i="28"/>
  <c r="AS149" i="28"/>
  <c r="AU149" i="28"/>
  <c r="AT149" i="28"/>
  <c r="AS148" i="28"/>
  <c r="AU148" i="28"/>
  <c r="AT148" i="28"/>
  <c r="AS147" i="28"/>
  <c r="AT147" i="28"/>
  <c r="AU147" i="28"/>
  <c r="AU146" i="28"/>
  <c r="AS146" i="28"/>
  <c r="AT146" i="28"/>
  <c r="AT145" i="28"/>
  <c r="AU145" i="28"/>
  <c r="AS145" i="28"/>
  <c r="AT144" i="28"/>
  <c r="AU144" i="28"/>
  <c r="AS143" i="28"/>
  <c r="AT143" i="28"/>
  <c r="AT142" i="28"/>
  <c r="AU142" i="28"/>
  <c r="AS142" i="28"/>
  <c r="AT141" i="28"/>
  <c r="AS141" i="28"/>
  <c r="AU141" i="28"/>
  <c r="AU140" i="28"/>
  <c r="AT140" i="28"/>
  <c r="AS140" i="28"/>
  <c r="AU139" i="28"/>
  <c r="AT139" i="28"/>
  <c r="AS139" i="28"/>
  <c r="AS138" i="28"/>
  <c r="AU138" i="28"/>
  <c r="AT138" i="28"/>
  <c r="AS137" i="28"/>
  <c r="AT137" i="28"/>
  <c r="AU137" i="28"/>
  <c r="AU136" i="28"/>
  <c r="AT136" i="28"/>
  <c r="AS136" i="28"/>
  <c r="AS135" i="28"/>
  <c r="AT135" i="28"/>
  <c r="AU135" i="28"/>
  <c r="AS134" i="28"/>
  <c r="AU134" i="28"/>
  <c r="AT134" i="28"/>
  <c r="AU133" i="28"/>
  <c r="AS133" i="28"/>
  <c r="AU132" i="28"/>
  <c r="AT132" i="28"/>
  <c r="AS132" i="28"/>
  <c r="AT131" i="28"/>
  <c r="AU131" i="28"/>
  <c r="AS131" i="28"/>
  <c r="AT130" i="28"/>
  <c r="AU130" i="28"/>
  <c r="AT129" i="28"/>
  <c r="AS129" i="28"/>
  <c r="AU129" i="28"/>
  <c r="AU127" i="28"/>
  <c r="AT127" i="28"/>
  <c r="AS127" i="28"/>
  <c r="AU126" i="28"/>
  <c r="AS126" i="28"/>
  <c r="AT126" i="28"/>
  <c r="AS123" i="28"/>
  <c r="AU123" i="28"/>
  <c r="AT123" i="28"/>
  <c r="AU401" i="28"/>
  <c r="AT401" i="28"/>
  <c r="AS401" i="28"/>
  <c r="AT402" i="28"/>
  <c r="AS402" i="28"/>
  <c r="AU402" i="28"/>
  <c r="AT403" i="28"/>
  <c r="AS403" i="28"/>
  <c r="AU404" i="28"/>
  <c r="AT404" i="28"/>
  <c r="AS404" i="28"/>
  <c r="AT405" i="28"/>
  <c r="AS405" i="28"/>
  <c r="AU406" i="28"/>
  <c r="AT406" i="28"/>
  <c r="AS406" i="28"/>
  <c r="AS407" i="28"/>
  <c r="AU407" i="28"/>
  <c r="AU408" i="28"/>
  <c r="AS408" i="28"/>
  <c r="AT408" i="28"/>
  <c r="AU409" i="28"/>
  <c r="AT409" i="28"/>
  <c r="AS409" i="28"/>
  <c r="AS410" i="28"/>
  <c r="AT410" i="28"/>
  <c r="AU411" i="28"/>
  <c r="AS411" i="28"/>
  <c r="AT412" i="28"/>
  <c r="AU412" i="28"/>
  <c r="AS412" i="28"/>
  <c r="AT413" i="28"/>
  <c r="AU413" i="28"/>
  <c r="AT414" i="28"/>
  <c r="AU414" i="28"/>
  <c r="AS415" i="28"/>
  <c r="AU415" i="28"/>
  <c r="AT416" i="28"/>
  <c r="AS416" i="28"/>
  <c r="AT417" i="28"/>
  <c r="AS417" i="28"/>
  <c r="AS418" i="28"/>
  <c r="AU418" i="28"/>
  <c r="AT418" i="28"/>
  <c r="AU419" i="28"/>
  <c r="AS419" i="28"/>
  <c r="AT419" i="28"/>
  <c r="AU420" i="28"/>
  <c r="AS420" i="28"/>
  <c r="AT421" i="28"/>
  <c r="AU421" i="28"/>
  <c r="AS422" i="28"/>
  <c r="AU422" i="28"/>
  <c r="AT423" i="28"/>
  <c r="AU423" i="28"/>
  <c r="AS424" i="28"/>
  <c r="AU424" i="28"/>
  <c r="AU425" i="28"/>
  <c r="AT425" i="28"/>
  <c r="AT426" i="28"/>
  <c r="AU426" i="28"/>
  <c r="AS426" i="28"/>
  <c r="AU427" i="28"/>
  <c r="AT427" i="28"/>
  <c r="AS427" i="28"/>
  <c r="AU428" i="28"/>
  <c r="AT428" i="28"/>
  <c r="AT429" i="28"/>
  <c r="AU429" i="28"/>
  <c r="AS429" i="28"/>
  <c r="AT430" i="28"/>
  <c r="AU430" i="28"/>
  <c r="AU473" i="28"/>
  <c r="AT473" i="28"/>
  <c r="AS474" i="28"/>
  <c r="AT474" i="28"/>
  <c r="AU474" i="28"/>
  <c r="AS476" i="28"/>
  <c r="AU476" i="28"/>
  <c r="AT476" i="28"/>
  <c r="AT477" i="28"/>
  <c r="AS477" i="28"/>
  <c r="AU477" i="28"/>
  <c r="AS478" i="28"/>
  <c r="AT478" i="28"/>
  <c r="AU479" i="28"/>
  <c r="AS479" i="28"/>
  <c r="AT479" i="28"/>
  <c r="AT480" i="28"/>
  <c r="AS480" i="28"/>
  <c r="AU480" i="28"/>
  <c r="AT481" i="28"/>
  <c r="AS481" i="28"/>
  <c r="AU482" i="28"/>
  <c r="AT482" i="28"/>
  <c r="AS482" i="28"/>
  <c r="AT483" i="28"/>
  <c r="AS483" i="28"/>
  <c r="AS484" i="28"/>
  <c r="AU484" i="28"/>
  <c r="AT484" i="28"/>
  <c r="AU485" i="28"/>
  <c r="AS485" i="28"/>
  <c r="AT485" i="28"/>
  <c r="AT486" i="28"/>
  <c r="AU486" i="28"/>
  <c r="AS486" i="28"/>
  <c r="AU487" i="28"/>
  <c r="AT487" i="28"/>
  <c r="AS487" i="28"/>
  <c r="AT488" i="28"/>
  <c r="AU488" i="28"/>
  <c r="AS488" i="28"/>
  <c r="AT489" i="28"/>
  <c r="AU489" i="28"/>
  <c r="AS489" i="28"/>
  <c r="AU490" i="28"/>
  <c r="AT490" i="28"/>
  <c r="AS490" i="28"/>
  <c r="AU491" i="28"/>
  <c r="AS491" i="28"/>
  <c r="AU492" i="28"/>
  <c r="AS492" i="28"/>
  <c r="AT492" i="28"/>
  <c r="AS493" i="28"/>
  <c r="AT493" i="28"/>
  <c r="AT494" i="28"/>
  <c r="AS494" i="28"/>
  <c r="AT495" i="28"/>
  <c r="AS495" i="28"/>
  <c r="AS496" i="28"/>
  <c r="AT496" i="28"/>
  <c r="AT497" i="28"/>
  <c r="AS497" i="28"/>
  <c r="AS498" i="28"/>
  <c r="AT498" i="28"/>
  <c r="AS499" i="28"/>
  <c r="AU499" i="28"/>
  <c r="AT500" i="28"/>
  <c r="AU500" i="28"/>
  <c r="AS501" i="28"/>
  <c r="AU501" i="28"/>
  <c r="AS502" i="28"/>
  <c r="AU502" i="28"/>
  <c r="AT377" i="28"/>
  <c r="AS377" i="28"/>
  <c r="AU376" i="28"/>
  <c r="AS376" i="28"/>
  <c r="AT376" i="28"/>
  <c r="AT375" i="28"/>
  <c r="AS375" i="28"/>
  <c r="AU374" i="28"/>
  <c r="AT374" i="28"/>
  <c r="AT373" i="28"/>
  <c r="AS373" i="28"/>
  <c r="AS372" i="28"/>
  <c r="AU372" i="28"/>
  <c r="AT371" i="28"/>
  <c r="AU371" i="28"/>
  <c r="AS371" i="28"/>
  <c r="AT370" i="28"/>
  <c r="AS370" i="28"/>
  <c r="AT369" i="28"/>
  <c r="AS369" i="28"/>
  <c r="AU369" i="28"/>
  <c r="AT368" i="28"/>
  <c r="AS368" i="28"/>
  <c r="AU368" i="28"/>
  <c r="AS225" i="28"/>
  <c r="AU225" i="28"/>
  <c r="AT224" i="28"/>
  <c r="AS224" i="28"/>
  <c r="AT223" i="28"/>
  <c r="AU223" i="28"/>
  <c r="AS222" i="28"/>
  <c r="AU222" i="28"/>
  <c r="AU221" i="28"/>
  <c r="AT221" i="28"/>
  <c r="AS221" i="28"/>
  <c r="AT220" i="28"/>
  <c r="AU220" i="28"/>
  <c r="AS220" i="28"/>
  <c r="AT219" i="28"/>
  <c r="AU219" i="28"/>
  <c r="AT218" i="28"/>
  <c r="AU218" i="28"/>
  <c r="AU217" i="28"/>
  <c r="AS217" i="28"/>
  <c r="AU400" i="28"/>
  <c r="AS400" i="28"/>
  <c r="AT400" i="28"/>
  <c r="AU399" i="28"/>
  <c r="AT399" i="28"/>
  <c r="AS399" i="28"/>
  <c r="AU398" i="28"/>
  <c r="AT398" i="28"/>
  <c r="AT397" i="28"/>
  <c r="AS397" i="28"/>
  <c r="AU396" i="28"/>
  <c r="AT396" i="28"/>
  <c r="AS396" i="28"/>
  <c r="AU395" i="28"/>
  <c r="AT395" i="28"/>
  <c r="AS394" i="28"/>
  <c r="AT394" i="28"/>
  <c r="AU394" i="28"/>
  <c r="AT393" i="28"/>
  <c r="AS393" i="28"/>
  <c r="AU393" i="28"/>
  <c r="AU392" i="28"/>
  <c r="AT392" i="28"/>
  <c r="AU391" i="28"/>
  <c r="AT391" i="28"/>
  <c r="AS390" i="28"/>
  <c r="AU390" i="28"/>
  <c r="AT390" i="28"/>
  <c r="AT389" i="28"/>
  <c r="AU389" i="28"/>
  <c r="AS389" i="28"/>
  <c r="AS388" i="28"/>
  <c r="AT388" i="28"/>
  <c r="AT387" i="28"/>
  <c r="AU387" i="28"/>
  <c r="AT386" i="28"/>
  <c r="AS386" i="28"/>
  <c r="AS385" i="28"/>
  <c r="AT385" i="28"/>
  <c r="AT384" i="28"/>
  <c r="AU384" i="28"/>
  <c r="AT383" i="28"/>
  <c r="AU383" i="28"/>
  <c r="AT382" i="28"/>
  <c r="AS382" i="28"/>
  <c r="AU382" i="28"/>
  <c r="AS381" i="28"/>
  <c r="AT381" i="28"/>
  <c r="AS380" i="28"/>
  <c r="AT380" i="28"/>
  <c r="AU380" i="28"/>
  <c r="AS379" i="28"/>
  <c r="AU379" i="28"/>
  <c r="AS378" i="28"/>
  <c r="AT378" i="28"/>
  <c r="AU378" i="28"/>
  <c r="AU367" i="28"/>
  <c r="AS367" i="28"/>
  <c r="AT367" i="28"/>
  <c r="AT366" i="28"/>
  <c r="AU366" i="28"/>
  <c r="AS366" i="28"/>
  <c r="AS365" i="28"/>
  <c r="AT365" i="28"/>
  <c r="AU365" i="28"/>
  <c r="AS364" i="28"/>
  <c r="AU364" i="28"/>
  <c r="AT364" i="28"/>
  <c r="AU363" i="28"/>
  <c r="AT363" i="28"/>
  <c r="AS363" i="28"/>
  <c r="AU362" i="28"/>
  <c r="AS362" i="28"/>
  <c r="AT362" i="28"/>
  <c r="AT361" i="28"/>
  <c r="AU361" i="28"/>
  <c r="AS361" i="28"/>
  <c r="AS360" i="28"/>
  <c r="AT360" i="28"/>
  <c r="AU360" i="28"/>
  <c r="AU359" i="28"/>
  <c r="AS359" i="28"/>
  <c r="AT359" i="28"/>
  <c r="AT358" i="28"/>
  <c r="AU358" i="28"/>
  <c r="AS358" i="28"/>
  <c r="AT357" i="28"/>
  <c r="AS357" i="28"/>
  <c r="AU357" i="28"/>
  <c r="AT356" i="28"/>
  <c r="AU356" i="28"/>
  <c r="AS355" i="28"/>
  <c r="AT355" i="28"/>
  <c r="AU355" i="28"/>
  <c r="AS354" i="28"/>
  <c r="AT354" i="28"/>
  <c r="AT353" i="28"/>
  <c r="AU353" i="28"/>
  <c r="AU352" i="28"/>
  <c r="AS352" i="28"/>
  <c r="AT352" i="28"/>
  <c r="AS351" i="28"/>
  <c r="AU351" i="28"/>
  <c r="AT351" i="28"/>
  <c r="AS350" i="28"/>
  <c r="AU350" i="28"/>
  <c r="AT350" i="28"/>
  <c r="AU349" i="28"/>
  <c r="AT349" i="28"/>
  <c r="AS349" i="28"/>
  <c r="AU348" i="28"/>
  <c r="AT348" i="28"/>
  <c r="AS348" i="28"/>
  <c r="AU347" i="28"/>
  <c r="AT347" i="28"/>
  <c r="AS347" i="28"/>
  <c r="AU346" i="28"/>
  <c r="AT346" i="28"/>
  <c r="AS346" i="28"/>
  <c r="AU345" i="28"/>
  <c r="AT345" i="28"/>
  <c r="AS345" i="28"/>
  <c r="AU344" i="28"/>
  <c r="AS344" i="28"/>
  <c r="AT343" i="28"/>
  <c r="AS343" i="28"/>
  <c r="AU343" i="28"/>
  <c r="AT342" i="28"/>
  <c r="AS342" i="28"/>
  <c r="AS341" i="28"/>
  <c r="AU341" i="28"/>
  <c r="AU340" i="28"/>
  <c r="AT340" i="28"/>
  <c r="AS340" i="28"/>
  <c r="AU339" i="28"/>
  <c r="AT339" i="28"/>
  <c r="AU338" i="28"/>
  <c r="AT338" i="28"/>
  <c r="AS338" i="28"/>
  <c r="AT337" i="28"/>
  <c r="AU337" i="28"/>
  <c r="AU336" i="28"/>
  <c r="AT336" i="28"/>
  <c r="AU335" i="28"/>
  <c r="AT335" i="28"/>
  <c r="AU334" i="28"/>
  <c r="AS334" i="28"/>
  <c r="AT334" i="28"/>
  <c r="AS333" i="28"/>
  <c r="AT333" i="28"/>
  <c r="AU333" i="28"/>
  <c r="AT332" i="28"/>
  <c r="AU332" i="28"/>
  <c r="AS332" i="28"/>
  <c r="AT331" i="28"/>
  <c r="AU331" i="28"/>
  <c r="AS331" i="28"/>
  <c r="AS330" i="28"/>
  <c r="AT330" i="28"/>
  <c r="AT329" i="28"/>
  <c r="AU329" i="28"/>
  <c r="AS328" i="28"/>
  <c r="AU328" i="28"/>
  <c r="AT328" i="28"/>
  <c r="AT327" i="28"/>
  <c r="AS327" i="28"/>
  <c r="AU327" i="28"/>
  <c r="AT326" i="28"/>
  <c r="AS326" i="28"/>
  <c r="AU326" i="28"/>
  <c r="AU325" i="28"/>
  <c r="AS325" i="28"/>
  <c r="AT325" i="28"/>
  <c r="AU324" i="28"/>
  <c r="AT324" i="28"/>
  <c r="AS324" i="28"/>
  <c r="AT323" i="28"/>
  <c r="AU323" i="28"/>
  <c r="AS322" i="28"/>
  <c r="AT322" i="28"/>
  <c r="AU322" i="28"/>
  <c r="AS321" i="28"/>
  <c r="AT321" i="28"/>
  <c r="AU321" i="28"/>
  <c r="AT320" i="28"/>
  <c r="AS320" i="28"/>
  <c r="AT319" i="28"/>
  <c r="AU319" i="28"/>
  <c r="AS319" i="28"/>
  <c r="AU318" i="28"/>
  <c r="AS318" i="28"/>
  <c r="AT318" i="28"/>
  <c r="AS317" i="28"/>
  <c r="AU317" i="28"/>
  <c r="AT317" i="28"/>
  <c r="AS316" i="28"/>
  <c r="AU316" i="28"/>
  <c r="AT316" i="28"/>
  <c r="AU315" i="28"/>
  <c r="AS315" i="28"/>
  <c r="AT315" i="28"/>
  <c r="AT314" i="28"/>
  <c r="AU314" i="28"/>
  <c r="AS314" i="28"/>
  <c r="AS313" i="28"/>
  <c r="AT313" i="28"/>
  <c r="AU313" i="28"/>
  <c r="AS312" i="28"/>
  <c r="AT312" i="28"/>
  <c r="AU312" i="28"/>
  <c r="AT311" i="28"/>
  <c r="AS311" i="28"/>
  <c r="AU311" i="28"/>
  <c r="AU310" i="28"/>
  <c r="AS310" i="28"/>
  <c r="AT309" i="28"/>
  <c r="AU309" i="28"/>
  <c r="AS309" i="28"/>
  <c r="AU308" i="28"/>
  <c r="AT308" i="28"/>
  <c r="AS308" i="28"/>
  <c r="AU307" i="28"/>
  <c r="AT307" i="28"/>
  <c r="AS307" i="28"/>
  <c r="AS306" i="28"/>
  <c r="AU306" i="28"/>
  <c r="AT306" i="28"/>
  <c r="AU305" i="28"/>
  <c r="AT305" i="28"/>
  <c r="AS305" i="28"/>
  <c r="AU304" i="28"/>
  <c r="AS304" i="28"/>
  <c r="AT304" i="28"/>
  <c r="AT303" i="28"/>
  <c r="AS303" i="28"/>
  <c r="AU303" i="28"/>
  <c r="AS302" i="28"/>
  <c r="AU302" i="28"/>
  <c r="AT302" i="28"/>
  <c r="AU301" i="28"/>
  <c r="AS301" i="28"/>
  <c r="AT301" i="28"/>
  <c r="AT300" i="28"/>
  <c r="AS300" i="28"/>
  <c r="AU300" i="28"/>
  <c r="AT299" i="28"/>
  <c r="AU299" i="28"/>
  <c r="AS299" i="28"/>
  <c r="AT298" i="28"/>
  <c r="AS298" i="28"/>
  <c r="AU298" i="28"/>
  <c r="AS297" i="28"/>
  <c r="AT297" i="28"/>
  <c r="AU297" i="28"/>
  <c r="AT296" i="28"/>
  <c r="AU296" i="28"/>
  <c r="AT295" i="28"/>
  <c r="AU295" i="28"/>
  <c r="AS294" i="28"/>
  <c r="AU294" i="28"/>
  <c r="AS293" i="28"/>
  <c r="AU293" i="28"/>
  <c r="AS292" i="28"/>
  <c r="AT292" i="28"/>
  <c r="AS291" i="28"/>
  <c r="AT291" i="28"/>
  <c r="AU290" i="28"/>
  <c r="AT290" i="28"/>
  <c r="AS290" i="28"/>
  <c r="AU289" i="28"/>
  <c r="AT289" i="28"/>
  <c r="AS288" i="28"/>
  <c r="AU288" i="28"/>
  <c r="AS287" i="28"/>
  <c r="AT287" i="28"/>
  <c r="AU287" i="28"/>
  <c r="AT286" i="28"/>
  <c r="AU286" i="28"/>
  <c r="AS286" i="28"/>
  <c r="AU285" i="28"/>
  <c r="AT285" i="28"/>
  <c r="AS285" i="28"/>
  <c r="AS284" i="28"/>
  <c r="AU284" i="28"/>
  <c r="AT283" i="28"/>
  <c r="AS283" i="28"/>
  <c r="AS282" i="28"/>
  <c r="AU282" i="28"/>
  <c r="AT281" i="28"/>
  <c r="AS281" i="28"/>
  <c r="AU281" i="28"/>
  <c r="AU280" i="28"/>
  <c r="AT280" i="28"/>
  <c r="AS280" i="28"/>
  <c r="AT279" i="28"/>
  <c r="AU279" i="28"/>
  <c r="AS279" i="28"/>
  <c r="AU278" i="28"/>
  <c r="AS278" i="28"/>
  <c r="AS277" i="28"/>
  <c r="AU277" i="28"/>
  <c r="AT277" i="28"/>
  <c r="AU276" i="28"/>
  <c r="AS276" i="28"/>
  <c r="AU275" i="28"/>
  <c r="AT275" i="28"/>
  <c r="AT274" i="28"/>
  <c r="AS274" i="28"/>
  <c r="AU274" i="28"/>
  <c r="AT273" i="28"/>
  <c r="AS273" i="28"/>
  <c r="AS272" i="28"/>
  <c r="AU272" i="28"/>
  <c r="AT272" i="28"/>
  <c r="AS271" i="28"/>
  <c r="AU271" i="28"/>
  <c r="AT271" i="28"/>
  <c r="AU270" i="28"/>
  <c r="AT270" i="28"/>
  <c r="AS270" i="28"/>
  <c r="AS269" i="28"/>
  <c r="AT269" i="28"/>
  <c r="AT268" i="28"/>
  <c r="AS268" i="28"/>
  <c r="AU268" i="28"/>
  <c r="AT267" i="28"/>
  <c r="AS267" i="28"/>
  <c r="AU267" i="28"/>
  <c r="AT266" i="28"/>
  <c r="AU266" i="28"/>
  <c r="AS265" i="28"/>
  <c r="AU265" i="28"/>
  <c r="AT265" i="28"/>
  <c r="AS264" i="28"/>
  <c r="AU264" i="28"/>
  <c r="AT264" i="28"/>
  <c r="AS263" i="28"/>
  <c r="AT263" i="28"/>
  <c r="AS262" i="28"/>
  <c r="AU262" i="28"/>
  <c r="AT262" i="28"/>
  <c r="AU261" i="28"/>
  <c r="AT261" i="28"/>
  <c r="AU260" i="28"/>
  <c r="AT260" i="28"/>
  <c r="AT259" i="28"/>
  <c r="AS259" i="28"/>
  <c r="AU259" i="28"/>
  <c r="AT258" i="28"/>
  <c r="AS258" i="28"/>
  <c r="AU258" i="28"/>
  <c r="AT257" i="28"/>
  <c r="AU257" i="28"/>
  <c r="AS257" i="28"/>
  <c r="AS256" i="28"/>
  <c r="AT256" i="28"/>
  <c r="AS255" i="28"/>
  <c r="AU255" i="28"/>
  <c r="AT254" i="28"/>
  <c r="AU254" i="28"/>
  <c r="AS253" i="28"/>
  <c r="AT253" i="28"/>
  <c r="AU253" i="28"/>
  <c r="AU252" i="28"/>
  <c r="AS252" i="28"/>
  <c r="AS251" i="28"/>
  <c r="AU251" i="28"/>
  <c r="AT251" i="28"/>
  <c r="AU250" i="28"/>
  <c r="AS250" i="28"/>
  <c r="AT250" i="28"/>
  <c r="AU249" i="28"/>
  <c r="AT249" i="28"/>
  <c r="AS249" i="28"/>
  <c r="AT248" i="28"/>
  <c r="AS248" i="28"/>
  <c r="AU248" i="28"/>
  <c r="AT247" i="28"/>
  <c r="AS247" i="28"/>
  <c r="AU246" i="28"/>
  <c r="AT246" i="28"/>
  <c r="AS246" i="28"/>
  <c r="AU245" i="28"/>
  <c r="AT245" i="28"/>
  <c r="AS245" i="28"/>
  <c r="AS244" i="28"/>
  <c r="AT244" i="28"/>
  <c r="AU244" i="28"/>
  <c r="AS243" i="28"/>
  <c r="AU243" i="28"/>
  <c r="AT243" i="28"/>
  <c r="AS242" i="28"/>
  <c r="AU242" i="28"/>
  <c r="AT242" i="28"/>
  <c r="AS241" i="28"/>
  <c r="AT241" i="28"/>
  <c r="AU241" i="28"/>
  <c r="AT240" i="28"/>
  <c r="AS240" i="28"/>
  <c r="AU240" i="28"/>
  <c r="AU239" i="28"/>
  <c r="AS239" i="28"/>
  <c r="AT239" i="28"/>
  <c r="AS238" i="28"/>
  <c r="AT238" i="28"/>
  <c r="AU238" i="28"/>
  <c r="AS237" i="28"/>
  <c r="AU237" i="28"/>
  <c r="AT237" i="28"/>
  <c r="AU236" i="28"/>
  <c r="AT236" i="28"/>
  <c r="AS236" i="28"/>
  <c r="AS235" i="28"/>
  <c r="AU235" i="28"/>
  <c r="AT235" i="28"/>
  <c r="AT234" i="28"/>
  <c r="AU234" i="28"/>
  <c r="AS234" i="28"/>
  <c r="AS233" i="28"/>
  <c r="AU233" i="28"/>
  <c r="AT233" i="28"/>
  <c r="AU232" i="28"/>
  <c r="AS232" i="28"/>
  <c r="AT232" i="28"/>
  <c r="AS231" i="28"/>
  <c r="AU231" i="28"/>
  <c r="AT231" i="28"/>
  <c r="AU230" i="28"/>
  <c r="AS230" i="28"/>
  <c r="AT230" i="28"/>
  <c r="AT229" i="28"/>
  <c r="AS229" i="28"/>
  <c r="AU229" i="28"/>
  <c r="AU228" i="28"/>
  <c r="AT228" i="28"/>
  <c r="AS228" i="28"/>
  <c r="AU227" i="28"/>
  <c r="AS227" i="28"/>
  <c r="AT227" i="28"/>
  <c r="AS226" i="28"/>
  <c r="AT226" i="28"/>
  <c r="AU226" i="28"/>
  <c r="AU216" i="28"/>
  <c r="AT216" i="28"/>
  <c r="AS216" i="28"/>
  <c r="AS215" i="28"/>
  <c r="AT215" i="28"/>
  <c r="AU215" i="28"/>
  <c r="AS214" i="28"/>
  <c r="AU214" i="28"/>
  <c r="AT213" i="28"/>
  <c r="AS213" i="28"/>
  <c r="AT212" i="28"/>
  <c r="AU212" i="28"/>
  <c r="AS212" i="28"/>
  <c r="AS211" i="28"/>
  <c r="AT211" i="28"/>
  <c r="AU211" i="28"/>
  <c r="AU210" i="28"/>
  <c r="AT210" i="28"/>
  <c r="AT209" i="28"/>
  <c r="AS209" i="28"/>
  <c r="AU209" i="28"/>
  <c r="AU208" i="28"/>
  <c r="AS208" i="28"/>
  <c r="AT208" i="28"/>
  <c r="AS207" i="28"/>
  <c r="AT207" i="28"/>
  <c r="AU207" i="28"/>
  <c r="AU206" i="28"/>
  <c r="AS206" i="28"/>
  <c r="AT205" i="28"/>
  <c r="AU205" i="28"/>
  <c r="AS205" i="28"/>
  <c r="AS204" i="28"/>
  <c r="AT204" i="28"/>
  <c r="AU204" i="28"/>
  <c r="AS203" i="28"/>
  <c r="AT203" i="28"/>
  <c r="AU203" i="28"/>
  <c r="AU202" i="28"/>
  <c r="AS202" i="28"/>
  <c r="AT202" i="28"/>
  <c r="AU201" i="28"/>
  <c r="AT201" i="28"/>
  <c r="AS201" i="28"/>
  <c r="AS200" i="28"/>
  <c r="AT200" i="28"/>
  <c r="AU200" i="28"/>
  <c r="AU199" i="28"/>
  <c r="AS199" i="28"/>
  <c r="AT199" i="28"/>
  <c r="AS198" i="28"/>
  <c r="AU198" i="28"/>
  <c r="AT198" i="28"/>
  <c r="AU197" i="28"/>
  <c r="AS197" i="28"/>
  <c r="AU196" i="28"/>
  <c r="AS196" i="28"/>
  <c r="AT196" i="28"/>
  <c r="AT195" i="28"/>
  <c r="AS195" i="28"/>
  <c r="AU195" i="28"/>
  <c r="AU194" i="28"/>
  <c r="AS194" i="28"/>
  <c r="AT194" i="28"/>
  <c r="AT193" i="28"/>
  <c r="AS193" i="28"/>
  <c r="AT192" i="28"/>
  <c r="AU192" i="28"/>
  <c r="AS191" i="28"/>
  <c r="AT191" i="28"/>
  <c r="AU191" i="28"/>
  <c r="AU190" i="28"/>
  <c r="AS190" i="28"/>
  <c r="AT190" i="28"/>
  <c r="AT189" i="28"/>
  <c r="AU189" i="28"/>
  <c r="AS189" i="28"/>
  <c r="AU188" i="28"/>
  <c r="AT188" i="28"/>
  <c r="AS188" i="28"/>
  <c r="AU187" i="28"/>
  <c r="AT187" i="28"/>
  <c r="AS187" i="28"/>
  <c r="AT186" i="28"/>
  <c r="AS186" i="28"/>
  <c r="AU186" i="28"/>
  <c r="AS185" i="28"/>
  <c r="AT185" i="28"/>
  <c r="AU185" i="28"/>
  <c r="AT184" i="28"/>
  <c r="AU184" i="28"/>
  <c r="AS184" i="28"/>
  <c r="AU183" i="28"/>
  <c r="AT183" i="28"/>
  <c r="AS183" i="28"/>
  <c r="AS182" i="28"/>
  <c r="AU182" i="28"/>
  <c r="AT182" i="28"/>
  <c r="AU181" i="28"/>
  <c r="AS181" i="28"/>
  <c r="AT181" i="28"/>
  <c r="AS180" i="28"/>
  <c r="AT180" i="28"/>
  <c r="AU180" i="28"/>
  <c r="AT179" i="28"/>
  <c r="AU179" i="28"/>
  <c r="AS179" i="28"/>
  <c r="AS178" i="28"/>
  <c r="AT178" i="28"/>
  <c r="AU178" i="28"/>
  <c r="AS177" i="28"/>
  <c r="AU177" i="28"/>
  <c r="AT177" i="28"/>
  <c r="AT176" i="28"/>
  <c r="AS176" i="28"/>
  <c r="AU176" i="28"/>
  <c r="AU175" i="28"/>
  <c r="AS175" i="28"/>
  <c r="AT175" i="28"/>
  <c r="AU174" i="28"/>
  <c r="AT174" i="28"/>
  <c r="AS174" i="28"/>
  <c r="AU173" i="28"/>
  <c r="AS173" i="28"/>
  <c r="AS172" i="28"/>
  <c r="AT172" i="28"/>
  <c r="AU172" i="28"/>
  <c r="AT171" i="28"/>
  <c r="AS171" i="28"/>
  <c r="AU171" i="28"/>
  <c r="AS170" i="28"/>
  <c r="AT170" i="28"/>
  <c r="AU170" i="28"/>
  <c r="AT169" i="28"/>
  <c r="AU169" i="28"/>
  <c r="AS169" i="28"/>
  <c r="AT168" i="28"/>
  <c r="AS168" i="28"/>
  <c r="AU168" i="28"/>
  <c r="AU167" i="28"/>
  <c r="AT167" i="28"/>
  <c r="AS167" i="28"/>
  <c r="AT166" i="28"/>
  <c r="AS166" i="28"/>
  <c r="AT165" i="28"/>
  <c r="AU165" i="28"/>
  <c r="AS165" i="28"/>
  <c r="AS164" i="28"/>
  <c r="AU164" i="28"/>
  <c r="AT163" i="28"/>
  <c r="AS163" i="28"/>
  <c r="AS162" i="28"/>
  <c r="AU162" i="28"/>
  <c r="AT162" i="28"/>
  <c r="AS161" i="28"/>
  <c r="AT161" i="28"/>
  <c r="AU161" i="28"/>
  <c r="AT160" i="28"/>
  <c r="AU160" i="28"/>
  <c r="AS160" i="28"/>
  <c r="AU159" i="28"/>
  <c r="AT159" i="28"/>
  <c r="AS159" i="28"/>
  <c r="AT158" i="28"/>
  <c r="AS158" i="28"/>
  <c r="AT128" i="28"/>
  <c r="AS128" i="28"/>
  <c r="AU128" i="28"/>
  <c r="AS125" i="28"/>
  <c r="AT125" i="28"/>
  <c r="AU125" i="28"/>
  <c r="AT124" i="28"/>
  <c r="AS124" i="28"/>
  <c r="AT122" i="28"/>
  <c r="AU122" i="28"/>
  <c r="AS122" i="28"/>
  <c r="AT121" i="28"/>
  <c r="AS121" i="28"/>
  <c r="AT120" i="28"/>
  <c r="AS120" i="28"/>
  <c r="AU119" i="28"/>
  <c r="AT119" i="28"/>
  <c r="AS119" i="28"/>
  <c r="AS118" i="28"/>
  <c r="AT118" i="28"/>
  <c r="AU118" i="28"/>
  <c r="AT117" i="28"/>
  <c r="AS117" i="28"/>
  <c r="AS116" i="28"/>
  <c r="AT116" i="28"/>
  <c r="AT115" i="28"/>
  <c r="AS115" i="28"/>
  <c r="AU115" i="28"/>
  <c r="AU114" i="28"/>
  <c r="AT114" i="28"/>
  <c r="AU113" i="28"/>
  <c r="AS113" i="28"/>
  <c r="AT113" i="28"/>
  <c r="AU112" i="28"/>
  <c r="AS112" i="28"/>
  <c r="AT112" i="28"/>
  <c r="AS111" i="28"/>
  <c r="AT111" i="28"/>
  <c r="AU111" i="28"/>
  <c r="AT110" i="28"/>
  <c r="AU110" i="28"/>
  <c r="AT109" i="28"/>
  <c r="AS109" i="28"/>
  <c r="AU109" i="28"/>
  <c r="AU108" i="28"/>
  <c r="AT108" i="28"/>
  <c r="AT107" i="28"/>
  <c r="AU107" i="28"/>
  <c r="AS106" i="28"/>
  <c r="AU106" i="28"/>
  <c r="AS105" i="28"/>
  <c r="AU105" i="28"/>
  <c r="AT104" i="28"/>
  <c r="AU104" i="28"/>
  <c r="AT103" i="28"/>
  <c r="AU103" i="28"/>
  <c r="AS103" i="28"/>
  <c r="AS102" i="28"/>
  <c r="AU102" i="28"/>
  <c r="AT102" i="28"/>
  <c r="AU101" i="28"/>
  <c r="AS101" i="28"/>
  <c r="AT100" i="28"/>
  <c r="AS100" i="28"/>
  <c r="AU99" i="28"/>
  <c r="AS99" i="28"/>
  <c r="AS98" i="28"/>
  <c r="AU98" i="28"/>
  <c r="AU97" i="28"/>
  <c r="AS97" i="28"/>
  <c r="AS96" i="28"/>
  <c r="AU96" i="28"/>
  <c r="AT96" i="28"/>
  <c r="AS95" i="28"/>
  <c r="AU95" i="28"/>
  <c r="AS94" i="28"/>
  <c r="AT94" i="28"/>
  <c r="AU93" i="28"/>
  <c r="AS93" i="28"/>
  <c r="AT93" i="28"/>
  <c r="AT92" i="28"/>
  <c r="AS92" i="28"/>
  <c r="AT91" i="28"/>
  <c r="AS91" i="28"/>
  <c r="AU91" i="28"/>
  <c r="AU90" i="28"/>
  <c r="AS90" i="28"/>
  <c r="AS89" i="28"/>
  <c r="AT89" i="28"/>
  <c r="AU88" i="28"/>
  <c r="AT88" i="28"/>
  <c r="AT87" i="28"/>
  <c r="AS87" i="28"/>
  <c r="AU86" i="28"/>
  <c r="AS86" i="28"/>
  <c r="AT86" i="28"/>
  <c r="AT85" i="28"/>
  <c r="AS85" i="28"/>
  <c r="AU85" i="28"/>
  <c r="AT84" i="28"/>
  <c r="AU84" i="28"/>
  <c r="AS83" i="28"/>
  <c r="AU83" i="28"/>
  <c r="AU82" i="28"/>
  <c r="AS82" i="28"/>
  <c r="AT81" i="28"/>
  <c r="AS81" i="28"/>
  <c r="AS80" i="28"/>
  <c r="AT80" i="28"/>
  <c r="AT79" i="28"/>
  <c r="AU79" i="28"/>
  <c r="AS79" i="28"/>
  <c r="AU78" i="28"/>
  <c r="AS78" i="28"/>
  <c r="AT78" i="28"/>
  <c r="AS77" i="28"/>
  <c r="AT77" i="28"/>
  <c r="AS76" i="28"/>
  <c r="AT76" i="28"/>
  <c r="AU76" i="28"/>
  <c r="AT75" i="28"/>
  <c r="AU75" i="28"/>
  <c r="AS74" i="28"/>
  <c r="AT74" i="28"/>
  <c r="AU74" i="28"/>
  <c r="AU73" i="28"/>
  <c r="AT73" i="28"/>
  <c r="AU72" i="28"/>
  <c r="AS72" i="28"/>
  <c r="AT72" i="28"/>
  <c r="AS71" i="28"/>
  <c r="AT71" i="28"/>
  <c r="AT70" i="28"/>
  <c r="AS70" i="28"/>
  <c r="AS69" i="28"/>
  <c r="AT69" i="28"/>
  <c r="AU69" i="28"/>
  <c r="AU68" i="28"/>
  <c r="AS68" i="28"/>
  <c r="AT68" i="28"/>
  <c r="AS67" i="28"/>
  <c r="AT67" i="28"/>
  <c r="AU67" i="28"/>
  <c r="AU66" i="28"/>
  <c r="AT66" i="28"/>
  <c r="AS66" i="28"/>
  <c r="AS65" i="28"/>
  <c r="AU65" i="28"/>
  <c r="AU64" i="28"/>
  <c r="AS64" i="28"/>
  <c r="AT64" i="28"/>
  <c r="AS63" i="28"/>
  <c r="AT63" i="28"/>
  <c r="AS62" i="28"/>
  <c r="AT62" i="28"/>
  <c r="AU61" i="28"/>
  <c r="AT61" i="28"/>
  <c r="AS61" i="28"/>
  <c r="AS60" i="28"/>
  <c r="AT60" i="28"/>
  <c r="AT59" i="28"/>
  <c r="AS59" i="28"/>
  <c r="AT58" i="28"/>
  <c r="AU58" i="28"/>
  <c r="AS57" i="28"/>
  <c r="AT57" i="28"/>
  <c r="AT56" i="28"/>
  <c r="AS56" i="28"/>
  <c r="AT55" i="28"/>
  <c r="AU55" i="28"/>
  <c r="AS55" i="28"/>
  <c r="AU54" i="28"/>
  <c r="AT54" i="28"/>
  <c r="AT53" i="28"/>
  <c r="AS53" i="28"/>
  <c r="AS52" i="28"/>
  <c r="AT52" i="28"/>
  <c r="AU52" i="28"/>
  <c r="AS51" i="28"/>
  <c r="AT51" i="28"/>
  <c r="AU50" i="28"/>
  <c r="AT50" i="28"/>
  <c r="AS49" i="28"/>
  <c r="AT49" i="28"/>
  <c r="AU49" i="28"/>
  <c r="AT48" i="28"/>
  <c r="AS48" i="28"/>
  <c r="AS47" i="28"/>
  <c r="AU47" i="28"/>
  <c r="AT47" i="28"/>
  <c r="AS46" i="28"/>
  <c r="AT46" i="28"/>
  <c r="AU45" i="28"/>
  <c r="AT45" i="28"/>
  <c r="AS44" i="28"/>
  <c r="AU44" i="28"/>
  <c r="AU43" i="28"/>
  <c r="AT43" i="28"/>
  <c r="AS43" i="28"/>
  <c r="AS42" i="28"/>
  <c r="AT42" i="28"/>
  <c r="AU42" i="28"/>
  <c r="AS41" i="28"/>
  <c r="AT41" i="28"/>
  <c r="AU40" i="28"/>
  <c r="AT40" i="28"/>
  <c r="AS40" i="28"/>
  <c r="AT39" i="28"/>
  <c r="AS39" i="28"/>
  <c r="AU38" i="28"/>
  <c r="AT38" i="28"/>
  <c r="AS38" i="28"/>
  <c r="AU37" i="28"/>
  <c r="AT37" i="28"/>
  <c r="AT36" i="28"/>
  <c r="AS36" i="28"/>
  <c r="AU36" i="28"/>
  <c r="AT35" i="28"/>
  <c r="AS35" i="28"/>
  <c r="AU34" i="28"/>
  <c r="AS34" i="28"/>
  <c r="AT34" i="28"/>
  <c r="AU33" i="28"/>
  <c r="AT33" i="28"/>
  <c r="AS33" i="28"/>
  <c r="AU32" i="28"/>
  <c r="AT32" i="28"/>
  <c r="AS32" i="28"/>
  <c r="AS31" i="28"/>
  <c r="AT31" i="28"/>
  <c r="AU31" i="28"/>
  <c r="AU30" i="28"/>
  <c r="AS30" i="28"/>
  <c r="AT30" i="28"/>
  <c r="AT29" i="28"/>
  <c r="AU29" i="28"/>
  <c r="AU28" i="28"/>
  <c r="AS28" i="28"/>
  <c r="AT28" i="28"/>
  <c r="AT27" i="28"/>
  <c r="AS27" i="28"/>
  <c r="AU27" i="28"/>
  <c r="AT26" i="28"/>
  <c r="AS26" i="28"/>
  <c r="AU26" i="28"/>
  <c r="AU25" i="28"/>
  <c r="AS25" i="28"/>
  <c r="AT25" i="28"/>
  <c r="AT24" i="28"/>
  <c r="AU24" i="28"/>
  <c r="AS24" i="28"/>
  <c r="AT23" i="28"/>
  <c r="AU23" i="28"/>
  <c r="AS23" i="28"/>
  <c r="AS22" i="28"/>
  <c r="AT22" i="28"/>
  <c r="AU22" i="28"/>
  <c r="AU21" i="28"/>
  <c r="AT21" i="28"/>
  <c r="AS21" i="28"/>
  <c r="AU20" i="28"/>
  <c r="AT20" i="28"/>
  <c r="AS20" i="28"/>
  <c r="AS19" i="28"/>
  <c r="AU19" i="28"/>
  <c r="AT19" i="28"/>
  <c r="AU18" i="28"/>
  <c r="AT18" i="28"/>
  <c r="AS18" i="28"/>
  <c r="AT17" i="28"/>
  <c r="AU17" i="28"/>
  <c r="AS17" i="28"/>
  <c r="AT16" i="28"/>
  <c r="AU16" i="28"/>
  <c r="AS16" i="28"/>
  <c r="AS15" i="28"/>
  <c r="AT15" i="28"/>
  <c r="AU15" i="28"/>
  <c r="AT14" i="28"/>
  <c r="AU14" i="28"/>
  <c r="AS14" i="28"/>
  <c r="AS13" i="28"/>
  <c r="AT13" i="28"/>
  <c r="AU13" i="28"/>
  <c r="AT12" i="28"/>
  <c r="AS12" i="28"/>
  <c r="AU12" i="28"/>
  <c r="AT11" i="28"/>
  <c r="AS11" i="28"/>
  <c r="AU11" i="28"/>
  <c r="AU10" i="28"/>
  <c r="AT10" i="28"/>
  <c r="AS10" i="28"/>
  <c r="AU9" i="28"/>
  <c r="AT9" i="28"/>
  <c r="AS9" i="28"/>
  <c r="AT8" i="28"/>
  <c r="AS8" i="28"/>
  <c r="AU8" i="28"/>
  <c r="AS7" i="28"/>
  <c r="AU7" i="28"/>
  <c r="AT7" i="28"/>
  <c r="AS6" i="28"/>
  <c r="AU6" i="28"/>
  <c r="AT6" i="28"/>
  <c r="AS5" i="28"/>
  <c r="AT5" i="28"/>
  <c r="AU5" i="28"/>
  <c r="AT4" i="28"/>
  <c r="AS4" i="28"/>
  <c r="AU4" i="28"/>
  <c r="AS3" i="28"/>
  <c r="AT3" i="28"/>
  <c r="AU3" i="28"/>
  <c r="AT2" i="28"/>
  <c r="AU2" i="28"/>
  <c r="AS2" i="28"/>
  <c r="C7" i="24"/>
  <c r="E9" i="23"/>
  <c r="E8" i="23"/>
  <c r="H7" i="24"/>
  <c r="H10" i="24"/>
  <c r="H9" i="24"/>
  <c r="H8" i="24"/>
  <c r="AR205" i="10"/>
  <c r="AT205" i="10"/>
  <c r="AR523" i="10"/>
  <c r="AT523" i="10"/>
  <c r="AS101" i="10"/>
  <c r="AR101" i="10"/>
  <c r="AH101" i="10"/>
  <c r="AH102" i="10"/>
  <c r="AH103" i="10"/>
  <c r="AH104" i="10"/>
  <c r="AH105" i="10"/>
  <c r="AH106" i="10"/>
  <c r="AH107" i="10"/>
  <c r="AH108" i="10"/>
  <c r="AH109" i="10"/>
  <c r="AH110" i="10"/>
  <c r="AH111" i="10"/>
  <c r="AH112" i="10"/>
  <c r="AH113" i="10"/>
  <c r="AH114" i="10"/>
  <c r="AH115" i="10"/>
  <c r="AH116" i="10"/>
  <c r="AH117" i="10"/>
  <c r="AH118" i="10"/>
  <c r="AH119" i="10"/>
  <c r="AH120" i="10"/>
  <c r="AH121" i="10"/>
  <c r="AH122" i="10"/>
  <c r="AH123" i="10"/>
  <c r="AH124" i="10"/>
  <c r="AH125" i="10"/>
  <c r="AH126" i="10"/>
  <c r="AH127" i="10"/>
  <c r="AH128" i="10"/>
  <c r="AH129" i="10"/>
  <c r="AH130" i="10"/>
  <c r="AH131" i="10"/>
  <c r="AH132" i="10"/>
  <c r="AH133" i="10"/>
  <c r="AH134" i="10"/>
  <c r="AH135" i="10"/>
  <c r="AH136" i="10"/>
  <c r="AH137" i="10"/>
  <c r="AH138" i="10"/>
  <c r="AH139" i="10"/>
  <c r="AH140" i="10"/>
  <c r="AH141" i="10"/>
  <c r="AH142" i="10"/>
  <c r="AH143" i="10"/>
  <c r="AH144" i="10"/>
  <c r="AH145" i="10"/>
  <c r="AH146" i="10"/>
  <c r="AH147" i="10"/>
  <c r="AH148" i="10"/>
  <c r="AH149" i="10"/>
  <c r="AH150" i="10"/>
  <c r="AH151" i="10"/>
  <c r="AH152" i="10"/>
  <c r="AH153" i="10"/>
  <c r="AH154" i="10"/>
  <c r="AH155" i="10"/>
  <c r="AH156" i="10"/>
  <c r="AH157" i="10"/>
  <c r="AH158" i="10"/>
  <c r="AH159" i="10"/>
  <c r="AH160" i="10"/>
  <c r="AH161" i="10"/>
  <c r="AH162" i="10"/>
  <c r="AH163" i="10"/>
  <c r="AH164" i="10"/>
  <c r="AH165" i="10"/>
  <c r="AH166" i="10"/>
  <c r="AH167" i="10"/>
  <c r="AH168" i="10"/>
  <c r="AH169" i="10"/>
  <c r="AH170" i="10"/>
  <c r="AH171" i="10"/>
  <c r="AH172" i="10"/>
  <c r="AH173" i="10"/>
  <c r="AH174" i="10"/>
  <c r="AH175" i="10"/>
  <c r="AH176" i="10"/>
  <c r="AH177" i="10"/>
  <c r="AH178" i="10"/>
  <c r="AH179" i="10"/>
  <c r="AH180" i="10"/>
  <c r="AH181" i="10"/>
  <c r="AH182" i="10"/>
  <c r="AH183" i="10"/>
  <c r="AH184" i="10"/>
  <c r="AH185" i="10"/>
  <c r="AH186" i="10"/>
  <c r="AH187" i="10"/>
  <c r="AH188" i="10"/>
  <c r="AH189" i="10"/>
  <c r="AH190" i="10"/>
  <c r="AH191" i="10"/>
  <c r="AH192" i="10"/>
  <c r="AH193" i="10"/>
  <c r="AH194" i="10"/>
  <c r="AH195" i="10"/>
  <c r="AH196" i="10"/>
  <c r="AH197" i="10"/>
  <c r="AH198" i="10"/>
  <c r="AH199" i="10"/>
  <c r="AH200" i="10"/>
  <c r="AH201" i="10"/>
  <c r="AH202" i="10"/>
  <c r="AH203" i="10"/>
  <c r="AH204" i="10"/>
  <c r="AH205" i="10"/>
  <c r="AH206" i="10"/>
  <c r="AH207" i="10"/>
  <c r="AH208" i="10"/>
  <c r="AH209" i="10"/>
  <c r="AH210" i="10"/>
  <c r="AH211" i="10"/>
  <c r="AH212" i="10"/>
  <c r="AH213" i="10"/>
  <c r="AH214" i="10"/>
  <c r="AH215" i="10"/>
  <c r="AH216" i="10"/>
  <c r="AH217" i="10"/>
  <c r="AH218" i="10"/>
  <c r="AH219" i="10"/>
  <c r="AH220" i="10"/>
  <c r="AH221" i="10"/>
  <c r="AH222" i="10"/>
  <c r="AH223" i="10"/>
  <c r="AH224" i="10"/>
  <c r="AH225" i="10"/>
  <c r="AH226" i="10"/>
  <c r="AH227" i="10"/>
  <c r="AH228" i="10"/>
  <c r="AH229" i="10"/>
  <c r="AH230" i="10"/>
  <c r="AH231" i="10"/>
  <c r="AH232" i="10"/>
  <c r="AH233" i="10"/>
  <c r="AH234" i="10"/>
  <c r="AH235" i="10"/>
  <c r="AH236" i="10"/>
  <c r="AH237" i="10"/>
  <c r="AH238" i="10"/>
  <c r="AH239" i="10"/>
  <c r="AH240" i="10"/>
  <c r="AH241" i="10"/>
  <c r="AH242" i="10"/>
  <c r="AH243" i="10"/>
  <c r="AH244" i="10"/>
  <c r="AH245" i="10"/>
  <c r="AH246" i="10"/>
  <c r="AH247" i="10"/>
  <c r="AH248" i="10"/>
  <c r="AH249" i="10"/>
  <c r="AH250" i="10"/>
  <c r="AH251" i="10"/>
  <c r="AH252" i="10"/>
  <c r="AH253" i="10"/>
  <c r="AH254" i="10"/>
  <c r="AH255" i="10"/>
  <c r="AH256" i="10"/>
  <c r="AH257" i="10"/>
  <c r="AH258" i="10"/>
  <c r="AH259" i="10"/>
  <c r="AH260" i="10"/>
  <c r="AH261" i="10"/>
  <c r="AH262" i="10"/>
  <c r="AH263" i="10"/>
  <c r="AH264" i="10"/>
  <c r="AH265" i="10"/>
  <c r="AH266" i="10"/>
  <c r="AH267" i="10"/>
  <c r="AH268" i="10"/>
  <c r="AH269" i="10"/>
  <c r="AH270" i="10"/>
  <c r="AH271" i="10"/>
  <c r="AH272" i="10"/>
  <c r="AH273" i="10"/>
  <c r="AH274" i="10"/>
  <c r="AH275" i="10"/>
  <c r="AH276" i="10"/>
  <c r="AH277" i="10"/>
  <c r="AH278" i="10"/>
  <c r="AH279" i="10"/>
  <c r="AH280" i="10"/>
  <c r="AH281" i="10"/>
  <c r="AH282" i="10"/>
  <c r="AH283" i="10"/>
  <c r="AH284" i="10"/>
  <c r="AH285" i="10"/>
  <c r="AH286" i="10"/>
  <c r="AH287" i="10"/>
  <c r="AH288" i="10"/>
  <c r="AH289" i="10"/>
  <c r="AH290" i="10"/>
  <c r="AH291" i="10"/>
  <c r="AH292" i="10"/>
  <c r="AH293" i="10"/>
  <c r="AH294" i="10"/>
  <c r="AH295" i="10"/>
  <c r="AH296" i="10"/>
  <c r="AH297" i="10"/>
  <c r="AH298" i="10"/>
  <c r="AH299" i="10"/>
  <c r="AH300" i="10"/>
  <c r="AH301" i="10"/>
  <c r="AH302" i="10"/>
  <c r="AH303" i="10"/>
  <c r="AH304" i="10"/>
  <c r="AH305" i="10"/>
  <c r="AH306" i="10"/>
  <c r="AH307" i="10"/>
  <c r="AH308" i="10"/>
  <c r="AH309" i="10"/>
  <c r="AH310" i="10"/>
  <c r="AH311" i="10"/>
  <c r="AH312" i="10"/>
  <c r="AH313" i="10"/>
  <c r="AH314" i="10"/>
  <c r="AH315" i="10"/>
  <c r="AH316" i="10"/>
  <c r="AH317" i="10"/>
  <c r="AH318" i="10"/>
  <c r="AH319" i="10"/>
  <c r="AH320" i="10"/>
  <c r="AH321" i="10"/>
  <c r="AH322" i="10"/>
  <c r="AH323" i="10"/>
  <c r="AH324" i="10"/>
  <c r="AH325" i="10"/>
  <c r="AH326" i="10"/>
  <c r="AH327" i="10"/>
  <c r="AH328" i="10"/>
  <c r="AH329" i="10"/>
  <c r="AH330" i="10"/>
  <c r="AH331" i="10"/>
  <c r="AH332" i="10"/>
  <c r="AH333" i="10"/>
  <c r="AH334" i="10"/>
  <c r="AH335" i="10"/>
  <c r="AH336" i="10"/>
  <c r="AH337" i="10"/>
  <c r="AH338" i="10"/>
  <c r="AH339" i="10"/>
  <c r="AH340" i="10"/>
  <c r="AH341" i="10"/>
  <c r="AH342" i="10"/>
  <c r="AH343" i="10"/>
  <c r="AH344" i="10"/>
  <c r="AH345" i="10"/>
  <c r="AH346" i="10"/>
  <c r="AH347" i="10"/>
  <c r="AH348" i="10"/>
  <c r="AH349" i="10"/>
  <c r="AH350" i="10"/>
  <c r="AH351" i="10"/>
  <c r="AH352" i="10"/>
  <c r="AH353" i="10"/>
  <c r="AH354" i="10"/>
  <c r="AH355" i="10"/>
  <c r="AH356" i="10"/>
  <c r="AH357" i="10"/>
  <c r="AH358" i="10"/>
  <c r="AH359" i="10"/>
  <c r="AH360" i="10"/>
  <c r="AH361" i="10"/>
  <c r="AH362" i="10"/>
  <c r="AH363" i="10"/>
  <c r="AH364" i="10"/>
  <c r="AH365" i="10"/>
  <c r="AH366" i="10"/>
  <c r="AH367" i="10"/>
  <c r="AH368" i="10"/>
  <c r="AH369" i="10"/>
  <c r="AH370" i="10"/>
  <c r="AH371" i="10"/>
  <c r="AH372" i="10"/>
  <c r="AH373" i="10"/>
  <c r="AH374" i="10"/>
  <c r="AH375" i="10"/>
  <c r="AH376" i="10"/>
  <c r="AH377" i="10"/>
  <c r="AH378" i="10"/>
  <c r="AH379" i="10"/>
  <c r="AH380" i="10"/>
  <c r="AH381" i="10"/>
  <c r="AH382" i="10"/>
  <c r="AH383" i="10"/>
  <c r="AH384" i="10"/>
  <c r="AH385" i="10"/>
  <c r="AH386" i="10"/>
  <c r="AH387" i="10"/>
  <c r="AH388" i="10"/>
  <c r="AH389" i="10"/>
  <c r="AH390" i="10"/>
  <c r="AH391" i="10"/>
  <c r="AH392" i="10"/>
  <c r="AH393" i="10"/>
  <c r="AH394" i="10"/>
  <c r="AH395" i="10"/>
  <c r="AH396" i="10"/>
  <c r="AH397" i="10"/>
  <c r="AH398" i="10"/>
  <c r="AH399" i="10"/>
  <c r="AH400" i="10"/>
  <c r="AH401" i="10"/>
  <c r="AH402" i="10"/>
  <c r="AH403" i="10"/>
  <c r="AH404" i="10"/>
  <c r="AH405" i="10"/>
  <c r="AH406" i="10"/>
  <c r="AH407" i="10"/>
  <c r="AH408" i="10"/>
  <c r="AH409" i="10"/>
  <c r="AH410" i="10"/>
  <c r="AH411" i="10"/>
  <c r="AH412" i="10"/>
  <c r="AH413" i="10"/>
  <c r="AH414" i="10"/>
  <c r="AH415" i="10"/>
  <c r="AH416" i="10"/>
  <c r="AH417" i="10"/>
  <c r="AH418" i="10"/>
  <c r="AH419" i="10"/>
  <c r="AH420" i="10"/>
  <c r="AH421" i="10"/>
  <c r="AH422" i="10"/>
  <c r="AH423" i="10"/>
  <c r="AH424" i="10"/>
  <c r="AH425" i="10"/>
  <c r="AH426" i="10"/>
  <c r="AH427" i="10"/>
  <c r="AH428" i="10"/>
  <c r="AH429" i="10"/>
  <c r="AH430" i="10"/>
  <c r="AH431" i="10"/>
  <c r="AH432" i="10"/>
  <c r="AH433" i="10"/>
  <c r="AH434" i="10"/>
  <c r="AH435" i="10"/>
  <c r="AH436" i="10"/>
  <c r="AH437" i="10"/>
  <c r="AH438" i="10"/>
  <c r="AH439" i="10"/>
  <c r="AH440" i="10"/>
  <c r="AH441" i="10"/>
  <c r="AH442" i="10"/>
  <c r="AH443" i="10"/>
  <c r="AH444" i="10"/>
  <c r="AH445" i="10"/>
  <c r="AH446" i="10"/>
  <c r="AH447" i="10"/>
  <c r="AH448" i="10"/>
  <c r="AH449" i="10"/>
  <c r="AH450" i="10"/>
  <c r="AH451" i="10"/>
  <c r="AH452" i="10"/>
  <c r="AH453" i="10"/>
  <c r="AH454" i="10"/>
  <c r="AH455" i="10"/>
  <c r="AH456" i="10"/>
  <c r="AH457" i="10"/>
  <c r="AH458" i="10"/>
  <c r="AH459" i="10"/>
  <c r="AH460" i="10"/>
  <c r="AH461" i="10"/>
  <c r="AH462" i="10"/>
  <c r="AH463" i="10"/>
  <c r="AH464" i="10"/>
  <c r="AH465" i="10"/>
  <c r="AH467" i="10"/>
  <c r="AH468" i="10"/>
  <c r="AH469" i="10"/>
  <c r="AH470" i="10"/>
  <c r="AH471" i="10"/>
  <c r="AH472" i="10"/>
  <c r="AH473" i="10"/>
  <c r="AH474" i="10"/>
  <c r="AH475" i="10"/>
  <c r="AH476" i="10"/>
  <c r="AH477" i="10"/>
  <c r="AH478" i="10"/>
  <c r="AH479" i="10"/>
  <c r="AH480" i="10"/>
  <c r="AH481" i="10"/>
  <c r="AH482" i="10"/>
  <c r="AH483" i="10"/>
  <c r="AH484" i="10"/>
  <c r="AH485" i="10"/>
  <c r="AH486" i="10"/>
  <c r="AH487" i="10"/>
  <c r="AH488" i="10"/>
  <c r="AH489" i="10"/>
  <c r="AH490" i="10"/>
  <c r="AH491" i="10"/>
  <c r="AH492" i="10"/>
  <c r="AH493" i="10"/>
  <c r="AH494" i="10"/>
  <c r="AH495" i="10"/>
  <c r="AH496" i="10"/>
  <c r="AH497" i="10"/>
  <c r="AH498" i="10"/>
  <c r="AH499" i="10"/>
  <c r="AH500" i="10"/>
  <c r="AH501" i="10"/>
  <c r="AH502" i="10"/>
  <c r="AH503" i="10"/>
  <c r="AH504" i="10"/>
  <c r="AH505" i="10"/>
  <c r="AH506" i="10"/>
  <c r="AH507" i="10"/>
  <c r="AH508" i="10"/>
  <c r="AH509" i="10"/>
  <c r="AH510" i="10"/>
  <c r="AH511" i="10"/>
  <c r="AH512" i="10"/>
  <c r="AH513" i="10"/>
  <c r="AH514" i="10"/>
  <c r="AH515" i="10"/>
  <c r="AH516" i="10"/>
  <c r="AH517" i="10"/>
  <c r="AH518" i="10"/>
  <c r="AH519" i="10"/>
  <c r="AH520" i="10"/>
  <c r="AH521" i="10"/>
  <c r="AH522" i="10"/>
  <c r="AH523" i="10"/>
  <c r="AH524" i="10"/>
  <c r="AH525" i="10"/>
  <c r="AH526" i="10"/>
  <c r="AH527" i="10"/>
  <c r="AH528" i="10"/>
  <c r="AH529" i="10"/>
  <c r="AH530" i="10"/>
  <c r="AH531" i="10"/>
  <c r="AH100" i="10"/>
  <c r="D15" i="24"/>
  <c r="D21" i="22"/>
  <c r="H11" i="24" l="1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<sst xmlns="http://schemas.openxmlformats.org/spreadsheetml/2006/main" count="2030" uniqueCount="317">
  <si>
    <t>HORA</t>
  </si>
  <si>
    <t>VA</t>
  </si>
  <si>
    <t>ETA BRASÍLIA</t>
  </si>
  <si>
    <t>ESTUDO EQUILÍBRIO QUÍMICO H20 COAGULADA</t>
  </si>
  <si>
    <t>LADOS PAR E ÍMAR</t>
  </si>
  <si>
    <t>DATA:</t>
  </si>
  <si>
    <t>TURNO I</t>
  </si>
  <si>
    <t>TURNO II</t>
  </si>
  <si>
    <t>Vazões H20</t>
  </si>
  <si>
    <t>TOR (l/s)</t>
  </si>
  <si>
    <t>SM (l/s)</t>
  </si>
  <si>
    <t>BNN (l/s)</t>
  </si>
  <si>
    <t>TOTAL (l/s)</t>
  </si>
  <si>
    <t>CAL (s/n)</t>
  </si>
  <si>
    <t>PAC (mg/l)</t>
  </si>
  <si>
    <t>1ª Camara</t>
  </si>
  <si>
    <t>2ª Camara</t>
  </si>
  <si>
    <t>3ª Camara</t>
  </si>
  <si>
    <t>TEMP (°c)</t>
  </si>
  <si>
    <t>PH</t>
  </si>
  <si>
    <t>TURB</t>
  </si>
  <si>
    <t>COR</t>
  </si>
  <si>
    <t>ALC. (mg/l)</t>
  </si>
  <si>
    <t>TURB PAPEL FILTRO</t>
  </si>
  <si>
    <t>TURB. FLOT. CLP</t>
  </si>
  <si>
    <t>DOSAGENS</t>
  </si>
  <si>
    <t>FLOCULAÇÃO GRADIENTES</t>
  </si>
  <si>
    <t>LABORATÓRIO ETA-BRUTA COMPOSTA</t>
  </si>
  <si>
    <t>FLOCULADOR / FLOTADOR PAR - N° 6</t>
  </si>
  <si>
    <t>FLOCULADOR / FLOTADOR ÍMPAR - N° 5</t>
  </si>
  <si>
    <t>OBSERVAÇÕES:</t>
  </si>
  <si>
    <t>Andréa / Jamir</t>
  </si>
  <si>
    <t>Maciel / Mathias</t>
  </si>
  <si>
    <t>-</t>
  </si>
  <si>
    <t>S</t>
  </si>
  <si>
    <t>Andréa / Pierry</t>
  </si>
  <si>
    <t>Leandro / Cláudio</t>
  </si>
  <si>
    <t>,,49</t>
  </si>
  <si>
    <t>Cláudio Py / Leandro</t>
  </si>
  <si>
    <t>MACIEL/MATHIAS</t>
  </si>
  <si>
    <t>*Intrajoranda</t>
  </si>
  <si>
    <t>*</t>
  </si>
  <si>
    <t>* Intrajoranda</t>
  </si>
  <si>
    <t>**</t>
  </si>
  <si>
    <t>** ETA DESATIVADA</t>
  </si>
  <si>
    <t>FLOCULADOR / FLOTADOR PAR - N° 4</t>
  </si>
  <si>
    <t>FLOCULADOR / FLOTADOR ÍMPAR - N° 3</t>
  </si>
  <si>
    <t>DATA</t>
  </si>
  <si>
    <t>TURNO I:</t>
  </si>
  <si>
    <t>TURNO II:</t>
  </si>
  <si>
    <t>pH</t>
  </si>
  <si>
    <t>TURB (uT)</t>
  </si>
  <si>
    <t>TEMP (°C)</t>
  </si>
  <si>
    <t>COR (uC)</t>
  </si>
  <si>
    <t>TURB. FILT. (uT)</t>
  </si>
  <si>
    <t>LABORATÓRIO ETA-BRUTA COMPOSTA/ FILTRADA</t>
  </si>
  <si>
    <t>TOR (L/s)</t>
  </si>
  <si>
    <t>SM (L/s)</t>
  </si>
  <si>
    <t>BNN (L/s)</t>
  </si>
  <si>
    <t>TOTAL (L/s)</t>
  </si>
  <si>
    <t>CAL PRÉ (S/N)</t>
  </si>
  <si>
    <t>PAC (mg/L)</t>
  </si>
  <si>
    <r>
      <t>FLOC. GRADIENTES (s</t>
    </r>
    <r>
      <rPr>
        <b/>
        <vertAlign val="superscript"/>
        <sz val="11"/>
        <color theme="1"/>
        <rFont val="Calibri"/>
        <family val="2"/>
        <scheme val="minor"/>
      </rPr>
      <t>-1</t>
    </r>
    <r>
      <rPr>
        <b/>
        <sz val="11"/>
        <color theme="1"/>
        <rFont val="Calibri"/>
        <family val="2"/>
        <scheme val="minor"/>
      </rPr>
      <t>)</t>
    </r>
  </si>
  <si>
    <t>ALC. (mg/L)</t>
  </si>
  <si>
    <r>
      <t>ESTUDO EQUILÍBRIO QUÍMICO H</t>
    </r>
    <r>
      <rPr>
        <b/>
        <vertAlign val="subscript"/>
        <sz val="11"/>
        <color theme="1"/>
        <rFont val="Calibri"/>
        <family val="2"/>
        <scheme val="minor"/>
      </rPr>
      <t>2</t>
    </r>
    <r>
      <rPr>
        <b/>
        <sz val="11"/>
        <color theme="1"/>
        <rFont val="Calibri"/>
        <family val="2"/>
        <scheme val="minor"/>
      </rPr>
      <t>0 COAGULADA/ PRÉ-TRATAMENTO</t>
    </r>
  </si>
  <si>
    <t>LADOS PAR E ÍMPAR</t>
  </si>
  <si>
    <t>Nº FLOC.</t>
  </si>
  <si>
    <t>Nº FLOT.</t>
  </si>
  <si>
    <r>
      <rPr>
        <sz val="10"/>
        <color theme="1"/>
        <rFont val="Calibri"/>
        <family val="2"/>
        <scheme val="minor"/>
      </rPr>
      <t>Pressão</t>
    </r>
    <r>
      <rPr>
        <sz val="11"/>
        <color theme="1"/>
        <rFont val="Calibri"/>
        <family val="2"/>
        <scheme val="minor"/>
      </rPr>
      <t xml:space="preserve"> Sat. (bar)</t>
    </r>
  </si>
  <si>
    <r>
      <rPr>
        <sz val="10"/>
        <color theme="1"/>
        <rFont val="Calibri"/>
        <family val="2"/>
        <scheme val="minor"/>
      </rPr>
      <t>Vazão</t>
    </r>
    <r>
      <rPr>
        <sz val="11"/>
        <color theme="1"/>
        <rFont val="Calibri"/>
        <family val="2"/>
        <scheme val="minor"/>
      </rPr>
      <t xml:space="preserve"> Rec. (L/s)</t>
    </r>
  </si>
  <si>
    <t>VAZÃO ÁGUA BRUTA TOR (L/s)</t>
  </si>
  <si>
    <t>VAZÃO ÁGUA BRUTA SM (L/s)</t>
  </si>
  <si>
    <t>VAZÃO ÁGUA BRUTA BNN (L/s)</t>
  </si>
  <si>
    <t>VAZÃO ÁGUA BRUTA TOTAL (L/s)</t>
  </si>
  <si>
    <t>DOS CAL (s/n)</t>
  </si>
  <si>
    <t>DOS PAC (mg/L)</t>
  </si>
  <si>
    <t>FLOC GRAD 2ª Câmara</t>
  </si>
  <si>
    <t>FLOC GRAD 3ª Câmara</t>
  </si>
  <si>
    <t>ÁGUA BRUTA TEMP (°C)</t>
  </si>
  <si>
    <t>ÁGUA BRUTA pH</t>
  </si>
  <si>
    <t>ÁGUA BRUTA TURB (uT)</t>
  </si>
  <si>
    <t>ÁGUA BRUTA COR (uC)</t>
  </si>
  <si>
    <t>ÁGUA BRUTA ALC. (mg/L)</t>
  </si>
  <si>
    <t>ÁGUA FILTRADA TURB (uT)</t>
  </si>
  <si>
    <t>LADO PAR Nº FLOC.</t>
  </si>
  <si>
    <t>LADO PAR Nº FLOT.</t>
  </si>
  <si>
    <t>LADO ÍMPAR Nº FLOC.</t>
  </si>
  <si>
    <t>LADO ÍMPAR Nº FLOT.</t>
  </si>
  <si>
    <t>LADO PAR ÁGUA COAGULADA pH</t>
  </si>
  <si>
    <t>LADO PAR ÁGUA COAGULADA ALC. (mg/L)</t>
  </si>
  <si>
    <t>LADO PAR FLOTAÇÃO Pressão Sat. (bar)</t>
  </si>
  <si>
    <t>LADO PAR FLOTAÇÃO Vazão Rec.(L/s)</t>
  </si>
  <si>
    <t>LADO PAR ÁGUA COAGULADA TURB PAPEL FILTRO (uT)</t>
  </si>
  <si>
    <t>LADO PAR FLOTAÇÃO TURB CLARIFICADA CLP (uT)</t>
  </si>
  <si>
    <t>LADO ÍMPAR FLOTAÇÃO Pressão Sat. (bar)</t>
  </si>
  <si>
    <t>LADO ÍMPAR FLOTAÇÃO Vazão Rec.(L/s)</t>
  </si>
  <si>
    <t>LADO ÍMPAR ÁGUA COAGULADA pH</t>
  </si>
  <si>
    <t>LADO ÍMPAR ÁGUA COAGULADA ALC. (mg/l)</t>
  </si>
  <si>
    <t>LADO ÍMPAR ÁGUA COAGULADA TURB PAPEL FILTRO (uT)</t>
  </si>
  <si>
    <t>LADO ÍMPAR FLOTAÇÃO TURB CLARIFICADA CLP (uT)</t>
  </si>
  <si>
    <t>N</t>
  </si>
  <si>
    <t>Parâmetro</t>
  </si>
  <si>
    <t>Mínimo</t>
  </si>
  <si>
    <t>Máximo</t>
  </si>
  <si>
    <t>Média</t>
  </si>
  <si>
    <t>Desvio Padrão</t>
  </si>
  <si>
    <t>Turbidez (uT)</t>
  </si>
  <si>
    <t>Turb. Papel Filtro</t>
  </si>
  <si>
    <t>Indicador</t>
  </si>
  <si>
    <t>Alcalinidade (mg/L)</t>
  </si>
  <si>
    <t>TOTAL</t>
  </si>
  <si>
    <t>% do Total</t>
  </si>
  <si>
    <t>Turb. Clarificada</t>
  </si>
  <si>
    <t>Status</t>
  </si>
  <si>
    <t>LADO PAR</t>
  </si>
  <si>
    <t>LADO ÍMPAR</t>
  </si>
  <si>
    <t>Cor (uC)</t>
  </si>
  <si>
    <t>Mediana</t>
  </si>
  <si>
    <t>Vazão Média (L/s)</t>
  </si>
  <si>
    <t>FAIXA_TURB_FILT</t>
  </si>
  <si>
    <t>FAIXA_TURB_BRUTA</t>
  </si>
  <si>
    <t>TIPO_AGUA_BRUTA</t>
  </si>
  <si>
    <t>FAIXA_COR_BRUTA</t>
  </si>
  <si>
    <t>FAIXA_ALC_BRUTA</t>
  </si>
  <si>
    <t>FAIXA_TURB_CLAR_ÍMPAR</t>
  </si>
  <si>
    <t>FAIXA_TURB_CLAR_PAR</t>
  </si>
  <si>
    <t>FAIXA_TURB_PAPEL_FILTRO_PAR</t>
  </si>
  <si>
    <t>FAIXA_TURB_PAPEL_FILTRO_ÍMPAR</t>
  </si>
  <si>
    <t>TAXA_REMOÇÃO_PAR</t>
  </si>
  <si>
    <t>TAXA_REMOÇÃO_ÍMPAR</t>
  </si>
  <si>
    <t>TAXA_RECIR. _PAR</t>
  </si>
  <si>
    <t>TAXA_RECIR. _ÍMPAR</t>
  </si>
  <si>
    <t>Jarros</t>
  </si>
  <si>
    <t>PAC</t>
  </si>
  <si>
    <t>Turb. Residual</t>
  </si>
  <si>
    <t>Data: 27/05/2026</t>
  </si>
  <si>
    <t>Data: 19/05/2026</t>
  </si>
  <si>
    <t>Data: 25/05/2026</t>
  </si>
  <si>
    <t>Data: 26/05/2026</t>
  </si>
  <si>
    <t>Data: 08/06/2026</t>
  </si>
  <si>
    <t>Data: 03/06/2026</t>
  </si>
  <si>
    <t>Data: 10/06/2026</t>
  </si>
  <si>
    <t>Data: 11/06/2026</t>
  </si>
  <si>
    <t>Data: 15/06/2026</t>
  </si>
  <si>
    <t>PAINEL DE CONTROLE - DASHBOARD ETA BRASÍLIA</t>
  </si>
  <si>
    <t>FILTRO DE PERÍODO</t>
  </si>
  <si>
    <t>Data Início:</t>
  </si>
  <si>
    <t>Data Fim:</t>
  </si>
  <si>
    <t>Períodos Rápidos:</t>
  </si>
  <si>
    <t>(Ajuste as datas acima conforme necessário)</t>
  </si>
  <si>
    <t>FILTROS DE QUALIDADE</t>
  </si>
  <si>
    <t>Tipo de Água Bruta:</t>
  </si>
  <si>
    <t>Faixa Turb. Bruta:</t>
  </si>
  <si>
    <t>Faixa Turb. Filtrada:</t>
  </si>
  <si>
    <t>Dosagem Cal (S/N):</t>
  </si>
  <si>
    <t>INFORMAÇÕES DO PERÍODO</t>
  </si>
  <si>
    <t>RESUMO ESTATÍSTICO - ÁGUA BRUTA</t>
  </si>
  <si>
    <t>Contagem</t>
  </si>
  <si>
    <t>Temperatura (°C)</t>
  </si>
  <si>
    <t>Vazão Total (L/s)</t>
  </si>
  <si>
    <t>DISTRIBUIÇÃO DE VAZÃO POR ELEVATÓRIA</t>
  </si>
  <si>
    <t>Elevatória</t>
  </si>
  <si>
    <t>Vazão Mín</t>
  </si>
  <si>
    <t>Vazão Máx</t>
  </si>
  <si>
    <t>TOR</t>
  </si>
  <si>
    <t>BNN</t>
  </si>
  <si>
    <t>SM</t>
  </si>
  <si>
    <t>ESTATÍSTICAS DE DOSAGEM - PAC (mg/L)</t>
  </si>
  <si>
    <t>Estatística</t>
  </si>
  <si>
    <t>Valor</t>
  </si>
  <si>
    <t>Moda</t>
  </si>
  <si>
    <t>Amplitude</t>
  </si>
  <si>
    <t>ÁGUA COAGULADA - COMPARATIVO PAR x ÍMPAR</t>
  </si>
  <si>
    <t>LADO PAR - Média</t>
  </si>
  <si>
    <t>LADO ÍMPAR - Média</t>
  </si>
  <si>
    <t>Diferença</t>
  </si>
  <si>
    <t>PAR - Desv.Pad</t>
  </si>
  <si>
    <t>Melhor</t>
  </si>
  <si>
    <t>pH Coagulado</t>
  </si>
  <si>
    <t>Turb. Papel Filtro (uT)</t>
  </si>
  <si>
    <t>Turb. Clarificada CLP (uT)</t>
  </si>
  <si>
    <t>TAXAS DE REMOÇÃO DE TURBIDEZ</t>
  </si>
  <si>
    <t>Melhor Desempenho</t>
  </si>
  <si>
    <t>Taxa de Remoção Média</t>
  </si>
  <si>
    <t>Taxa de Remoção Máxima</t>
  </si>
  <si>
    <t>Taxa de Remoção Mínima</t>
  </si>
  <si>
    <t>Registros com Dados</t>
  </si>
  <si>
    <t>TURBIDEZ DA ÁGUA FILTRADA</t>
  </si>
  <si>
    <t>Turb. Filtrada (uT)</t>
  </si>
  <si>
    <t>Limite Portaria</t>
  </si>
  <si>
    <t>% ≤ 0.5 uT</t>
  </si>
  <si>
    <t>% ≤ 1.0 uT</t>
  </si>
  <si>
    <t>0.5 uT</t>
  </si>
  <si>
    <t>1.0 uT</t>
  </si>
  <si>
    <t>≥ 95%</t>
  </si>
  <si>
    <t>GRÁFICO 1: TURBIDEZ PAR x ÍMPAR</t>
  </si>
  <si>
    <t>GRÁFICO 2: DISTRIBUIÇÃO POR ELEVATÓRIA</t>
  </si>
  <si>
    <t>GRÁFICO 3: DISTRIBUIÇÃO POR FAIXA DE TURBIDEZ BRUTA</t>
  </si>
  <si>
    <t>Faixa de Turbidez</t>
  </si>
  <si>
    <t>Quantidade</t>
  </si>
  <si>
    <t>Percentual</t>
  </si>
  <si>
    <t>&lt; 2.5 uT</t>
  </si>
  <si>
    <t>2.5 - 5.0 uT</t>
  </si>
  <si>
    <t>5.0 - 7.5 uT</t>
  </si>
  <si>
    <t>7.5 - 10.0 uT</t>
  </si>
  <si>
    <t>10.0 - 15.0 uT</t>
  </si>
  <si>
    <t>&gt; 15.0 uT</t>
  </si>
  <si>
    <t>GRÁFICO 4: FAIXA DE TURBIDEZ FILTRADA</t>
  </si>
  <si>
    <t>Faixa Turb. Filtrada</t>
  </si>
  <si>
    <t>Tipo 1 (≤0.25 uT)</t>
  </si>
  <si>
    <t>Tipo 2 (0.25-0.50 uT)</t>
  </si>
  <si>
    <t>Tipo 3 (0.50-0.75 uT)</t>
  </si>
  <si>
    <t>Tipo 4 (&gt;0.75 uT)</t>
  </si>
  <si>
    <t>GRÁFICO 5: DISTRIBUIÇÃO DOSAGEM PAC</t>
  </si>
  <si>
    <t>Faixa PAC (mg/L)</t>
  </si>
  <si>
    <t>&lt; 3.5</t>
  </si>
  <si>
    <t>3.5 - 4.0</t>
  </si>
  <si>
    <t>4.0 - 4.5</t>
  </si>
  <si>
    <t>4.5 - 5.0</t>
  </si>
  <si>
    <t>5.0 - 5.5</t>
  </si>
  <si>
    <t>&gt; 5.5</t>
  </si>
  <si>
    <t>📌 NAVEGAÇÃO</t>
  </si>
  <si>
    <t>➡️ QUALIDADE</t>
  </si>
  <si>
    <t>Estatísticas de água bruta, elevatórias e PAC</t>
  </si>
  <si>
    <t>➡️ DESEMPENHO</t>
  </si>
  <si>
    <t>Comparativo PAR x ÍMPAR, taxas de remoção</t>
  </si>
  <si>
    <t>➡️ COMPARATIVO</t>
  </si>
  <si>
    <t>Gráficos e distribuições</t>
  </si>
  <si>
    <t>➡️ DADOS ORIGEM</t>
  </si>
  <si>
    <t>Planilha EQUÍLIBRIO QUÍMICO</t>
  </si>
  <si>
    <t>📊 INDICADORES RESUMIDOS</t>
  </si>
  <si>
    <t>Total Registros</t>
  </si>
  <si>
    <t>Turb. Bruta Média</t>
  </si>
  <si>
    <t>Turb. Filtrada Média</t>
  </si>
  <si>
    <t>Dosagem PAC Média</t>
  </si>
  <si>
    <t>Vazão Total Média</t>
  </si>
  <si>
    <t>📊 DASHBOARD QUALIDADE - Análise de Água Bruta e Tratamento</t>
  </si>
  <si>
    <t>⚙️ DASHBOARD DESEMPENHO - Comparativo PAR x ÍMPAR</t>
  </si>
  <si>
    <t>📈 DASHBOARD COMPARATIVO - Gráficos e Distribuições</t>
  </si>
  <si>
    <t>📋 LEGENDA</t>
  </si>
  <si>
    <t>🔵 PAR</t>
  </si>
  <si>
    <t>Lado Par teve melhor resultado</t>
  </si>
  <si>
    <t>🟢 ÍMPAR</t>
  </si>
  <si>
    <t>Lado Ímpar teve melhor resultado</t>
  </si>
  <si>
    <t>🟡 IGUAL</t>
  </si>
  <si>
    <t>Resultados equivalentes</t>
  </si>
  <si>
    <t>✅ CONFORME</t>
  </si>
  <si>
    <t>Atende padrão Portaria</t>
  </si>
  <si>
    <t>"TODOS</t>
  </si>
  <si>
    <t>Turb. Água Bruta (uT)</t>
  </si>
  <si>
    <t>Cor Água Bruta (uC)</t>
  </si>
  <si>
    <t>pH Água Bruta</t>
  </si>
  <si>
    <t>Alc. Água Bruta (mg/L)</t>
  </si>
  <si>
    <t>Temp. Água Bruta (ºC)</t>
  </si>
  <si>
    <t>Dos. Pac (mg/L)</t>
  </si>
  <si>
    <t>Dos. Cal (mg/L)</t>
  </si>
  <si>
    <t>Dos. Poli (mg/L)</t>
  </si>
  <si>
    <t>Dos. Pré- Oxidante (mg/L)</t>
  </si>
  <si>
    <t>Cor residual (uC)</t>
  </si>
  <si>
    <t>Turd. Residual (uT)</t>
  </si>
  <si>
    <t>Alc. Residual (mg/L)</t>
  </si>
  <si>
    <t>pH Coagualada</t>
  </si>
  <si>
    <t>1300/90/600</t>
  </si>
  <si>
    <t>TOR/BAN/SMR</t>
  </si>
  <si>
    <t>1200/90/550</t>
  </si>
  <si>
    <t>520/950/550</t>
  </si>
  <si>
    <t>1490/46/544</t>
  </si>
  <si>
    <t>1450/390/90</t>
  </si>
  <si>
    <t>1126/578/55</t>
  </si>
  <si>
    <t>1200/500/90</t>
  </si>
  <si>
    <t>940/940/720</t>
  </si>
  <si>
    <t>1060/580/153</t>
  </si>
  <si>
    <t>1209/0/680</t>
  </si>
  <si>
    <t>1100/0/700</t>
  </si>
  <si>
    <t>1100/0/701</t>
  </si>
  <si>
    <t>Q_TOTAL</t>
  </si>
  <si>
    <t>%TOR</t>
  </si>
  <si>
    <t>%SM</t>
  </si>
  <si>
    <t>%BNN</t>
  </si>
  <si>
    <t>FAIXA_TURB_CLARIFICADA</t>
  </si>
  <si>
    <t>TAXA_REMOÇÃO</t>
  </si>
  <si>
    <t>1714/501/90</t>
  </si>
  <si>
    <t>1714/501/91</t>
  </si>
  <si>
    <t>1714/501/92</t>
  </si>
  <si>
    <t>1714/501/93</t>
  </si>
  <si>
    <t>1714/501/94</t>
  </si>
  <si>
    <t>1714/501/95</t>
  </si>
  <si>
    <t>FAIXA_REMOÇÃO</t>
  </si>
  <si>
    <t>Data: 01/07/2026</t>
  </si>
  <si>
    <t>Data: 06/08/2026</t>
  </si>
  <si>
    <t>CARGA (CSV)</t>
  </si>
  <si>
    <t>FLOCULADOR / FLOTADOR PAR</t>
  </si>
  <si>
    <t>FLOCULADOR / FLOTADOR ÍMPAR</t>
  </si>
  <si>
    <r>
      <rPr>
        <sz val="10"/>
        <color theme="1"/>
        <rFont val="Calibri"/>
        <family val="2"/>
        <scheme val="minor"/>
      </rPr>
      <t>Pressão</t>
    </r>
    <r>
      <rPr>
        <sz val="11"/>
        <color theme="1"/>
        <rFont val="Calibri"/>
        <family val="2"/>
        <scheme val="minor"/>
      </rPr>
      <t xml:space="preserve"> Sat. Média (bar)</t>
    </r>
  </si>
  <si>
    <r>
      <rPr>
        <sz val="10"/>
        <color theme="1"/>
        <rFont val="Calibri"/>
        <family val="2"/>
        <scheme val="minor"/>
      </rPr>
      <t>Vazão</t>
    </r>
    <r>
      <rPr>
        <sz val="11"/>
        <color theme="1"/>
        <rFont val="Calibri"/>
        <family val="2"/>
        <scheme val="minor"/>
      </rPr>
      <t xml:space="preserve"> Rec. Média (L/s)</t>
    </r>
  </si>
  <si>
    <t>(hh:mm)</t>
  </si>
  <si>
    <r>
      <t>ESTUDO DE OTIMIZAÇÃO DA COAGULAÇÃO COM UTILIZAÇÃO DA ANÁLISADOR DE CARGA SCV "EM LINHA" E EQUILÍBRIO QUÍMICO H</t>
    </r>
    <r>
      <rPr>
        <b/>
        <vertAlign val="subscript"/>
        <sz val="11"/>
        <color theme="1"/>
        <rFont val="Calibri"/>
        <family val="2"/>
        <scheme val="minor"/>
      </rPr>
      <t>2</t>
    </r>
    <r>
      <rPr>
        <b/>
        <sz val="11"/>
        <color theme="1"/>
        <rFont val="Calibri"/>
        <family val="2"/>
        <scheme val="minor"/>
      </rPr>
      <t>0 COAGULADA/ PRÉ-TRATAMENTO</t>
    </r>
  </si>
  <si>
    <t>FLOC GRAD 1ª Câmara</t>
  </si>
  <si>
    <t>07:30</t>
  </si>
  <si>
    <t>09:30</t>
  </si>
  <si>
    <t>11:30</t>
  </si>
  <si>
    <t>15:30</t>
  </si>
  <si>
    <t>17:30</t>
  </si>
  <si>
    <t>19:30</t>
  </si>
  <si>
    <t>21:30</t>
  </si>
  <si>
    <t>23:30</t>
  </si>
  <si>
    <t>03:30</t>
  </si>
  <si>
    <t>05:30</t>
  </si>
  <si>
    <t>Sa (SOLUBILIDADE DO AR NA ÁGUA A 25ºC)</t>
  </si>
  <si>
    <t>Pa (PRESSÃO ATMOSFÉRICA - DF)</t>
  </si>
  <si>
    <t>f (TAXA DE EFICIÊNCIA DO SATURADOR)</t>
  </si>
  <si>
    <t>LADO PAR A/S (RELAÇÃO  MASSA DE AR / MASSA DE SST</t>
  </si>
  <si>
    <t xml:space="preserve"> LADO PAR Car(CONCENTRAÇÃO DE AR DISPONÍVEL NA ZONA DE MISTURA (mg/L))</t>
  </si>
  <si>
    <t xml:space="preserve"> LADO ÍMPAR Car(CONCENTRAÇÃO DE AR DISPONÍVEL NA ZONA DE MISTURA (mg/L))</t>
  </si>
  <si>
    <t>LADO PAR SST_coag (CONCENTRAÇÃO DE SÓLIDOS SUSPENSOS TOTAIS (mg/L)</t>
  </si>
  <si>
    <t>LADO ÍMPAR SST_coag (CONCENTRAÇÃO DE SÓLIDOS SUSPENSOS TOTAIS (mg/L)</t>
  </si>
  <si>
    <t>LADO ÍMPAR A/S (RELAÇÃO  MASSA DE AR / MASSA DE SST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</si>
</sst>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164" formatCode="0.0%"/>
    <numFmt numFmtId="165" formatCode="#,##0.0"/>
    <numFmt numFmtId="167" formatCode="0.0"/>
    <numFmt numFmtId="171" formatCode="h:mm;@"/>
  </numFmts>
  <fonts count="24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4" tint="-0.249977111117893"/>
      <name val="Calibri"/>
      <family val="2"/>
      <scheme val="minor"/>
    </font>
    <font>
      <b/>
      <sz val="11"/>
      <color theme="4" tint="-0.249977111117893"/>
      <name val="Calibri"/>
      <family val="2"/>
      <scheme val="minor"/>
    </font>
    <font>
      <b/>
      <vertAlign val="superscript"/>
      <sz val="11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b/>
      <vertAlign val="subscript"/>
      <sz val="11"/>
      <color theme="1"/>
      <name val="Calibri"/>
      <family val="2"/>
      <scheme val="minor"/>
    </font>
    <font>
      <sz val="10"/>
      <color theme="1"/>
      <name val="Calibri"/>
      <family val="2"/>
      <scheme val="minor"/>
    </font>
    <font>
      <b/>
      <sz val="16"/>
      <color rgb="FFFFFFFF"/>
      <name val="Calibri"/>
      <family val="2"/>
      <scheme val="minor"/>
    </font>
    <font>
      <b/>
      <sz val="11"/>
      <color rgb="FFFFFFFF"/>
      <name val="Calibri"/>
      <family val="2"/>
      <scheme val="minor"/>
    </font>
    <font>
      <b/>
      <sz val="12"/>
      <color rgb="FFFFFFFF"/>
      <name val="Calibri"/>
      <family val="2"/>
      <scheme val="minor"/>
    </font>
    <font>
      <i/>
      <sz val="10"/>
      <color rgb="FF666666"/>
      <name val="Calibri"/>
      <family val="2"/>
      <scheme val="minor"/>
    </font>
    <font>
      <sz val="9"/>
      <color theme="1"/>
      <name val="Calibri"/>
      <family val="2"/>
      <scheme val="minor"/>
    </font>
    <font>
      <b/>
      <sz val="12"/>
      <color rgb="FF1F4E79"/>
      <name val="Calibri"/>
      <family val="2"/>
      <scheme val="minor"/>
    </font>
    <font>
      <b/>
      <i/>
      <sz val="11"/>
      <color theme="1"/>
      <name val="Calibri"/>
      <family val="2"/>
      <scheme val="minor"/>
    </font>
    <font>
      <u/>
      <sz val="10"/>
      <color rgb="FF0563C1"/>
      <name val="Calibri"/>
      <family val="2"/>
      <scheme val="minor"/>
    </font>
    <font>
      <b/>
      <sz val="14"/>
      <color rgb="FF1F4E79"/>
      <name val="Calibri"/>
      <family val="2"/>
      <scheme val="minor"/>
    </font>
    <font>
      <b/>
      <sz val="14"/>
      <color rgb="FF2E75B6"/>
      <name val="Calibri"/>
      <family val="2"/>
      <scheme val="minor"/>
    </font>
    <font>
      <sz val="12"/>
      <color theme="1"/>
      <name val="Calibri"/>
      <family val="2"/>
      <scheme val="minor"/>
    </font>
    <font>
      <b/>
      <sz val="16"/>
      <color rgb="FF1F4E79"/>
      <name val="Calibri"/>
      <family val="2"/>
      <scheme val="minor"/>
    </font>
    <font>
      <i/>
      <sz val="11"/>
      <color rgb="FF666666"/>
      <name val="Calibri"/>
      <family val="2"/>
      <scheme val="minor"/>
    </font>
    <font>
      <sz val="8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name val="Calibri"/>
      <family val="2"/>
      <scheme val="minor"/>
    </font>
  </fonts>
  <fills count="13">
    <fill>
      <patternFill patternType="none"/>
    </fill>
    <fill>
      <patternFill patternType="gray125"/>
    </fill>
    <fill>
      <patternFill patternType="solid">
        <fgColor rgb="FF1F4E79"/>
        <bgColor indexed="64"/>
      </patternFill>
    </fill>
    <fill>
      <patternFill patternType="solid">
        <fgColor rgb="FF2E75B6"/>
        <bgColor indexed="64"/>
      </patternFill>
    </fill>
    <fill>
      <patternFill patternType="solid">
        <fgColor rgb="FFE2EFDA"/>
        <bgColor indexed="64"/>
      </patternFill>
    </fill>
    <fill>
      <patternFill patternType="solid">
        <fgColor rgb="FFFFFF99"/>
        <bgColor indexed="64"/>
      </patternFill>
    </fill>
    <fill>
      <patternFill patternType="solid">
        <fgColor rgb="FFFCE4D6"/>
        <bgColor indexed="64"/>
      </patternFill>
    </fill>
    <fill>
      <patternFill patternType="solid">
        <fgColor rgb="FF70AD47"/>
        <bgColor indexed="64"/>
      </patternFill>
    </fill>
    <fill>
      <patternFill patternType="solid">
        <fgColor rgb="FFD6DCE5"/>
        <bgColor indexed="64"/>
      </patternFill>
    </fill>
    <fill>
      <patternFill patternType="solid">
        <fgColor rgb="FFC65911"/>
        <bgColor indexed="64"/>
      </patternFill>
    </fill>
    <fill>
      <patternFill patternType="solid">
        <fgColor rgb="FF7030A0"/>
        <bgColor indexed="64"/>
      </patternFill>
    </fill>
    <fill>
      <patternFill patternType="solid">
        <fgColor rgb="FFE2D5F2"/>
        <bgColor indexed="64"/>
      </patternFill>
    </fill>
    <fill>
      <patternFill patternType="solid">
        <fgColor rgb="FF538135"/>
        <bgColor indexed="64"/>
      </patternFill>
    </fill>
  </fills>
  <borders count="27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/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/>
      <top style="medium">
        <color auto="1"/>
      </top>
      <bottom style="medium">
        <color auto="1"/>
      </bottom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 style="medium">
        <color indexed="64"/>
      </right>
      <top/>
      <bottom style="thin">
        <color indexed="64"/>
      </bottom>
      <diagonal/>
    </border>
    <border>
      <left style="thin">
        <color rgb="FF1F4E79"/>
      </left>
      <right/>
      <top style="thin">
        <color rgb="FF1F4E79"/>
      </top>
      <bottom/>
      <diagonal/>
    </border>
    <border>
      <left style="thin">
        <color rgb="FF1F4E79"/>
      </left>
      <right/>
      <top/>
      <bottom/>
      <diagonal/>
    </border>
    <border>
      <left style="thin">
        <color rgb="FF1F4E79"/>
      </left>
      <right/>
      <top/>
      <bottom style="thin">
        <color rgb="FF1F4E79"/>
      </bottom>
      <diagonal/>
    </border>
    <border>
      <left/>
      <right style="thin">
        <color rgb="FF1F4E79"/>
      </right>
      <top style="thin">
        <color rgb="FF1F4E79"/>
      </top>
      <bottom/>
      <diagonal/>
    </border>
    <border>
      <left/>
      <right style="thin">
        <color rgb="FF1F4E79"/>
      </right>
      <top/>
      <bottom/>
      <diagonal/>
    </border>
    <border>
      <left/>
      <right style="thin">
        <color rgb="FF1F4E79"/>
      </right>
      <top/>
      <bottom style="thin">
        <color rgb="FF1F4E79"/>
      </bottom>
      <diagonal/>
    </border>
  </borders>
  <cellStyleXfs count="2">
    <xf numFmtId="0" fontId="0" fillId="0" borderId="0"/>
    <xf numFmtId="9" fontId="22" fillId="0" borderId="0" applyFont="0" applyFill="0" applyBorder="0" applyAlignment="0" applyProtection="0"/>
  </cellStyleXfs>
  <cellXfs count="153">
    <xf numFmtId="0" fontId="0" fillId="0" borderId="0" xfId="0"/>
    <xf numFmtId="0" fontId="0" fillId="0" borderId="0" xfId="0" applyAlignment="1">
      <alignment wrapText="1"/>
    </xf>
    <xf numFmtId="0" fontId="1" fillId="0" borderId="4" xfId="0" applyFont="1" applyBorder="1" applyAlignment="1">
      <alignment horizontal="center"/>
    </xf>
    <xf numFmtId="0" fontId="0" fillId="0" borderId="0" xfId="0" applyAlignment="1">
      <alignment horizontal="center" vertical="center"/>
    </xf>
    <xf numFmtId="0" fontId="0" fillId="0" borderId="5" xfId="0" applyBorder="1"/>
    <xf numFmtId="0" fontId="0" fillId="0" borderId="5" xfId="0" applyBorder="1" applyAlignment="1">
      <alignment horizontal="center" vertical="center" wrapText="1"/>
    </xf>
    <xf numFmtId="20" fontId="0" fillId="0" borderId="6" xfId="0" applyNumberFormat="1" applyBorder="1" applyAlignment="1">
      <alignment horizontal="center" vertical="center"/>
    </xf>
    <xf numFmtId="20" fontId="0" fillId="0" borderId="7" xfId="0" applyNumberFormat="1" applyBorder="1" applyAlignment="1">
      <alignment horizontal="center" vertical="center"/>
    </xf>
    <xf numFmtId="20" fontId="0" fillId="0" borderId="8" xfId="0" applyNumberFormat="1" applyBorder="1" applyAlignment="1">
      <alignment horizontal="center" vertical="center"/>
    </xf>
    <xf numFmtId="0" fontId="0" fillId="0" borderId="9" xfId="0" applyBorder="1" applyAlignment="1">
      <alignment horizontal="center" vertical="center"/>
    </xf>
    <xf numFmtId="0" fontId="0" fillId="0" borderId="10" xfId="0" applyBorder="1" applyAlignment="1">
      <alignment horizontal="center" vertical="center"/>
    </xf>
    <xf numFmtId="0" fontId="0" fillId="0" borderId="11" xfId="0" applyBorder="1" applyAlignment="1">
      <alignment horizontal="center" vertical="center"/>
    </xf>
    <xf numFmtId="0" fontId="0" fillId="0" borderId="3" xfId="0" applyBorder="1"/>
    <xf numFmtId="0" fontId="0" fillId="0" borderId="12" xfId="0" applyBorder="1"/>
    <xf numFmtId="0" fontId="0" fillId="0" borderId="2" xfId="0" applyBorder="1"/>
    <xf numFmtId="16" fontId="0" fillId="0" borderId="0" xfId="0" applyNumberFormat="1"/>
    <xf numFmtId="20" fontId="2" fillId="0" borderId="6" xfId="0" applyNumberFormat="1" applyFont="1" applyBorder="1" applyAlignment="1">
      <alignment horizontal="center" vertical="center"/>
    </xf>
    <xf numFmtId="20" fontId="2" fillId="0" borderId="7" xfId="0" applyNumberFormat="1" applyFont="1" applyBorder="1" applyAlignment="1">
      <alignment horizontal="center" vertical="center"/>
    </xf>
    <xf numFmtId="20" fontId="2" fillId="0" borderId="8" xfId="0" applyNumberFormat="1" applyFont="1" applyBorder="1" applyAlignment="1">
      <alignment horizontal="center" vertical="center"/>
    </xf>
    <xf numFmtId="0" fontId="2" fillId="0" borderId="5" xfId="0" applyFont="1" applyBorder="1" applyAlignment="1">
      <alignment horizontal="center" vertical="center" wrapText="1"/>
    </xf>
    <xf numFmtId="0" fontId="0" fillId="0" borderId="0" xfId="0" applyAlignment="1">
      <alignment horizontal="right"/>
    </xf>
    <xf numFmtId="0" fontId="0" fillId="0" borderId="13" xfId="0" applyBorder="1"/>
    <xf numFmtId="0" fontId="0" fillId="0" borderId="14" xfId="0" applyBorder="1"/>
    <xf numFmtId="0" fontId="1" fillId="0" borderId="0" xfId="0" applyFont="1"/>
    <xf numFmtId="0" fontId="5" fillId="0" borderId="0" xfId="0" applyFont="1"/>
    <xf numFmtId="14" fontId="0" fillId="0" borderId="5" xfId="0" applyNumberFormat="1" applyBorder="1" applyAlignment="1">
      <alignment horizontal="center" vertical="center" wrapText="1"/>
    </xf>
    <xf numFmtId="14" fontId="0" fillId="0" borderId="7" xfId="0" applyNumberFormat="1" applyBorder="1" applyAlignment="1">
      <alignment horizontal="center" vertical="center"/>
    </xf>
    <xf numFmtId="14" fontId="0" fillId="0" borderId="0" xfId="0" applyNumberFormat="1"/>
    <xf numFmtId="0" fontId="0" fillId="0" borderId="18" xfId="0" applyBorder="1"/>
    <xf numFmtId="2" fontId="0" fillId="0" borderId="18" xfId="0" applyNumberFormat="1" applyBorder="1"/>
    <xf numFmtId="14" fontId="0" fillId="5" borderId="0" xfId="0" applyNumberFormat="1" applyFill="1"/>
    <xf numFmtId="0" fontId="11" fillId="0" borderId="0" xfId="0" applyFont="1"/>
    <xf numFmtId="0" fontId="1" fillId="6" borderId="18" xfId="0" applyFont="1" applyFill="1" applyBorder="1"/>
    <xf numFmtId="1" fontId="0" fillId="0" borderId="18" xfId="0" applyNumberFormat="1" applyBorder="1"/>
    <xf numFmtId="164" fontId="0" fillId="0" borderId="18" xfId="0" applyNumberFormat="1" applyBorder="1"/>
    <xf numFmtId="0" fontId="1" fillId="0" borderId="18" xfId="0" applyFont="1" applyBorder="1"/>
    <xf numFmtId="3" fontId="0" fillId="0" borderId="18" xfId="0" applyNumberFormat="1" applyBorder="1"/>
    <xf numFmtId="0" fontId="0" fillId="0" borderId="18" xfId="0" quotePrefix="1" applyBorder="1"/>
    <xf numFmtId="0" fontId="1" fillId="0" borderId="19" xfId="0" applyFont="1" applyBorder="1" applyAlignment="1">
      <alignment horizontal="center" vertical="center" wrapText="1"/>
    </xf>
    <xf numFmtId="0" fontId="0" fillId="0" borderId="14" xfId="0" quotePrefix="1" applyBorder="1" applyAlignment="1">
      <alignment horizontal="center" vertical="center"/>
    </xf>
    <xf numFmtId="9" fontId="1" fillId="0" borderId="19" xfId="0" applyNumberFormat="1" applyFont="1" applyBorder="1" applyAlignment="1">
      <alignment horizontal="center" vertical="center" wrapText="1"/>
    </xf>
    <xf numFmtId="9" fontId="0" fillId="0" borderId="14" xfId="0" applyNumberFormat="1" applyBorder="1" applyAlignment="1">
      <alignment horizontal="center" vertical="center"/>
    </xf>
    <xf numFmtId="9" fontId="0" fillId="0" borderId="0" xfId="0" applyNumberFormat="1"/>
    <xf numFmtId="9" fontId="0" fillId="0" borderId="14" xfId="0" quotePrefix="1" applyNumberFormat="1" applyBorder="1" applyAlignment="1">
      <alignment horizontal="center" vertical="center"/>
    </xf>
    <xf numFmtId="0" fontId="0" fillId="0" borderId="20" xfId="0" applyBorder="1" applyAlignment="1">
      <alignment horizontal="center" vertical="center"/>
    </xf>
    <xf numFmtId="0" fontId="0" fillId="5" borderId="0" xfId="0" applyFill="1"/>
    <xf numFmtId="0" fontId="14" fillId="0" borderId="0" xfId="0" applyFont="1"/>
    <xf numFmtId="0" fontId="1" fillId="8" borderId="18" xfId="0" applyFont="1" applyFill="1" applyBorder="1" applyAlignment="1">
      <alignment horizontal="center"/>
    </xf>
    <xf numFmtId="165" fontId="0" fillId="0" borderId="18" xfId="0" applyNumberFormat="1" applyBorder="1"/>
    <xf numFmtId="0" fontId="1" fillId="6" borderId="0" xfId="0" applyFont="1" applyFill="1"/>
    <xf numFmtId="0" fontId="1" fillId="4" borderId="18" xfId="0" applyFont="1" applyFill="1" applyBorder="1" applyAlignment="1">
      <alignment horizontal="center"/>
    </xf>
    <xf numFmtId="0" fontId="1" fillId="6" borderId="18" xfId="0" applyFont="1" applyFill="1" applyBorder="1" applyAlignment="1">
      <alignment horizontal="center"/>
    </xf>
    <xf numFmtId="0" fontId="1" fillId="11" borderId="18" xfId="0" applyFont="1" applyFill="1" applyBorder="1" applyAlignment="1">
      <alignment horizontal="center"/>
    </xf>
    <xf numFmtId="0" fontId="13" fillId="0" borderId="0" xfId="0" applyFont="1"/>
    <xf numFmtId="0" fontId="15" fillId="0" borderId="0" xfId="0" applyFont="1"/>
    <xf numFmtId="0" fontId="16" fillId="0" borderId="21" xfId="0" applyFont="1" applyBorder="1"/>
    <xf numFmtId="0" fontId="0" fillId="0" borderId="22" xfId="0" applyBorder="1"/>
    <xf numFmtId="0" fontId="1" fillId="0" borderId="22" xfId="0" applyFont="1" applyBorder="1"/>
    <xf numFmtId="0" fontId="1" fillId="0" borderId="23" xfId="0" applyFont="1" applyBorder="1"/>
    <xf numFmtId="0" fontId="0" fillId="0" borderId="24" xfId="0" applyBorder="1"/>
    <xf numFmtId="0" fontId="0" fillId="0" borderId="25" xfId="0" applyBorder="1"/>
    <xf numFmtId="0" fontId="17" fillId="0" borderId="25" xfId="0" applyFont="1" applyBorder="1"/>
    <xf numFmtId="0" fontId="18" fillId="0" borderId="25" xfId="0" applyFont="1" applyBorder="1"/>
    <xf numFmtId="0" fontId="18" fillId="0" borderId="26" xfId="0" applyFont="1" applyBorder="1"/>
    <xf numFmtId="0" fontId="20" fillId="0" borderId="0" xfId="0" applyFont="1"/>
    <xf numFmtId="2" fontId="12" fillId="0" borderId="18" xfId="0" applyNumberFormat="1" applyFont="1" applyBorder="1"/>
    <xf numFmtId="0" fontId="12" fillId="0" borderId="18" xfId="0" applyFont="1" applyBorder="1"/>
    <xf numFmtId="0" fontId="0" fillId="0" borderId="18" xfId="0" applyBorder="1" applyAlignment="1">
      <alignment horizontal="center"/>
    </xf>
    <xf numFmtId="9" fontId="0" fillId="0" borderId="18" xfId="0" applyNumberFormat="1" applyBorder="1" applyAlignment="1">
      <alignment horizontal="center"/>
    </xf>
    <xf numFmtId="167" fontId="0" fillId="0" borderId="0" xfId="0" applyNumberFormat="1"/>
    <xf numFmtId="49" fontId="0" fillId="0" borderId="0" xfId="0" applyNumberFormat="1"/>
    <xf numFmtId="0" fontId="0" fillId="0" borderId="0" xfId="0" quotePrefix="1"/>
    <xf numFmtId="0" fontId="1" fillId="0" borderId="1" xfId="0" applyFont="1" applyBorder="1" applyAlignment="1">
      <alignment horizontal="center"/>
    </xf>
    <xf numFmtId="14" fontId="23" fillId="0" borderId="9" xfId="0" applyNumberFormat="1" applyFont="1" applyBorder="1" applyAlignment="1">
      <alignment horizontal="center" vertical="center"/>
    </xf>
    <xf numFmtId="14" fontId="23" fillId="0" borderId="10" xfId="0" applyNumberFormat="1" applyFont="1" applyBorder="1" applyAlignment="1">
      <alignment horizontal="center" vertical="center"/>
    </xf>
    <xf numFmtId="14" fontId="23" fillId="0" borderId="11" xfId="0" applyNumberFormat="1" applyFont="1" applyBorder="1" applyAlignment="1">
      <alignment horizontal="center" vertical="center"/>
    </xf>
    <xf numFmtId="14" fontId="23" fillId="0" borderId="0" xfId="0" applyNumberFormat="1" applyFont="1"/>
    <xf numFmtId="14" fontId="23" fillId="0" borderId="10" xfId="0" quotePrefix="1" applyNumberFormat="1" applyFont="1" applyBorder="1" applyAlignment="1">
      <alignment horizontal="center" vertical="center"/>
    </xf>
    <xf numFmtId="2" fontId="0" fillId="0" borderId="5" xfId="0" applyNumberFormat="1" applyBorder="1" applyAlignment="1">
      <alignment horizontal="center" vertical="center" wrapText="1"/>
    </xf>
    <xf numFmtId="2" fontId="0" fillId="0" borderId="10" xfId="0" applyNumberFormat="1" applyBorder="1" applyAlignment="1">
      <alignment horizontal="center" vertical="center"/>
    </xf>
    <xf numFmtId="2" fontId="0" fillId="0" borderId="11" xfId="0" applyNumberFormat="1" applyBorder="1" applyAlignment="1">
      <alignment horizontal="center" vertical="center"/>
    </xf>
    <xf numFmtId="2" fontId="0" fillId="0" borderId="9" xfId="0" applyNumberFormat="1" applyBorder="1" applyAlignment="1">
      <alignment horizontal="center" vertical="center"/>
    </xf>
    <xf numFmtId="2" fontId="0" fillId="0" borderId="20" xfId="0" applyNumberFormat="1" applyBorder="1" applyAlignment="1">
      <alignment horizontal="center" vertical="center"/>
    </xf>
    <xf numFmtId="2" fontId="0" fillId="0" borderId="0" xfId="0" applyNumberFormat="1"/>
    <xf numFmtId="2" fontId="0" fillId="0" borderId="19" xfId="0" applyNumberFormat="1" applyBorder="1" applyAlignment="1">
      <alignment horizontal="center" vertical="center"/>
    </xf>
    <xf numFmtId="2" fontId="0" fillId="0" borderId="10" xfId="0" quotePrefix="1" applyNumberFormat="1" applyBorder="1" applyAlignment="1">
      <alignment horizontal="center" vertical="center"/>
    </xf>
    <xf numFmtId="0" fontId="7" fillId="0" borderId="5" xfId="0" applyFont="1" applyBorder="1" applyAlignment="1">
      <alignment horizontal="center" vertical="center" wrapText="1"/>
    </xf>
    <xf numFmtId="14" fontId="0" fillId="0" borderId="9" xfId="0" applyNumberFormat="1" applyBorder="1" applyAlignment="1">
      <alignment horizontal="center" vertical="center"/>
    </xf>
    <xf numFmtId="14" fontId="0" fillId="0" borderId="10" xfId="0" applyNumberFormat="1" applyBorder="1" applyAlignment="1">
      <alignment horizontal="center" vertical="center"/>
    </xf>
    <xf numFmtId="14" fontId="0" fillId="0" borderId="11" xfId="0" applyNumberFormat="1" applyBorder="1" applyAlignment="1">
      <alignment horizontal="center" vertical="center"/>
    </xf>
    <xf numFmtId="0" fontId="1" fillId="0" borderId="16" xfId="0" applyFont="1" applyBorder="1" applyAlignment="1">
      <alignment horizontal="center"/>
    </xf>
    <xf numFmtId="0" fontId="1" fillId="0" borderId="12" xfId="0" applyFont="1" applyBorder="1" applyAlignment="1">
      <alignment horizontal="center"/>
    </xf>
    <xf numFmtId="0" fontId="1" fillId="0" borderId="15" xfId="0" applyFont="1" applyBorder="1" applyAlignment="1">
      <alignment horizontal="center"/>
    </xf>
    <xf numFmtId="0" fontId="1" fillId="0" borderId="1" xfId="0" applyFont="1" applyBorder="1" applyAlignment="1">
      <alignment horizontal="center"/>
    </xf>
    <xf numFmtId="0" fontId="0" fillId="0" borderId="3" xfId="0" applyBorder="1" applyAlignment="1">
      <alignment horizontal="center"/>
    </xf>
    <xf numFmtId="0" fontId="3" fillId="0" borderId="1" xfId="0" applyFont="1" applyBorder="1" applyAlignment="1">
      <alignment horizontal="center"/>
    </xf>
    <xf numFmtId="0" fontId="8" fillId="2" borderId="0" xfId="0" applyFont="1" applyFill="1" applyAlignment="1">
      <alignment horizontal="center"/>
    </xf>
    <xf numFmtId="0" fontId="10" fillId="3" borderId="0" xfId="0" applyFont="1" applyFill="1"/>
    <xf numFmtId="0" fontId="10" fillId="7" borderId="0" xfId="0" applyFont="1" applyFill="1"/>
    <xf numFmtId="0" fontId="19" fillId="2" borderId="0" xfId="0" applyFont="1" applyFill="1" applyAlignment="1">
      <alignment horizontal="center"/>
    </xf>
    <xf numFmtId="0" fontId="10" fillId="9" borderId="0" xfId="0" applyFont="1" applyFill="1"/>
    <xf numFmtId="0" fontId="9" fillId="3" borderId="0" xfId="0" applyFont="1" applyFill="1"/>
    <xf numFmtId="0" fontId="9" fillId="7" borderId="0" xfId="0" applyFont="1" applyFill="1"/>
    <xf numFmtId="0" fontId="9" fillId="9" borderId="0" xfId="0" applyFont="1" applyFill="1"/>
    <xf numFmtId="0" fontId="9" fillId="10" borderId="0" xfId="0" applyFont="1" applyFill="1"/>
    <xf numFmtId="0" fontId="9" fillId="12" borderId="0" xfId="0" applyFont="1" applyFill="1"/>
    <xf numFmtId="171" fontId="0" fillId="0" borderId="5" xfId="0" applyNumberFormat="1" applyBorder="1" applyAlignment="1">
      <alignment horizontal="center" vertical="center" wrapText="1"/>
    </xf>
    <xf numFmtId="171" fontId="0" fillId="0" borderId="7" xfId="0" applyNumberFormat="1" applyBorder="1" applyAlignment="1">
      <alignment horizontal="center" vertical="center"/>
    </xf>
    <xf numFmtId="171" fontId="2" fillId="0" borderId="7" xfId="0" applyNumberFormat="1" applyFont="1" applyBorder="1" applyAlignment="1">
      <alignment horizontal="center" vertical="center"/>
    </xf>
    <xf numFmtId="171" fontId="2" fillId="0" borderId="8" xfId="0" applyNumberFormat="1" applyFont="1" applyBorder="1" applyAlignment="1">
      <alignment horizontal="center" vertical="center"/>
    </xf>
    <xf numFmtId="171" fontId="0" fillId="0" borderId="8" xfId="0" applyNumberFormat="1" applyBorder="1" applyAlignment="1">
      <alignment horizontal="center" vertical="center"/>
    </xf>
    <xf numFmtId="171" fontId="0" fillId="0" borderId="6" xfId="0" applyNumberFormat="1" applyBorder="1" applyAlignment="1">
      <alignment horizontal="center" vertical="center"/>
    </xf>
    <xf numFmtId="171" fontId="0" fillId="0" borderId="10" xfId="0" applyNumberFormat="1" applyBorder="1" applyAlignment="1">
      <alignment horizontal="center" vertical="center"/>
    </xf>
    <xf numFmtId="171" fontId="0" fillId="0" borderId="17" xfId="0" applyNumberFormat="1" applyBorder="1" applyAlignment="1">
      <alignment horizontal="center" vertical="center"/>
    </xf>
    <xf numFmtId="171" fontId="0" fillId="0" borderId="0" xfId="0" applyNumberFormat="1"/>
    <xf numFmtId="1" fontId="0" fillId="0" borderId="5" xfId="0" applyNumberFormat="1" applyBorder="1" applyAlignment="1">
      <alignment horizontal="center" vertical="center" wrapText="1"/>
    </xf>
    <xf numFmtId="1" fontId="0" fillId="0" borderId="10" xfId="0" applyNumberFormat="1" applyBorder="1" applyAlignment="1">
      <alignment horizontal="center" vertical="center"/>
    </xf>
    <xf numFmtId="1" fontId="0" fillId="0" borderId="11" xfId="0" applyNumberFormat="1" applyBorder="1" applyAlignment="1">
      <alignment horizontal="center" vertical="center"/>
    </xf>
    <xf numFmtId="1" fontId="0" fillId="0" borderId="9" xfId="0" applyNumberFormat="1" applyBorder="1" applyAlignment="1">
      <alignment horizontal="center" vertical="center"/>
    </xf>
    <xf numFmtId="1" fontId="0" fillId="0" borderId="20" xfId="0" applyNumberFormat="1" applyBorder="1" applyAlignment="1">
      <alignment horizontal="center" vertical="center"/>
    </xf>
    <xf numFmtId="1" fontId="0" fillId="0" borderId="0" xfId="0" applyNumberFormat="1"/>
    <xf numFmtId="167" fontId="0" fillId="0" borderId="5" xfId="0" applyNumberFormat="1" applyBorder="1" applyAlignment="1">
      <alignment horizontal="center" vertical="center" wrapText="1"/>
    </xf>
    <xf numFmtId="167" fontId="0" fillId="0" borderId="10" xfId="0" applyNumberFormat="1" applyBorder="1" applyAlignment="1">
      <alignment horizontal="center" vertical="center"/>
    </xf>
    <xf numFmtId="167" fontId="0" fillId="0" borderId="11" xfId="0" applyNumberFormat="1" applyBorder="1" applyAlignment="1">
      <alignment horizontal="center" vertical="center"/>
    </xf>
    <xf numFmtId="167" fontId="0" fillId="0" borderId="9" xfId="0" applyNumberFormat="1" applyBorder="1" applyAlignment="1">
      <alignment horizontal="center" vertical="center"/>
    </xf>
    <xf numFmtId="167" fontId="0" fillId="0" borderId="20" xfId="0" applyNumberFormat="1" applyBorder="1" applyAlignment="1">
      <alignment horizontal="center" vertical="center"/>
    </xf>
    <xf numFmtId="2" fontId="7" fillId="0" borderId="5" xfId="0" applyNumberFormat="1" applyFont="1" applyBorder="1" applyAlignment="1">
      <alignment horizontal="center" vertical="center" wrapText="1"/>
    </xf>
    <xf numFmtId="2" fontId="0" fillId="0" borderId="7" xfId="0" applyNumberFormat="1" applyBorder="1" applyAlignment="1">
      <alignment horizontal="center" vertical="center"/>
    </xf>
    <xf numFmtId="2" fontId="0" fillId="0" borderId="8" xfId="0" applyNumberFormat="1" applyBorder="1" applyAlignment="1">
      <alignment horizontal="center" vertical="center"/>
    </xf>
    <xf numFmtId="2" fontId="0" fillId="0" borderId="6" xfId="0" applyNumberFormat="1" applyBorder="1" applyAlignment="1">
      <alignment horizontal="center" vertical="center"/>
    </xf>
    <xf numFmtId="2" fontId="0" fillId="0" borderId="17" xfId="0" applyNumberFormat="1" applyBorder="1" applyAlignment="1">
      <alignment horizontal="center" vertical="center"/>
    </xf>
    <xf numFmtId="1" fontId="1" fillId="0" borderId="5" xfId="0" applyNumberFormat="1" applyFont="1" applyBorder="1" applyAlignment="1">
      <alignment horizontal="center" vertical="center" wrapText="1"/>
    </xf>
    <xf numFmtId="1" fontId="0" fillId="0" borderId="14" xfId="0" applyNumberFormat="1" applyBorder="1" applyAlignment="1">
      <alignment horizontal="center" vertical="center"/>
    </xf>
    <xf numFmtId="9" fontId="1" fillId="0" borderId="5" xfId="0" applyNumberFormat="1" applyFont="1" applyBorder="1" applyAlignment="1">
      <alignment horizontal="center" vertical="center" wrapText="1"/>
    </xf>
    <xf numFmtId="9" fontId="0" fillId="0" borderId="14" xfId="1" applyNumberFormat="1" applyFont="1" applyBorder="1" applyAlignment="1">
      <alignment horizontal="center" vertical="center"/>
    </xf>
    <xf numFmtId="49" fontId="1" fillId="0" borderId="19" xfId="0" applyNumberFormat="1" applyFont="1" applyBorder="1" applyAlignment="1">
      <alignment horizontal="center" vertical="center" wrapText="1"/>
    </xf>
    <xf numFmtId="49" fontId="0" fillId="0" borderId="14" xfId="0" quotePrefix="1" applyNumberFormat="1" applyBorder="1" applyAlignment="1">
      <alignment horizontal="center" vertical="center"/>
    </xf>
    <xf numFmtId="49" fontId="0" fillId="0" borderId="18" xfId="0" quotePrefix="1" applyNumberFormat="1" applyBorder="1"/>
    <xf numFmtId="49" fontId="0" fillId="0" borderId="18" xfId="0" applyNumberFormat="1" applyBorder="1"/>
    <xf numFmtId="171" fontId="23" fillId="0" borderId="10" xfId="0" applyNumberFormat="1" applyFont="1" applyBorder="1" applyAlignment="1">
      <alignment horizontal="center" vertical="center"/>
    </xf>
    <xf numFmtId="171" fontId="23" fillId="0" borderId="11" xfId="0" applyNumberFormat="1" applyFont="1" applyBorder="1" applyAlignment="1">
      <alignment horizontal="center" vertical="center"/>
    </xf>
    <xf numFmtId="171" fontId="23" fillId="0" borderId="9" xfId="0" applyNumberFormat="1" applyFont="1" applyBorder="1" applyAlignment="1">
      <alignment horizontal="center" vertical="center"/>
    </xf>
    <xf numFmtId="171" fontId="23" fillId="0" borderId="0" xfId="0" applyNumberFormat="1" applyFont="1"/>
    <xf numFmtId="49" fontId="0" fillId="0" borderId="5" xfId="0" applyNumberFormat="1" applyBorder="1" applyAlignment="1">
      <alignment horizontal="center" vertical="center" wrapText="1"/>
    </xf>
    <xf numFmtId="49" fontId="0" fillId="0" borderId="10" xfId="0" applyNumberFormat="1" applyBorder="1" applyAlignment="1">
      <alignment horizontal="center" vertical="center"/>
    </xf>
    <xf numFmtId="49" fontId="0" fillId="0" borderId="11" xfId="0" applyNumberFormat="1" applyBorder="1" applyAlignment="1">
      <alignment horizontal="center" vertical="center"/>
    </xf>
    <xf numFmtId="49" fontId="0" fillId="0" borderId="9" xfId="0" applyNumberFormat="1" applyBorder="1" applyAlignment="1">
      <alignment horizontal="center" vertical="center"/>
    </xf>
    <xf numFmtId="1" fontId="0" fillId="0" borderId="5" xfId="0" applyNumberFormat="1" applyBorder="1" applyAlignment="1">
      <alignment horizontal="center" vertical="center"/>
    </xf>
    <xf numFmtId="167" fontId="0" fillId="0" borderId="5" xfId="0" applyNumberFormat="1" applyBorder="1" applyAlignment="1">
      <alignment horizontal="center" vertical="center"/>
    </xf>
    <xf numFmtId="2" fontId="0" fillId="0" borderId="14" xfId="0" applyNumberFormat="1" applyBorder="1" applyAlignment="1">
      <alignment horizontal="center" vertical="center"/>
    </xf>
    <xf numFmtId="10" fontId="1" fillId="0" borderId="5" xfId="0" applyNumberFormat="1" applyFont="1" applyBorder="1" applyAlignment="1">
      <alignment horizontal="center" vertical="center" wrapText="1"/>
    </xf>
    <xf numFmtId="10" fontId="0" fillId="0" borderId="14" xfId="0" quotePrefix="1" applyNumberFormat="1" applyBorder="1" applyAlignment="1">
      <alignment horizontal="center" vertical="center"/>
    </xf>
    <xf numFmtId="10" fontId="0" fillId="0" borderId="0" xfId="0" applyNumberFormat="1"/>
  </cellXfs>
  <cellStyles count="2">
    <cellStyle name="Normal" xfId="0" builtinId="0"/>
    <cellStyle name="Porcentagem" xfId="1" builtinId="5"/>
  </cellStyles>
  <dxfs count="5">
    <dxf>
      <font>
        <color rgb="FF9C5700"/>
      </font>
      <fill>
        <patternFill patternType="solid">
          <fgColor indexed="64"/>
          <bgColor rgb="FFFFEB9C"/>
        </patternFill>
      </fill>
    </dxf>
    <dxf>
      <font>
        <color rgb="FF006100"/>
      </font>
      <fill>
        <patternFill patternType="solid">
          <fgColor indexed="64"/>
          <bgColor rgb="FFC6EFCE"/>
        </patternFill>
      </fill>
    </dxf>
    <dxf>
      <font>
        <color rgb="FF1F4E79"/>
      </font>
      <fill>
        <patternFill patternType="solid">
          <fgColor indexed="64"/>
          <bgColor rgb="FFBDD7EE"/>
        </patternFill>
      </fill>
    </dxf>
    <dxf>
      <font>
        <b/>
        <i val="0"/>
        <color rgb="FF9C0006"/>
      </font>
      <fill>
        <patternFill patternType="solid">
          <fgColor indexed="64"/>
          <bgColor rgb="FFFFC7CE"/>
        </patternFill>
      </fill>
    </dxf>
    <dxf>
      <font>
        <b/>
        <i val="0"/>
        <color rgb="FF006100"/>
      </font>
      <fill>
        <patternFill patternType="solid">
          <fgColor indexed="64"/>
          <bgColor rgb="FFC6EF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styles" Target="styles.xml"/><Relationship Id="rId3" Type="http://schemas.openxmlformats.org/officeDocument/2006/relationships/worksheet" Target="worksheets/sheet3.xml"/><Relationship Id="rId21" Type="http://schemas.openxmlformats.org/officeDocument/2006/relationships/calcChain" Target="calcChain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theme" Target="theme/theme1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sheetMetadata" Target="metadata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10" Type="http://schemas.openxmlformats.org/officeDocument/2006/relationships/worksheet" Target="worksheets/sheet10.xml"/><Relationship Id="rId19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_rels/chart6.xml.rels><?xml version="1.0" encoding="UTF-8" standalone="yes"?>
<Relationships xmlns="http://schemas.openxmlformats.org/package/2006/relationships"><Relationship Id="rId2" Type="http://schemas.microsoft.com/office/2011/relationships/chartColorStyle" Target="colors6.xml"/><Relationship Id="rId1" Type="http://schemas.microsoft.com/office/2011/relationships/chartStyle" Target="style6.xml"/></Relationships>
</file>

<file path=xl/charts/_rels/chart7.xml.rels><?xml version="1.0" encoding="UTF-8" standalone="yes"?>
<Relationships xmlns="http://schemas.openxmlformats.org/package/2006/relationships"><Relationship Id="rId2" Type="http://schemas.microsoft.com/office/2011/relationships/chartColorStyle" Target="colors7.xml"/><Relationship Id="rId1" Type="http://schemas.microsoft.com/office/2011/relationships/chartStyle" Target="style7.xml"/></Relationships>
</file>

<file path=xl/charts/_rels/chart8.xml.rels><?xml version="1.0" encoding="UTF-8" standalone="yes"?>
<Relationships xmlns="http://schemas.openxmlformats.org/package/2006/relationships"><Relationship Id="rId2" Type="http://schemas.microsoft.com/office/2011/relationships/chartColorStyle" Target="colors8.xml"/><Relationship Id="rId1" Type="http://schemas.microsoft.com/office/2011/relationships/chartStyle" Target="style8.xml"/></Relationships>
</file>

<file path=xl/charts/_rels/chart9.xml.rels><?xml version="1.0" encoding="UTF-8" standalone="yes"?>
<Relationships xmlns="http://schemas.openxmlformats.org/package/2006/relationships"><Relationship Id="rId2" Type="http://schemas.microsoft.com/office/2011/relationships/chartColorStyle" Target="colors9.xml"/><Relationship Id="rId1" Type="http://schemas.microsoft.com/office/2011/relationships/chartStyle" Target="style9.xml"/></Relationships>
</file>

<file path=xl/charts/_rels/chart10.xml.rels><?xml version="1.0" encoding="UTF-8" standalone="yes"?>
<Relationships xmlns="http://schemas.openxmlformats.org/package/2006/relationships"><Relationship Id="rId2" Type="http://schemas.microsoft.com/office/2011/relationships/chartColorStyle" Target="colors10.xml"/><Relationship Id="rId1" Type="http://schemas.microsoft.com/office/2011/relationships/chartStyle" Target="style10.xml"/></Relationships>
</file>

<file path=xl/charts/_rels/chart11.xml.rels><?xml version="1.0" encoding="UTF-8" standalone="yes"?>
<Relationships xmlns="http://schemas.openxmlformats.org/package/2006/relationships"><Relationship Id="rId2" Type="http://schemas.microsoft.com/office/2011/relationships/chartColorStyle" Target="colors11.xml"/><Relationship Id="rId1" Type="http://schemas.microsoft.com/office/2011/relationships/chartStyle" Target="style11.xml"/></Relationships>
</file>

<file path=xl/charts/_rels/chart12.xml.rels><?xml version="1.0" encoding="UTF-8" standalone="yes"?>
<Relationships xmlns="http://schemas.openxmlformats.org/package/2006/relationships"><Relationship Id="rId2" Type="http://schemas.microsoft.com/office/2011/relationships/chartColorStyle" Target="colors12.xml"/><Relationship Id="rId1" Type="http://schemas.microsoft.com/office/2011/relationships/chartStyle" Target="style12.xml"/></Relationships>
</file>

<file path=xl/charts/_rels/chart13.xml.rels><?xml version="1.0" encoding="UTF-8" standalone="yes"?>
<Relationships xmlns="http://schemas.openxmlformats.org/package/2006/relationships"><Relationship Id="rId2" Type="http://schemas.microsoft.com/office/2011/relationships/chartColorStyle" Target="colors13.xml"/><Relationship Id="rId1" Type="http://schemas.microsoft.com/office/2011/relationships/chartStyle" Target="style13.xml"/></Relationships>
</file>

<file path=xl/charts/_rels/chart14.xml.rels><?xml version="1.0" encoding="UTF-8" standalone="yes"?>
<Relationships xmlns="http://schemas.openxmlformats.org/package/2006/relationships"><Relationship Id="rId2" Type="http://schemas.microsoft.com/office/2011/relationships/chartColorStyle" Target="colors14.xml"/><Relationship Id="rId1" Type="http://schemas.microsoft.com/office/2011/relationships/chartStyle" Target="style14.xml"/></Relationships>
</file>

<file path=xl/charts/_rels/chart15.xml.rels><?xml version="1.0" encoding="UTF-8" standalone="yes"?>
<Relationships xmlns="http://schemas.openxmlformats.org/package/2006/relationships"><Relationship Id="rId2" Type="http://schemas.microsoft.com/office/2011/relationships/chartColorStyle" Target="colors15.xml"/><Relationship Id="rId1" Type="http://schemas.microsoft.com/office/2011/relationships/chartStyle" Target="style15.xml"/></Relationships>
</file>

<file path=xl/charts/_rels/chart16.xml.rels><?xml version="1.0" encoding="UTF-8" standalone="yes"?>
<Relationships xmlns="http://schemas.openxmlformats.org/package/2006/relationships"><Relationship Id="rId2" Type="http://schemas.microsoft.com/office/2011/relationships/chartColorStyle" Target="colors16.xml"/><Relationship Id="rId1" Type="http://schemas.microsoft.com/office/2011/relationships/chartStyle" Target="style16.xml"/></Relationships>
</file>

<file path=xl/charts/_rels/chart17.xml.rels><?xml version="1.0" encoding="UTF-8" standalone="yes"?>
<Relationships xmlns="http://schemas.openxmlformats.org/package/2006/relationships"><Relationship Id="rId2" Type="http://schemas.microsoft.com/office/2011/relationships/chartColorStyle" Target="colors17.xml"/><Relationship Id="rId1" Type="http://schemas.microsoft.com/office/2011/relationships/chartStyle" Target="style17.xml"/></Relationships>
</file>

<file path=xl/charts/_rels/chart18.xml.rels><?xml version="1.0" encoding="UTF-8" standalone="yes"?>
<Relationships xmlns="http://schemas.openxmlformats.org/package/2006/relationships"><Relationship Id="rId2" Type="http://schemas.microsoft.com/office/2011/relationships/chartColorStyle" Target="colors18.xml"/><Relationship Id="rId1" Type="http://schemas.microsoft.com/office/2011/relationships/chartStyle" Target="style18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000" b="1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sz="1000" b="1"/>
              <a:t>JARTEST - 27/05/2026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000" b="1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pt-BR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strRef>
              <c:f>JARTEST!$C$3</c:f>
              <c:strCache>
                <c:ptCount val="1"/>
                <c:pt idx="0">
                  <c:v>Turb. Residual</c:v>
                </c:pt>
              </c:strCache>
            </c:strRef>
          </c:tx>
          <c:spPr>
            <a:ln w="12700" cap="rnd">
              <a:solidFill>
                <a:srgbClr val="FF0000"/>
              </a:solidFill>
              <a:round/>
            </a:ln>
            <a:effectLst/>
          </c:spPr>
          <c:marker>
            <c:symbol val="circle"/>
            <c:size val="3"/>
            <c:spPr>
              <a:solidFill>
                <a:srgbClr val="FFC000"/>
              </a:solidFill>
              <a:ln w="9525">
                <a:solidFill>
                  <a:schemeClr val="accent4"/>
                </a:solidFill>
              </a:ln>
              <a:effectLst/>
            </c:spPr>
          </c:marker>
          <c:xVal>
            <c:numRef>
              <c:f>JARTEST!$B$4:$B$9</c:f>
              <c:numCache>
                <c:formatCode>General</c:formatCode>
                <c:ptCount val="6"/>
                <c:pt idx="0">
                  <c:v>4</c:v>
                </c:pt>
                <c:pt idx="1">
                  <c:v>5</c:v>
                </c:pt>
                <c:pt idx="2">
                  <c:v>6</c:v>
                </c:pt>
                <c:pt idx="3">
                  <c:v>7</c:v>
                </c:pt>
                <c:pt idx="4">
                  <c:v>8</c:v>
                </c:pt>
                <c:pt idx="5">
                  <c:v>9</c:v>
                </c:pt>
              </c:numCache>
            </c:numRef>
          </c:xVal>
          <c:yVal>
            <c:numRef>
              <c:f>JARTEST!$C$4:$C$9</c:f>
              <c:numCache>
                <c:formatCode>General</c:formatCode>
                <c:ptCount val="6"/>
                <c:pt idx="0">
                  <c:v>3.2</c:v>
                </c:pt>
                <c:pt idx="1">
                  <c:v>3.2</c:v>
                </c:pt>
                <c:pt idx="2">
                  <c:v>1.81</c:v>
                </c:pt>
                <c:pt idx="3">
                  <c:v>0.81</c:v>
                </c:pt>
                <c:pt idx="4">
                  <c:v>0.42</c:v>
                </c:pt>
                <c:pt idx="5">
                  <c:v>0.32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7FB3-4714-9DD5-BE0F8648829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122607487"/>
        <c:axId val="1303223359"/>
      </c:scatterChart>
      <c:valAx>
        <c:axId val="1122607487"/>
        <c:scaling>
          <c:orientation val="minMax"/>
          <c:min val="3.5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minorGridlines>
          <c:spPr>
            <a:ln w="9525" cap="flat" cmpd="sng" algn="ctr">
              <a:solidFill>
                <a:schemeClr val="tx1">
                  <a:lumMod val="5000"/>
                  <a:lumOff val="95000"/>
                </a:schemeClr>
              </a:solidFill>
              <a:round/>
            </a:ln>
            <a:effectLst/>
          </c:spPr>
        </c:min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800" b="1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pt-BR" sz="800" b="1"/>
                  <a:t>PAC (mg/L)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800" b="1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</c:title>
        <c:numFmt formatCode="General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/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800" b="1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1303223359"/>
        <c:crosses val="autoZero"/>
        <c:crossBetween val="midCat"/>
        <c:majorUnit val="0.5"/>
        <c:minorUnit val="0.5"/>
      </c:valAx>
      <c:valAx>
        <c:axId val="1303223359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minorGridlines>
          <c:spPr>
            <a:ln w="9525" cap="flat" cmpd="sng" algn="ctr">
              <a:solidFill>
                <a:schemeClr val="tx1">
                  <a:lumMod val="5000"/>
                  <a:lumOff val="95000"/>
                </a:schemeClr>
              </a:solidFill>
              <a:round/>
            </a:ln>
            <a:effectLst/>
          </c:spPr>
        </c:min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pt-BR" sz="800" b="1"/>
                  <a:t>Turbidez</a:t>
                </a:r>
                <a:r>
                  <a:rPr lang="pt-BR" sz="800" b="1" baseline="0"/>
                  <a:t> (uT)</a:t>
                </a:r>
                <a:endParaRPr lang="pt-BR" sz="800" b="1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</c:title>
        <c:numFmt formatCode="General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/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800" b="1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1122607487"/>
        <c:crosses val="autoZero"/>
        <c:crossBetween val="midCat"/>
        <c:majorUnit val="0.5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800" b="1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pt-BR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pt-BR"/>
    </a:p>
  </c:txPr>
  <c:printSettings>
    <c:headerFooter/>
    <c:pageMargins b="0.78740157499999996" l="0.511811024" r="0.511811024" t="0.78740157499999996" header="0.31496062000000002" footer="0.31496062000000002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lang="en-US" sz="960" b="1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JARTEST - 19/05/2026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lang="en-US" sz="960" b="1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pt-BR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strRef>
              <c:f>JARTEST!$C$3</c:f>
              <c:strCache>
                <c:ptCount val="1"/>
                <c:pt idx="0">
                  <c:v>Turb. Residual</c:v>
                </c:pt>
              </c:strCache>
            </c:strRef>
          </c:tx>
          <c:spPr>
            <a:ln w="12700" cap="rnd">
              <a:solidFill>
                <a:srgbClr val="FF0000"/>
              </a:solidFill>
              <a:round/>
            </a:ln>
            <a:effectLst/>
          </c:spPr>
          <c:marker>
            <c:symbol val="circle"/>
            <c:size val="3"/>
            <c:spPr>
              <a:solidFill>
                <a:srgbClr val="FFC000"/>
              </a:solidFill>
              <a:ln w="9525">
                <a:solidFill>
                  <a:srgbClr val="FFC000"/>
                </a:solidFill>
              </a:ln>
              <a:effectLst/>
            </c:spPr>
          </c:marker>
          <c:xVal>
            <c:numRef>
              <c:f>JARTEST!$B$13:$B$18</c:f>
              <c:numCache>
                <c:formatCode>General</c:formatCode>
                <c:ptCount val="6"/>
                <c:pt idx="0">
                  <c:v>3.5</c:v>
                </c:pt>
                <c:pt idx="1">
                  <c:v>4</c:v>
                </c:pt>
                <c:pt idx="2">
                  <c:v>4.5</c:v>
                </c:pt>
                <c:pt idx="3">
                  <c:v>5</c:v>
                </c:pt>
                <c:pt idx="4">
                  <c:v>5.5</c:v>
                </c:pt>
                <c:pt idx="5">
                  <c:v>6</c:v>
                </c:pt>
              </c:numCache>
            </c:numRef>
          </c:xVal>
          <c:yVal>
            <c:numRef>
              <c:f>JARTEST!$C$13:$C$18</c:f>
              <c:numCache>
                <c:formatCode>General</c:formatCode>
                <c:ptCount val="6"/>
                <c:pt idx="0">
                  <c:v>3.28</c:v>
                </c:pt>
                <c:pt idx="1">
                  <c:v>3.39</c:v>
                </c:pt>
                <c:pt idx="2">
                  <c:v>3.28</c:v>
                </c:pt>
                <c:pt idx="3">
                  <c:v>3.08</c:v>
                </c:pt>
                <c:pt idx="4">
                  <c:v>1.83</c:v>
                </c:pt>
                <c:pt idx="5">
                  <c:v>0.86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1F28-4C8F-8BE8-2C17CD7411F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122607487"/>
        <c:axId val="1303223359"/>
      </c:scatterChart>
      <c:valAx>
        <c:axId val="1122607487"/>
        <c:scaling>
          <c:orientation val="minMax"/>
          <c:min val="3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minorGridlines>
          <c:spPr>
            <a:ln w="9525" cap="flat" cmpd="sng" algn="ctr">
              <a:solidFill>
                <a:schemeClr val="tx1">
                  <a:lumMod val="5000"/>
                  <a:lumOff val="95000"/>
                </a:schemeClr>
              </a:solidFill>
              <a:round/>
            </a:ln>
            <a:effectLst/>
          </c:spPr>
        </c:min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lang="en-US" sz="800" b="1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pt-BR" sz="800" b="1" i="0" u="none" strike="noStrike" kern="1200" baseline="0">
                    <a:solidFill>
                      <a:sysClr val="windowText" lastClr="000000">
                        <a:lumMod val="65000"/>
                        <a:lumOff val="35000"/>
                      </a:sysClr>
                    </a:solidFill>
                  </a:rPr>
                  <a:t>PAC (mg/L)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lang="en-US" sz="800" b="1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</c:title>
        <c:numFmt formatCode="General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/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 algn="ctr">
              <a:defRPr lang="en-US" sz="800" b="1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1303223359"/>
        <c:crosses val="autoZero"/>
        <c:crossBetween val="midCat"/>
        <c:majorUnit val="0.5"/>
        <c:minorUnit val="0.5"/>
      </c:valAx>
      <c:valAx>
        <c:axId val="1303223359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minorGridlines>
          <c:spPr>
            <a:ln w="9525" cap="flat" cmpd="sng" algn="ctr">
              <a:solidFill>
                <a:schemeClr val="tx1">
                  <a:lumMod val="5000"/>
                  <a:lumOff val="95000"/>
                </a:schemeClr>
              </a:solidFill>
              <a:round/>
            </a:ln>
            <a:effectLst/>
          </c:spPr>
        </c:min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lang="en-US" sz="800" b="1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kumimoji="0" lang="pt-BR" sz="800" b="1" i="0" u="none" strike="noStrike" kern="1200" cap="none" spc="0" normalizeH="0" baseline="0" noProof="0">
                    <a:ln>
                      <a:noFill/>
                    </a:ln>
                    <a:solidFill>
                      <a:sysClr val="windowText" lastClr="000000">
                        <a:lumMod val="65000"/>
                        <a:lumOff val="35000"/>
                      </a:sysClr>
                    </a:solidFill>
                    <a:effectLst/>
                    <a:uLnTx/>
                    <a:uFillTx/>
                    <a:latin typeface="+mn-lt"/>
                  </a:rPr>
                  <a:t>Turbidez (uT)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lang="en-US" sz="800" b="1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</c:title>
        <c:numFmt formatCode="General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/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lang="en-US" sz="800" b="1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1122607487"/>
        <c:crossesAt val="3"/>
        <c:crossBetween val="midCat"/>
        <c:majorUnit val="0.5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lang="en-US" sz="800" b="1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pt-BR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 algn="ctr">
        <a:defRPr lang="en-US" sz="800" b="1" i="0" u="none" strike="noStrike" kern="1200" baseline="0">
          <a:solidFill>
            <a:schemeClr val="tx1">
              <a:lumMod val="65000"/>
              <a:lumOff val="35000"/>
            </a:schemeClr>
          </a:solidFill>
          <a:latin typeface="+mn-lt"/>
          <a:ea typeface="+mn-ea"/>
          <a:cs typeface="+mn-cs"/>
        </a:defRPr>
      </a:pPr>
      <a:endParaRPr lang="pt-BR"/>
    </a:p>
  </c:txPr>
  <c:printSettings>
    <c:headerFooter/>
    <c:pageMargins b="0.78740157499999996" l="0.511811024" r="0.511811024" t="0.78740157499999996" header="0.31496062000000002" footer="0.31496062000000002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scatterChart>
        <c:scatterStyle val="lineMarker"/>
        <c:varyColors val="0"/>
        <c:ser>
          <c:idx val="0"/>
          <c:order val="0"/>
          <c:tx>
            <c:strRef>
              <c:f>JARTEST!$C$3</c:f>
              <c:strCache>
                <c:ptCount val="1"/>
                <c:pt idx="0">
                  <c:v>Turb. Residual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JARTEST!$B$33:$B$36</c:f>
              <c:numCache>
                <c:formatCode>General</c:formatCode>
                <c:ptCount val="4"/>
                <c:pt idx="0">
                  <c:v>4</c:v>
                </c:pt>
                <c:pt idx="1">
                  <c:v>5</c:v>
                </c:pt>
                <c:pt idx="2">
                  <c:v>6</c:v>
                </c:pt>
                <c:pt idx="3">
                  <c:v>7</c:v>
                </c:pt>
              </c:numCache>
            </c:numRef>
          </c:xVal>
          <c:yVal>
            <c:numRef>
              <c:f>JARTEST!$C$33:$C$36</c:f>
              <c:numCache>
                <c:formatCode>General</c:formatCode>
                <c:ptCount val="4"/>
                <c:pt idx="0">
                  <c:v>2.8</c:v>
                </c:pt>
                <c:pt idx="1">
                  <c:v>2.4900000000000002</c:v>
                </c:pt>
                <c:pt idx="2">
                  <c:v>1.94</c:v>
                </c:pt>
                <c:pt idx="3">
                  <c:v>0.35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C2D8-48CC-B1DF-220F3EF6518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122607487"/>
        <c:axId val="1303223359"/>
      </c:scatterChart>
      <c:valAx>
        <c:axId val="1122607487"/>
        <c:scaling>
          <c:orientation val="minMax"/>
          <c:min val="5.5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minorGridlines>
          <c:spPr>
            <a:ln w="9525" cap="flat" cmpd="sng" algn="ctr">
              <a:solidFill>
                <a:schemeClr val="tx1">
                  <a:lumMod val="5000"/>
                  <a:lumOff val="95000"/>
                </a:schemeClr>
              </a:solidFill>
              <a:round/>
            </a:ln>
            <a:effectLst/>
          </c:spPr>
        </c:minorGridlines>
        <c:title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lang="en-US" sz="1000" b="0" i="0" u="none" strike="noStrike" kern="1200" baseline="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</c:title>
        <c:numFmt formatCode="General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lang="en-US" sz="1000" b="0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1303223359"/>
        <c:crosses val="autoZero"/>
        <c:crossBetween val="midCat"/>
        <c:majorUnit val="0.5"/>
        <c:minorUnit val="0.5"/>
      </c:valAx>
      <c:valAx>
        <c:axId val="1303223359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minorGridlines>
          <c:spPr>
            <a:ln w="9525" cap="flat" cmpd="sng" algn="ctr">
              <a:solidFill>
                <a:schemeClr val="tx1">
                  <a:lumMod val="5000"/>
                  <a:lumOff val="95000"/>
                </a:schemeClr>
              </a:solidFill>
              <a:round/>
            </a:ln>
            <a:effectLst/>
          </c:spPr>
        </c:minorGridlines>
        <c:title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lang="en-US" sz="1000" b="0" i="0" u="none" strike="noStrike" kern="1200" baseline="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</c:title>
        <c:numFmt formatCode="General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lang="en-US" sz="1000" b="0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1122607487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lang="en-US" sz="1000" b="0" i="0" u="none" strike="noStrike" kern="1200" baseline="0">
              <a:solidFill>
                <a:schemeClr val="tx1"/>
              </a:solidFill>
              <a:latin typeface="+mn-lt"/>
              <a:ea typeface="+mn-ea"/>
              <a:cs typeface="+mn-cs"/>
            </a:defRPr>
          </a:pPr>
          <a:endParaRPr lang="pt-BR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lang="en-US" sz="1000" b="0" i="0" u="none" strike="noStrike" kern="1200" baseline="0">
          <a:solidFill>
            <a:schemeClr val="tx1"/>
          </a:solidFill>
          <a:latin typeface="+mn-lt"/>
          <a:ea typeface="+mn-ea"/>
          <a:cs typeface="+mn-cs"/>
        </a:defRPr>
      </a:pPr>
      <a:endParaRPr lang="pt-BR"/>
    </a:p>
  </c:txPr>
  <c:printSettings>
    <c:headerFooter/>
    <c:pageMargins b="0.78740157499999996" l="0.511811024" r="0.511811024" t="0.78740157499999996" header="0.31496062000000002" footer="0.31496062000000002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sz="1000" b="1" i="0" u="none" strike="noStrike" kern="1200" spc="0" baseline="0">
                <a:solidFill>
                  <a:sysClr val="windowText" lastClr="000000">
                    <a:lumMod val="65000"/>
                    <a:lumOff val="35000"/>
                  </a:sysClr>
                </a:solidFill>
              </a:rPr>
              <a:t>JARTEST - 27/05/2026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pt-BR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strRef>
              <c:f>JARTEST!$C$3</c:f>
              <c:strCache>
                <c:ptCount val="1"/>
                <c:pt idx="0">
                  <c:v>Turb. Residual</c:v>
                </c:pt>
              </c:strCache>
            </c:strRef>
          </c:tx>
          <c:spPr>
            <a:ln w="12700" cap="rnd">
              <a:solidFill>
                <a:srgbClr val="FF0000"/>
              </a:solidFill>
              <a:round/>
            </a:ln>
            <a:effectLst/>
          </c:spPr>
          <c:marker>
            <c:symbol val="circle"/>
            <c:size val="3"/>
            <c:spPr>
              <a:solidFill>
                <a:srgbClr val="FFC000"/>
              </a:solidFill>
              <a:ln w="9525">
                <a:solidFill>
                  <a:srgbClr val="FFC000"/>
                </a:solidFill>
              </a:ln>
              <a:effectLst/>
            </c:spPr>
          </c:marker>
          <c:xVal>
            <c:numRef>
              <c:f>JARTEST!$B$44:$B$47</c:f>
              <c:numCache>
                <c:formatCode>General</c:formatCode>
                <c:ptCount val="4"/>
                <c:pt idx="0">
                  <c:v>6</c:v>
                </c:pt>
                <c:pt idx="1">
                  <c:v>7</c:v>
                </c:pt>
                <c:pt idx="2">
                  <c:v>8</c:v>
                </c:pt>
                <c:pt idx="3">
                  <c:v>9</c:v>
                </c:pt>
              </c:numCache>
            </c:numRef>
          </c:xVal>
          <c:yVal>
            <c:numRef>
              <c:f>JARTEST!$C$44:$C$47</c:f>
              <c:numCache>
                <c:formatCode>General</c:formatCode>
                <c:ptCount val="4"/>
                <c:pt idx="0">
                  <c:v>1.81</c:v>
                </c:pt>
                <c:pt idx="1">
                  <c:v>0.81</c:v>
                </c:pt>
                <c:pt idx="2">
                  <c:v>0.42</c:v>
                </c:pt>
                <c:pt idx="3">
                  <c:v>0.32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247B-4071-9758-C08C6D90F16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122607487"/>
        <c:axId val="1303223359"/>
      </c:scatterChart>
      <c:valAx>
        <c:axId val="1122607487"/>
        <c:scaling>
          <c:orientation val="minMax"/>
          <c:min val="5.5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minorGridlines>
          <c:spPr>
            <a:ln w="9525" cap="flat" cmpd="sng" algn="ctr">
              <a:solidFill>
                <a:schemeClr val="tx1">
                  <a:lumMod val="5000"/>
                  <a:lumOff val="95000"/>
                </a:schemeClr>
              </a:solidFill>
              <a:round/>
            </a:ln>
            <a:effectLst/>
          </c:spPr>
        </c:min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kumimoji="0" lang="pt-BR" sz="800" b="1" i="0" u="none" strike="noStrike" kern="1200" cap="none" spc="0" normalizeH="0" baseline="0" noProof="0">
                    <a:ln>
                      <a:noFill/>
                    </a:ln>
                    <a:solidFill>
                      <a:sysClr val="windowText" lastClr="000000">
                        <a:lumMod val="65000"/>
                        <a:lumOff val="35000"/>
                      </a:sysClr>
                    </a:solidFill>
                    <a:effectLst/>
                    <a:uLnTx/>
                    <a:uFillTx/>
                    <a:latin typeface="+mn-lt"/>
                  </a:rPr>
                  <a:t>PAC (mg/L)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</c:title>
        <c:numFmt formatCode="General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/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 algn="ctr">
              <a:defRPr lang="en-US" sz="800" b="1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1303223359"/>
        <c:crosses val="autoZero"/>
        <c:crossBetween val="midCat"/>
        <c:majorUnit val="0.5"/>
        <c:minorUnit val="0.5"/>
      </c:valAx>
      <c:valAx>
        <c:axId val="1303223359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minorGridlines>
          <c:spPr>
            <a:ln w="9525" cap="flat" cmpd="sng" algn="ctr">
              <a:solidFill>
                <a:schemeClr val="tx1">
                  <a:lumMod val="5000"/>
                  <a:lumOff val="95000"/>
                </a:schemeClr>
              </a:solidFill>
              <a:round/>
            </a:ln>
            <a:effectLst/>
          </c:spPr>
        </c:min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kumimoji="0" lang="pt-BR" sz="800" b="1" i="0" u="none" strike="noStrike" kern="1200" cap="none" spc="0" normalizeH="0" baseline="0" noProof="0">
                    <a:ln>
                      <a:noFill/>
                    </a:ln>
                    <a:solidFill>
                      <a:sysClr val="windowText" lastClr="000000">
                        <a:lumMod val="65000"/>
                        <a:lumOff val="35000"/>
                      </a:sysClr>
                    </a:solidFill>
                    <a:effectLst/>
                    <a:uLnTx/>
                    <a:uFillTx/>
                    <a:latin typeface="+mn-lt"/>
                  </a:rPr>
                  <a:t>Turbidez (uT)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</c:title>
        <c:numFmt formatCode="General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/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 algn="ctr">
              <a:defRPr lang="en-US" sz="800" b="1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1122607487"/>
        <c:crosses val="autoZero"/>
        <c:crossBetween val="midCat"/>
        <c:majorUnit val="0.5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800" b="1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pt-BR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pt-BR"/>
    </a:p>
  </c:txPr>
  <c:printSettings>
    <c:headerFooter/>
    <c:pageMargins b="0.78740157499999996" l="0.511811024" r="0.511811024" t="0.78740157499999996" header="0.31496062000000002" footer="0.31496062000000002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000" b="1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sz="1000" b="1"/>
              <a:t>JARTEST - 03/06/2026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000" b="1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pt-BR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strRef>
              <c:f>JARTEST!$C$53</c:f>
              <c:strCache>
                <c:ptCount val="1"/>
                <c:pt idx="0">
                  <c:v>Turb. Residual</c:v>
                </c:pt>
              </c:strCache>
            </c:strRef>
          </c:tx>
          <c:spPr>
            <a:ln w="15875" cap="rnd">
              <a:solidFill>
                <a:srgbClr val="FF0000"/>
              </a:solidFill>
              <a:round/>
            </a:ln>
            <a:effectLst/>
          </c:spPr>
          <c:marker>
            <c:symbol val="circle"/>
            <c:size val="3"/>
            <c:spPr>
              <a:solidFill>
                <a:srgbClr val="FFC000"/>
              </a:solidFill>
              <a:ln w="9525">
                <a:solidFill>
                  <a:schemeClr val="accent4"/>
                </a:solidFill>
              </a:ln>
              <a:effectLst/>
            </c:spPr>
          </c:marker>
          <c:xVal>
            <c:numRef>
              <c:f>JARTEST!$B$54:$B$59</c:f>
              <c:numCache>
                <c:formatCode>General</c:formatCode>
                <c:ptCount val="6"/>
                <c:pt idx="0">
                  <c:v>6</c:v>
                </c:pt>
                <c:pt idx="1">
                  <c:v>6.5</c:v>
                </c:pt>
                <c:pt idx="2">
                  <c:v>7</c:v>
                </c:pt>
                <c:pt idx="3">
                  <c:v>7.5</c:v>
                </c:pt>
                <c:pt idx="4">
                  <c:v>8</c:v>
                </c:pt>
                <c:pt idx="5">
                  <c:v>8.5</c:v>
                </c:pt>
              </c:numCache>
            </c:numRef>
          </c:xVal>
          <c:yVal>
            <c:numRef>
              <c:f>JARTEST!$C$54:$C$59</c:f>
              <c:numCache>
                <c:formatCode>General</c:formatCode>
                <c:ptCount val="6"/>
                <c:pt idx="0">
                  <c:v>1.54</c:v>
                </c:pt>
                <c:pt idx="1">
                  <c:v>1.19</c:v>
                </c:pt>
                <c:pt idx="2">
                  <c:v>0.65500000000000003</c:v>
                </c:pt>
                <c:pt idx="3">
                  <c:v>0.28999999999999998</c:v>
                </c:pt>
                <c:pt idx="4">
                  <c:v>0.34</c:v>
                </c:pt>
                <c:pt idx="5">
                  <c:v>0.34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2F6B-4BA3-AACB-BEAA3D70C88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122607487"/>
        <c:axId val="1303223359"/>
      </c:scatterChart>
      <c:valAx>
        <c:axId val="1122607487"/>
        <c:scaling>
          <c:orientation val="minMax"/>
          <c:min val="5.5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minorGridlines>
          <c:spPr>
            <a:ln w="9525" cap="flat" cmpd="sng" algn="ctr">
              <a:solidFill>
                <a:schemeClr val="tx1">
                  <a:lumMod val="5000"/>
                  <a:lumOff val="95000"/>
                </a:schemeClr>
              </a:solidFill>
              <a:round/>
            </a:ln>
            <a:effectLst/>
          </c:spPr>
        </c:min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800" b="1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pt-BR" sz="800" b="1"/>
                  <a:t>PAC (mg/L)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800" b="1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</c:title>
        <c:numFmt formatCode="General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/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800" b="1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1303223359"/>
        <c:crosses val="autoZero"/>
        <c:crossBetween val="midCat"/>
        <c:majorUnit val="0.5"/>
        <c:minorUnit val="0.5"/>
      </c:valAx>
      <c:valAx>
        <c:axId val="1303223359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minorGridlines>
          <c:spPr>
            <a:ln w="9525" cap="flat" cmpd="sng" algn="ctr">
              <a:solidFill>
                <a:schemeClr val="tx1">
                  <a:lumMod val="5000"/>
                  <a:lumOff val="95000"/>
                </a:schemeClr>
              </a:solidFill>
              <a:round/>
            </a:ln>
            <a:effectLst/>
          </c:spPr>
        </c:min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pt-BR" sz="800" b="1"/>
                  <a:t>Turbidez</a:t>
                </a:r>
                <a:r>
                  <a:rPr lang="pt-BR" sz="800" b="1" baseline="0"/>
                  <a:t> (uT)</a:t>
                </a:r>
                <a:endParaRPr lang="pt-BR" sz="800" b="1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</c:title>
        <c:numFmt formatCode="General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/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800" b="1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1122607487"/>
        <c:crosses val="autoZero"/>
        <c:crossBetween val="midCat"/>
        <c:majorUnit val="0.5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800" b="1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pt-BR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pt-BR"/>
    </a:p>
  </c:txPr>
  <c:printSettings>
    <c:headerFooter/>
    <c:pageMargins b="0.78740157499999996" l="0.511811024" r="0.511811024" t="0.78740157499999996" header="0.31496062000000002" footer="0.31496062000000002"/>
    <c:pageSetup/>
  </c:printSettings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000" b="1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sz="1000" b="1"/>
              <a:t>JARTEST - 08/06/2026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000" b="1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pt-BR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strRef>
              <c:f>JARTEST!$C$53</c:f>
              <c:strCache>
                <c:ptCount val="1"/>
                <c:pt idx="0">
                  <c:v>Turb. Residual</c:v>
                </c:pt>
              </c:strCache>
            </c:strRef>
          </c:tx>
          <c:spPr>
            <a:ln w="15875" cap="rnd">
              <a:solidFill>
                <a:srgbClr val="FF0000"/>
              </a:solidFill>
              <a:round/>
            </a:ln>
            <a:effectLst/>
          </c:spPr>
          <c:marker>
            <c:symbol val="circle"/>
            <c:size val="3"/>
            <c:spPr>
              <a:solidFill>
                <a:srgbClr val="FFC000"/>
              </a:solidFill>
              <a:ln w="9525">
                <a:solidFill>
                  <a:schemeClr val="accent4"/>
                </a:solidFill>
              </a:ln>
              <a:effectLst/>
            </c:spPr>
          </c:marker>
          <c:xVal>
            <c:numRef>
              <c:f>JARTEST!$B$67:$B$72</c:f>
              <c:numCache>
                <c:formatCode>General</c:formatCode>
                <c:ptCount val="6"/>
                <c:pt idx="0">
                  <c:v>6.5</c:v>
                </c:pt>
                <c:pt idx="1">
                  <c:v>7</c:v>
                </c:pt>
                <c:pt idx="2">
                  <c:v>7.5</c:v>
                </c:pt>
                <c:pt idx="3">
                  <c:v>8</c:v>
                </c:pt>
                <c:pt idx="4">
                  <c:v>8.5</c:v>
                </c:pt>
                <c:pt idx="5">
                  <c:v>9</c:v>
                </c:pt>
              </c:numCache>
            </c:numRef>
          </c:xVal>
          <c:yVal>
            <c:numRef>
              <c:f>JARTEST!$C$67:$C$72</c:f>
              <c:numCache>
                <c:formatCode>General</c:formatCode>
                <c:ptCount val="6"/>
                <c:pt idx="0">
                  <c:v>3.03</c:v>
                </c:pt>
                <c:pt idx="1">
                  <c:v>0.59</c:v>
                </c:pt>
                <c:pt idx="2">
                  <c:v>0.44</c:v>
                </c:pt>
                <c:pt idx="3">
                  <c:v>0.42</c:v>
                </c:pt>
                <c:pt idx="4">
                  <c:v>0.41</c:v>
                </c:pt>
                <c:pt idx="5">
                  <c:v>0.37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6237-4261-A034-90612209E31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122607487"/>
        <c:axId val="1303223359"/>
      </c:scatterChart>
      <c:valAx>
        <c:axId val="1122607487"/>
        <c:scaling>
          <c:orientation val="minMax"/>
          <c:min val="6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minorGridlines>
          <c:spPr>
            <a:ln w="9525" cap="flat" cmpd="sng" algn="ctr">
              <a:solidFill>
                <a:schemeClr val="tx1">
                  <a:lumMod val="5000"/>
                  <a:lumOff val="95000"/>
                </a:schemeClr>
              </a:solidFill>
              <a:round/>
            </a:ln>
            <a:effectLst/>
          </c:spPr>
        </c:min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800" b="1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pt-BR" sz="800" b="1"/>
                  <a:t>PAC (mg/L)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800" b="1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</c:title>
        <c:numFmt formatCode="General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/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800" b="1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1303223359"/>
        <c:crosses val="autoZero"/>
        <c:crossBetween val="midCat"/>
        <c:majorUnit val="0.5"/>
        <c:minorUnit val="0.5"/>
      </c:valAx>
      <c:valAx>
        <c:axId val="1303223359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minorGridlines>
          <c:spPr>
            <a:ln w="9525" cap="flat" cmpd="sng" algn="ctr">
              <a:solidFill>
                <a:schemeClr val="tx1">
                  <a:lumMod val="5000"/>
                  <a:lumOff val="95000"/>
                </a:schemeClr>
              </a:solidFill>
              <a:round/>
            </a:ln>
            <a:effectLst/>
          </c:spPr>
        </c:min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pt-BR" sz="800" b="1"/>
                  <a:t>Turbidez</a:t>
                </a:r>
                <a:r>
                  <a:rPr lang="pt-BR" sz="800" b="1" baseline="0"/>
                  <a:t> residual(uT)</a:t>
                </a:r>
                <a:endParaRPr lang="pt-BR" sz="800" b="1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</c:title>
        <c:numFmt formatCode="General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/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800" b="1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1122607487"/>
        <c:crosses val="autoZero"/>
        <c:crossBetween val="midCat"/>
        <c:majorUnit val="0.5"/>
      </c:valAx>
      <c:spPr>
        <a:noFill/>
        <a:ln>
          <a:noFill/>
        </a:ln>
        <a:effectLst/>
      </c:spPr>
    </c:plotArea>
    <c:legend>
      <c:legendPos val="t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800" b="1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pt-BR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pt-BR"/>
    </a:p>
  </c:txPr>
  <c:printSettings>
    <c:headerFooter/>
    <c:pageMargins b="0.78740157499999996" l="0.511811024" r="0.511811024" t="0.78740157499999996" header="0.31496062000000002" footer="0.31496062000000002"/>
    <c:pageSetup/>
  </c:printSettings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000" b="1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sz="1000" b="1"/>
              <a:t>JARTEST - 08/06/2026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000" b="1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pt-BR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strRef>
              <c:f>JARTEST!$C$22</c:f>
              <c:strCache>
                <c:ptCount val="1"/>
                <c:pt idx="0">
                  <c:v>Turb. Residual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3"/>
            <c:spPr>
              <a:solidFill>
                <a:srgbClr val="FFC000"/>
              </a:solidFill>
              <a:ln w="9525">
                <a:solidFill>
                  <a:schemeClr val="accent4"/>
                </a:solidFill>
              </a:ln>
              <a:effectLst/>
            </c:spPr>
          </c:marker>
          <c:xVal>
            <c:numRef>
              <c:f>JARTEST!$B$23:$B$28</c:f>
              <c:numCache>
                <c:formatCode>General</c:formatCode>
                <c:ptCount val="6"/>
                <c:pt idx="0">
                  <c:v>6</c:v>
                </c:pt>
                <c:pt idx="1">
                  <c:v>6.5</c:v>
                </c:pt>
                <c:pt idx="2">
                  <c:v>7</c:v>
                </c:pt>
                <c:pt idx="3">
                  <c:v>7.5</c:v>
                </c:pt>
                <c:pt idx="4">
                  <c:v>8</c:v>
                </c:pt>
                <c:pt idx="5">
                  <c:v>8.5</c:v>
                </c:pt>
              </c:numCache>
            </c:numRef>
          </c:xVal>
          <c:yVal>
            <c:numRef>
              <c:f>JARTEST!$C$23:$C$28</c:f>
              <c:numCache>
                <c:formatCode>General</c:formatCode>
                <c:ptCount val="6"/>
                <c:pt idx="0">
                  <c:v>1.56</c:v>
                </c:pt>
                <c:pt idx="1">
                  <c:v>0.83</c:v>
                </c:pt>
                <c:pt idx="2">
                  <c:v>0.32</c:v>
                </c:pt>
                <c:pt idx="3">
                  <c:v>0.47</c:v>
                </c:pt>
                <c:pt idx="4">
                  <c:v>0.3</c:v>
                </c:pt>
                <c:pt idx="5">
                  <c:v>0.26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6DE3-4A3E-BF2B-C39A19221CF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122607487"/>
        <c:axId val="1303223359"/>
      </c:scatterChart>
      <c:valAx>
        <c:axId val="1122607487"/>
        <c:scaling>
          <c:orientation val="minMax"/>
          <c:min val="6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minorGridlines>
          <c:spPr>
            <a:ln w="9525" cap="flat" cmpd="sng" algn="ctr">
              <a:solidFill>
                <a:schemeClr val="tx1">
                  <a:lumMod val="5000"/>
                  <a:lumOff val="95000"/>
                </a:schemeClr>
              </a:solidFill>
              <a:round/>
            </a:ln>
            <a:effectLst/>
          </c:spPr>
        </c:min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800" b="1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pt-BR" sz="800" b="1"/>
                  <a:t>PAC (mg/L)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800" b="1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</c:title>
        <c:numFmt formatCode="General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/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800" b="1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1303223359"/>
        <c:crosses val="autoZero"/>
        <c:crossBetween val="midCat"/>
        <c:majorUnit val="0.5"/>
        <c:minorUnit val="0.5"/>
      </c:valAx>
      <c:valAx>
        <c:axId val="1303223359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minorGridlines>
          <c:spPr>
            <a:ln w="9525" cap="flat" cmpd="sng" algn="ctr">
              <a:solidFill>
                <a:schemeClr val="tx1">
                  <a:lumMod val="5000"/>
                  <a:lumOff val="95000"/>
                </a:schemeClr>
              </a:solidFill>
              <a:round/>
            </a:ln>
            <a:effectLst/>
          </c:spPr>
        </c:min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pt-BR" sz="800" b="1"/>
                  <a:t>Turbidez</a:t>
                </a:r>
                <a:r>
                  <a:rPr lang="pt-BR" sz="800" b="1" baseline="0"/>
                  <a:t> residual(uT)</a:t>
                </a:r>
                <a:endParaRPr lang="pt-BR" sz="800" b="1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</c:title>
        <c:numFmt formatCode="General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/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800" b="1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1122607487"/>
        <c:crosses val="autoZero"/>
        <c:crossBetween val="midCat"/>
        <c:majorUnit val="0.5"/>
      </c:valAx>
      <c:spPr>
        <a:noFill/>
        <a:ln>
          <a:noFill/>
        </a:ln>
        <a:effectLst/>
      </c:spPr>
    </c:plotArea>
    <c:legend>
      <c:legendPos val="t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800" b="1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pt-BR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pt-BR"/>
    </a:p>
  </c:txPr>
  <c:printSettings>
    <c:headerFooter/>
    <c:pageMargins b="0.78740157499999996" l="0.511811024" r="0.511811024" t="0.78740157499999996" header="0.31496062000000002" footer="0.31496062000000002"/>
    <c:pageSetup/>
  </c:printSettings>
</c:chartSpace>
</file>

<file path=xl/charts/chart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000" b="1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sz="1000" b="1"/>
              <a:t>JARTEST - 10/06/2026 TOR&gt;BN&gt;SM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000" b="1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pt-BR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strRef>
              <c:f>JARTEST!$C$53</c:f>
              <c:strCache>
                <c:ptCount val="1"/>
                <c:pt idx="0">
                  <c:v>Turb. Residual</c:v>
                </c:pt>
              </c:strCache>
            </c:strRef>
          </c:tx>
          <c:spPr>
            <a:ln w="15875" cap="rnd">
              <a:solidFill>
                <a:srgbClr val="FF0000"/>
              </a:solidFill>
              <a:round/>
            </a:ln>
            <a:effectLst/>
          </c:spPr>
          <c:marker>
            <c:symbol val="circle"/>
            <c:size val="3"/>
            <c:spPr>
              <a:solidFill>
                <a:srgbClr val="FFC000"/>
              </a:solidFill>
              <a:ln w="9525">
                <a:solidFill>
                  <a:schemeClr val="accent4"/>
                </a:solidFill>
              </a:ln>
              <a:effectLst/>
            </c:spPr>
          </c:marker>
          <c:xVal>
            <c:numRef>
              <c:f>JARTEST!$B$81:$B$86</c:f>
              <c:numCache>
                <c:formatCode>General</c:formatCode>
                <c:ptCount val="6"/>
                <c:pt idx="0">
                  <c:v>4</c:v>
                </c:pt>
                <c:pt idx="1">
                  <c:v>4.5</c:v>
                </c:pt>
                <c:pt idx="2">
                  <c:v>5</c:v>
                </c:pt>
                <c:pt idx="3">
                  <c:v>5.5</c:v>
                </c:pt>
                <c:pt idx="4">
                  <c:v>6</c:v>
                </c:pt>
                <c:pt idx="5">
                  <c:v>6.5</c:v>
                </c:pt>
              </c:numCache>
            </c:numRef>
          </c:xVal>
          <c:yVal>
            <c:numRef>
              <c:f>JARTEST!$C$81:$C$86</c:f>
              <c:numCache>
                <c:formatCode>General</c:formatCode>
                <c:ptCount val="6"/>
                <c:pt idx="0">
                  <c:v>3.46</c:v>
                </c:pt>
                <c:pt idx="1">
                  <c:v>2.89</c:v>
                </c:pt>
                <c:pt idx="2">
                  <c:v>2.11</c:v>
                </c:pt>
                <c:pt idx="3">
                  <c:v>2.0099999999999998</c:v>
                </c:pt>
                <c:pt idx="4">
                  <c:v>0.89</c:v>
                </c:pt>
                <c:pt idx="5">
                  <c:v>0.43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BDEE-40AB-9784-97873B3E0D8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122607487"/>
        <c:axId val="1303223359"/>
      </c:scatterChart>
      <c:valAx>
        <c:axId val="1122607487"/>
        <c:scaling>
          <c:orientation val="minMax"/>
          <c:min val="3.5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minorGridlines>
          <c:spPr>
            <a:ln w="9525" cap="flat" cmpd="sng" algn="ctr">
              <a:solidFill>
                <a:schemeClr val="tx1">
                  <a:lumMod val="5000"/>
                  <a:lumOff val="95000"/>
                </a:schemeClr>
              </a:solidFill>
              <a:round/>
            </a:ln>
            <a:effectLst/>
          </c:spPr>
        </c:min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800" b="1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pt-BR" sz="800" b="1"/>
                  <a:t>PAC (mg/L)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800" b="1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</c:title>
        <c:numFmt formatCode="General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/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800" b="1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1303223359"/>
        <c:crosses val="autoZero"/>
        <c:crossBetween val="midCat"/>
        <c:majorUnit val="0.5"/>
        <c:minorUnit val="0.5"/>
      </c:valAx>
      <c:valAx>
        <c:axId val="1303223359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minorGridlines>
          <c:spPr>
            <a:ln w="9525" cap="flat" cmpd="sng" algn="ctr">
              <a:solidFill>
                <a:schemeClr val="tx1">
                  <a:lumMod val="5000"/>
                  <a:lumOff val="95000"/>
                </a:schemeClr>
              </a:solidFill>
              <a:round/>
            </a:ln>
            <a:effectLst/>
          </c:spPr>
        </c:min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pt-BR" sz="800" b="1"/>
                  <a:t>Turbidez</a:t>
                </a:r>
                <a:r>
                  <a:rPr lang="pt-BR" sz="800" b="1" baseline="0"/>
                  <a:t> residual(uT)</a:t>
                </a:r>
                <a:endParaRPr lang="pt-BR" sz="800" b="1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</c:title>
        <c:numFmt formatCode="General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/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800" b="1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1122607487"/>
        <c:crosses val="autoZero"/>
        <c:crossBetween val="midCat"/>
        <c:majorUnit val="0.5"/>
      </c:valAx>
      <c:spPr>
        <a:noFill/>
        <a:ln>
          <a:noFill/>
        </a:ln>
        <a:effectLst/>
      </c:spPr>
    </c:plotArea>
    <c:legend>
      <c:legendPos val="t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800" b="1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pt-BR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pt-BR"/>
    </a:p>
  </c:txPr>
  <c:printSettings>
    <c:headerFooter/>
    <c:pageMargins b="0.78740157499999996" l="0.511811024" r="0.511811024" t="0.78740157499999996" header="0.31496062000000002" footer="0.31496062000000002"/>
    <c:pageSetup/>
  </c:printSettings>
</c:chartSpace>
</file>

<file path=xl/charts/chart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000" b="1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sz="1000" b="1"/>
              <a:t>JARTEST - 11/06/2026 TOR=SM&gt;BN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000" b="1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pt-BR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strRef>
              <c:f>JARTEST!$C$53</c:f>
              <c:strCache>
                <c:ptCount val="1"/>
                <c:pt idx="0">
                  <c:v>Turb. Residual</c:v>
                </c:pt>
              </c:strCache>
            </c:strRef>
          </c:tx>
          <c:spPr>
            <a:ln w="15875" cap="rnd">
              <a:solidFill>
                <a:srgbClr val="FF0000"/>
              </a:solidFill>
              <a:round/>
            </a:ln>
            <a:effectLst/>
          </c:spPr>
          <c:marker>
            <c:symbol val="circle"/>
            <c:size val="3"/>
            <c:spPr>
              <a:solidFill>
                <a:srgbClr val="FFC000"/>
              </a:solidFill>
              <a:ln w="9525">
                <a:solidFill>
                  <a:schemeClr val="accent4"/>
                </a:solidFill>
              </a:ln>
              <a:effectLst/>
            </c:spPr>
          </c:marker>
          <c:xVal>
            <c:numRef>
              <c:f>JARTEST!$B$95:$B$100</c:f>
              <c:numCache>
                <c:formatCode>General</c:formatCode>
                <c:ptCount val="6"/>
                <c:pt idx="0">
                  <c:v>4</c:v>
                </c:pt>
                <c:pt idx="1">
                  <c:v>5</c:v>
                </c:pt>
                <c:pt idx="2">
                  <c:v>6</c:v>
                </c:pt>
                <c:pt idx="3">
                  <c:v>7</c:v>
                </c:pt>
                <c:pt idx="4">
                  <c:v>8</c:v>
                </c:pt>
                <c:pt idx="5">
                  <c:v>9</c:v>
                </c:pt>
              </c:numCache>
            </c:numRef>
          </c:xVal>
          <c:yVal>
            <c:numRef>
              <c:f>JARTEST!$C$95:$C$100</c:f>
              <c:numCache>
                <c:formatCode>General</c:formatCode>
                <c:ptCount val="6"/>
                <c:pt idx="0">
                  <c:v>3.84</c:v>
                </c:pt>
                <c:pt idx="1">
                  <c:v>3.76</c:v>
                </c:pt>
                <c:pt idx="2">
                  <c:v>3.74</c:v>
                </c:pt>
                <c:pt idx="3">
                  <c:v>2.78</c:v>
                </c:pt>
                <c:pt idx="4">
                  <c:v>1.61</c:v>
                </c:pt>
                <c:pt idx="5">
                  <c:v>0.48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8320-43ED-B97D-7AAD7DDDB71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122607487"/>
        <c:axId val="1303223359"/>
      </c:scatterChart>
      <c:valAx>
        <c:axId val="1122607487"/>
        <c:scaling>
          <c:orientation val="minMax"/>
          <c:min val="3.5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minorGridlines>
          <c:spPr>
            <a:ln w="9525" cap="flat" cmpd="sng" algn="ctr">
              <a:solidFill>
                <a:schemeClr val="tx1">
                  <a:lumMod val="5000"/>
                  <a:lumOff val="95000"/>
                </a:schemeClr>
              </a:solidFill>
              <a:round/>
            </a:ln>
            <a:effectLst/>
          </c:spPr>
        </c:min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800" b="1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pt-BR" sz="800" b="1"/>
                  <a:t>PAC (mg/L)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800" b="1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</c:title>
        <c:numFmt formatCode="General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/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800" b="1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1303223359"/>
        <c:crosses val="autoZero"/>
        <c:crossBetween val="midCat"/>
        <c:majorUnit val="0.5"/>
        <c:minorUnit val="0.5"/>
      </c:valAx>
      <c:valAx>
        <c:axId val="1303223359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minorGridlines>
          <c:spPr>
            <a:ln w="9525" cap="flat" cmpd="sng" algn="ctr">
              <a:solidFill>
                <a:schemeClr val="tx1">
                  <a:lumMod val="5000"/>
                  <a:lumOff val="95000"/>
                </a:schemeClr>
              </a:solidFill>
              <a:round/>
            </a:ln>
            <a:effectLst/>
          </c:spPr>
        </c:min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pt-BR" sz="800" b="1"/>
                  <a:t>Turbidez</a:t>
                </a:r>
                <a:r>
                  <a:rPr lang="pt-BR" sz="800" b="1" baseline="0"/>
                  <a:t> residual(uT)</a:t>
                </a:r>
                <a:endParaRPr lang="pt-BR" sz="800" b="1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</c:title>
        <c:numFmt formatCode="General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/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800" b="1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1122607487"/>
        <c:crosses val="autoZero"/>
        <c:crossBetween val="midCat"/>
        <c:majorUnit val="0.5"/>
      </c:valAx>
      <c:spPr>
        <a:noFill/>
        <a:ln>
          <a:noFill/>
        </a:ln>
        <a:effectLst/>
      </c:spPr>
    </c:plotArea>
    <c:legend>
      <c:legendPos val="t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800" b="1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pt-BR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pt-BR"/>
    </a:p>
  </c:txPr>
  <c:printSettings>
    <c:headerFooter/>
    <c:pageMargins b="0.78740157499999996" l="0.511811024" r="0.511811024" t="0.78740157499999996" header="0.31496062000000002" footer="0.31496062000000002"/>
    <c:pageSetup/>
  </c:printSettings>
</c:chartSpace>
</file>

<file path=xl/charts/chart10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000" b="1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sz="1000" b="1"/>
              <a:t>JARTEST - 12/06/2026 TOR&gt;BN&gt;SM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000" b="1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pt-BR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strRef>
              <c:f>JARTEST!$C$53</c:f>
              <c:strCache>
                <c:ptCount val="1"/>
                <c:pt idx="0">
                  <c:v>Turb. Residual</c:v>
                </c:pt>
              </c:strCache>
            </c:strRef>
          </c:tx>
          <c:spPr>
            <a:ln w="15875" cap="rnd">
              <a:solidFill>
                <a:srgbClr val="FF0000"/>
              </a:solidFill>
              <a:round/>
            </a:ln>
            <a:effectLst/>
          </c:spPr>
          <c:marker>
            <c:symbol val="circle"/>
            <c:size val="3"/>
            <c:spPr>
              <a:solidFill>
                <a:srgbClr val="FFC000"/>
              </a:solidFill>
              <a:ln w="9525">
                <a:solidFill>
                  <a:schemeClr val="accent4"/>
                </a:solidFill>
              </a:ln>
              <a:effectLst/>
            </c:spPr>
          </c:marker>
          <c:xVal>
            <c:numRef>
              <c:f>JARTEST!$B$109:$B$114</c:f>
              <c:numCache>
                <c:formatCode>General</c:formatCode>
                <c:ptCount val="6"/>
                <c:pt idx="0">
                  <c:v>4.5</c:v>
                </c:pt>
                <c:pt idx="1">
                  <c:v>5</c:v>
                </c:pt>
                <c:pt idx="2">
                  <c:v>5.5</c:v>
                </c:pt>
                <c:pt idx="3">
                  <c:v>6</c:v>
                </c:pt>
                <c:pt idx="4">
                  <c:v>6.5</c:v>
                </c:pt>
                <c:pt idx="5">
                  <c:v>7</c:v>
                </c:pt>
              </c:numCache>
            </c:numRef>
          </c:xVal>
          <c:yVal>
            <c:numRef>
              <c:f>JARTEST!$C$109:$C$114</c:f>
              <c:numCache>
                <c:formatCode>General</c:formatCode>
                <c:ptCount val="6"/>
                <c:pt idx="0">
                  <c:v>2.85</c:v>
                </c:pt>
                <c:pt idx="1">
                  <c:v>2.8</c:v>
                </c:pt>
                <c:pt idx="2">
                  <c:v>1.46</c:v>
                </c:pt>
                <c:pt idx="3">
                  <c:v>0.91</c:v>
                </c:pt>
                <c:pt idx="4">
                  <c:v>0.5</c:v>
                </c:pt>
                <c:pt idx="5">
                  <c:v>0.39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E4D4-4EB1-95A1-0B0810CCC6A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122607487"/>
        <c:axId val="1303223359"/>
      </c:scatterChart>
      <c:valAx>
        <c:axId val="1122607487"/>
        <c:scaling>
          <c:orientation val="minMax"/>
          <c:min val="3.5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minorGridlines>
          <c:spPr>
            <a:ln w="9525" cap="flat" cmpd="sng" algn="ctr">
              <a:solidFill>
                <a:schemeClr val="tx1">
                  <a:lumMod val="5000"/>
                  <a:lumOff val="95000"/>
                </a:schemeClr>
              </a:solidFill>
              <a:round/>
            </a:ln>
            <a:effectLst/>
          </c:spPr>
        </c:min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800" b="1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pt-BR" sz="800" b="1"/>
                  <a:t>PAC (mg/L)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800" b="1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</c:title>
        <c:numFmt formatCode="General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/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800" b="1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1303223359"/>
        <c:crosses val="autoZero"/>
        <c:crossBetween val="midCat"/>
        <c:majorUnit val="0.5"/>
        <c:minorUnit val="0.5"/>
      </c:valAx>
      <c:valAx>
        <c:axId val="1303223359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minorGridlines>
          <c:spPr>
            <a:ln w="9525" cap="flat" cmpd="sng" algn="ctr">
              <a:solidFill>
                <a:schemeClr val="tx1">
                  <a:lumMod val="5000"/>
                  <a:lumOff val="95000"/>
                </a:schemeClr>
              </a:solidFill>
              <a:round/>
            </a:ln>
            <a:effectLst/>
          </c:spPr>
        </c:min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pt-BR" sz="800" b="1"/>
                  <a:t>Turbidez</a:t>
                </a:r>
                <a:r>
                  <a:rPr lang="pt-BR" sz="800" b="1" baseline="0"/>
                  <a:t> residual(uT)</a:t>
                </a:r>
                <a:endParaRPr lang="pt-BR" sz="800" b="1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</c:title>
        <c:numFmt formatCode="General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/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800" b="1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1122607487"/>
        <c:crosses val="autoZero"/>
        <c:crossBetween val="midCat"/>
        <c:majorUnit val="0.5"/>
      </c:valAx>
      <c:spPr>
        <a:noFill/>
        <a:ln>
          <a:noFill/>
        </a:ln>
        <a:effectLst/>
      </c:spPr>
    </c:plotArea>
    <c:legend>
      <c:legendPos val="t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800" b="1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pt-BR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pt-BR"/>
    </a:p>
  </c:txPr>
  <c:printSettings>
    <c:headerFooter/>
    <c:pageMargins b="0.78740157499999996" l="0.511811024" r="0.511811024" t="0.78740157499999996" header="0.31496062000000002" footer="0.31496062000000002"/>
    <c:pageSetup/>
  </c:printSettings>
</c:chartSpace>
</file>

<file path=xl/charts/chart1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000" b="1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sz="1000" b="1"/>
              <a:t>JARTEST - 15/06/2026 TOR&gt;SM e BN = 0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000" b="1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pt-BR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strRef>
              <c:f>JARTEST!$C$53</c:f>
              <c:strCache>
                <c:ptCount val="1"/>
                <c:pt idx="0">
                  <c:v>Turb. Residual</c:v>
                </c:pt>
              </c:strCache>
            </c:strRef>
          </c:tx>
          <c:spPr>
            <a:ln w="15875" cap="rnd">
              <a:solidFill>
                <a:srgbClr val="FF0000"/>
              </a:solidFill>
              <a:round/>
            </a:ln>
            <a:effectLst/>
          </c:spPr>
          <c:marker>
            <c:symbol val="circle"/>
            <c:size val="3"/>
            <c:spPr>
              <a:solidFill>
                <a:srgbClr val="FFC000"/>
              </a:solidFill>
              <a:ln w="9525">
                <a:solidFill>
                  <a:schemeClr val="accent4"/>
                </a:solidFill>
              </a:ln>
              <a:effectLst/>
            </c:spPr>
          </c:marker>
          <c:xVal>
            <c:numRef>
              <c:f>JARTEST!$B$121:$B$126</c:f>
              <c:numCache>
                <c:formatCode>General</c:formatCode>
                <c:ptCount val="6"/>
                <c:pt idx="0">
                  <c:v>6</c:v>
                </c:pt>
                <c:pt idx="1">
                  <c:v>6.5</c:v>
                </c:pt>
                <c:pt idx="2">
                  <c:v>7</c:v>
                </c:pt>
                <c:pt idx="3">
                  <c:v>7.5</c:v>
                </c:pt>
                <c:pt idx="4">
                  <c:v>8</c:v>
                </c:pt>
                <c:pt idx="5">
                  <c:v>8.5</c:v>
                </c:pt>
              </c:numCache>
            </c:numRef>
          </c:xVal>
          <c:yVal>
            <c:numRef>
              <c:f>JARTEST!$C$121:$C$126</c:f>
              <c:numCache>
                <c:formatCode>General</c:formatCode>
                <c:ptCount val="6"/>
                <c:pt idx="0">
                  <c:v>2.88</c:v>
                </c:pt>
                <c:pt idx="1">
                  <c:v>1.48</c:v>
                </c:pt>
                <c:pt idx="2">
                  <c:v>1.1100000000000001</c:v>
                </c:pt>
                <c:pt idx="3">
                  <c:v>1.01</c:v>
                </c:pt>
                <c:pt idx="4">
                  <c:v>1.42</c:v>
                </c:pt>
                <c:pt idx="5">
                  <c:v>0.7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9899-495D-89E8-68330EB4DFC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122607487"/>
        <c:axId val="1303223359"/>
      </c:scatterChart>
      <c:valAx>
        <c:axId val="1122607487"/>
        <c:scaling>
          <c:orientation val="minMax"/>
          <c:min val="5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minorGridlines>
          <c:spPr>
            <a:ln w="9525" cap="flat" cmpd="sng" algn="ctr">
              <a:solidFill>
                <a:schemeClr val="tx1">
                  <a:lumMod val="5000"/>
                  <a:lumOff val="95000"/>
                </a:schemeClr>
              </a:solidFill>
              <a:round/>
            </a:ln>
            <a:effectLst/>
          </c:spPr>
        </c:min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800" b="1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pt-BR" sz="800" b="1"/>
                  <a:t>PAC (mg/L)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800" b="1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</c:title>
        <c:numFmt formatCode="General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/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800" b="1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1303223359"/>
        <c:crosses val="autoZero"/>
        <c:crossBetween val="midCat"/>
        <c:majorUnit val="0.5"/>
        <c:minorUnit val="0.5"/>
      </c:valAx>
      <c:valAx>
        <c:axId val="1303223359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minorGridlines>
          <c:spPr>
            <a:ln w="9525" cap="flat" cmpd="sng" algn="ctr">
              <a:solidFill>
                <a:schemeClr val="tx1">
                  <a:lumMod val="5000"/>
                  <a:lumOff val="95000"/>
                </a:schemeClr>
              </a:solidFill>
              <a:round/>
            </a:ln>
            <a:effectLst/>
          </c:spPr>
        </c:min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pt-BR" sz="800" b="1"/>
                  <a:t>Turbidez</a:t>
                </a:r>
                <a:r>
                  <a:rPr lang="pt-BR" sz="800" b="1" baseline="0"/>
                  <a:t> residual(uT)</a:t>
                </a:r>
                <a:endParaRPr lang="pt-BR" sz="800" b="1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</c:title>
        <c:numFmt formatCode="General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/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800" b="1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1122607487"/>
        <c:crosses val="autoZero"/>
        <c:crossBetween val="midCat"/>
        <c:majorUnit val="0.5"/>
      </c:valAx>
      <c:spPr>
        <a:noFill/>
        <a:ln>
          <a:noFill/>
        </a:ln>
        <a:effectLst/>
      </c:spPr>
    </c:plotArea>
    <c:legend>
      <c:legendPos val="t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800" b="1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pt-BR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pt-BR"/>
    </a:p>
  </c:txPr>
  <c:printSettings>
    <c:headerFooter/>
    <c:pageMargins b="0.78740157499999996" l="0.511811024" r="0.511811024" t="0.78740157499999996" header="0.31496062000000002" footer="0.31496062000000002"/>
    <c:pageSetup/>
  </c:printSettings>
</c:chartSpace>
</file>

<file path=xl/charts/chart1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000" b="1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sz="1000" b="1"/>
              <a:t>JARTEST - 01/07/2026 TOR=SM&gt;BN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000" b="1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pt-BR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strRef>
              <c:f>JARTEST!$C$53</c:f>
              <c:strCache>
                <c:ptCount val="1"/>
                <c:pt idx="0">
                  <c:v>Turb. Residual</c:v>
                </c:pt>
              </c:strCache>
            </c:strRef>
          </c:tx>
          <c:spPr>
            <a:ln w="15875" cap="rnd">
              <a:solidFill>
                <a:srgbClr val="FF0000"/>
              </a:solidFill>
              <a:round/>
            </a:ln>
            <a:effectLst/>
          </c:spPr>
          <c:marker>
            <c:symbol val="circle"/>
            <c:size val="3"/>
            <c:spPr>
              <a:solidFill>
                <a:srgbClr val="FFC000"/>
              </a:solidFill>
              <a:ln w="9525">
                <a:solidFill>
                  <a:schemeClr val="accent4"/>
                </a:solidFill>
              </a:ln>
              <a:effectLst/>
            </c:spPr>
          </c:marker>
          <c:xVal>
            <c:numRef>
              <c:f>JARTEST!$B$134:$B$139</c:f>
              <c:numCache>
                <c:formatCode>General</c:formatCode>
                <c:ptCount val="6"/>
                <c:pt idx="0">
                  <c:v>2</c:v>
                </c:pt>
                <c:pt idx="1">
                  <c:v>4</c:v>
                </c:pt>
                <c:pt idx="2">
                  <c:v>6</c:v>
                </c:pt>
                <c:pt idx="3">
                  <c:v>7</c:v>
                </c:pt>
                <c:pt idx="4">
                  <c:v>8</c:v>
                </c:pt>
                <c:pt idx="5">
                  <c:v>9</c:v>
                </c:pt>
              </c:numCache>
            </c:numRef>
          </c:xVal>
          <c:yVal>
            <c:numRef>
              <c:f>JARTEST!$C$134:$C$139</c:f>
              <c:numCache>
                <c:formatCode>General</c:formatCode>
                <c:ptCount val="6"/>
                <c:pt idx="0">
                  <c:v>2.35</c:v>
                </c:pt>
                <c:pt idx="1">
                  <c:v>2.4500000000000002</c:v>
                </c:pt>
                <c:pt idx="2">
                  <c:v>1.29</c:v>
                </c:pt>
                <c:pt idx="3">
                  <c:v>0.75</c:v>
                </c:pt>
                <c:pt idx="4">
                  <c:v>0.27</c:v>
                </c:pt>
                <c:pt idx="5">
                  <c:v>0.35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25A9-4248-ADD2-B52B8B1DFC6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122607487"/>
        <c:axId val="1303223359"/>
      </c:scatterChart>
      <c:valAx>
        <c:axId val="1122607487"/>
        <c:scaling>
          <c:orientation val="minMax"/>
          <c:min val="1.5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minorGridlines>
          <c:spPr>
            <a:ln w="9525" cap="flat" cmpd="sng" algn="ctr">
              <a:solidFill>
                <a:schemeClr val="tx1">
                  <a:lumMod val="5000"/>
                  <a:lumOff val="95000"/>
                </a:schemeClr>
              </a:solidFill>
              <a:round/>
            </a:ln>
            <a:effectLst/>
          </c:spPr>
        </c:min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800" b="1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pt-BR" sz="800" b="1"/>
                  <a:t>PAC (mg/L)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800" b="1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</c:title>
        <c:numFmt formatCode="General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/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800" b="1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1303223359"/>
        <c:crosses val="autoZero"/>
        <c:crossBetween val="midCat"/>
        <c:majorUnit val="0.5"/>
        <c:minorUnit val="0.5"/>
      </c:valAx>
      <c:valAx>
        <c:axId val="1303223359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minorGridlines>
          <c:spPr>
            <a:ln w="9525" cap="flat" cmpd="sng" algn="ctr">
              <a:solidFill>
                <a:schemeClr val="tx1">
                  <a:lumMod val="5000"/>
                  <a:lumOff val="95000"/>
                </a:schemeClr>
              </a:solidFill>
              <a:round/>
            </a:ln>
            <a:effectLst/>
          </c:spPr>
        </c:min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pt-BR" sz="800" b="1"/>
                  <a:t>Turbidez</a:t>
                </a:r>
                <a:r>
                  <a:rPr lang="pt-BR" sz="800" b="1" baseline="0"/>
                  <a:t> residual(uT)</a:t>
                </a:r>
                <a:endParaRPr lang="pt-BR" sz="800" b="1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</c:title>
        <c:numFmt formatCode="General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/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800" b="1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1122607487"/>
        <c:crosses val="autoZero"/>
        <c:crossBetween val="midCat"/>
        <c:majorUnit val="0.5"/>
      </c:valAx>
      <c:spPr>
        <a:noFill/>
        <a:ln>
          <a:noFill/>
        </a:ln>
        <a:effectLst/>
      </c:spPr>
    </c:plotArea>
    <c:legend>
      <c:legendPos val="t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800" b="1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pt-BR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pt-BR"/>
    </a:p>
  </c:txPr>
  <c:printSettings>
    <c:headerFooter/>
    <c:pageMargins b="0.78740157499999996" l="0.511811024" r="0.511811024" t="0.78740157499999996" header="0.31496062000000002" footer="0.31496062000000002"/>
    <c:pageSetup/>
  </c:printSettings>
</c:chartSpace>
</file>

<file path=xl/charts/chart1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000" b="1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sz="1000" b="1"/>
              <a:t>JARTEST - 06/08/2026 SM&gt;TOR&gt;BN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000" b="1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pt-BR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strRef>
              <c:f>JARTEST!$C$53</c:f>
              <c:strCache>
                <c:ptCount val="1"/>
                <c:pt idx="0">
                  <c:v>Turb. Residual</c:v>
                </c:pt>
              </c:strCache>
            </c:strRef>
          </c:tx>
          <c:spPr>
            <a:ln w="15875" cap="rnd">
              <a:solidFill>
                <a:srgbClr val="FF0000"/>
              </a:solidFill>
              <a:round/>
            </a:ln>
            <a:effectLst/>
          </c:spPr>
          <c:marker>
            <c:symbol val="circle"/>
            <c:size val="3"/>
            <c:spPr>
              <a:solidFill>
                <a:srgbClr val="FFC000"/>
              </a:solidFill>
              <a:ln w="9525">
                <a:solidFill>
                  <a:schemeClr val="accent4"/>
                </a:solidFill>
              </a:ln>
              <a:effectLst/>
            </c:spPr>
          </c:marker>
          <c:xVal>
            <c:numRef>
              <c:f>JARTEST!$B$147:$B$152</c:f>
              <c:numCache>
                <c:formatCode>General</c:formatCode>
                <c:ptCount val="6"/>
                <c:pt idx="0">
                  <c:v>8</c:v>
                </c:pt>
                <c:pt idx="1">
                  <c:v>10</c:v>
                </c:pt>
                <c:pt idx="2">
                  <c:v>11</c:v>
                </c:pt>
                <c:pt idx="3">
                  <c:v>12</c:v>
                </c:pt>
                <c:pt idx="4">
                  <c:v>13</c:v>
                </c:pt>
                <c:pt idx="5">
                  <c:v>14</c:v>
                </c:pt>
              </c:numCache>
            </c:numRef>
          </c:xVal>
          <c:yVal>
            <c:numRef>
              <c:f>JARTEST!$C$147:$C$152</c:f>
              <c:numCache>
                <c:formatCode>General</c:formatCode>
                <c:ptCount val="6"/>
                <c:pt idx="0">
                  <c:v>1.23</c:v>
                </c:pt>
                <c:pt idx="1">
                  <c:v>0.49</c:v>
                </c:pt>
                <c:pt idx="2">
                  <c:v>0.37</c:v>
                </c:pt>
                <c:pt idx="3">
                  <c:v>0.28000000000000003</c:v>
                </c:pt>
                <c:pt idx="4">
                  <c:v>0.3</c:v>
                </c:pt>
                <c:pt idx="5">
                  <c:v>0.88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9331-4468-ACE9-22CE1282D5B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122607487"/>
        <c:axId val="1303223359"/>
      </c:scatterChart>
      <c:valAx>
        <c:axId val="1122607487"/>
        <c:scaling>
          <c:orientation val="minMax"/>
          <c:min val="7.5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minorGridlines>
          <c:spPr>
            <a:ln w="9525" cap="flat" cmpd="sng" algn="ctr">
              <a:solidFill>
                <a:schemeClr val="tx1">
                  <a:lumMod val="5000"/>
                  <a:lumOff val="95000"/>
                </a:schemeClr>
              </a:solidFill>
              <a:round/>
            </a:ln>
            <a:effectLst/>
          </c:spPr>
        </c:min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800" b="1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pt-BR" sz="800" b="1"/>
                  <a:t>PAC (mg/L)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800" b="1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</c:title>
        <c:numFmt formatCode="General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/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800" b="1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1303223359"/>
        <c:crosses val="autoZero"/>
        <c:crossBetween val="midCat"/>
        <c:majorUnit val="0.5"/>
        <c:minorUnit val="0.5"/>
      </c:valAx>
      <c:valAx>
        <c:axId val="1303223359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minorGridlines>
          <c:spPr>
            <a:ln w="9525" cap="flat" cmpd="sng" algn="ctr">
              <a:solidFill>
                <a:schemeClr val="tx1">
                  <a:lumMod val="5000"/>
                  <a:lumOff val="95000"/>
                </a:schemeClr>
              </a:solidFill>
              <a:round/>
            </a:ln>
            <a:effectLst/>
          </c:spPr>
        </c:min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pt-BR" sz="800" b="1"/>
                  <a:t>Turbidez</a:t>
                </a:r>
                <a:r>
                  <a:rPr lang="pt-BR" sz="800" b="1" baseline="0"/>
                  <a:t> residual(uT)</a:t>
                </a:r>
                <a:endParaRPr lang="pt-BR" sz="800" b="1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</c:title>
        <c:numFmt formatCode="General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/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800" b="1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1122607487"/>
        <c:crosses val="autoZero"/>
        <c:crossBetween val="midCat"/>
        <c:majorUnit val="0.5"/>
      </c:valAx>
      <c:spPr>
        <a:noFill/>
        <a:ln>
          <a:noFill/>
        </a:ln>
        <a:effectLst/>
      </c:spPr>
    </c:plotArea>
    <c:legend>
      <c:legendPos val="t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800" b="1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pt-BR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pt-BR"/>
    </a:p>
  </c:txPr>
  <c:printSettings>
    <c:headerFooter/>
    <c:pageMargins b="0.78740157499999996" l="0.511811024" r="0.511811024" t="0.78740157499999996" header="0.31496062000000002" footer="0.31496062000000002"/>
    <c:pageSetup/>
  </c:printSettings>
</c:chartSpace>
</file>

<file path=xl/charts/chart1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200" b="1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Comparativo Turbidez: PAR x ÍMPAR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200" b="1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pt-BR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DASH_COMPARATIVO!$C$6</c:f>
              <c:strCache>
                <c:ptCount val="1"/>
                <c:pt idx="0">
                  <c:v>LADO PAR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DASH_COMPARATIVO!$B$7:$B$8</c:f>
              <c:strCache>
                <c:ptCount val="2"/>
                <c:pt idx="0">
                  <c:v>Turb. Papel Filtro</c:v>
                </c:pt>
                <c:pt idx="1">
                  <c:v>Turb. Clarificada</c:v>
                </c:pt>
              </c:strCache>
            </c:strRef>
          </c:cat>
          <c:val>
            <c:numRef>
              <c:f>DASH_COMPARATIVO!$C$7:$C$8</c:f>
              <c:numCache>
                <c:formatCode>0.00</c:formatCode>
                <c:ptCount val="2"/>
                <c:pt idx="0">
                  <c:v>0.13</c:v>
                </c:pt>
                <c:pt idx="1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7CF3-45D4-BA4D-7EE63D821A88}"/>
            </c:ext>
          </c:extLst>
        </c:ser>
        <c:ser>
          <c:idx val="1"/>
          <c:order val="1"/>
          <c:tx>
            <c:strRef>
              <c:f>DASH_COMPARATIVO!$D$6</c:f>
              <c:strCache>
                <c:ptCount val="1"/>
                <c:pt idx="0">
                  <c:v>LADO ÍMPAR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strRef>
              <c:f>DASH_COMPARATIVO!$B$7:$B$8</c:f>
              <c:strCache>
                <c:ptCount val="2"/>
                <c:pt idx="0">
                  <c:v>Turb. Papel Filtro</c:v>
                </c:pt>
                <c:pt idx="1">
                  <c:v>Turb. Clarificada</c:v>
                </c:pt>
              </c:strCache>
            </c:strRef>
          </c:cat>
          <c:val>
            <c:numRef>
              <c:f>DASH_COMPARATIVO!$D$7:$D$8</c:f>
              <c:numCache>
                <c:formatCode>0.00</c:formatCode>
                <c:ptCount val="2"/>
                <c:pt idx="0">
                  <c:v>0.215</c:v>
                </c:pt>
                <c:pt idx="1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7CF3-45D4-BA4D-7EE63D821A8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193411632"/>
        <c:axId val="1193426032"/>
      </c:barChart>
      <c:catAx>
        <c:axId val="1193411632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1193426032"/>
        <c:crosses val="autoZero"/>
        <c:auto val="1"/>
        <c:lblAlgn val="ctr"/>
        <c:lblOffset val="100"/>
        <c:noMultiLvlLbl val="0"/>
      </c:catAx>
      <c:valAx>
        <c:axId val="119342603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pt-BR"/>
                  <a:t>Turbidez (uT)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</c:title>
        <c:numFmt formatCode="0.0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1193411632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0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pt-BR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pt-BR"/>
    </a:p>
  </c:txPr>
  <c:printSettings>
    <c:headerFooter/>
    <c:pageMargins b="0.78740157499999996" l="0.511811024" r="0.511811024" t="0.78740157499999996" header="0.31496062000000002" footer="0.31496062000000002"/>
    <c:pageSetup/>
  </c:printSettings>
</c:chartSpace>
</file>

<file path=xl/charts/chart1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200" b="1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Vazão Média por Elevatória (L/s)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200" b="1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pt-BR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DASH_COMPARATIVO!$C$14</c:f>
              <c:strCache>
                <c:ptCount val="1"/>
                <c:pt idx="0">
                  <c:v>Vazão Média (L/s)</c:v>
                </c:pt>
              </c:strCache>
            </c:strRef>
          </c:tx>
          <c:spPr>
            <a:solidFill>
              <a:srgbClr val="4472C4"/>
            </a:solidFill>
            <a:ln>
              <a:noFill/>
            </a:ln>
            <a:effectLst/>
          </c:spPr>
          <c:invertIfNegative val="0"/>
          <c:cat>
            <c:strRef>
              <c:f>DASH_COMPARATIVO!$B$15:$B$17</c:f>
              <c:strCache>
                <c:ptCount val="3"/>
                <c:pt idx="0">
                  <c:v>TOR</c:v>
                </c:pt>
                <c:pt idx="1">
                  <c:v>BNN</c:v>
                </c:pt>
                <c:pt idx="2">
                  <c:v>SM</c:v>
                </c:pt>
              </c:strCache>
            </c:strRef>
          </c:cat>
          <c:val>
            <c:numRef>
              <c:f>DASH_COMPARATIVO!$C$15:$C$17</c:f>
              <c:numCache>
                <c:formatCode>#,##0.0</c:formatCode>
                <c:ptCount val="3"/>
                <c:pt idx="0">
                  <c:v>1176.25</c:v>
                </c:pt>
                <c:pt idx="1">
                  <c:v>499.625</c:v>
                </c:pt>
                <c:pt idx="2">
                  <c:v>80.75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320F-421B-8D6A-D4681F83340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193412592"/>
        <c:axId val="1193429392"/>
      </c:barChart>
      <c:catAx>
        <c:axId val="1193412592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1193429392"/>
        <c:crosses val="autoZero"/>
        <c:auto val="1"/>
        <c:lblAlgn val="ctr"/>
        <c:lblOffset val="100"/>
        <c:noMultiLvlLbl val="0"/>
      </c:catAx>
      <c:valAx>
        <c:axId val="119342939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pt-BR"/>
                  <a:t>Vazão (L/s)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</c:title>
        <c:numFmt formatCode="#,##0.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1193412592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pt-BR"/>
    </a:p>
  </c:txPr>
  <c:printSettings>
    <c:headerFooter/>
    <c:pageMargins b="0.78740157499999996" l="0.511811024" r="0.511811024" t="0.78740157499999996" header="0.31496062000000002" footer="0.31496062000000002"/>
    <c:pageSetup/>
  </c:printSettings>
</c:chartSpace>
</file>

<file path=xl/charts/chart1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200" b="1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Distribuição: Faixa de Turbidez Bruta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200" b="1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pt-BR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DASH_COMPARATIVO!$C$22</c:f>
              <c:strCache>
                <c:ptCount val="1"/>
                <c:pt idx="0">
                  <c:v>Quantidade</c:v>
                </c:pt>
              </c:strCache>
            </c:strRef>
          </c:tx>
          <c:spPr>
            <a:solidFill>
              <a:srgbClr val="ED7D31"/>
            </a:solidFill>
            <a:ln>
              <a:noFill/>
            </a:ln>
            <a:effectLst/>
          </c:spPr>
          <c:invertIfNegative val="0"/>
          <c:cat>
            <c:strRef>
              <c:f>DASH_COMPARATIVO!$B$23:$B$28</c:f>
              <c:strCache>
                <c:ptCount val="6"/>
                <c:pt idx="0">
                  <c:v>&lt; 2.5 uT</c:v>
                </c:pt>
                <c:pt idx="1">
                  <c:v>2.5 - 5.0 uT</c:v>
                </c:pt>
                <c:pt idx="2">
                  <c:v>5.0 - 7.5 uT</c:v>
                </c:pt>
                <c:pt idx="3">
                  <c:v>7.5 - 10.0 uT</c:v>
                </c:pt>
                <c:pt idx="4">
                  <c:v>10.0 - 15.0 uT</c:v>
                </c:pt>
                <c:pt idx="5">
                  <c:v>&gt; 15.0 uT</c:v>
                </c:pt>
              </c:strCache>
            </c:strRef>
          </c:cat>
          <c:val>
            <c:numRef>
              <c:f>DASH_COMPARATIVO!$C$23:$C$28</c:f>
              <c:numCache>
                <c:formatCode>0</c:formatCode>
                <c:ptCount val="6"/>
                <c:pt idx="0">
                  <c:v>0</c:v>
                </c:pt>
                <c:pt idx="1">
                  <c:v>6</c:v>
                </c:pt>
                <c:pt idx="2">
                  <c:v>2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5AA3-4FCD-AD9F-4FCF576CC50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193430832"/>
        <c:axId val="1193431792"/>
      </c:barChart>
      <c:catAx>
        <c:axId val="1193430832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1193431792"/>
        <c:crosses val="autoZero"/>
        <c:auto val="1"/>
        <c:lblAlgn val="ctr"/>
        <c:lblOffset val="100"/>
        <c:noMultiLvlLbl val="0"/>
      </c:catAx>
      <c:valAx>
        <c:axId val="119343179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pt-BR"/>
                  <a:t>Quantidade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</c:title>
        <c:numFmt formatCode="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1193430832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pt-BR"/>
    </a:p>
  </c:txPr>
  <c:printSettings>
    <c:headerFooter/>
    <c:pageMargins b="0.78740157499999996" l="0.511811024" r="0.511811024" t="0.78740157499999996" header="0.31496062000000002" footer="0.31496062000000002"/>
    <c:pageSetup/>
  </c:printSettings>
</c:chartSpace>
</file>

<file path=xl/charts/chart1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200" b="1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Distribuição: Turbidez Filtrada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200" b="1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pt-BR"/>
        </a:p>
      </c:txPr>
    </c:title>
    <c:autoTitleDeleted val="0"/>
    <c:plotArea>
      <c:layout/>
      <c:pieChart>
        <c:varyColors val="1"/>
        <c:ser>
          <c:idx val="0"/>
          <c:order val="0"/>
          <c:tx>
            <c:strRef>
              <c:f>DASH_COMPARATIVO!$G$6</c:f>
              <c:strCache>
                <c:ptCount val="1"/>
                <c:pt idx="0">
                  <c:v>Quantidade</c:v>
                </c:pt>
              </c:strCache>
            </c:strRef>
          </c:tx>
          <c:dPt>
            <c:idx val="0"/>
            <c:bubble3D val="0"/>
            <c:spPr>
              <a:solidFill>
                <a:schemeClr val="accent1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1-87B3-4E9C-903D-BC98A0D38E7B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3-87B3-4E9C-903D-BC98A0D38E7B}"/>
              </c:ext>
            </c:extLst>
          </c:dPt>
          <c:dPt>
            <c:idx val="2"/>
            <c:bubble3D val="0"/>
            <c:spPr>
              <a:solidFill>
                <a:schemeClr val="accent3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5-87B3-4E9C-903D-BC98A0D38E7B}"/>
              </c:ext>
            </c:extLst>
          </c:dPt>
          <c:dPt>
            <c:idx val="3"/>
            <c:bubble3D val="0"/>
            <c:spPr>
              <a:solidFill>
                <a:schemeClr val="accent4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7-87B3-4E9C-903D-BC98A0D38E7B}"/>
              </c:ext>
            </c:extLst>
          </c:dPt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pt-BR"/>
              </a:p>
            </c:txPr>
            <c:showLegendKey val="0"/>
            <c:showVal val="0"/>
            <c:showCatName val="0"/>
            <c:showSerName val="0"/>
            <c:showPercent val="1"/>
            <c:showBubbleSize val="0"/>
            <c:showLeaderLines val="1"/>
            <c:leaderLines>
              <c:spPr>
                <a:ln w="9525" cap="flat" cmpd="sng" algn="ctr">
                  <a:solidFill>
                    <a:schemeClr val="tx1">
                      <a:lumMod val="35000"/>
                      <a:lumOff val="65000"/>
                    </a:schemeClr>
                  </a:solidFill>
                  <a:round/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DASH_COMPARATIVO!$F$7:$F$10</c:f>
              <c:strCache>
                <c:ptCount val="4"/>
                <c:pt idx="0">
                  <c:v>Tipo 1 (≤0.25 uT)</c:v>
                </c:pt>
                <c:pt idx="1">
                  <c:v>Tipo 2 (0.25-0.50 uT)</c:v>
                </c:pt>
                <c:pt idx="2">
                  <c:v>Tipo 3 (0.50-0.75 uT)</c:v>
                </c:pt>
                <c:pt idx="3">
                  <c:v>Tipo 4 (&gt;0.75 uT)</c:v>
                </c:pt>
              </c:strCache>
            </c:strRef>
          </c:cat>
          <c:val>
            <c:numRef>
              <c:f>DASH_COMPARATIVO!$G$7:$G$10</c:f>
              <c:numCache>
                <c:formatCode>0</c:formatCode>
                <c:ptCount val="4"/>
                <c:pt idx="0">
                  <c:v>0</c:v>
                </c:pt>
                <c:pt idx="1">
                  <c:v>5</c:v>
                </c:pt>
                <c:pt idx="2">
                  <c:v>2</c:v>
                </c:pt>
                <c:pt idx="3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9685-4069-AFDC-66F90936F03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</c:pieChart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pt-BR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pt-BR"/>
    </a:p>
  </c:txPr>
  <c:printSettings>
    <c:headerFooter/>
    <c:pageMargins b="0.78740157499999996" l="0.511811024" r="0.511811024" t="0.78740157499999996" header="0.31496062000000002" footer="0.31496062000000002"/>
    <c:pageSetup/>
  </c:printSettings>
</c:chartSpace>
</file>

<file path=xl/charts/chart1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200" b="1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Distribuição: Dosagem PAC (mg/L)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200" b="1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pt-BR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DASH_COMPARATIVO!$G$16</c:f>
              <c:strCache>
                <c:ptCount val="1"/>
                <c:pt idx="0">
                  <c:v>Quantidade</c:v>
                </c:pt>
              </c:strCache>
            </c:strRef>
          </c:tx>
          <c:spPr>
            <a:solidFill>
              <a:srgbClr val="70AD47"/>
            </a:solidFill>
            <a:ln>
              <a:noFill/>
            </a:ln>
            <a:effectLst/>
          </c:spPr>
          <c:invertIfNegative val="0"/>
          <c:cat>
            <c:strRef>
              <c:f>DASH_COMPARATIVO!$F$17:$F$22</c:f>
              <c:strCache>
                <c:ptCount val="6"/>
                <c:pt idx="0">
                  <c:v>&lt; 3.5</c:v>
                </c:pt>
                <c:pt idx="1">
                  <c:v>3.5 - 4.0</c:v>
                </c:pt>
                <c:pt idx="2">
                  <c:v>4.0 - 4.5</c:v>
                </c:pt>
                <c:pt idx="3">
                  <c:v>4.5 - 5.0</c:v>
                </c:pt>
                <c:pt idx="4">
                  <c:v>5.0 - 5.5</c:v>
                </c:pt>
                <c:pt idx="5">
                  <c:v>&gt; 5.5</c:v>
                </c:pt>
              </c:strCache>
            </c:strRef>
          </c:cat>
          <c:val>
            <c:numRef>
              <c:f>DASH_COMPARATIVO!$G$17:$G$22</c:f>
              <c:numCache>
                <c:formatCode>0</c:formatCode>
                <c:ptCount val="6"/>
                <c:pt idx="0">
                  <c:v>0</c:v>
                </c:pt>
                <c:pt idx="1">
                  <c:v>0</c:v>
                </c:pt>
                <c:pt idx="2">
                  <c:v>5</c:v>
                </c:pt>
                <c:pt idx="3">
                  <c:v>3</c:v>
                </c:pt>
                <c:pt idx="4">
                  <c:v>0</c:v>
                </c:pt>
                <c:pt idx="5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FF42-407E-932C-F93DBEAB569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193433232"/>
        <c:axId val="1193434192"/>
      </c:barChart>
      <c:catAx>
        <c:axId val="1193433232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1193434192"/>
        <c:crosses val="autoZero"/>
        <c:auto val="1"/>
        <c:lblAlgn val="ctr"/>
        <c:lblOffset val="100"/>
        <c:noMultiLvlLbl val="0"/>
      </c:catAx>
      <c:valAx>
        <c:axId val="119343419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pt-BR"/>
                  <a:t>Quantidade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</c:title>
        <c:numFmt formatCode="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1193433232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pt-BR"/>
    </a:p>
  </c:txPr>
  <c:printSettings>
    <c:headerFooter/>
    <c:pageMargins b="0.78740157499999996" l="0.511811024" r="0.511811024" t="0.78740157499999996" header="0.31496062000000002" footer="0.31496062000000002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8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9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0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8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6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7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8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9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0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2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3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4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5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6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7.xml><?xml version="1.0" encoding="utf-8"?>
<cs:chartStyle xmlns:cs="http://schemas.microsoft.com/office/drawing/2012/chartStyle" xmlns:a="http://schemas.openxmlformats.org/drawingml/2006/main" id="25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8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8" Type="http://schemas.openxmlformats.org/officeDocument/2006/relationships/chart" Target="../charts/chart8.xml"/><Relationship Id="rId13" Type="http://schemas.openxmlformats.org/officeDocument/2006/relationships/chart" Target="../charts/chart13.xml"/><Relationship Id="rId3" Type="http://schemas.openxmlformats.org/officeDocument/2006/relationships/chart" Target="../charts/chart3.xml"/><Relationship Id="rId7" Type="http://schemas.openxmlformats.org/officeDocument/2006/relationships/chart" Target="../charts/chart7.xml"/><Relationship Id="rId12" Type="http://schemas.openxmlformats.org/officeDocument/2006/relationships/chart" Target="../charts/chart12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Relationship Id="rId6" Type="http://schemas.openxmlformats.org/officeDocument/2006/relationships/chart" Target="../charts/chart6.xml"/><Relationship Id="rId11" Type="http://schemas.openxmlformats.org/officeDocument/2006/relationships/chart" Target="../charts/chart11.xml"/><Relationship Id="rId5" Type="http://schemas.openxmlformats.org/officeDocument/2006/relationships/chart" Target="../charts/chart5.xml"/><Relationship Id="rId10" Type="http://schemas.openxmlformats.org/officeDocument/2006/relationships/chart" Target="../charts/chart10.xml"/><Relationship Id="rId4" Type="http://schemas.openxmlformats.org/officeDocument/2006/relationships/chart" Target="../charts/chart4.xml"/><Relationship Id="rId9" Type="http://schemas.openxmlformats.org/officeDocument/2006/relationships/chart" Target="../charts/chart9.xml"/></Relationships>
</file>

<file path=xl/drawings/_rels/drawing2.xml.rels><?xml version="1.0" encoding="UTF-8" standalone="yes"?>
<Relationships xmlns="http://schemas.openxmlformats.org/package/2006/relationships"><Relationship Id="rId3" Type="http://schemas.openxmlformats.org/officeDocument/2006/relationships/chart" Target="../charts/chart16.xml"/><Relationship Id="rId2" Type="http://schemas.openxmlformats.org/officeDocument/2006/relationships/chart" Target="../charts/chart15.xml"/><Relationship Id="rId1" Type="http://schemas.openxmlformats.org/officeDocument/2006/relationships/chart" Target="../charts/chart14.xml"/><Relationship Id="rId5" Type="http://schemas.openxmlformats.org/officeDocument/2006/relationships/chart" Target="../charts/chart18.xml"/><Relationship Id="rId4" Type="http://schemas.openxmlformats.org/officeDocument/2006/relationships/chart" Target="../charts/chart17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409575</xdr:colOff>
      <xdr:row>0</xdr:row>
      <xdr:rowOff>95250</xdr:rowOff>
    </xdr:from>
    <xdr:to>
      <xdr:col>13</xdr:col>
      <xdr:colOff>104775</xdr:colOff>
      <xdr:row>9</xdr:row>
      <xdr:rowOff>28575</xdr:rowOff>
    </xdr:to>
    <xdr:graphicFrame macro="">
      <xdr:nvGraphicFramePr>
        <xdr:cNvPr id="2" name="Gráfico 1">
          <a:extLst>
            <a:ext uri="{FF2B5EF4-FFF2-40B4-BE49-F238E27FC236}">
              <a16:creationId xmlns:a16="http://schemas.microsoft.com/office/drawing/2014/main" id="{411D9719-42F3-D1D5-0A21-C7531DFF9E97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5</xdr:col>
      <xdr:colOff>381000</xdr:colOff>
      <xdr:row>9</xdr:row>
      <xdr:rowOff>180975</xdr:rowOff>
    </xdr:from>
    <xdr:to>
      <xdr:col>13</xdr:col>
      <xdr:colOff>76200</xdr:colOff>
      <xdr:row>18</xdr:row>
      <xdr:rowOff>123825</xdr:rowOff>
    </xdr:to>
    <xdr:graphicFrame macro="">
      <xdr:nvGraphicFramePr>
        <xdr:cNvPr id="4" name="Gráfico 3">
          <a:extLst>
            <a:ext uri="{FF2B5EF4-FFF2-40B4-BE49-F238E27FC236}">
              <a16:creationId xmlns:a16="http://schemas.microsoft.com/office/drawing/2014/main" id="{3AE34B17-3E08-4892-AA17-C235D1C9743C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5</xdr:col>
      <xdr:colOff>0</xdr:colOff>
      <xdr:row>31</xdr:row>
      <xdr:rowOff>0</xdr:rowOff>
    </xdr:from>
    <xdr:to>
      <xdr:col>12</xdr:col>
      <xdr:colOff>304800</xdr:colOff>
      <xdr:row>37</xdr:row>
      <xdr:rowOff>171450</xdr:rowOff>
    </xdr:to>
    <xdr:graphicFrame macro="">
      <xdr:nvGraphicFramePr>
        <xdr:cNvPr id="6" name="Gráfico 5">
          <a:extLst>
            <a:ext uri="{FF2B5EF4-FFF2-40B4-BE49-F238E27FC236}">
              <a16:creationId xmlns:a16="http://schemas.microsoft.com/office/drawing/2014/main" id="{214C3947-42F6-4AB3-A070-5FEABB9FE6B4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4</xdr:col>
      <xdr:colOff>590550</xdr:colOff>
      <xdr:row>40</xdr:row>
      <xdr:rowOff>161925</xdr:rowOff>
    </xdr:from>
    <xdr:to>
      <xdr:col>12</xdr:col>
      <xdr:colOff>285750</xdr:colOff>
      <xdr:row>49</xdr:row>
      <xdr:rowOff>95250</xdr:rowOff>
    </xdr:to>
    <xdr:graphicFrame macro="">
      <xdr:nvGraphicFramePr>
        <xdr:cNvPr id="7" name="Gráfico 6">
          <a:extLst>
            <a:ext uri="{FF2B5EF4-FFF2-40B4-BE49-F238E27FC236}">
              <a16:creationId xmlns:a16="http://schemas.microsoft.com/office/drawing/2014/main" id="{3A50BEBE-F819-4FE3-AB66-740EEFE89E9E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5</xdr:col>
      <xdr:colOff>0</xdr:colOff>
      <xdr:row>52</xdr:row>
      <xdr:rowOff>0</xdr:rowOff>
    </xdr:from>
    <xdr:to>
      <xdr:col>12</xdr:col>
      <xdr:colOff>304800</xdr:colOff>
      <xdr:row>60</xdr:row>
      <xdr:rowOff>123825</xdr:rowOff>
    </xdr:to>
    <xdr:graphicFrame macro="">
      <xdr:nvGraphicFramePr>
        <xdr:cNvPr id="3" name="Gráfico 2">
          <a:extLst>
            <a:ext uri="{FF2B5EF4-FFF2-40B4-BE49-F238E27FC236}">
              <a16:creationId xmlns:a16="http://schemas.microsoft.com/office/drawing/2014/main" id="{8A57F108-72D7-47E3-B1A1-D3FAAE109E79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  <xdr:twoCellAnchor>
    <xdr:from>
      <xdr:col>4</xdr:col>
      <xdr:colOff>600076</xdr:colOff>
      <xdr:row>65</xdr:row>
      <xdr:rowOff>9525</xdr:rowOff>
    </xdr:from>
    <xdr:to>
      <xdr:col>9</xdr:col>
      <xdr:colOff>133350</xdr:colOff>
      <xdr:row>76</xdr:row>
      <xdr:rowOff>57150</xdr:rowOff>
    </xdr:to>
    <xdr:graphicFrame macro="">
      <xdr:nvGraphicFramePr>
        <xdr:cNvPr id="8" name="Gráfico 7">
          <a:extLst>
            <a:ext uri="{FF2B5EF4-FFF2-40B4-BE49-F238E27FC236}">
              <a16:creationId xmlns:a16="http://schemas.microsoft.com/office/drawing/2014/main" id="{AA5AE238-5AFC-4F12-8F57-373E8153B0EE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6"/>
        </a:graphicData>
      </a:graphic>
    </xdr:graphicFrame>
    <xdr:clientData/>
  </xdr:twoCellAnchor>
  <xdr:twoCellAnchor>
    <xdr:from>
      <xdr:col>5</xdr:col>
      <xdr:colOff>333374</xdr:colOff>
      <xdr:row>20</xdr:row>
      <xdr:rowOff>38100</xdr:rowOff>
    </xdr:from>
    <xdr:to>
      <xdr:col>10</xdr:col>
      <xdr:colOff>304799</xdr:colOff>
      <xdr:row>29</xdr:row>
      <xdr:rowOff>28575</xdr:rowOff>
    </xdr:to>
    <xdr:graphicFrame macro="">
      <xdr:nvGraphicFramePr>
        <xdr:cNvPr id="10" name="Gráfico 9">
          <a:extLst>
            <a:ext uri="{FF2B5EF4-FFF2-40B4-BE49-F238E27FC236}">
              <a16:creationId xmlns:a16="http://schemas.microsoft.com/office/drawing/2014/main" id="{B666DE36-DB5A-4479-AE73-54BECF5A47D4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7"/>
        </a:graphicData>
      </a:graphic>
    </xdr:graphicFrame>
    <xdr:clientData/>
  </xdr:twoCellAnchor>
  <xdr:twoCellAnchor>
    <xdr:from>
      <xdr:col>5</xdr:col>
      <xdr:colOff>0</xdr:colOff>
      <xdr:row>79</xdr:row>
      <xdr:rowOff>0</xdr:rowOff>
    </xdr:from>
    <xdr:to>
      <xdr:col>9</xdr:col>
      <xdr:colOff>142874</xdr:colOff>
      <xdr:row>90</xdr:row>
      <xdr:rowOff>47625</xdr:rowOff>
    </xdr:to>
    <xdr:graphicFrame macro="">
      <xdr:nvGraphicFramePr>
        <xdr:cNvPr id="5" name="Gráfico 4">
          <a:extLst>
            <a:ext uri="{FF2B5EF4-FFF2-40B4-BE49-F238E27FC236}">
              <a16:creationId xmlns:a16="http://schemas.microsoft.com/office/drawing/2014/main" id="{7CE9B8CA-4814-42D1-8E70-E45CA2874092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8"/>
        </a:graphicData>
      </a:graphic>
    </xdr:graphicFrame>
    <xdr:clientData/>
  </xdr:twoCellAnchor>
  <xdr:twoCellAnchor>
    <xdr:from>
      <xdr:col>5</xdr:col>
      <xdr:colOff>0</xdr:colOff>
      <xdr:row>93</xdr:row>
      <xdr:rowOff>0</xdr:rowOff>
    </xdr:from>
    <xdr:to>
      <xdr:col>9</xdr:col>
      <xdr:colOff>142874</xdr:colOff>
      <xdr:row>104</xdr:row>
      <xdr:rowOff>47625</xdr:rowOff>
    </xdr:to>
    <xdr:graphicFrame macro="">
      <xdr:nvGraphicFramePr>
        <xdr:cNvPr id="9" name="Gráfico 8">
          <a:extLst>
            <a:ext uri="{FF2B5EF4-FFF2-40B4-BE49-F238E27FC236}">
              <a16:creationId xmlns:a16="http://schemas.microsoft.com/office/drawing/2014/main" id="{E07A7317-0D7D-4439-A9E8-123F5855469D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9"/>
        </a:graphicData>
      </a:graphic>
    </xdr:graphicFrame>
    <xdr:clientData/>
  </xdr:twoCellAnchor>
  <xdr:twoCellAnchor>
    <xdr:from>
      <xdr:col>4</xdr:col>
      <xdr:colOff>142875</xdr:colOff>
      <xdr:row>105</xdr:row>
      <xdr:rowOff>142875</xdr:rowOff>
    </xdr:from>
    <xdr:to>
      <xdr:col>8</xdr:col>
      <xdr:colOff>285749</xdr:colOff>
      <xdr:row>117</xdr:row>
      <xdr:rowOff>0</xdr:rowOff>
    </xdr:to>
    <xdr:graphicFrame macro="">
      <xdr:nvGraphicFramePr>
        <xdr:cNvPr id="11" name="Gráfico 10">
          <a:extLst>
            <a:ext uri="{FF2B5EF4-FFF2-40B4-BE49-F238E27FC236}">
              <a16:creationId xmlns:a16="http://schemas.microsoft.com/office/drawing/2014/main" id="{8AE119AF-75D0-4616-8EA0-85E14E0DD074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0"/>
        </a:graphicData>
      </a:graphic>
    </xdr:graphicFrame>
    <xdr:clientData/>
  </xdr:twoCellAnchor>
  <xdr:twoCellAnchor>
    <xdr:from>
      <xdr:col>4</xdr:col>
      <xdr:colOff>9525</xdr:colOff>
      <xdr:row>117</xdr:row>
      <xdr:rowOff>180975</xdr:rowOff>
    </xdr:from>
    <xdr:to>
      <xdr:col>8</xdr:col>
      <xdr:colOff>409575</xdr:colOff>
      <xdr:row>129</xdr:row>
      <xdr:rowOff>38100</xdr:rowOff>
    </xdr:to>
    <xdr:graphicFrame macro="">
      <xdr:nvGraphicFramePr>
        <xdr:cNvPr id="12" name="Gráfico 11">
          <a:extLst>
            <a:ext uri="{FF2B5EF4-FFF2-40B4-BE49-F238E27FC236}">
              <a16:creationId xmlns:a16="http://schemas.microsoft.com/office/drawing/2014/main" id="{8964D9F4-1EF6-43EA-B2A0-CB4BDD4EBB19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1"/>
        </a:graphicData>
      </a:graphic>
    </xdr:graphicFrame>
    <xdr:clientData/>
  </xdr:twoCellAnchor>
  <xdr:twoCellAnchor>
    <xdr:from>
      <xdr:col>3</xdr:col>
      <xdr:colOff>609599</xdr:colOff>
      <xdr:row>132</xdr:row>
      <xdr:rowOff>0</xdr:rowOff>
    </xdr:from>
    <xdr:to>
      <xdr:col>10</xdr:col>
      <xdr:colOff>9524</xdr:colOff>
      <xdr:row>143</xdr:row>
      <xdr:rowOff>47625</xdr:rowOff>
    </xdr:to>
    <xdr:graphicFrame macro="">
      <xdr:nvGraphicFramePr>
        <xdr:cNvPr id="13" name="Gráfico 12">
          <a:extLst>
            <a:ext uri="{FF2B5EF4-FFF2-40B4-BE49-F238E27FC236}">
              <a16:creationId xmlns:a16="http://schemas.microsoft.com/office/drawing/2014/main" id="{349BDCEE-B2C1-46F5-B356-5C5139B76B7B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2"/>
        </a:graphicData>
      </a:graphic>
    </xdr:graphicFrame>
    <xdr:clientData/>
  </xdr:twoCellAnchor>
  <xdr:twoCellAnchor>
    <xdr:from>
      <xdr:col>4</xdr:col>
      <xdr:colOff>0</xdr:colOff>
      <xdr:row>145</xdr:row>
      <xdr:rowOff>0</xdr:rowOff>
    </xdr:from>
    <xdr:to>
      <xdr:col>10</xdr:col>
      <xdr:colOff>9525</xdr:colOff>
      <xdr:row>156</xdr:row>
      <xdr:rowOff>47625</xdr:rowOff>
    </xdr:to>
    <xdr:graphicFrame macro="">
      <xdr:nvGraphicFramePr>
        <xdr:cNvPr id="14" name="Gráfico 13">
          <a:extLst>
            <a:ext uri="{FF2B5EF4-FFF2-40B4-BE49-F238E27FC236}">
              <a16:creationId xmlns:a16="http://schemas.microsoft.com/office/drawing/2014/main" id="{DD62B32F-088D-4A9D-8357-D92444CEB068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3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9</xdr:col>
      <xdr:colOff>0</xdr:colOff>
      <xdr:row>3</xdr:row>
      <xdr:rowOff>0</xdr:rowOff>
    </xdr:from>
    <xdr:to>
      <xdr:col>16</xdr:col>
      <xdr:colOff>0</xdr:colOff>
      <xdr:row>17</xdr:row>
      <xdr:rowOff>0</xdr:rowOff>
    </xdr:to>
    <xdr:graphicFrame macro="">
      <xdr:nvGraphicFramePr>
        <xdr:cNvPr id="2" name="Gráfico 1">
          <a:extLst>
            <a:ext uri="{FF2B5EF4-FFF2-40B4-BE49-F238E27FC236}">
              <a16:creationId xmlns:a16="http://schemas.microsoft.com/office/drawing/2014/main" id="{43B926F8-D388-CE28-5F55-5F0E7F95AF2A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9</xdr:col>
      <xdr:colOff>0</xdr:colOff>
      <xdr:row>18</xdr:row>
      <xdr:rowOff>0</xdr:rowOff>
    </xdr:from>
    <xdr:to>
      <xdr:col>16</xdr:col>
      <xdr:colOff>0</xdr:colOff>
      <xdr:row>32</xdr:row>
      <xdr:rowOff>0</xdr:rowOff>
    </xdr:to>
    <xdr:graphicFrame macro="">
      <xdr:nvGraphicFramePr>
        <xdr:cNvPr id="3" name="Gráfico 2">
          <a:extLst>
            <a:ext uri="{FF2B5EF4-FFF2-40B4-BE49-F238E27FC236}">
              <a16:creationId xmlns:a16="http://schemas.microsoft.com/office/drawing/2014/main" id="{086FC244-F9BE-67F1-4C20-68120A9A0CA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9</xdr:col>
      <xdr:colOff>0</xdr:colOff>
      <xdr:row>33</xdr:row>
      <xdr:rowOff>0</xdr:rowOff>
    </xdr:from>
    <xdr:to>
      <xdr:col>16</xdr:col>
      <xdr:colOff>0</xdr:colOff>
      <xdr:row>47</xdr:row>
      <xdr:rowOff>0</xdr:rowOff>
    </xdr:to>
    <xdr:graphicFrame macro="">
      <xdr:nvGraphicFramePr>
        <xdr:cNvPr id="4" name="Gráfico 3">
          <a:extLst>
            <a:ext uri="{FF2B5EF4-FFF2-40B4-BE49-F238E27FC236}">
              <a16:creationId xmlns:a16="http://schemas.microsoft.com/office/drawing/2014/main" id="{D6A09338-0865-29C9-36D5-982D84D6F1A4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16</xdr:col>
      <xdr:colOff>0</xdr:colOff>
      <xdr:row>3</xdr:row>
      <xdr:rowOff>0</xdr:rowOff>
    </xdr:from>
    <xdr:to>
      <xdr:col>23</xdr:col>
      <xdr:colOff>0</xdr:colOff>
      <xdr:row>17</xdr:row>
      <xdr:rowOff>0</xdr:rowOff>
    </xdr:to>
    <xdr:graphicFrame macro="">
      <xdr:nvGraphicFramePr>
        <xdr:cNvPr id="5" name="Gráfico 4">
          <a:extLst>
            <a:ext uri="{FF2B5EF4-FFF2-40B4-BE49-F238E27FC236}">
              <a16:creationId xmlns:a16="http://schemas.microsoft.com/office/drawing/2014/main" id="{0ABCC129-EF59-3CE7-0CE0-9018A75BB0AE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16</xdr:col>
      <xdr:colOff>0</xdr:colOff>
      <xdr:row>18</xdr:row>
      <xdr:rowOff>0</xdr:rowOff>
    </xdr:from>
    <xdr:to>
      <xdr:col>23</xdr:col>
      <xdr:colOff>0</xdr:colOff>
      <xdr:row>32</xdr:row>
      <xdr:rowOff>0</xdr:rowOff>
    </xdr:to>
    <xdr:graphicFrame macro="">
      <xdr:nvGraphicFramePr>
        <xdr:cNvPr id="6" name="Gráfico 5">
          <a:extLst>
            <a:ext uri="{FF2B5EF4-FFF2-40B4-BE49-F238E27FC236}">
              <a16:creationId xmlns:a16="http://schemas.microsoft.com/office/drawing/2014/main" id="{DACFC09D-4AA0-65B0-7D30-6F3385D52647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.bin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1.bin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1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91D2771-2BF4-435A-878B-8B9E376FA69B}">
  <sheetPr>
    <pageSetUpPr fitToPage="1"/>
  </sheetPr>
  <dimension ref="B2:AI28"/>
  <sheetViews>
    <sheetView view="pageBreakPreview" zoomScaleNormal="100" zoomScaleSheetLayoutView="100" workbookViewId="0"/>
  </sheetViews>
  <sheetFormatPr defaultRowHeight="14.4" x14ac:dyDescent="0.3"/>
  <cols>
    <col min="1" max="1" width="3" customWidth="1"/>
    <col min="3" max="9" width="7.6640625" customWidth="1"/>
    <col min="10" max="18" width="7.21875" customWidth="1"/>
    <col min="19" max="20" width="5.6640625" customWidth="1"/>
    <col min="21" max="22" width="7.44140625" customWidth="1"/>
    <col min="23" max="26" width="7.21875" customWidth="1"/>
    <col min="27" max="28" width="5.6640625" customWidth="1"/>
    <col min="29" max="30" width="7.44140625" customWidth="1"/>
    <col min="31" max="34" width="7.21875" customWidth="1"/>
    <col min="35" max="35" width="3.109375" customWidth="1"/>
  </cols>
  <sheetData>
    <row r="2" spans="2:35" ht="18" x14ac:dyDescent="0.35">
      <c r="B2" s="24" t="s">
        <v>2</v>
      </c>
    </row>
    <row r="3" spans="2:35" ht="15.6" x14ac:dyDescent="0.35">
      <c r="B3" s="23" t="s">
        <v>296</v>
      </c>
    </row>
    <row r="4" spans="2:35" x14ac:dyDescent="0.3">
      <c r="B4" t="s">
        <v>65</v>
      </c>
    </row>
    <row r="5" spans="2:35" x14ac:dyDescent="0.3">
      <c r="B5" t="s">
        <v>5</v>
      </c>
      <c r="C5" s="21"/>
      <c r="E5" s="20" t="s">
        <v>48</v>
      </c>
      <c r="F5" s="21"/>
      <c r="G5" s="21"/>
      <c r="H5" s="21"/>
      <c r="I5" s="21"/>
      <c r="J5" s="21"/>
      <c r="K5" s="21"/>
      <c r="L5" s="21"/>
      <c r="M5" s="21"/>
    </row>
    <row r="6" spans="2:35" x14ac:dyDescent="0.3">
      <c r="C6" s="22"/>
      <c r="E6" s="20" t="s">
        <v>49</v>
      </c>
      <c r="F6" s="22"/>
      <c r="G6" s="22"/>
      <c r="H6" s="22"/>
      <c r="I6" s="22"/>
      <c r="J6" s="22"/>
      <c r="K6" s="22"/>
      <c r="L6" s="21"/>
      <c r="M6" s="21"/>
    </row>
    <row r="7" spans="2:35" ht="15" thickBot="1" x14ac:dyDescent="0.35"/>
    <row r="8" spans="2:35" ht="16.8" thickBot="1" x14ac:dyDescent="0.35">
      <c r="B8" s="2" t="s">
        <v>0</v>
      </c>
      <c r="C8" s="93" t="s">
        <v>8</v>
      </c>
      <c r="D8" s="93"/>
      <c r="E8" s="93"/>
      <c r="F8" s="93"/>
      <c r="G8" s="93" t="s">
        <v>25</v>
      </c>
      <c r="H8" s="93"/>
      <c r="I8" s="72"/>
      <c r="J8" s="93" t="s">
        <v>62</v>
      </c>
      <c r="K8" s="93"/>
      <c r="L8" s="93"/>
      <c r="M8" s="90" t="s">
        <v>55</v>
      </c>
      <c r="N8" s="91"/>
      <c r="O8" s="91"/>
      <c r="P8" s="91"/>
      <c r="Q8" s="91"/>
      <c r="R8" s="92"/>
      <c r="S8" s="93" t="s">
        <v>291</v>
      </c>
      <c r="T8" s="93"/>
      <c r="U8" s="93"/>
      <c r="V8" s="93"/>
      <c r="W8" s="93"/>
      <c r="X8" s="93"/>
      <c r="Y8" s="93"/>
      <c r="Z8" s="93"/>
      <c r="AA8" s="90" t="s">
        <v>292</v>
      </c>
      <c r="AB8" s="91"/>
      <c r="AC8" s="91"/>
      <c r="AD8" s="91"/>
      <c r="AE8" s="91"/>
      <c r="AF8" s="91"/>
      <c r="AG8" s="91"/>
      <c r="AH8" s="92"/>
    </row>
    <row r="9" spans="2:35" ht="58.2" thickBot="1" x14ac:dyDescent="0.35">
      <c r="B9" s="5" t="s">
        <v>295</v>
      </c>
      <c r="C9" s="5" t="s">
        <v>56</v>
      </c>
      <c r="D9" s="5" t="s">
        <v>57</v>
      </c>
      <c r="E9" s="5" t="s">
        <v>58</v>
      </c>
      <c r="F9" s="5" t="s">
        <v>59</v>
      </c>
      <c r="G9" s="5" t="s">
        <v>60</v>
      </c>
      <c r="H9" s="5" t="s">
        <v>61</v>
      </c>
      <c r="I9" s="5" t="s">
        <v>290</v>
      </c>
      <c r="J9" s="5" t="s">
        <v>15</v>
      </c>
      <c r="K9" s="5" t="s">
        <v>16</v>
      </c>
      <c r="L9" s="5" t="s">
        <v>17</v>
      </c>
      <c r="M9" s="5" t="s">
        <v>52</v>
      </c>
      <c r="N9" s="5" t="s">
        <v>50</v>
      </c>
      <c r="O9" s="5" t="s">
        <v>51</v>
      </c>
      <c r="P9" s="5" t="s">
        <v>53</v>
      </c>
      <c r="Q9" s="5" t="s">
        <v>63</v>
      </c>
      <c r="R9" s="5" t="s">
        <v>54</v>
      </c>
      <c r="S9" s="5" t="s">
        <v>66</v>
      </c>
      <c r="T9" s="5" t="s">
        <v>67</v>
      </c>
      <c r="U9" s="5" t="s">
        <v>293</v>
      </c>
      <c r="V9" s="5" t="s">
        <v>294</v>
      </c>
      <c r="W9" s="5" t="s">
        <v>50</v>
      </c>
      <c r="X9" s="5" t="s">
        <v>63</v>
      </c>
      <c r="Y9" s="5" t="s">
        <v>23</v>
      </c>
      <c r="Z9" s="5" t="s">
        <v>24</v>
      </c>
      <c r="AA9" s="5" t="s">
        <v>66</v>
      </c>
      <c r="AB9" s="5" t="s">
        <v>67</v>
      </c>
      <c r="AC9" s="5" t="s">
        <v>293</v>
      </c>
      <c r="AD9" s="5" t="s">
        <v>69</v>
      </c>
      <c r="AE9" s="5" t="s">
        <v>50</v>
      </c>
      <c r="AF9" s="5" t="s">
        <v>63</v>
      </c>
      <c r="AG9" s="5" t="s">
        <v>23</v>
      </c>
      <c r="AH9" s="5" t="s">
        <v>24</v>
      </c>
      <c r="AI9" s="1"/>
    </row>
    <row r="10" spans="2:35" s="3" customFormat="1" ht="33" customHeight="1" x14ac:dyDescent="0.3">
      <c r="B10" s="6">
        <v>0.3125</v>
      </c>
      <c r="C10" s="9"/>
      <c r="D10" s="9"/>
      <c r="E10" s="9"/>
      <c r="F10" s="9"/>
      <c r="G10" s="9"/>
      <c r="H10" s="9"/>
      <c r="I10" s="9"/>
      <c r="J10" s="9"/>
      <c r="K10" s="9"/>
      <c r="L10" s="9"/>
      <c r="M10" s="9"/>
      <c r="N10" s="9"/>
      <c r="O10" s="9"/>
      <c r="P10" s="9"/>
      <c r="Q10" s="9"/>
      <c r="R10" s="9"/>
      <c r="S10" s="9"/>
      <c r="T10" s="9"/>
      <c r="U10" s="9"/>
      <c r="V10" s="9"/>
      <c r="W10" s="9"/>
      <c r="X10" s="9"/>
      <c r="Y10" s="9"/>
      <c r="Z10" s="9"/>
      <c r="AA10" s="9"/>
      <c r="AB10" s="9"/>
      <c r="AC10" s="9"/>
      <c r="AD10" s="9"/>
      <c r="AE10" s="9"/>
      <c r="AF10" s="9"/>
      <c r="AG10" s="9"/>
      <c r="AH10" s="9"/>
    </row>
    <row r="11" spans="2:35" s="3" customFormat="1" ht="33" customHeight="1" x14ac:dyDescent="0.3">
      <c r="B11" s="7">
        <v>0.39583333333333331</v>
      </c>
      <c r="C11" s="10"/>
      <c r="D11" s="10"/>
      <c r="E11" s="10"/>
      <c r="F11" s="10"/>
      <c r="G11" s="10"/>
      <c r="H11" s="10"/>
      <c r="I11" s="10"/>
      <c r="J11" s="10"/>
      <c r="K11" s="10"/>
      <c r="L11" s="10"/>
      <c r="M11" s="10"/>
      <c r="N11" s="10"/>
      <c r="O11" s="10"/>
      <c r="P11" s="10"/>
      <c r="Q11" s="10"/>
      <c r="R11" s="10"/>
      <c r="S11" s="10"/>
      <c r="T11" s="10"/>
      <c r="U11" s="10"/>
      <c r="V11" s="10"/>
      <c r="W11" s="10"/>
      <c r="X11" s="10"/>
      <c r="Y11" s="10"/>
      <c r="Z11" s="10"/>
      <c r="AA11" s="10"/>
      <c r="AB11" s="10"/>
      <c r="AC11" s="10"/>
      <c r="AD11" s="10"/>
      <c r="AE11" s="10"/>
      <c r="AF11" s="10"/>
      <c r="AG11" s="10"/>
      <c r="AH11" s="10"/>
    </row>
    <row r="12" spans="2:35" s="3" customFormat="1" ht="33" customHeight="1" x14ac:dyDescent="0.3">
      <c r="B12" s="7">
        <v>0.47916666666666669</v>
      </c>
      <c r="C12" s="10"/>
      <c r="D12" s="10"/>
      <c r="E12" s="10"/>
      <c r="F12" s="10"/>
      <c r="G12" s="10"/>
      <c r="H12" s="10"/>
      <c r="I12" s="10"/>
      <c r="J12" s="10"/>
      <c r="K12" s="10"/>
      <c r="L12" s="10"/>
      <c r="M12" s="10"/>
      <c r="N12" s="10"/>
      <c r="O12" s="10"/>
      <c r="P12" s="10"/>
      <c r="Q12" s="10"/>
      <c r="R12" s="10"/>
      <c r="S12" s="10"/>
      <c r="T12" s="10"/>
      <c r="U12" s="10"/>
      <c r="V12" s="10"/>
      <c r="W12" s="10"/>
      <c r="X12" s="10"/>
      <c r="Y12" s="10"/>
      <c r="Z12" s="10"/>
      <c r="AA12" s="10"/>
      <c r="AB12" s="10"/>
      <c r="AC12" s="10"/>
      <c r="AD12" s="10"/>
      <c r="AE12" s="10"/>
      <c r="AF12" s="10"/>
      <c r="AG12" s="10"/>
      <c r="AH12" s="10"/>
    </row>
    <row r="13" spans="2:35" s="3" customFormat="1" ht="33" customHeight="1" x14ac:dyDescent="0.3">
      <c r="B13" s="7">
        <v>0.5625</v>
      </c>
      <c r="C13" s="10"/>
      <c r="D13" s="10"/>
      <c r="E13" s="10"/>
      <c r="F13" s="10"/>
      <c r="G13" s="10"/>
      <c r="H13" s="10"/>
      <c r="I13" s="10"/>
      <c r="J13" s="10"/>
      <c r="K13" s="10"/>
      <c r="L13" s="10"/>
      <c r="M13" s="10"/>
      <c r="N13" s="10"/>
      <c r="O13" s="10"/>
      <c r="P13" s="10"/>
      <c r="Q13" s="10"/>
      <c r="R13" s="10"/>
      <c r="S13" s="10"/>
      <c r="T13" s="10"/>
      <c r="U13" s="10"/>
      <c r="V13" s="10"/>
      <c r="W13" s="10"/>
      <c r="X13" s="10"/>
      <c r="Y13" s="10"/>
      <c r="Z13" s="10"/>
      <c r="AA13" s="10"/>
      <c r="AB13" s="10"/>
      <c r="AC13" s="10"/>
      <c r="AD13" s="10"/>
      <c r="AE13" s="10"/>
      <c r="AF13" s="10"/>
      <c r="AG13" s="10"/>
      <c r="AH13" s="10"/>
    </row>
    <row r="14" spans="2:35" s="3" customFormat="1" ht="33" customHeight="1" x14ac:dyDescent="0.3">
      <c r="B14" s="7">
        <v>0.64583333333333337</v>
      </c>
      <c r="C14" s="10"/>
      <c r="D14" s="10"/>
      <c r="E14" s="10"/>
      <c r="F14" s="10"/>
      <c r="G14" s="10"/>
      <c r="H14" s="10"/>
      <c r="I14" s="10"/>
      <c r="J14" s="10"/>
      <c r="K14" s="10"/>
      <c r="L14" s="10"/>
      <c r="M14" s="10"/>
      <c r="N14" s="10"/>
      <c r="O14" s="10"/>
      <c r="P14" s="10"/>
      <c r="Q14" s="10"/>
      <c r="R14" s="10"/>
      <c r="S14" s="10"/>
      <c r="T14" s="10"/>
      <c r="U14" s="10"/>
      <c r="V14" s="10"/>
      <c r="W14" s="10"/>
      <c r="X14" s="10"/>
      <c r="Y14" s="10"/>
      <c r="Z14" s="10"/>
      <c r="AA14" s="10"/>
      <c r="AB14" s="10"/>
      <c r="AC14" s="10"/>
      <c r="AD14" s="10"/>
      <c r="AE14" s="10"/>
      <c r="AF14" s="10"/>
      <c r="AG14" s="10"/>
      <c r="AH14" s="10"/>
    </row>
    <row r="15" spans="2:35" s="3" customFormat="1" ht="33" customHeight="1" x14ac:dyDescent="0.3">
      <c r="B15" s="7">
        <v>0.72916666666666663</v>
      </c>
      <c r="C15" s="10"/>
      <c r="D15" s="10"/>
      <c r="E15" s="10"/>
      <c r="F15" s="10"/>
      <c r="G15" s="10"/>
      <c r="H15" s="10"/>
      <c r="I15" s="10"/>
      <c r="J15" s="10"/>
      <c r="K15" s="10"/>
      <c r="L15" s="10"/>
      <c r="M15" s="10"/>
      <c r="N15" s="10"/>
      <c r="O15" s="10"/>
      <c r="P15" s="10"/>
      <c r="Q15" s="10"/>
      <c r="R15" s="10"/>
      <c r="S15" s="10"/>
      <c r="T15" s="10"/>
      <c r="U15" s="10"/>
      <c r="V15" s="10"/>
      <c r="W15" s="10"/>
      <c r="X15" s="10"/>
      <c r="Y15" s="10"/>
      <c r="Z15" s="10"/>
      <c r="AA15" s="10"/>
      <c r="AB15" s="10"/>
      <c r="AC15" s="10"/>
      <c r="AD15" s="10"/>
      <c r="AE15" s="10"/>
      <c r="AF15" s="10"/>
      <c r="AG15" s="10"/>
      <c r="AH15" s="10"/>
    </row>
    <row r="16" spans="2:35" s="3" customFormat="1" ht="33" customHeight="1" x14ac:dyDescent="0.3">
      <c r="B16" s="7">
        <v>0.8125</v>
      </c>
      <c r="C16" s="10"/>
      <c r="D16" s="10"/>
      <c r="E16" s="10"/>
      <c r="F16" s="10"/>
      <c r="G16" s="10"/>
      <c r="H16" s="10"/>
      <c r="I16" s="10"/>
      <c r="J16" s="10"/>
      <c r="K16" s="10"/>
      <c r="L16" s="10"/>
      <c r="M16" s="10"/>
      <c r="N16" s="10"/>
      <c r="O16" s="10"/>
      <c r="P16" s="10"/>
      <c r="Q16" s="10"/>
      <c r="R16" s="10"/>
      <c r="S16" s="10"/>
      <c r="T16" s="10"/>
      <c r="U16" s="10"/>
      <c r="V16" s="10"/>
      <c r="W16" s="10"/>
      <c r="X16" s="10"/>
      <c r="Y16" s="10"/>
      <c r="Z16" s="10"/>
      <c r="AA16" s="10"/>
      <c r="AB16" s="10"/>
      <c r="AC16" s="10"/>
      <c r="AD16" s="10"/>
      <c r="AE16" s="10"/>
      <c r="AF16" s="10"/>
      <c r="AG16" s="10"/>
      <c r="AH16" s="10"/>
    </row>
    <row r="17" spans="2:34" s="3" customFormat="1" ht="33" customHeight="1" x14ac:dyDescent="0.3">
      <c r="B17" s="7">
        <v>0.89583333333333337</v>
      </c>
      <c r="C17" s="10"/>
      <c r="D17" s="10"/>
      <c r="E17" s="10"/>
      <c r="F17" s="10"/>
      <c r="G17" s="10"/>
      <c r="H17" s="10"/>
      <c r="I17" s="10"/>
      <c r="J17" s="10"/>
      <c r="K17" s="10"/>
      <c r="L17" s="10"/>
      <c r="M17" s="10"/>
      <c r="N17" s="10"/>
      <c r="O17" s="10"/>
      <c r="P17" s="10"/>
      <c r="Q17" s="10"/>
      <c r="R17" s="10"/>
      <c r="S17" s="10"/>
      <c r="T17" s="10"/>
      <c r="U17" s="10"/>
      <c r="V17" s="10"/>
      <c r="W17" s="10"/>
      <c r="X17" s="10"/>
      <c r="Y17" s="10"/>
      <c r="Z17" s="10"/>
      <c r="AA17" s="10"/>
      <c r="AB17" s="10"/>
      <c r="AC17" s="10"/>
      <c r="AD17" s="10"/>
      <c r="AE17" s="10"/>
      <c r="AF17" s="10"/>
      <c r="AG17" s="10"/>
      <c r="AH17" s="10"/>
    </row>
    <row r="18" spans="2:34" s="3" customFormat="1" ht="33" customHeight="1" x14ac:dyDescent="0.3">
      <c r="B18" s="7">
        <v>0.97916666666666663</v>
      </c>
      <c r="C18" s="10"/>
      <c r="D18" s="10"/>
      <c r="E18" s="10"/>
      <c r="F18" s="10"/>
      <c r="G18" s="10"/>
      <c r="H18" s="10"/>
      <c r="I18" s="10"/>
      <c r="J18" s="10"/>
      <c r="K18" s="10"/>
      <c r="L18" s="10"/>
      <c r="M18" s="10"/>
      <c r="N18" s="10"/>
      <c r="O18" s="10"/>
      <c r="P18" s="10"/>
      <c r="Q18" s="10"/>
      <c r="R18" s="10"/>
      <c r="S18" s="10"/>
      <c r="T18" s="10"/>
      <c r="U18" s="10"/>
      <c r="V18" s="10"/>
      <c r="W18" s="10"/>
      <c r="X18" s="10"/>
      <c r="Y18" s="10"/>
      <c r="Z18" s="10"/>
      <c r="AA18" s="10"/>
      <c r="AB18" s="10"/>
      <c r="AC18" s="10"/>
      <c r="AD18" s="10"/>
      <c r="AE18" s="10"/>
      <c r="AF18" s="10"/>
      <c r="AG18" s="10"/>
      <c r="AH18" s="10"/>
    </row>
    <row r="19" spans="2:34" s="3" customFormat="1" ht="33" customHeight="1" x14ac:dyDescent="0.3">
      <c r="B19" s="7">
        <v>6.25E-2</v>
      </c>
      <c r="C19" s="10"/>
      <c r="D19" s="10"/>
      <c r="E19" s="10"/>
      <c r="F19" s="10"/>
      <c r="G19" s="10"/>
      <c r="H19" s="10"/>
      <c r="I19" s="10"/>
      <c r="J19" s="10"/>
      <c r="K19" s="10"/>
      <c r="L19" s="10"/>
      <c r="M19" s="10"/>
      <c r="N19" s="10"/>
      <c r="O19" s="10"/>
      <c r="P19" s="10"/>
      <c r="Q19" s="10"/>
      <c r="R19" s="10"/>
      <c r="S19" s="10"/>
      <c r="T19" s="10"/>
      <c r="U19" s="10"/>
      <c r="V19" s="10"/>
      <c r="W19" s="10"/>
      <c r="X19" s="10"/>
      <c r="Y19" s="10"/>
      <c r="Z19" s="10"/>
      <c r="AA19" s="10"/>
      <c r="AB19" s="10"/>
      <c r="AC19" s="10"/>
      <c r="AD19" s="10"/>
      <c r="AE19" s="10"/>
      <c r="AF19" s="10"/>
      <c r="AG19" s="10"/>
      <c r="AH19" s="10"/>
    </row>
    <row r="20" spans="2:34" s="3" customFormat="1" ht="33" customHeight="1" x14ac:dyDescent="0.3">
      <c r="B20" s="7">
        <v>0.14583333333333334</v>
      </c>
      <c r="C20" s="10"/>
      <c r="D20" s="10"/>
      <c r="E20" s="10"/>
      <c r="F20" s="10"/>
      <c r="G20" s="10"/>
      <c r="H20" s="10"/>
      <c r="I20" s="10"/>
      <c r="J20" s="10"/>
      <c r="K20" s="10"/>
      <c r="L20" s="10"/>
      <c r="M20" s="10"/>
      <c r="N20" s="10"/>
      <c r="O20" s="10"/>
      <c r="P20" s="10"/>
      <c r="Q20" s="10"/>
      <c r="R20" s="10"/>
      <c r="S20" s="10"/>
      <c r="T20" s="10"/>
      <c r="U20" s="10"/>
      <c r="V20" s="10"/>
      <c r="W20" s="10"/>
      <c r="X20" s="10"/>
      <c r="Y20" s="10"/>
      <c r="Z20" s="10"/>
      <c r="AA20" s="10"/>
      <c r="AB20" s="10"/>
      <c r="AC20" s="10"/>
      <c r="AD20" s="10"/>
      <c r="AE20" s="10"/>
      <c r="AF20" s="10"/>
      <c r="AG20" s="10"/>
      <c r="AH20" s="10"/>
    </row>
    <row r="21" spans="2:34" s="3" customFormat="1" ht="33" customHeight="1" thickBot="1" x14ac:dyDescent="0.35">
      <c r="B21" s="8">
        <v>0.22916666666666666</v>
      </c>
      <c r="C21" s="11"/>
      <c r="D21" s="11"/>
      <c r="E21" s="11"/>
      <c r="F21" s="11"/>
      <c r="G21" s="11"/>
      <c r="H21" s="11"/>
      <c r="I21" s="11"/>
      <c r="J21" s="11"/>
      <c r="K21" s="11"/>
      <c r="L21" s="11"/>
      <c r="M21" s="11"/>
      <c r="N21" s="11"/>
      <c r="O21" s="11"/>
      <c r="P21" s="11"/>
      <c r="Q21" s="11"/>
      <c r="R21" s="11"/>
      <c r="S21" s="11"/>
      <c r="T21" s="11"/>
      <c r="U21" s="11"/>
      <c r="V21" s="11"/>
      <c r="W21" s="11"/>
      <c r="X21" s="11"/>
      <c r="Y21" s="11"/>
      <c r="Z21" s="11"/>
      <c r="AA21" s="11"/>
      <c r="AB21" s="11"/>
      <c r="AC21" s="11"/>
      <c r="AD21" s="11"/>
      <c r="AE21" s="11"/>
      <c r="AF21" s="11"/>
      <c r="AG21" s="11"/>
      <c r="AH21" s="11"/>
    </row>
    <row r="23" spans="2:34" ht="27.75" customHeight="1" thickBot="1" x14ac:dyDescent="0.35">
      <c r="B23" s="12" t="s">
        <v>30</v>
      </c>
      <c r="C23" s="12"/>
      <c r="D23" s="12"/>
      <c r="E23" s="12"/>
      <c r="F23" s="12"/>
      <c r="G23" s="12"/>
      <c r="H23" s="12"/>
      <c r="I23" s="12"/>
      <c r="J23" s="12"/>
      <c r="K23" s="12"/>
      <c r="L23" s="12"/>
      <c r="M23" s="12"/>
      <c r="N23" s="12"/>
      <c r="O23" s="12"/>
      <c r="P23" s="12"/>
      <c r="Q23" s="12"/>
      <c r="R23" s="12"/>
      <c r="S23" s="12"/>
      <c r="T23" s="12"/>
      <c r="U23" s="12"/>
      <c r="V23" s="12"/>
      <c r="W23" s="12"/>
      <c r="X23" s="12"/>
      <c r="Y23" s="12"/>
      <c r="Z23" s="12"/>
      <c r="AA23" s="12"/>
      <c r="AB23" s="12"/>
      <c r="AC23" s="12"/>
      <c r="AD23" s="12"/>
      <c r="AE23" s="12"/>
      <c r="AF23" s="12"/>
      <c r="AG23" s="12"/>
      <c r="AH23" s="12"/>
    </row>
    <row r="24" spans="2:34" ht="27.75" customHeight="1" thickBot="1" x14ac:dyDescent="0.35">
      <c r="B24" s="13"/>
      <c r="C24" s="13"/>
      <c r="D24" s="13"/>
      <c r="E24" s="13"/>
      <c r="F24" s="13"/>
      <c r="G24" s="13"/>
      <c r="H24" s="13"/>
      <c r="I24" s="13"/>
      <c r="J24" s="13"/>
      <c r="K24" s="13"/>
      <c r="L24" s="13"/>
      <c r="M24" s="13"/>
      <c r="N24" s="13"/>
      <c r="O24" s="13"/>
      <c r="P24" s="13"/>
      <c r="Q24" s="13"/>
      <c r="R24" s="13"/>
      <c r="S24" s="13"/>
      <c r="T24" s="13"/>
      <c r="U24" s="13"/>
      <c r="V24" s="13"/>
      <c r="W24" s="13"/>
      <c r="X24" s="13"/>
      <c r="Y24" s="13"/>
      <c r="Z24" s="13"/>
      <c r="AA24" s="13"/>
      <c r="AB24" s="13"/>
      <c r="AC24" s="13"/>
      <c r="AD24" s="13"/>
      <c r="AE24" s="13"/>
      <c r="AF24" s="13"/>
      <c r="AG24" s="13"/>
      <c r="AH24" s="13"/>
    </row>
    <row r="25" spans="2:34" ht="27.75" customHeight="1" thickBot="1" x14ac:dyDescent="0.35">
      <c r="B25" s="13"/>
      <c r="C25" s="13"/>
      <c r="D25" s="13"/>
      <c r="E25" s="13"/>
      <c r="F25" s="13"/>
      <c r="G25" s="13"/>
      <c r="H25" s="13"/>
      <c r="I25" s="13"/>
      <c r="J25" s="13"/>
      <c r="K25" s="13"/>
      <c r="L25" s="13"/>
      <c r="M25" s="13"/>
      <c r="N25" s="13"/>
      <c r="O25" s="13"/>
      <c r="P25" s="13"/>
      <c r="Q25" s="13"/>
      <c r="R25" s="13"/>
      <c r="S25" s="13"/>
      <c r="T25" s="13"/>
      <c r="U25" s="13"/>
      <c r="V25" s="13"/>
      <c r="W25" s="13"/>
      <c r="X25" s="13"/>
      <c r="Y25" s="13"/>
      <c r="Z25" s="13"/>
      <c r="AA25" s="13"/>
      <c r="AB25" s="13"/>
      <c r="AC25" s="13"/>
      <c r="AD25" s="13"/>
      <c r="AE25" s="13"/>
      <c r="AF25" s="13"/>
      <c r="AG25" s="13"/>
      <c r="AH25" s="13"/>
    </row>
    <row r="26" spans="2:34" ht="27.75" customHeight="1" thickBot="1" x14ac:dyDescent="0.35">
      <c r="B26" s="13"/>
      <c r="C26" s="13"/>
      <c r="D26" s="13"/>
      <c r="E26" s="13"/>
      <c r="F26" s="13"/>
      <c r="G26" s="13"/>
      <c r="H26" s="13"/>
      <c r="I26" s="13"/>
      <c r="J26" s="13"/>
      <c r="K26" s="13"/>
      <c r="L26" s="13"/>
      <c r="M26" s="13"/>
      <c r="N26" s="13"/>
      <c r="O26" s="13"/>
      <c r="P26" s="13"/>
      <c r="Q26" s="13"/>
      <c r="R26" s="13"/>
      <c r="S26" s="13"/>
      <c r="T26" s="13"/>
      <c r="U26" s="13"/>
      <c r="V26" s="13"/>
      <c r="W26" s="13"/>
      <c r="X26" s="13"/>
      <c r="Y26" s="13"/>
      <c r="Z26" s="13"/>
      <c r="AA26" s="13"/>
      <c r="AB26" s="13"/>
      <c r="AC26" s="13"/>
      <c r="AD26" s="13"/>
      <c r="AE26" s="13"/>
      <c r="AF26" s="13"/>
      <c r="AG26" s="13"/>
      <c r="AH26" s="13"/>
    </row>
    <row r="27" spans="2:34" ht="27.75" customHeight="1" thickBot="1" x14ac:dyDescent="0.35">
      <c r="B27" s="13"/>
      <c r="C27" s="13"/>
      <c r="D27" s="13"/>
      <c r="E27" s="13"/>
      <c r="F27" s="13"/>
      <c r="G27" s="13"/>
      <c r="H27" s="13"/>
      <c r="I27" s="13"/>
      <c r="J27" s="13"/>
      <c r="K27" s="13"/>
      <c r="L27" s="13"/>
      <c r="M27" s="13"/>
      <c r="N27" s="13"/>
      <c r="O27" s="13"/>
      <c r="P27" s="13"/>
      <c r="Q27" s="13"/>
      <c r="R27" s="13"/>
      <c r="S27" s="13"/>
      <c r="T27" s="13"/>
      <c r="U27" s="13"/>
      <c r="V27" s="13"/>
      <c r="W27" s="13"/>
      <c r="X27" s="13"/>
      <c r="Y27" s="13"/>
      <c r="Z27" s="13"/>
      <c r="AA27" s="13"/>
      <c r="AB27" s="13"/>
      <c r="AC27" s="13"/>
      <c r="AD27" s="13"/>
      <c r="AE27" s="13"/>
      <c r="AF27" s="13"/>
      <c r="AG27" s="13"/>
      <c r="AH27" s="13"/>
    </row>
    <row r="28" spans="2:34" x14ac:dyDescent="0.3">
      <c r="B28" s="14"/>
      <c r="C28" s="14"/>
      <c r="D28" s="14"/>
      <c r="E28" s="14"/>
      <c r="F28" s="14"/>
      <c r="G28" s="14"/>
      <c r="H28" s="14"/>
      <c r="I28" s="14"/>
      <c r="J28" s="14"/>
      <c r="K28" s="14"/>
      <c r="L28" s="14"/>
      <c r="M28" s="14"/>
      <c r="N28" s="14"/>
      <c r="O28" s="14"/>
      <c r="P28" s="14"/>
      <c r="Q28" s="14"/>
      <c r="R28" s="14"/>
      <c r="S28" s="14"/>
      <c r="T28" s="14"/>
      <c r="U28" s="14"/>
      <c r="V28" s="14"/>
      <c r="W28" s="14"/>
      <c r="X28" s="14"/>
      <c r="Y28" s="14"/>
      <c r="Z28" s="14"/>
      <c r="AA28" s="14"/>
      <c r="AB28" s="14"/>
      <c r="AC28" s="14"/>
      <c r="AD28" s="14"/>
      <c r="AE28" s="14"/>
      <c r="AF28" s="14"/>
      <c r="AG28" s="14"/>
      <c r="AH28" s="14"/>
    </row>
  </sheetData>
  <mergeCells count="6">
    <mergeCell ref="AA8:AH8"/>
    <mergeCell ref="C8:F8"/>
    <mergeCell ref="G8:H8"/>
    <mergeCell ref="J8:L8"/>
    <mergeCell ref="M8:R8"/>
    <mergeCell ref="S8:Z8"/>
  </mergeCells>
  <printOptions horizontalCentered="1"/>
  <pageMargins left="0.31496062992125984" right="0.31496062992125984" top="0.74803149606299213" bottom="0.74803149606299213" header="0.31496062992125984" footer="0.31496062992125984"/>
  <pageSetup paperSize="9" scale="57" orientation="landscape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B2:AH28"/>
  <sheetViews>
    <sheetView view="pageBreakPreview" zoomScaleNormal="100" zoomScaleSheetLayoutView="100" workbookViewId="0"/>
  </sheetViews>
  <sheetFormatPr defaultRowHeight="14.4" x14ac:dyDescent="0.3"/>
  <cols>
    <col min="1" max="1" width="3" customWidth="1"/>
    <col min="3" max="8" width="7.6640625" customWidth="1"/>
    <col min="9" max="17" width="7.21875" customWidth="1"/>
    <col min="18" max="19" width="5.6640625" customWidth="1"/>
    <col min="20" max="21" width="7.44140625" customWidth="1"/>
    <col min="22" max="25" width="7.21875" customWidth="1"/>
    <col min="26" max="27" width="5.6640625" customWidth="1"/>
    <col min="28" max="29" width="7.44140625" customWidth="1"/>
    <col min="30" max="33" width="7.21875" customWidth="1"/>
    <col min="34" max="34" width="3.109375" customWidth="1"/>
  </cols>
  <sheetData>
    <row r="2" spans="2:34" ht="18" x14ac:dyDescent="0.35">
      <c r="B2" s="24" t="s">
        <v>2</v>
      </c>
    </row>
    <row r="3" spans="2:34" ht="15.6" x14ac:dyDescent="0.35">
      <c r="B3" s="23" t="s">
        <v>64</v>
      </c>
    </row>
    <row r="4" spans="2:34" x14ac:dyDescent="0.3">
      <c r="B4" t="s">
        <v>65</v>
      </c>
    </row>
    <row r="5" spans="2:34" x14ac:dyDescent="0.3">
      <c r="B5" t="s">
        <v>5</v>
      </c>
      <c r="C5" s="21"/>
      <c r="E5" s="20" t="s">
        <v>48</v>
      </c>
      <c r="F5" s="21"/>
      <c r="G5" s="21"/>
      <c r="H5" s="21"/>
      <c r="I5" s="21"/>
      <c r="J5" s="21"/>
      <c r="K5" s="21"/>
      <c r="L5" s="21"/>
    </row>
    <row r="6" spans="2:34" x14ac:dyDescent="0.3">
      <c r="C6" s="22"/>
      <c r="E6" s="20" t="s">
        <v>49</v>
      </c>
      <c r="F6" s="22"/>
      <c r="G6" s="22"/>
      <c r="H6" s="22"/>
      <c r="I6" s="22"/>
      <c r="J6" s="22"/>
      <c r="K6" s="21"/>
      <c r="L6" s="21"/>
    </row>
    <row r="7" spans="2:34" ht="15" thickBot="1" x14ac:dyDescent="0.35"/>
    <row r="8" spans="2:34" ht="16.8" thickBot="1" x14ac:dyDescent="0.35">
      <c r="B8" s="2" t="s">
        <v>0</v>
      </c>
      <c r="C8" s="93" t="s">
        <v>8</v>
      </c>
      <c r="D8" s="93"/>
      <c r="E8" s="93"/>
      <c r="F8" s="93"/>
      <c r="G8" s="93" t="s">
        <v>25</v>
      </c>
      <c r="H8" s="93"/>
      <c r="I8" s="93" t="s">
        <v>62</v>
      </c>
      <c r="J8" s="93"/>
      <c r="K8" s="93"/>
      <c r="L8" s="90" t="s">
        <v>55</v>
      </c>
      <c r="M8" s="91"/>
      <c r="N8" s="91"/>
      <c r="O8" s="91"/>
      <c r="P8" s="91"/>
      <c r="Q8" s="92"/>
      <c r="R8" s="93" t="s">
        <v>28</v>
      </c>
      <c r="S8" s="93"/>
      <c r="T8" s="93"/>
      <c r="U8" s="93"/>
      <c r="V8" s="93"/>
      <c r="W8" s="93"/>
      <c r="X8" s="93"/>
      <c r="Y8" s="93"/>
      <c r="Z8" s="90" t="s">
        <v>29</v>
      </c>
      <c r="AA8" s="91"/>
      <c r="AB8" s="91"/>
      <c r="AC8" s="91"/>
      <c r="AD8" s="91"/>
      <c r="AE8" s="91"/>
      <c r="AF8" s="91"/>
      <c r="AG8" s="92"/>
    </row>
    <row r="9" spans="2:34" ht="43.8" thickBot="1" x14ac:dyDescent="0.35">
      <c r="B9" s="4"/>
      <c r="C9" s="5" t="s">
        <v>56</v>
      </c>
      <c r="D9" s="5" t="s">
        <v>57</v>
      </c>
      <c r="E9" s="5" t="s">
        <v>58</v>
      </c>
      <c r="F9" s="5" t="s">
        <v>59</v>
      </c>
      <c r="G9" s="5" t="s">
        <v>60</v>
      </c>
      <c r="H9" s="5" t="s">
        <v>61</v>
      </c>
      <c r="I9" s="5" t="s">
        <v>15</v>
      </c>
      <c r="J9" s="5" t="s">
        <v>16</v>
      </c>
      <c r="K9" s="5" t="s">
        <v>17</v>
      </c>
      <c r="L9" s="5" t="s">
        <v>52</v>
      </c>
      <c r="M9" s="5" t="s">
        <v>50</v>
      </c>
      <c r="N9" s="5" t="s">
        <v>51</v>
      </c>
      <c r="O9" s="5" t="s">
        <v>53</v>
      </c>
      <c r="P9" s="5" t="s">
        <v>63</v>
      </c>
      <c r="Q9" s="5" t="s">
        <v>54</v>
      </c>
      <c r="R9" s="5" t="s">
        <v>66</v>
      </c>
      <c r="S9" s="5" t="s">
        <v>67</v>
      </c>
      <c r="T9" s="5" t="s">
        <v>68</v>
      </c>
      <c r="U9" s="5" t="s">
        <v>69</v>
      </c>
      <c r="V9" s="5" t="s">
        <v>50</v>
      </c>
      <c r="W9" s="5" t="s">
        <v>63</v>
      </c>
      <c r="X9" s="5" t="s">
        <v>23</v>
      </c>
      <c r="Y9" s="5" t="s">
        <v>24</v>
      </c>
      <c r="Z9" s="5" t="s">
        <v>66</v>
      </c>
      <c r="AA9" s="5" t="s">
        <v>67</v>
      </c>
      <c r="AB9" s="5" t="s">
        <v>68</v>
      </c>
      <c r="AC9" s="5" t="s">
        <v>69</v>
      </c>
      <c r="AD9" s="5" t="s">
        <v>50</v>
      </c>
      <c r="AE9" s="5" t="s">
        <v>63</v>
      </c>
      <c r="AF9" s="5" t="s">
        <v>23</v>
      </c>
      <c r="AG9" s="5" t="s">
        <v>24</v>
      </c>
      <c r="AH9" s="1"/>
    </row>
    <row r="10" spans="2:34" s="3" customFormat="1" ht="33" customHeight="1" x14ac:dyDescent="0.3">
      <c r="B10" s="6">
        <v>0.3125</v>
      </c>
      <c r="C10" s="9"/>
      <c r="D10" s="9"/>
      <c r="E10" s="9"/>
      <c r="F10" s="9"/>
      <c r="G10" s="9"/>
      <c r="H10" s="9"/>
      <c r="I10" s="9"/>
      <c r="J10" s="9"/>
      <c r="K10" s="9"/>
      <c r="L10" s="9"/>
      <c r="M10" s="9"/>
      <c r="N10" s="9"/>
      <c r="O10" s="9"/>
      <c r="P10" s="9"/>
      <c r="Q10" s="9"/>
      <c r="R10" s="9"/>
      <c r="S10" s="9"/>
      <c r="T10" s="9"/>
      <c r="U10" s="9"/>
      <c r="V10" s="9"/>
      <c r="W10" s="9"/>
      <c r="X10" s="9"/>
      <c r="Y10" s="9"/>
      <c r="Z10" s="9"/>
      <c r="AA10" s="9"/>
      <c r="AB10" s="9"/>
      <c r="AC10" s="9"/>
      <c r="AD10" s="9"/>
      <c r="AE10" s="9"/>
      <c r="AF10" s="9"/>
      <c r="AG10" s="9"/>
    </row>
    <row r="11" spans="2:34" s="3" customFormat="1" ht="33" customHeight="1" x14ac:dyDescent="0.3">
      <c r="B11" s="7">
        <v>0.39583333333333331</v>
      </c>
      <c r="C11" s="10"/>
      <c r="D11" s="10"/>
      <c r="E11" s="10"/>
      <c r="F11" s="10"/>
      <c r="G11" s="10"/>
      <c r="H11" s="10"/>
      <c r="I11" s="10"/>
      <c r="J11" s="10"/>
      <c r="K11" s="10"/>
      <c r="L11" s="10"/>
      <c r="M11" s="10"/>
      <c r="N11" s="10"/>
      <c r="O11" s="10"/>
      <c r="P11" s="10"/>
      <c r="Q11" s="10"/>
      <c r="R11" s="10"/>
      <c r="S11" s="10"/>
      <c r="T11" s="10"/>
      <c r="U11" s="10"/>
      <c r="V11" s="10"/>
      <c r="W11" s="10"/>
      <c r="X11" s="10"/>
      <c r="Y11" s="10"/>
      <c r="Z11" s="10"/>
      <c r="AA11" s="10"/>
      <c r="AB11" s="10"/>
      <c r="AC11" s="10"/>
      <c r="AD11" s="10"/>
      <c r="AE11" s="10"/>
      <c r="AF11" s="10"/>
      <c r="AG11" s="10"/>
    </row>
    <row r="12" spans="2:34" s="3" customFormat="1" ht="33" customHeight="1" x14ac:dyDescent="0.3">
      <c r="B12" s="7">
        <v>0.47916666666666669</v>
      </c>
      <c r="C12" s="10"/>
      <c r="D12" s="10"/>
      <c r="E12" s="10"/>
      <c r="F12" s="10"/>
      <c r="G12" s="10"/>
      <c r="H12" s="10"/>
      <c r="I12" s="10"/>
      <c r="J12" s="10"/>
      <c r="K12" s="10"/>
      <c r="L12" s="10"/>
      <c r="M12" s="10"/>
      <c r="N12" s="10"/>
      <c r="O12" s="10"/>
      <c r="P12" s="10"/>
      <c r="Q12" s="10"/>
      <c r="R12" s="10"/>
      <c r="S12" s="10"/>
      <c r="T12" s="10"/>
      <c r="U12" s="10"/>
      <c r="V12" s="10"/>
      <c r="W12" s="10"/>
      <c r="X12" s="10"/>
      <c r="Y12" s="10"/>
      <c r="Z12" s="10"/>
      <c r="AA12" s="10"/>
      <c r="AB12" s="10"/>
      <c r="AC12" s="10"/>
      <c r="AD12" s="10"/>
      <c r="AE12" s="10"/>
      <c r="AF12" s="10"/>
      <c r="AG12" s="10"/>
    </row>
    <row r="13" spans="2:34" s="3" customFormat="1" ht="33" customHeight="1" x14ac:dyDescent="0.3">
      <c r="B13" s="7">
        <v>0.5625</v>
      </c>
      <c r="C13" s="10"/>
      <c r="D13" s="10"/>
      <c r="E13" s="10"/>
      <c r="F13" s="10"/>
      <c r="G13" s="10"/>
      <c r="H13" s="10"/>
      <c r="I13" s="10"/>
      <c r="J13" s="10"/>
      <c r="K13" s="10"/>
      <c r="L13" s="10"/>
      <c r="M13" s="10"/>
      <c r="N13" s="10"/>
      <c r="O13" s="10"/>
      <c r="P13" s="10"/>
      <c r="Q13" s="10"/>
      <c r="R13" s="10"/>
      <c r="S13" s="10"/>
      <c r="T13" s="10"/>
      <c r="U13" s="10"/>
      <c r="V13" s="10"/>
      <c r="W13" s="10"/>
      <c r="X13" s="10"/>
      <c r="Y13" s="10"/>
      <c r="Z13" s="10"/>
      <c r="AA13" s="10"/>
      <c r="AB13" s="10"/>
      <c r="AC13" s="10"/>
      <c r="AD13" s="10"/>
      <c r="AE13" s="10"/>
      <c r="AF13" s="10"/>
      <c r="AG13" s="10"/>
    </row>
    <row r="14" spans="2:34" s="3" customFormat="1" ht="33" customHeight="1" x14ac:dyDescent="0.3">
      <c r="B14" s="7">
        <v>0.64583333333333337</v>
      </c>
      <c r="C14" s="10"/>
      <c r="D14" s="10"/>
      <c r="E14" s="10"/>
      <c r="F14" s="10"/>
      <c r="G14" s="10"/>
      <c r="H14" s="10"/>
      <c r="I14" s="10"/>
      <c r="J14" s="10"/>
      <c r="K14" s="10"/>
      <c r="L14" s="10"/>
      <c r="M14" s="10"/>
      <c r="N14" s="10"/>
      <c r="O14" s="10"/>
      <c r="P14" s="10"/>
      <c r="Q14" s="10"/>
      <c r="R14" s="10"/>
      <c r="S14" s="10"/>
      <c r="T14" s="10"/>
      <c r="U14" s="10"/>
      <c r="V14" s="10"/>
      <c r="W14" s="10"/>
      <c r="X14" s="10"/>
      <c r="Y14" s="10"/>
      <c r="Z14" s="10"/>
      <c r="AA14" s="10"/>
      <c r="AB14" s="10"/>
      <c r="AC14" s="10"/>
      <c r="AD14" s="10"/>
      <c r="AE14" s="10"/>
      <c r="AF14" s="10"/>
      <c r="AG14" s="10"/>
    </row>
    <row r="15" spans="2:34" s="3" customFormat="1" ht="33" customHeight="1" x14ac:dyDescent="0.3">
      <c r="B15" s="7">
        <v>0.72916666666666663</v>
      </c>
      <c r="C15" s="10"/>
      <c r="D15" s="10"/>
      <c r="E15" s="10"/>
      <c r="F15" s="10"/>
      <c r="G15" s="10"/>
      <c r="H15" s="10"/>
      <c r="I15" s="10"/>
      <c r="J15" s="10"/>
      <c r="K15" s="10"/>
      <c r="L15" s="10"/>
      <c r="M15" s="10"/>
      <c r="N15" s="10"/>
      <c r="O15" s="10"/>
      <c r="P15" s="10"/>
      <c r="Q15" s="10"/>
      <c r="R15" s="10"/>
      <c r="S15" s="10"/>
      <c r="T15" s="10"/>
      <c r="U15" s="10"/>
      <c r="V15" s="10"/>
      <c r="W15" s="10"/>
      <c r="X15" s="10"/>
      <c r="Y15" s="10"/>
      <c r="Z15" s="10"/>
      <c r="AA15" s="10"/>
      <c r="AB15" s="10"/>
      <c r="AC15" s="10"/>
      <c r="AD15" s="10"/>
      <c r="AE15" s="10"/>
      <c r="AF15" s="10"/>
      <c r="AG15" s="10"/>
    </row>
    <row r="16" spans="2:34" s="3" customFormat="1" ht="33" customHeight="1" x14ac:dyDescent="0.3">
      <c r="B16" s="7">
        <v>0.8125</v>
      </c>
      <c r="C16" s="10"/>
      <c r="D16" s="10"/>
      <c r="E16" s="10"/>
      <c r="F16" s="10"/>
      <c r="G16" s="10"/>
      <c r="H16" s="10"/>
      <c r="I16" s="10"/>
      <c r="J16" s="10"/>
      <c r="K16" s="10"/>
      <c r="L16" s="10"/>
      <c r="M16" s="10"/>
      <c r="N16" s="10"/>
      <c r="O16" s="10"/>
      <c r="P16" s="10"/>
      <c r="Q16" s="10"/>
      <c r="R16" s="10"/>
      <c r="S16" s="10"/>
      <c r="T16" s="10"/>
      <c r="U16" s="10"/>
      <c r="V16" s="10"/>
      <c r="W16" s="10"/>
      <c r="X16" s="10"/>
      <c r="Y16" s="10"/>
      <c r="Z16" s="10"/>
      <c r="AA16" s="10"/>
      <c r="AB16" s="10"/>
      <c r="AC16" s="10"/>
      <c r="AD16" s="10"/>
      <c r="AE16" s="10"/>
      <c r="AF16" s="10"/>
      <c r="AG16" s="10"/>
    </row>
    <row r="17" spans="2:33" s="3" customFormat="1" ht="33" customHeight="1" x14ac:dyDescent="0.3">
      <c r="B17" s="7">
        <v>0.89583333333333337</v>
      </c>
      <c r="C17" s="10"/>
      <c r="D17" s="10"/>
      <c r="E17" s="10"/>
      <c r="F17" s="10"/>
      <c r="G17" s="10"/>
      <c r="H17" s="10"/>
      <c r="I17" s="10"/>
      <c r="J17" s="10"/>
      <c r="K17" s="10"/>
      <c r="L17" s="10"/>
      <c r="M17" s="10"/>
      <c r="N17" s="10"/>
      <c r="O17" s="10"/>
      <c r="P17" s="10"/>
      <c r="Q17" s="10"/>
      <c r="R17" s="10"/>
      <c r="S17" s="10"/>
      <c r="T17" s="10"/>
      <c r="U17" s="10"/>
      <c r="V17" s="10"/>
      <c r="W17" s="10"/>
      <c r="X17" s="10"/>
      <c r="Y17" s="10"/>
      <c r="Z17" s="10"/>
      <c r="AA17" s="10"/>
      <c r="AB17" s="10"/>
      <c r="AC17" s="10"/>
      <c r="AD17" s="10"/>
      <c r="AE17" s="10"/>
      <c r="AF17" s="10"/>
      <c r="AG17" s="10"/>
    </row>
    <row r="18" spans="2:33" s="3" customFormat="1" ht="33" customHeight="1" x14ac:dyDescent="0.3">
      <c r="B18" s="7">
        <v>0.97916666666666663</v>
      </c>
      <c r="C18" s="10"/>
      <c r="D18" s="10"/>
      <c r="E18" s="10"/>
      <c r="F18" s="10"/>
      <c r="G18" s="10"/>
      <c r="H18" s="10"/>
      <c r="I18" s="10"/>
      <c r="J18" s="10"/>
      <c r="K18" s="10"/>
      <c r="L18" s="10"/>
      <c r="M18" s="10"/>
      <c r="N18" s="10"/>
      <c r="O18" s="10"/>
      <c r="P18" s="10"/>
      <c r="Q18" s="10"/>
      <c r="R18" s="10"/>
      <c r="S18" s="10"/>
      <c r="T18" s="10"/>
      <c r="U18" s="10"/>
      <c r="V18" s="10"/>
      <c r="W18" s="10"/>
      <c r="X18" s="10"/>
      <c r="Y18" s="10"/>
      <c r="Z18" s="10"/>
      <c r="AA18" s="10"/>
      <c r="AB18" s="10"/>
      <c r="AC18" s="10"/>
      <c r="AD18" s="10"/>
      <c r="AE18" s="10"/>
      <c r="AF18" s="10"/>
      <c r="AG18" s="10"/>
    </row>
    <row r="19" spans="2:33" s="3" customFormat="1" ht="33" customHeight="1" x14ac:dyDescent="0.3">
      <c r="B19" s="7">
        <v>6.25E-2</v>
      </c>
      <c r="C19" s="10"/>
      <c r="D19" s="10"/>
      <c r="E19" s="10"/>
      <c r="F19" s="10"/>
      <c r="G19" s="10"/>
      <c r="H19" s="10"/>
      <c r="I19" s="10"/>
      <c r="J19" s="10"/>
      <c r="K19" s="10"/>
      <c r="L19" s="10"/>
      <c r="M19" s="10"/>
      <c r="N19" s="10"/>
      <c r="O19" s="10"/>
      <c r="P19" s="10"/>
      <c r="Q19" s="10"/>
      <c r="R19" s="10"/>
      <c r="S19" s="10"/>
      <c r="T19" s="10"/>
      <c r="U19" s="10"/>
      <c r="V19" s="10"/>
      <c r="W19" s="10"/>
      <c r="X19" s="10"/>
      <c r="Y19" s="10"/>
      <c r="Z19" s="10"/>
      <c r="AA19" s="10"/>
      <c r="AB19" s="10"/>
      <c r="AC19" s="10"/>
      <c r="AD19" s="10"/>
      <c r="AE19" s="10"/>
      <c r="AF19" s="10"/>
      <c r="AG19" s="10"/>
    </row>
    <row r="20" spans="2:33" s="3" customFormat="1" ht="33" customHeight="1" x14ac:dyDescent="0.3">
      <c r="B20" s="7">
        <v>0.14583333333333334</v>
      </c>
      <c r="C20" s="10"/>
      <c r="D20" s="10"/>
      <c r="E20" s="10"/>
      <c r="F20" s="10"/>
      <c r="G20" s="10"/>
      <c r="H20" s="10"/>
      <c r="I20" s="10"/>
      <c r="J20" s="10"/>
      <c r="K20" s="10"/>
      <c r="L20" s="10"/>
      <c r="M20" s="10"/>
      <c r="N20" s="10"/>
      <c r="O20" s="10"/>
      <c r="P20" s="10"/>
      <c r="Q20" s="10"/>
      <c r="R20" s="10"/>
      <c r="S20" s="10"/>
      <c r="T20" s="10"/>
      <c r="U20" s="10"/>
      <c r="V20" s="10"/>
      <c r="W20" s="10"/>
      <c r="X20" s="10"/>
      <c r="Y20" s="10"/>
      <c r="Z20" s="10"/>
      <c r="AA20" s="10"/>
      <c r="AB20" s="10"/>
      <c r="AC20" s="10"/>
      <c r="AD20" s="10"/>
      <c r="AE20" s="10"/>
      <c r="AF20" s="10"/>
      <c r="AG20" s="10"/>
    </row>
    <row r="21" spans="2:33" s="3" customFormat="1" ht="33" customHeight="1" thickBot="1" x14ac:dyDescent="0.35">
      <c r="B21" s="8">
        <v>0.22916666666666666</v>
      </c>
      <c r="C21" s="11"/>
      <c r="D21" s="11"/>
      <c r="E21" s="11"/>
      <c r="F21" s="11"/>
      <c r="G21" s="11"/>
      <c r="H21" s="11"/>
      <c r="I21" s="11"/>
      <c r="J21" s="11"/>
      <c r="K21" s="11"/>
      <c r="L21" s="11"/>
      <c r="M21" s="11"/>
      <c r="N21" s="11"/>
      <c r="O21" s="11"/>
      <c r="P21" s="11"/>
      <c r="Q21" s="11"/>
      <c r="R21" s="11"/>
      <c r="S21" s="11"/>
      <c r="T21" s="11"/>
      <c r="U21" s="11"/>
      <c r="V21" s="11"/>
      <c r="W21" s="11"/>
      <c r="X21" s="11"/>
      <c r="Y21" s="11"/>
      <c r="Z21" s="11"/>
      <c r="AA21" s="11"/>
      <c r="AB21" s="11"/>
      <c r="AC21" s="11"/>
      <c r="AD21" s="11"/>
      <c r="AE21" s="11"/>
      <c r="AF21" s="11"/>
      <c r="AG21" s="11"/>
    </row>
    <row r="23" spans="2:33" ht="27.75" customHeight="1" thickBot="1" x14ac:dyDescent="0.35">
      <c r="B23" s="12" t="s">
        <v>30</v>
      </c>
      <c r="C23" s="12"/>
      <c r="D23" s="12"/>
      <c r="E23" s="12"/>
      <c r="F23" s="12"/>
      <c r="G23" s="12"/>
      <c r="H23" s="12"/>
      <c r="I23" s="12"/>
      <c r="J23" s="12"/>
      <c r="K23" s="12"/>
      <c r="L23" s="12"/>
      <c r="M23" s="12"/>
      <c r="N23" s="12"/>
      <c r="O23" s="12"/>
      <c r="P23" s="12"/>
      <c r="Q23" s="12"/>
      <c r="R23" s="12"/>
      <c r="S23" s="12"/>
      <c r="T23" s="12"/>
      <c r="U23" s="12"/>
      <c r="V23" s="12"/>
      <c r="W23" s="12"/>
      <c r="X23" s="12"/>
      <c r="Y23" s="12"/>
      <c r="Z23" s="12"/>
      <c r="AA23" s="12"/>
      <c r="AB23" s="12"/>
      <c r="AC23" s="12"/>
      <c r="AD23" s="12"/>
      <c r="AE23" s="12"/>
      <c r="AF23" s="12"/>
      <c r="AG23" s="12"/>
    </row>
    <row r="24" spans="2:33" ht="27.75" customHeight="1" thickBot="1" x14ac:dyDescent="0.35">
      <c r="B24" s="13"/>
      <c r="C24" s="13"/>
      <c r="D24" s="13"/>
      <c r="E24" s="13"/>
      <c r="F24" s="13"/>
      <c r="G24" s="13"/>
      <c r="H24" s="13"/>
      <c r="I24" s="13"/>
      <c r="J24" s="13"/>
      <c r="K24" s="13"/>
      <c r="L24" s="13"/>
      <c r="M24" s="13"/>
      <c r="N24" s="13"/>
      <c r="O24" s="13"/>
      <c r="P24" s="13"/>
      <c r="Q24" s="13"/>
      <c r="R24" s="13"/>
      <c r="S24" s="13"/>
      <c r="T24" s="13"/>
      <c r="U24" s="13"/>
      <c r="V24" s="13"/>
      <c r="W24" s="13"/>
      <c r="X24" s="13"/>
      <c r="Y24" s="13"/>
      <c r="Z24" s="13"/>
      <c r="AA24" s="13"/>
      <c r="AB24" s="13"/>
      <c r="AC24" s="13"/>
      <c r="AD24" s="13"/>
      <c r="AE24" s="13"/>
      <c r="AF24" s="13"/>
      <c r="AG24" s="13"/>
    </row>
    <row r="25" spans="2:33" ht="27.75" customHeight="1" thickBot="1" x14ac:dyDescent="0.35">
      <c r="B25" s="13"/>
      <c r="C25" s="13"/>
      <c r="D25" s="13"/>
      <c r="E25" s="13"/>
      <c r="F25" s="13"/>
      <c r="G25" s="13"/>
      <c r="H25" s="13"/>
      <c r="I25" s="13"/>
      <c r="J25" s="13"/>
      <c r="K25" s="13"/>
      <c r="L25" s="13"/>
      <c r="M25" s="13"/>
      <c r="N25" s="13"/>
      <c r="O25" s="13"/>
      <c r="P25" s="13"/>
      <c r="Q25" s="13"/>
      <c r="R25" s="13"/>
      <c r="S25" s="13"/>
      <c r="T25" s="13"/>
      <c r="U25" s="13"/>
      <c r="V25" s="13"/>
      <c r="W25" s="13"/>
      <c r="X25" s="13"/>
      <c r="Y25" s="13"/>
      <c r="Z25" s="13"/>
      <c r="AA25" s="13"/>
      <c r="AB25" s="13"/>
      <c r="AC25" s="13"/>
      <c r="AD25" s="13"/>
      <c r="AE25" s="13"/>
      <c r="AF25" s="13"/>
      <c r="AG25" s="13"/>
    </row>
    <row r="26" spans="2:33" ht="27.75" customHeight="1" thickBot="1" x14ac:dyDescent="0.35">
      <c r="B26" s="13"/>
      <c r="C26" s="13"/>
      <c r="D26" s="13"/>
      <c r="E26" s="13"/>
      <c r="F26" s="13"/>
      <c r="G26" s="13"/>
      <c r="H26" s="13"/>
      <c r="I26" s="13"/>
      <c r="J26" s="13"/>
      <c r="K26" s="13"/>
      <c r="L26" s="13"/>
      <c r="M26" s="13"/>
      <c r="N26" s="13"/>
      <c r="O26" s="13"/>
      <c r="P26" s="13"/>
      <c r="Q26" s="13"/>
      <c r="R26" s="13"/>
      <c r="S26" s="13"/>
      <c r="T26" s="13"/>
      <c r="U26" s="13"/>
      <c r="V26" s="13"/>
      <c r="W26" s="13"/>
      <c r="X26" s="13"/>
      <c r="Y26" s="13"/>
      <c r="Z26" s="13"/>
      <c r="AA26" s="13"/>
      <c r="AB26" s="13"/>
      <c r="AC26" s="13"/>
      <c r="AD26" s="13"/>
      <c r="AE26" s="13"/>
      <c r="AF26" s="13"/>
      <c r="AG26" s="13"/>
    </row>
    <row r="27" spans="2:33" ht="27.75" customHeight="1" thickBot="1" x14ac:dyDescent="0.35">
      <c r="B27" s="13"/>
      <c r="C27" s="13"/>
      <c r="D27" s="13"/>
      <c r="E27" s="13"/>
      <c r="F27" s="13"/>
      <c r="G27" s="13"/>
      <c r="H27" s="13"/>
      <c r="I27" s="13"/>
      <c r="J27" s="13"/>
      <c r="K27" s="13"/>
      <c r="L27" s="13"/>
      <c r="M27" s="13"/>
      <c r="N27" s="13"/>
      <c r="O27" s="13"/>
      <c r="P27" s="13"/>
      <c r="Q27" s="13"/>
      <c r="R27" s="13"/>
      <c r="S27" s="13"/>
      <c r="T27" s="13"/>
      <c r="U27" s="13"/>
      <c r="V27" s="13"/>
      <c r="W27" s="13"/>
      <c r="X27" s="13"/>
      <c r="Y27" s="13"/>
      <c r="Z27" s="13"/>
      <c r="AA27" s="13"/>
      <c r="AB27" s="13"/>
      <c r="AC27" s="13"/>
      <c r="AD27" s="13"/>
      <c r="AE27" s="13"/>
      <c r="AF27" s="13"/>
      <c r="AG27" s="13"/>
    </row>
    <row r="28" spans="2:33" x14ac:dyDescent="0.3">
      <c r="B28" s="14"/>
      <c r="C28" s="14"/>
      <c r="D28" s="14"/>
      <c r="E28" s="14"/>
      <c r="F28" s="14"/>
      <c r="G28" s="14"/>
      <c r="H28" s="14"/>
      <c r="I28" s="14"/>
      <c r="J28" s="14"/>
      <c r="K28" s="14"/>
      <c r="L28" s="14"/>
      <c r="M28" s="14"/>
      <c r="N28" s="14"/>
      <c r="O28" s="14"/>
      <c r="P28" s="14"/>
      <c r="Q28" s="14"/>
      <c r="R28" s="14"/>
      <c r="S28" s="14"/>
      <c r="T28" s="14"/>
      <c r="U28" s="14"/>
      <c r="V28" s="14"/>
      <c r="W28" s="14"/>
      <c r="X28" s="14"/>
      <c r="Y28" s="14"/>
      <c r="Z28" s="14"/>
      <c r="AA28" s="14"/>
      <c r="AB28" s="14"/>
      <c r="AC28" s="14"/>
      <c r="AD28" s="14"/>
      <c r="AE28" s="14"/>
      <c r="AF28" s="14"/>
      <c r="AG28" s="14"/>
    </row>
  </sheetData>
  <mergeCells count="6">
    <mergeCell ref="Z8:AG8"/>
    <mergeCell ref="C8:F8"/>
    <mergeCell ref="G8:H8"/>
    <mergeCell ref="I8:K8"/>
    <mergeCell ref="R8:Y8"/>
    <mergeCell ref="L8:Q8"/>
  </mergeCells>
  <printOptions horizontalCentered="1"/>
  <pageMargins left="0.31496062992125984" right="0.31496062992125984" top="0.74803149606299213" bottom="0.74803149606299213" header="0.31496062992125984" footer="0.31496062992125984"/>
  <pageSetup paperSize="9" scale="59" orientation="landscape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80DB4EE-27AE-41E8-89D4-1980ACCC207C}">
  <dimension ref="B2:Y28"/>
  <sheetViews>
    <sheetView view="pageBreakPreview" zoomScaleNormal="100" zoomScaleSheetLayoutView="100" workbookViewId="0">
      <selection activeCell="B10" sqref="B10:X21"/>
    </sheetView>
  </sheetViews>
  <sheetFormatPr defaultRowHeight="14.4" x14ac:dyDescent="0.3"/>
  <cols>
    <col min="1" max="1" width="3" customWidth="1"/>
    <col min="3" max="24" width="9" customWidth="1"/>
    <col min="25" max="25" width="5.109375" customWidth="1"/>
  </cols>
  <sheetData>
    <row r="2" spans="2:25" x14ac:dyDescent="0.3">
      <c r="B2" t="s">
        <v>2</v>
      </c>
      <c r="C2" t="s">
        <v>1</v>
      </c>
    </row>
    <row r="3" spans="2:25" x14ac:dyDescent="0.3">
      <c r="B3" t="s">
        <v>3</v>
      </c>
    </row>
    <row r="4" spans="2:25" x14ac:dyDescent="0.3">
      <c r="B4" t="s">
        <v>4</v>
      </c>
    </row>
    <row r="5" spans="2:25" x14ac:dyDescent="0.3">
      <c r="B5" t="s">
        <v>5</v>
      </c>
      <c r="C5" s="15">
        <v>46136</v>
      </c>
      <c r="E5" t="s">
        <v>6</v>
      </c>
      <c r="F5" t="s">
        <v>31</v>
      </c>
    </row>
    <row r="6" spans="2:25" x14ac:dyDescent="0.3">
      <c r="E6" t="s">
        <v>7</v>
      </c>
      <c r="F6" t="s">
        <v>32</v>
      </c>
    </row>
    <row r="7" spans="2:25" ht="15" thickBot="1" x14ac:dyDescent="0.35"/>
    <row r="8" spans="2:25" ht="15" thickBot="1" x14ac:dyDescent="0.35">
      <c r="B8" s="2" t="s">
        <v>0</v>
      </c>
      <c r="C8" s="93" t="s">
        <v>8</v>
      </c>
      <c r="D8" s="93"/>
      <c r="E8" s="93"/>
      <c r="F8" s="93"/>
      <c r="G8" s="93" t="s">
        <v>25</v>
      </c>
      <c r="H8" s="93"/>
      <c r="I8" s="93" t="s">
        <v>26</v>
      </c>
      <c r="J8" s="93"/>
      <c r="K8" s="93"/>
      <c r="L8" s="93" t="s">
        <v>27</v>
      </c>
      <c r="M8" s="93"/>
      <c r="N8" s="93"/>
      <c r="O8" s="93"/>
      <c r="P8" s="93"/>
      <c r="Q8" s="93" t="s">
        <v>28</v>
      </c>
      <c r="R8" s="93"/>
      <c r="S8" s="93"/>
      <c r="T8" s="93"/>
      <c r="U8" s="93" t="s">
        <v>29</v>
      </c>
      <c r="V8" s="93"/>
      <c r="W8" s="93"/>
      <c r="X8" s="93"/>
    </row>
    <row r="9" spans="2:25" ht="43.8" thickBot="1" x14ac:dyDescent="0.35">
      <c r="B9" s="4"/>
      <c r="C9" s="5" t="s">
        <v>9</v>
      </c>
      <c r="D9" s="5" t="s">
        <v>10</v>
      </c>
      <c r="E9" s="5" t="s">
        <v>11</v>
      </c>
      <c r="F9" s="5" t="s">
        <v>12</v>
      </c>
      <c r="G9" s="5" t="s">
        <v>13</v>
      </c>
      <c r="H9" s="5" t="s">
        <v>14</v>
      </c>
      <c r="I9" s="5" t="s">
        <v>15</v>
      </c>
      <c r="J9" s="5" t="s">
        <v>16</v>
      </c>
      <c r="K9" s="5" t="s">
        <v>17</v>
      </c>
      <c r="L9" s="5" t="s">
        <v>18</v>
      </c>
      <c r="M9" s="5" t="s">
        <v>19</v>
      </c>
      <c r="N9" s="5" t="s">
        <v>20</v>
      </c>
      <c r="O9" s="5" t="s">
        <v>21</v>
      </c>
      <c r="P9" s="5" t="s">
        <v>22</v>
      </c>
      <c r="Q9" s="5" t="s">
        <v>19</v>
      </c>
      <c r="R9" s="5" t="s">
        <v>22</v>
      </c>
      <c r="S9" s="5" t="s">
        <v>23</v>
      </c>
      <c r="T9" s="5" t="s">
        <v>24</v>
      </c>
      <c r="U9" s="5" t="s">
        <v>19</v>
      </c>
      <c r="V9" s="5" t="s">
        <v>22</v>
      </c>
      <c r="W9" s="5" t="s">
        <v>23</v>
      </c>
      <c r="X9" s="5" t="s">
        <v>24</v>
      </c>
      <c r="Y9" s="1"/>
    </row>
    <row r="10" spans="2:25" s="3" customFormat="1" ht="33" customHeight="1" x14ac:dyDescent="0.3">
      <c r="B10" s="6">
        <v>0.3125</v>
      </c>
      <c r="C10" s="9">
        <v>1918</v>
      </c>
      <c r="D10" s="9" t="s">
        <v>33</v>
      </c>
      <c r="E10" s="9">
        <v>500</v>
      </c>
      <c r="F10" s="9">
        <v>1996</v>
      </c>
      <c r="G10" s="9" t="s">
        <v>34</v>
      </c>
      <c r="H10" s="9">
        <v>3.4</v>
      </c>
      <c r="I10" s="9">
        <v>90</v>
      </c>
      <c r="J10" s="9">
        <v>90</v>
      </c>
      <c r="K10" s="9">
        <v>90</v>
      </c>
      <c r="L10" s="9">
        <v>23.3</v>
      </c>
      <c r="M10" s="9">
        <v>6.8</v>
      </c>
      <c r="N10" s="9">
        <v>3.84</v>
      </c>
      <c r="O10" s="9">
        <v>16</v>
      </c>
      <c r="P10" s="9">
        <v>7.1</v>
      </c>
      <c r="Q10" s="9">
        <v>6.8</v>
      </c>
      <c r="R10" s="9">
        <v>8.1</v>
      </c>
      <c r="S10" s="9">
        <v>0.14000000000000001</v>
      </c>
      <c r="T10" s="9">
        <v>0.86</v>
      </c>
      <c r="U10" s="9">
        <v>6.9</v>
      </c>
      <c r="V10" s="9">
        <v>7.4</v>
      </c>
      <c r="W10" s="9">
        <v>0.14000000000000001</v>
      </c>
      <c r="X10" s="9">
        <v>0.87</v>
      </c>
    </row>
    <row r="11" spans="2:25" s="3" customFormat="1" ht="33" customHeight="1" x14ac:dyDescent="0.3">
      <c r="B11" s="7">
        <v>0.39583333333333331</v>
      </c>
      <c r="C11" s="10">
        <v>590</v>
      </c>
      <c r="D11" s="10" t="s">
        <v>33</v>
      </c>
      <c r="E11" s="10">
        <v>525</v>
      </c>
      <c r="F11" s="10">
        <v>1300</v>
      </c>
      <c r="G11" s="10" t="s">
        <v>34</v>
      </c>
      <c r="H11" s="10">
        <v>3.4</v>
      </c>
      <c r="I11" s="10">
        <v>90</v>
      </c>
      <c r="J11" s="10">
        <v>90</v>
      </c>
      <c r="K11" s="10">
        <v>90</v>
      </c>
      <c r="L11" s="10">
        <v>23.6</v>
      </c>
      <c r="M11" s="10">
        <v>6.8</v>
      </c>
      <c r="N11" s="10">
        <v>3.59</v>
      </c>
      <c r="O11" s="10">
        <v>14</v>
      </c>
      <c r="P11" s="10">
        <v>7.2</v>
      </c>
      <c r="Q11" s="10">
        <v>6.9</v>
      </c>
      <c r="R11" s="10">
        <v>8</v>
      </c>
      <c r="S11" s="10">
        <v>0.19</v>
      </c>
      <c r="T11" s="10">
        <v>1.23</v>
      </c>
      <c r="U11" s="10">
        <v>6.9</v>
      </c>
      <c r="V11" s="10">
        <v>6.8</v>
      </c>
      <c r="W11" s="10">
        <v>0.2</v>
      </c>
      <c r="X11" s="10">
        <v>1.62</v>
      </c>
    </row>
    <row r="12" spans="2:25" s="3" customFormat="1" ht="33" customHeight="1" x14ac:dyDescent="0.3">
      <c r="B12" s="7">
        <v>0.47916666666666669</v>
      </c>
      <c r="C12" s="10">
        <v>590</v>
      </c>
      <c r="D12" s="10" t="s">
        <v>33</v>
      </c>
      <c r="E12" s="10">
        <v>525</v>
      </c>
      <c r="F12" s="10">
        <v>1291</v>
      </c>
      <c r="G12" s="10" t="s">
        <v>34</v>
      </c>
      <c r="H12" s="10">
        <v>3.4</v>
      </c>
      <c r="I12" s="10">
        <v>90</v>
      </c>
      <c r="J12" s="10">
        <v>90</v>
      </c>
      <c r="K12" s="10">
        <v>90</v>
      </c>
      <c r="L12" s="10">
        <v>24.3</v>
      </c>
      <c r="M12" s="10">
        <v>6.7</v>
      </c>
      <c r="N12" s="10">
        <v>4.1500000000000004</v>
      </c>
      <c r="O12" s="10">
        <v>17</v>
      </c>
      <c r="P12" s="10">
        <v>7.4</v>
      </c>
      <c r="Q12" s="10">
        <v>6.9</v>
      </c>
      <c r="R12" s="10">
        <v>8.1999999999999993</v>
      </c>
      <c r="S12" s="10">
        <v>0.16</v>
      </c>
      <c r="T12" s="10">
        <v>1.52</v>
      </c>
      <c r="U12" s="10">
        <v>6.8</v>
      </c>
      <c r="V12" s="10">
        <v>7.4</v>
      </c>
      <c r="W12" s="10">
        <v>0.18</v>
      </c>
      <c r="X12" s="10">
        <v>2.2000000000000002</v>
      </c>
    </row>
    <row r="13" spans="2:25" s="3" customFormat="1" ht="33" customHeight="1" x14ac:dyDescent="0.3">
      <c r="B13" s="7">
        <v>0.5625</v>
      </c>
      <c r="C13" s="10">
        <v>590</v>
      </c>
      <c r="D13" s="10" t="s">
        <v>33</v>
      </c>
      <c r="E13" s="10">
        <v>525</v>
      </c>
      <c r="F13" s="10">
        <v>12190</v>
      </c>
      <c r="G13" s="10" t="s">
        <v>34</v>
      </c>
      <c r="H13" s="10">
        <v>3.4</v>
      </c>
      <c r="I13" s="10">
        <v>90</v>
      </c>
      <c r="J13" s="10">
        <v>90</v>
      </c>
      <c r="K13" s="10">
        <v>90</v>
      </c>
      <c r="L13" s="10">
        <v>24.8</v>
      </c>
      <c r="M13" s="10">
        <v>6.8</v>
      </c>
      <c r="N13" s="10">
        <v>4.68</v>
      </c>
      <c r="O13" s="10">
        <v>19</v>
      </c>
      <c r="P13" s="10">
        <v>7.9</v>
      </c>
      <c r="Q13" s="10">
        <v>6.9</v>
      </c>
      <c r="R13" s="10">
        <v>9.4</v>
      </c>
      <c r="S13" s="10">
        <v>0.14000000000000001</v>
      </c>
      <c r="T13" s="10">
        <v>1.64</v>
      </c>
      <c r="U13" s="10">
        <v>6.9</v>
      </c>
      <c r="V13" s="10">
        <v>8.1</v>
      </c>
      <c r="W13" s="10">
        <v>0.18</v>
      </c>
      <c r="X13" s="10">
        <v>1.51</v>
      </c>
    </row>
    <row r="14" spans="2:25" s="3" customFormat="1" ht="33" customHeight="1" x14ac:dyDescent="0.3">
      <c r="B14" s="7">
        <v>0.64583333333333337</v>
      </c>
      <c r="C14" s="10">
        <v>1240</v>
      </c>
      <c r="D14" s="10" t="s">
        <v>33</v>
      </c>
      <c r="E14" s="10">
        <v>500</v>
      </c>
      <c r="F14" s="10">
        <v>1980</v>
      </c>
      <c r="G14" s="10" t="s">
        <v>34</v>
      </c>
      <c r="H14" s="10">
        <v>3.4</v>
      </c>
      <c r="I14" s="10">
        <v>90</v>
      </c>
      <c r="J14" s="10">
        <v>90</v>
      </c>
      <c r="K14" s="10">
        <v>90</v>
      </c>
      <c r="L14" s="10">
        <v>25.4</v>
      </c>
      <c r="M14" s="10">
        <v>6.8</v>
      </c>
      <c r="N14" s="10">
        <v>4.08</v>
      </c>
      <c r="O14" s="10">
        <v>14</v>
      </c>
      <c r="P14" s="10">
        <v>6.9</v>
      </c>
      <c r="Q14" s="10">
        <v>6.8</v>
      </c>
      <c r="R14" s="10">
        <v>6.7</v>
      </c>
      <c r="S14" s="10">
        <v>0.23</v>
      </c>
      <c r="T14" s="10">
        <v>1.33</v>
      </c>
      <c r="U14" s="10">
        <v>6.7</v>
      </c>
      <c r="V14" s="10">
        <v>7.3</v>
      </c>
      <c r="W14" s="10">
        <v>0.25</v>
      </c>
      <c r="X14" s="10">
        <v>1.56</v>
      </c>
    </row>
    <row r="15" spans="2:25" s="3" customFormat="1" ht="33" customHeight="1" x14ac:dyDescent="0.3">
      <c r="B15" s="7">
        <v>0.72916666666666663</v>
      </c>
      <c r="C15" s="10">
        <v>1201</v>
      </c>
      <c r="D15" s="10" t="s">
        <v>33</v>
      </c>
      <c r="E15" s="10">
        <v>499.2</v>
      </c>
      <c r="F15" s="10">
        <v>1906</v>
      </c>
      <c r="G15" s="10" t="s">
        <v>34</v>
      </c>
      <c r="H15" s="10">
        <v>3.4</v>
      </c>
      <c r="I15" s="10">
        <v>90</v>
      </c>
      <c r="J15" s="10">
        <v>90</v>
      </c>
      <c r="K15" s="10">
        <v>90</v>
      </c>
      <c r="L15" s="10">
        <v>25</v>
      </c>
      <c r="M15" s="10">
        <v>6.7</v>
      </c>
      <c r="N15" s="10">
        <v>4.4000000000000004</v>
      </c>
      <c r="O15" s="10">
        <v>16</v>
      </c>
      <c r="P15" s="10">
        <v>5.7</v>
      </c>
      <c r="Q15" s="10">
        <v>6.7</v>
      </c>
      <c r="R15" s="10">
        <v>6</v>
      </c>
      <c r="S15" s="10">
        <v>0.16</v>
      </c>
      <c r="T15" s="10">
        <v>1.23</v>
      </c>
      <c r="U15" s="10">
        <v>6.7</v>
      </c>
      <c r="V15" s="10">
        <v>5.5</v>
      </c>
      <c r="W15" s="10">
        <v>0.21</v>
      </c>
      <c r="X15" s="10">
        <v>1.68</v>
      </c>
    </row>
    <row r="16" spans="2:25" s="3" customFormat="1" ht="33" customHeight="1" x14ac:dyDescent="0.3">
      <c r="B16" s="7">
        <v>0.8125</v>
      </c>
      <c r="C16" s="10">
        <v>1112</v>
      </c>
      <c r="D16" s="10">
        <v>86</v>
      </c>
      <c r="E16" s="10">
        <v>500</v>
      </c>
      <c r="F16" s="10">
        <v>1828</v>
      </c>
      <c r="G16" s="10" t="s">
        <v>34</v>
      </c>
      <c r="H16" s="10">
        <v>3.4</v>
      </c>
      <c r="I16" s="10">
        <v>90</v>
      </c>
      <c r="J16" s="10">
        <v>90</v>
      </c>
      <c r="K16" s="10">
        <v>90</v>
      </c>
      <c r="L16" s="10">
        <v>24.7</v>
      </c>
      <c r="M16" s="10">
        <v>6.8</v>
      </c>
      <c r="N16" s="10">
        <v>4.38</v>
      </c>
      <c r="O16" s="10">
        <v>15</v>
      </c>
      <c r="P16" s="10">
        <v>9.3000000000000007</v>
      </c>
      <c r="Q16" s="10">
        <v>6.8</v>
      </c>
      <c r="R16" s="10">
        <v>8.1</v>
      </c>
      <c r="S16" s="10">
        <v>0.24</v>
      </c>
      <c r="T16" s="10">
        <v>1.1100000000000001</v>
      </c>
      <c r="U16" s="10">
        <v>6.8</v>
      </c>
      <c r="V16" s="10">
        <v>9.8000000000000007</v>
      </c>
      <c r="W16" s="10">
        <v>0.28999999999999998</v>
      </c>
      <c r="X16" s="10">
        <v>1.91</v>
      </c>
    </row>
    <row r="17" spans="2:24" s="3" customFormat="1" ht="33" customHeight="1" x14ac:dyDescent="0.3">
      <c r="B17" s="7">
        <v>0.89583333333333337</v>
      </c>
      <c r="C17" s="10">
        <v>1232</v>
      </c>
      <c r="D17" s="10">
        <v>87</v>
      </c>
      <c r="E17" s="10">
        <v>500</v>
      </c>
      <c r="F17" s="10">
        <v>1845</v>
      </c>
      <c r="G17" s="10" t="s">
        <v>34</v>
      </c>
      <c r="H17" s="10">
        <v>3.4</v>
      </c>
      <c r="I17" s="10">
        <v>90</v>
      </c>
      <c r="J17" s="10">
        <v>90</v>
      </c>
      <c r="K17" s="10">
        <v>90</v>
      </c>
      <c r="L17" s="10">
        <v>24.5</v>
      </c>
      <c r="M17" s="10">
        <v>6.8</v>
      </c>
      <c r="N17" s="10">
        <v>4.21</v>
      </c>
      <c r="O17" s="10">
        <v>13</v>
      </c>
      <c r="P17" s="10">
        <v>8.6</v>
      </c>
      <c r="Q17" s="10">
        <v>6.8</v>
      </c>
      <c r="R17" s="10">
        <v>8.5</v>
      </c>
      <c r="S17" s="10">
        <v>0.2</v>
      </c>
      <c r="T17" s="10">
        <v>0.88</v>
      </c>
      <c r="U17" s="10">
        <v>6.8</v>
      </c>
      <c r="V17" s="10">
        <v>8.6999999999999993</v>
      </c>
      <c r="W17" s="10">
        <v>0.25</v>
      </c>
      <c r="X17" s="10">
        <v>1.0900000000000001</v>
      </c>
    </row>
    <row r="18" spans="2:24" s="3" customFormat="1" ht="33" customHeight="1" x14ac:dyDescent="0.3">
      <c r="B18" s="7">
        <v>0.97916666666666663</v>
      </c>
      <c r="C18" s="10">
        <v>1208</v>
      </c>
      <c r="D18" s="10">
        <v>85</v>
      </c>
      <c r="E18" s="10">
        <v>500</v>
      </c>
      <c r="F18" s="10">
        <v>1834</v>
      </c>
      <c r="G18" s="10" t="s">
        <v>34</v>
      </c>
      <c r="H18" s="10">
        <v>3.4</v>
      </c>
      <c r="I18" s="10">
        <v>90</v>
      </c>
      <c r="J18" s="10">
        <v>90</v>
      </c>
      <c r="K18" s="10">
        <v>90</v>
      </c>
      <c r="L18" s="10">
        <v>24.2</v>
      </c>
      <c r="M18" s="10">
        <v>6.7</v>
      </c>
      <c r="N18" s="10">
        <v>3.84</v>
      </c>
      <c r="O18" s="10">
        <v>15</v>
      </c>
      <c r="P18" s="10">
        <v>8.8000000000000007</v>
      </c>
      <c r="Q18" s="10">
        <v>6.8</v>
      </c>
      <c r="R18" s="10">
        <v>7.3</v>
      </c>
      <c r="S18" s="10">
        <v>0.21</v>
      </c>
      <c r="T18" s="10">
        <v>0.85</v>
      </c>
      <c r="U18" s="10">
        <v>6.8</v>
      </c>
      <c r="V18" s="10">
        <v>6.9</v>
      </c>
      <c r="W18" s="10">
        <v>0.17</v>
      </c>
      <c r="X18" s="10">
        <v>0.78</v>
      </c>
    </row>
    <row r="19" spans="2:24" s="3" customFormat="1" ht="33" customHeight="1" x14ac:dyDescent="0.3">
      <c r="B19" s="7">
        <v>6.25E-2</v>
      </c>
      <c r="C19" s="10">
        <v>1207</v>
      </c>
      <c r="D19" s="10">
        <v>88</v>
      </c>
      <c r="E19" s="10">
        <v>500</v>
      </c>
      <c r="F19" s="10">
        <v>1915</v>
      </c>
      <c r="G19" s="10" t="s">
        <v>34</v>
      </c>
      <c r="H19" s="10">
        <v>3.4</v>
      </c>
      <c r="I19" s="10">
        <v>90</v>
      </c>
      <c r="J19" s="10">
        <v>90</v>
      </c>
      <c r="K19" s="10">
        <v>90</v>
      </c>
      <c r="L19" s="10">
        <v>24.1</v>
      </c>
      <c r="M19" s="10">
        <v>6.8</v>
      </c>
      <c r="N19" s="10">
        <v>4.0199999999999996</v>
      </c>
      <c r="O19" s="10">
        <v>17</v>
      </c>
      <c r="P19" s="10">
        <v>9.4</v>
      </c>
      <c r="Q19" s="10">
        <v>6.8</v>
      </c>
      <c r="R19" s="10">
        <v>9.1</v>
      </c>
      <c r="S19" s="10">
        <v>0.16</v>
      </c>
      <c r="T19" s="10">
        <v>1.1399999999999999</v>
      </c>
      <c r="U19" s="10">
        <v>6.7</v>
      </c>
      <c r="V19" s="10">
        <v>7.1</v>
      </c>
      <c r="W19" s="10">
        <v>0.17</v>
      </c>
      <c r="X19" s="10">
        <v>1.2</v>
      </c>
    </row>
    <row r="20" spans="2:24" s="3" customFormat="1" ht="33" customHeight="1" x14ac:dyDescent="0.3">
      <c r="B20" s="7">
        <v>0.14583333333333334</v>
      </c>
      <c r="C20" s="10">
        <v>1229</v>
      </c>
      <c r="D20" s="10">
        <v>88</v>
      </c>
      <c r="E20" s="10">
        <v>500</v>
      </c>
      <c r="F20" s="10">
        <v>1824</v>
      </c>
      <c r="G20" s="10" t="s">
        <v>34</v>
      </c>
      <c r="H20" s="10">
        <v>3.4</v>
      </c>
      <c r="I20" s="10">
        <v>90</v>
      </c>
      <c r="J20" s="10">
        <v>90</v>
      </c>
      <c r="K20" s="10">
        <v>90</v>
      </c>
      <c r="L20" s="10">
        <v>23.9</v>
      </c>
      <c r="M20" s="10">
        <v>6.8</v>
      </c>
      <c r="N20" s="10">
        <v>3.98</v>
      </c>
      <c r="O20" s="10">
        <v>18</v>
      </c>
      <c r="P20" s="10">
        <v>9</v>
      </c>
      <c r="Q20" s="10">
        <v>6.8</v>
      </c>
      <c r="R20" s="10">
        <v>9.1999999999999993</v>
      </c>
      <c r="S20" s="10">
        <v>0.18</v>
      </c>
      <c r="T20" s="10">
        <v>0.97</v>
      </c>
      <c r="U20" s="10">
        <v>6.7</v>
      </c>
      <c r="V20" s="10">
        <v>8.6999999999999993</v>
      </c>
      <c r="W20" s="10">
        <v>0.21</v>
      </c>
      <c r="X20" s="10">
        <v>1.1399999999999999</v>
      </c>
    </row>
    <row r="21" spans="2:24" s="3" customFormat="1" ht="33" customHeight="1" thickBot="1" x14ac:dyDescent="0.35">
      <c r="B21" s="8">
        <v>0.22916666666666666</v>
      </c>
      <c r="C21" s="11">
        <v>1104</v>
      </c>
      <c r="D21" s="11">
        <v>81</v>
      </c>
      <c r="E21" s="11">
        <v>499</v>
      </c>
      <c r="F21" s="11">
        <v>1919</v>
      </c>
      <c r="G21" s="11" t="s">
        <v>34</v>
      </c>
      <c r="H21" s="11">
        <v>3.4</v>
      </c>
      <c r="I21" s="11">
        <v>90</v>
      </c>
      <c r="J21" s="11">
        <v>90</v>
      </c>
      <c r="K21" s="11">
        <v>90</v>
      </c>
      <c r="L21" s="11">
        <v>23.4</v>
      </c>
      <c r="M21" s="11">
        <v>6.8</v>
      </c>
      <c r="N21" s="11">
        <v>4.88</v>
      </c>
      <c r="O21" s="11">
        <v>18</v>
      </c>
      <c r="P21" s="11">
        <v>8.9</v>
      </c>
      <c r="Q21" s="11">
        <v>6.8</v>
      </c>
      <c r="R21" s="11">
        <v>9.4</v>
      </c>
      <c r="S21" s="11">
        <v>0.15</v>
      </c>
      <c r="T21" s="11">
        <v>0.86</v>
      </c>
      <c r="U21" s="11">
        <v>6.8</v>
      </c>
      <c r="V21" s="11">
        <v>7.8</v>
      </c>
      <c r="W21" s="11">
        <v>0.21</v>
      </c>
      <c r="X21" s="11">
        <v>1.01</v>
      </c>
    </row>
    <row r="23" spans="2:24" ht="27.75" customHeight="1" thickBot="1" x14ac:dyDescent="0.35">
      <c r="B23" s="12" t="s">
        <v>30</v>
      </c>
      <c r="C23" s="12"/>
      <c r="D23" s="12"/>
      <c r="E23" s="12"/>
      <c r="F23" s="12"/>
      <c r="G23" s="12"/>
      <c r="H23" s="12"/>
      <c r="I23" s="12"/>
      <c r="J23" s="12"/>
      <c r="K23" s="12"/>
      <c r="L23" s="12"/>
      <c r="M23" s="12"/>
      <c r="N23" s="12"/>
      <c r="O23" s="12"/>
      <c r="P23" s="12"/>
      <c r="Q23" s="12"/>
      <c r="R23" s="12"/>
      <c r="S23" s="12"/>
      <c r="T23" s="12"/>
      <c r="U23" s="12"/>
      <c r="V23" s="12"/>
      <c r="W23" s="12"/>
      <c r="X23" s="12"/>
    </row>
    <row r="24" spans="2:24" ht="27.75" customHeight="1" thickBot="1" x14ac:dyDescent="0.35">
      <c r="B24" s="13"/>
      <c r="C24" s="13"/>
      <c r="D24" s="13"/>
      <c r="E24" s="13"/>
      <c r="F24" s="13"/>
      <c r="G24" s="13"/>
      <c r="H24" s="13"/>
      <c r="I24" s="13"/>
      <c r="J24" s="13"/>
      <c r="K24" s="13"/>
      <c r="L24" s="13"/>
      <c r="M24" s="13"/>
      <c r="N24" s="13"/>
      <c r="O24" s="13"/>
      <c r="P24" s="13"/>
      <c r="Q24" s="13"/>
      <c r="R24" s="13"/>
      <c r="S24" s="13"/>
      <c r="T24" s="13"/>
      <c r="U24" s="13"/>
      <c r="V24" s="13"/>
      <c r="W24" s="13"/>
      <c r="X24" s="13"/>
    </row>
    <row r="25" spans="2:24" ht="27.75" customHeight="1" thickBot="1" x14ac:dyDescent="0.35">
      <c r="B25" s="13"/>
      <c r="C25" s="13"/>
      <c r="D25" s="13"/>
      <c r="E25" s="13"/>
      <c r="F25" s="13"/>
      <c r="G25" s="13"/>
      <c r="H25" s="13"/>
      <c r="I25" s="13"/>
      <c r="J25" s="13"/>
      <c r="K25" s="13"/>
      <c r="L25" s="13"/>
      <c r="M25" s="13"/>
      <c r="N25" s="13"/>
      <c r="O25" s="13"/>
      <c r="P25" s="13"/>
      <c r="Q25" s="13"/>
      <c r="R25" s="13"/>
      <c r="S25" s="13"/>
      <c r="T25" s="13"/>
      <c r="U25" s="13"/>
      <c r="V25" s="13"/>
      <c r="W25" s="13"/>
      <c r="X25" s="13"/>
    </row>
    <row r="26" spans="2:24" ht="27.75" customHeight="1" thickBot="1" x14ac:dyDescent="0.35">
      <c r="B26" s="13"/>
      <c r="C26" s="13"/>
      <c r="D26" s="13"/>
      <c r="E26" s="13"/>
      <c r="F26" s="13"/>
      <c r="G26" s="13"/>
      <c r="H26" s="13"/>
      <c r="I26" s="13"/>
      <c r="J26" s="13"/>
      <c r="K26" s="13"/>
      <c r="L26" s="13"/>
      <c r="M26" s="13"/>
      <c r="N26" s="13"/>
      <c r="O26" s="13"/>
      <c r="P26" s="13"/>
      <c r="Q26" s="13"/>
      <c r="R26" s="13"/>
      <c r="S26" s="13"/>
      <c r="T26" s="13"/>
      <c r="U26" s="13"/>
      <c r="V26" s="13"/>
      <c r="W26" s="13"/>
      <c r="X26" s="13"/>
    </row>
    <row r="27" spans="2:24" ht="27.75" customHeight="1" thickBot="1" x14ac:dyDescent="0.35">
      <c r="B27" s="13"/>
      <c r="C27" s="13"/>
      <c r="D27" s="13"/>
      <c r="E27" s="13"/>
      <c r="F27" s="13"/>
      <c r="G27" s="13"/>
      <c r="H27" s="13"/>
      <c r="I27" s="13"/>
      <c r="J27" s="13"/>
      <c r="K27" s="13"/>
      <c r="L27" s="13"/>
      <c r="M27" s="13"/>
      <c r="N27" s="13"/>
      <c r="O27" s="13"/>
      <c r="P27" s="13"/>
      <c r="Q27" s="13"/>
      <c r="R27" s="13"/>
      <c r="S27" s="13"/>
      <c r="T27" s="13"/>
      <c r="U27" s="13"/>
      <c r="V27" s="13"/>
      <c r="W27" s="13"/>
      <c r="X27" s="13"/>
    </row>
    <row r="28" spans="2:24" x14ac:dyDescent="0.3">
      <c r="B28" s="14"/>
      <c r="C28" s="14"/>
      <c r="D28" s="14"/>
      <c r="E28" s="14"/>
      <c r="F28" s="14"/>
      <c r="G28" s="14"/>
      <c r="H28" s="14"/>
      <c r="I28" s="14"/>
      <c r="J28" s="14"/>
      <c r="K28" s="14"/>
      <c r="L28" s="14"/>
      <c r="M28" s="14"/>
      <c r="N28" s="14"/>
      <c r="O28" s="14"/>
      <c r="P28" s="14"/>
      <c r="Q28" s="14"/>
      <c r="R28" s="14"/>
      <c r="S28" s="14"/>
      <c r="T28" s="14"/>
      <c r="U28" s="14"/>
      <c r="V28" s="14"/>
      <c r="W28" s="14"/>
      <c r="X28" s="14"/>
    </row>
  </sheetData>
  <mergeCells count="6">
    <mergeCell ref="U8:X8"/>
    <mergeCell ref="C8:F8"/>
    <mergeCell ref="G8:H8"/>
    <mergeCell ref="I8:K8"/>
    <mergeCell ref="L8:P8"/>
    <mergeCell ref="Q8:T8"/>
  </mergeCells>
  <pageMargins left="0.7" right="0.7" top="0.75" bottom="0.75" header="0.3" footer="0.3"/>
  <pageSetup paperSize="9" scale="60" orientation="landscape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04BEB8C-5FF6-4FA1-9174-5E2C41C31285}">
  <dimension ref="B2:Y28"/>
  <sheetViews>
    <sheetView view="pageBreakPreview" topLeftCell="A9" zoomScaleNormal="100" zoomScaleSheetLayoutView="100" workbookViewId="0">
      <selection activeCell="B10" sqref="B10:X21"/>
    </sheetView>
  </sheetViews>
  <sheetFormatPr defaultRowHeight="14.4" x14ac:dyDescent="0.3"/>
  <cols>
    <col min="1" max="1" width="3" customWidth="1"/>
    <col min="3" max="24" width="9" customWidth="1"/>
    <col min="25" max="25" width="5.109375" customWidth="1"/>
  </cols>
  <sheetData>
    <row r="2" spans="2:25" x14ac:dyDescent="0.3">
      <c r="B2" t="s">
        <v>2</v>
      </c>
      <c r="C2" t="s">
        <v>1</v>
      </c>
    </row>
    <row r="3" spans="2:25" x14ac:dyDescent="0.3">
      <c r="B3" t="s">
        <v>3</v>
      </c>
    </row>
    <row r="4" spans="2:25" x14ac:dyDescent="0.3">
      <c r="B4" t="s">
        <v>4</v>
      </c>
    </row>
    <row r="5" spans="2:25" x14ac:dyDescent="0.3">
      <c r="B5" t="s">
        <v>5</v>
      </c>
      <c r="C5" s="15">
        <v>46132</v>
      </c>
      <c r="E5" t="s">
        <v>6</v>
      </c>
      <c r="F5" t="s">
        <v>35</v>
      </c>
    </row>
    <row r="6" spans="2:25" x14ac:dyDescent="0.3">
      <c r="E6" t="s">
        <v>7</v>
      </c>
      <c r="F6" t="s">
        <v>36</v>
      </c>
    </row>
    <row r="7" spans="2:25" ht="15" thickBot="1" x14ac:dyDescent="0.35"/>
    <row r="8" spans="2:25" ht="15" thickBot="1" x14ac:dyDescent="0.35">
      <c r="B8" s="2" t="s">
        <v>0</v>
      </c>
      <c r="C8" s="93" t="s">
        <v>8</v>
      </c>
      <c r="D8" s="93"/>
      <c r="E8" s="93"/>
      <c r="F8" s="93"/>
      <c r="G8" s="93" t="s">
        <v>25</v>
      </c>
      <c r="H8" s="93"/>
      <c r="I8" s="93" t="s">
        <v>26</v>
      </c>
      <c r="J8" s="93"/>
      <c r="K8" s="93"/>
      <c r="L8" s="93" t="s">
        <v>27</v>
      </c>
      <c r="M8" s="93"/>
      <c r="N8" s="93"/>
      <c r="O8" s="93"/>
      <c r="P8" s="93"/>
      <c r="Q8" s="93" t="s">
        <v>28</v>
      </c>
      <c r="R8" s="93"/>
      <c r="S8" s="93"/>
      <c r="T8" s="93"/>
      <c r="U8" s="93" t="s">
        <v>29</v>
      </c>
      <c r="V8" s="93"/>
      <c r="W8" s="93"/>
      <c r="X8" s="93"/>
    </row>
    <row r="9" spans="2:25" ht="43.8" thickBot="1" x14ac:dyDescent="0.35">
      <c r="B9" s="4"/>
      <c r="C9" s="5" t="s">
        <v>9</v>
      </c>
      <c r="D9" s="5" t="s">
        <v>10</v>
      </c>
      <c r="E9" s="5" t="s">
        <v>11</v>
      </c>
      <c r="F9" s="5" t="s">
        <v>12</v>
      </c>
      <c r="G9" s="5" t="s">
        <v>13</v>
      </c>
      <c r="H9" s="5" t="s">
        <v>14</v>
      </c>
      <c r="I9" s="5" t="s">
        <v>15</v>
      </c>
      <c r="J9" s="5" t="s">
        <v>16</v>
      </c>
      <c r="K9" s="5" t="s">
        <v>17</v>
      </c>
      <c r="L9" s="5" t="s">
        <v>18</v>
      </c>
      <c r="M9" s="5" t="s">
        <v>19</v>
      </c>
      <c r="N9" s="5" t="s">
        <v>20</v>
      </c>
      <c r="O9" s="5" t="s">
        <v>21</v>
      </c>
      <c r="P9" s="5" t="s">
        <v>22</v>
      </c>
      <c r="Q9" s="5" t="s">
        <v>19</v>
      </c>
      <c r="R9" s="5" t="s">
        <v>22</v>
      </c>
      <c r="S9" s="5" t="s">
        <v>23</v>
      </c>
      <c r="T9" s="5" t="s">
        <v>24</v>
      </c>
      <c r="U9" s="5" t="s">
        <v>19</v>
      </c>
      <c r="V9" s="5" t="s">
        <v>22</v>
      </c>
      <c r="W9" s="5" t="s">
        <v>23</v>
      </c>
      <c r="X9" s="5" t="s">
        <v>24</v>
      </c>
      <c r="Y9" s="1"/>
    </row>
    <row r="10" spans="2:25" s="3" customFormat="1" ht="33" customHeight="1" x14ac:dyDescent="0.3">
      <c r="B10" s="6">
        <v>0.3125</v>
      </c>
      <c r="C10" s="9">
        <v>1080</v>
      </c>
      <c r="D10" s="9" t="s">
        <v>33</v>
      </c>
      <c r="E10" s="9">
        <v>500.2</v>
      </c>
      <c r="F10" s="9">
        <v>1877</v>
      </c>
      <c r="G10" s="9" t="s">
        <v>34</v>
      </c>
      <c r="H10" s="9">
        <v>3.6</v>
      </c>
      <c r="I10" s="9">
        <v>90</v>
      </c>
      <c r="J10" s="9">
        <v>90</v>
      </c>
      <c r="K10" s="9">
        <v>90</v>
      </c>
      <c r="L10" s="9">
        <v>23.3</v>
      </c>
      <c r="M10" s="9">
        <v>6.8</v>
      </c>
      <c r="N10" s="9">
        <v>3.71</v>
      </c>
      <c r="O10" s="9">
        <v>15</v>
      </c>
      <c r="P10" s="9">
        <v>6.5</v>
      </c>
      <c r="Q10" s="9">
        <v>6.8</v>
      </c>
      <c r="R10" s="9">
        <v>6.5</v>
      </c>
      <c r="S10" s="9">
        <v>0.12</v>
      </c>
      <c r="T10" s="9">
        <v>0.76</v>
      </c>
      <c r="U10" s="9">
        <v>6.6</v>
      </c>
      <c r="V10" s="9">
        <v>6.8</v>
      </c>
      <c r="W10" s="9">
        <v>0.14000000000000001</v>
      </c>
      <c r="X10" s="9">
        <v>1.05</v>
      </c>
    </row>
    <row r="11" spans="2:25" s="3" customFormat="1" ht="33" customHeight="1" x14ac:dyDescent="0.3">
      <c r="B11" s="7">
        <v>0.39583333333333331</v>
      </c>
      <c r="C11" s="10">
        <v>1191.3</v>
      </c>
      <c r="D11" s="10" t="s">
        <v>33</v>
      </c>
      <c r="E11" s="10">
        <v>500.7</v>
      </c>
      <c r="F11" s="10">
        <v>1878</v>
      </c>
      <c r="G11" s="10" t="s">
        <v>34</v>
      </c>
      <c r="H11" s="10">
        <v>3.2</v>
      </c>
      <c r="I11" s="10">
        <v>90</v>
      </c>
      <c r="J11" s="10">
        <v>90</v>
      </c>
      <c r="K11" s="10">
        <v>90</v>
      </c>
      <c r="L11" s="10">
        <v>23.6</v>
      </c>
      <c r="M11" s="10">
        <v>6.8</v>
      </c>
      <c r="N11" s="10">
        <v>4.58</v>
      </c>
      <c r="O11" s="10">
        <v>21</v>
      </c>
      <c r="P11" s="10">
        <v>6.2</v>
      </c>
      <c r="Q11" s="10">
        <v>6.7</v>
      </c>
      <c r="R11" s="10">
        <v>8.1</v>
      </c>
      <c r="S11" s="10">
        <v>0.17</v>
      </c>
      <c r="T11" s="10">
        <v>0.86</v>
      </c>
      <c r="U11" s="10">
        <v>6.7</v>
      </c>
      <c r="V11" s="10">
        <v>7.3</v>
      </c>
      <c r="W11" s="10">
        <v>0.25</v>
      </c>
      <c r="X11" s="10">
        <v>1.21</v>
      </c>
    </row>
    <row r="12" spans="2:25" s="3" customFormat="1" ht="33" customHeight="1" x14ac:dyDescent="0.3">
      <c r="B12" s="7">
        <v>0.47916666666666669</v>
      </c>
      <c r="C12" s="10">
        <v>1191</v>
      </c>
      <c r="D12" s="10" t="s">
        <v>33</v>
      </c>
      <c r="E12" s="10">
        <v>500</v>
      </c>
      <c r="F12" s="10">
        <v>1889</v>
      </c>
      <c r="G12" s="10"/>
      <c r="H12" s="10">
        <v>3.2</v>
      </c>
      <c r="I12" s="10">
        <v>90</v>
      </c>
      <c r="J12" s="10">
        <v>90</v>
      </c>
      <c r="K12" s="10">
        <v>90</v>
      </c>
      <c r="L12" s="10">
        <v>24.2</v>
      </c>
      <c r="M12" s="10">
        <v>6.7</v>
      </c>
      <c r="N12" s="10">
        <v>4.37</v>
      </c>
      <c r="O12" s="10">
        <v>16</v>
      </c>
      <c r="P12" s="10">
        <v>6.2</v>
      </c>
      <c r="Q12" s="10">
        <v>6.7</v>
      </c>
      <c r="R12" s="10">
        <v>5.4</v>
      </c>
      <c r="S12" s="10">
        <v>0.15</v>
      </c>
      <c r="T12" s="10">
        <v>1.1000000000000001</v>
      </c>
      <c r="U12" s="10">
        <v>6.7</v>
      </c>
      <c r="V12" s="10">
        <v>6.1</v>
      </c>
      <c r="W12" s="10">
        <v>0.19</v>
      </c>
      <c r="X12" s="10">
        <v>1.18</v>
      </c>
    </row>
    <row r="13" spans="2:25" s="3" customFormat="1" ht="33" customHeight="1" x14ac:dyDescent="0.3">
      <c r="B13" s="7">
        <v>0.5625</v>
      </c>
      <c r="C13" s="10">
        <v>1236.4000000000001</v>
      </c>
      <c r="D13" s="10" t="s">
        <v>33</v>
      </c>
      <c r="E13" s="10">
        <v>499.4</v>
      </c>
      <c r="F13" s="10">
        <v>1881</v>
      </c>
      <c r="G13" s="10" t="s">
        <v>34</v>
      </c>
      <c r="H13" s="10">
        <v>3.4</v>
      </c>
      <c r="I13" s="10">
        <v>90</v>
      </c>
      <c r="J13" s="10">
        <v>90</v>
      </c>
      <c r="K13" s="10">
        <v>90</v>
      </c>
      <c r="L13" s="10">
        <v>24.7</v>
      </c>
      <c r="M13" s="10">
        <v>6.8</v>
      </c>
      <c r="N13" s="10">
        <v>4.6100000000000003</v>
      </c>
      <c r="O13" s="10">
        <v>16</v>
      </c>
      <c r="P13" s="10">
        <v>6.4</v>
      </c>
      <c r="Q13" s="10">
        <v>6.8</v>
      </c>
      <c r="R13" s="10">
        <v>7.3</v>
      </c>
      <c r="S13" s="10">
        <v>0.32</v>
      </c>
      <c r="T13" s="10">
        <v>1.38</v>
      </c>
      <c r="U13" s="10">
        <v>6.7</v>
      </c>
      <c r="V13" s="10">
        <v>6.8</v>
      </c>
      <c r="W13" s="10">
        <v>0.23</v>
      </c>
      <c r="X13" s="10">
        <v>2.48</v>
      </c>
    </row>
    <row r="14" spans="2:25" s="3" customFormat="1" ht="33" customHeight="1" x14ac:dyDescent="0.3">
      <c r="B14" s="7">
        <v>0.64583333333333337</v>
      </c>
      <c r="C14" s="10">
        <v>1768</v>
      </c>
      <c r="D14" s="10" t="s">
        <v>33</v>
      </c>
      <c r="E14" s="10">
        <v>499.9</v>
      </c>
      <c r="F14" s="10">
        <v>2364</v>
      </c>
      <c r="G14" s="10" t="s">
        <v>34</v>
      </c>
      <c r="H14" s="10">
        <v>3.4</v>
      </c>
      <c r="I14" s="10">
        <v>90</v>
      </c>
      <c r="J14" s="10">
        <v>90</v>
      </c>
      <c r="K14" s="10">
        <v>90</v>
      </c>
      <c r="L14" s="10">
        <v>25.2</v>
      </c>
      <c r="M14" s="10">
        <v>6.7</v>
      </c>
      <c r="N14" s="10">
        <v>3.95</v>
      </c>
      <c r="O14" s="10">
        <v>19</v>
      </c>
      <c r="P14" s="10">
        <v>6.6</v>
      </c>
      <c r="Q14" s="10">
        <v>6.7</v>
      </c>
      <c r="R14" s="10">
        <v>6.5</v>
      </c>
      <c r="S14" s="10">
        <v>0.25</v>
      </c>
      <c r="T14" s="10">
        <v>0.97</v>
      </c>
      <c r="U14" s="10">
        <v>6.7</v>
      </c>
      <c r="V14" s="10">
        <v>7.3</v>
      </c>
      <c r="W14" s="10">
        <v>0.34</v>
      </c>
      <c r="X14" s="10">
        <v>1.39</v>
      </c>
    </row>
    <row r="15" spans="2:25" s="3" customFormat="1" ht="33" customHeight="1" x14ac:dyDescent="0.3">
      <c r="B15" s="7">
        <v>0.72916666666666663</v>
      </c>
      <c r="C15" s="10">
        <v>1602</v>
      </c>
      <c r="D15" s="10" t="s">
        <v>33</v>
      </c>
      <c r="E15" s="10">
        <v>500</v>
      </c>
      <c r="F15" s="10">
        <v>2370</v>
      </c>
      <c r="G15" s="10" t="s">
        <v>34</v>
      </c>
      <c r="H15" s="10">
        <v>3.4</v>
      </c>
      <c r="I15" s="10">
        <v>90</v>
      </c>
      <c r="J15" s="10">
        <v>90</v>
      </c>
      <c r="K15" s="10">
        <v>90</v>
      </c>
      <c r="L15" s="10">
        <v>25.1</v>
      </c>
      <c r="M15" s="10">
        <v>6.7</v>
      </c>
      <c r="N15" s="10">
        <v>3.54</v>
      </c>
      <c r="O15" s="10">
        <v>18</v>
      </c>
      <c r="P15" s="10">
        <v>6.2</v>
      </c>
      <c r="Q15" s="10">
        <v>6.8</v>
      </c>
      <c r="R15" s="10">
        <v>7</v>
      </c>
      <c r="S15" s="10">
        <v>0.2</v>
      </c>
      <c r="T15" s="10">
        <v>0.94</v>
      </c>
      <c r="U15" s="10">
        <v>6.7</v>
      </c>
      <c r="V15" s="10">
        <v>6.9</v>
      </c>
      <c r="W15" s="10">
        <v>0.2</v>
      </c>
      <c r="X15" s="10">
        <v>1.36</v>
      </c>
    </row>
    <row r="16" spans="2:25" s="3" customFormat="1" ht="33" customHeight="1" x14ac:dyDescent="0.3">
      <c r="B16" s="7">
        <v>0.8125</v>
      </c>
      <c r="C16" s="10">
        <v>1540</v>
      </c>
      <c r="D16" s="10">
        <v>70</v>
      </c>
      <c r="E16" s="10">
        <v>500</v>
      </c>
      <c r="F16" s="10">
        <v>2375</v>
      </c>
      <c r="G16" s="10" t="s">
        <v>34</v>
      </c>
      <c r="H16" s="10">
        <v>3.4</v>
      </c>
      <c r="I16" s="10">
        <v>90</v>
      </c>
      <c r="J16" s="10">
        <v>90</v>
      </c>
      <c r="K16" s="10">
        <v>90</v>
      </c>
      <c r="L16" s="10">
        <v>25.1</v>
      </c>
      <c r="M16" s="10">
        <v>6</v>
      </c>
      <c r="N16" s="10" t="s">
        <v>37</v>
      </c>
      <c r="O16" s="10">
        <v>16</v>
      </c>
      <c r="P16" s="10">
        <v>8.4</v>
      </c>
      <c r="Q16" s="10">
        <v>6.8</v>
      </c>
      <c r="R16" s="10">
        <v>9.3000000000000007</v>
      </c>
      <c r="S16" s="10">
        <v>0.18</v>
      </c>
      <c r="T16" s="10">
        <v>0.92</v>
      </c>
      <c r="U16" s="10">
        <v>6.9</v>
      </c>
      <c r="V16" s="10">
        <v>8.6999999999999993</v>
      </c>
      <c r="W16" s="10">
        <v>0.17</v>
      </c>
      <c r="X16" s="10">
        <v>1.23</v>
      </c>
    </row>
    <row r="17" spans="2:24" s="3" customFormat="1" ht="33" customHeight="1" x14ac:dyDescent="0.3">
      <c r="B17" s="7">
        <v>0.89583333333333337</v>
      </c>
      <c r="C17" s="10">
        <v>1600</v>
      </c>
      <c r="D17" s="10">
        <v>80</v>
      </c>
      <c r="E17" s="10">
        <v>500</v>
      </c>
      <c r="F17" s="10">
        <v>2364</v>
      </c>
      <c r="G17" s="10" t="s">
        <v>34</v>
      </c>
      <c r="H17" s="10">
        <v>3.11</v>
      </c>
      <c r="I17" s="10">
        <v>90</v>
      </c>
      <c r="J17" s="10">
        <v>90</v>
      </c>
      <c r="K17" s="10">
        <v>90</v>
      </c>
      <c r="L17" s="10">
        <v>24.9</v>
      </c>
      <c r="M17" s="10">
        <v>6.8</v>
      </c>
      <c r="N17" s="10">
        <v>3.58</v>
      </c>
      <c r="O17" s="10">
        <v>15</v>
      </c>
      <c r="P17" s="10">
        <v>10.6</v>
      </c>
      <c r="Q17" s="10">
        <v>6.8</v>
      </c>
      <c r="R17" s="10">
        <v>8.4</v>
      </c>
      <c r="S17" s="10">
        <v>0.31</v>
      </c>
      <c r="T17" s="10">
        <v>0.96</v>
      </c>
      <c r="U17" s="10">
        <v>6.8</v>
      </c>
      <c r="V17" s="10">
        <v>9.6</v>
      </c>
      <c r="W17" s="10">
        <v>0.2</v>
      </c>
      <c r="X17" s="10">
        <v>1.1599999999999999</v>
      </c>
    </row>
    <row r="18" spans="2:24" s="3" customFormat="1" ht="33" customHeight="1" x14ac:dyDescent="0.3">
      <c r="B18" s="7">
        <v>0.97916666666666663</v>
      </c>
      <c r="C18" s="10" t="s">
        <v>33</v>
      </c>
      <c r="D18" s="10" t="s">
        <v>33</v>
      </c>
      <c r="E18" s="10" t="s">
        <v>33</v>
      </c>
      <c r="F18" s="10" t="s">
        <v>33</v>
      </c>
      <c r="G18" s="10" t="s">
        <v>33</v>
      </c>
      <c r="H18" s="10" t="s">
        <v>33</v>
      </c>
      <c r="I18" s="10" t="s">
        <v>33</v>
      </c>
      <c r="J18" s="10" t="s">
        <v>33</v>
      </c>
      <c r="K18" s="10" t="s">
        <v>33</v>
      </c>
      <c r="L18" s="10" t="s">
        <v>33</v>
      </c>
      <c r="M18" s="10" t="s">
        <v>33</v>
      </c>
      <c r="N18" s="10" t="s">
        <v>33</v>
      </c>
      <c r="O18" s="10" t="s">
        <v>33</v>
      </c>
      <c r="P18" s="10" t="s">
        <v>33</v>
      </c>
      <c r="Q18" s="10" t="s">
        <v>33</v>
      </c>
      <c r="R18" s="10" t="s">
        <v>33</v>
      </c>
      <c r="S18" s="10" t="s">
        <v>33</v>
      </c>
      <c r="T18" s="10" t="s">
        <v>33</v>
      </c>
      <c r="U18" s="10" t="s">
        <v>33</v>
      </c>
      <c r="V18" s="10" t="s">
        <v>33</v>
      </c>
      <c r="W18" s="10" t="s">
        <v>33</v>
      </c>
      <c r="X18" s="10" t="s">
        <v>33</v>
      </c>
    </row>
    <row r="19" spans="2:24" s="3" customFormat="1" ht="33" customHeight="1" x14ac:dyDescent="0.3">
      <c r="B19" s="7">
        <v>6.25E-2</v>
      </c>
      <c r="C19" s="10">
        <v>1150</v>
      </c>
      <c r="D19" s="10">
        <v>90</v>
      </c>
      <c r="E19" s="10">
        <v>500</v>
      </c>
      <c r="F19" s="10">
        <v>1822</v>
      </c>
      <c r="G19" s="10" t="s">
        <v>34</v>
      </c>
      <c r="H19" s="10">
        <v>3.4</v>
      </c>
      <c r="I19" s="10">
        <v>90</v>
      </c>
      <c r="J19" s="10">
        <v>90</v>
      </c>
      <c r="K19" s="10">
        <v>90</v>
      </c>
      <c r="L19" s="10">
        <v>24.5</v>
      </c>
      <c r="M19" s="10">
        <v>6.8</v>
      </c>
      <c r="N19" s="10">
        <v>3.61</v>
      </c>
      <c r="O19" s="10">
        <v>14</v>
      </c>
      <c r="P19" s="10">
        <v>7.3</v>
      </c>
      <c r="Q19" s="10">
        <v>6.9</v>
      </c>
      <c r="R19" s="10">
        <v>9.9</v>
      </c>
      <c r="S19" s="10">
        <v>0.17</v>
      </c>
      <c r="T19" s="10">
        <v>1.18</v>
      </c>
      <c r="U19" s="10">
        <v>6.9</v>
      </c>
      <c r="V19" s="10">
        <v>9</v>
      </c>
      <c r="W19" s="10">
        <v>0.16</v>
      </c>
      <c r="X19" s="10">
        <v>1.1000000000000001</v>
      </c>
    </row>
    <row r="20" spans="2:24" s="3" customFormat="1" ht="33" customHeight="1" x14ac:dyDescent="0.3">
      <c r="B20" s="7">
        <v>0.14583333333333334</v>
      </c>
      <c r="C20" s="10">
        <v>1167</v>
      </c>
      <c r="D20" s="10" t="s">
        <v>33</v>
      </c>
      <c r="E20" s="10">
        <v>500</v>
      </c>
      <c r="F20" s="10">
        <v>1833</v>
      </c>
      <c r="G20" s="10" t="s">
        <v>34</v>
      </c>
      <c r="H20" s="10">
        <v>3.4</v>
      </c>
      <c r="I20" s="10">
        <v>90</v>
      </c>
      <c r="J20" s="10">
        <v>90</v>
      </c>
      <c r="K20" s="10">
        <v>90</v>
      </c>
      <c r="L20" s="10">
        <v>23.6</v>
      </c>
      <c r="M20" s="10">
        <v>6.8</v>
      </c>
      <c r="N20" s="10">
        <v>3.87</v>
      </c>
      <c r="O20" s="10">
        <v>16</v>
      </c>
      <c r="P20" s="10">
        <v>10.5</v>
      </c>
      <c r="Q20" s="10">
        <v>7</v>
      </c>
      <c r="R20" s="10">
        <v>10.7</v>
      </c>
      <c r="S20" s="10">
        <v>0.21</v>
      </c>
      <c r="T20" s="10">
        <v>0.83</v>
      </c>
      <c r="U20" s="10">
        <v>7</v>
      </c>
      <c r="V20" s="10">
        <v>10.6</v>
      </c>
      <c r="W20" s="10">
        <v>0.19</v>
      </c>
      <c r="X20" s="10">
        <v>0.83</v>
      </c>
    </row>
    <row r="21" spans="2:24" s="3" customFormat="1" ht="33" customHeight="1" thickBot="1" x14ac:dyDescent="0.35">
      <c r="B21" s="8">
        <v>0.22916666666666666</v>
      </c>
      <c r="C21" s="11">
        <v>1156</v>
      </c>
      <c r="D21" s="11" t="s">
        <v>33</v>
      </c>
      <c r="E21" s="11">
        <v>500</v>
      </c>
      <c r="F21" s="11">
        <v>1830</v>
      </c>
      <c r="G21" s="11" t="s">
        <v>34</v>
      </c>
      <c r="H21" s="11">
        <v>3.4</v>
      </c>
      <c r="I21" s="11">
        <v>90</v>
      </c>
      <c r="J21" s="11">
        <v>90</v>
      </c>
      <c r="K21" s="11">
        <v>90</v>
      </c>
      <c r="L21" s="11">
        <v>23.3</v>
      </c>
      <c r="M21" s="11">
        <v>6.8</v>
      </c>
      <c r="N21" s="11">
        <v>3.76</v>
      </c>
      <c r="O21" s="11">
        <v>15</v>
      </c>
      <c r="P21" s="11">
        <v>9.9</v>
      </c>
      <c r="Q21" s="11">
        <v>6.9</v>
      </c>
      <c r="R21" s="11">
        <v>11.4</v>
      </c>
      <c r="S21" s="11">
        <v>0.21</v>
      </c>
      <c r="T21" s="11">
        <v>0.91</v>
      </c>
      <c r="U21" s="11">
        <v>7</v>
      </c>
      <c r="V21" s="11">
        <v>12.6</v>
      </c>
      <c r="W21" s="11">
        <v>0.28999999999999998</v>
      </c>
      <c r="X21" s="11">
        <v>1.1299999999999999</v>
      </c>
    </row>
    <row r="23" spans="2:24" ht="27.75" customHeight="1" thickBot="1" x14ac:dyDescent="0.35">
      <c r="B23" s="12" t="s">
        <v>30</v>
      </c>
      <c r="C23" s="12"/>
      <c r="D23" s="12"/>
      <c r="E23" s="12"/>
      <c r="F23" s="12"/>
      <c r="G23" s="12"/>
      <c r="H23" s="12"/>
      <c r="I23" s="12"/>
      <c r="J23" s="12"/>
      <c r="K23" s="12"/>
      <c r="L23" s="12"/>
      <c r="M23" s="12"/>
      <c r="N23" s="12"/>
      <c r="O23" s="12"/>
      <c r="P23" s="12"/>
      <c r="Q23" s="12"/>
      <c r="R23" s="12"/>
      <c r="S23" s="12"/>
      <c r="T23" s="12"/>
      <c r="U23" s="12"/>
      <c r="V23" s="12"/>
      <c r="W23" s="12"/>
      <c r="X23" s="12"/>
    </row>
    <row r="24" spans="2:24" ht="27.75" customHeight="1" thickBot="1" x14ac:dyDescent="0.35">
      <c r="B24" s="13"/>
      <c r="C24" s="13"/>
      <c r="D24" s="13"/>
      <c r="E24" s="13"/>
      <c r="F24" s="13"/>
      <c r="G24" s="13"/>
      <c r="H24" s="13"/>
      <c r="I24" s="13"/>
      <c r="J24" s="13"/>
      <c r="K24" s="13"/>
      <c r="L24" s="13"/>
      <c r="M24" s="13"/>
      <c r="N24" s="13"/>
      <c r="O24" s="13"/>
      <c r="P24" s="13"/>
      <c r="Q24" s="13"/>
      <c r="R24" s="13"/>
      <c r="S24" s="13"/>
      <c r="T24" s="13"/>
      <c r="U24" s="13"/>
      <c r="V24" s="13"/>
      <c r="W24" s="13"/>
      <c r="X24" s="13"/>
    </row>
    <row r="25" spans="2:24" ht="27.75" customHeight="1" thickBot="1" x14ac:dyDescent="0.35">
      <c r="B25" s="13"/>
      <c r="C25" s="13"/>
      <c r="D25" s="13"/>
      <c r="E25" s="13"/>
      <c r="F25" s="13"/>
      <c r="G25" s="13"/>
      <c r="H25" s="13"/>
      <c r="I25" s="13"/>
      <c r="J25" s="13"/>
      <c r="K25" s="13"/>
      <c r="L25" s="13"/>
      <c r="M25" s="13"/>
      <c r="N25" s="13"/>
      <c r="O25" s="13"/>
      <c r="P25" s="13"/>
      <c r="Q25" s="13"/>
      <c r="R25" s="13"/>
      <c r="S25" s="13"/>
      <c r="T25" s="13"/>
      <c r="U25" s="13"/>
      <c r="V25" s="13"/>
      <c r="W25" s="13"/>
      <c r="X25" s="13"/>
    </row>
    <row r="26" spans="2:24" ht="27.75" customHeight="1" thickBot="1" x14ac:dyDescent="0.35">
      <c r="B26" s="13"/>
      <c r="C26" s="13"/>
      <c r="D26" s="13"/>
      <c r="E26" s="13"/>
      <c r="F26" s="13"/>
      <c r="G26" s="13"/>
      <c r="H26" s="13"/>
      <c r="I26" s="13"/>
      <c r="J26" s="13"/>
      <c r="K26" s="13"/>
      <c r="L26" s="13"/>
      <c r="M26" s="13"/>
      <c r="N26" s="13"/>
      <c r="O26" s="13"/>
      <c r="P26" s="13"/>
      <c r="Q26" s="13"/>
      <c r="R26" s="13"/>
      <c r="S26" s="13"/>
      <c r="T26" s="13"/>
      <c r="U26" s="13"/>
      <c r="V26" s="13"/>
      <c r="W26" s="13"/>
      <c r="X26" s="13"/>
    </row>
    <row r="27" spans="2:24" ht="27.75" customHeight="1" thickBot="1" x14ac:dyDescent="0.35">
      <c r="B27" s="13"/>
      <c r="C27" s="13"/>
      <c r="D27" s="13"/>
      <c r="E27" s="13"/>
      <c r="F27" s="13"/>
      <c r="G27" s="13"/>
      <c r="H27" s="13"/>
      <c r="I27" s="13"/>
      <c r="J27" s="13"/>
      <c r="K27" s="13"/>
      <c r="L27" s="13"/>
      <c r="M27" s="13"/>
      <c r="N27" s="13"/>
      <c r="O27" s="13"/>
      <c r="P27" s="13"/>
      <c r="Q27" s="13"/>
      <c r="R27" s="13"/>
      <c r="S27" s="13"/>
      <c r="T27" s="13"/>
      <c r="U27" s="13"/>
      <c r="V27" s="13"/>
      <c r="W27" s="13"/>
      <c r="X27" s="13"/>
    </row>
    <row r="28" spans="2:24" x14ac:dyDescent="0.3">
      <c r="B28" s="14"/>
      <c r="C28" s="14"/>
      <c r="D28" s="14"/>
      <c r="E28" s="14"/>
      <c r="F28" s="14"/>
      <c r="G28" s="14"/>
      <c r="H28" s="14"/>
      <c r="I28" s="14"/>
      <c r="J28" s="14"/>
      <c r="K28" s="14"/>
      <c r="L28" s="14"/>
      <c r="M28" s="14"/>
      <c r="N28" s="14"/>
      <c r="O28" s="14"/>
      <c r="P28" s="14"/>
      <c r="Q28" s="14"/>
      <c r="R28" s="14"/>
      <c r="S28" s="14"/>
      <c r="T28" s="14"/>
      <c r="U28" s="14"/>
      <c r="V28" s="14"/>
      <c r="W28" s="14"/>
      <c r="X28" s="14"/>
    </row>
  </sheetData>
  <mergeCells count="6">
    <mergeCell ref="U8:X8"/>
    <mergeCell ref="C8:F8"/>
    <mergeCell ref="G8:H8"/>
    <mergeCell ref="I8:K8"/>
    <mergeCell ref="L8:P8"/>
    <mergeCell ref="Q8:T8"/>
  </mergeCells>
  <pageMargins left="0.7" right="0.7" top="0.75" bottom="0.75" header="0.3" footer="0.3"/>
  <pageSetup paperSize="9" scale="60" orientation="landscape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E620AB4-9016-4FB5-B808-EAF470CBF96D}">
  <dimension ref="B2:Y28"/>
  <sheetViews>
    <sheetView view="pageBreakPreview" topLeftCell="A8" zoomScaleNormal="100" zoomScaleSheetLayoutView="100" workbookViewId="0">
      <selection activeCell="B10" sqref="B10:X21"/>
    </sheetView>
  </sheetViews>
  <sheetFormatPr defaultRowHeight="14.4" x14ac:dyDescent="0.3"/>
  <cols>
    <col min="1" max="1" width="3" customWidth="1"/>
    <col min="3" max="24" width="9" customWidth="1"/>
    <col min="25" max="25" width="5.109375" customWidth="1"/>
  </cols>
  <sheetData>
    <row r="2" spans="2:25" x14ac:dyDescent="0.3">
      <c r="B2" t="s">
        <v>2</v>
      </c>
      <c r="C2" t="s">
        <v>1</v>
      </c>
    </row>
    <row r="3" spans="2:25" x14ac:dyDescent="0.3">
      <c r="B3" t="s">
        <v>3</v>
      </c>
    </row>
    <row r="4" spans="2:25" x14ac:dyDescent="0.3">
      <c r="B4" t="s">
        <v>4</v>
      </c>
    </row>
    <row r="5" spans="2:25" x14ac:dyDescent="0.3">
      <c r="B5" t="s">
        <v>5</v>
      </c>
      <c r="C5" s="15">
        <v>46131</v>
      </c>
      <c r="E5" t="s">
        <v>6</v>
      </c>
      <c r="F5" t="s">
        <v>38</v>
      </c>
    </row>
    <row r="6" spans="2:25" x14ac:dyDescent="0.3">
      <c r="E6" t="s">
        <v>7</v>
      </c>
      <c r="F6" t="s">
        <v>32</v>
      </c>
    </row>
    <row r="7" spans="2:25" ht="15" thickBot="1" x14ac:dyDescent="0.35"/>
    <row r="8" spans="2:25" ht="15" thickBot="1" x14ac:dyDescent="0.35">
      <c r="B8" s="2" t="s">
        <v>0</v>
      </c>
      <c r="C8" s="93" t="s">
        <v>8</v>
      </c>
      <c r="D8" s="93"/>
      <c r="E8" s="93"/>
      <c r="F8" s="93"/>
      <c r="G8" s="93" t="s">
        <v>25</v>
      </c>
      <c r="H8" s="93"/>
      <c r="I8" s="93" t="s">
        <v>26</v>
      </c>
      <c r="J8" s="93"/>
      <c r="K8" s="93"/>
      <c r="L8" s="93" t="s">
        <v>27</v>
      </c>
      <c r="M8" s="93"/>
      <c r="N8" s="93"/>
      <c r="O8" s="93"/>
      <c r="P8" s="93"/>
      <c r="Q8" s="93" t="s">
        <v>28</v>
      </c>
      <c r="R8" s="93"/>
      <c r="S8" s="93"/>
      <c r="T8" s="93"/>
      <c r="U8" s="93" t="s">
        <v>29</v>
      </c>
      <c r="V8" s="93"/>
      <c r="W8" s="93"/>
      <c r="X8" s="93"/>
    </row>
    <row r="9" spans="2:25" ht="43.8" thickBot="1" x14ac:dyDescent="0.35">
      <c r="B9" s="4"/>
      <c r="C9" s="5" t="s">
        <v>9</v>
      </c>
      <c r="D9" s="5" t="s">
        <v>10</v>
      </c>
      <c r="E9" s="5" t="s">
        <v>11</v>
      </c>
      <c r="F9" s="5" t="s">
        <v>12</v>
      </c>
      <c r="G9" s="5" t="s">
        <v>13</v>
      </c>
      <c r="H9" s="5" t="s">
        <v>14</v>
      </c>
      <c r="I9" s="5" t="s">
        <v>15</v>
      </c>
      <c r="J9" s="5" t="s">
        <v>16</v>
      </c>
      <c r="K9" s="5" t="s">
        <v>17</v>
      </c>
      <c r="L9" s="5" t="s">
        <v>18</v>
      </c>
      <c r="M9" s="5" t="s">
        <v>19</v>
      </c>
      <c r="N9" s="5" t="s">
        <v>20</v>
      </c>
      <c r="O9" s="5" t="s">
        <v>21</v>
      </c>
      <c r="P9" s="5" t="s">
        <v>22</v>
      </c>
      <c r="Q9" s="5" t="s">
        <v>19</v>
      </c>
      <c r="R9" s="5" t="s">
        <v>22</v>
      </c>
      <c r="S9" s="5" t="s">
        <v>23</v>
      </c>
      <c r="T9" s="5" t="s">
        <v>24</v>
      </c>
      <c r="U9" s="5" t="s">
        <v>19</v>
      </c>
      <c r="V9" s="5" t="s">
        <v>22</v>
      </c>
      <c r="W9" s="5" t="s">
        <v>23</v>
      </c>
      <c r="X9" s="5" t="s">
        <v>24</v>
      </c>
      <c r="Y9" s="1"/>
    </row>
    <row r="10" spans="2:25" s="3" customFormat="1" ht="33" customHeight="1" x14ac:dyDescent="0.3">
      <c r="B10" s="6">
        <v>0.3125</v>
      </c>
      <c r="C10" s="9">
        <v>560</v>
      </c>
      <c r="D10" s="9">
        <v>87</v>
      </c>
      <c r="E10" s="9">
        <v>525</v>
      </c>
      <c r="F10" s="9">
        <v>1210</v>
      </c>
      <c r="G10" s="9" t="s">
        <v>34</v>
      </c>
      <c r="H10" s="9">
        <v>3.6</v>
      </c>
      <c r="I10" s="9">
        <v>1435</v>
      </c>
      <c r="J10" s="9">
        <v>1435</v>
      </c>
      <c r="K10" s="9">
        <v>1435</v>
      </c>
      <c r="L10" s="9">
        <v>23.6</v>
      </c>
      <c r="M10" s="9">
        <v>6.8</v>
      </c>
      <c r="N10" s="9">
        <v>4.2699999999999996</v>
      </c>
      <c r="O10" s="9">
        <v>20</v>
      </c>
      <c r="P10" s="9">
        <v>9.1999999999999993</v>
      </c>
      <c r="Q10" s="9">
        <v>6.9</v>
      </c>
      <c r="R10" s="9">
        <v>10.8</v>
      </c>
      <c r="S10" s="9">
        <v>0.18</v>
      </c>
      <c r="T10" s="9">
        <v>0.83</v>
      </c>
      <c r="U10" s="9">
        <v>6.9</v>
      </c>
      <c r="V10" s="9">
        <v>10.199999999999999</v>
      </c>
      <c r="W10" s="9">
        <v>0.13</v>
      </c>
      <c r="X10" s="9">
        <v>0.99</v>
      </c>
    </row>
    <row r="11" spans="2:25" s="3" customFormat="1" ht="33" customHeight="1" x14ac:dyDescent="0.3">
      <c r="B11" s="7">
        <v>0.39583333333333331</v>
      </c>
      <c r="C11" s="10">
        <v>530</v>
      </c>
      <c r="D11" s="10">
        <v>82</v>
      </c>
      <c r="E11" s="10">
        <v>528</v>
      </c>
      <c r="F11" s="10">
        <v>1166</v>
      </c>
      <c r="G11" s="10" t="s">
        <v>34</v>
      </c>
      <c r="H11" s="10">
        <v>3.6</v>
      </c>
      <c r="I11" s="10">
        <v>1435</v>
      </c>
      <c r="J11" s="10">
        <v>1435</v>
      </c>
      <c r="K11" s="10">
        <v>1435</v>
      </c>
      <c r="L11" s="10">
        <v>23.8</v>
      </c>
      <c r="M11" s="10">
        <v>6.8</v>
      </c>
      <c r="N11" s="10">
        <v>4.76</v>
      </c>
      <c r="O11" s="10">
        <v>17</v>
      </c>
      <c r="P11" s="10">
        <v>14.1</v>
      </c>
      <c r="Q11" s="10">
        <v>7</v>
      </c>
      <c r="R11" s="10">
        <v>15</v>
      </c>
      <c r="S11" s="10">
        <v>0.15</v>
      </c>
      <c r="T11" s="10">
        <v>0.77</v>
      </c>
      <c r="U11" s="10">
        <v>7</v>
      </c>
      <c r="V11" s="10">
        <v>10.5</v>
      </c>
      <c r="W11" s="10">
        <v>0.13</v>
      </c>
      <c r="X11" s="10">
        <v>0.84</v>
      </c>
    </row>
    <row r="12" spans="2:25" s="3" customFormat="1" ht="33" customHeight="1" x14ac:dyDescent="0.3">
      <c r="B12" s="7">
        <v>0.47916666666666669</v>
      </c>
      <c r="C12" s="10">
        <v>551</v>
      </c>
      <c r="D12" s="10">
        <v>82</v>
      </c>
      <c r="E12" s="10">
        <v>528</v>
      </c>
      <c r="F12" s="10">
        <v>1164</v>
      </c>
      <c r="G12" s="10" t="s">
        <v>34</v>
      </c>
      <c r="H12" s="10">
        <v>3.6</v>
      </c>
      <c r="I12" s="10">
        <v>1435</v>
      </c>
      <c r="J12" s="10">
        <v>1435</v>
      </c>
      <c r="K12" s="10">
        <v>1435</v>
      </c>
      <c r="L12" s="10">
        <v>24.2</v>
      </c>
      <c r="M12" s="10">
        <v>6.8</v>
      </c>
      <c r="N12" s="10">
        <v>3.85</v>
      </c>
      <c r="O12" s="10">
        <v>15</v>
      </c>
      <c r="P12" s="10">
        <v>12.2</v>
      </c>
      <c r="Q12" s="10">
        <v>6.9</v>
      </c>
      <c r="R12" s="10">
        <v>15</v>
      </c>
      <c r="S12" s="10">
        <v>0.18</v>
      </c>
      <c r="T12" s="10">
        <v>0.72</v>
      </c>
      <c r="U12" s="10">
        <v>6.9</v>
      </c>
      <c r="V12" s="10">
        <v>13.2</v>
      </c>
      <c r="W12" s="10">
        <v>0.19</v>
      </c>
      <c r="X12" s="10">
        <v>0.75</v>
      </c>
    </row>
    <row r="13" spans="2:25" s="3" customFormat="1" ht="33" customHeight="1" x14ac:dyDescent="0.3">
      <c r="B13" s="7">
        <v>0.5625</v>
      </c>
      <c r="C13" s="10"/>
      <c r="D13" s="10"/>
      <c r="E13" s="10"/>
      <c r="F13" s="10"/>
      <c r="G13" s="10"/>
      <c r="H13" s="10"/>
      <c r="I13" s="10"/>
      <c r="J13" s="10"/>
      <c r="K13" s="10"/>
      <c r="L13" s="10"/>
      <c r="M13" s="10"/>
      <c r="N13" s="10"/>
      <c r="O13" s="10"/>
      <c r="P13" s="10"/>
      <c r="Q13" s="10"/>
      <c r="R13" s="10"/>
      <c r="S13" s="10"/>
      <c r="T13" s="10"/>
      <c r="U13" s="10"/>
      <c r="V13" s="10"/>
      <c r="W13" s="10"/>
      <c r="X13" s="10"/>
    </row>
    <row r="14" spans="2:25" s="3" customFormat="1" ht="33" customHeight="1" x14ac:dyDescent="0.3">
      <c r="B14" s="7">
        <v>0.64583333333333337</v>
      </c>
      <c r="C14" s="10">
        <v>542</v>
      </c>
      <c r="D14" s="10">
        <v>89</v>
      </c>
      <c r="E14" s="10">
        <v>528</v>
      </c>
      <c r="F14" s="10">
        <v>1249</v>
      </c>
      <c r="G14" s="10" t="s">
        <v>34</v>
      </c>
      <c r="H14" s="10">
        <v>3.6</v>
      </c>
      <c r="I14" s="10">
        <v>1435</v>
      </c>
      <c r="J14" s="10">
        <v>1435</v>
      </c>
      <c r="K14" s="10">
        <v>1435</v>
      </c>
      <c r="L14" s="10">
        <v>26.1</v>
      </c>
      <c r="M14" s="10">
        <v>6.9</v>
      </c>
      <c r="N14" s="10">
        <v>4.41</v>
      </c>
      <c r="O14" s="10">
        <v>16</v>
      </c>
      <c r="P14" s="10">
        <v>9.8000000000000007</v>
      </c>
      <c r="Q14" s="10">
        <v>6.9</v>
      </c>
      <c r="R14" s="10">
        <v>10.3</v>
      </c>
      <c r="S14" s="10">
        <v>0.36</v>
      </c>
      <c r="T14" s="10">
        <v>0.7</v>
      </c>
      <c r="U14" s="10">
        <v>7</v>
      </c>
      <c r="V14" s="10">
        <v>10.4</v>
      </c>
      <c r="W14" s="10">
        <v>0.34</v>
      </c>
      <c r="X14" s="10">
        <v>0.68</v>
      </c>
    </row>
    <row r="15" spans="2:25" s="3" customFormat="1" ht="33" customHeight="1" x14ac:dyDescent="0.3">
      <c r="B15" s="7">
        <v>0.72916666666666663</v>
      </c>
      <c r="C15" s="10">
        <v>1270</v>
      </c>
      <c r="D15" s="10">
        <v>82</v>
      </c>
      <c r="E15" s="10">
        <v>500</v>
      </c>
      <c r="F15" s="10">
        <v>1818</v>
      </c>
      <c r="G15" s="10" t="s">
        <v>34</v>
      </c>
      <c r="H15" s="10">
        <v>3.6</v>
      </c>
      <c r="I15" s="10">
        <v>1435</v>
      </c>
      <c r="J15" s="10">
        <v>1435</v>
      </c>
      <c r="K15" s="10"/>
      <c r="L15" s="10">
        <v>25.5</v>
      </c>
      <c r="M15" s="10">
        <v>6.8</v>
      </c>
      <c r="N15" s="10">
        <v>4.2</v>
      </c>
      <c r="O15" s="10">
        <v>17</v>
      </c>
      <c r="P15" s="10">
        <v>4.7</v>
      </c>
      <c r="Q15" s="10">
        <v>6.7</v>
      </c>
      <c r="R15" s="10">
        <v>6.9</v>
      </c>
      <c r="S15" s="10">
        <v>0.28000000000000003</v>
      </c>
      <c r="T15" s="10">
        <v>0.75</v>
      </c>
      <c r="U15" s="10">
        <v>6.7</v>
      </c>
      <c r="V15" s="10">
        <v>7.8</v>
      </c>
      <c r="W15" s="10">
        <v>0.15</v>
      </c>
      <c r="X15" s="10">
        <v>0.76</v>
      </c>
    </row>
    <row r="16" spans="2:25" s="3" customFormat="1" ht="33" customHeight="1" x14ac:dyDescent="0.3">
      <c r="B16" s="7">
        <v>0.8125</v>
      </c>
      <c r="C16" s="10">
        <v>1234</v>
      </c>
      <c r="D16" s="10">
        <v>82</v>
      </c>
      <c r="E16" s="10">
        <v>500</v>
      </c>
      <c r="F16" s="10">
        <v>1814</v>
      </c>
      <c r="G16" s="10" t="s">
        <v>34</v>
      </c>
      <c r="H16" s="10">
        <v>3.6</v>
      </c>
      <c r="I16" s="10">
        <v>1435</v>
      </c>
      <c r="J16" s="10">
        <v>1435</v>
      </c>
      <c r="K16" s="10">
        <v>1435</v>
      </c>
      <c r="L16" s="10">
        <v>14.9</v>
      </c>
      <c r="M16" s="10">
        <v>6.7</v>
      </c>
      <c r="N16" s="10">
        <v>4.07</v>
      </c>
      <c r="O16" s="10">
        <v>16</v>
      </c>
      <c r="P16" s="10">
        <v>8</v>
      </c>
      <c r="Q16" s="10">
        <v>7.1</v>
      </c>
      <c r="R16" s="10">
        <v>6.8</v>
      </c>
      <c r="S16" s="10">
        <v>0.17</v>
      </c>
      <c r="T16" s="10">
        <v>0.66</v>
      </c>
      <c r="U16" s="10">
        <v>6.7</v>
      </c>
      <c r="V16" s="10">
        <v>7.5</v>
      </c>
      <c r="W16" s="10">
        <v>0.24</v>
      </c>
      <c r="X16" s="10">
        <v>0.75</v>
      </c>
    </row>
    <row r="17" spans="2:24" s="3" customFormat="1" ht="33" customHeight="1" x14ac:dyDescent="0.3">
      <c r="B17" s="7">
        <v>0.89583333333333337</v>
      </c>
      <c r="C17" s="10">
        <v>1159</v>
      </c>
      <c r="D17" s="10">
        <v>90</v>
      </c>
      <c r="E17" s="10">
        <v>498</v>
      </c>
      <c r="F17" s="10">
        <v>1821</v>
      </c>
      <c r="G17" s="10" t="s">
        <v>34</v>
      </c>
      <c r="H17" s="10">
        <v>3.6</v>
      </c>
      <c r="I17" s="10">
        <v>1435</v>
      </c>
      <c r="J17" s="10">
        <v>1435</v>
      </c>
      <c r="K17" s="10">
        <v>1435</v>
      </c>
      <c r="L17" s="10">
        <v>24.6</v>
      </c>
      <c r="M17" s="10">
        <v>6.8</v>
      </c>
      <c r="N17" s="10">
        <v>5.7</v>
      </c>
      <c r="O17" s="10">
        <v>19</v>
      </c>
      <c r="P17" s="10">
        <v>8.4</v>
      </c>
      <c r="Q17" s="10">
        <v>6.8</v>
      </c>
      <c r="R17" s="10">
        <v>8.1</v>
      </c>
      <c r="S17" s="10">
        <v>0.3</v>
      </c>
      <c r="T17" s="10">
        <v>0.65</v>
      </c>
      <c r="U17" s="10">
        <v>6.7</v>
      </c>
      <c r="V17" s="10">
        <v>7.9</v>
      </c>
      <c r="W17" s="10">
        <v>0.15</v>
      </c>
      <c r="X17" s="10">
        <v>1.27</v>
      </c>
    </row>
    <row r="18" spans="2:24" s="3" customFormat="1" ht="33" customHeight="1" x14ac:dyDescent="0.3">
      <c r="B18" s="7">
        <v>0.97916666666666663</v>
      </c>
      <c r="C18" s="10">
        <v>1148</v>
      </c>
      <c r="D18" s="10">
        <v>80</v>
      </c>
      <c r="E18" s="10">
        <v>500</v>
      </c>
      <c r="F18" s="10">
        <v>1826</v>
      </c>
      <c r="G18" s="10" t="s">
        <v>34</v>
      </c>
      <c r="H18" s="10">
        <v>3.6</v>
      </c>
      <c r="I18" s="10">
        <v>1435</v>
      </c>
      <c r="J18" s="10">
        <v>1435</v>
      </c>
      <c r="K18" s="10">
        <v>1435</v>
      </c>
      <c r="L18" s="10">
        <v>24</v>
      </c>
      <c r="M18" s="10">
        <v>6.8</v>
      </c>
      <c r="N18" s="10">
        <v>3.68</v>
      </c>
      <c r="O18" s="10">
        <v>15</v>
      </c>
      <c r="P18" s="10">
        <v>9.4</v>
      </c>
      <c r="Q18" s="10">
        <v>6.7</v>
      </c>
      <c r="R18" s="10">
        <v>8.8000000000000007</v>
      </c>
      <c r="S18" s="10">
        <v>0.14000000000000001</v>
      </c>
      <c r="T18" s="10">
        <v>0.6</v>
      </c>
      <c r="U18" s="10">
        <v>6.6</v>
      </c>
      <c r="V18" s="10">
        <v>8.3000000000000007</v>
      </c>
      <c r="W18" s="10">
        <v>0.19</v>
      </c>
      <c r="X18" s="10">
        <v>0.75</v>
      </c>
    </row>
    <row r="19" spans="2:24" s="3" customFormat="1" ht="33" customHeight="1" x14ac:dyDescent="0.3">
      <c r="B19" s="7">
        <v>6.25E-2</v>
      </c>
      <c r="C19" s="10">
        <v>1146</v>
      </c>
      <c r="D19" s="10">
        <v>88</v>
      </c>
      <c r="E19" s="10">
        <v>500</v>
      </c>
      <c r="F19" s="10">
        <v>1814</v>
      </c>
      <c r="G19" s="10" t="s">
        <v>34</v>
      </c>
      <c r="H19" s="10">
        <v>3.6</v>
      </c>
      <c r="I19" s="10">
        <v>1435</v>
      </c>
      <c r="J19" s="10">
        <v>1435</v>
      </c>
      <c r="K19" s="10">
        <v>1435</v>
      </c>
      <c r="L19" s="10">
        <v>24.1</v>
      </c>
      <c r="M19" s="10">
        <v>6.7</v>
      </c>
      <c r="N19" s="10">
        <v>4.57</v>
      </c>
      <c r="O19" s="10">
        <v>17</v>
      </c>
      <c r="P19" s="10">
        <v>7.2</v>
      </c>
      <c r="Q19" s="10">
        <v>6.7</v>
      </c>
      <c r="R19" s="10">
        <v>7.7</v>
      </c>
      <c r="S19" s="10">
        <v>0.22</v>
      </c>
      <c r="T19" s="10">
        <v>0.65</v>
      </c>
      <c r="U19" s="10">
        <v>6.6</v>
      </c>
      <c r="V19" s="10">
        <v>7.5</v>
      </c>
      <c r="W19" s="10">
        <v>0.21</v>
      </c>
      <c r="X19" s="10">
        <v>0.79</v>
      </c>
    </row>
    <row r="20" spans="2:24" s="3" customFormat="1" ht="33" customHeight="1" x14ac:dyDescent="0.3">
      <c r="B20" s="7">
        <v>0.14583333333333334</v>
      </c>
      <c r="C20" s="10">
        <v>1089</v>
      </c>
      <c r="D20" s="10">
        <v>87</v>
      </c>
      <c r="E20" s="10">
        <v>500</v>
      </c>
      <c r="F20" s="10">
        <v>1830</v>
      </c>
      <c r="G20" s="10" t="s">
        <v>34</v>
      </c>
      <c r="H20" s="10">
        <v>3.6</v>
      </c>
      <c r="I20" s="10">
        <v>1435</v>
      </c>
      <c r="J20" s="10">
        <v>1435</v>
      </c>
      <c r="K20" s="10">
        <v>1435</v>
      </c>
      <c r="L20" s="10">
        <v>24</v>
      </c>
      <c r="M20" s="10">
        <v>6.7</v>
      </c>
      <c r="N20" s="10">
        <v>6.79</v>
      </c>
      <c r="O20" s="10">
        <v>15</v>
      </c>
      <c r="P20" s="10">
        <v>9.1999999999999993</v>
      </c>
      <c r="Q20" s="10">
        <v>6.7</v>
      </c>
      <c r="R20" s="10">
        <v>9.5</v>
      </c>
      <c r="S20" s="10">
        <v>0.18</v>
      </c>
      <c r="T20" s="10">
        <v>0.79</v>
      </c>
      <c r="U20" s="10">
        <v>6.6</v>
      </c>
      <c r="V20" s="10">
        <v>9.6</v>
      </c>
      <c r="W20" s="10">
        <v>0.21</v>
      </c>
      <c r="X20" s="10">
        <v>1</v>
      </c>
    </row>
    <row r="21" spans="2:24" s="3" customFormat="1" ht="33" customHeight="1" thickBot="1" x14ac:dyDescent="0.35">
      <c r="B21" s="8">
        <v>0.22916666666666666</v>
      </c>
      <c r="C21" s="11">
        <v>1215</v>
      </c>
      <c r="D21" s="11">
        <v>86</v>
      </c>
      <c r="E21" s="11">
        <v>499</v>
      </c>
      <c r="F21" s="11">
        <v>1809</v>
      </c>
      <c r="G21" s="11" t="s">
        <v>34</v>
      </c>
      <c r="H21" s="11">
        <v>3.6</v>
      </c>
      <c r="I21" s="11">
        <v>1435</v>
      </c>
      <c r="J21" s="11">
        <v>1435</v>
      </c>
      <c r="K21" s="11">
        <v>1435</v>
      </c>
      <c r="L21" s="11">
        <v>23.5</v>
      </c>
      <c r="M21" s="11">
        <v>6.6</v>
      </c>
      <c r="N21" s="11">
        <v>3.65</v>
      </c>
      <c r="O21" s="11">
        <v>17</v>
      </c>
      <c r="P21" s="11">
        <v>8.1</v>
      </c>
      <c r="Q21" s="11">
        <v>6.7</v>
      </c>
      <c r="R21" s="11">
        <v>7.5</v>
      </c>
      <c r="S21" s="11">
        <v>0.15</v>
      </c>
      <c r="T21" s="11">
        <v>0.72</v>
      </c>
      <c r="U21" s="11">
        <v>6.7</v>
      </c>
      <c r="V21" s="11">
        <v>7.9</v>
      </c>
      <c r="W21" s="11">
        <v>0.19</v>
      </c>
      <c r="X21" s="11">
        <v>1.21</v>
      </c>
    </row>
    <row r="23" spans="2:24" ht="27.75" customHeight="1" thickBot="1" x14ac:dyDescent="0.35">
      <c r="B23" s="12" t="s">
        <v>30</v>
      </c>
      <c r="C23" s="12"/>
      <c r="D23" s="12"/>
      <c r="E23" s="12"/>
      <c r="F23" s="12"/>
      <c r="G23" s="12"/>
      <c r="H23" s="12"/>
      <c r="I23" s="12"/>
      <c r="J23" s="12"/>
      <c r="K23" s="12"/>
      <c r="L23" s="12"/>
      <c r="M23" s="12"/>
      <c r="N23" s="12"/>
      <c r="O23" s="12"/>
      <c r="P23" s="12"/>
      <c r="Q23" s="12"/>
      <c r="R23" s="12"/>
      <c r="S23" s="12"/>
      <c r="T23" s="12"/>
      <c r="U23" s="12"/>
      <c r="V23" s="12"/>
      <c r="W23" s="12"/>
      <c r="X23" s="12"/>
    </row>
    <row r="24" spans="2:24" ht="27.75" customHeight="1" thickBot="1" x14ac:dyDescent="0.35">
      <c r="B24" s="13"/>
      <c r="C24" s="13"/>
      <c r="D24" s="13"/>
      <c r="E24" s="13"/>
      <c r="F24" s="13"/>
      <c r="G24" s="13"/>
      <c r="H24" s="13"/>
      <c r="I24" s="13"/>
      <c r="J24" s="13"/>
      <c r="K24" s="13"/>
      <c r="L24" s="13"/>
      <c r="M24" s="13"/>
      <c r="N24" s="13"/>
      <c r="O24" s="13"/>
      <c r="P24" s="13"/>
      <c r="Q24" s="13"/>
      <c r="R24" s="13"/>
      <c r="S24" s="13"/>
      <c r="T24" s="13"/>
      <c r="U24" s="13"/>
      <c r="V24" s="13"/>
      <c r="W24" s="13"/>
      <c r="X24" s="13"/>
    </row>
    <row r="25" spans="2:24" ht="27.75" customHeight="1" thickBot="1" x14ac:dyDescent="0.35">
      <c r="B25" s="13"/>
      <c r="C25" s="13"/>
      <c r="D25" s="13"/>
      <c r="E25" s="13"/>
      <c r="F25" s="13"/>
      <c r="G25" s="13"/>
      <c r="H25" s="13"/>
      <c r="I25" s="13"/>
      <c r="J25" s="13"/>
      <c r="K25" s="13"/>
      <c r="L25" s="13"/>
      <c r="M25" s="13"/>
      <c r="N25" s="13"/>
      <c r="O25" s="13"/>
      <c r="P25" s="13"/>
      <c r="Q25" s="13"/>
      <c r="R25" s="13"/>
      <c r="S25" s="13"/>
      <c r="T25" s="13"/>
      <c r="U25" s="13"/>
      <c r="V25" s="13"/>
      <c r="W25" s="13"/>
      <c r="X25" s="13"/>
    </row>
    <row r="26" spans="2:24" ht="27.75" customHeight="1" thickBot="1" x14ac:dyDescent="0.35">
      <c r="B26" s="13"/>
      <c r="C26" s="13"/>
      <c r="D26" s="13"/>
      <c r="E26" s="13"/>
      <c r="F26" s="13"/>
      <c r="G26" s="13"/>
      <c r="H26" s="13"/>
      <c r="I26" s="13"/>
      <c r="J26" s="13"/>
      <c r="K26" s="13"/>
      <c r="L26" s="13"/>
      <c r="M26" s="13"/>
      <c r="N26" s="13"/>
      <c r="O26" s="13"/>
      <c r="P26" s="13"/>
      <c r="Q26" s="13"/>
      <c r="R26" s="13"/>
      <c r="S26" s="13"/>
      <c r="T26" s="13"/>
      <c r="U26" s="13"/>
      <c r="V26" s="13"/>
      <c r="W26" s="13"/>
      <c r="X26" s="13"/>
    </row>
    <row r="27" spans="2:24" ht="27.75" customHeight="1" thickBot="1" x14ac:dyDescent="0.35">
      <c r="B27" s="13"/>
      <c r="C27" s="13"/>
      <c r="D27" s="13"/>
      <c r="E27" s="13"/>
      <c r="F27" s="13"/>
      <c r="G27" s="13"/>
      <c r="H27" s="13"/>
      <c r="I27" s="13"/>
      <c r="J27" s="13"/>
      <c r="K27" s="13"/>
      <c r="L27" s="13"/>
      <c r="M27" s="13"/>
      <c r="N27" s="13"/>
      <c r="O27" s="13"/>
      <c r="P27" s="13"/>
      <c r="Q27" s="13"/>
      <c r="R27" s="13"/>
      <c r="S27" s="13"/>
      <c r="T27" s="13"/>
      <c r="U27" s="13"/>
      <c r="V27" s="13"/>
      <c r="W27" s="13"/>
      <c r="X27" s="13"/>
    </row>
    <row r="28" spans="2:24" x14ac:dyDescent="0.3">
      <c r="B28" s="14"/>
      <c r="C28" s="14"/>
      <c r="D28" s="14"/>
      <c r="E28" s="14"/>
      <c r="F28" s="14"/>
      <c r="G28" s="14"/>
      <c r="H28" s="14"/>
      <c r="I28" s="14"/>
      <c r="J28" s="14"/>
      <c r="K28" s="14"/>
      <c r="L28" s="14"/>
      <c r="M28" s="14"/>
      <c r="N28" s="14"/>
      <c r="O28" s="14"/>
      <c r="P28" s="14"/>
      <c r="Q28" s="14"/>
      <c r="R28" s="14"/>
      <c r="S28" s="14"/>
      <c r="T28" s="14"/>
      <c r="U28" s="14"/>
      <c r="V28" s="14"/>
      <c r="W28" s="14"/>
      <c r="X28" s="14"/>
    </row>
  </sheetData>
  <mergeCells count="6">
    <mergeCell ref="U8:X8"/>
    <mergeCell ref="C8:F8"/>
    <mergeCell ref="G8:H8"/>
    <mergeCell ref="I8:K8"/>
    <mergeCell ref="L8:P8"/>
    <mergeCell ref="Q8:T8"/>
  </mergeCells>
  <pageMargins left="0.7" right="0.7" top="0.75" bottom="0.75" header="0.3" footer="0.3"/>
  <pageSetup paperSize="9" scale="60" orientation="landscape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B2D4552-CF14-4CCE-B5AC-81490FA76BA1}">
  <dimension ref="B2:Y28"/>
  <sheetViews>
    <sheetView view="pageBreakPreview" topLeftCell="A8" zoomScaleNormal="100" zoomScaleSheetLayoutView="100" workbookViewId="0">
      <selection activeCell="B10" sqref="B10:X21"/>
    </sheetView>
  </sheetViews>
  <sheetFormatPr defaultRowHeight="14.4" x14ac:dyDescent="0.3"/>
  <cols>
    <col min="1" max="1" width="3" customWidth="1"/>
    <col min="3" max="24" width="9" customWidth="1"/>
    <col min="25" max="25" width="5.109375" customWidth="1"/>
  </cols>
  <sheetData>
    <row r="2" spans="2:25" x14ac:dyDescent="0.3">
      <c r="B2" t="s">
        <v>2</v>
      </c>
      <c r="C2" t="s">
        <v>1</v>
      </c>
    </row>
    <row r="3" spans="2:25" x14ac:dyDescent="0.3">
      <c r="B3" t="s">
        <v>3</v>
      </c>
    </row>
    <row r="4" spans="2:25" x14ac:dyDescent="0.3">
      <c r="B4" t="s">
        <v>4</v>
      </c>
    </row>
    <row r="5" spans="2:25" x14ac:dyDescent="0.3">
      <c r="B5" t="s">
        <v>5</v>
      </c>
      <c r="C5" s="15">
        <v>46130</v>
      </c>
      <c r="E5" t="s">
        <v>6</v>
      </c>
    </row>
    <row r="6" spans="2:25" x14ac:dyDescent="0.3">
      <c r="E6" t="s">
        <v>7</v>
      </c>
    </row>
    <row r="7" spans="2:25" ht="15" thickBot="1" x14ac:dyDescent="0.35">
      <c r="B7" s="94" t="s">
        <v>39</v>
      </c>
      <c r="C7" s="94"/>
      <c r="D7" s="94"/>
      <c r="E7" s="94"/>
      <c r="F7" s="94"/>
      <c r="G7" s="94"/>
      <c r="H7" s="94"/>
      <c r="I7" s="94"/>
      <c r="J7" s="94"/>
      <c r="K7" s="94"/>
      <c r="L7" s="94"/>
      <c r="M7" s="94"/>
      <c r="N7" s="94"/>
      <c r="O7" s="94"/>
      <c r="P7" s="94"/>
      <c r="Q7" s="94"/>
      <c r="R7" s="94"/>
      <c r="S7" s="94"/>
      <c r="T7" s="94"/>
      <c r="U7" s="94"/>
      <c r="V7" s="94"/>
      <c r="W7" s="94"/>
      <c r="X7" s="94"/>
    </row>
    <row r="8" spans="2:25" ht="15" thickBot="1" x14ac:dyDescent="0.35">
      <c r="B8" s="2" t="s">
        <v>0</v>
      </c>
      <c r="C8" s="93" t="s">
        <v>8</v>
      </c>
      <c r="D8" s="93"/>
      <c r="E8" s="93"/>
      <c r="F8" s="93"/>
      <c r="G8" s="93" t="s">
        <v>25</v>
      </c>
      <c r="H8" s="93"/>
      <c r="I8" s="93" t="s">
        <v>26</v>
      </c>
      <c r="J8" s="93"/>
      <c r="K8" s="93"/>
      <c r="L8" s="93" t="s">
        <v>27</v>
      </c>
      <c r="M8" s="93"/>
      <c r="N8" s="93"/>
      <c r="O8" s="93"/>
      <c r="P8" s="93"/>
      <c r="Q8" s="93" t="s">
        <v>28</v>
      </c>
      <c r="R8" s="93"/>
      <c r="S8" s="93"/>
      <c r="T8" s="93"/>
      <c r="U8" s="93" t="s">
        <v>29</v>
      </c>
      <c r="V8" s="93"/>
      <c r="W8" s="93"/>
      <c r="X8" s="93"/>
    </row>
    <row r="9" spans="2:25" ht="43.8" thickBot="1" x14ac:dyDescent="0.35">
      <c r="B9" s="4"/>
      <c r="C9" s="5" t="s">
        <v>9</v>
      </c>
      <c r="D9" s="5" t="s">
        <v>10</v>
      </c>
      <c r="E9" s="5" t="s">
        <v>11</v>
      </c>
      <c r="F9" s="5" t="s">
        <v>12</v>
      </c>
      <c r="G9" s="5" t="s">
        <v>13</v>
      </c>
      <c r="H9" s="5" t="s">
        <v>14</v>
      </c>
      <c r="I9" s="5" t="s">
        <v>15</v>
      </c>
      <c r="J9" s="5" t="s">
        <v>16</v>
      </c>
      <c r="K9" s="5" t="s">
        <v>17</v>
      </c>
      <c r="L9" s="5" t="s">
        <v>18</v>
      </c>
      <c r="M9" s="5" t="s">
        <v>19</v>
      </c>
      <c r="N9" s="5" t="s">
        <v>20</v>
      </c>
      <c r="O9" s="5" t="s">
        <v>21</v>
      </c>
      <c r="P9" s="5" t="s">
        <v>22</v>
      </c>
      <c r="Q9" s="5" t="s">
        <v>19</v>
      </c>
      <c r="R9" s="5" t="s">
        <v>22</v>
      </c>
      <c r="S9" s="5" t="s">
        <v>23</v>
      </c>
      <c r="T9" s="5" t="s">
        <v>24</v>
      </c>
      <c r="U9" s="5" t="s">
        <v>19</v>
      </c>
      <c r="V9" s="5" t="s">
        <v>22</v>
      </c>
      <c r="W9" s="5" t="s">
        <v>23</v>
      </c>
      <c r="X9" s="5" t="s">
        <v>24</v>
      </c>
      <c r="Y9" s="1"/>
    </row>
    <row r="10" spans="2:25" s="3" customFormat="1" ht="33" customHeight="1" x14ac:dyDescent="0.3">
      <c r="B10" s="6">
        <v>0.3125</v>
      </c>
      <c r="C10" s="9">
        <v>1192</v>
      </c>
      <c r="D10" s="9">
        <v>80</v>
      </c>
      <c r="E10" s="9">
        <v>499</v>
      </c>
      <c r="F10" s="9">
        <v>1814</v>
      </c>
      <c r="G10" s="9" t="s">
        <v>34</v>
      </c>
      <c r="H10" s="9">
        <v>3.6</v>
      </c>
      <c r="I10" s="9">
        <v>1435</v>
      </c>
      <c r="J10" s="9">
        <v>1435</v>
      </c>
      <c r="K10" s="9">
        <v>1435</v>
      </c>
      <c r="L10" s="9">
        <v>23.3</v>
      </c>
      <c r="M10" s="9">
        <v>6.7</v>
      </c>
      <c r="N10" s="9">
        <v>4.0599999999999996</v>
      </c>
      <c r="O10" s="9">
        <v>10</v>
      </c>
      <c r="P10" s="9">
        <v>8</v>
      </c>
      <c r="Q10" s="9">
        <v>6.7</v>
      </c>
      <c r="R10" s="9">
        <v>8.4</v>
      </c>
      <c r="S10" s="9">
        <v>0.17</v>
      </c>
      <c r="T10" s="9">
        <v>3.97</v>
      </c>
      <c r="U10" s="9">
        <v>6.6</v>
      </c>
      <c r="V10" s="9">
        <v>8.5</v>
      </c>
      <c r="W10" s="9">
        <v>0.17</v>
      </c>
      <c r="X10" s="9">
        <v>4.03</v>
      </c>
    </row>
    <row r="11" spans="2:25" s="3" customFormat="1" ht="33" customHeight="1" x14ac:dyDescent="0.3">
      <c r="B11" s="7">
        <v>0.39583333333333331</v>
      </c>
      <c r="C11" s="10">
        <v>1160</v>
      </c>
      <c r="D11" s="10">
        <v>81</v>
      </c>
      <c r="E11" s="10">
        <v>500</v>
      </c>
      <c r="F11" s="10">
        <v>1863</v>
      </c>
      <c r="G11" s="10" t="s">
        <v>34</v>
      </c>
      <c r="H11" s="10">
        <v>3.6</v>
      </c>
      <c r="I11" s="10">
        <v>1435</v>
      </c>
      <c r="J11" s="10">
        <v>1435</v>
      </c>
      <c r="K11" s="10">
        <v>1435</v>
      </c>
      <c r="L11" s="10">
        <v>23.3</v>
      </c>
      <c r="M11" s="10">
        <v>6.7</v>
      </c>
      <c r="N11" s="10">
        <v>4.0999999999999996</v>
      </c>
      <c r="O11" s="10">
        <v>18</v>
      </c>
      <c r="P11" s="10">
        <v>9.1999999999999993</v>
      </c>
      <c r="Q11" s="10">
        <v>6.7</v>
      </c>
      <c r="R11" s="10">
        <v>9.3000000000000007</v>
      </c>
      <c r="S11" s="10">
        <v>0.11</v>
      </c>
      <c r="T11" s="10">
        <v>4.1399999999999997</v>
      </c>
      <c r="U11" s="10">
        <v>6.7</v>
      </c>
      <c r="V11" s="10">
        <v>8.6999999999999993</v>
      </c>
      <c r="W11" s="10">
        <v>0.15</v>
      </c>
      <c r="X11" s="10">
        <v>3.83</v>
      </c>
    </row>
    <row r="12" spans="2:25" s="3" customFormat="1" ht="33" customHeight="1" x14ac:dyDescent="0.3">
      <c r="B12" s="7">
        <v>0.47916666666666669</v>
      </c>
      <c r="C12" s="10">
        <v>1197</v>
      </c>
      <c r="D12" s="10">
        <v>82</v>
      </c>
      <c r="E12" s="10">
        <v>499</v>
      </c>
      <c r="F12" s="10">
        <v>1749</v>
      </c>
      <c r="G12" s="10" t="s">
        <v>34</v>
      </c>
      <c r="H12" s="10">
        <v>3.6</v>
      </c>
      <c r="I12" s="10">
        <v>1435</v>
      </c>
      <c r="J12" s="10">
        <v>1435</v>
      </c>
      <c r="K12" s="10">
        <v>1435</v>
      </c>
      <c r="L12" s="10">
        <v>24.3</v>
      </c>
      <c r="M12" s="10">
        <v>6.7</v>
      </c>
      <c r="N12" s="10">
        <v>4.66</v>
      </c>
      <c r="O12" s="10">
        <v>18</v>
      </c>
      <c r="P12" s="10">
        <v>8.1999999999999993</v>
      </c>
      <c r="Q12" s="10">
        <v>6.7</v>
      </c>
      <c r="R12" s="10">
        <v>8.6</v>
      </c>
      <c r="S12" s="10">
        <v>0.25</v>
      </c>
      <c r="T12" s="10">
        <v>5.46</v>
      </c>
      <c r="U12" s="10">
        <v>6.6</v>
      </c>
      <c r="V12" s="10">
        <v>8.8000000000000007</v>
      </c>
      <c r="W12" s="10">
        <v>0.36</v>
      </c>
      <c r="X12" s="10">
        <v>5.8</v>
      </c>
    </row>
    <row r="13" spans="2:25" s="3" customFormat="1" ht="33" customHeight="1" x14ac:dyDescent="0.3">
      <c r="B13" s="7">
        <v>0.5625</v>
      </c>
      <c r="C13" s="10" t="s">
        <v>41</v>
      </c>
      <c r="D13" s="10" t="s">
        <v>33</v>
      </c>
      <c r="E13" s="10" t="s">
        <v>33</v>
      </c>
      <c r="F13" s="10" t="s">
        <v>33</v>
      </c>
      <c r="G13" s="10" t="s">
        <v>33</v>
      </c>
      <c r="H13" s="10" t="s">
        <v>33</v>
      </c>
      <c r="I13" s="10" t="s">
        <v>33</v>
      </c>
      <c r="J13" s="10" t="s">
        <v>33</v>
      </c>
      <c r="K13" s="10" t="s">
        <v>33</v>
      </c>
      <c r="L13" s="10" t="s">
        <v>33</v>
      </c>
      <c r="M13" s="10" t="s">
        <v>33</v>
      </c>
      <c r="N13" s="10" t="s">
        <v>33</v>
      </c>
      <c r="O13" s="10" t="s">
        <v>33</v>
      </c>
      <c r="P13" s="10" t="s">
        <v>33</v>
      </c>
      <c r="Q13" s="10" t="s">
        <v>33</v>
      </c>
      <c r="R13" s="10" t="s">
        <v>33</v>
      </c>
      <c r="S13" s="10" t="s">
        <v>33</v>
      </c>
      <c r="T13" s="10" t="s">
        <v>33</v>
      </c>
      <c r="U13" s="10" t="s">
        <v>33</v>
      </c>
      <c r="V13" s="10" t="s">
        <v>33</v>
      </c>
      <c r="W13" s="10" t="s">
        <v>33</v>
      </c>
      <c r="X13" s="10" t="s">
        <v>33</v>
      </c>
    </row>
    <row r="14" spans="2:25" s="3" customFormat="1" ht="33" customHeight="1" x14ac:dyDescent="0.3">
      <c r="B14" s="7">
        <v>0.64583333333333337</v>
      </c>
      <c r="C14" s="10">
        <v>1060</v>
      </c>
      <c r="D14" s="10">
        <v>85</v>
      </c>
      <c r="E14" s="10">
        <v>499</v>
      </c>
      <c r="F14" s="10">
        <v>1743</v>
      </c>
      <c r="G14" s="10" t="s">
        <v>34</v>
      </c>
      <c r="H14" s="10">
        <v>3.6</v>
      </c>
      <c r="I14" s="10">
        <v>1435</v>
      </c>
      <c r="J14" s="10">
        <v>1435</v>
      </c>
      <c r="K14" s="10">
        <v>1435</v>
      </c>
      <c r="L14" s="10">
        <v>25</v>
      </c>
      <c r="M14" s="10">
        <v>6.7</v>
      </c>
      <c r="N14" s="10">
        <v>4.0999999999999996</v>
      </c>
      <c r="O14" s="10">
        <v>16</v>
      </c>
      <c r="P14" s="10">
        <v>7.2</v>
      </c>
      <c r="Q14" s="10">
        <v>6.7</v>
      </c>
      <c r="R14" s="10">
        <v>6.7</v>
      </c>
      <c r="S14" s="10">
        <v>0.13</v>
      </c>
      <c r="T14" s="10">
        <v>4.13</v>
      </c>
      <c r="U14" s="10">
        <v>6.7</v>
      </c>
      <c r="V14" s="10">
        <v>7.1</v>
      </c>
      <c r="W14" s="10">
        <v>0.15</v>
      </c>
      <c r="X14" s="10">
        <v>3.98</v>
      </c>
    </row>
    <row r="15" spans="2:25" s="3" customFormat="1" ht="33" customHeight="1" x14ac:dyDescent="0.3">
      <c r="B15" s="7">
        <v>0.72916666666666663</v>
      </c>
      <c r="C15" s="10">
        <v>1173</v>
      </c>
      <c r="D15" s="10">
        <v>81</v>
      </c>
      <c r="E15" s="10">
        <v>500</v>
      </c>
      <c r="F15" s="10">
        <v>1781</v>
      </c>
      <c r="G15" s="10" t="s">
        <v>34</v>
      </c>
      <c r="H15" s="10">
        <v>3.6</v>
      </c>
      <c r="I15" s="10">
        <v>1435</v>
      </c>
      <c r="J15" s="10">
        <v>1435</v>
      </c>
      <c r="K15" s="10">
        <v>1435</v>
      </c>
      <c r="L15" s="10">
        <v>25</v>
      </c>
      <c r="M15" s="10">
        <v>6.7</v>
      </c>
      <c r="N15" s="10">
        <v>4.05</v>
      </c>
      <c r="O15" s="10">
        <v>15</v>
      </c>
      <c r="P15" s="10">
        <v>7.5</v>
      </c>
      <c r="Q15" s="10">
        <v>6.8</v>
      </c>
      <c r="R15" s="10">
        <v>6.9</v>
      </c>
      <c r="S15" s="10">
        <v>0.13</v>
      </c>
      <c r="T15" s="10">
        <v>4.17</v>
      </c>
      <c r="U15" s="10">
        <v>6.7</v>
      </c>
      <c r="V15" s="10">
        <v>7.2</v>
      </c>
      <c r="W15" s="10">
        <v>0.17</v>
      </c>
      <c r="X15" s="10">
        <v>4.05</v>
      </c>
    </row>
    <row r="16" spans="2:25" s="3" customFormat="1" ht="33" customHeight="1" x14ac:dyDescent="0.3">
      <c r="B16" s="7">
        <v>0.8125</v>
      </c>
      <c r="C16" s="10">
        <v>1191</v>
      </c>
      <c r="D16" s="10">
        <v>81</v>
      </c>
      <c r="E16" s="10">
        <v>500</v>
      </c>
      <c r="F16" s="10">
        <v>1895</v>
      </c>
      <c r="G16" s="10" t="s">
        <v>34</v>
      </c>
      <c r="H16" s="10">
        <v>3.6</v>
      </c>
      <c r="I16" s="10">
        <v>1435</v>
      </c>
      <c r="J16" s="10">
        <v>1435</v>
      </c>
      <c r="K16" s="10">
        <v>1435</v>
      </c>
      <c r="L16" s="10">
        <v>25.1</v>
      </c>
      <c r="M16" s="10">
        <v>6.7</v>
      </c>
      <c r="N16" s="10">
        <v>3.99</v>
      </c>
      <c r="O16" s="10">
        <v>17</v>
      </c>
      <c r="P16" s="10">
        <v>9.1999999999999993</v>
      </c>
      <c r="Q16" s="10">
        <v>6.7</v>
      </c>
      <c r="R16" s="10">
        <v>12</v>
      </c>
      <c r="S16" s="10">
        <v>0.12</v>
      </c>
      <c r="T16" s="10">
        <v>4.7699999999999996</v>
      </c>
      <c r="U16" s="10">
        <v>6.8</v>
      </c>
      <c r="V16" s="10">
        <v>10</v>
      </c>
      <c r="W16" s="10">
        <v>0.1</v>
      </c>
      <c r="X16" s="10">
        <v>6.87</v>
      </c>
    </row>
    <row r="17" spans="2:24" s="3" customFormat="1" ht="33" customHeight="1" x14ac:dyDescent="0.3">
      <c r="B17" s="7">
        <v>0.89583333333333337</v>
      </c>
      <c r="C17" s="10">
        <v>1099</v>
      </c>
      <c r="D17" s="10">
        <v>81</v>
      </c>
      <c r="E17" s="10">
        <v>498</v>
      </c>
      <c r="F17" s="10">
        <v>1903</v>
      </c>
      <c r="G17" s="10" t="s">
        <v>34</v>
      </c>
      <c r="H17" s="10">
        <v>3.6</v>
      </c>
      <c r="I17" s="10">
        <v>1435</v>
      </c>
      <c r="J17" s="10">
        <v>1435</v>
      </c>
      <c r="K17" s="10">
        <v>1435</v>
      </c>
      <c r="L17" s="10">
        <v>24.7</v>
      </c>
      <c r="M17" s="10">
        <v>6.7</v>
      </c>
      <c r="N17" s="10">
        <v>4.46</v>
      </c>
      <c r="O17" s="10">
        <v>17</v>
      </c>
      <c r="P17" s="10">
        <v>7</v>
      </c>
      <c r="Q17" s="10">
        <v>6.8</v>
      </c>
      <c r="R17" s="10">
        <v>6.9</v>
      </c>
      <c r="S17" s="10">
        <v>0.17</v>
      </c>
      <c r="T17" s="10">
        <v>1.74</v>
      </c>
      <c r="U17" s="10">
        <v>6.8</v>
      </c>
      <c r="V17" s="10">
        <v>6.7</v>
      </c>
      <c r="W17" s="10">
        <v>0.18</v>
      </c>
      <c r="X17" s="10">
        <v>1.44</v>
      </c>
    </row>
    <row r="18" spans="2:24" s="3" customFormat="1" ht="33" customHeight="1" x14ac:dyDescent="0.3">
      <c r="B18" s="7">
        <v>0.97916666666666663</v>
      </c>
      <c r="C18" s="10">
        <v>1172</v>
      </c>
      <c r="D18" s="10">
        <v>88</v>
      </c>
      <c r="E18" s="10">
        <v>500</v>
      </c>
      <c r="F18" s="10">
        <v>1892</v>
      </c>
      <c r="G18" s="10" t="s">
        <v>34</v>
      </c>
      <c r="H18" s="10">
        <v>3.6</v>
      </c>
      <c r="I18" s="10">
        <v>1435</v>
      </c>
      <c r="J18" s="10">
        <v>1435</v>
      </c>
      <c r="K18" s="10">
        <v>1435</v>
      </c>
      <c r="L18" s="10">
        <v>24.3</v>
      </c>
      <c r="M18" s="10">
        <v>6.8</v>
      </c>
      <c r="N18" s="10">
        <v>4.3899999999999997</v>
      </c>
      <c r="O18" s="10">
        <v>16</v>
      </c>
      <c r="P18" s="10">
        <v>7.1</v>
      </c>
      <c r="Q18" s="10">
        <v>6.7</v>
      </c>
      <c r="R18" s="10">
        <v>6.9</v>
      </c>
      <c r="S18" s="10">
        <v>0.15</v>
      </c>
      <c r="T18" s="10">
        <v>1.02</v>
      </c>
      <c r="U18" s="10">
        <v>6.7</v>
      </c>
      <c r="V18" s="10">
        <v>6.8</v>
      </c>
      <c r="W18" s="10">
        <v>0.14000000000000001</v>
      </c>
      <c r="X18" s="10">
        <v>1.07</v>
      </c>
    </row>
    <row r="19" spans="2:24" s="3" customFormat="1" ht="33" customHeight="1" x14ac:dyDescent="0.3">
      <c r="B19" s="7">
        <v>6.25E-2</v>
      </c>
      <c r="C19" s="10">
        <v>548</v>
      </c>
      <c r="D19" s="10">
        <v>85</v>
      </c>
      <c r="E19" s="10">
        <v>527</v>
      </c>
      <c r="F19" s="10">
        <v>1214</v>
      </c>
      <c r="G19" s="10" t="s">
        <v>34</v>
      </c>
      <c r="H19" s="10">
        <v>3.6</v>
      </c>
      <c r="I19" s="10">
        <v>1435</v>
      </c>
      <c r="J19" s="10">
        <v>1435</v>
      </c>
      <c r="K19" s="10">
        <v>1435</v>
      </c>
      <c r="L19" s="10">
        <v>23.8</v>
      </c>
      <c r="M19" s="10">
        <v>6.9</v>
      </c>
      <c r="N19" s="10">
        <v>3.96</v>
      </c>
      <c r="O19" s="10">
        <v>16</v>
      </c>
      <c r="P19" s="10">
        <v>9.9</v>
      </c>
      <c r="Q19" s="10">
        <v>6.9</v>
      </c>
      <c r="R19" s="10">
        <v>10.199999999999999</v>
      </c>
      <c r="S19" s="10">
        <v>0.17</v>
      </c>
      <c r="T19" s="10">
        <v>0.82</v>
      </c>
      <c r="U19" s="10">
        <v>6.9</v>
      </c>
      <c r="V19" s="10">
        <v>11</v>
      </c>
      <c r="W19" s="10">
        <v>0.18</v>
      </c>
      <c r="X19" s="10">
        <v>0.92</v>
      </c>
    </row>
    <row r="20" spans="2:24" s="3" customFormat="1" ht="33" customHeight="1" x14ac:dyDescent="0.3">
      <c r="B20" s="7">
        <v>0.14583333333333334</v>
      </c>
      <c r="C20" s="10">
        <v>544</v>
      </c>
      <c r="D20" s="10">
        <v>86</v>
      </c>
      <c r="E20" s="10">
        <v>528</v>
      </c>
      <c r="F20" s="10">
        <v>1215</v>
      </c>
      <c r="G20" s="10" t="s">
        <v>34</v>
      </c>
      <c r="H20" s="10">
        <v>3.6</v>
      </c>
      <c r="I20" s="10">
        <v>1435</v>
      </c>
      <c r="J20" s="10">
        <v>1435</v>
      </c>
      <c r="K20" s="10">
        <v>1435</v>
      </c>
      <c r="L20" s="10">
        <v>23.8</v>
      </c>
      <c r="M20" s="10">
        <v>6.8</v>
      </c>
      <c r="N20" s="10">
        <v>4.1100000000000003</v>
      </c>
      <c r="O20" s="10">
        <v>16</v>
      </c>
      <c r="P20" s="10">
        <v>13.3</v>
      </c>
      <c r="Q20" s="10">
        <v>6.9</v>
      </c>
      <c r="R20" s="10">
        <v>11.8</v>
      </c>
      <c r="S20" s="10">
        <v>0.13</v>
      </c>
      <c r="T20" s="10">
        <v>0.84</v>
      </c>
      <c r="U20" s="10">
        <v>6.9</v>
      </c>
      <c r="V20" s="10">
        <v>15.4</v>
      </c>
      <c r="W20" s="10">
        <v>0.17</v>
      </c>
      <c r="X20" s="10">
        <v>0.89</v>
      </c>
    </row>
    <row r="21" spans="2:24" s="3" customFormat="1" ht="33" customHeight="1" thickBot="1" x14ac:dyDescent="0.35">
      <c r="B21" s="8">
        <v>0.22916666666666666</v>
      </c>
      <c r="C21" s="11">
        <v>532</v>
      </c>
      <c r="D21" s="11">
        <v>82</v>
      </c>
      <c r="E21" s="11">
        <v>527</v>
      </c>
      <c r="F21" s="11">
        <v>1269</v>
      </c>
      <c r="G21" s="11" t="s">
        <v>34</v>
      </c>
      <c r="H21" s="11">
        <v>3.6</v>
      </c>
      <c r="I21" s="11">
        <v>1435</v>
      </c>
      <c r="J21" s="11">
        <v>1435</v>
      </c>
      <c r="K21" s="11">
        <v>1435</v>
      </c>
      <c r="L21" s="11">
        <v>23.8</v>
      </c>
      <c r="M21" s="11">
        <v>6.8</v>
      </c>
      <c r="N21" s="11">
        <v>4.33</v>
      </c>
      <c r="O21" s="11">
        <v>16</v>
      </c>
      <c r="P21" s="11">
        <v>6.1</v>
      </c>
      <c r="Q21" s="11">
        <v>6.9</v>
      </c>
      <c r="R21" s="11">
        <v>8.1</v>
      </c>
      <c r="S21" s="11">
        <v>0.26</v>
      </c>
      <c r="T21" s="11">
        <v>0.66</v>
      </c>
      <c r="U21" s="11">
        <v>7</v>
      </c>
      <c r="V21" s="11">
        <v>8.4</v>
      </c>
      <c r="W21" s="11">
        <v>0.16</v>
      </c>
      <c r="X21" s="11">
        <v>1.68</v>
      </c>
    </row>
    <row r="23" spans="2:24" ht="27.75" customHeight="1" thickBot="1" x14ac:dyDescent="0.35">
      <c r="B23" s="12" t="s">
        <v>30</v>
      </c>
      <c r="C23" s="12"/>
      <c r="D23" s="12" t="s">
        <v>40</v>
      </c>
      <c r="E23" s="12"/>
      <c r="F23" s="12"/>
      <c r="G23" s="12"/>
      <c r="H23" s="12"/>
      <c r="I23" s="12"/>
      <c r="J23" s="12"/>
      <c r="K23" s="12"/>
      <c r="L23" s="12"/>
      <c r="M23" s="12"/>
      <c r="N23" s="12"/>
      <c r="O23" s="12"/>
      <c r="P23" s="12"/>
      <c r="Q23" s="12"/>
      <c r="R23" s="12"/>
      <c r="S23" s="12"/>
      <c r="T23" s="12"/>
      <c r="U23" s="12"/>
      <c r="V23" s="12"/>
      <c r="W23" s="12"/>
      <c r="X23" s="12"/>
    </row>
    <row r="24" spans="2:24" ht="27.75" customHeight="1" thickBot="1" x14ac:dyDescent="0.35">
      <c r="B24" s="13"/>
      <c r="C24" s="13"/>
      <c r="D24" s="13"/>
      <c r="E24" s="13"/>
      <c r="F24" s="13"/>
      <c r="G24" s="13"/>
      <c r="H24" s="13"/>
      <c r="I24" s="13"/>
      <c r="J24" s="13"/>
      <c r="K24" s="13"/>
      <c r="L24" s="13"/>
      <c r="M24" s="13"/>
      <c r="N24" s="13"/>
      <c r="O24" s="13"/>
      <c r="P24" s="13"/>
      <c r="Q24" s="13"/>
      <c r="R24" s="13"/>
      <c r="S24" s="13"/>
      <c r="T24" s="13"/>
      <c r="U24" s="13"/>
      <c r="V24" s="13"/>
      <c r="W24" s="13"/>
      <c r="X24" s="13"/>
    </row>
    <row r="25" spans="2:24" ht="27.75" customHeight="1" thickBot="1" x14ac:dyDescent="0.35">
      <c r="B25" s="13"/>
      <c r="C25" s="13"/>
      <c r="D25" s="13"/>
      <c r="E25" s="13"/>
      <c r="F25" s="13"/>
      <c r="G25" s="13"/>
      <c r="H25" s="13"/>
      <c r="I25" s="13"/>
      <c r="J25" s="13"/>
      <c r="K25" s="13"/>
      <c r="L25" s="13"/>
      <c r="M25" s="13"/>
      <c r="N25" s="13"/>
      <c r="O25" s="13"/>
      <c r="P25" s="13"/>
      <c r="Q25" s="13"/>
      <c r="R25" s="13"/>
      <c r="S25" s="13"/>
      <c r="T25" s="13"/>
      <c r="U25" s="13"/>
      <c r="V25" s="13"/>
      <c r="W25" s="13"/>
      <c r="X25" s="13"/>
    </row>
    <row r="26" spans="2:24" ht="27.75" customHeight="1" thickBot="1" x14ac:dyDescent="0.35">
      <c r="B26" s="13"/>
      <c r="C26" s="13"/>
      <c r="D26" s="13"/>
      <c r="E26" s="13"/>
      <c r="F26" s="13"/>
      <c r="G26" s="13"/>
      <c r="H26" s="13"/>
      <c r="I26" s="13"/>
      <c r="J26" s="13"/>
      <c r="K26" s="13"/>
      <c r="L26" s="13"/>
      <c r="M26" s="13"/>
      <c r="N26" s="13"/>
      <c r="O26" s="13"/>
      <c r="P26" s="13"/>
      <c r="Q26" s="13"/>
      <c r="R26" s="13"/>
      <c r="S26" s="13"/>
      <c r="T26" s="13"/>
      <c r="U26" s="13"/>
      <c r="V26" s="13"/>
      <c r="W26" s="13"/>
      <c r="X26" s="13"/>
    </row>
    <row r="27" spans="2:24" ht="27.75" customHeight="1" thickBot="1" x14ac:dyDescent="0.35">
      <c r="B27" s="13"/>
      <c r="C27" s="13"/>
      <c r="D27" s="13"/>
      <c r="E27" s="13"/>
      <c r="F27" s="13"/>
      <c r="G27" s="13"/>
      <c r="H27" s="13"/>
      <c r="I27" s="13"/>
      <c r="J27" s="13"/>
      <c r="K27" s="13"/>
      <c r="L27" s="13"/>
      <c r="M27" s="13"/>
      <c r="N27" s="13"/>
      <c r="O27" s="13"/>
      <c r="P27" s="13"/>
      <c r="Q27" s="13"/>
      <c r="R27" s="13"/>
      <c r="S27" s="13"/>
      <c r="T27" s="13"/>
      <c r="U27" s="13"/>
      <c r="V27" s="13"/>
      <c r="W27" s="13"/>
      <c r="X27" s="13"/>
    </row>
    <row r="28" spans="2:24" x14ac:dyDescent="0.3">
      <c r="B28" s="14"/>
      <c r="C28" s="14"/>
      <c r="D28" s="14"/>
      <c r="E28" s="14"/>
      <c r="F28" s="14"/>
      <c r="G28" s="14"/>
      <c r="H28" s="14"/>
      <c r="I28" s="14"/>
      <c r="J28" s="14"/>
      <c r="K28" s="14"/>
      <c r="L28" s="14"/>
      <c r="M28" s="14"/>
      <c r="N28" s="14"/>
      <c r="O28" s="14"/>
      <c r="P28" s="14"/>
      <c r="Q28" s="14"/>
      <c r="R28" s="14"/>
      <c r="S28" s="14"/>
      <c r="T28" s="14"/>
      <c r="U28" s="14"/>
      <c r="V28" s="14"/>
      <c r="W28" s="14"/>
      <c r="X28" s="14"/>
    </row>
  </sheetData>
  <mergeCells count="7">
    <mergeCell ref="B7:X7"/>
    <mergeCell ref="C8:F8"/>
    <mergeCell ref="G8:H8"/>
    <mergeCell ref="I8:K8"/>
    <mergeCell ref="L8:P8"/>
    <mergeCell ref="Q8:T8"/>
    <mergeCell ref="U8:X8"/>
  </mergeCells>
  <pageMargins left="0.7" right="0.7" top="0.75" bottom="0.75" header="0.3" footer="0.3"/>
  <pageSetup paperSize="9" scale="60" orientation="landscape"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AB19598-D039-4BD0-9A9D-B86CE7311DBB}">
  <dimension ref="B2:Y28"/>
  <sheetViews>
    <sheetView view="pageBreakPreview" topLeftCell="A10" zoomScaleNormal="100" zoomScaleSheetLayoutView="100" workbookViewId="0">
      <selection activeCell="B10" sqref="B10:X21"/>
    </sheetView>
  </sheetViews>
  <sheetFormatPr defaultRowHeight="14.4" x14ac:dyDescent="0.3"/>
  <cols>
    <col min="1" max="1" width="3" customWidth="1"/>
    <col min="3" max="24" width="9" customWidth="1"/>
    <col min="25" max="25" width="5.109375" customWidth="1"/>
  </cols>
  <sheetData>
    <row r="2" spans="2:25" x14ac:dyDescent="0.3">
      <c r="B2" t="s">
        <v>2</v>
      </c>
      <c r="C2" t="s">
        <v>1</v>
      </c>
    </row>
    <row r="3" spans="2:25" x14ac:dyDescent="0.3">
      <c r="B3" t="s">
        <v>3</v>
      </c>
    </row>
    <row r="4" spans="2:25" x14ac:dyDescent="0.3">
      <c r="B4" t="s">
        <v>4</v>
      </c>
    </row>
    <row r="5" spans="2:25" x14ac:dyDescent="0.3">
      <c r="B5" t="s">
        <v>5</v>
      </c>
      <c r="C5" s="15">
        <v>46129</v>
      </c>
      <c r="E5" t="s">
        <v>6</v>
      </c>
    </row>
    <row r="6" spans="2:25" x14ac:dyDescent="0.3">
      <c r="E6" t="s">
        <v>7</v>
      </c>
    </row>
    <row r="7" spans="2:25" ht="15" thickBot="1" x14ac:dyDescent="0.35"/>
    <row r="8" spans="2:25" ht="15" thickBot="1" x14ac:dyDescent="0.35">
      <c r="B8" s="2" t="s">
        <v>0</v>
      </c>
      <c r="C8" s="93" t="s">
        <v>8</v>
      </c>
      <c r="D8" s="93"/>
      <c r="E8" s="93"/>
      <c r="F8" s="93"/>
      <c r="G8" s="93" t="s">
        <v>25</v>
      </c>
      <c r="H8" s="93"/>
      <c r="I8" s="93" t="s">
        <v>26</v>
      </c>
      <c r="J8" s="93"/>
      <c r="K8" s="93"/>
      <c r="L8" s="93" t="s">
        <v>27</v>
      </c>
      <c r="M8" s="93"/>
      <c r="N8" s="93"/>
      <c r="O8" s="93"/>
      <c r="P8" s="93"/>
      <c r="Q8" s="93" t="s">
        <v>28</v>
      </c>
      <c r="R8" s="93"/>
      <c r="S8" s="93"/>
      <c r="T8" s="93"/>
      <c r="U8" s="93" t="s">
        <v>29</v>
      </c>
      <c r="V8" s="93"/>
      <c r="W8" s="93"/>
      <c r="X8" s="93"/>
    </row>
    <row r="9" spans="2:25" ht="43.8" thickBot="1" x14ac:dyDescent="0.35">
      <c r="B9" s="4"/>
      <c r="C9" s="5" t="s">
        <v>9</v>
      </c>
      <c r="D9" s="5" t="s">
        <v>10</v>
      </c>
      <c r="E9" s="5" t="s">
        <v>11</v>
      </c>
      <c r="F9" s="5" t="s">
        <v>12</v>
      </c>
      <c r="G9" s="5" t="s">
        <v>13</v>
      </c>
      <c r="H9" s="5" t="s">
        <v>14</v>
      </c>
      <c r="I9" s="5" t="s">
        <v>15</v>
      </c>
      <c r="J9" s="5" t="s">
        <v>16</v>
      </c>
      <c r="K9" s="5" t="s">
        <v>17</v>
      </c>
      <c r="L9" s="5" t="s">
        <v>18</v>
      </c>
      <c r="M9" s="5" t="s">
        <v>19</v>
      </c>
      <c r="N9" s="5" t="s">
        <v>20</v>
      </c>
      <c r="O9" s="5" t="s">
        <v>21</v>
      </c>
      <c r="P9" s="5" t="s">
        <v>22</v>
      </c>
      <c r="Q9" s="5" t="s">
        <v>19</v>
      </c>
      <c r="R9" s="5" t="s">
        <v>22</v>
      </c>
      <c r="S9" s="5" t="s">
        <v>23</v>
      </c>
      <c r="T9" s="5" t="s">
        <v>24</v>
      </c>
      <c r="U9" s="5" t="s">
        <v>19</v>
      </c>
      <c r="V9" s="5" t="s">
        <v>22</v>
      </c>
      <c r="W9" s="5" t="s">
        <v>23</v>
      </c>
      <c r="X9" s="5" t="s">
        <v>24</v>
      </c>
      <c r="Y9" s="1"/>
    </row>
    <row r="10" spans="2:25" s="3" customFormat="1" ht="33" customHeight="1" x14ac:dyDescent="0.3">
      <c r="B10" s="6">
        <v>0.3125</v>
      </c>
      <c r="C10" s="9">
        <v>1746</v>
      </c>
      <c r="D10" s="9" t="s">
        <v>33</v>
      </c>
      <c r="E10" s="9"/>
      <c r="F10" s="9"/>
      <c r="G10" s="9"/>
      <c r="H10" s="9"/>
      <c r="I10" s="9"/>
      <c r="J10" s="9"/>
      <c r="K10" s="9"/>
      <c r="L10" s="9"/>
      <c r="M10" s="9"/>
      <c r="N10" s="9"/>
      <c r="O10" s="9"/>
      <c r="P10" s="9"/>
      <c r="Q10" s="9"/>
      <c r="R10" s="9"/>
      <c r="S10" s="9"/>
      <c r="T10" s="9"/>
      <c r="U10" s="9"/>
      <c r="V10" s="9"/>
      <c r="W10" s="9"/>
      <c r="X10" s="9"/>
    </row>
    <row r="11" spans="2:25" s="3" customFormat="1" ht="33" customHeight="1" x14ac:dyDescent="0.3">
      <c r="B11" s="7">
        <v>0.39583333333333331</v>
      </c>
      <c r="C11" s="10">
        <v>1746</v>
      </c>
      <c r="D11" s="10" t="s">
        <v>33</v>
      </c>
      <c r="E11" s="10">
        <v>500</v>
      </c>
      <c r="F11" s="10">
        <v>2256</v>
      </c>
      <c r="G11" s="10" t="s">
        <v>34</v>
      </c>
      <c r="H11" s="10">
        <v>4.5999999999999996</v>
      </c>
      <c r="I11" s="10">
        <v>1435</v>
      </c>
      <c r="J11" s="10">
        <v>1435</v>
      </c>
      <c r="K11" s="10">
        <v>1435</v>
      </c>
      <c r="L11" s="10">
        <v>24.7</v>
      </c>
      <c r="M11" s="10">
        <v>6.7</v>
      </c>
      <c r="N11" s="10">
        <v>5.21</v>
      </c>
      <c r="O11" s="10">
        <v>16</v>
      </c>
      <c r="P11" s="10">
        <v>6.2</v>
      </c>
      <c r="Q11" s="10">
        <v>6.7</v>
      </c>
      <c r="R11" s="10">
        <v>5.6</v>
      </c>
      <c r="S11" s="10">
        <v>0.28999999999999998</v>
      </c>
      <c r="T11" s="10">
        <v>2.2400000000000002</v>
      </c>
      <c r="U11" s="10">
        <v>6.8</v>
      </c>
      <c r="V11" s="10">
        <v>6</v>
      </c>
      <c r="W11" s="10">
        <v>0.28000000000000003</v>
      </c>
      <c r="X11" s="10">
        <v>1.37</v>
      </c>
    </row>
    <row r="12" spans="2:25" s="3" customFormat="1" ht="33" customHeight="1" x14ac:dyDescent="0.3">
      <c r="B12" s="7">
        <v>0.47916666666666669</v>
      </c>
      <c r="C12" s="10">
        <v>1528</v>
      </c>
      <c r="D12" s="10" t="s">
        <v>33</v>
      </c>
      <c r="E12" s="10">
        <v>499</v>
      </c>
      <c r="F12" s="10">
        <v>2257</v>
      </c>
      <c r="G12" s="10" t="s">
        <v>34</v>
      </c>
      <c r="H12" s="10">
        <v>4.5999999999999996</v>
      </c>
      <c r="I12" s="10">
        <v>1435</v>
      </c>
      <c r="J12" s="10">
        <v>1435</v>
      </c>
      <c r="K12" s="10">
        <v>1435</v>
      </c>
      <c r="L12" s="10">
        <v>23.8</v>
      </c>
      <c r="M12" s="10">
        <v>6.7</v>
      </c>
      <c r="N12" s="10">
        <v>4.49</v>
      </c>
      <c r="O12" s="10">
        <v>16</v>
      </c>
      <c r="P12" s="10">
        <v>6.4</v>
      </c>
      <c r="Q12" s="10">
        <v>6.8</v>
      </c>
      <c r="R12" s="10">
        <v>6.4</v>
      </c>
      <c r="S12" s="10">
        <v>0.28999999999999998</v>
      </c>
      <c r="T12" s="10">
        <v>1.95</v>
      </c>
      <c r="U12" s="10">
        <v>6.7</v>
      </c>
      <c r="V12" s="10">
        <v>6.6</v>
      </c>
      <c r="W12" s="10">
        <v>0.21</v>
      </c>
      <c r="X12" s="10">
        <v>1.25</v>
      </c>
    </row>
    <row r="13" spans="2:25" s="3" customFormat="1" ht="33" customHeight="1" x14ac:dyDescent="0.3">
      <c r="B13" s="7">
        <v>0.5625</v>
      </c>
      <c r="C13" s="10">
        <v>1621</v>
      </c>
      <c r="D13" s="10" t="s">
        <v>33</v>
      </c>
      <c r="E13" s="10">
        <v>501</v>
      </c>
      <c r="F13" s="10">
        <v>2243</v>
      </c>
      <c r="G13" s="10" t="s">
        <v>34</v>
      </c>
      <c r="H13" s="10">
        <v>4.5999999999999996</v>
      </c>
      <c r="I13" s="10">
        <v>1435</v>
      </c>
      <c r="J13" s="10">
        <v>1435</v>
      </c>
      <c r="K13" s="10">
        <v>1435</v>
      </c>
      <c r="L13" s="10">
        <v>24.1</v>
      </c>
      <c r="M13" s="10">
        <v>6.7</v>
      </c>
      <c r="N13" s="10">
        <v>4.29</v>
      </c>
      <c r="O13" s="10">
        <v>16</v>
      </c>
      <c r="P13" s="10">
        <v>6.6</v>
      </c>
      <c r="Q13" s="10">
        <v>6.8</v>
      </c>
      <c r="R13" s="10">
        <v>6.2</v>
      </c>
      <c r="S13" s="10">
        <v>0.37</v>
      </c>
      <c r="T13" s="10">
        <v>1.94</v>
      </c>
      <c r="U13" s="10">
        <v>6.7</v>
      </c>
      <c r="V13" s="10">
        <v>6.1</v>
      </c>
      <c r="W13" s="10">
        <v>0.21</v>
      </c>
      <c r="X13" s="10">
        <v>1.0900000000000001</v>
      </c>
    </row>
    <row r="14" spans="2:25" s="3" customFormat="1" ht="33" customHeight="1" x14ac:dyDescent="0.3">
      <c r="B14" s="7">
        <v>0.64583333333333337</v>
      </c>
      <c r="C14" s="10">
        <v>1510</v>
      </c>
      <c r="D14" s="10" t="s">
        <v>33</v>
      </c>
      <c r="E14" s="10">
        <v>499</v>
      </c>
      <c r="F14" s="10">
        <v>2220</v>
      </c>
      <c r="G14" s="10" t="s">
        <v>34</v>
      </c>
      <c r="H14" s="10">
        <v>4</v>
      </c>
      <c r="I14" s="10">
        <v>1435</v>
      </c>
      <c r="J14" s="10">
        <v>1435</v>
      </c>
      <c r="K14" s="10">
        <v>1435</v>
      </c>
      <c r="L14" s="10">
        <v>24.6</v>
      </c>
      <c r="M14" s="10">
        <v>6.7</v>
      </c>
      <c r="N14" s="10">
        <v>3.97</v>
      </c>
      <c r="O14" s="10">
        <v>15</v>
      </c>
      <c r="P14" s="10">
        <v>6</v>
      </c>
      <c r="Q14" s="10">
        <v>6.8</v>
      </c>
      <c r="R14" s="10">
        <v>5.9</v>
      </c>
      <c r="S14" s="10">
        <v>0.26</v>
      </c>
      <c r="T14" s="10">
        <v>1.59</v>
      </c>
      <c r="U14" s="10">
        <v>6.8</v>
      </c>
      <c r="V14" s="10">
        <v>6</v>
      </c>
      <c r="W14" s="10">
        <v>0.12</v>
      </c>
      <c r="X14" s="10">
        <v>0.95</v>
      </c>
    </row>
    <row r="15" spans="2:25" s="3" customFormat="1" ht="33" customHeight="1" x14ac:dyDescent="0.3">
      <c r="B15" s="7">
        <v>0.72916666666666663</v>
      </c>
      <c r="C15" s="10">
        <v>1770</v>
      </c>
      <c r="D15" s="10" t="s">
        <v>33</v>
      </c>
      <c r="E15" s="10">
        <v>500</v>
      </c>
      <c r="F15" s="10">
        <v>2330</v>
      </c>
      <c r="G15" s="10" t="s">
        <v>34</v>
      </c>
      <c r="H15" s="10">
        <v>4</v>
      </c>
      <c r="I15" s="10">
        <v>1435</v>
      </c>
      <c r="J15" s="10">
        <v>1435</v>
      </c>
      <c r="K15" s="10">
        <v>1435</v>
      </c>
      <c r="L15" s="10">
        <v>25</v>
      </c>
      <c r="M15" s="10">
        <v>6.7</v>
      </c>
      <c r="N15" s="10">
        <v>4.54</v>
      </c>
      <c r="O15" s="10">
        <v>15</v>
      </c>
      <c r="P15" s="10">
        <v>5.9</v>
      </c>
      <c r="Q15" s="10">
        <v>6.8</v>
      </c>
      <c r="R15" s="10">
        <v>6.1</v>
      </c>
      <c r="S15" s="10">
        <v>0.49</v>
      </c>
      <c r="T15" s="10">
        <v>0.74</v>
      </c>
      <c r="U15" s="10">
        <v>6.7</v>
      </c>
      <c r="V15" s="10">
        <v>5.8</v>
      </c>
      <c r="W15" s="10">
        <v>0.19</v>
      </c>
      <c r="X15" s="10">
        <v>1.83</v>
      </c>
    </row>
    <row r="16" spans="2:25" s="3" customFormat="1" ht="33" customHeight="1" x14ac:dyDescent="0.3">
      <c r="B16" s="7">
        <v>0.8125</v>
      </c>
      <c r="C16" s="10">
        <v>1140</v>
      </c>
      <c r="D16" s="10" t="s">
        <v>33</v>
      </c>
      <c r="E16" s="10">
        <v>500</v>
      </c>
      <c r="F16" s="10">
        <v>1884</v>
      </c>
      <c r="G16" s="10" t="s">
        <v>34</v>
      </c>
      <c r="H16" s="10">
        <v>4</v>
      </c>
      <c r="I16" s="10">
        <v>1435</v>
      </c>
      <c r="J16" s="10">
        <v>1435</v>
      </c>
      <c r="K16" s="10">
        <v>1435</v>
      </c>
      <c r="L16" s="10">
        <v>24.7</v>
      </c>
      <c r="M16" s="10">
        <v>6.7</v>
      </c>
      <c r="N16" s="10">
        <v>4.45</v>
      </c>
      <c r="O16" s="10">
        <v>16</v>
      </c>
      <c r="P16" s="10">
        <v>5.0999999999999996</v>
      </c>
      <c r="Q16" s="10">
        <v>6.6</v>
      </c>
      <c r="R16" s="10">
        <v>5.4</v>
      </c>
      <c r="S16" s="10">
        <v>0.12</v>
      </c>
      <c r="T16" s="10">
        <v>0.44</v>
      </c>
      <c r="U16" s="10">
        <v>6.7</v>
      </c>
      <c r="V16" s="10">
        <v>5.3</v>
      </c>
      <c r="W16" s="10">
        <v>0.15</v>
      </c>
      <c r="X16" s="10">
        <v>1.8</v>
      </c>
    </row>
    <row r="17" spans="2:24" s="3" customFormat="1" ht="33" customHeight="1" x14ac:dyDescent="0.3">
      <c r="B17" s="7">
        <v>0.89583333333333337</v>
      </c>
      <c r="C17" s="10">
        <v>1114</v>
      </c>
      <c r="D17" s="10" t="s">
        <v>33</v>
      </c>
      <c r="E17" s="10">
        <v>500</v>
      </c>
      <c r="F17" s="10">
        <v>1887</v>
      </c>
      <c r="G17" s="10" t="s">
        <v>34</v>
      </c>
      <c r="H17" s="10">
        <v>4</v>
      </c>
      <c r="I17" s="10">
        <v>1435</v>
      </c>
      <c r="J17" s="10">
        <v>1435</v>
      </c>
      <c r="K17" s="10">
        <v>1435</v>
      </c>
      <c r="L17" s="10">
        <v>24.5</v>
      </c>
      <c r="M17" s="10">
        <v>6.7</v>
      </c>
      <c r="N17" s="10">
        <v>4.3099999999999996</v>
      </c>
      <c r="O17" s="10">
        <v>22</v>
      </c>
      <c r="P17" s="10">
        <v>6.6</v>
      </c>
      <c r="Q17" s="10">
        <v>6.8</v>
      </c>
      <c r="R17" s="10">
        <v>6.5</v>
      </c>
      <c r="S17" s="10">
        <v>0.19</v>
      </c>
      <c r="T17" s="10">
        <v>0.45</v>
      </c>
      <c r="U17" s="10">
        <v>6.7</v>
      </c>
      <c r="V17" s="10">
        <v>6.3</v>
      </c>
      <c r="W17" s="10">
        <v>0.13</v>
      </c>
      <c r="X17" s="10">
        <v>1.99</v>
      </c>
    </row>
    <row r="18" spans="2:24" s="3" customFormat="1" ht="33" customHeight="1" x14ac:dyDescent="0.3">
      <c r="B18" s="7">
        <v>0.97916666666666663</v>
      </c>
      <c r="C18" s="10">
        <v>1083</v>
      </c>
      <c r="D18" s="10" t="s">
        <v>33</v>
      </c>
      <c r="E18" s="10">
        <v>500</v>
      </c>
      <c r="F18" s="10">
        <v>1888</v>
      </c>
      <c r="G18" s="10" t="s">
        <v>34</v>
      </c>
      <c r="H18" s="10">
        <v>4</v>
      </c>
      <c r="I18" s="10">
        <v>1435</v>
      </c>
      <c r="J18" s="10">
        <v>1435</v>
      </c>
      <c r="K18" s="10">
        <v>1435</v>
      </c>
      <c r="L18" s="10">
        <v>24</v>
      </c>
      <c r="M18" s="10">
        <v>6.7</v>
      </c>
      <c r="N18" s="10">
        <v>4.34</v>
      </c>
      <c r="O18" s="10">
        <v>22</v>
      </c>
      <c r="P18" s="10">
        <v>6.5</v>
      </c>
      <c r="Q18" s="10">
        <v>6.8</v>
      </c>
      <c r="R18" s="10">
        <v>9</v>
      </c>
      <c r="S18" s="10">
        <v>0.12</v>
      </c>
      <c r="T18" s="10">
        <v>0.48</v>
      </c>
      <c r="U18" s="10">
        <v>6.7</v>
      </c>
      <c r="V18" s="10">
        <v>7.5</v>
      </c>
      <c r="W18" s="10">
        <v>0.2</v>
      </c>
      <c r="X18" s="10">
        <v>1.02</v>
      </c>
    </row>
    <row r="19" spans="2:24" s="3" customFormat="1" ht="33" customHeight="1" x14ac:dyDescent="0.3">
      <c r="B19" s="7">
        <v>6.25E-2</v>
      </c>
      <c r="C19" s="10">
        <v>1123</v>
      </c>
      <c r="D19" s="10" t="s">
        <v>33</v>
      </c>
      <c r="E19" s="10">
        <v>500</v>
      </c>
      <c r="F19" s="10">
        <v>1887</v>
      </c>
      <c r="G19" s="10" t="s">
        <v>34</v>
      </c>
      <c r="H19" s="10">
        <v>4</v>
      </c>
      <c r="I19" s="10">
        <v>1435</v>
      </c>
      <c r="J19" s="10">
        <v>1435</v>
      </c>
      <c r="K19" s="10">
        <v>1435</v>
      </c>
      <c r="L19" s="10">
        <v>24</v>
      </c>
      <c r="M19" s="10">
        <v>6.7</v>
      </c>
      <c r="N19" s="10">
        <v>4.83</v>
      </c>
      <c r="O19" s="10">
        <v>20</v>
      </c>
      <c r="P19" s="10">
        <v>6.6</v>
      </c>
      <c r="Q19" s="10">
        <v>6.8</v>
      </c>
      <c r="R19" s="10">
        <v>7.7</v>
      </c>
      <c r="S19" s="10">
        <v>0.09</v>
      </c>
      <c r="T19" s="10">
        <v>0.49</v>
      </c>
      <c r="U19" s="10">
        <v>6.7</v>
      </c>
      <c r="V19" s="10">
        <v>9.6999999999999993</v>
      </c>
      <c r="W19" s="10">
        <v>0.08</v>
      </c>
      <c r="X19" s="10">
        <v>1.54</v>
      </c>
    </row>
    <row r="20" spans="2:24" s="3" customFormat="1" ht="33" customHeight="1" x14ac:dyDescent="0.3">
      <c r="B20" s="7">
        <v>0.14583333333333334</v>
      </c>
      <c r="C20" s="10">
        <v>1088</v>
      </c>
      <c r="D20" s="10" t="s">
        <v>33</v>
      </c>
      <c r="E20" s="10">
        <v>498.7</v>
      </c>
      <c r="F20" s="10">
        <v>1889</v>
      </c>
      <c r="G20" s="10" t="s">
        <v>34</v>
      </c>
      <c r="H20" s="10">
        <v>4</v>
      </c>
      <c r="I20" s="10">
        <v>1435</v>
      </c>
      <c r="J20" s="10">
        <v>1435</v>
      </c>
      <c r="K20" s="10">
        <v>1435</v>
      </c>
      <c r="L20" s="10">
        <v>23.8</v>
      </c>
      <c r="M20" s="10">
        <v>6.7</v>
      </c>
      <c r="N20" s="10">
        <v>4.5999999999999996</v>
      </c>
      <c r="O20" s="10">
        <v>10</v>
      </c>
      <c r="P20" s="10">
        <v>6.2</v>
      </c>
      <c r="Q20" s="10">
        <v>6.8</v>
      </c>
      <c r="R20" s="10">
        <v>5.7</v>
      </c>
      <c r="S20" s="10">
        <v>0.09</v>
      </c>
      <c r="T20" s="10">
        <v>0.5</v>
      </c>
      <c r="U20" s="10">
        <v>6.7</v>
      </c>
      <c r="V20" s="10">
        <v>7.1</v>
      </c>
      <c r="W20" s="10">
        <v>7.0000000000000007E-2</v>
      </c>
      <c r="X20" s="10">
        <v>0.78</v>
      </c>
    </row>
    <row r="21" spans="2:24" s="3" customFormat="1" ht="33" customHeight="1" thickBot="1" x14ac:dyDescent="0.35">
      <c r="B21" s="8">
        <v>0.22916666666666666</v>
      </c>
      <c r="C21" s="11">
        <v>1200</v>
      </c>
      <c r="D21" s="11" t="s">
        <v>33</v>
      </c>
      <c r="E21" s="11">
        <v>499.3</v>
      </c>
      <c r="F21" s="11">
        <v>1889</v>
      </c>
      <c r="G21" s="11" t="s">
        <v>34</v>
      </c>
      <c r="H21" s="11">
        <v>3.6</v>
      </c>
      <c r="I21" s="11">
        <v>1435</v>
      </c>
      <c r="J21" s="11">
        <v>1435</v>
      </c>
      <c r="K21" s="11">
        <v>1435</v>
      </c>
      <c r="L21" s="11">
        <v>23.2</v>
      </c>
      <c r="M21" s="11">
        <v>6.7</v>
      </c>
      <c r="N21" s="11">
        <v>4.0199999999999996</v>
      </c>
      <c r="O21" s="11">
        <v>8</v>
      </c>
      <c r="P21" s="11">
        <v>6.2</v>
      </c>
      <c r="Q21" s="11">
        <v>6.7</v>
      </c>
      <c r="R21" s="11">
        <v>5.9</v>
      </c>
      <c r="S21" s="11">
        <v>0.15</v>
      </c>
      <c r="T21" s="11">
        <v>0.52</v>
      </c>
      <c r="U21" s="11">
        <v>6.7</v>
      </c>
      <c r="V21" s="11">
        <v>6.6</v>
      </c>
      <c r="W21" s="11">
        <v>0.15</v>
      </c>
      <c r="X21" s="11">
        <v>0.82</v>
      </c>
    </row>
    <row r="23" spans="2:24" ht="27.75" customHeight="1" thickBot="1" x14ac:dyDescent="0.35">
      <c r="B23" s="12" t="s">
        <v>30</v>
      </c>
      <c r="C23" s="12"/>
      <c r="D23" s="12"/>
      <c r="E23" s="12"/>
      <c r="F23" s="12"/>
      <c r="G23" s="12"/>
      <c r="H23" s="12"/>
      <c r="I23" s="12"/>
      <c r="J23" s="12"/>
      <c r="K23" s="12"/>
      <c r="L23" s="12"/>
      <c r="M23" s="12"/>
      <c r="N23" s="12"/>
      <c r="O23" s="12"/>
      <c r="P23" s="12"/>
      <c r="Q23" s="12"/>
      <c r="R23" s="12"/>
      <c r="S23" s="12"/>
      <c r="T23" s="12"/>
      <c r="U23" s="12"/>
      <c r="V23" s="12"/>
      <c r="W23" s="12"/>
      <c r="X23" s="12"/>
    </row>
    <row r="24" spans="2:24" ht="27.75" customHeight="1" thickBot="1" x14ac:dyDescent="0.35">
      <c r="B24" s="13"/>
      <c r="C24" s="13"/>
      <c r="D24" s="13"/>
      <c r="E24" s="13"/>
      <c r="F24" s="13"/>
      <c r="G24" s="13"/>
      <c r="H24" s="13"/>
      <c r="I24" s="13"/>
      <c r="J24" s="13"/>
      <c r="K24" s="13"/>
      <c r="L24" s="13"/>
      <c r="M24" s="13"/>
      <c r="N24" s="13"/>
      <c r="O24" s="13"/>
      <c r="P24" s="13"/>
      <c r="Q24" s="13"/>
      <c r="R24" s="13"/>
      <c r="S24" s="13"/>
      <c r="T24" s="13"/>
      <c r="U24" s="13"/>
      <c r="V24" s="13"/>
      <c r="W24" s="13"/>
      <c r="X24" s="13"/>
    </row>
    <row r="25" spans="2:24" ht="27.75" customHeight="1" thickBot="1" x14ac:dyDescent="0.35">
      <c r="B25" s="13"/>
      <c r="C25" s="13"/>
      <c r="D25" s="13"/>
      <c r="E25" s="13"/>
      <c r="F25" s="13"/>
      <c r="G25" s="13"/>
      <c r="H25" s="13"/>
      <c r="I25" s="13"/>
      <c r="J25" s="13"/>
      <c r="K25" s="13"/>
      <c r="L25" s="13"/>
      <c r="M25" s="13"/>
      <c r="N25" s="13"/>
      <c r="O25" s="13"/>
      <c r="P25" s="13"/>
      <c r="Q25" s="13"/>
      <c r="R25" s="13"/>
      <c r="S25" s="13"/>
      <c r="T25" s="13"/>
      <c r="U25" s="13"/>
      <c r="V25" s="13"/>
      <c r="W25" s="13"/>
      <c r="X25" s="13"/>
    </row>
    <row r="26" spans="2:24" ht="27.75" customHeight="1" thickBot="1" x14ac:dyDescent="0.35">
      <c r="B26" s="13"/>
      <c r="C26" s="13"/>
      <c r="D26" s="13"/>
      <c r="E26" s="13"/>
      <c r="F26" s="13"/>
      <c r="G26" s="13"/>
      <c r="H26" s="13"/>
      <c r="I26" s="13"/>
      <c r="J26" s="13"/>
      <c r="K26" s="13"/>
      <c r="L26" s="13"/>
      <c r="M26" s="13"/>
      <c r="N26" s="13"/>
      <c r="O26" s="13"/>
      <c r="P26" s="13"/>
      <c r="Q26" s="13"/>
      <c r="R26" s="13"/>
      <c r="S26" s="13"/>
      <c r="T26" s="13"/>
      <c r="U26" s="13"/>
      <c r="V26" s="13"/>
      <c r="W26" s="13"/>
      <c r="X26" s="13"/>
    </row>
    <row r="27" spans="2:24" ht="27.75" customHeight="1" thickBot="1" x14ac:dyDescent="0.35">
      <c r="B27" s="13"/>
      <c r="C27" s="13"/>
      <c r="D27" s="13"/>
      <c r="E27" s="13"/>
      <c r="F27" s="13"/>
      <c r="G27" s="13"/>
      <c r="H27" s="13"/>
      <c r="I27" s="13"/>
      <c r="J27" s="13"/>
      <c r="K27" s="13"/>
      <c r="L27" s="13"/>
      <c r="M27" s="13"/>
      <c r="N27" s="13"/>
      <c r="O27" s="13"/>
      <c r="P27" s="13"/>
      <c r="Q27" s="13"/>
      <c r="R27" s="13"/>
      <c r="S27" s="13"/>
      <c r="T27" s="13"/>
      <c r="U27" s="13"/>
      <c r="V27" s="13"/>
      <c r="W27" s="13"/>
      <c r="X27" s="13"/>
    </row>
    <row r="28" spans="2:24" x14ac:dyDescent="0.3">
      <c r="B28" s="14"/>
      <c r="C28" s="14"/>
      <c r="D28" s="14"/>
      <c r="E28" s="14"/>
      <c r="F28" s="14"/>
      <c r="G28" s="14"/>
      <c r="H28" s="14"/>
      <c r="I28" s="14"/>
      <c r="J28" s="14"/>
      <c r="K28" s="14"/>
      <c r="L28" s="14"/>
      <c r="M28" s="14"/>
      <c r="N28" s="14"/>
      <c r="O28" s="14"/>
      <c r="P28" s="14"/>
      <c r="Q28" s="14"/>
      <c r="R28" s="14"/>
      <c r="S28" s="14"/>
      <c r="T28" s="14"/>
      <c r="U28" s="14"/>
      <c r="V28" s="14"/>
      <c r="W28" s="14"/>
      <c r="X28" s="14"/>
    </row>
  </sheetData>
  <mergeCells count="6">
    <mergeCell ref="U8:X8"/>
    <mergeCell ref="C8:F8"/>
    <mergeCell ref="G8:H8"/>
    <mergeCell ref="I8:K8"/>
    <mergeCell ref="L8:P8"/>
    <mergeCell ref="Q8:T8"/>
  </mergeCells>
  <pageMargins left="0.7" right="0.7" top="0.75" bottom="0.75" header="0.3" footer="0.3"/>
  <pageSetup paperSize="9" scale="60" orientation="landscape"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735F69A-ED7F-4E45-A06A-EDE33EC5EF97}">
  <dimension ref="B2:Y29"/>
  <sheetViews>
    <sheetView view="pageBreakPreview" topLeftCell="A10" zoomScaleNormal="100" zoomScaleSheetLayoutView="100" workbookViewId="0">
      <selection activeCell="B10" sqref="B10:X21"/>
    </sheetView>
  </sheetViews>
  <sheetFormatPr defaultRowHeight="14.4" x14ac:dyDescent="0.3"/>
  <cols>
    <col min="1" max="1" width="3" customWidth="1"/>
    <col min="3" max="24" width="9" customWidth="1"/>
    <col min="25" max="25" width="5.109375" customWidth="1"/>
  </cols>
  <sheetData>
    <row r="2" spans="2:25" x14ac:dyDescent="0.3">
      <c r="B2" t="s">
        <v>2</v>
      </c>
      <c r="C2" t="s">
        <v>1</v>
      </c>
    </row>
    <row r="3" spans="2:25" x14ac:dyDescent="0.3">
      <c r="B3" t="s">
        <v>3</v>
      </c>
    </row>
    <row r="4" spans="2:25" x14ac:dyDescent="0.3">
      <c r="B4" t="s">
        <v>4</v>
      </c>
    </row>
    <row r="5" spans="2:25" x14ac:dyDescent="0.3">
      <c r="B5" t="s">
        <v>5</v>
      </c>
      <c r="C5" s="15">
        <v>46128</v>
      </c>
      <c r="E5" t="s">
        <v>6</v>
      </c>
    </row>
    <row r="6" spans="2:25" x14ac:dyDescent="0.3">
      <c r="E6" t="s">
        <v>7</v>
      </c>
    </row>
    <row r="7" spans="2:25" ht="15" thickBot="1" x14ac:dyDescent="0.35"/>
    <row r="8" spans="2:25" ht="15" thickBot="1" x14ac:dyDescent="0.35">
      <c r="B8" s="2" t="s">
        <v>0</v>
      </c>
      <c r="C8" s="93" t="s">
        <v>8</v>
      </c>
      <c r="D8" s="93"/>
      <c r="E8" s="93"/>
      <c r="F8" s="93"/>
      <c r="G8" s="93" t="s">
        <v>25</v>
      </c>
      <c r="H8" s="93"/>
      <c r="I8" s="93" t="s">
        <v>26</v>
      </c>
      <c r="J8" s="93"/>
      <c r="K8" s="93"/>
      <c r="L8" s="93" t="s">
        <v>27</v>
      </c>
      <c r="M8" s="93"/>
      <c r="N8" s="93"/>
      <c r="O8" s="93"/>
      <c r="P8" s="93"/>
      <c r="Q8" s="95" t="s">
        <v>45</v>
      </c>
      <c r="R8" s="95"/>
      <c r="S8" s="95"/>
      <c r="T8" s="95"/>
      <c r="U8" s="95" t="s">
        <v>46</v>
      </c>
      <c r="V8" s="95"/>
      <c r="W8" s="95"/>
      <c r="X8" s="95"/>
    </row>
    <row r="9" spans="2:25" ht="43.8" thickBot="1" x14ac:dyDescent="0.35">
      <c r="B9" s="4"/>
      <c r="C9" s="5" t="s">
        <v>9</v>
      </c>
      <c r="D9" s="5" t="s">
        <v>10</v>
      </c>
      <c r="E9" s="5" t="s">
        <v>11</v>
      </c>
      <c r="F9" s="5" t="s">
        <v>12</v>
      </c>
      <c r="G9" s="5" t="s">
        <v>13</v>
      </c>
      <c r="H9" s="5" t="s">
        <v>14</v>
      </c>
      <c r="I9" s="19" t="s">
        <v>15</v>
      </c>
      <c r="J9" s="19" t="s">
        <v>16</v>
      </c>
      <c r="K9" s="19" t="s">
        <v>17</v>
      </c>
      <c r="L9" s="5" t="s">
        <v>18</v>
      </c>
      <c r="M9" s="5" t="s">
        <v>19</v>
      </c>
      <c r="N9" s="5" t="s">
        <v>20</v>
      </c>
      <c r="O9" s="5" t="s">
        <v>21</v>
      </c>
      <c r="P9" s="5" t="s">
        <v>22</v>
      </c>
      <c r="Q9" s="5" t="s">
        <v>19</v>
      </c>
      <c r="R9" s="5" t="s">
        <v>22</v>
      </c>
      <c r="S9" s="5" t="s">
        <v>23</v>
      </c>
      <c r="T9" s="19" t="s">
        <v>24</v>
      </c>
      <c r="U9" s="5" t="s">
        <v>19</v>
      </c>
      <c r="V9" s="5" t="s">
        <v>22</v>
      </c>
      <c r="W9" s="5" t="s">
        <v>23</v>
      </c>
      <c r="X9" s="19" t="s">
        <v>24</v>
      </c>
      <c r="Y9" s="1"/>
    </row>
    <row r="10" spans="2:25" s="3" customFormat="1" ht="33" customHeight="1" x14ac:dyDescent="0.3">
      <c r="B10" s="16">
        <v>0.35416666666666669</v>
      </c>
      <c r="C10" s="9"/>
      <c r="D10" s="9"/>
      <c r="E10" s="9"/>
      <c r="F10" s="9"/>
      <c r="G10" s="10" t="s">
        <v>34</v>
      </c>
      <c r="H10" s="9"/>
      <c r="I10" s="9"/>
      <c r="J10" s="9"/>
      <c r="K10" s="9"/>
      <c r="L10" s="9"/>
      <c r="M10" s="9"/>
      <c r="N10" s="9"/>
      <c r="O10" s="9"/>
      <c r="P10" s="9"/>
      <c r="Q10" s="9"/>
      <c r="R10" s="9"/>
      <c r="S10" s="9"/>
      <c r="T10" s="9"/>
      <c r="U10" s="9"/>
      <c r="V10" s="9"/>
      <c r="W10" s="9"/>
      <c r="X10" s="9"/>
    </row>
    <row r="11" spans="2:25" s="3" customFormat="1" ht="33" customHeight="1" x14ac:dyDescent="0.3">
      <c r="B11" s="7">
        <v>0.39583333333333331</v>
      </c>
      <c r="C11" s="10">
        <v>1180</v>
      </c>
      <c r="D11" s="10">
        <v>80</v>
      </c>
      <c r="E11" s="10">
        <v>500</v>
      </c>
      <c r="F11" s="10">
        <v>1874</v>
      </c>
      <c r="G11" s="10" t="s">
        <v>34</v>
      </c>
      <c r="H11" s="10">
        <v>4.7</v>
      </c>
      <c r="I11" s="10"/>
      <c r="J11" s="10"/>
      <c r="K11" s="10"/>
      <c r="L11" s="10">
        <v>23.8</v>
      </c>
      <c r="M11" s="10">
        <v>6.8</v>
      </c>
      <c r="N11" s="10">
        <v>4.4800000000000004</v>
      </c>
      <c r="O11" s="10">
        <v>20</v>
      </c>
      <c r="P11" s="10">
        <v>6.4</v>
      </c>
      <c r="Q11" s="10">
        <v>6.9</v>
      </c>
      <c r="R11" s="10">
        <v>7.3</v>
      </c>
      <c r="S11" s="10">
        <v>0.12</v>
      </c>
      <c r="T11" s="10"/>
      <c r="U11" s="10">
        <v>6.8</v>
      </c>
      <c r="V11" s="10">
        <v>7.8</v>
      </c>
      <c r="W11" s="10">
        <v>0.2</v>
      </c>
      <c r="X11" s="10"/>
    </row>
    <row r="12" spans="2:25" s="3" customFormat="1" ht="33" customHeight="1" x14ac:dyDescent="0.3">
      <c r="B12" s="17">
        <v>0.4375</v>
      </c>
      <c r="C12" s="10">
        <v>1154</v>
      </c>
      <c r="D12" s="10">
        <v>84</v>
      </c>
      <c r="E12" s="10">
        <v>500</v>
      </c>
      <c r="F12" s="10">
        <v>1871</v>
      </c>
      <c r="G12" s="10" t="s">
        <v>34</v>
      </c>
      <c r="H12" s="10">
        <v>4.5999999999999996</v>
      </c>
      <c r="I12" s="10"/>
      <c r="J12" s="10"/>
      <c r="K12" s="10"/>
      <c r="L12" s="10">
        <v>23.8</v>
      </c>
      <c r="M12" s="10">
        <v>6.7</v>
      </c>
      <c r="N12" s="10">
        <v>4.9400000000000004</v>
      </c>
      <c r="O12" s="10">
        <v>16</v>
      </c>
      <c r="P12" s="10">
        <v>8.9</v>
      </c>
      <c r="Q12" s="10">
        <v>6.7</v>
      </c>
      <c r="R12" s="10">
        <v>8.1</v>
      </c>
      <c r="S12" s="10">
        <v>0.1</v>
      </c>
      <c r="T12" s="10"/>
      <c r="U12" s="10">
        <v>6.7</v>
      </c>
      <c r="V12" s="10">
        <v>8.4</v>
      </c>
      <c r="W12" s="10">
        <v>0.28999999999999998</v>
      </c>
      <c r="X12" s="10"/>
    </row>
    <row r="13" spans="2:25" s="3" customFormat="1" ht="33" customHeight="1" x14ac:dyDescent="0.3">
      <c r="B13" s="7">
        <v>0.47916666666666669</v>
      </c>
      <c r="C13" s="10">
        <v>1130</v>
      </c>
      <c r="D13" s="10">
        <v>83</v>
      </c>
      <c r="E13" s="10">
        <v>500</v>
      </c>
      <c r="F13" s="10">
        <v>1888</v>
      </c>
      <c r="G13" s="10" t="s">
        <v>34</v>
      </c>
      <c r="H13" s="10">
        <v>4.5</v>
      </c>
      <c r="I13" s="10"/>
      <c r="J13" s="10"/>
      <c r="K13" s="10"/>
      <c r="L13" s="10">
        <v>24</v>
      </c>
      <c r="M13" s="10">
        <v>6.7</v>
      </c>
      <c r="N13" s="10">
        <v>4.05</v>
      </c>
      <c r="O13" s="10">
        <v>18</v>
      </c>
      <c r="P13" s="10">
        <v>6.9</v>
      </c>
      <c r="Q13" s="10">
        <v>6.8</v>
      </c>
      <c r="R13" s="10">
        <v>9.4</v>
      </c>
      <c r="S13" s="10">
        <v>0.11</v>
      </c>
      <c r="T13" s="10"/>
      <c r="U13" s="10">
        <v>6.7</v>
      </c>
      <c r="V13" s="10">
        <v>9.4</v>
      </c>
      <c r="W13" s="10">
        <v>0.27</v>
      </c>
      <c r="X13" s="10"/>
    </row>
    <row r="14" spans="2:25" s="3" customFormat="1" ht="33" customHeight="1" x14ac:dyDescent="0.3">
      <c r="B14" s="17">
        <v>0.52083333333333337</v>
      </c>
      <c r="C14" s="10" t="s">
        <v>41</v>
      </c>
      <c r="D14" s="10" t="s">
        <v>41</v>
      </c>
      <c r="E14" s="10" t="s">
        <v>41</v>
      </c>
      <c r="F14" s="10" t="s">
        <v>41</v>
      </c>
      <c r="G14" s="10" t="s">
        <v>41</v>
      </c>
      <c r="H14" s="10" t="s">
        <v>41</v>
      </c>
      <c r="I14" s="10" t="s">
        <v>41</v>
      </c>
      <c r="J14" s="10" t="s">
        <v>41</v>
      </c>
      <c r="K14" s="10" t="s">
        <v>41</v>
      </c>
      <c r="L14" s="10" t="s">
        <v>41</v>
      </c>
      <c r="M14" s="10" t="s">
        <v>41</v>
      </c>
      <c r="N14" s="10" t="s">
        <v>41</v>
      </c>
      <c r="O14" s="10" t="s">
        <v>41</v>
      </c>
      <c r="P14" s="10" t="s">
        <v>41</v>
      </c>
      <c r="Q14" s="10" t="s">
        <v>41</v>
      </c>
      <c r="R14" s="10" t="s">
        <v>41</v>
      </c>
      <c r="S14" s="10" t="s">
        <v>41</v>
      </c>
      <c r="T14" s="10" t="s">
        <v>41</v>
      </c>
      <c r="U14" s="10" t="s">
        <v>41</v>
      </c>
      <c r="V14" s="10" t="s">
        <v>41</v>
      </c>
      <c r="W14" s="10" t="s">
        <v>41</v>
      </c>
      <c r="X14" s="10" t="s">
        <v>41</v>
      </c>
    </row>
    <row r="15" spans="2:25" s="3" customFormat="1" ht="33" customHeight="1" x14ac:dyDescent="0.3">
      <c r="B15" s="7">
        <v>0.5625</v>
      </c>
      <c r="C15" s="10" t="s">
        <v>41</v>
      </c>
      <c r="D15" s="10" t="s">
        <v>41</v>
      </c>
      <c r="E15" s="10" t="s">
        <v>41</v>
      </c>
      <c r="F15" s="10" t="s">
        <v>41</v>
      </c>
      <c r="G15" s="10" t="s">
        <v>41</v>
      </c>
      <c r="H15" s="10" t="s">
        <v>41</v>
      </c>
      <c r="I15" s="10" t="s">
        <v>41</v>
      </c>
      <c r="J15" s="10" t="s">
        <v>41</v>
      </c>
      <c r="K15" s="10" t="s">
        <v>41</v>
      </c>
      <c r="L15" s="10" t="s">
        <v>41</v>
      </c>
      <c r="M15" s="10" t="s">
        <v>41</v>
      </c>
      <c r="N15" s="10" t="s">
        <v>41</v>
      </c>
      <c r="O15" s="10" t="s">
        <v>41</v>
      </c>
      <c r="P15" s="10" t="s">
        <v>41</v>
      </c>
      <c r="Q15" s="10" t="s">
        <v>41</v>
      </c>
      <c r="R15" s="10" t="s">
        <v>41</v>
      </c>
      <c r="S15" s="10" t="s">
        <v>41</v>
      </c>
      <c r="T15" s="10" t="s">
        <v>41</v>
      </c>
      <c r="U15" s="10" t="s">
        <v>41</v>
      </c>
      <c r="V15" s="10" t="s">
        <v>41</v>
      </c>
      <c r="W15" s="10" t="s">
        <v>41</v>
      </c>
      <c r="X15" s="10" t="s">
        <v>41</v>
      </c>
    </row>
    <row r="16" spans="2:25" s="3" customFormat="1" ht="33" customHeight="1" x14ac:dyDescent="0.3">
      <c r="B16" s="17">
        <v>0.60416666666666663</v>
      </c>
      <c r="C16" s="10">
        <v>1139</v>
      </c>
      <c r="D16" s="10">
        <v>84</v>
      </c>
      <c r="E16" s="10">
        <v>499</v>
      </c>
      <c r="F16" s="10">
        <v>1785</v>
      </c>
      <c r="G16" s="10" t="s">
        <v>34</v>
      </c>
      <c r="H16" s="10">
        <v>4.4000000000000004</v>
      </c>
      <c r="I16" s="10"/>
      <c r="J16" s="10"/>
      <c r="K16" s="10"/>
      <c r="L16" s="10">
        <v>24</v>
      </c>
      <c r="M16" s="10">
        <v>6.8</v>
      </c>
      <c r="N16" s="10">
        <v>5.66</v>
      </c>
      <c r="O16" s="10">
        <v>21</v>
      </c>
      <c r="P16" s="10">
        <v>8.6999999999999993</v>
      </c>
      <c r="Q16" s="10">
        <v>6.8</v>
      </c>
      <c r="R16" s="10">
        <v>7.2</v>
      </c>
      <c r="S16" s="10">
        <v>0.17</v>
      </c>
      <c r="T16" s="10"/>
      <c r="U16" s="10">
        <v>6.8</v>
      </c>
      <c r="V16" s="10">
        <v>8.1999999999999993</v>
      </c>
      <c r="W16" s="10">
        <v>0.25</v>
      </c>
      <c r="X16" s="10"/>
    </row>
    <row r="17" spans="2:24" s="3" customFormat="1" ht="33" customHeight="1" x14ac:dyDescent="0.3">
      <c r="B17" s="7">
        <v>0.64583333333333337</v>
      </c>
      <c r="C17" s="10" t="s">
        <v>43</v>
      </c>
      <c r="D17" s="10" t="s">
        <v>43</v>
      </c>
      <c r="E17" s="10" t="s">
        <v>43</v>
      </c>
      <c r="F17" s="10" t="s">
        <v>43</v>
      </c>
      <c r="G17" s="10" t="s">
        <v>43</v>
      </c>
      <c r="H17" s="10" t="s">
        <v>43</v>
      </c>
      <c r="I17" s="10" t="s">
        <v>43</v>
      </c>
      <c r="J17" s="10" t="s">
        <v>43</v>
      </c>
      <c r="K17" s="10" t="s">
        <v>43</v>
      </c>
      <c r="L17" s="10" t="s">
        <v>43</v>
      </c>
      <c r="M17" s="10" t="s">
        <v>43</v>
      </c>
      <c r="N17" s="10" t="s">
        <v>43</v>
      </c>
      <c r="O17" s="10" t="s">
        <v>43</v>
      </c>
      <c r="P17" s="10" t="s">
        <v>43</v>
      </c>
      <c r="Q17" s="10" t="s">
        <v>43</v>
      </c>
      <c r="R17" s="10" t="s">
        <v>43</v>
      </c>
      <c r="S17" s="10" t="s">
        <v>43</v>
      </c>
      <c r="T17" s="10" t="s">
        <v>43</v>
      </c>
      <c r="U17" s="10" t="s">
        <v>43</v>
      </c>
      <c r="V17" s="10" t="s">
        <v>43</v>
      </c>
      <c r="W17" s="10" t="s">
        <v>43</v>
      </c>
      <c r="X17" s="10" t="s">
        <v>43</v>
      </c>
    </row>
    <row r="18" spans="2:24" s="3" customFormat="1" ht="33" customHeight="1" x14ac:dyDescent="0.3">
      <c r="B18" s="17">
        <v>0.6875</v>
      </c>
      <c r="C18" s="10">
        <v>1239</v>
      </c>
      <c r="D18" s="10">
        <v>81</v>
      </c>
      <c r="E18" s="10">
        <v>500</v>
      </c>
      <c r="F18" s="10">
        <v>1845</v>
      </c>
      <c r="G18" s="10" t="s">
        <v>34</v>
      </c>
      <c r="H18" s="10">
        <v>4.4000000000000004</v>
      </c>
      <c r="I18" s="10"/>
      <c r="J18" s="10"/>
      <c r="K18" s="10"/>
      <c r="L18" s="10">
        <v>24.6</v>
      </c>
      <c r="M18" s="10">
        <v>6.8</v>
      </c>
      <c r="N18" s="10">
        <v>7.04</v>
      </c>
      <c r="O18" s="10">
        <v>15</v>
      </c>
      <c r="P18" s="10">
        <v>8.8000000000000007</v>
      </c>
      <c r="Q18" s="10">
        <v>6.8</v>
      </c>
      <c r="R18" s="10">
        <v>8.3000000000000007</v>
      </c>
      <c r="S18" s="10">
        <v>0.18</v>
      </c>
      <c r="T18" s="10"/>
      <c r="U18" s="10">
        <v>6.7</v>
      </c>
      <c r="V18" s="10">
        <v>8.4</v>
      </c>
      <c r="W18" s="10">
        <v>0.25</v>
      </c>
      <c r="X18" s="10"/>
    </row>
    <row r="19" spans="2:24" s="3" customFormat="1" ht="33" customHeight="1" x14ac:dyDescent="0.3">
      <c r="B19" s="7">
        <v>0.72916666666666663</v>
      </c>
      <c r="C19" s="10">
        <v>1212</v>
      </c>
      <c r="D19" s="10">
        <v>70</v>
      </c>
      <c r="E19" s="10">
        <v>500</v>
      </c>
      <c r="F19" s="10">
        <v>1876</v>
      </c>
      <c r="G19" s="10" t="s">
        <v>34</v>
      </c>
      <c r="H19" s="10">
        <v>4.4000000000000004</v>
      </c>
      <c r="I19" s="10"/>
      <c r="J19" s="10"/>
      <c r="K19" s="10"/>
      <c r="L19" s="10">
        <v>24.4</v>
      </c>
      <c r="M19" s="10">
        <v>6.7</v>
      </c>
      <c r="N19" s="10">
        <v>3.36</v>
      </c>
      <c r="O19" s="10">
        <v>18</v>
      </c>
      <c r="P19" s="10">
        <v>8.4</v>
      </c>
      <c r="Q19" s="10">
        <v>6.7</v>
      </c>
      <c r="R19" s="10">
        <v>8.1</v>
      </c>
      <c r="S19" s="10">
        <v>0.12</v>
      </c>
      <c r="T19" s="10"/>
      <c r="U19" s="10">
        <v>6.6</v>
      </c>
      <c r="V19" s="10">
        <v>8.8000000000000007</v>
      </c>
      <c r="W19" s="10">
        <v>0.19</v>
      </c>
      <c r="X19" s="10"/>
    </row>
    <row r="20" spans="2:24" s="3" customFormat="1" ht="33" customHeight="1" x14ac:dyDescent="0.3">
      <c r="B20" s="17">
        <v>0.77083333333333337</v>
      </c>
      <c r="C20" s="10" t="s">
        <v>33</v>
      </c>
      <c r="D20" s="10" t="s">
        <v>33</v>
      </c>
      <c r="E20" s="10" t="s">
        <v>33</v>
      </c>
      <c r="F20" s="10" t="s">
        <v>33</v>
      </c>
      <c r="G20" s="10" t="s">
        <v>33</v>
      </c>
      <c r="H20" s="10" t="s">
        <v>33</v>
      </c>
      <c r="I20" s="10" t="s">
        <v>33</v>
      </c>
      <c r="J20" s="10" t="s">
        <v>33</v>
      </c>
      <c r="K20" s="10" t="s">
        <v>33</v>
      </c>
      <c r="L20" s="10" t="s">
        <v>33</v>
      </c>
      <c r="M20" s="10" t="s">
        <v>33</v>
      </c>
      <c r="N20" s="10" t="s">
        <v>33</v>
      </c>
      <c r="O20" s="10" t="s">
        <v>33</v>
      </c>
      <c r="P20" s="10" t="s">
        <v>33</v>
      </c>
      <c r="Q20" s="10" t="s">
        <v>33</v>
      </c>
      <c r="R20" s="10" t="s">
        <v>33</v>
      </c>
      <c r="S20" s="10" t="s">
        <v>33</v>
      </c>
      <c r="T20" s="10" t="s">
        <v>33</v>
      </c>
      <c r="U20" s="10" t="s">
        <v>33</v>
      </c>
      <c r="V20" s="10" t="s">
        <v>33</v>
      </c>
      <c r="W20" s="10" t="s">
        <v>33</v>
      </c>
      <c r="X20" s="10" t="s">
        <v>33</v>
      </c>
    </row>
    <row r="21" spans="2:24" s="3" customFormat="1" ht="33" customHeight="1" x14ac:dyDescent="0.3">
      <c r="B21" s="7">
        <v>0.8125</v>
      </c>
      <c r="C21" s="10">
        <v>1173</v>
      </c>
      <c r="D21" s="10">
        <v>82</v>
      </c>
      <c r="E21" s="10">
        <v>499</v>
      </c>
      <c r="F21" s="10">
        <v>1884</v>
      </c>
      <c r="G21" s="10" t="s">
        <v>34</v>
      </c>
      <c r="H21" s="10">
        <v>4.4000000000000004</v>
      </c>
      <c r="I21" s="10"/>
      <c r="J21" s="10"/>
      <c r="K21" s="10"/>
      <c r="L21" s="10">
        <v>24.6</v>
      </c>
      <c r="M21" s="10">
        <v>6.8</v>
      </c>
      <c r="N21" s="10">
        <v>3.85</v>
      </c>
      <c r="O21" s="10">
        <v>15</v>
      </c>
      <c r="P21" s="10">
        <v>9.6999999999999993</v>
      </c>
      <c r="Q21" s="10">
        <v>7</v>
      </c>
      <c r="R21" s="10">
        <v>9.6</v>
      </c>
      <c r="S21" s="10">
        <v>0.12</v>
      </c>
      <c r="T21" s="10"/>
      <c r="U21" s="10">
        <v>7</v>
      </c>
      <c r="V21" s="10">
        <v>8.8000000000000007</v>
      </c>
      <c r="W21" s="10">
        <v>0.11</v>
      </c>
      <c r="X21" s="10"/>
    </row>
    <row r="22" spans="2:24" s="3" customFormat="1" ht="33" customHeight="1" thickBot="1" x14ac:dyDescent="0.35">
      <c r="B22" s="18">
        <v>0.85416666666666663</v>
      </c>
      <c r="C22" s="11">
        <v>1183</v>
      </c>
      <c r="D22" s="11">
        <v>82</v>
      </c>
      <c r="E22" s="11">
        <v>499</v>
      </c>
      <c r="F22" s="11">
        <v>1809</v>
      </c>
      <c r="G22" s="10" t="s">
        <v>34</v>
      </c>
      <c r="H22" s="11">
        <v>4.4000000000000004</v>
      </c>
      <c r="I22" s="11"/>
      <c r="J22" s="11"/>
      <c r="K22" s="11"/>
      <c r="L22" s="11">
        <v>24.7</v>
      </c>
      <c r="M22" s="11">
        <v>6.8</v>
      </c>
      <c r="N22" s="11">
        <v>3.4</v>
      </c>
      <c r="O22" s="11">
        <v>14</v>
      </c>
      <c r="P22" s="11">
        <v>10</v>
      </c>
      <c r="Q22" s="11">
        <v>7</v>
      </c>
      <c r="R22" s="11">
        <v>9.1</v>
      </c>
      <c r="S22" s="11">
        <v>0.12</v>
      </c>
      <c r="T22" s="11"/>
      <c r="U22" s="11">
        <v>6.9</v>
      </c>
      <c r="V22" s="11">
        <v>8.3000000000000007</v>
      </c>
      <c r="W22" s="11">
        <v>0.16</v>
      </c>
      <c r="X22" s="11"/>
    </row>
    <row r="24" spans="2:24" ht="27.75" customHeight="1" thickBot="1" x14ac:dyDescent="0.35">
      <c r="B24" s="12" t="s">
        <v>30</v>
      </c>
      <c r="C24" s="12"/>
      <c r="D24" s="12" t="s">
        <v>42</v>
      </c>
      <c r="E24" s="12"/>
      <c r="F24" s="12"/>
      <c r="G24" s="12"/>
      <c r="H24" s="12"/>
      <c r="I24" s="12"/>
      <c r="J24" s="12"/>
      <c r="K24" s="12"/>
      <c r="L24" s="12"/>
      <c r="M24" s="12"/>
      <c r="N24" s="12"/>
      <c r="O24" s="12"/>
      <c r="P24" s="12"/>
      <c r="Q24" s="12"/>
      <c r="R24" s="12"/>
      <c r="S24" s="12"/>
      <c r="T24" s="12"/>
      <c r="U24" s="12"/>
      <c r="V24" s="12"/>
      <c r="W24" s="12"/>
      <c r="X24" s="12"/>
    </row>
    <row r="25" spans="2:24" ht="27.75" customHeight="1" thickBot="1" x14ac:dyDescent="0.35">
      <c r="B25" s="13"/>
      <c r="C25" s="13"/>
      <c r="D25" s="13" t="s">
        <v>44</v>
      </c>
      <c r="E25" s="13"/>
      <c r="F25" s="13"/>
      <c r="G25" s="13"/>
      <c r="H25" s="13"/>
      <c r="I25" s="13"/>
      <c r="J25" s="13"/>
      <c r="K25" s="13"/>
      <c r="L25" s="13"/>
      <c r="M25" s="13"/>
      <c r="N25" s="13"/>
      <c r="O25" s="13"/>
      <c r="P25" s="13"/>
      <c r="Q25" s="13"/>
      <c r="R25" s="13"/>
      <c r="S25" s="13"/>
      <c r="T25" s="13"/>
      <c r="U25" s="13"/>
      <c r="V25" s="13"/>
      <c r="W25" s="13"/>
      <c r="X25" s="13"/>
    </row>
    <row r="26" spans="2:24" ht="27.75" customHeight="1" thickBot="1" x14ac:dyDescent="0.35">
      <c r="B26" s="13"/>
      <c r="C26" s="13"/>
      <c r="D26" s="13"/>
      <c r="E26" s="13"/>
      <c r="F26" s="13"/>
      <c r="G26" s="13"/>
      <c r="H26" s="13"/>
      <c r="I26" s="13"/>
      <c r="J26" s="13"/>
      <c r="K26" s="13"/>
      <c r="L26" s="13"/>
      <c r="M26" s="13"/>
      <c r="N26" s="13"/>
      <c r="O26" s="13"/>
      <c r="P26" s="13"/>
      <c r="Q26" s="13"/>
      <c r="R26" s="13"/>
      <c r="S26" s="13"/>
      <c r="T26" s="13"/>
      <c r="U26" s="13"/>
      <c r="V26" s="13"/>
      <c r="W26" s="13"/>
      <c r="X26" s="13"/>
    </row>
    <row r="27" spans="2:24" ht="27.75" customHeight="1" thickBot="1" x14ac:dyDescent="0.35">
      <c r="B27" s="13"/>
      <c r="C27" s="13"/>
      <c r="D27" s="13"/>
      <c r="E27" s="13"/>
      <c r="F27" s="13"/>
      <c r="G27" s="13"/>
      <c r="H27" s="13"/>
      <c r="I27" s="13"/>
      <c r="J27" s="13"/>
      <c r="K27" s="13"/>
      <c r="L27" s="13"/>
      <c r="M27" s="13"/>
      <c r="N27" s="13"/>
      <c r="O27" s="13"/>
      <c r="P27" s="13"/>
      <c r="Q27" s="13"/>
      <c r="R27" s="13"/>
      <c r="S27" s="13"/>
      <c r="T27" s="13"/>
      <c r="U27" s="13"/>
      <c r="V27" s="13"/>
      <c r="W27" s="13"/>
      <c r="X27" s="13"/>
    </row>
    <row r="28" spans="2:24" ht="27.75" customHeight="1" thickBot="1" x14ac:dyDescent="0.35">
      <c r="B28" s="13"/>
      <c r="C28" s="13"/>
      <c r="D28" s="13"/>
      <c r="E28" s="13"/>
      <c r="F28" s="13"/>
      <c r="G28" s="13"/>
      <c r="H28" s="13"/>
      <c r="I28" s="13"/>
      <c r="J28" s="13"/>
      <c r="K28" s="13"/>
      <c r="L28" s="13"/>
      <c r="M28" s="13"/>
      <c r="N28" s="13"/>
      <c r="O28" s="13"/>
      <c r="P28" s="13"/>
      <c r="Q28" s="13"/>
      <c r="R28" s="13"/>
      <c r="S28" s="13"/>
      <c r="T28" s="13"/>
      <c r="U28" s="13"/>
      <c r="V28" s="13"/>
      <c r="W28" s="13"/>
      <c r="X28" s="13"/>
    </row>
    <row r="29" spans="2:24" x14ac:dyDescent="0.3">
      <c r="B29" s="14"/>
      <c r="C29" s="14"/>
      <c r="D29" s="14"/>
      <c r="E29" s="14"/>
      <c r="F29" s="14"/>
      <c r="G29" s="14"/>
      <c r="H29" s="14"/>
      <c r="I29" s="14"/>
      <c r="J29" s="14"/>
      <c r="K29" s="14"/>
      <c r="L29" s="14"/>
      <c r="M29" s="14"/>
      <c r="N29" s="14"/>
      <c r="O29" s="14"/>
      <c r="P29" s="14"/>
      <c r="Q29" s="14"/>
      <c r="R29" s="14"/>
      <c r="S29" s="14"/>
      <c r="T29" s="14"/>
      <c r="U29" s="14"/>
      <c r="V29" s="14"/>
      <c r="W29" s="14"/>
      <c r="X29" s="14"/>
    </row>
  </sheetData>
  <mergeCells count="6">
    <mergeCell ref="U8:X8"/>
    <mergeCell ref="C8:F8"/>
    <mergeCell ref="G8:H8"/>
    <mergeCell ref="I8:K8"/>
    <mergeCell ref="L8:P8"/>
    <mergeCell ref="Q8:T8"/>
  </mergeCells>
  <pageMargins left="0.7" right="0.7" top="0.75" bottom="0.75" header="0.3" footer="0.3"/>
  <pageSetup paperSize="9" scale="60" orientation="landscape"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E2DE161-93C0-4E49-94D2-9B5FE55A5C3F}">
  <dimension ref="A1:BH511"/>
  <sheetViews>
    <sheetView tabSelected="1" topLeftCell="A490" zoomScaleNormal="100" workbookViewId="0">
      <selection activeCell="A511" sqref="A511"/>
    </sheetView>
  </sheetViews>
  <sheetFormatPr defaultRowHeight="14.4" x14ac:dyDescent="0.3"/>
  <cols>
    <col min="1" max="1" width="10.77734375" style="76" bestFit="1" customWidth="1"/>
    <col min="2" max="2" width="9.109375" style="142"/>
    <col min="3" max="3" width="10" style="120" customWidth="1"/>
    <col min="4" max="4" width="9" style="120" customWidth="1"/>
    <col min="5" max="5" width="10.77734375" style="120" customWidth="1"/>
    <col min="6" max="6" width="9.6640625" style="120" customWidth="1"/>
    <col min="7" max="7" width="5.5546875" style="70" customWidth="1"/>
    <col min="8" max="8" width="8.88671875" style="69"/>
    <col min="9" max="9" width="8.88671875" style="120"/>
    <col min="10" max="10" width="8.5546875" customWidth="1"/>
    <col min="11" max="12" width="8.88671875" style="120"/>
    <col min="13" max="14" width="8.88671875" style="69"/>
    <col min="15" max="15" width="8.88671875" style="83"/>
    <col min="16" max="16" width="8.88671875" style="120"/>
    <col min="17" max="17" width="8.88671875" style="69"/>
    <col min="19" max="21" width="10.109375" style="83" customWidth="1"/>
    <col min="22" max="24" width="12" style="83" customWidth="1"/>
    <col min="25" max="26" width="8.88671875" style="120"/>
    <col min="27" max="27" width="10.109375" style="69" customWidth="1"/>
    <col min="28" max="28" width="10.21875" style="120" customWidth="1"/>
    <col min="29" max="29" width="11.88671875" style="69" customWidth="1"/>
    <col min="30" max="30" width="12.21875" style="69" customWidth="1"/>
    <col min="31" max="31" width="13.44140625" style="83" customWidth="1"/>
    <col min="32" max="32" width="14.44140625" style="83" customWidth="1"/>
    <col min="33" max="33" width="14.44140625" customWidth="1"/>
    <col min="34" max="35" width="14.44140625" style="83" customWidth="1"/>
    <col min="36" max="37" width="8.88671875" style="120"/>
    <col min="38" max="38" width="12.109375" style="69" customWidth="1"/>
    <col min="39" max="39" width="11.88671875" style="120" customWidth="1"/>
    <col min="40" max="40" width="12" style="69" customWidth="1"/>
    <col min="41" max="41" width="12.109375" style="69" customWidth="1"/>
    <col min="42" max="42" width="13.33203125" style="83" customWidth="1"/>
    <col min="43" max="43" width="13.88671875" style="83" customWidth="1"/>
    <col min="44" max="44" width="13.88671875" style="120" customWidth="1"/>
    <col min="45" max="47" width="13.88671875" style="42" customWidth="1"/>
    <col min="48" max="49" width="14" style="152" customWidth="1"/>
    <col min="50" max="50" width="18" style="42" customWidth="1"/>
    <col min="51" max="51" width="17.109375" style="42" customWidth="1"/>
    <col min="52" max="52" width="25.77734375" style="70" customWidth="1"/>
    <col min="53" max="53" width="18" style="70" customWidth="1"/>
    <col min="54" max="54" width="20" style="70" customWidth="1"/>
    <col min="55" max="55" width="19.33203125" style="70" customWidth="1"/>
    <col min="56" max="56" width="19.77734375" style="70" customWidth="1"/>
    <col min="57" max="57" width="21.109375" style="70" customWidth="1"/>
    <col min="58" max="58" width="24.33203125" style="70" customWidth="1"/>
    <col min="59" max="59" width="24.77734375" style="70" customWidth="1"/>
    <col min="60" max="60" width="18.77734375" style="70" customWidth="1"/>
  </cols>
  <sheetData>
    <row r="1" spans="1:60" ht="80.25" customHeight="1" x14ac:dyDescent="0.3">
      <c r="A1" s="25" t="s">
        <v>47</v>
      </c>
      <c r="B1" s="106" t="s">
        <v>0</v>
      </c>
      <c r="C1" s="115" t="s">
        <v>70</v>
      </c>
      <c r="D1" s="115" t="s">
        <v>71</v>
      </c>
      <c r="E1" s="115" t="s">
        <v>72</v>
      </c>
      <c r="F1" s="115" t="s">
        <v>73</v>
      </c>
      <c r="G1" s="143" t="s">
        <v>74</v>
      </c>
      <c r="H1" s="121" t="s">
        <v>75</v>
      </c>
      <c r="I1" s="131" t="s">
        <v>290</v>
      </c>
      <c r="J1" s="115" t="s">
        <v>297</v>
      </c>
      <c r="K1" s="115" t="s">
        <v>76</v>
      </c>
      <c r="L1" s="115" t="s">
        <v>77</v>
      </c>
      <c r="M1" s="121" t="s">
        <v>78</v>
      </c>
      <c r="N1" s="121" t="s">
        <v>79</v>
      </c>
      <c r="O1" s="78" t="s">
        <v>80</v>
      </c>
      <c r="P1" s="115" t="s">
        <v>81</v>
      </c>
      <c r="Q1" s="121" t="s">
        <v>82</v>
      </c>
      <c r="R1" s="78" t="s">
        <v>83</v>
      </c>
      <c r="S1" s="78" t="s">
        <v>308</v>
      </c>
      <c r="T1" s="78" t="s">
        <v>309</v>
      </c>
      <c r="U1" s="78" t="s">
        <v>310</v>
      </c>
      <c r="V1" s="78" t="s">
        <v>314</v>
      </c>
      <c r="W1" s="126" t="s">
        <v>312</v>
      </c>
      <c r="X1" s="78" t="s">
        <v>311</v>
      </c>
      <c r="Y1" s="115" t="s">
        <v>84</v>
      </c>
      <c r="Z1" s="115" t="s">
        <v>85</v>
      </c>
      <c r="AA1" s="121" t="s">
        <v>90</v>
      </c>
      <c r="AB1" s="115" t="s">
        <v>91</v>
      </c>
      <c r="AC1" s="121" t="s">
        <v>88</v>
      </c>
      <c r="AD1" s="121" t="s">
        <v>89</v>
      </c>
      <c r="AE1" s="78" t="s">
        <v>92</v>
      </c>
      <c r="AF1" s="78" t="s">
        <v>93</v>
      </c>
      <c r="AG1" s="78" t="s">
        <v>315</v>
      </c>
      <c r="AH1" s="126" t="s">
        <v>313</v>
      </c>
      <c r="AI1" s="78" t="s">
        <v>316</v>
      </c>
      <c r="AJ1" s="115" t="s">
        <v>86</v>
      </c>
      <c r="AK1" s="115" t="s">
        <v>87</v>
      </c>
      <c r="AL1" s="121" t="s">
        <v>94</v>
      </c>
      <c r="AM1" s="115" t="s">
        <v>95</v>
      </c>
      <c r="AN1" s="121" t="s">
        <v>96</v>
      </c>
      <c r="AO1" s="121" t="s">
        <v>97</v>
      </c>
      <c r="AP1" s="78" t="s">
        <v>98</v>
      </c>
      <c r="AQ1" s="78" t="s">
        <v>99</v>
      </c>
      <c r="AR1" s="131" t="s">
        <v>275</v>
      </c>
      <c r="AS1" s="133" t="s">
        <v>276</v>
      </c>
      <c r="AT1" s="133" t="s">
        <v>277</v>
      </c>
      <c r="AU1" s="133" t="s">
        <v>278</v>
      </c>
      <c r="AV1" s="150" t="s">
        <v>130</v>
      </c>
      <c r="AW1" s="150" t="s">
        <v>131</v>
      </c>
      <c r="AX1" s="40" t="s">
        <v>129</v>
      </c>
      <c r="AY1" s="40" t="s">
        <v>128</v>
      </c>
      <c r="AZ1" s="135" t="s">
        <v>123</v>
      </c>
      <c r="BA1" s="135" t="s">
        <v>122</v>
      </c>
      <c r="BB1" s="135" t="s">
        <v>120</v>
      </c>
      <c r="BC1" s="135" t="s">
        <v>121</v>
      </c>
      <c r="BD1" s="135" t="s">
        <v>126</v>
      </c>
      <c r="BE1" s="135" t="s">
        <v>127</v>
      </c>
      <c r="BF1" s="135" t="s">
        <v>125</v>
      </c>
      <c r="BG1" s="135" t="s">
        <v>124</v>
      </c>
      <c r="BH1" s="135" t="s">
        <v>119</v>
      </c>
    </row>
    <row r="2" spans="1:60" x14ac:dyDescent="0.3">
      <c r="A2" s="74">
        <v>46259</v>
      </c>
      <c r="B2" s="139">
        <v>0.39583333333333331</v>
      </c>
      <c r="C2" s="116">
        <v>350</v>
      </c>
      <c r="D2" s="116">
        <v>1700</v>
      </c>
      <c r="E2" s="116">
        <v>0</v>
      </c>
      <c r="F2" s="116">
        <v>2200</v>
      </c>
      <c r="G2" s="144" t="s">
        <v>100</v>
      </c>
      <c r="H2" s="122">
        <v>9.8000000000000007</v>
      </c>
      <c r="I2" s="116">
        <v>-38</v>
      </c>
      <c r="J2" s="10">
        <v>90</v>
      </c>
      <c r="K2" s="116">
        <v>90</v>
      </c>
      <c r="L2" s="116">
        <v>90</v>
      </c>
      <c r="M2" s="122">
        <v>25</v>
      </c>
      <c r="N2" s="122">
        <v>6.4</v>
      </c>
      <c r="O2" s="79">
        <v>1.06</v>
      </c>
      <c r="P2" s="116">
        <v>8</v>
      </c>
      <c r="Q2" s="122">
        <v>5.8</v>
      </c>
      <c r="R2" s="10">
        <v>0.17</v>
      </c>
      <c r="S2" s="79">
        <v>22.36</v>
      </c>
      <c r="T2" s="79">
        <v>0.88</v>
      </c>
      <c r="U2" s="79">
        <v>0.7</v>
      </c>
      <c r="V2" s="85">
        <f>(O2+0.3*H2+2)*(F2/2/Z2)</f>
        <v>1650</v>
      </c>
      <c r="W2" s="85">
        <f>S2*(U2*AA2*0.987-T2)*AB2</f>
        <v>1372.556302</v>
      </c>
      <c r="X2" s="85">
        <f>W2/V2</f>
        <v>0.83185230424242418</v>
      </c>
      <c r="Y2" s="116">
        <v>3</v>
      </c>
      <c r="Z2" s="116">
        <v>4</v>
      </c>
      <c r="AA2" s="122">
        <v>6.5</v>
      </c>
      <c r="AB2" s="116">
        <v>17</v>
      </c>
      <c r="AC2" s="122">
        <v>5.6</v>
      </c>
      <c r="AD2" s="122">
        <v>2</v>
      </c>
      <c r="AE2" s="79">
        <v>0.86</v>
      </c>
      <c r="AF2" s="79">
        <v>0.14000000000000001</v>
      </c>
      <c r="AG2" s="85">
        <f>(O2+0.3*H2+2)*(F2/2/AK2)</f>
        <v>1650</v>
      </c>
      <c r="AH2" s="85">
        <f>S2*(U2*AL2*0.987-T2)*AM2</f>
        <v>1768.158925</v>
      </c>
      <c r="AI2" s="85">
        <f>AH2/AG2</f>
        <v>1.0716114696969696</v>
      </c>
      <c r="AJ2" s="116">
        <v>4</v>
      </c>
      <c r="AK2" s="116">
        <v>4</v>
      </c>
      <c r="AL2" s="122">
        <v>6.25</v>
      </c>
      <c r="AM2" s="116">
        <v>23</v>
      </c>
      <c r="AN2" s="122">
        <v>5.2</v>
      </c>
      <c r="AO2" s="122">
        <v>2.2000000000000002</v>
      </c>
      <c r="AP2" s="79">
        <v>1.21</v>
      </c>
      <c r="AQ2" s="79">
        <v>0.11</v>
      </c>
      <c r="AR2" s="132">
        <f>SUM(C2:E2)</f>
        <v>2050</v>
      </c>
      <c r="AS2" s="134">
        <f>C2/AR2</f>
        <v>0.17073170731707318</v>
      </c>
      <c r="AT2" s="134">
        <f>D2/AR2</f>
        <v>0.82926829268292679</v>
      </c>
      <c r="AU2" s="134">
        <f>E2/AR2</f>
        <v>0</v>
      </c>
      <c r="AV2" s="151">
        <f>IF(AND(F2&lt;&gt;"",Z2&lt;&gt;""),AB2/(F2/2/Z2),"")</f>
        <v>6.1818181818181821E-2</v>
      </c>
      <c r="AW2" s="151">
        <f>IF(AND(F2&lt;&gt;"",AK2&lt;&gt;""),AM2/(F2/2/AK2),"")</f>
        <v>8.3636363636363634E-2</v>
      </c>
      <c r="AX2" s="41">
        <f>IF(AND(AQ2&lt;&gt;"",1-(AQ2/O2)&gt;0),1-(AQ2/O2),"")</f>
        <v>0.89622641509433965</v>
      </c>
      <c r="AY2" s="41">
        <f>IF(AND(AF2&lt;&gt;"",1-(AF2/O2)&gt;0),1-(AF2/O2),"")</f>
        <v>0.86792452830188682</v>
      </c>
      <c r="AZ2" s="136" t="str">
        <f>IF(Q2="","",IF(Q2&lt;2.5,"Alc. Bruta &lt; 2,5 mg/L",IF(Q2&lt;5,"2,5 ≤ Alc. Bruta &lt; 5,0 mg/L",IF(Q2&lt;7.5,"5,0 ≤ Alc. Bruta &lt; 7,5 mg/L",IF(Q2&lt;10,"7,5 ≤ Alc. Bruta &lt; 10,0 mg/L",IF(Q2&lt;15,"10,0 ≤ Alca. Bruta &lt; 15,0 mg/L","Alc. Bruta &gt; 15 mg/L"))))))</f>
        <v>5,0 ≤ Alc. Bruta &lt; 7,5 mg/L</v>
      </c>
      <c r="BA2" s="136" t="str">
        <f>IF(P2="","",IF(P2&lt;5,"Cor &lt;5 uC",IF(P2&lt;10,"5 ≤ Cor &lt; 10 uC",IF(P2&lt;15,"10 ≤ Cor &lt;15 uC",IF(P2&lt;30,"15 ≤ Cor &lt; 30 uC",IF(P2&lt;50,"30 ≤ Cor &lt; 50 uC","Cor &gt; 50 uC"))))))</f>
        <v>5 ≤ Cor &lt; 10 uC</v>
      </c>
      <c r="BB2" s="137" t="str">
        <f>IF(O2="","",IF(O2&lt;2.5,"Turbidez &lt; 2,5 uT",IF(O2&lt;5,"2,5 ≤ Turb &lt; 5,0 uT",IF(O2&lt;7.5,"5,0 ≤ Turb &lt; 7,5 uT",IF(O2&lt;10,"7,5 ≤ Turb &lt; 10,0 uT",IF(O2&lt;15,"10,0 ≤ Turb &lt; 15,0 uT","Turb &gt; 15 uT"))))))</f>
        <v>Turbidez &lt; 2,5 uT</v>
      </c>
      <c r="BC2" s="138" t="str">
        <f>IF(AND(C2&gt;D2,D2&gt;E2),"TOR &gt; SM &gt; BNN",IF(AND(C2&gt;E2,E2&gt;D2),"TOR &gt; BNN &gt; SM",IF(AND(D2&gt;C2,C2&gt;E2),"SM &gt; TOR &gt; BNN",IF(AND(D2&gt;E2,E2&gt;C2),"SM &gt; BNN &gt; TOR",IF(AND(C2=D2,D2=E2),"TOR = SM = BNN","Comb. diferentes")))))</f>
        <v>SM &gt; TOR &gt; BNN</v>
      </c>
      <c r="BD2" s="137" t="str">
        <f>IF(OR(AE2="",AQ2="-"),"",IF(AE2&lt;=0.25,"Tipo 1 (≤0,25) uT",IF(AE2&lt;=0.5,"Tipo 2 (0,25-0,50) uT",IF(AE2&lt;=0.75,"Tipo 3 (0,50-0,75) uT","Tipo 4 (&gt;0,75) uT"))))</f>
        <v>Tipo 4 (&gt;0,75) uT</v>
      </c>
      <c r="BE2" s="137" t="str">
        <f t="shared" ref="BE2:BE65" si="0">IF(OR(AP2="",AZ2="-"),"",IF(AP2&lt;=0.25,"Tipo 1 (≤0,25) uT",IF(AP2&lt;=0.5,"Tipo 2 (0,25-0,50) uT",IF(AP2&lt;=0.75,"Tipo 3 (0,50-0,75) uT","Tipo 4 (&gt;0,75) uT"))))</f>
        <v>Tipo 4 (&gt;0,75) uT</v>
      </c>
      <c r="BF2" s="137" t="str">
        <f>IF(OR(AF2="",AQ2="-"),"",IF(AF2&lt;=0.25,"Tipo 1 (≤0,25) uT",IF(AF2&lt;=0.5,"Tipo 2 (0,25-0,50) uT",IF(AF2&lt;=0.75,"Tipo 3 (0,50-0,75) uT","Tipo 4 (&gt;0,75) uT"))))</f>
        <v>Tipo 1 (≤0,25) uT</v>
      </c>
      <c r="BG2" s="137" t="str">
        <f t="shared" ref="BG2:BG65" si="1">IF(OR(AQ2="",AQ2="-"),"",IF(AQ2&lt;=0.25,"Tipo 1 (≤0,25) uT",IF(AQ2&lt;=0.5,"Tipo 2 (0,25-0,50) uT",IF(AQ2&lt;=0.75,"Tipo 3 (0,50-0,75) uT","Tipo 4 (&gt;0,75) uT"))))</f>
        <v>Tipo 1 (≤0,25) uT</v>
      </c>
      <c r="BH2" s="137" t="str">
        <f>IF(OR(R2="",R2="-"),"",IF(R2&lt;=0.25,"Tipo 1 (≤0,25) uT",IF(R2&lt;=0.5,"Tipo 2 (0,25-0,50) uT",IF(R2&lt;=0.75,"Tipo 3 (0,50-0,75) uT","Tipo 4 (&gt;0,75) uT"))))</f>
        <v>Tipo 1 (≤0,25) uT</v>
      </c>
    </row>
    <row r="3" spans="1:60" x14ac:dyDescent="0.3">
      <c r="A3" s="74">
        <v>46259</v>
      </c>
      <c r="B3" s="139">
        <v>0.47916666666666669</v>
      </c>
      <c r="C3" s="116">
        <v>362</v>
      </c>
      <c r="D3" s="116">
        <v>1691</v>
      </c>
      <c r="E3" s="116">
        <v>0</v>
      </c>
      <c r="F3" s="116">
        <v>2180</v>
      </c>
      <c r="G3" s="144" t="s">
        <v>100</v>
      </c>
      <c r="H3" s="122">
        <v>9.8000000000000007</v>
      </c>
      <c r="I3" s="116">
        <v>-92</v>
      </c>
      <c r="J3" s="10">
        <v>90</v>
      </c>
      <c r="K3" s="116">
        <v>90</v>
      </c>
      <c r="L3" s="116">
        <v>90</v>
      </c>
      <c r="M3" s="122">
        <v>25.4</v>
      </c>
      <c r="N3" s="122">
        <v>6.4</v>
      </c>
      <c r="O3" s="79">
        <v>0.9</v>
      </c>
      <c r="P3" s="116">
        <v>7</v>
      </c>
      <c r="Q3" s="122">
        <v>5</v>
      </c>
      <c r="R3" s="10">
        <v>0.24</v>
      </c>
      <c r="S3" s="79">
        <v>22.36</v>
      </c>
      <c r="T3" s="79">
        <v>0.88</v>
      </c>
      <c r="U3" s="79">
        <v>0.7</v>
      </c>
      <c r="V3" s="85">
        <f t="shared" ref="V3:V66" si="2">(O3+0.3*H3+2)*(F3/2/Z3)</f>
        <v>1591.3999999999999</v>
      </c>
      <c r="W3" s="85">
        <f t="shared" ref="W3:W66" si="3">S3*(U3*AA3*0.987-T3)*AB3</f>
        <v>1372.556302</v>
      </c>
      <c r="X3" s="85">
        <f t="shared" ref="X3:X66" si="4">W3/V3</f>
        <v>0.86248353776548958</v>
      </c>
      <c r="Y3" s="116">
        <v>3</v>
      </c>
      <c r="Z3" s="116">
        <v>4</v>
      </c>
      <c r="AA3" s="122">
        <v>6.5</v>
      </c>
      <c r="AB3" s="116">
        <v>17</v>
      </c>
      <c r="AC3" s="122">
        <v>5.7</v>
      </c>
      <c r="AD3" s="122">
        <v>2.1</v>
      </c>
      <c r="AE3" s="79">
        <v>1.46</v>
      </c>
      <c r="AF3" s="79">
        <v>0.13</v>
      </c>
      <c r="AG3" s="85">
        <f>(O3+0.3*H3+2)*(F3/2/AK3)</f>
        <v>1591.3999999999999</v>
      </c>
      <c r="AH3" s="85">
        <f t="shared" ref="AH3:AH66" si="5">S3*(U3*AL3*0.987-T3)*AM3</f>
        <v>1785.9247275999996</v>
      </c>
      <c r="AI3" s="85">
        <f t="shared" ref="AI3:AI66" si="6">AH3/AG3</f>
        <v>1.122234967701395</v>
      </c>
      <c r="AJ3" s="116">
        <v>4</v>
      </c>
      <c r="AK3" s="116">
        <v>4</v>
      </c>
      <c r="AL3" s="122">
        <v>6.3</v>
      </c>
      <c r="AM3" s="116">
        <v>23</v>
      </c>
      <c r="AN3" s="122">
        <v>5.3</v>
      </c>
      <c r="AO3" s="122">
        <v>2.2000000000000002</v>
      </c>
      <c r="AP3" s="79">
        <v>1.25</v>
      </c>
      <c r="AQ3" s="79">
        <v>0.11</v>
      </c>
      <c r="AR3" s="132">
        <f>SUM(C3:E3)</f>
        <v>2053</v>
      </c>
      <c r="AS3" s="134">
        <f>C3/AR3</f>
        <v>0.17632732586458841</v>
      </c>
      <c r="AT3" s="134">
        <f>D3/AR3</f>
        <v>0.82367267413541156</v>
      </c>
      <c r="AU3" s="134">
        <f>E3/AR3</f>
        <v>0</v>
      </c>
      <c r="AV3" s="151">
        <f>IF(AND(F3&lt;&gt;"",Z3&lt;&gt;""),AB3/(F3/2/Z3),"")</f>
        <v>6.2385321100917435E-2</v>
      </c>
      <c r="AW3" s="151">
        <f>IF(AND(F3&lt;&gt;"",AK3&lt;&gt;""),AM3/(F3/2/AK3),"")</f>
        <v>8.4403669724770647E-2</v>
      </c>
      <c r="AX3" s="41">
        <f>IF(AND(AQ3&lt;&gt;"",1-(AQ3/O3)&gt;0),1-(AQ3/O3),"")</f>
        <v>0.87777777777777777</v>
      </c>
      <c r="AY3" s="41">
        <f>IF(AND(AF3&lt;&gt;"",1-(AF3/O3)&gt;0),1-(AF3/O3),"")</f>
        <v>0.85555555555555551</v>
      </c>
      <c r="AZ3" s="136" t="str">
        <f>IF(Q3="","",IF(Q3&lt;2.5,"Alc. Bruta &lt; 2,5 mg/L",IF(Q3&lt;5,"2,5 ≤ Alc. Bruta &lt; 5,0 mg/L",IF(Q3&lt;7.5,"5,0 ≤ Alc. Bruta &lt; 7,5 mg/L",IF(Q3&lt;10,"7,5 ≤ Alc. Bruta &lt; 10,0 mg/L",IF(Q3&lt;15,"10,0 ≤ Alca. Bruta &lt; 15,0 mg/L","Alc. Bruta &gt; 15 mg/L"))))))</f>
        <v>5,0 ≤ Alc. Bruta &lt; 7,5 mg/L</v>
      </c>
      <c r="BA3" s="136" t="str">
        <f>IF(P3="","",IF(P3&lt;5,"Cor &lt;5 uC",IF(P3&lt;10,"5 ≤ Cor &lt; 10 uC",IF(P3&lt;15,"10 ≤ Cor &lt;15 uC",IF(P3&lt;30,"15 ≤ Cor &lt; 30 uC",IF(P3&lt;50,"30 ≤ Cor &lt; 50 uC","Cor &gt; 50 uC"))))))</f>
        <v>5 ≤ Cor &lt; 10 uC</v>
      </c>
      <c r="BB3" s="137" t="str">
        <f>IF(O3="","",IF(O3&lt;2.5,"Turbidez &lt; 2,5 uT",IF(O3&lt;5,"2,5 ≤ Turb &lt; 5,0 uT",IF(O3&lt;7.5,"5,0 ≤ Turb &lt; 7,5 uT",IF(O3&lt;10,"7,5 ≤ Turb &lt; 10,0 uT",IF(O3&lt;15,"10,0 ≤ Turb &lt; 15,0 uT","Turb &gt; 15 uT"))))))</f>
        <v>Turbidez &lt; 2,5 uT</v>
      </c>
      <c r="BC3" s="138" t="str">
        <f>IF(AND(C3&gt;D3,D3&gt;E3),"TOR &gt; SM &gt; BNN",IF(AND(C3&gt;E3,E3&gt;D3),"TOR &gt; BNN &gt; SM",IF(AND(D3&gt;C3,C3&gt;E3),"SM &gt; TOR &gt; BNN",IF(AND(D3&gt;E3,E3&gt;C3),"SM &gt; BNN &gt; TOR",IF(AND(C3=D3,D3=E3),"TOR = SM = BNN","Comb. diferentes")))))</f>
        <v>SM &gt; TOR &gt; BNN</v>
      </c>
      <c r="BD3" s="137" t="str">
        <f>IF(OR(AE3="",AQ3="-"),"",IF(AE3&lt;=0.25,"Tipo 1 (≤0,25) uT",IF(AE3&lt;=0.5,"Tipo 2 (0,25-0,50) uT",IF(AE3&lt;=0.75,"Tipo 3 (0,50-0,75) uT","Tipo 4 (&gt;0,75) uT"))))</f>
        <v>Tipo 4 (&gt;0,75) uT</v>
      </c>
      <c r="BE3" s="137" t="str">
        <f t="shared" si="0"/>
        <v>Tipo 4 (&gt;0,75) uT</v>
      </c>
      <c r="BF3" s="137" t="str">
        <f>IF(OR(AF3="",AQ3="-"),"",IF(AF3&lt;=0.25,"Tipo 1 (≤0,25) uT",IF(AF3&lt;=0.5,"Tipo 2 (0,25-0,50) uT",IF(AF3&lt;=0.75,"Tipo 3 (0,50-0,75) uT","Tipo 4 (&gt;0,75) uT"))))</f>
        <v>Tipo 1 (≤0,25) uT</v>
      </c>
      <c r="BG3" s="137" t="str">
        <f t="shared" si="1"/>
        <v>Tipo 1 (≤0,25) uT</v>
      </c>
      <c r="BH3" s="137" t="str">
        <f>IF(OR(R3="",R3="-"),"",IF(R3&lt;=0.25,"Tipo 1 (≤0,25) uT",IF(R3&lt;=0.5,"Tipo 2 (0,25-0,50) uT",IF(R3&lt;=0.75,"Tipo 3 (0,50-0,75) uT","Tipo 4 (&gt;0,75) uT"))))</f>
        <v>Tipo 1 (≤0,25) uT</v>
      </c>
    </row>
    <row r="4" spans="1:60" x14ac:dyDescent="0.3">
      <c r="A4" s="74">
        <v>46259</v>
      </c>
      <c r="B4" s="139">
        <v>0.72916666666666663</v>
      </c>
      <c r="C4" s="116">
        <v>344</v>
      </c>
      <c r="D4" s="116">
        <v>1544</v>
      </c>
      <c r="E4" s="116">
        <v>350</v>
      </c>
      <c r="F4" s="116">
        <v>2280</v>
      </c>
      <c r="G4" s="144" t="s">
        <v>100</v>
      </c>
      <c r="H4" s="122">
        <v>9.8000000000000007</v>
      </c>
      <c r="I4" s="116">
        <v>-118</v>
      </c>
      <c r="J4" s="10">
        <v>90</v>
      </c>
      <c r="K4" s="116">
        <v>90</v>
      </c>
      <c r="L4" s="116">
        <v>90</v>
      </c>
      <c r="M4" s="122">
        <v>26.6</v>
      </c>
      <c r="N4" s="122">
        <v>6.5</v>
      </c>
      <c r="O4" s="79">
        <v>0.98</v>
      </c>
      <c r="P4" s="116">
        <v>9</v>
      </c>
      <c r="Q4" s="122">
        <v>6.3</v>
      </c>
      <c r="R4" s="10">
        <v>0.28999999999999998</v>
      </c>
      <c r="S4" s="79">
        <v>22.36</v>
      </c>
      <c r="T4" s="79">
        <v>0.88</v>
      </c>
      <c r="U4" s="79">
        <v>0.7</v>
      </c>
      <c r="V4" s="85">
        <f t="shared" si="2"/>
        <v>1687.2</v>
      </c>
      <c r="W4" s="85">
        <f t="shared" si="3"/>
        <v>1380.4350492400001</v>
      </c>
      <c r="X4" s="85">
        <f t="shared" si="4"/>
        <v>0.81818103914177343</v>
      </c>
      <c r="Y4" s="116">
        <v>3</v>
      </c>
      <c r="Z4" s="116">
        <v>4</v>
      </c>
      <c r="AA4" s="122">
        <v>6.53</v>
      </c>
      <c r="AB4" s="116">
        <v>17</v>
      </c>
      <c r="AC4" s="122">
        <v>6.1</v>
      </c>
      <c r="AD4" s="122">
        <v>4.9000000000000004</v>
      </c>
      <c r="AE4" s="79">
        <v>0.69</v>
      </c>
      <c r="AF4" s="79">
        <v>0.18</v>
      </c>
      <c r="AG4" s="85">
        <f>(O4+0.3*H4+2)*(F4/2/AK4)</f>
        <v>1687.2</v>
      </c>
      <c r="AH4" s="85">
        <f t="shared" si="5"/>
        <v>1771.7120855199996</v>
      </c>
      <c r="AI4" s="85">
        <f t="shared" si="6"/>
        <v>1.0500901407776195</v>
      </c>
      <c r="AJ4" s="116">
        <v>3</v>
      </c>
      <c r="AK4" s="116">
        <v>4</v>
      </c>
      <c r="AL4" s="122">
        <v>6.26</v>
      </c>
      <c r="AM4" s="116">
        <v>23</v>
      </c>
      <c r="AN4" s="122">
        <v>6.1</v>
      </c>
      <c r="AO4" s="122">
        <v>4.4000000000000004</v>
      </c>
      <c r="AP4" s="79">
        <v>0.7</v>
      </c>
      <c r="AQ4" s="79">
        <v>0.22</v>
      </c>
      <c r="AR4" s="132">
        <f>SUM(C4:E4)</f>
        <v>2238</v>
      </c>
      <c r="AS4" s="134">
        <f>C4/AR4</f>
        <v>0.15370866845397677</v>
      </c>
      <c r="AT4" s="134">
        <f>D4/AR4</f>
        <v>0.68990169794459344</v>
      </c>
      <c r="AU4" s="134">
        <f>E4/AR4</f>
        <v>0.15638963360142985</v>
      </c>
      <c r="AV4" s="151">
        <f>IF(AND(F4&lt;&gt;"",Z4&lt;&gt;""),AB4/(F4/2/Z4),"")</f>
        <v>5.9649122807017542E-2</v>
      </c>
      <c r="AW4" s="151">
        <f>IF(AND(F4&lt;&gt;"",AK4&lt;&gt;""),AM4/(F4/2/AK4),"")</f>
        <v>8.0701754385964913E-2</v>
      </c>
      <c r="AX4" s="41">
        <f>IF(AND(AQ4&lt;&gt;"",1-(AQ4/O4)&gt;0),1-(AQ4/O4),"")</f>
        <v>0.77551020408163263</v>
      </c>
      <c r="AY4" s="41">
        <f>IF(AND(AF4&lt;&gt;"",1-(AF4/O4)&gt;0),1-(AF4/O4),"")</f>
        <v>0.81632653061224492</v>
      </c>
      <c r="AZ4" s="136" t="str">
        <f>IF(Q4="","",IF(Q4&lt;2.5,"Alc. Bruta &lt; 2,5 mg/L",IF(Q4&lt;5,"2,5 ≤ Alc. Bruta &lt; 5,0 mg/L",IF(Q4&lt;7.5,"5,0 ≤ Alc. Bruta &lt; 7,5 mg/L",IF(Q4&lt;10,"7,5 ≤ Alc. Bruta &lt; 10,0 mg/L",IF(Q4&lt;15,"10,0 ≤ Alca. Bruta &lt; 15,0 mg/L","Alc. Bruta &gt; 15 mg/L"))))))</f>
        <v>5,0 ≤ Alc. Bruta &lt; 7,5 mg/L</v>
      </c>
      <c r="BA4" s="136" t="str">
        <f>IF(P4="","",IF(P4&lt;5,"Cor &lt;5 uC",IF(P4&lt;10,"5 ≤ Cor &lt; 10 uC",IF(P4&lt;15,"10 ≤ Cor &lt;15 uC",IF(P4&lt;30,"15 ≤ Cor &lt; 30 uC",IF(P4&lt;50,"30 ≤ Cor &lt; 50 uC","Cor &gt; 50 uC"))))))</f>
        <v>5 ≤ Cor &lt; 10 uC</v>
      </c>
      <c r="BB4" s="137" t="str">
        <f>IF(O4="","",IF(O4&lt;2.5,"Turbidez &lt; 2,5 uT",IF(O4&lt;5,"2,5 ≤ Turb &lt; 5,0 uT",IF(O4&lt;7.5,"5,0 ≤ Turb &lt; 7,5 uT",IF(O4&lt;10,"7,5 ≤ Turb &lt; 10,0 uT",IF(O4&lt;15,"10,0 ≤ Turb &lt; 15,0 uT","Turb &gt; 15 uT"))))))</f>
        <v>Turbidez &lt; 2,5 uT</v>
      </c>
      <c r="BC4" s="138" t="str">
        <f>IF(AND(C4&gt;D4,D4&gt;E4),"TOR &gt; SM &gt; BNN",IF(AND(C4&gt;E4,E4&gt;D4),"TOR &gt; BNN &gt; SM",IF(AND(D4&gt;C4,C4&gt;E4),"SM &gt; TOR &gt; BNN",IF(AND(D4&gt;E4,E4&gt;C4),"SM &gt; BNN &gt; TOR",IF(AND(C4=D4,D4=E4),"TOR = SM = BNN","Comb. diferentes")))))</f>
        <v>SM &gt; BNN &gt; TOR</v>
      </c>
      <c r="BD4" s="137" t="str">
        <f>IF(OR(AE4="",AQ4="-"),"",IF(AE4&lt;=0.25,"Tipo 1 (≤0,25) uT",IF(AE4&lt;=0.5,"Tipo 2 (0,25-0,50) uT",IF(AE4&lt;=0.75,"Tipo 3 (0,50-0,75) uT","Tipo 4 (&gt;0,75) uT"))))</f>
        <v>Tipo 3 (0,50-0,75) uT</v>
      </c>
      <c r="BE4" s="137" t="str">
        <f t="shared" si="0"/>
        <v>Tipo 3 (0,50-0,75) uT</v>
      </c>
      <c r="BF4" s="137" t="str">
        <f>IF(OR(AF4="",AQ4="-"),"",IF(AF4&lt;=0.25,"Tipo 1 (≤0,25) uT",IF(AF4&lt;=0.5,"Tipo 2 (0,25-0,50) uT",IF(AF4&lt;=0.75,"Tipo 3 (0,50-0,75) uT","Tipo 4 (&gt;0,75) uT"))))</f>
        <v>Tipo 1 (≤0,25) uT</v>
      </c>
      <c r="BG4" s="137" t="str">
        <f t="shared" si="1"/>
        <v>Tipo 1 (≤0,25) uT</v>
      </c>
      <c r="BH4" s="137" t="str">
        <f>IF(OR(R4="",R4="-"),"",IF(R4&lt;=0.25,"Tipo 1 (≤0,25) uT",IF(R4&lt;=0.5,"Tipo 2 (0,25-0,50) uT",IF(R4&lt;=0.75,"Tipo 3 (0,50-0,75) uT","Tipo 4 (&gt;0,75) uT"))))</f>
        <v>Tipo 2 (0,25-0,50) uT</v>
      </c>
    </row>
    <row r="5" spans="1:60" x14ac:dyDescent="0.3">
      <c r="A5" s="74">
        <v>46259</v>
      </c>
      <c r="B5" s="139">
        <v>0.8125</v>
      </c>
      <c r="C5" s="116">
        <v>349</v>
      </c>
      <c r="D5" s="116">
        <v>1572</v>
      </c>
      <c r="E5" s="116">
        <v>350</v>
      </c>
      <c r="F5" s="116">
        <v>2214</v>
      </c>
      <c r="G5" s="144" t="s">
        <v>100</v>
      </c>
      <c r="H5" s="122">
        <v>9.8000000000000007</v>
      </c>
      <c r="I5" s="116">
        <v>-135</v>
      </c>
      <c r="J5" s="10">
        <v>90</v>
      </c>
      <c r="K5" s="116">
        <v>90</v>
      </c>
      <c r="L5" s="116">
        <v>90</v>
      </c>
      <c r="M5" s="122">
        <v>25.5</v>
      </c>
      <c r="N5" s="122">
        <v>6.6</v>
      </c>
      <c r="O5" s="79">
        <v>1.0900000000000001</v>
      </c>
      <c r="P5" s="116">
        <v>11</v>
      </c>
      <c r="Q5" s="122">
        <v>6.3</v>
      </c>
      <c r="R5" s="10">
        <v>0.4</v>
      </c>
      <c r="S5" s="79">
        <v>22.36</v>
      </c>
      <c r="T5" s="79">
        <v>0.88</v>
      </c>
      <c r="U5" s="79">
        <v>0.7</v>
      </c>
      <c r="V5" s="85">
        <f t="shared" si="2"/>
        <v>1668.8025</v>
      </c>
      <c r="W5" s="85">
        <f t="shared" si="3"/>
        <v>1390.94004556</v>
      </c>
      <c r="X5" s="85">
        <f t="shared" si="4"/>
        <v>0.83349590233715498</v>
      </c>
      <c r="Y5" s="116">
        <v>3</v>
      </c>
      <c r="Z5" s="116">
        <v>4</v>
      </c>
      <c r="AA5" s="122">
        <v>6.57</v>
      </c>
      <c r="AB5" s="116">
        <v>17</v>
      </c>
      <c r="AC5" s="122">
        <v>6.2</v>
      </c>
      <c r="AD5" s="122">
        <v>5.2</v>
      </c>
      <c r="AE5" s="79">
        <v>0.51</v>
      </c>
      <c r="AF5" s="79">
        <v>0.2</v>
      </c>
      <c r="AG5" s="85">
        <f>(O5+0.3*H5+2)*(F5/2/AK5)</f>
        <v>1668.8025</v>
      </c>
      <c r="AH5" s="85">
        <f t="shared" si="5"/>
        <v>1768.158925</v>
      </c>
      <c r="AI5" s="85">
        <f t="shared" si="6"/>
        <v>1.05953755761991</v>
      </c>
      <c r="AJ5" s="116">
        <v>3</v>
      </c>
      <c r="AK5" s="116">
        <v>4</v>
      </c>
      <c r="AL5" s="122">
        <v>6.25</v>
      </c>
      <c r="AM5" s="116">
        <v>23</v>
      </c>
      <c r="AN5" s="122">
        <v>6.2</v>
      </c>
      <c r="AO5" s="122">
        <v>4.7</v>
      </c>
      <c r="AP5" s="79">
        <v>0.45</v>
      </c>
      <c r="AQ5" s="79">
        <v>0.22</v>
      </c>
      <c r="AR5" s="132">
        <f>SUM(C5:E5)</f>
        <v>2271</v>
      </c>
      <c r="AS5" s="134">
        <f>C5/AR5</f>
        <v>0.15367679436371642</v>
      </c>
      <c r="AT5" s="134">
        <f>D5/AR5</f>
        <v>0.69220607661822986</v>
      </c>
      <c r="AU5" s="134">
        <f>E5/AR5</f>
        <v>0.15411712901805372</v>
      </c>
      <c r="AV5" s="151">
        <f>IF(AND(F5&lt;&gt;"",Z5&lt;&gt;""),AB5/(F5/2/Z5),"")</f>
        <v>6.142728093947606E-2</v>
      </c>
      <c r="AW5" s="151">
        <f>IF(AND(F5&lt;&gt;"",AK5&lt;&gt;""),AM5/(F5/2/AK5),"")</f>
        <v>8.3107497741644082E-2</v>
      </c>
      <c r="AX5" s="41">
        <f>IF(AND(AQ5&lt;&gt;"",1-(AQ5/O5)&gt;0),1-(AQ5/O5),"")</f>
        <v>0.79816513761467889</v>
      </c>
      <c r="AY5" s="41">
        <f>IF(AND(AF5&lt;&gt;"",1-(AF5/O5)&gt;0),1-(AF5/O5),"")</f>
        <v>0.8165137614678899</v>
      </c>
      <c r="AZ5" s="136" t="str">
        <f>IF(Q5="","",IF(Q5&lt;2.5,"Alc. Bruta &lt; 2,5 mg/L",IF(Q5&lt;5,"2,5 ≤ Alc. Bruta &lt; 5,0 mg/L",IF(Q5&lt;7.5,"5,0 ≤ Alc. Bruta &lt; 7,5 mg/L",IF(Q5&lt;10,"7,5 ≤ Alc. Bruta &lt; 10,0 mg/L",IF(Q5&lt;15,"10,0 ≤ Alca. Bruta &lt; 15,0 mg/L","Alc. Bruta &gt; 15 mg/L"))))))</f>
        <v>5,0 ≤ Alc. Bruta &lt; 7,5 mg/L</v>
      </c>
      <c r="BA5" s="136" t="str">
        <f>IF(P5="","",IF(P5&lt;5,"Cor &lt;5 uC",IF(P5&lt;10,"5 ≤ Cor &lt; 10 uC",IF(P5&lt;15,"10 ≤ Cor &lt;15 uC",IF(P5&lt;30,"15 ≤ Cor &lt; 30 uC",IF(P5&lt;50,"30 ≤ Cor &lt; 50 uC","Cor &gt; 50 uC"))))))</f>
        <v>10 ≤ Cor &lt;15 uC</v>
      </c>
      <c r="BB5" s="137" t="str">
        <f>IF(O5="","",IF(O5&lt;2.5,"Turbidez &lt; 2,5 uT",IF(O5&lt;5,"2,5 ≤ Turb &lt; 5,0 uT",IF(O5&lt;7.5,"5,0 ≤ Turb &lt; 7,5 uT",IF(O5&lt;10,"7,5 ≤ Turb &lt; 10,0 uT",IF(O5&lt;15,"10,0 ≤ Turb &lt; 15,0 uT","Turb &gt; 15 uT"))))))</f>
        <v>Turbidez &lt; 2,5 uT</v>
      </c>
      <c r="BC5" s="138" t="str">
        <f>IF(AND(C5&gt;D5,D5&gt;E5),"TOR &gt; SM &gt; BNN",IF(AND(C5&gt;E5,E5&gt;D5),"TOR &gt; BNN &gt; SM",IF(AND(D5&gt;C5,C5&gt;E5),"SM &gt; TOR &gt; BNN",IF(AND(D5&gt;E5,E5&gt;C5),"SM &gt; BNN &gt; TOR",IF(AND(C5=D5,D5=E5),"TOR = SM = BNN","Comb. diferentes")))))</f>
        <v>SM &gt; BNN &gt; TOR</v>
      </c>
      <c r="BD5" s="137" t="str">
        <f>IF(OR(AE5="",AQ5="-"),"",IF(AE5&lt;=0.25,"Tipo 1 (≤0,25) uT",IF(AE5&lt;=0.5,"Tipo 2 (0,25-0,50) uT",IF(AE5&lt;=0.75,"Tipo 3 (0,50-0,75) uT","Tipo 4 (&gt;0,75) uT"))))</f>
        <v>Tipo 3 (0,50-0,75) uT</v>
      </c>
      <c r="BE5" s="137" t="str">
        <f t="shared" si="0"/>
        <v>Tipo 2 (0,25-0,50) uT</v>
      </c>
      <c r="BF5" s="137" t="str">
        <f>IF(OR(AF5="",AQ5="-"),"",IF(AF5&lt;=0.25,"Tipo 1 (≤0,25) uT",IF(AF5&lt;=0.5,"Tipo 2 (0,25-0,50) uT",IF(AF5&lt;=0.75,"Tipo 3 (0,50-0,75) uT","Tipo 4 (&gt;0,75) uT"))))</f>
        <v>Tipo 1 (≤0,25) uT</v>
      </c>
      <c r="BG5" s="137" t="str">
        <f t="shared" si="1"/>
        <v>Tipo 1 (≤0,25) uT</v>
      </c>
      <c r="BH5" s="137" t="str">
        <f>IF(OR(R5="",R5="-"),"",IF(R5&lt;=0.25,"Tipo 1 (≤0,25) uT",IF(R5&lt;=0.5,"Tipo 2 (0,25-0,50) uT",IF(R5&lt;=0.75,"Tipo 3 (0,50-0,75) uT","Tipo 4 (&gt;0,75) uT"))))</f>
        <v>Tipo 2 (0,25-0,50) uT</v>
      </c>
    </row>
    <row r="6" spans="1:60" x14ac:dyDescent="0.3">
      <c r="A6" s="74">
        <v>46259</v>
      </c>
      <c r="B6" s="139">
        <v>0.89583333333333337</v>
      </c>
      <c r="C6" s="116">
        <v>338</v>
      </c>
      <c r="D6" s="116">
        <v>1581</v>
      </c>
      <c r="E6" s="116">
        <v>349</v>
      </c>
      <c r="F6" s="116">
        <v>2240</v>
      </c>
      <c r="G6" s="144" t="s">
        <v>100</v>
      </c>
      <c r="H6" s="122">
        <v>9.8000000000000007</v>
      </c>
      <c r="I6" s="116">
        <v>-141</v>
      </c>
      <c r="J6" s="10">
        <v>90</v>
      </c>
      <c r="K6" s="116">
        <v>90</v>
      </c>
      <c r="L6" s="116">
        <v>90</v>
      </c>
      <c r="M6" s="122">
        <v>25.5</v>
      </c>
      <c r="N6" s="122">
        <v>6.6</v>
      </c>
      <c r="O6" s="79">
        <v>1.1200000000000001</v>
      </c>
      <c r="P6" s="116">
        <v>6</v>
      </c>
      <c r="Q6" s="122">
        <v>7.2</v>
      </c>
      <c r="R6" s="10">
        <v>0.31</v>
      </c>
      <c r="S6" s="79">
        <v>22.36</v>
      </c>
      <c r="T6" s="79">
        <v>0.88</v>
      </c>
      <c r="U6" s="79">
        <v>0.7</v>
      </c>
      <c r="V6" s="85">
        <f t="shared" si="2"/>
        <v>1696.8000000000002</v>
      </c>
      <c r="W6" s="85">
        <f t="shared" si="3"/>
        <v>1294.2894598399998</v>
      </c>
      <c r="X6" s="85">
        <f t="shared" si="4"/>
        <v>0.76278256709099468</v>
      </c>
      <c r="Y6" s="116">
        <v>3</v>
      </c>
      <c r="Z6" s="116">
        <v>4</v>
      </c>
      <c r="AA6" s="122">
        <v>6.51</v>
      </c>
      <c r="AB6" s="116">
        <v>16</v>
      </c>
      <c r="AC6" s="122">
        <v>6.2</v>
      </c>
      <c r="AD6" s="122">
        <v>4.7</v>
      </c>
      <c r="AE6" s="79">
        <v>0.3</v>
      </c>
      <c r="AF6" s="79">
        <v>0.2</v>
      </c>
      <c r="AG6" s="85">
        <f>(O6+0.3*H6+2)*(F6/2/AK6)</f>
        <v>1696.8000000000002</v>
      </c>
      <c r="AH6" s="85">
        <f t="shared" si="5"/>
        <v>1778.8184065599999</v>
      </c>
      <c r="AI6" s="85">
        <f t="shared" si="6"/>
        <v>1.0483371090051861</v>
      </c>
      <c r="AJ6" s="116">
        <v>3</v>
      </c>
      <c r="AK6" s="116">
        <v>4</v>
      </c>
      <c r="AL6" s="122">
        <v>6.28</v>
      </c>
      <c r="AM6" s="116">
        <v>23</v>
      </c>
      <c r="AN6" s="122">
        <v>6.2</v>
      </c>
      <c r="AO6" s="122">
        <v>5</v>
      </c>
      <c r="AP6" s="79">
        <v>0.35</v>
      </c>
      <c r="AQ6" s="79">
        <v>0.21</v>
      </c>
      <c r="AR6" s="132">
        <f>SUM(C6:E6)</f>
        <v>2268</v>
      </c>
      <c r="AS6" s="134">
        <f>C6/AR6</f>
        <v>0.14902998236331569</v>
      </c>
      <c r="AT6" s="134">
        <f>D6/AR6</f>
        <v>0.69708994708994709</v>
      </c>
      <c r="AU6" s="134">
        <f>E6/AR6</f>
        <v>0.15388007054673722</v>
      </c>
      <c r="AV6" s="151">
        <f>IF(AND(F6&lt;&gt;"",Z6&lt;&gt;""),AB6/(F6/2/Z6),"")</f>
        <v>5.7142857142857141E-2</v>
      </c>
      <c r="AW6" s="151">
        <f>IF(AND(F6&lt;&gt;"",AK6&lt;&gt;""),AM6/(F6/2/AK6),"")</f>
        <v>8.2142857142857142E-2</v>
      </c>
      <c r="AX6" s="41">
        <f>IF(AND(AQ6&lt;&gt;"",1-(AQ6/O6)&gt;0),1-(AQ6/O6),"")</f>
        <v>0.8125</v>
      </c>
      <c r="AY6" s="41">
        <f>IF(AND(AF6&lt;&gt;"",1-(AF6/O6)&gt;0),1-(AF6/O6),"")</f>
        <v>0.8214285714285714</v>
      </c>
      <c r="AZ6" s="136" t="str">
        <f>IF(Q6="","",IF(Q6&lt;2.5,"Alc. Bruta &lt; 2,5 mg/L",IF(Q6&lt;5,"2,5 ≤ Alc. Bruta &lt; 5,0 mg/L",IF(Q6&lt;7.5,"5,0 ≤ Alc. Bruta &lt; 7,5 mg/L",IF(Q6&lt;10,"7,5 ≤ Alc. Bruta &lt; 10,0 mg/L",IF(Q6&lt;15,"10,0 ≤ Alca. Bruta &lt; 15,0 mg/L","Alc. Bruta &gt; 15 mg/L"))))))</f>
        <v>5,0 ≤ Alc. Bruta &lt; 7,5 mg/L</v>
      </c>
      <c r="BA6" s="136" t="str">
        <f>IF(P6="","",IF(P6&lt;5,"Cor &lt;5 uC",IF(P6&lt;10,"5 ≤ Cor &lt; 10 uC",IF(P6&lt;15,"10 ≤ Cor &lt;15 uC",IF(P6&lt;30,"15 ≤ Cor &lt; 30 uC",IF(P6&lt;50,"30 ≤ Cor &lt; 50 uC","Cor &gt; 50 uC"))))))</f>
        <v>5 ≤ Cor &lt; 10 uC</v>
      </c>
      <c r="BB6" s="137" t="str">
        <f>IF(O6="","",IF(O6&lt;2.5,"Turbidez &lt; 2,5 uT",IF(O6&lt;5,"2,5 ≤ Turb &lt; 5,0 uT",IF(O6&lt;7.5,"5,0 ≤ Turb &lt; 7,5 uT",IF(O6&lt;10,"7,5 ≤ Turb &lt; 10,0 uT",IF(O6&lt;15,"10,0 ≤ Turb &lt; 15,0 uT","Turb &gt; 15 uT"))))))</f>
        <v>Turbidez &lt; 2,5 uT</v>
      </c>
      <c r="BC6" s="138" t="str">
        <f>IF(AND(C6&gt;D6,D6&gt;E6),"TOR &gt; SM &gt; BNN",IF(AND(C6&gt;E6,E6&gt;D6),"TOR &gt; BNN &gt; SM",IF(AND(D6&gt;C6,C6&gt;E6),"SM &gt; TOR &gt; BNN",IF(AND(D6&gt;E6,E6&gt;C6),"SM &gt; BNN &gt; TOR",IF(AND(C6=D6,D6=E6),"TOR = SM = BNN","Comb. diferentes")))))</f>
        <v>SM &gt; BNN &gt; TOR</v>
      </c>
      <c r="BD6" s="137" t="str">
        <f>IF(OR(AE6="",AQ6="-"),"",IF(AE6&lt;=0.25,"Tipo 1 (≤0,25) uT",IF(AE6&lt;=0.5,"Tipo 2 (0,25-0,50) uT",IF(AE6&lt;=0.75,"Tipo 3 (0,50-0,75) uT","Tipo 4 (&gt;0,75) uT"))))</f>
        <v>Tipo 2 (0,25-0,50) uT</v>
      </c>
      <c r="BE6" s="137" t="str">
        <f t="shared" si="0"/>
        <v>Tipo 2 (0,25-0,50) uT</v>
      </c>
      <c r="BF6" s="137" t="str">
        <f>IF(OR(AF6="",AQ6="-"),"",IF(AF6&lt;=0.25,"Tipo 1 (≤0,25) uT",IF(AF6&lt;=0.5,"Tipo 2 (0,25-0,50) uT",IF(AF6&lt;=0.75,"Tipo 3 (0,50-0,75) uT","Tipo 4 (&gt;0,75) uT"))))</f>
        <v>Tipo 1 (≤0,25) uT</v>
      </c>
      <c r="BG6" s="137" t="str">
        <f t="shared" si="1"/>
        <v>Tipo 1 (≤0,25) uT</v>
      </c>
      <c r="BH6" s="137" t="str">
        <f>IF(OR(R6="",R6="-"),"",IF(R6&lt;=0.25,"Tipo 1 (≤0,25) uT",IF(R6&lt;=0.5,"Tipo 2 (0,25-0,50) uT",IF(R6&lt;=0.75,"Tipo 3 (0,50-0,75) uT","Tipo 4 (&gt;0,75) uT"))))</f>
        <v>Tipo 2 (0,25-0,50) uT</v>
      </c>
    </row>
    <row r="7" spans="1:60" x14ac:dyDescent="0.3">
      <c r="A7" s="74">
        <v>46259</v>
      </c>
      <c r="B7" s="139">
        <v>0.97916666666666663</v>
      </c>
      <c r="C7" s="116">
        <v>329</v>
      </c>
      <c r="D7" s="116">
        <v>1349</v>
      </c>
      <c r="E7" s="116">
        <v>350</v>
      </c>
      <c r="F7" s="116">
        <v>2330</v>
      </c>
      <c r="G7" s="144" t="s">
        <v>100</v>
      </c>
      <c r="H7" s="122">
        <v>9.8000000000000007</v>
      </c>
      <c r="I7" s="116">
        <v>-145</v>
      </c>
      <c r="J7" s="10">
        <v>90</v>
      </c>
      <c r="K7" s="116">
        <v>90</v>
      </c>
      <c r="L7" s="116">
        <v>90</v>
      </c>
      <c r="M7" s="122">
        <v>24.5</v>
      </c>
      <c r="N7" s="122">
        <v>6.5</v>
      </c>
      <c r="O7" s="79">
        <v>1.1299999999999999</v>
      </c>
      <c r="P7" s="116">
        <v>7</v>
      </c>
      <c r="Q7" s="122">
        <v>6</v>
      </c>
      <c r="R7" s="10">
        <v>0.33</v>
      </c>
      <c r="S7" s="79">
        <v>22.36</v>
      </c>
      <c r="T7" s="79">
        <v>0.88</v>
      </c>
      <c r="U7" s="79">
        <v>0.7</v>
      </c>
      <c r="V7" s="85">
        <f t="shared" si="2"/>
        <v>1767.8875</v>
      </c>
      <c r="W7" s="85">
        <f t="shared" si="3"/>
        <v>1362.0513056799996</v>
      </c>
      <c r="X7" s="85">
        <f t="shared" si="4"/>
        <v>0.77044003404062733</v>
      </c>
      <c r="Y7" s="116">
        <v>3</v>
      </c>
      <c r="Z7" s="116">
        <v>4</v>
      </c>
      <c r="AA7" s="122">
        <v>6.46</v>
      </c>
      <c r="AB7" s="116">
        <v>17</v>
      </c>
      <c r="AC7" s="122">
        <v>6.3</v>
      </c>
      <c r="AD7" s="122">
        <v>6</v>
      </c>
      <c r="AE7" s="79">
        <v>0.42</v>
      </c>
      <c r="AF7" s="79">
        <v>0.19</v>
      </c>
      <c r="AG7" s="85">
        <f>(O7+0.3*H7+2)*(F7/2/AK7)</f>
        <v>1767.8875</v>
      </c>
      <c r="AH7" s="85">
        <f t="shared" si="5"/>
        <v>1771.7120855199996</v>
      </c>
      <c r="AI7" s="85">
        <f t="shared" si="6"/>
        <v>1.002163364761615</v>
      </c>
      <c r="AJ7" s="116">
        <v>3</v>
      </c>
      <c r="AK7" s="116">
        <v>4</v>
      </c>
      <c r="AL7" s="122">
        <v>6.26</v>
      </c>
      <c r="AM7" s="116">
        <v>23</v>
      </c>
      <c r="AN7" s="122">
        <v>6.1</v>
      </c>
      <c r="AO7" s="122">
        <v>4.9000000000000004</v>
      </c>
      <c r="AP7" s="79">
        <v>0.42</v>
      </c>
      <c r="AQ7" s="79">
        <v>0.21</v>
      </c>
      <c r="AR7" s="132">
        <f>SUM(C7:E7)</f>
        <v>2028</v>
      </c>
      <c r="AS7" s="134">
        <f>C7/AR7</f>
        <v>0.16222879684418146</v>
      </c>
      <c r="AT7" s="134">
        <f>D7/AR7</f>
        <v>0.66518737672583828</v>
      </c>
      <c r="AU7" s="134">
        <f>E7/AR7</f>
        <v>0.17258382642998027</v>
      </c>
      <c r="AV7" s="151">
        <f>IF(AND(F7&lt;&gt;"",Z7&lt;&gt;""),AB7/(F7/2/Z7),"")</f>
        <v>5.8369098712446353E-2</v>
      </c>
      <c r="AW7" s="151">
        <f>IF(AND(F7&lt;&gt;"",AK7&lt;&gt;""),AM7/(F7/2/AK7),"")</f>
        <v>7.896995708154507E-2</v>
      </c>
      <c r="AX7" s="41">
        <f>IF(AND(AQ7&lt;&gt;"",1-(AQ7/O7)&gt;0),1-(AQ7/O7),"")</f>
        <v>0.81415929203539816</v>
      </c>
      <c r="AY7" s="41">
        <f>IF(AND(AF7&lt;&gt;"",1-(AF7/O7)&gt;0),1-(AF7/O7),"")</f>
        <v>0.83185840707964598</v>
      </c>
      <c r="AZ7" s="136" t="str">
        <f>IF(Q7="","",IF(Q7&lt;2.5,"Alc. Bruta &lt; 2,5 mg/L",IF(Q7&lt;5,"2,5 ≤ Alc. Bruta &lt; 5,0 mg/L",IF(Q7&lt;7.5,"5,0 ≤ Alc. Bruta &lt; 7,5 mg/L",IF(Q7&lt;10,"7,5 ≤ Alc. Bruta &lt; 10,0 mg/L",IF(Q7&lt;15,"10,0 ≤ Alca. Bruta &lt; 15,0 mg/L","Alc. Bruta &gt; 15 mg/L"))))))</f>
        <v>5,0 ≤ Alc. Bruta &lt; 7,5 mg/L</v>
      </c>
      <c r="BA7" s="136" t="str">
        <f>IF(P7="","",IF(P7&lt;5,"Cor &lt;5 uC",IF(P7&lt;10,"5 ≤ Cor &lt; 10 uC",IF(P7&lt;15,"10 ≤ Cor &lt;15 uC",IF(P7&lt;30,"15 ≤ Cor &lt; 30 uC",IF(P7&lt;50,"30 ≤ Cor &lt; 50 uC","Cor &gt; 50 uC"))))))</f>
        <v>5 ≤ Cor &lt; 10 uC</v>
      </c>
      <c r="BB7" s="137" t="str">
        <f>IF(O7="","",IF(O7&lt;2.5,"Turbidez &lt; 2,5 uT",IF(O7&lt;5,"2,5 ≤ Turb &lt; 5,0 uT",IF(O7&lt;7.5,"5,0 ≤ Turb &lt; 7,5 uT",IF(O7&lt;10,"7,5 ≤ Turb &lt; 10,0 uT",IF(O7&lt;15,"10,0 ≤ Turb &lt; 15,0 uT","Turb &gt; 15 uT"))))))</f>
        <v>Turbidez &lt; 2,5 uT</v>
      </c>
      <c r="BC7" s="138" t="str">
        <f>IF(AND(C7&gt;D7,D7&gt;E7),"TOR &gt; SM &gt; BNN",IF(AND(C7&gt;E7,E7&gt;D7),"TOR &gt; BNN &gt; SM",IF(AND(D7&gt;C7,C7&gt;E7),"SM &gt; TOR &gt; BNN",IF(AND(D7&gt;E7,E7&gt;C7),"SM &gt; BNN &gt; TOR",IF(AND(C7=D7,D7=E7),"TOR = SM = BNN","Comb. diferentes")))))</f>
        <v>SM &gt; BNN &gt; TOR</v>
      </c>
      <c r="BD7" s="137" t="str">
        <f>IF(OR(AE7="",AQ7="-"),"",IF(AE7&lt;=0.25,"Tipo 1 (≤0,25) uT",IF(AE7&lt;=0.5,"Tipo 2 (0,25-0,50) uT",IF(AE7&lt;=0.75,"Tipo 3 (0,50-0,75) uT","Tipo 4 (&gt;0,75) uT"))))</f>
        <v>Tipo 2 (0,25-0,50) uT</v>
      </c>
      <c r="BE7" s="137" t="str">
        <f t="shared" si="0"/>
        <v>Tipo 2 (0,25-0,50) uT</v>
      </c>
      <c r="BF7" s="137" t="str">
        <f>IF(OR(AF7="",AQ7="-"),"",IF(AF7&lt;=0.25,"Tipo 1 (≤0,25) uT",IF(AF7&lt;=0.5,"Tipo 2 (0,25-0,50) uT",IF(AF7&lt;=0.75,"Tipo 3 (0,50-0,75) uT","Tipo 4 (&gt;0,75) uT"))))</f>
        <v>Tipo 1 (≤0,25) uT</v>
      </c>
      <c r="BG7" s="137" t="str">
        <f t="shared" si="1"/>
        <v>Tipo 1 (≤0,25) uT</v>
      </c>
      <c r="BH7" s="137" t="str">
        <f>IF(OR(R7="",R7="-"),"",IF(R7&lt;=0.25,"Tipo 1 (≤0,25) uT",IF(R7&lt;=0.5,"Tipo 2 (0,25-0,50) uT",IF(R7&lt;=0.75,"Tipo 3 (0,50-0,75) uT","Tipo 4 (&gt;0,75) uT"))))</f>
        <v>Tipo 2 (0,25-0,50) uT</v>
      </c>
    </row>
    <row r="8" spans="1:60" x14ac:dyDescent="0.3">
      <c r="A8" s="74">
        <v>46260</v>
      </c>
      <c r="B8" s="139">
        <v>0.14583333333333334</v>
      </c>
      <c r="C8" s="116">
        <v>333</v>
      </c>
      <c r="D8" s="116">
        <v>1525</v>
      </c>
      <c r="E8" s="116">
        <v>340</v>
      </c>
      <c r="F8" s="116">
        <v>2249</v>
      </c>
      <c r="G8" s="144" t="s">
        <v>100</v>
      </c>
      <c r="H8" s="122">
        <v>9.8000000000000007</v>
      </c>
      <c r="I8" s="116">
        <v>-151</v>
      </c>
      <c r="J8" s="10">
        <v>90</v>
      </c>
      <c r="K8" s="116">
        <v>90</v>
      </c>
      <c r="L8" s="116">
        <v>90</v>
      </c>
      <c r="M8" s="122">
        <v>24.3</v>
      </c>
      <c r="N8" s="122">
        <v>6.6</v>
      </c>
      <c r="O8" s="79">
        <v>0.98</v>
      </c>
      <c r="P8" s="116">
        <v>6</v>
      </c>
      <c r="Q8" s="122">
        <v>7.4</v>
      </c>
      <c r="R8" s="10">
        <v>0.3</v>
      </c>
      <c r="S8" s="79">
        <v>22.36</v>
      </c>
      <c r="T8" s="79">
        <v>0.88</v>
      </c>
      <c r="U8" s="79">
        <v>0.7</v>
      </c>
      <c r="V8" s="85">
        <f t="shared" si="2"/>
        <v>1664.26</v>
      </c>
      <c r="W8" s="85">
        <f t="shared" si="3"/>
        <v>1372.556302</v>
      </c>
      <c r="X8" s="85">
        <f t="shared" si="4"/>
        <v>0.82472468364318074</v>
      </c>
      <c r="Y8" s="116">
        <v>3</v>
      </c>
      <c r="Z8" s="116">
        <v>4</v>
      </c>
      <c r="AA8" s="122">
        <v>6.5</v>
      </c>
      <c r="AB8" s="116">
        <v>17</v>
      </c>
      <c r="AC8" s="122">
        <v>6.3</v>
      </c>
      <c r="AD8" s="122">
        <v>4.9000000000000004</v>
      </c>
      <c r="AE8" s="79">
        <v>0.3</v>
      </c>
      <c r="AF8" s="79">
        <v>0.18</v>
      </c>
      <c r="AG8" s="85">
        <f>(O8+0.3*H8+2)*(F8/2/AK8)</f>
        <v>1664.26</v>
      </c>
      <c r="AH8" s="85">
        <f t="shared" si="5"/>
        <v>1775.2652460399997</v>
      </c>
      <c r="AI8" s="85">
        <f t="shared" si="6"/>
        <v>1.0666994616466177</v>
      </c>
      <c r="AJ8" s="116">
        <v>3</v>
      </c>
      <c r="AK8" s="116">
        <v>4</v>
      </c>
      <c r="AL8" s="122">
        <v>6.27</v>
      </c>
      <c r="AM8" s="116">
        <v>23</v>
      </c>
      <c r="AN8" s="122">
        <v>6.2</v>
      </c>
      <c r="AO8" s="122">
        <v>3.8</v>
      </c>
      <c r="AP8" s="79">
        <v>0.3</v>
      </c>
      <c r="AQ8" s="79">
        <v>0.21</v>
      </c>
      <c r="AR8" s="132">
        <f>SUM(C8:E8)</f>
        <v>2198</v>
      </c>
      <c r="AS8" s="134">
        <f>C8/AR8</f>
        <v>0.15150136487716107</v>
      </c>
      <c r="AT8" s="134">
        <f>D8/AR8</f>
        <v>0.69381255686988175</v>
      </c>
      <c r="AU8" s="134">
        <f>E8/AR8</f>
        <v>0.15468607825295724</v>
      </c>
      <c r="AV8" s="151">
        <f>IF(AND(F8&lt;&gt;"",Z8&lt;&gt;""),AB8/(F8/2/Z8),"")</f>
        <v>6.0471320586927522E-2</v>
      </c>
      <c r="AW8" s="151">
        <f>IF(AND(F8&lt;&gt;"",AK8&lt;&gt;""),AM8/(F8/2/AK8),"")</f>
        <v>8.181413961760782E-2</v>
      </c>
      <c r="AX8" s="41">
        <f>IF(AND(AQ8&lt;&gt;"",1-(AQ8/O8)&gt;0),1-(AQ8/O8),"")</f>
        <v>0.7857142857142857</v>
      </c>
      <c r="AY8" s="41">
        <f>IF(AND(AF8&lt;&gt;"",1-(AF8/O8)&gt;0),1-(AF8/O8),"")</f>
        <v>0.81632653061224492</v>
      </c>
      <c r="AZ8" s="136" t="str">
        <f>IF(Q8="","",IF(Q8&lt;2.5,"Alc. Bruta &lt; 2,5 mg/L",IF(Q8&lt;5,"2,5 ≤ Alc. Bruta &lt; 5,0 mg/L",IF(Q8&lt;7.5,"5,0 ≤ Alc. Bruta &lt; 7,5 mg/L",IF(Q8&lt;10,"7,5 ≤ Alc. Bruta &lt; 10,0 mg/L",IF(Q8&lt;15,"10,0 ≤ Alca. Bruta &lt; 15,0 mg/L","Alc. Bruta &gt; 15 mg/L"))))))</f>
        <v>5,0 ≤ Alc. Bruta &lt; 7,5 mg/L</v>
      </c>
      <c r="BA8" s="136" t="str">
        <f>IF(P8="","",IF(P8&lt;5,"Cor &lt;5 uC",IF(P8&lt;10,"5 ≤ Cor &lt; 10 uC",IF(P8&lt;15,"10 ≤ Cor &lt;15 uC",IF(P8&lt;30,"15 ≤ Cor &lt; 30 uC",IF(P8&lt;50,"30 ≤ Cor &lt; 50 uC","Cor &gt; 50 uC"))))))</f>
        <v>5 ≤ Cor &lt; 10 uC</v>
      </c>
      <c r="BB8" s="137" t="str">
        <f>IF(O8="","",IF(O8&lt;2.5,"Turbidez &lt; 2,5 uT",IF(O8&lt;5,"2,5 ≤ Turb &lt; 5,0 uT",IF(O8&lt;7.5,"5,0 ≤ Turb &lt; 7,5 uT",IF(O8&lt;10,"7,5 ≤ Turb &lt; 10,0 uT",IF(O8&lt;15,"10,0 ≤ Turb &lt; 15,0 uT","Turb &gt; 15 uT"))))))</f>
        <v>Turbidez &lt; 2,5 uT</v>
      </c>
      <c r="BC8" s="138" t="str">
        <f>IF(AND(C8&gt;D8,D8&gt;E8),"TOR &gt; SM &gt; BNN",IF(AND(C8&gt;E8,E8&gt;D8),"TOR &gt; BNN &gt; SM",IF(AND(D8&gt;C8,C8&gt;E8),"SM &gt; TOR &gt; BNN",IF(AND(D8&gt;E8,E8&gt;C8),"SM &gt; BNN &gt; TOR",IF(AND(C8=D8,D8=E8),"TOR = SM = BNN","Comb. diferentes")))))</f>
        <v>SM &gt; BNN &gt; TOR</v>
      </c>
      <c r="BD8" s="137" t="str">
        <f>IF(OR(AE8="",AQ8="-"),"",IF(AE8&lt;=0.25,"Tipo 1 (≤0,25) uT",IF(AE8&lt;=0.5,"Tipo 2 (0,25-0,50) uT",IF(AE8&lt;=0.75,"Tipo 3 (0,50-0,75) uT","Tipo 4 (&gt;0,75) uT"))))</f>
        <v>Tipo 2 (0,25-0,50) uT</v>
      </c>
      <c r="BE8" s="137" t="str">
        <f t="shared" si="0"/>
        <v>Tipo 2 (0,25-0,50) uT</v>
      </c>
      <c r="BF8" s="137" t="str">
        <f>IF(OR(AF8="",AQ8="-"),"",IF(AF8&lt;=0.25,"Tipo 1 (≤0,25) uT",IF(AF8&lt;=0.5,"Tipo 2 (0,25-0,50) uT",IF(AF8&lt;=0.75,"Tipo 3 (0,50-0,75) uT","Tipo 4 (&gt;0,75) uT"))))</f>
        <v>Tipo 1 (≤0,25) uT</v>
      </c>
      <c r="BG8" s="137" t="str">
        <f t="shared" si="1"/>
        <v>Tipo 1 (≤0,25) uT</v>
      </c>
      <c r="BH8" s="137" t="str">
        <f>IF(OR(R8="",R8="-"),"",IF(R8&lt;=0.25,"Tipo 1 (≤0,25) uT",IF(R8&lt;=0.5,"Tipo 2 (0,25-0,50) uT",IF(R8&lt;=0.75,"Tipo 3 (0,50-0,75) uT","Tipo 4 (&gt;0,75) uT"))))</f>
        <v>Tipo 2 (0,25-0,50) uT</v>
      </c>
    </row>
    <row r="9" spans="1:60" ht="15" thickBot="1" x14ac:dyDescent="0.35">
      <c r="A9" s="75">
        <v>46260</v>
      </c>
      <c r="B9" s="140">
        <v>0.22916666666666666</v>
      </c>
      <c r="C9" s="117">
        <v>335</v>
      </c>
      <c r="D9" s="117">
        <v>1545</v>
      </c>
      <c r="E9" s="117">
        <v>349</v>
      </c>
      <c r="F9" s="117">
        <v>2320</v>
      </c>
      <c r="G9" s="145" t="s">
        <v>100</v>
      </c>
      <c r="H9" s="123">
        <v>9.8000000000000007</v>
      </c>
      <c r="I9" s="117">
        <v>-145</v>
      </c>
      <c r="J9" s="11">
        <v>90</v>
      </c>
      <c r="K9" s="117">
        <v>90</v>
      </c>
      <c r="L9" s="117">
        <v>90</v>
      </c>
      <c r="M9" s="123">
        <v>24.2</v>
      </c>
      <c r="N9" s="123">
        <v>6.6</v>
      </c>
      <c r="O9" s="80">
        <v>0.87</v>
      </c>
      <c r="P9" s="117">
        <v>5</v>
      </c>
      <c r="Q9" s="123">
        <v>7</v>
      </c>
      <c r="R9" s="11">
        <v>0.34</v>
      </c>
      <c r="S9" s="79">
        <v>22.36</v>
      </c>
      <c r="T9" s="79">
        <v>0.88</v>
      </c>
      <c r="U9" s="79">
        <v>0.7</v>
      </c>
      <c r="V9" s="85">
        <f t="shared" si="2"/>
        <v>1684.9</v>
      </c>
      <c r="W9" s="85">
        <f t="shared" si="3"/>
        <v>1375.1825510799999</v>
      </c>
      <c r="X9" s="85">
        <f t="shared" si="4"/>
        <v>0.81618051580509221</v>
      </c>
      <c r="Y9" s="117">
        <v>3</v>
      </c>
      <c r="Z9" s="117">
        <v>4</v>
      </c>
      <c r="AA9" s="123">
        <v>6.51</v>
      </c>
      <c r="AB9" s="117">
        <v>17</v>
      </c>
      <c r="AC9" s="123">
        <v>6.3</v>
      </c>
      <c r="AD9" s="123">
        <v>5.0999999999999996</v>
      </c>
      <c r="AE9" s="80">
        <v>0.3</v>
      </c>
      <c r="AF9" s="80">
        <v>0.2</v>
      </c>
      <c r="AG9" s="85">
        <f>(O9+0.3*H9+2)*(F9/2/AK9)</f>
        <v>1684.9</v>
      </c>
      <c r="AH9" s="85">
        <f t="shared" si="5"/>
        <v>1775.2652460399997</v>
      </c>
      <c r="AI9" s="85">
        <f t="shared" si="6"/>
        <v>1.0536324090687872</v>
      </c>
      <c r="AJ9" s="117">
        <v>3</v>
      </c>
      <c r="AK9" s="117">
        <v>4</v>
      </c>
      <c r="AL9" s="123">
        <v>6.27</v>
      </c>
      <c r="AM9" s="117">
        <v>23</v>
      </c>
      <c r="AN9" s="123">
        <v>6.2</v>
      </c>
      <c r="AO9" s="123">
        <v>4.3</v>
      </c>
      <c r="AP9" s="80">
        <v>0.27</v>
      </c>
      <c r="AQ9" s="80">
        <v>0.25</v>
      </c>
      <c r="AR9" s="132">
        <f>SUM(C9:E9)</f>
        <v>2229</v>
      </c>
      <c r="AS9" s="134">
        <f>C9/AR9</f>
        <v>0.15029161058770749</v>
      </c>
      <c r="AT9" s="134">
        <f>D9/AR9</f>
        <v>0.69313593539703899</v>
      </c>
      <c r="AU9" s="134">
        <f>E9/AR9</f>
        <v>0.15657245401525346</v>
      </c>
      <c r="AV9" s="151">
        <f>IF(AND(F9&lt;&gt;"",Z9&lt;&gt;""),AB9/(F9/2/Z9),"")</f>
        <v>5.8620689655172413E-2</v>
      </c>
      <c r="AW9" s="151">
        <f>IF(AND(F9&lt;&gt;"",AK9&lt;&gt;""),AM9/(F9/2/AK9),"")</f>
        <v>7.9310344827586213E-2</v>
      </c>
      <c r="AX9" s="41">
        <f>IF(AND(AQ9&lt;&gt;"",1-(AQ9/O9)&gt;0),1-(AQ9/O9),"")</f>
        <v>0.71264367816091956</v>
      </c>
      <c r="AY9" s="41">
        <f>IF(AND(AF9&lt;&gt;"",1-(AF9/O9)&gt;0),1-(AF9/O9),"")</f>
        <v>0.77011494252873558</v>
      </c>
      <c r="AZ9" s="136" t="str">
        <f>IF(Q9="","",IF(Q9&lt;2.5,"Alc. Bruta &lt; 2,5 mg/L",IF(Q9&lt;5,"2,5 ≤ Alc. Bruta &lt; 5,0 mg/L",IF(Q9&lt;7.5,"5,0 ≤ Alc. Bruta &lt; 7,5 mg/L",IF(Q9&lt;10,"7,5 ≤ Alc. Bruta &lt; 10,0 mg/L",IF(Q9&lt;15,"10,0 ≤ Alca. Bruta &lt; 15,0 mg/L","Alc. Bruta &gt; 15 mg/L"))))))</f>
        <v>5,0 ≤ Alc. Bruta &lt; 7,5 mg/L</v>
      </c>
      <c r="BA9" s="136" t="str">
        <f>IF(P9="","",IF(P9&lt;5,"Cor &lt;5 uC",IF(P9&lt;10,"5 ≤ Cor &lt; 10 uC",IF(P9&lt;15,"10 ≤ Cor &lt;15 uC",IF(P9&lt;30,"15 ≤ Cor &lt; 30 uC",IF(P9&lt;50,"30 ≤ Cor &lt; 50 uC","Cor &gt; 50 uC"))))))</f>
        <v>5 ≤ Cor &lt; 10 uC</v>
      </c>
      <c r="BB9" s="137" t="str">
        <f>IF(O9="","",IF(O9&lt;2.5,"Turbidez &lt; 2,5 uT",IF(O9&lt;5,"2,5 ≤ Turb &lt; 5,0 uT",IF(O9&lt;7.5,"5,0 ≤ Turb &lt; 7,5 uT",IF(O9&lt;10,"7,5 ≤ Turb &lt; 10,0 uT",IF(O9&lt;15,"10,0 ≤ Turb &lt; 15,0 uT","Turb &gt; 15 uT"))))))</f>
        <v>Turbidez &lt; 2,5 uT</v>
      </c>
      <c r="BC9" s="138" t="str">
        <f>IF(AND(C9&gt;D9,D9&gt;E9),"TOR &gt; SM &gt; BNN",IF(AND(C9&gt;E9,E9&gt;D9),"TOR &gt; BNN &gt; SM",IF(AND(D9&gt;C9,C9&gt;E9),"SM &gt; TOR &gt; BNN",IF(AND(D9&gt;E9,E9&gt;C9),"SM &gt; BNN &gt; TOR",IF(AND(C9=D9,D9=E9),"TOR = SM = BNN","Comb. diferentes")))))</f>
        <v>SM &gt; BNN &gt; TOR</v>
      </c>
      <c r="BD9" s="137" t="str">
        <f>IF(OR(AE9="",AQ9="-"),"",IF(AE9&lt;=0.25,"Tipo 1 (≤0,25) uT",IF(AE9&lt;=0.5,"Tipo 2 (0,25-0,50) uT",IF(AE9&lt;=0.75,"Tipo 3 (0,50-0,75) uT","Tipo 4 (&gt;0,75) uT"))))</f>
        <v>Tipo 2 (0,25-0,50) uT</v>
      </c>
      <c r="BE9" s="137" t="str">
        <f t="shared" si="0"/>
        <v>Tipo 2 (0,25-0,50) uT</v>
      </c>
      <c r="BF9" s="137" t="str">
        <f>IF(OR(AF9="",AQ9="-"),"",IF(AF9&lt;=0.25,"Tipo 1 (≤0,25) uT",IF(AF9&lt;=0.5,"Tipo 2 (0,25-0,50) uT",IF(AF9&lt;=0.75,"Tipo 3 (0,50-0,75) uT","Tipo 4 (&gt;0,75) uT"))))</f>
        <v>Tipo 1 (≤0,25) uT</v>
      </c>
      <c r="BG9" s="137" t="str">
        <f t="shared" si="1"/>
        <v>Tipo 1 (≤0,25) uT</v>
      </c>
      <c r="BH9" s="137" t="str">
        <f>IF(OR(R9="",R9="-"),"",IF(R9&lt;=0.25,"Tipo 1 (≤0,25) uT",IF(R9&lt;=0.5,"Tipo 2 (0,25-0,50) uT",IF(R9&lt;=0.75,"Tipo 3 (0,50-0,75) uT","Tipo 4 (&gt;0,75) uT"))))</f>
        <v>Tipo 2 (0,25-0,50) uT</v>
      </c>
    </row>
    <row r="10" spans="1:60" x14ac:dyDescent="0.3">
      <c r="A10" s="73">
        <v>46260</v>
      </c>
      <c r="B10" s="141">
        <v>0.3125</v>
      </c>
      <c r="C10" s="118">
        <v>317</v>
      </c>
      <c r="D10" s="118">
        <v>1510</v>
      </c>
      <c r="E10" s="118">
        <v>350</v>
      </c>
      <c r="F10" s="118">
        <v>2320</v>
      </c>
      <c r="G10" s="146" t="s">
        <v>100</v>
      </c>
      <c r="H10" s="124">
        <v>9.8000000000000007</v>
      </c>
      <c r="I10" s="118">
        <v>-150.80000000000001</v>
      </c>
      <c r="J10" s="9">
        <v>90</v>
      </c>
      <c r="K10" s="118">
        <v>90</v>
      </c>
      <c r="L10" s="118">
        <v>90</v>
      </c>
      <c r="M10" s="124">
        <v>24.9</v>
      </c>
      <c r="N10" s="124">
        <v>6.4</v>
      </c>
      <c r="O10" s="81">
        <v>0.97</v>
      </c>
      <c r="P10" s="118">
        <v>7</v>
      </c>
      <c r="Q10" s="124">
        <v>6.9</v>
      </c>
      <c r="R10" s="9">
        <v>0.39</v>
      </c>
      <c r="S10" s="79">
        <v>22.36</v>
      </c>
      <c r="T10" s="79">
        <v>0.88</v>
      </c>
      <c r="U10" s="79">
        <v>0.7</v>
      </c>
      <c r="V10" s="85">
        <f t="shared" si="2"/>
        <v>2285.2000000000003</v>
      </c>
      <c r="W10" s="85">
        <f t="shared" si="3"/>
        <v>1372.556302</v>
      </c>
      <c r="X10" s="85">
        <f t="shared" si="4"/>
        <v>0.60062852354279705</v>
      </c>
      <c r="Y10" s="118">
        <v>3</v>
      </c>
      <c r="Z10" s="118">
        <v>3</v>
      </c>
      <c r="AA10" s="124">
        <v>6.5</v>
      </c>
      <c r="AB10" s="118">
        <v>17</v>
      </c>
      <c r="AC10" s="124">
        <v>6.2</v>
      </c>
      <c r="AD10" s="124">
        <v>4.9000000000000004</v>
      </c>
      <c r="AE10" s="81">
        <v>0.28999999999999998</v>
      </c>
      <c r="AF10" s="81">
        <v>0.23</v>
      </c>
      <c r="AG10" s="85">
        <f>(O10+0.3*H10+2)*(F10/2/AK10)</f>
        <v>2285.2000000000003</v>
      </c>
      <c r="AH10" s="85">
        <f t="shared" si="5"/>
        <v>1768.158925</v>
      </c>
      <c r="AI10" s="85">
        <f t="shared" si="6"/>
        <v>0.77374362200245039</v>
      </c>
      <c r="AJ10" s="118">
        <v>3</v>
      </c>
      <c r="AK10" s="118">
        <v>3</v>
      </c>
      <c r="AL10" s="124">
        <v>6.25</v>
      </c>
      <c r="AM10" s="118">
        <v>23</v>
      </c>
      <c r="AN10" s="124">
        <v>6.2</v>
      </c>
      <c r="AO10" s="124">
        <v>6</v>
      </c>
      <c r="AP10" s="81">
        <v>0.38</v>
      </c>
      <c r="AQ10" s="81">
        <v>0.26</v>
      </c>
      <c r="AR10" s="132">
        <f>SUM(C10:E10)</f>
        <v>2177</v>
      </c>
      <c r="AS10" s="134">
        <f>C10/AR10</f>
        <v>0.14561322921451539</v>
      </c>
      <c r="AT10" s="134">
        <f>D10/AR10</f>
        <v>0.69361506660542027</v>
      </c>
      <c r="AU10" s="134">
        <f>E10/AR10</f>
        <v>0.16077170418006431</v>
      </c>
      <c r="AV10" s="151">
        <f>IF(AND(F10&lt;&gt;"",Z10&lt;&gt;""),AB10/(F10/2/Z10),"")</f>
        <v>4.3965517241379308E-2</v>
      </c>
      <c r="AW10" s="151">
        <f>IF(AND(F10&lt;&gt;"",AK10&lt;&gt;""),AM10/(F10/2/AK10),"")</f>
        <v>5.9482758620689649E-2</v>
      </c>
      <c r="AX10" s="41">
        <f>IF(AND(AQ10&lt;&gt;"",1-(AQ10/O10)&gt;0),1-(AQ10/O10),"")</f>
        <v>0.731958762886598</v>
      </c>
      <c r="AY10" s="41">
        <f>IF(AND(AF10&lt;&gt;"",1-(AF10/O10)&gt;0),1-(AF10/O10),"")</f>
        <v>0.76288659793814428</v>
      </c>
      <c r="AZ10" s="136" t="str">
        <f>IF(Q10="","",IF(Q10&lt;2.5,"Alc. Bruta &lt; 2,5 mg/L",IF(Q10&lt;5,"2,5 ≤ Alc. Bruta &lt; 5,0 mg/L",IF(Q10&lt;7.5,"5,0 ≤ Alc. Bruta &lt; 7,5 mg/L",IF(Q10&lt;10,"7,5 ≤ Alc. Bruta &lt; 10,0 mg/L",IF(Q10&lt;15,"10,0 ≤ Alca. Bruta &lt; 15,0 mg/L","Alc. Bruta &gt; 15 mg/L"))))))</f>
        <v>5,0 ≤ Alc. Bruta &lt; 7,5 mg/L</v>
      </c>
      <c r="BA10" s="136" t="str">
        <f>IF(P10="","",IF(P10&lt;5,"Cor &lt;5 uC",IF(P10&lt;10,"5 ≤ Cor &lt; 10 uC",IF(P10&lt;15,"10 ≤ Cor &lt;15 uC",IF(P10&lt;30,"15 ≤ Cor &lt; 30 uC",IF(P10&lt;50,"30 ≤ Cor &lt; 50 uC","Cor &gt; 50 uC"))))))</f>
        <v>5 ≤ Cor &lt; 10 uC</v>
      </c>
      <c r="BB10" s="137" t="str">
        <f>IF(O10="","",IF(O10&lt;2.5,"Turbidez &lt; 2,5 uT",IF(O10&lt;5,"2,5 ≤ Turb &lt; 5,0 uT",IF(O10&lt;7.5,"5,0 ≤ Turb &lt; 7,5 uT",IF(O10&lt;10,"7,5 ≤ Turb &lt; 10,0 uT",IF(O10&lt;15,"10,0 ≤ Turb &lt; 15,0 uT","Turb &gt; 15 uT"))))))</f>
        <v>Turbidez &lt; 2,5 uT</v>
      </c>
      <c r="BC10" s="138" t="str">
        <f>IF(AND(C10&gt;D10,D10&gt;E10),"TOR &gt; SM &gt; BNN",IF(AND(C10&gt;E10,E10&gt;D10),"TOR &gt; BNN &gt; SM",IF(AND(D10&gt;C10,C10&gt;E10),"SM &gt; TOR &gt; BNN",IF(AND(D10&gt;E10,E10&gt;C10),"SM &gt; BNN &gt; TOR",IF(AND(C10=D10,D10=E10),"TOR = SM = BNN","Comb. diferentes")))))</f>
        <v>SM &gt; BNN &gt; TOR</v>
      </c>
      <c r="BD10" s="137" t="str">
        <f>IF(OR(AE10="",AQ10="-"),"",IF(AE10&lt;=0.25,"Tipo 1 (≤0,25) uT",IF(AE10&lt;=0.5,"Tipo 2 (0,25-0,50) uT",IF(AE10&lt;=0.75,"Tipo 3 (0,50-0,75) uT","Tipo 4 (&gt;0,75) uT"))))</f>
        <v>Tipo 2 (0,25-0,50) uT</v>
      </c>
      <c r="BE10" s="137" t="str">
        <f t="shared" si="0"/>
        <v>Tipo 2 (0,25-0,50) uT</v>
      </c>
      <c r="BF10" s="137" t="str">
        <f>IF(OR(AF10="",AQ10="-"),"",IF(AF10&lt;=0.25,"Tipo 1 (≤0,25) uT",IF(AF10&lt;=0.5,"Tipo 2 (0,25-0,50) uT",IF(AF10&lt;=0.75,"Tipo 3 (0,50-0,75) uT","Tipo 4 (&gt;0,75) uT"))))</f>
        <v>Tipo 1 (≤0,25) uT</v>
      </c>
      <c r="BG10" s="137" t="str">
        <f t="shared" si="1"/>
        <v>Tipo 2 (0,25-0,50) uT</v>
      </c>
      <c r="BH10" s="137" t="str">
        <f>IF(OR(R10="",R10="-"),"",IF(R10&lt;=0.25,"Tipo 1 (≤0,25) uT",IF(R10&lt;=0.5,"Tipo 2 (0,25-0,50) uT",IF(R10&lt;=0.75,"Tipo 3 (0,50-0,75) uT","Tipo 4 (&gt;0,75) uT"))))</f>
        <v>Tipo 2 (0,25-0,50) uT</v>
      </c>
    </row>
    <row r="11" spans="1:60" x14ac:dyDescent="0.3">
      <c r="A11" s="74">
        <v>46260</v>
      </c>
      <c r="B11" s="139">
        <v>0.47916666666666669</v>
      </c>
      <c r="C11" s="116">
        <v>295</v>
      </c>
      <c r="D11" s="116">
        <v>1560</v>
      </c>
      <c r="E11" s="116">
        <v>349</v>
      </c>
      <c r="F11" s="116">
        <v>2150</v>
      </c>
      <c r="G11" s="144" t="s">
        <v>100</v>
      </c>
      <c r="H11" s="122">
        <v>10.8</v>
      </c>
      <c r="I11" s="116">
        <v>-154</v>
      </c>
      <c r="J11" s="10">
        <v>90</v>
      </c>
      <c r="K11" s="116">
        <v>90</v>
      </c>
      <c r="L11" s="116">
        <v>90</v>
      </c>
      <c r="M11" s="122">
        <v>26.1</v>
      </c>
      <c r="N11" s="122">
        <v>6.5</v>
      </c>
      <c r="O11" s="79">
        <v>0.96</v>
      </c>
      <c r="P11" s="116">
        <v>5</v>
      </c>
      <c r="Q11" s="122">
        <v>8</v>
      </c>
      <c r="R11" s="10">
        <v>0.24</v>
      </c>
      <c r="S11" s="79">
        <v>22.36</v>
      </c>
      <c r="T11" s="79">
        <v>0.88</v>
      </c>
      <c r="U11" s="79">
        <v>0.7</v>
      </c>
      <c r="V11" s="85">
        <f t="shared" si="2"/>
        <v>2221.6666666666665</v>
      </c>
      <c r="W11" s="85">
        <f t="shared" si="3"/>
        <v>1372.556302</v>
      </c>
      <c r="X11" s="85">
        <f t="shared" si="4"/>
        <v>0.61780478709677422</v>
      </c>
      <c r="Y11" s="116">
        <v>3</v>
      </c>
      <c r="Z11" s="116">
        <v>3</v>
      </c>
      <c r="AA11" s="122">
        <v>6.5</v>
      </c>
      <c r="AB11" s="116">
        <v>17</v>
      </c>
      <c r="AC11" s="122">
        <v>6.2</v>
      </c>
      <c r="AD11" s="122">
        <v>5.2</v>
      </c>
      <c r="AE11" s="79">
        <v>0.26</v>
      </c>
      <c r="AF11" s="79">
        <v>0.17</v>
      </c>
      <c r="AG11" s="85">
        <f>(O11+0.3*H11+2)*(F11/2/AK11)</f>
        <v>2221.6666666666665</v>
      </c>
      <c r="AH11" s="85">
        <f t="shared" si="5"/>
        <v>1750.3931224</v>
      </c>
      <c r="AI11" s="85">
        <f t="shared" si="6"/>
        <v>0.78787387354838712</v>
      </c>
      <c r="AJ11" s="116">
        <v>3</v>
      </c>
      <c r="AK11" s="116">
        <v>3</v>
      </c>
      <c r="AL11" s="122">
        <v>6.2</v>
      </c>
      <c r="AM11" s="116">
        <v>23</v>
      </c>
      <c r="AN11" s="122">
        <v>6.1</v>
      </c>
      <c r="AO11" s="122">
        <v>5.4</v>
      </c>
      <c r="AP11" s="79">
        <v>0.27</v>
      </c>
      <c r="AQ11" s="79">
        <v>0.19</v>
      </c>
      <c r="AR11" s="132">
        <f>SUM(C11:E11)</f>
        <v>2204</v>
      </c>
      <c r="AS11" s="134">
        <f>C11/AR11</f>
        <v>0.1338475499092559</v>
      </c>
      <c r="AT11" s="134">
        <f>D11/AR11</f>
        <v>0.7078039927404719</v>
      </c>
      <c r="AU11" s="134">
        <f>E11/AR11</f>
        <v>0.15834845735027223</v>
      </c>
      <c r="AV11" s="151">
        <f>IF(AND(F11&lt;&gt;"",Z11&lt;&gt;""),AB11/(F11/2/Z11),"")</f>
        <v>4.7441860465116281E-2</v>
      </c>
      <c r="AW11" s="151">
        <f>IF(AND(F11&lt;&gt;"",AK11&lt;&gt;""),AM11/(F11/2/AK11),"")</f>
        <v>6.4186046511627917E-2</v>
      </c>
      <c r="AX11" s="41">
        <f>IF(AND(AQ11&lt;&gt;"",1-(AQ11/O11)&gt;0),1-(AQ11/O11),"")</f>
        <v>0.80208333333333326</v>
      </c>
      <c r="AY11" s="41">
        <f>IF(AND(AF11&lt;&gt;"",1-(AF11/O11)&gt;0),1-(AF11/O11),"")</f>
        <v>0.82291666666666663</v>
      </c>
      <c r="AZ11" s="136" t="str">
        <f>IF(Q11="","",IF(Q11&lt;2.5,"Alc. Bruta &lt; 2,5 mg/L",IF(Q11&lt;5,"2,5 ≤ Alc. Bruta &lt; 5,0 mg/L",IF(Q11&lt;7.5,"5,0 ≤ Alc. Bruta &lt; 7,5 mg/L",IF(Q11&lt;10,"7,5 ≤ Alc. Bruta &lt; 10,0 mg/L",IF(Q11&lt;15,"10,0 ≤ Alca. Bruta &lt; 15,0 mg/L","Alc. Bruta &gt; 15 mg/L"))))))</f>
        <v>7,5 ≤ Alc. Bruta &lt; 10,0 mg/L</v>
      </c>
      <c r="BA11" s="136" t="str">
        <f>IF(P11="","",IF(P11&lt;5,"Cor &lt;5 uC",IF(P11&lt;10,"5 ≤ Cor &lt; 10 uC",IF(P11&lt;15,"10 ≤ Cor &lt;15 uC",IF(P11&lt;30,"15 ≤ Cor &lt; 30 uC",IF(P11&lt;50,"30 ≤ Cor &lt; 50 uC","Cor &gt; 50 uC"))))))</f>
        <v>5 ≤ Cor &lt; 10 uC</v>
      </c>
      <c r="BB11" s="137" t="str">
        <f>IF(O11="","",IF(O11&lt;2.5,"Turbidez &lt; 2,5 uT",IF(O11&lt;5,"2,5 ≤ Turb &lt; 5,0 uT",IF(O11&lt;7.5,"5,0 ≤ Turb &lt; 7,5 uT",IF(O11&lt;10,"7,5 ≤ Turb &lt; 10,0 uT",IF(O11&lt;15,"10,0 ≤ Turb &lt; 15,0 uT","Turb &gt; 15 uT"))))))</f>
        <v>Turbidez &lt; 2,5 uT</v>
      </c>
      <c r="BC11" s="138" t="str">
        <f>IF(AND(C11&gt;D11,D11&gt;E11),"TOR &gt; SM &gt; BNN",IF(AND(C11&gt;E11,E11&gt;D11),"TOR &gt; BNN &gt; SM",IF(AND(D11&gt;C11,C11&gt;E11),"SM &gt; TOR &gt; BNN",IF(AND(D11&gt;E11,E11&gt;C11),"SM &gt; BNN &gt; TOR",IF(AND(C11=D11,D11=E11),"TOR = SM = BNN","Comb. diferentes")))))</f>
        <v>SM &gt; BNN &gt; TOR</v>
      </c>
      <c r="BD11" s="137" t="str">
        <f>IF(OR(AE11="",AQ11="-"),"",IF(AE11&lt;=0.25,"Tipo 1 (≤0,25) uT",IF(AE11&lt;=0.5,"Tipo 2 (0,25-0,50) uT",IF(AE11&lt;=0.75,"Tipo 3 (0,50-0,75) uT","Tipo 4 (&gt;0,75) uT"))))</f>
        <v>Tipo 2 (0,25-0,50) uT</v>
      </c>
      <c r="BE11" s="137" t="str">
        <f t="shared" si="0"/>
        <v>Tipo 2 (0,25-0,50) uT</v>
      </c>
      <c r="BF11" s="137" t="str">
        <f>IF(OR(AF11="",AQ11="-"),"",IF(AF11&lt;=0.25,"Tipo 1 (≤0,25) uT",IF(AF11&lt;=0.5,"Tipo 2 (0,25-0,50) uT",IF(AF11&lt;=0.75,"Tipo 3 (0,50-0,75) uT","Tipo 4 (&gt;0,75) uT"))))</f>
        <v>Tipo 1 (≤0,25) uT</v>
      </c>
      <c r="BG11" s="137" t="str">
        <f t="shared" si="1"/>
        <v>Tipo 1 (≤0,25) uT</v>
      </c>
      <c r="BH11" s="137" t="str">
        <f>IF(OR(R11="",R11="-"),"",IF(R11&lt;=0.25,"Tipo 1 (≤0,25) uT",IF(R11&lt;=0.5,"Tipo 2 (0,25-0,50) uT",IF(R11&lt;=0.75,"Tipo 3 (0,50-0,75) uT","Tipo 4 (&gt;0,75) uT"))))</f>
        <v>Tipo 1 (≤0,25) uT</v>
      </c>
    </row>
    <row r="12" spans="1:60" x14ac:dyDescent="0.3">
      <c r="A12" s="74">
        <v>46260</v>
      </c>
      <c r="B12" s="139">
        <v>0.64583333333333337</v>
      </c>
      <c r="C12" s="116">
        <v>320</v>
      </c>
      <c r="D12" s="116">
        <v>1505</v>
      </c>
      <c r="E12" s="116">
        <v>350</v>
      </c>
      <c r="F12" s="116">
        <v>2155</v>
      </c>
      <c r="G12" s="144" t="s">
        <v>100</v>
      </c>
      <c r="H12" s="122">
        <v>10.8</v>
      </c>
      <c r="I12" s="116">
        <v>-154</v>
      </c>
      <c r="J12" s="10">
        <v>90</v>
      </c>
      <c r="K12" s="116">
        <v>90</v>
      </c>
      <c r="L12" s="116">
        <v>90</v>
      </c>
      <c r="M12" s="122">
        <v>27.2</v>
      </c>
      <c r="N12" s="122">
        <v>6.4</v>
      </c>
      <c r="O12" s="79">
        <v>0.9</v>
      </c>
      <c r="P12" s="116">
        <v>6</v>
      </c>
      <c r="Q12" s="122">
        <v>7.6</v>
      </c>
      <c r="R12" s="10">
        <v>0.23</v>
      </c>
      <c r="S12" s="79">
        <v>22.36</v>
      </c>
      <c r="T12" s="79">
        <v>0.88</v>
      </c>
      <c r="U12" s="79">
        <v>0.7</v>
      </c>
      <c r="V12" s="85">
        <f t="shared" si="2"/>
        <v>2205.2833333333338</v>
      </c>
      <c r="W12" s="85">
        <f t="shared" si="3"/>
        <v>1372.556302</v>
      </c>
      <c r="X12" s="85">
        <f t="shared" si="4"/>
        <v>0.62239453826794733</v>
      </c>
      <c r="Y12" s="116">
        <v>3</v>
      </c>
      <c r="Z12" s="116">
        <v>3</v>
      </c>
      <c r="AA12" s="122">
        <v>6.5</v>
      </c>
      <c r="AB12" s="116">
        <v>17</v>
      </c>
      <c r="AC12" s="122">
        <v>6.4</v>
      </c>
      <c r="AD12" s="122">
        <v>6</v>
      </c>
      <c r="AE12" s="79">
        <v>0.23</v>
      </c>
      <c r="AF12" s="79">
        <v>0.153</v>
      </c>
      <c r="AG12" s="85">
        <f>(O12+0.3*H12+2)*(F12/2/AK12)</f>
        <v>2205.2833333333338</v>
      </c>
      <c r="AH12" s="85">
        <f t="shared" si="5"/>
        <v>1714.8615171999998</v>
      </c>
      <c r="AI12" s="85">
        <f t="shared" si="6"/>
        <v>0.77761505348519055</v>
      </c>
      <c r="AJ12" s="116">
        <v>3</v>
      </c>
      <c r="AK12" s="116">
        <v>3</v>
      </c>
      <c r="AL12" s="122">
        <v>6.1</v>
      </c>
      <c r="AM12" s="116">
        <v>23</v>
      </c>
      <c r="AN12" s="122">
        <v>5.2</v>
      </c>
      <c r="AO12" s="122">
        <v>2.6</v>
      </c>
      <c r="AP12" s="79">
        <v>0.15</v>
      </c>
      <c r="AQ12" s="79">
        <v>0.18</v>
      </c>
      <c r="AR12" s="132">
        <f>SUM(C12:E12)</f>
        <v>2175</v>
      </c>
      <c r="AS12" s="134">
        <f>C12/AR12</f>
        <v>0.14712643678160919</v>
      </c>
      <c r="AT12" s="134">
        <f>D12/AR12</f>
        <v>0.69195402298850572</v>
      </c>
      <c r="AU12" s="134">
        <f>E12/AR12</f>
        <v>0.16091954022988506</v>
      </c>
      <c r="AV12" s="151">
        <f>IF(AND(F12&lt;&gt;"",Z12&lt;&gt;""),AB12/(F12/2/Z12),"")</f>
        <v>4.7331786542923429E-2</v>
      </c>
      <c r="AW12" s="151">
        <f>IF(AND(F12&lt;&gt;"",AK12&lt;&gt;""),AM12/(F12/2/AK12),"")</f>
        <v>6.4037122969837587E-2</v>
      </c>
      <c r="AX12" s="41">
        <f>IF(AND(AQ12&lt;&gt;"",1-(AQ12/O12)&gt;0),1-(AQ12/O12),"")</f>
        <v>0.8</v>
      </c>
      <c r="AY12" s="41">
        <f>IF(AND(AF12&lt;&gt;"",1-(AF12/O12)&gt;0),1-(AF12/O12),"")</f>
        <v>0.83000000000000007</v>
      </c>
      <c r="AZ12" s="136" t="str">
        <f>IF(Q12="","",IF(Q12&lt;2.5,"Alc. Bruta &lt; 2,5 mg/L",IF(Q12&lt;5,"2,5 ≤ Alc. Bruta &lt; 5,0 mg/L",IF(Q12&lt;7.5,"5,0 ≤ Alc. Bruta &lt; 7,5 mg/L",IF(Q12&lt;10,"7,5 ≤ Alc. Bruta &lt; 10,0 mg/L",IF(Q12&lt;15,"10,0 ≤ Alca. Bruta &lt; 15,0 mg/L","Alc. Bruta &gt; 15 mg/L"))))))</f>
        <v>7,5 ≤ Alc. Bruta &lt; 10,0 mg/L</v>
      </c>
      <c r="BA12" s="136" t="str">
        <f>IF(P12="","",IF(P12&lt;5,"Cor &lt;5 uC",IF(P12&lt;10,"5 ≤ Cor &lt; 10 uC",IF(P12&lt;15,"10 ≤ Cor &lt;15 uC",IF(P12&lt;30,"15 ≤ Cor &lt; 30 uC",IF(P12&lt;50,"30 ≤ Cor &lt; 50 uC","Cor &gt; 50 uC"))))))</f>
        <v>5 ≤ Cor &lt; 10 uC</v>
      </c>
      <c r="BB12" s="137" t="str">
        <f>IF(O12="","",IF(O12&lt;2.5,"Turbidez &lt; 2,5 uT",IF(O12&lt;5,"2,5 ≤ Turb &lt; 5,0 uT",IF(O12&lt;7.5,"5,0 ≤ Turb &lt; 7,5 uT",IF(O12&lt;10,"7,5 ≤ Turb &lt; 10,0 uT",IF(O12&lt;15,"10,0 ≤ Turb &lt; 15,0 uT","Turb &gt; 15 uT"))))))</f>
        <v>Turbidez &lt; 2,5 uT</v>
      </c>
      <c r="BC12" s="138" t="str">
        <f>IF(AND(C12&gt;D12,D12&gt;E12),"TOR &gt; SM &gt; BNN",IF(AND(C12&gt;E12,E12&gt;D12),"TOR &gt; BNN &gt; SM",IF(AND(D12&gt;C12,C12&gt;E12),"SM &gt; TOR &gt; BNN",IF(AND(D12&gt;E12,E12&gt;C12),"SM &gt; BNN &gt; TOR",IF(AND(C12=D12,D12=E12),"TOR = SM = BNN","Comb. diferentes")))))</f>
        <v>SM &gt; BNN &gt; TOR</v>
      </c>
      <c r="BD12" s="137" t="str">
        <f>IF(OR(AE12="",AQ12="-"),"",IF(AE12&lt;=0.25,"Tipo 1 (≤0,25) uT",IF(AE12&lt;=0.5,"Tipo 2 (0,25-0,50) uT",IF(AE12&lt;=0.75,"Tipo 3 (0,50-0,75) uT","Tipo 4 (&gt;0,75) uT"))))</f>
        <v>Tipo 1 (≤0,25) uT</v>
      </c>
      <c r="BE12" s="137" t="str">
        <f t="shared" si="0"/>
        <v>Tipo 1 (≤0,25) uT</v>
      </c>
      <c r="BF12" s="137" t="str">
        <f>IF(OR(AF12="",AQ12="-"),"",IF(AF12&lt;=0.25,"Tipo 1 (≤0,25) uT",IF(AF12&lt;=0.5,"Tipo 2 (0,25-0,50) uT",IF(AF12&lt;=0.75,"Tipo 3 (0,50-0,75) uT","Tipo 4 (&gt;0,75) uT"))))</f>
        <v>Tipo 1 (≤0,25) uT</v>
      </c>
      <c r="BG12" s="137" t="str">
        <f t="shared" si="1"/>
        <v>Tipo 1 (≤0,25) uT</v>
      </c>
      <c r="BH12" s="137" t="str">
        <f>IF(OR(R12="",R12="-"),"",IF(R12&lt;=0.25,"Tipo 1 (≤0,25) uT",IF(R12&lt;=0.5,"Tipo 2 (0,25-0,50) uT",IF(R12&lt;=0.75,"Tipo 3 (0,50-0,75) uT","Tipo 4 (&gt;0,75) uT"))))</f>
        <v>Tipo 1 (≤0,25) uT</v>
      </c>
    </row>
    <row r="13" spans="1:60" x14ac:dyDescent="0.3">
      <c r="A13" s="74">
        <v>46260</v>
      </c>
      <c r="B13" s="139">
        <v>0.72916666666666663</v>
      </c>
      <c r="C13" s="116">
        <v>310</v>
      </c>
      <c r="D13" s="116">
        <v>1554</v>
      </c>
      <c r="E13" s="116">
        <v>349</v>
      </c>
      <c r="F13" s="116">
        <v>2250</v>
      </c>
      <c r="G13" s="144" t="s">
        <v>100</v>
      </c>
      <c r="H13" s="122">
        <v>10</v>
      </c>
      <c r="I13" s="116">
        <v>-154</v>
      </c>
      <c r="J13" s="10">
        <v>90</v>
      </c>
      <c r="K13" s="116">
        <v>90</v>
      </c>
      <c r="L13" s="116">
        <v>90</v>
      </c>
      <c r="M13" s="122">
        <v>25.9</v>
      </c>
      <c r="N13" s="122">
        <v>6.4</v>
      </c>
      <c r="O13" s="79">
        <v>0.99</v>
      </c>
      <c r="P13" s="116">
        <v>7</v>
      </c>
      <c r="Q13" s="122">
        <v>6.8</v>
      </c>
      <c r="R13" s="10">
        <v>0.15</v>
      </c>
      <c r="S13" s="79">
        <v>22.36</v>
      </c>
      <c r="T13" s="79">
        <v>0.88</v>
      </c>
      <c r="U13" s="79">
        <v>0.7</v>
      </c>
      <c r="V13" s="85">
        <f t="shared" si="2"/>
        <v>2246.25</v>
      </c>
      <c r="W13" s="85">
        <f t="shared" si="3"/>
        <v>1372.556302</v>
      </c>
      <c r="X13" s="85">
        <f t="shared" si="4"/>
        <v>0.61104342882582074</v>
      </c>
      <c r="Y13" s="116">
        <v>3</v>
      </c>
      <c r="Z13" s="116">
        <v>3</v>
      </c>
      <c r="AA13" s="122">
        <v>6.5</v>
      </c>
      <c r="AB13" s="116">
        <v>17</v>
      </c>
      <c r="AC13" s="122">
        <v>6.2</v>
      </c>
      <c r="AD13" s="122">
        <v>5</v>
      </c>
      <c r="AE13" s="79">
        <v>0.19</v>
      </c>
      <c r="AF13" s="79">
        <v>0.14000000000000001</v>
      </c>
      <c r="AG13" s="85">
        <f>(O13+0.3*H13+2)*(F13/2/AK13)</f>
        <v>2246.25</v>
      </c>
      <c r="AH13" s="85">
        <f t="shared" si="5"/>
        <v>1750.3931224</v>
      </c>
      <c r="AI13" s="85">
        <f t="shared" si="6"/>
        <v>0.77925125092932668</v>
      </c>
      <c r="AJ13" s="116">
        <v>3</v>
      </c>
      <c r="AK13" s="116">
        <v>3</v>
      </c>
      <c r="AL13" s="122">
        <v>6.2</v>
      </c>
      <c r="AM13" s="116">
        <v>23</v>
      </c>
      <c r="AN13" s="122">
        <v>6.1</v>
      </c>
      <c r="AO13" s="122">
        <v>5.8</v>
      </c>
      <c r="AP13" s="79">
        <v>0.22</v>
      </c>
      <c r="AQ13" s="79">
        <v>0.17</v>
      </c>
      <c r="AR13" s="132">
        <f>SUM(C13:E13)</f>
        <v>2213</v>
      </c>
      <c r="AS13" s="134">
        <f>C13/AR13</f>
        <v>0.14008133755083596</v>
      </c>
      <c r="AT13" s="134">
        <f>D13/AR13</f>
        <v>0.70221418888386811</v>
      </c>
      <c r="AU13" s="134">
        <f>E13/AR13</f>
        <v>0.15770447356529599</v>
      </c>
      <c r="AV13" s="151">
        <f>IF(AND(F13&lt;&gt;"",Z13&lt;&gt;""),AB13/(F13/2/Z13),"")</f>
        <v>4.5333333333333337E-2</v>
      </c>
      <c r="AW13" s="151">
        <f>IF(AND(F13&lt;&gt;"",AK13&lt;&gt;""),AM13/(F13/2/AK13),"")</f>
        <v>6.133333333333333E-2</v>
      </c>
      <c r="AX13" s="41">
        <f>IF(AND(AQ13&lt;&gt;"",1-(AQ13/O13)&gt;0),1-(AQ13/O13),"")</f>
        <v>0.82828282828282829</v>
      </c>
      <c r="AY13" s="41">
        <f>IF(AND(AF13&lt;&gt;"",1-(AF13/O13)&gt;0),1-(AF13/O13),"")</f>
        <v>0.85858585858585856</v>
      </c>
      <c r="AZ13" s="136" t="str">
        <f>IF(Q13="","",IF(Q13&lt;2.5,"Alc. Bruta &lt; 2,5 mg/L",IF(Q13&lt;5,"2,5 ≤ Alc. Bruta &lt; 5,0 mg/L",IF(Q13&lt;7.5,"5,0 ≤ Alc. Bruta &lt; 7,5 mg/L",IF(Q13&lt;10,"7,5 ≤ Alc. Bruta &lt; 10,0 mg/L",IF(Q13&lt;15,"10,0 ≤ Alca. Bruta &lt; 15,0 mg/L","Alc. Bruta &gt; 15 mg/L"))))))</f>
        <v>5,0 ≤ Alc. Bruta &lt; 7,5 mg/L</v>
      </c>
      <c r="BA13" s="136" t="str">
        <f>IF(P13="","",IF(P13&lt;5,"Cor &lt;5 uC",IF(P13&lt;10,"5 ≤ Cor &lt; 10 uC",IF(P13&lt;15,"10 ≤ Cor &lt;15 uC",IF(P13&lt;30,"15 ≤ Cor &lt; 30 uC",IF(P13&lt;50,"30 ≤ Cor &lt; 50 uC","Cor &gt; 50 uC"))))))</f>
        <v>5 ≤ Cor &lt; 10 uC</v>
      </c>
      <c r="BB13" s="137" t="str">
        <f>IF(O13="","",IF(O13&lt;2.5,"Turbidez &lt; 2,5 uT",IF(O13&lt;5,"2,5 ≤ Turb &lt; 5,0 uT",IF(O13&lt;7.5,"5,0 ≤ Turb &lt; 7,5 uT",IF(O13&lt;10,"7,5 ≤ Turb &lt; 10,0 uT",IF(O13&lt;15,"10,0 ≤ Turb &lt; 15,0 uT","Turb &gt; 15 uT"))))))</f>
        <v>Turbidez &lt; 2,5 uT</v>
      </c>
      <c r="BC13" s="138" t="str">
        <f>IF(AND(C13&gt;D13,D13&gt;E13),"TOR &gt; SM &gt; BNN",IF(AND(C13&gt;E13,E13&gt;D13),"TOR &gt; BNN &gt; SM",IF(AND(D13&gt;C13,C13&gt;E13),"SM &gt; TOR &gt; BNN",IF(AND(D13&gt;E13,E13&gt;C13),"SM &gt; BNN &gt; TOR",IF(AND(C13=D13,D13=E13),"TOR = SM = BNN","Comb. diferentes")))))</f>
        <v>SM &gt; BNN &gt; TOR</v>
      </c>
      <c r="BD13" s="137" t="str">
        <f>IF(OR(AE13="",AQ13="-"),"",IF(AE13&lt;=0.25,"Tipo 1 (≤0,25) uT",IF(AE13&lt;=0.5,"Tipo 2 (0,25-0,50) uT",IF(AE13&lt;=0.75,"Tipo 3 (0,50-0,75) uT","Tipo 4 (&gt;0,75) uT"))))</f>
        <v>Tipo 1 (≤0,25) uT</v>
      </c>
      <c r="BE13" s="137" t="str">
        <f t="shared" si="0"/>
        <v>Tipo 1 (≤0,25) uT</v>
      </c>
      <c r="BF13" s="137" t="str">
        <f>IF(OR(AF13="",AQ13="-"),"",IF(AF13&lt;=0.25,"Tipo 1 (≤0,25) uT",IF(AF13&lt;=0.5,"Tipo 2 (0,25-0,50) uT",IF(AF13&lt;=0.75,"Tipo 3 (0,50-0,75) uT","Tipo 4 (&gt;0,75) uT"))))</f>
        <v>Tipo 1 (≤0,25) uT</v>
      </c>
      <c r="BG13" s="137" t="str">
        <f t="shared" si="1"/>
        <v>Tipo 1 (≤0,25) uT</v>
      </c>
      <c r="BH13" s="137" t="str">
        <f>IF(OR(R13="",R13="-"),"",IF(R13&lt;=0.25,"Tipo 1 (≤0,25) uT",IF(R13&lt;=0.5,"Tipo 2 (0,25-0,50) uT",IF(R13&lt;=0.75,"Tipo 3 (0,50-0,75) uT","Tipo 4 (&gt;0,75) uT"))))</f>
        <v>Tipo 1 (≤0,25) uT</v>
      </c>
    </row>
    <row r="14" spans="1:60" x14ac:dyDescent="0.3">
      <c r="A14" s="74">
        <v>46260</v>
      </c>
      <c r="B14" s="139">
        <v>0.8125</v>
      </c>
      <c r="C14" s="116">
        <v>363</v>
      </c>
      <c r="D14" s="116">
        <v>1443</v>
      </c>
      <c r="E14" s="116">
        <v>350</v>
      </c>
      <c r="F14" s="116">
        <v>2247</v>
      </c>
      <c r="G14" s="144" t="s">
        <v>100</v>
      </c>
      <c r="H14" s="122">
        <v>10</v>
      </c>
      <c r="I14" s="116">
        <v>-153</v>
      </c>
      <c r="J14" s="10">
        <v>90</v>
      </c>
      <c r="K14" s="116">
        <v>90</v>
      </c>
      <c r="L14" s="116">
        <v>90</v>
      </c>
      <c r="M14" s="122">
        <v>26</v>
      </c>
      <c r="N14" s="122">
        <v>6.4</v>
      </c>
      <c r="O14" s="79">
        <v>0.89</v>
      </c>
      <c r="P14" s="116">
        <v>6</v>
      </c>
      <c r="Q14" s="122">
        <v>7.4</v>
      </c>
      <c r="R14" s="10">
        <v>0.12</v>
      </c>
      <c r="S14" s="79">
        <v>22.36</v>
      </c>
      <c r="T14" s="79">
        <v>0.88</v>
      </c>
      <c r="U14" s="79">
        <v>0.7</v>
      </c>
      <c r="V14" s="85">
        <f t="shared" si="2"/>
        <v>1654.3537500000002</v>
      </c>
      <c r="W14" s="85">
        <f t="shared" si="3"/>
        <v>1372.556302</v>
      </c>
      <c r="X14" s="85">
        <f t="shared" si="4"/>
        <v>0.8296631249513593</v>
      </c>
      <c r="Y14" s="116">
        <v>3</v>
      </c>
      <c r="Z14" s="116">
        <v>4</v>
      </c>
      <c r="AA14" s="122">
        <v>6.5</v>
      </c>
      <c r="AB14" s="116">
        <v>17</v>
      </c>
      <c r="AC14" s="122">
        <v>6</v>
      </c>
      <c r="AD14" s="122">
        <v>5</v>
      </c>
      <c r="AE14" s="79">
        <v>0.1</v>
      </c>
      <c r="AF14" s="79">
        <v>0.18</v>
      </c>
      <c r="AG14" s="85">
        <f>(O14+0.3*H14+2)*(F14/2/AK14)</f>
        <v>1654.3537500000002</v>
      </c>
      <c r="AH14" s="85">
        <f t="shared" si="5"/>
        <v>1785.9247275999996</v>
      </c>
      <c r="AI14" s="85">
        <f t="shared" si="6"/>
        <v>1.0795301353171891</v>
      </c>
      <c r="AJ14" s="116">
        <v>3</v>
      </c>
      <c r="AK14" s="116">
        <v>4</v>
      </c>
      <c r="AL14" s="122">
        <v>6.3</v>
      </c>
      <c r="AM14" s="116">
        <v>23</v>
      </c>
      <c r="AN14" s="122">
        <v>6</v>
      </c>
      <c r="AO14" s="122">
        <v>4.2</v>
      </c>
      <c r="AP14" s="79">
        <v>0.18</v>
      </c>
      <c r="AQ14" s="79">
        <v>0.23</v>
      </c>
      <c r="AR14" s="132">
        <f>SUM(C14:E14)</f>
        <v>2156</v>
      </c>
      <c r="AS14" s="134">
        <f>C14/AR14</f>
        <v>0.1683673469387755</v>
      </c>
      <c r="AT14" s="134">
        <f>D14/AR14</f>
        <v>0.66929499072356213</v>
      </c>
      <c r="AU14" s="134">
        <f>E14/AR14</f>
        <v>0.16233766233766234</v>
      </c>
      <c r="AV14" s="151">
        <f>IF(AND(F14&lt;&gt;"",Z14&lt;&gt;""),AB14/(F14/2/Z14),"")</f>
        <v>6.0525144637294172E-2</v>
      </c>
      <c r="AW14" s="151">
        <f>IF(AND(F14&lt;&gt;"",AK14&lt;&gt;""),AM14/(F14/2/AK14),"")</f>
        <v>8.188696039163329E-2</v>
      </c>
      <c r="AX14" s="41">
        <f>IF(AND(AQ14&lt;&gt;"",1-(AQ14/O14)&gt;0),1-(AQ14/O14),"")</f>
        <v>0.7415730337078652</v>
      </c>
      <c r="AY14" s="41">
        <f>IF(AND(AF14&lt;&gt;"",1-(AF14/O14)&gt;0),1-(AF14/O14),"")</f>
        <v>0.797752808988764</v>
      </c>
      <c r="AZ14" s="136" t="str">
        <f>IF(Q14="","",IF(Q14&lt;2.5,"Alc. Bruta &lt; 2,5 mg/L",IF(Q14&lt;5,"2,5 ≤ Alc. Bruta &lt; 5,0 mg/L",IF(Q14&lt;7.5,"5,0 ≤ Alc. Bruta &lt; 7,5 mg/L",IF(Q14&lt;10,"7,5 ≤ Alc. Bruta &lt; 10,0 mg/L",IF(Q14&lt;15,"10,0 ≤ Alca. Bruta &lt; 15,0 mg/L","Alc. Bruta &gt; 15 mg/L"))))))</f>
        <v>5,0 ≤ Alc. Bruta &lt; 7,5 mg/L</v>
      </c>
      <c r="BA14" s="136" t="str">
        <f>IF(P14="","",IF(P14&lt;5,"Cor &lt;5 uC",IF(P14&lt;10,"5 ≤ Cor &lt; 10 uC",IF(P14&lt;15,"10 ≤ Cor &lt;15 uC",IF(P14&lt;30,"15 ≤ Cor &lt; 30 uC",IF(P14&lt;50,"30 ≤ Cor &lt; 50 uC","Cor &gt; 50 uC"))))))</f>
        <v>5 ≤ Cor &lt; 10 uC</v>
      </c>
      <c r="BB14" s="137" t="str">
        <f>IF(O14="","",IF(O14&lt;2.5,"Turbidez &lt; 2,5 uT",IF(O14&lt;5,"2,5 ≤ Turb &lt; 5,0 uT",IF(O14&lt;7.5,"5,0 ≤ Turb &lt; 7,5 uT",IF(O14&lt;10,"7,5 ≤ Turb &lt; 10,0 uT",IF(O14&lt;15,"10,0 ≤ Turb &lt; 15,0 uT","Turb &gt; 15 uT"))))))</f>
        <v>Turbidez &lt; 2,5 uT</v>
      </c>
      <c r="BC14" s="138" t="str">
        <f>IF(AND(C14&gt;D14,D14&gt;E14),"TOR &gt; SM &gt; BNN",IF(AND(C14&gt;E14,E14&gt;D14),"TOR &gt; BNN &gt; SM",IF(AND(D14&gt;C14,C14&gt;E14),"SM &gt; TOR &gt; BNN",IF(AND(D14&gt;E14,E14&gt;C14),"SM &gt; BNN &gt; TOR",IF(AND(C14=D14,D14=E14),"TOR = SM = BNN","Comb. diferentes")))))</f>
        <v>SM &gt; TOR &gt; BNN</v>
      </c>
      <c r="BD14" s="137" t="str">
        <f>IF(OR(AE14="",AQ14="-"),"",IF(AE14&lt;=0.25,"Tipo 1 (≤0,25) uT",IF(AE14&lt;=0.5,"Tipo 2 (0,25-0,50) uT",IF(AE14&lt;=0.75,"Tipo 3 (0,50-0,75) uT","Tipo 4 (&gt;0,75) uT"))))</f>
        <v>Tipo 1 (≤0,25) uT</v>
      </c>
      <c r="BE14" s="137" t="str">
        <f t="shared" si="0"/>
        <v>Tipo 1 (≤0,25) uT</v>
      </c>
      <c r="BF14" s="137" t="str">
        <f>IF(OR(AF14="",AQ14="-"),"",IF(AF14&lt;=0.25,"Tipo 1 (≤0,25) uT",IF(AF14&lt;=0.5,"Tipo 2 (0,25-0,50) uT",IF(AF14&lt;=0.75,"Tipo 3 (0,50-0,75) uT","Tipo 4 (&gt;0,75) uT"))))</f>
        <v>Tipo 1 (≤0,25) uT</v>
      </c>
      <c r="BG14" s="137" t="str">
        <f t="shared" si="1"/>
        <v>Tipo 1 (≤0,25) uT</v>
      </c>
      <c r="BH14" s="137" t="str">
        <f>IF(OR(R14="",R14="-"),"",IF(R14&lt;=0.25,"Tipo 1 (≤0,25) uT",IF(R14&lt;=0.5,"Tipo 2 (0,25-0,50) uT",IF(R14&lt;=0.75,"Tipo 3 (0,50-0,75) uT","Tipo 4 (&gt;0,75) uT"))))</f>
        <v>Tipo 1 (≤0,25) uT</v>
      </c>
    </row>
    <row r="15" spans="1:60" x14ac:dyDescent="0.3">
      <c r="A15" s="74">
        <v>46260</v>
      </c>
      <c r="B15" s="139">
        <v>0.89583333333333337</v>
      </c>
      <c r="C15" s="116">
        <v>360</v>
      </c>
      <c r="D15" s="116">
        <v>1430</v>
      </c>
      <c r="E15" s="116">
        <v>350</v>
      </c>
      <c r="F15" s="116">
        <v>2180</v>
      </c>
      <c r="G15" s="144" t="s">
        <v>100</v>
      </c>
      <c r="H15" s="122">
        <v>10</v>
      </c>
      <c r="I15" s="116">
        <v>-150</v>
      </c>
      <c r="J15" s="10">
        <v>90</v>
      </c>
      <c r="K15" s="116">
        <v>90</v>
      </c>
      <c r="L15" s="116">
        <v>90</v>
      </c>
      <c r="M15" s="122">
        <v>25.8</v>
      </c>
      <c r="N15" s="122">
        <v>6.4</v>
      </c>
      <c r="O15" s="79">
        <v>0.91</v>
      </c>
      <c r="P15" s="116">
        <v>6</v>
      </c>
      <c r="Q15" s="122">
        <v>7.2</v>
      </c>
      <c r="R15" s="10">
        <v>0.1</v>
      </c>
      <c r="S15" s="79">
        <v>22.36</v>
      </c>
      <c r="T15" s="79">
        <v>0.88</v>
      </c>
      <c r="U15" s="79">
        <v>0.7</v>
      </c>
      <c r="V15" s="85">
        <f t="shared" si="2"/>
        <v>1610.4750000000001</v>
      </c>
      <c r="W15" s="85">
        <f t="shared" si="3"/>
        <v>1372.556302</v>
      </c>
      <c r="X15" s="85">
        <f t="shared" si="4"/>
        <v>0.85226799670904541</v>
      </c>
      <c r="Y15" s="116">
        <v>3</v>
      </c>
      <c r="Z15" s="116">
        <v>4</v>
      </c>
      <c r="AA15" s="122">
        <v>6.5</v>
      </c>
      <c r="AB15" s="116">
        <v>17</v>
      </c>
      <c r="AC15" s="122">
        <v>6.2</v>
      </c>
      <c r="AD15" s="122">
        <v>4.3</v>
      </c>
      <c r="AE15" s="79">
        <v>0.14000000000000001</v>
      </c>
      <c r="AF15" s="79">
        <v>7.0000000000000007E-2</v>
      </c>
      <c r="AG15" s="85">
        <f>(O15+0.3*H15+2)*(F15/2/AK15)</f>
        <v>1610.4750000000001</v>
      </c>
      <c r="AH15" s="85">
        <f t="shared" si="5"/>
        <v>1785.9247275999996</v>
      </c>
      <c r="AI15" s="85">
        <f t="shared" si="6"/>
        <v>1.1089428445644915</v>
      </c>
      <c r="AJ15" s="116">
        <v>3</v>
      </c>
      <c r="AK15" s="116">
        <v>4</v>
      </c>
      <c r="AL15" s="122">
        <v>6.3</v>
      </c>
      <c r="AM15" s="116">
        <v>23</v>
      </c>
      <c r="AN15" s="122">
        <v>6.1</v>
      </c>
      <c r="AO15" s="122">
        <v>4.3</v>
      </c>
      <c r="AP15" s="79">
        <v>0.16</v>
      </c>
      <c r="AQ15" s="79">
        <v>0.22</v>
      </c>
      <c r="AR15" s="132">
        <f>SUM(C15:E15)</f>
        <v>2140</v>
      </c>
      <c r="AS15" s="134">
        <f>C15/AR15</f>
        <v>0.16822429906542055</v>
      </c>
      <c r="AT15" s="134">
        <f>D15/AR15</f>
        <v>0.66822429906542058</v>
      </c>
      <c r="AU15" s="134">
        <f>E15/AR15</f>
        <v>0.16355140186915887</v>
      </c>
      <c r="AV15" s="151">
        <f>IF(AND(F15&lt;&gt;"",Z15&lt;&gt;""),AB15/(F15/2/Z15),"")</f>
        <v>6.2385321100917435E-2</v>
      </c>
      <c r="AW15" s="151">
        <f>IF(AND(F15&lt;&gt;"",AK15&lt;&gt;""),AM15/(F15/2/AK15),"")</f>
        <v>8.4403669724770647E-2</v>
      </c>
      <c r="AX15" s="41">
        <f>IF(AND(AQ15&lt;&gt;"",1-(AQ15/O15)&gt;0),1-(AQ15/O15),"")</f>
        <v>0.75824175824175821</v>
      </c>
      <c r="AY15" s="41">
        <f>IF(AND(AF15&lt;&gt;"",1-(AF15/O15)&gt;0),1-(AF15/O15),"")</f>
        <v>0.92307692307692313</v>
      </c>
      <c r="AZ15" s="136" t="str">
        <f>IF(Q15="","",IF(Q15&lt;2.5,"Alc. Bruta &lt; 2,5 mg/L",IF(Q15&lt;5,"2,5 ≤ Alc. Bruta &lt; 5,0 mg/L",IF(Q15&lt;7.5,"5,0 ≤ Alc. Bruta &lt; 7,5 mg/L",IF(Q15&lt;10,"7,5 ≤ Alc. Bruta &lt; 10,0 mg/L",IF(Q15&lt;15,"10,0 ≤ Alca. Bruta &lt; 15,0 mg/L","Alc. Bruta &gt; 15 mg/L"))))))</f>
        <v>5,0 ≤ Alc. Bruta &lt; 7,5 mg/L</v>
      </c>
      <c r="BA15" s="136" t="str">
        <f>IF(P15="","",IF(P15&lt;5,"Cor &lt;5 uC",IF(P15&lt;10,"5 ≤ Cor &lt; 10 uC",IF(P15&lt;15,"10 ≤ Cor &lt;15 uC",IF(P15&lt;30,"15 ≤ Cor &lt; 30 uC",IF(P15&lt;50,"30 ≤ Cor &lt; 50 uC","Cor &gt; 50 uC"))))))</f>
        <v>5 ≤ Cor &lt; 10 uC</v>
      </c>
      <c r="BB15" s="137" t="str">
        <f>IF(O15="","",IF(O15&lt;2.5,"Turbidez &lt; 2,5 uT",IF(O15&lt;5,"2,5 ≤ Turb &lt; 5,0 uT",IF(O15&lt;7.5,"5,0 ≤ Turb &lt; 7,5 uT",IF(O15&lt;10,"7,5 ≤ Turb &lt; 10,0 uT",IF(O15&lt;15,"10,0 ≤ Turb &lt; 15,0 uT","Turb &gt; 15 uT"))))))</f>
        <v>Turbidez &lt; 2,5 uT</v>
      </c>
      <c r="BC15" s="138" t="str">
        <f>IF(AND(C15&gt;D15,D15&gt;E15),"TOR &gt; SM &gt; BNN",IF(AND(C15&gt;E15,E15&gt;D15),"TOR &gt; BNN &gt; SM",IF(AND(D15&gt;C15,C15&gt;E15),"SM &gt; TOR &gt; BNN",IF(AND(D15&gt;E15,E15&gt;C15),"SM &gt; BNN &gt; TOR",IF(AND(C15=D15,D15=E15),"TOR = SM = BNN","Comb. diferentes")))))</f>
        <v>SM &gt; TOR &gt; BNN</v>
      </c>
      <c r="BD15" s="137" t="str">
        <f>IF(OR(AE15="",AQ15="-"),"",IF(AE15&lt;=0.25,"Tipo 1 (≤0,25) uT",IF(AE15&lt;=0.5,"Tipo 2 (0,25-0,50) uT",IF(AE15&lt;=0.75,"Tipo 3 (0,50-0,75) uT","Tipo 4 (&gt;0,75) uT"))))</f>
        <v>Tipo 1 (≤0,25) uT</v>
      </c>
      <c r="BE15" s="137" t="str">
        <f t="shared" si="0"/>
        <v>Tipo 1 (≤0,25) uT</v>
      </c>
      <c r="BF15" s="137" t="str">
        <f>IF(OR(AF15="",AQ15="-"),"",IF(AF15&lt;=0.25,"Tipo 1 (≤0,25) uT",IF(AF15&lt;=0.5,"Tipo 2 (0,25-0,50) uT",IF(AF15&lt;=0.75,"Tipo 3 (0,50-0,75) uT","Tipo 4 (&gt;0,75) uT"))))</f>
        <v>Tipo 1 (≤0,25) uT</v>
      </c>
      <c r="BG15" s="137" t="str">
        <f t="shared" si="1"/>
        <v>Tipo 1 (≤0,25) uT</v>
      </c>
      <c r="BH15" s="137" t="str">
        <f>IF(OR(R15="",R15="-"),"",IF(R15&lt;=0.25,"Tipo 1 (≤0,25) uT",IF(R15&lt;=0.5,"Tipo 2 (0,25-0,50) uT",IF(R15&lt;=0.75,"Tipo 3 (0,50-0,75) uT","Tipo 4 (&gt;0,75) uT"))))</f>
        <v>Tipo 1 (≤0,25) uT</v>
      </c>
    </row>
    <row r="16" spans="1:60" x14ac:dyDescent="0.3">
      <c r="A16" s="77">
        <v>46261</v>
      </c>
      <c r="B16" s="139">
        <v>6.25E-2</v>
      </c>
      <c r="C16" s="116">
        <v>358</v>
      </c>
      <c r="D16" s="116">
        <v>1443</v>
      </c>
      <c r="E16" s="116">
        <v>349</v>
      </c>
      <c r="F16" s="116">
        <v>2263</v>
      </c>
      <c r="G16" s="144" t="s">
        <v>100</v>
      </c>
      <c r="H16" s="122">
        <v>10</v>
      </c>
      <c r="I16" s="116">
        <v>-149</v>
      </c>
      <c r="J16" s="10">
        <v>90</v>
      </c>
      <c r="K16" s="116">
        <v>90</v>
      </c>
      <c r="L16" s="116">
        <v>90</v>
      </c>
      <c r="M16" s="122">
        <v>24.4</v>
      </c>
      <c r="N16" s="122">
        <v>6.4</v>
      </c>
      <c r="O16" s="79">
        <v>0.92</v>
      </c>
      <c r="P16" s="116">
        <v>6</v>
      </c>
      <c r="Q16" s="122">
        <v>7.5</v>
      </c>
      <c r="R16" s="10">
        <v>0.09</v>
      </c>
      <c r="S16" s="79">
        <v>22.36</v>
      </c>
      <c r="T16" s="79">
        <v>0.88</v>
      </c>
      <c r="U16" s="79">
        <v>0.7</v>
      </c>
      <c r="V16" s="85">
        <f t="shared" si="2"/>
        <v>744.27555555555557</v>
      </c>
      <c r="W16" s="85">
        <f t="shared" si="3"/>
        <v>1372.556302</v>
      </c>
      <c r="X16" s="85">
        <f t="shared" si="4"/>
        <v>1.8441507204619554</v>
      </c>
      <c r="Y16" s="116">
        <v>3</v>
      </c>
      <c r="Z16" s="116">
        <v>9</v>
      </c>
      <c r="AA16" s="122">
        <v>6.5</v>
      </c>
      <c r="AB16" s="116">
        <v>17</v>
      </c>
      <c r="AC16" s="122">
        <v>6</v>
      </c>
      <c r="AD16" s="122">
        <v>4.3</v>
      </c>
      <c r="AE16" s="79">
        <v>0.21</v>
      </c>
      <c r="AF16" s="79">
        <v>0.08</v>
      </c>
      <c r="AG16" s="85">
        <f>(O16+0.3*H16+2)*(F16/2/AK16)</f>
        <v>1674.62</v>
      </c>
      <c r="AH16" s="85">
        <f t="shared" si="5"/>
        <v>1785.9247275999996</v>
      </c>
      <c r="AI16" s="85">
        <f t="shared" si="6"/>
        <v>1.0664656624189366</v>
      </c>
      <c r="AJ16" s="116">
        <v>3</v>
      </c>
      <c r="AK16" s="116">
        <v>4</v>
      </c>
      <c r="AL16" s="122">
        <v>6.3</v>
      </c>
      <c r="AM16" s="116">
        <v>23</v>
      </c>
      <c r="AN16" s="122">
        <v>6</v>
      </c>
      <c r="AO16" s="122">
        <v>4.8</v>
      </c>
      <c r="AP16" s="79">
        <v>0.21</v>
      </c>
      <c r="AQ16" s="79">
        <v>0.25</v>
      </c>
      <c r="AR16" s="132">
        <f>SUM(C16:E16)</f>
        <v>2150</v>
      </c>
      <c r="AS16" s="134">
        <f>C16/AR16</f>
        <v>0.16651162790697674</v>
      </c>
      <c r="AT16" s="134">
        <f>D16/AR16</f>
        <v>0.67116279069767437</v>
      </c>
      <c r="AU16" s="134">
        <f>E16/AR16</f>
        <v>0.16232558139534883</v>
      </c>
      <c r="AV16" s="151">
        <f>IF(AND(F16&lt;&gt;"",Z16&lt;&gt;""),AB16/(F16/2/Z16),"")</f>
        <v>0.13521873619089703</v>
      </c>
      <c r="AW16" s="151">
        <f>IF(AND(F16&lt;&gt;"",AK16&lt;&gt;""),AM16/(F16/2/AK16),"")</f>
        <v>8.1307998232434828E-2</v>
      </c>
      <c r="AX16" s="41">
        <f>IF(AND(AQ16&lt;&gt;"",1-(AQ16/O16)&gt;0),1-(AQ16/O16),"")</f>
        <v>0.72826086956521741</v>
      </c>
      <c r="AY16" s="41">
        <f>IF(AND(AF16&lt;&gt;"",1-(AF16/O16)&gt;0),1-(AF16/O16),"")</f>
        <v>0.91304347826086962</v>
      </c>
      <c r="AZ16" s="136" t="str">
        <f>IF(Q16="","",IF(Q16&lt;2.5,"Alc. Bruta &lt; 2,5 mg/L",IF(Q16&lt;5,"2,5 ≤ Alc. Bruta &lt; 5,0 mg/L",IF(Q16&lt;7.5,"5,0 ≤ Alc. Bruta &lt; 7,5 mg/L",IF(Q16&lt;10,"7,5 ≤ Alc. Bruta &lt; 10,0 mg/L",IF(Q16&lt;15,"10,0 ≤ Alca. Bruta &lt; 15,0 mg/L","Alc. Bruta &gt; 15 mg/L"))))))</f>
        <v>7,5 ≤ Alc. Bruta &lt; 10,0 mg/L</v>
      </c>
      <c r="BA16" s="136" t="str">
        <f>IF(P16="","",IF(P16&lt;5,"Cor &lt;5 uC",IF(P16&lt;10,"5 ≤ Cor &lt; 10 uC",IF(P16&lt;15,"10 ≤ Cor &lt;15 uC",IF(P16&lt;30,"15 ≤ Cor &lt; 30 uC",IF(P16&lt;50,"30 ≤ Cor &lt; 50 uC","Cor &gt; 50 uC"))))))</f>
        <v>5 ≤ Cor &lt; 10 uC</v>
      </c>
      <c r="BB16" s="137" t="str">
        <f>IF(O16="","",IF(O16&lt;2.5,"Turbidez &lt; 2,5 uT",IF(O16&lt;5,"2,5 ≤ Turb &lt; 5,0 uT",IF(O16&lt;7.5,"5,0 ≤ Turb &lt; 7,5 uT",IF(O16&lt;10,"7,5 ≤ Turb &lt; 10,0 uT",IF(O16&lt;15,"10,0 ≤ Turb &lt; 15,0 uT","Turb &gt; 15 uT"))))))</f>
        <v>Turbidez &lt; 2,5 uT</v>
      </c>
      <c r="BC16" s="138" t="str">
        <f>IF(AND(C16&gt;D16,D16&gt;E16),"TOR &gt; SM &gt; BNN",IF(AND(C16&gt;E16,E16&gt;D16),"TOR &gt; BNN &gt; SM",IF(AND(D16&gt;C16,C16&gt;E16),"SM &gt; TOR &gt; BNN",IF(AND(D16&gt;E16,E16&gt;C16),"SM &gt; BNN &gt; TOR",IF(AND(C16=D16,D16=E16),"TOR = SM = BNN","Comb. diferentes")))))</f>
        <v>SM &gt; TOR &gt; BNN</v>
      </c>
      <c r="BD16" s="137" t="str">
        <f>IF(OR(AE16="",AQ16="-"),"",IF(AE16&lt;=0.25,"Tipo 1 (≤0,25) uT",IF(AE16&lt;=0.5,"Tipo 2 (0,25-0,50) uT",IF(AE16&lt;=0.75,"Tipo 3 (0,50-0,75) uT","Tipo 4 (&gt;0,75) uT"))))</f>
        <v>Tipo 1 (≤0,25) uT</v>
      </c>
      <c r="BE16" s="137" t="str">
        <f t="shared" si="0"/>
        <v>Tipo 1 (≤0,25) uT</v>
      </c>
      <c r="BF16" s="137" t="str">
        <f>IF(OR(AF16="",AQ16="-"),"",IF(AF16&lt;=0.25,"Tipo 1 (≤0,25) uT",IF(AF16&lt;=0.5,"Tipo 2 (0,25-0,50) uT",IF(AF16&lt;=0.75,"Tipo 3 (0,50-0,75) uT","Tipo 4 (&gt;0,75) uT"))))</f>
        <v>Tipo 1 (≤0,25) uT</v>
      </c>
      <c r="BG16" s="137" t="str">
        <f t="shared" si="1"/>
        <v>Tipo 1 (≤0,25) uT</v>
      </c>
      <c r="BH16" s="137" t="str">
        <f>IF(OR(R16="",R16="-"),"",IF(R16&lt;=0.25,"Tipo 1 (≤0,25) uT",IF(R16&lt;=0.5,"Tipo 2 (0,25-0,50) uT",IF(R16&lt;=0.75,"Tipo 3 (0,50-0,75) uT","Tipo 4 (&gt;0,75) uT"))))</f>
        <v>Tipo 1 (≤0,25) uT</v>
      </c>
    </row>
    <row r="17" spans="1:60" x14ac:dyDescent="0.3">
      <c r="A17" s="74">
        <v>46261</v>
      </c>
      <c r="B17" s="139">
        <v>0.14583333333333334</v>
      </c>
      <c r="C17" s="116">
        <v>360</v>
      </c>
      <c r="D17" s="116">
        <v>1470</v>
      </c>
      <c r="E17" s="116">
        <v>350</v>
      </c>
      <c r="F17" s="116">
        <v>2259</v>
      </c>
      <c r="G17" s="144" t="s">
        <v>100</v>
      </c>
      <c r="H17" s="122">
        <v>10</v>
      </c>
      <c r="I17" s="116">
        <v>-149</v>
      </c>
      <c r="J17" s="10">
        <v>90</v>
      </c>
      <c r="K17" s="116">
        <v>90</v>
      </c>
      <c r="L17" s="116">
        <v>90</v>
      </c>
      <c r="M17" s="122">
        <v>24.7</v>
      </c>
      <c r="N17" s="122">
        <v>6.5</v>
      </c>
      <c r="O17" s="79">
        <v>1</v>
      </c>
      <c r="P17" s="116">
        <v>6</v>
      </c>
      <c r="Q17" s="122">
        <v>6.8</v>
      </c>
      <c r="R17" s="10">
        <v>9.2999999999999999E-2</v>
      </c>
      <c r="S17" s="79">
        <v>22.36</v>
      </c>
      <c r="T17" s="79">
        <v>0.88</v>
      </c>
      <c r="U17" s="79">
        <v>0.7</v>
      </c>
      <c r="V17" s="85">
        <f t="shared" si="2"/>
        <v>1694.25</v>
      </c>
      <c r="W17" s="85">
        <f t="shared" si="3"/>
        <v>1372.556302</v>
      </c>
      <c r="X17" s="85">
        <f t="shared" si="4"/>
        <v>0.8101261927106389</v>
      </c>
      <c r="Y17" s="116">
        <v>3</v>
      </c>
      <c r="Z17" s="116">
        <v>4</v>
      </c>
      <c r="AA17" s="122">
        <v>6.5</v>
      </c>
      <c r="AB17" s="116">
        <v>17</v>
      </c>
      <c r="AC17" s="122">
        <v>6.1</v>
      </c>
      <c r="AD17" s="122">
        <v>4.2</v>
      </c>
      <c r="AE17" s="79">
        <v>0.14000000000000001</v>
      </c>
      <c r="AF17" s="79">
        <v>7.0000000000000007E-2</v>
      </c>
      <c r="AG17" s="85">
        <f>(O17+0.3*H17+2)*(F17/2/AK17)</f>
        <v>1694.25</v>
      </c>
      <c r="AH17" s="85">
        <f t="shared" si="5"/>
        <v>1785.9247275999996</v>
      </c>
      <c r="AI17" s="85">
        <f t="shared" si="6"/>
        <v>1.0541093271949238</v>
      </c>
      <c r="AJ17" s="116">
        <v>3</v>
      </c>
      <c r="AK17" s="116">
        <v>4</v>
      </c>
      <c r="AL17" s="122">
        <v>6.3</v>
      </c>
      <c r="AM17" s="116">
        <v>23</v>
      </c>
      <c r="AN17" s="122">
        <v>6.1</v>
      </c>
      <c r="AO17" s="122">
        <v>4.0999999999999996</v>
      </c>
      <c r="AP17" s="79">
        <v>0.15</v>
      </c>
      <c r="AQ17" s="79">
        <v>0.24</v>
      </c>
      <c r="AR17" s="132">
        <f>SUM(C17:E17)</f>
        <v>2180</v>
      </c>
      <c r="AS17" s="134">
        <f>C17/AR17</f>
        <v>0.16513761467889909</v>
      </c>
      <c r="AT17" s="134">
        <f>D17/AR17</f>
        <v>0.67431192660550454</v>
      </c>
      <c r="AU17" s="134">
        <f>E17/AR17</f>
        <v>0.16055045871559634</v>
      </c>
      <c r="AV17" s="151">
        <f>IF(AND(F17&lt;&gt;"",Z17&lt;&gt;""),AB17/(F17/2/Z17),"")</f>
        <v>6.0203629924745462E-2</v>
      </c>
      <c r="AW17" s="151">
        <f>IF(AND(F17&lt;&gt;"",AK17&lt;&gt;""),AM17/(F17/2/AK17),"")</f>
        <v>8.1451969898185039E-2</v>
      </c>
      <c r="AX17" s="41">
        <f>IF(AND(AQ17&lt;&gt;"",1-(AQ17/O17)&gt;0),1-(AQ17/O17),"")</f>
        <v>0.76</v>
      </c>
      <c r="AY17" s="41">
        <f>IF(AND(AF17&lt;&gt;"",1-(AF17/O17)&gt;0),1-(AF17/O17),"")</f>
        <v>0.92999999999999994</v>
      </c>
      <c r="AZ17" s="136" t="str">
        <f>IF(Q17="","",IF(Q17&lt;2.5,"Alc. Bruta &lt; 2,5 mg/L",IF(Q17&lt;5,"2,5 ≤ Alc. Bruta &lt; 5,0 mg/L",IF(Q17&lt;7.5,"5,0 ≤ Alc. Bruta &lt; 7,5 mg/L",IF(Q17&lt;10,"7,5 ≤ Alc. Bruta &lt; 10,0 mg/L",IF(Q17&lt;15,"10,0 ≤ Alca. Bruta &lt; 15,0 mg/L","Alc. Bruta &gt; 15 mg/L"))))))</f>
        <v>5,0 ≤ Alc. Bruta &lt; 7,5 mg/L</v>
      </c>
      <c r="BA17" s="136" t="str">
        <f>IF(P17="","",IF(P17&lt;5,"Cor &lt;5 uC",IF(P17&lt;10,"5 ≤ Cor &lt; 10 uC",IF(P17&lt;15,"10 ≤ Cor &lt;15 uC",IF(P17&lt;30,"15 ≤ Cor &lt; 30 uC",IF(P17&lt;50,"30 ≤ Cor &lt; 50 uC","Cor &gt; 50 uC"))))))</f>
        <v>5 ≤ Cor &lt; 10 uC</v>
      </c>
      <c r="BB17" s="137" t="str">
        <f>IF(O17="","",IF(O17&lt;2.5,"Turbidez &lt; 2,5 uT",IF(O17&lt;5,"2,5 ≤ Turb &lt; 5,0 uT",IF(O17&lt;7.5,"5,0 ≤ Turb &lt; 7,5 uT",IF(O17&lt;10,"7,5 ≤ Turb &lt; 10,0 uT",IF(O17&lt;15,"10,0 ≤ Turb &lt; 15,0 uT","Turb &gt; 15 uT"))))))</f>
        <v>Turbidez &lt; 2,5 uT</v>
      </c>
      <c r="BC17" s="138" t="str">
        <f>IF(AND(C17&gt;D17,D17&gt;E17),"TOR &gt; SM &gt; BNN",IF(AND(C17&gt;E17,E17&gt;D17),"TOR &gt; BNN &gt; SM",IF(AND(D17&gt;C17,C17&gt;E17),"SM &gt; TOR &gt; BNN",IF(AND(D17&gt;E17,E17&gt;C17),"SM &gt; BNN &gt; TOR",IF(AND(C17=D17,D17=E17),"TOR = SM = BNN","Comb. diferentes")))))</f>
        <v>SM &gt; TOR &gt; BNN</v>
      </c>
      <c r="BD17" s="137" t="str">
        <f>IF(OR(AE17="",AQ17="-"),"",IF(AE17&lt;=0.25,"Tipo 1 (≤0,25) uT",IF(AE17&lt;=0.5,"Tipo 2 (0,25-0,50) uT",IF(AE17&lt;=0.75,"Tipo 3 (0,50-0,75) uT","Tipo 4 (&gt;0,75) uT"))))</f>
        <v>Tipo 1 (≤0,25) uT</v>
      </c>
      <c r="BE17" s="137" t="str">
        <f t="shared" si="0"/>
        <v>Tipo 1 (≤0,25) uT</v>
      </c>
      <c r="BF17" s="137" t="str">
        <f>IF(OR(AF17="",AQ17="-"),"",IF(AF17&lt;=0.25,"Tipo 1 (≤0,25) uT",IF(AF17&lt;=0.5,"Tipo 2 (0,25-0,50) uT",IF(AF17&lt;=0.75,"Tipo 3 (0,50-0,75) uT","Tipo 4 (&gt;0,75) uT"))))</f>
        <v>Tipo 1 (≤0,25) uT</v>
      </c>
      <c r="BG17" s="137" t="str">
        <f t="shared" si="1"/>
        <v>Tipo 1 (≤0,25) uT</v>
      </c>
      <c r="BH17" s="137" t="str">
        <f>IF(OR(R17="",R17="-"),"",IF(R17&lt;=0.25,"Tipo 1 (≤0,25) uT",IF(R17&lt;=0.5,"Tipo 2 (0,25-0,50) uT",IF(R17&lt;=0.75,"Tipo 3 (0,50-0,75) uT","Tipo 4 (&gt;0,75) uT"))))</f>
        <v>Tipo 1 (≤0,25) uT</v>
      </c>
    </row>
    <row r="18" spans="1:60" ht="15" thickBot="1" x14ac:dyDescent="0.35">
      <c r="A18" s="75">
        <v>46261</v>
      </c>
      <c r="B18" s="140">
        <v>0.22916666666666666</v>
      </c>
      <c r="C18" s="117">
        <v>360</v>
      </c>
      <c r="D18" s="117">
        <v>1460</v>
      </c>
      <c r="E18" s="117">
        <v>350</v>
      </c>
      <c r="F18" s="117">
        <v>2257</v>
      </c>
      <c r="G18" s="145" t="s">
        <v>100</v>
      </c>
      <c r="H18" s="123">
        <v>10</v>
      </c>
      <c r="I18" s="117">
        <v>-148</v>
      </c>
      <c r="J18" s="11">
        <v>90</v>
      </c>
      <c r="K18" s="117">
        <v>90</v>
      </c>
      <c r="L18" s="117">
        <v>90</v>
      </c>
      <c r="M18" s="123">
        <v>24.4</v>
      </c>
      <c r="N18" s="123">
        <v>6.5</v>
      </c>
      <c r="O18" s="80">
        <v>0.82</v>
      </c>
      <c r="P18" s="117">
        <v>6</v>
      </c>
      <c r="Q18" s="123">
        <v>7.1</v>
      </c>
      <c r="R18" s="11">
        <v>0.08</v>
      </c>
      <c r="S18" s="79">
        <v>22.36</v>
      </c>
      <c r="T18" s="79">
        <v>0.88</v>
      </c>
      <c r="U18" s="79">
        <v>0.7</v>
      </c>
      <c r="V18" s="85">
        <f t="shared" si="2"/>
        <v>1641.9675</v>
      </c>
      <c r="W18" s="85">
        <f t="shared" si="3"/>
        <v>1372.556302</v>
      </c>
      <c r="X18" s="85">
        <f t="shared" si="4"/>
        <v>0.83592172317661584</v>
      </c>
      <c r="Y18" s="117">
        <v>3</v>
      </c>
      <c r="Z18" s="117">
        <v>4</v>
      </c>
      <c r="AA18" s="123">
        <v>6.5</v>
      </c>
      <c r="AB18" s="117">
        <v>17</v>
      </c>
      <c r="AC18" s="123">
        <v>6.1</v>
      </c>
      <c r="AD18" s="123">
        <v>4</v>
      </c>
      <c r="AE18" s="80">
        <v>0.12</v>
      </c>
      <c r="AF18" s="80">
        <v>0.08</v>
      </c>
      <c r="AG18" s="85">
        <f>(O18+0.3*H18+2)*(F18/2/AK18)</f>
        <v>1641.9675</v>
      </c>
      <c r="AH18" s="85">
        <f t="shared" si="5"/>
        <v>1785.9247275999996</v>
      </c>
      <c r="AI18" s="85">
        <f t="shared" si="6"/>
        <v>1.0876736157079843</v>
      </c>
      <c r="AJ18" s="117">
        <v>3</v>
      </c>
      <c r="AK18" s="117">
        <v>4</v>
      </c>
      <c r="AL18" s="123">
        <v>6.3</v>
      </c>
      <c r="AM18" s="117">
        <v>23</v>
      </c>
      <c r="AN18" s="123">
        <v>6.1</v>
      </c>
      <c r="AO18" s="123">
        <v>4.3</v>
      </c>
      <c r="AP18" s="80">
        <v>0.15</v>
      </c>
      <c r="AQ18" s="80">
        <v>0.25</v>
      </c>
      <c r="AR18" s="132">
        <f>SUM(C18:E18)</f>
        <v>2170</v>
      </c>
      <c r="AS18" s="134">
        <f>C18/AR18</f>
        <v>0.16589861751152074</v>
      </c>
      <c r="AT18" s="134">
        <f>D18/AR18</f>
        <v>0.67281105990783407</v>
      </c>
      <c r="AU18" s="134">
        <f>E18/AR18</f>
        <v>0.16129032258064516</v>
      </c>
      <c r="AV18" s="151">
        <f>IF(AND(F18&lt;&gt;"",Z18&lt;&gt;""),AB18/(F18/2/Z18),"")</f>
        <v>6.0256978289765173E-2</v>
      </c>
      <c r="AW18" s="151">
        <f>IF(AND(F18&lt;&gt;"",AK18&lt;&gt;""),AM18/(F18/2/AK18),"")</f>
        <v>8.1524147097917596E-2</v>
      </c>
      <c r="AX18" s="41">
        <f>IF(AND(AQ18&lt;&gt;"",1-(AQ18/O18)&gt;0),1-(AQ18/O18),"")</f>
        <v>0.69512195121951215</v>
      </c>
      <c r="AY18" s="41">
        <f>IF(AND(AF18&lt;&gt;"",1-(AF18/O18)&gt;0),1-(AF18/O18),"")</f>
        <v>0.90243902439024393</v>
      </c>
      <c r="AZ18" s="136" t="str">
        <f>IF(Q18="","",IF(Q18&lt;2.5,"Alc. Bruta &lt; 2,5 mg/L",IF(Q18&lt;5,"2,5 ≤ Alc. Bruta &lt; 5,0 mg/L",IF(Q18&lt;7.5,"5,0 ≤ Alc. Bruta &lt; 7,5 mg/L",IF(Q18&lt;10,"7,5 ≤ Alc. Bruta &lt; 10,0 mg/L",IF(Q18&lt;15,"10,0 ≤ Alca. Bruta &lt; 15,0 mg/L","Alc. Bruta &gt; 15 mg/L"))))))</f>
        <v>5,0 ≤ Alc. Bruta &lt; 7,5 mg/L</v>
      </c>
      <c r="BA18" s="136" t="str">
        <f>IF(P18="","",IF(P18&lt;5,"Cor &lt;5 uC",IF(P18&lt;10,"5 ≤ Cor &lt; 10 uC",IF(P18&lt;15,"10 ≤ Cor &lt;15 uC",IF(P18&lt;30,"15 ≤ Cor &lt; 30 uC",IF(P18&lt;50,"30 ≤ Cor &lt; 50 uC","Cor &gt; 50 uC"))))))</f>
        <v>5 ≤ Cor &lt; 10 uC</v>
      </c>
      <c r="BB18" s="137" t="str">
        <f>IF(O18="","",IF(O18&lt;2.5,"Turbidez &lt; 2,5 uT",IF(O18&lt;5,"2,5 ≤ Turb &lt; 5,0 uT",IF(O18&lt;7.5,"5,0 ≤ Turb &lt; 7,5 uT",IF(O18&lt;10,"7,5 ≤ Turb &lt; 10,0 uT",IF(O18&lt;15,"10,0 ≤ Turb &lt; 15,0 uT","Turb &gt; 15 uT"))))))</f>
        <v>Turbidez &lt; 2,5 uT</v>
      </c>
      <c r="BC18" s="138" t="str">
        <f>IF(AND(C18&gt;D18,D18&gt;E18),"TOR &gt; SM &gt; BNN",IF(AND(C18&gt;E18,E18&gt;D18),"TOR &gt; BNN &gt; SM",IF(AND(D18&gt;C18,C18&gt;E18),"SM &gt; TOR &gt; BNN",IF(AND(D18&gt;E18,E18&gt;C18),"SM &gt; BNN &gt; TOR",IF(AND(C18=D18,D18=E18),"TOR = SM = BNN","Comb. diferentes")))))</f>
        <v>SM &gt; TOR &gt; BNN</v>
      </c>
      <c r="BD18" s="137" t="str">
        <f>IF(OR(AE18="",AQ18="-"),"",IF(AE18&lt;=0.25,"Tipo 1 (≤0,25) uT",IF(AE18&lt;=0.5,"Tipo 2 (0,25-0,50) uT",IF(AE18&lt;=0.75,"Tipo 3 (0,50-0,75) uT","Tipo 4 (&gt;0,75) uT"))))</f>
        <v>Tipo 1 (≤0,25) uT</v>
      </c>
      <c r="BE18" s="137" t="str">
        <f t="shared" si="0"/>
        <v>Tipo 1 (≤0,25) uT</v>
      </c>
      <c r="BF18" s="137" t="str">
        <f>IF(OR(AF18="",AQ18="-"),"",IF(AF18&lt;=0.25,"Tipo 1 (≤0,25) uT",IF(AF18&lt;=0.5,"Tipo 2 (0,25-0,50) uT",IF(AF18&lt;=0.75,"Tipo 3 (0,50-0,75) uT","Tipo 4 (&gt;0,75) uT"))))</f>
        <v>Tipo 1 (≤0,25) uT</v>
      </c>
      <c r="BG18" s="137" t="str">
        <f t="shared" si="1"/>
        <v>Tipo 1 (≤0,25) uT</v>
      </c>
      <c r="BH18" s="137" t="str">
        <f>IF(OR(R18="",R18="-"),"",IF(R18&lt;=0.25,"Tipo 1 (≤0,25) uT",IF(R18&lt;=0.5,"Tipo 2 (0,25-0,50) uT",IF(R18&lt;=0.75,"Tipo 3 (0,50-0,75) uT","Tipo 4 (&gt;0,75) uT"))))</f>
        <v>Tipo 1 (≤0,25) uT</v>
      </c>
    </row>
    <row r="19" spans="1:60" x14ac:dyDescent="0.3">
      <c r="A19" s="73">
        <v>46261</v>
      </c>
      <c r="B19" s="141">
        <v>0.3125</v>
      </c>
      <c r="C19" s="118">
        <v>490</v>
      </c>
      <c r="D19" s="118">
        <v>850</v>
      </c>
      <c r="E19" s="118">
        <v>425</v>
      </c>
      <c r="F19" s="118">
        <v>1829</v>
      </c>
      <c r="G19" s="146" t="s">
        <v>100</v>
      </c>
      <c r="H19" s="124">
        <v>10</v>
      </c>
      <c r="I19" s="118">
        <v>-147</v>
      </c>
      <c r="J19" s="9">
        <v>90</v>
      </c>
      <c r="K19" s="118">
        <v>90</v>
      </c>
      <c r="L19" s="118">
        <v>90</v>
      </c>
      <c r="M19" s="124">
        <v>24.3</v>
      </c>
      <c r="N19" s="124">
        <v>6.4</v>
      </c>
      <c r="O19" s="81">
        <v>6.93</v>
      </c>
      <c r="P19" s="118">
        <v>6</v>
      </c>
      <c r="Q19" s="124">
        <v>8.9</v>
      </c>
      <c r="R19" s="9">
        <v>0.14000000000000001</v>
      </c>
      <c r="S19" s="79">
        <v>22.36</v>
      </c>
      <c r="T19" s="79">
        <v>0.88</v>
      </c>
      <c r="U19" s="79">
        <v>0.7</v>
      </c>
      <c r="V19" s="85">
        <f t="shared" si="2"/>
        <v>2727.4962500000001</v>
      </c>
      <c r="W19" s="85">
        <f t="shared" si="3"/>
        <v>1372.556302</v>
      </c>
      <c r="X19" s="85">
        <f t="shared" si="4"/>
        <v>0.50322940022373996</v>
      </c>
      <c r="Y19" s="118">
        <v>2</v>
      </c>
      <c r="Z19" s="118">
        <v>4</v>
      </c>
      <c r="AA19" s="124">
        <v>6.5</v>
      </c>
      <c r="AB19" s="118">
        <v>17</v>
      </c>
      <c r="AC19" s="124">
        <v>6.1</v>
      </c>
      <c r="AD19" s="124">
        <v>6</v>
      </c>
      <c r="AE19" s="81">
        <v>0.14000000000000001</v>
      </c>
      <c r="AF19" s="81">
        <v>0.08</v>
      </c>
      <c r="AG19" s="85">
        <f>(O19+0.3*H19+2)*(F19/2/AK19)</f>
        <v>3636.6616666666664</v>
      </c>
      <c r="AH19" s="85">
        <f t="shared" si="5"/>
        <v>1750.3931224</v>
      </c>
      <c r="AI19" s="85">
        <f t="shared" si="6"/>
        <v>0.48131866058477629</v>
      </c>
      <c r="AJ19" s="118">
        <v>2</v>
      </c>
      <c r="AK19" s="118">
        <v>3</v>
      </c>
      <c r="AL19" s="124">
        <v>6.2</v>
      </c>
      <c r="AM19" s="118">
        <v>23</v>
      </c>
      <c r="AN19" s="124">
        <v>6.1</v>
      </c>
      <c r="AO19" s="124">
        <v>4.9000000000000004</v>
      </c>
      <c r="AP19" s="81">
        <v>0.19</v>
      </c>
      <c r="AQ19" s="81">
        <v>0.25</v>
      </c>
      <c r="AR19" s="132">
        <f>SUM(C19:E19)</f>
        <v>1765</v>
      </c>
      <c r="AS19" s="134">
        <f>C19/AR19</f>
        <v>0.27762039660056659</v>
      </c>
      <c r="AT19" s="134">
        <f>D19/AR19</f>
        <v>0.48158640226628896</v>
      </c>
      <c r="AU19" s="134">
        <f>E19/AR19</f>
        <v>0.24079320113314448</v>
      </c>
      <c r="AV19" s="151">
        <f>IF(AND(F19&lt;&gt;"",Z19&lt;&gt;""),AB19/(F19/2/Z19),"")</f>
        <v>7.435757244395845E-2</v>
      </c>
      <c r="AW19" s="151">
        <f>IF(AND(F19&lt;&gt;"",AK19&lt;&gt;""),AM19/(F19/2/AK19),"")</f>
        <v>7.5451066156369609E-2</v>
      </c>
      <c r="AX19" s="41">
        <f>IF(AND(AQ19&lt;&gt;"",1-(AQ19/O19)&gt;0),1-(AQ19/O19),"")</f>
        <v>0.96392496392496396</v>
      </c>
      <c r="AY19" s="41">
        <f>IF(AND(AF19&lt;&gt;"",1-(AF19/O19)&gt;0),1-(AF19/O19),"")</f>
        <v>0.98845598845598848</v>
      </c>
      <c r="AZ19" s="136" t="str">
        <f>IF(Q19="","",IF(Q19&lt;2.5,"Alc. Bruta &lt; 2,5 mg/L",IF(Q19&lt;5,"2,5 ≤ Alc. Bruta &lt; 5,0 mg/L",IF(Q19&lt;7.5,"5,0 ≤ Alc. Bruta &lt; 7,5 mg/L",IF(Q19&lt;10,"7,5 ≤ Alc. Bruta &lt; 10,0 mg/L",IF(Q19&lt;15,"10,0 ≤ Alca. Bruta &lt; 15,0 mg/L","Alc. Bruta &gt; 15 mg/L"))))))</f>
        <v>7,5 ≤ Alc. Bruta &lt; 10,0 mg/L</v>
      </c>
      <c r="BA19" s="136" t="str">
        <f>IF(P19="","",IF(P19&lt;5,"Cor &lt;5 uC",IF(P19&lt;10,"5 ≤ Cor &lt; 10 uC",IF(P19&lt;15,"10 ≤ Cor &lt;15 uC",IF(P19&lt;30,"15 ≤ Cor &lt; 30 uC",IF(P19&lt;50,"30 ≤ Cor &lt; 50 uC","Cor &gt; 50 uC"))))))</f>
        <v>5 ≤ Cor &lt; 10 uC</v>
      </c>
      <c r="BB19" s="137" t="str">
        <f>IF(O19="","",IF(O19&lt;2.5,"Turbidez &lt; 2,5 uT",IF(O19&lt;5,"2,5 ≤ Turb &lt; 5,0 uT",IF(O19&lt;7.5,"5,0 ≤ Turb &lt; 7,5 uT",IF(O19&lt;10,"7,5 ≤ Turb &lt; 10,0 uT",IF(O19&lt;15,"10,0 ≤ Turb &lt; 15,0 uT","Turb &gt; 15 uT"))))))</f>
        <v>5,0 ≤ Turb &lt; 7,5 uT</v>
      </c>
      <c r="BC19" s="138" t="str">
        <f>IF(AND(C19&gt;D19,D19&gt;E19),"TOR &gt; SM &gt; BNN",IF(AND(C19&gt;E19,E19&gt;D19),"TOR &gt; BNN &gt; SM",IF(AND(D19&gt;C19,C19&gt;E19),"SM &gt; TOR &gt; BNN",IF(AND(D19&gt;E19,E19&gt;C19),"SM &gt; BNN &gt; TOR",IF(AND(C19=D19,D19=E19),"TOR = SM = BNN","Comb. diferentes")))))</f>
        <v>SM &gt; TOR &gt; BNN</v>
      </c>
      <c r="BD19" s="137" t="str">
        <f>IF(OR(AE19="",AQ19="-"),"",IF(AE19&lt;=0.25,"Tipo 1 (≤0,25) uT",IF(AE19&lt;=0.5,"Tipo 2 (0,25-0,50) uT",IF(AE19&lt;=0.75,"Tipo 3 (0,50-0,75) uT","Tipo 4 (&gt;0,75) uT"))))</f>
        <v>Tipo 1 (≤0,25) uT</v>
      </c>
      <c r="BE19" s="137" t="str">
        <f t="shared" si="0"/>
        <v>Tipo 1 (≤0,25) uT</v>
      </c>
      <c r="BF19" s="137" t="str">
        <f>IF(OR(AF19="",AQ19="-"),"",IF(AF19&lt;=0.25,"Tipo 1 (≤0,25) uT",IF(AF19&lt;=0.5,"Tipo 2 (0,25-0,50) uT",IF(AF19&lt;=0.75,"Tipo 3 (0,50-0,75) uT","Tipo 4 (&gt;0,75) uT"))))</f>
        <v>Tipo 1 (≤0,25) uT</v>
      </c>
      <c r="BG19" s="137" t="str">
        <f t="shared" si="1"/>
        <v>Tipo 1 (≤0,25) uT</v>
      </c>
      <c r="BH19" s="137" t="str">
        <f>IF(OR(R19="",R19="-"),"",IF(R19&lt;=0.25,"Tipo 1 (≤0,25) uT",IF(R19&lt;=0.5,"Tipo 2 (0,25-0,50) uT",IF(R19&lt;=0.75,"Tipo 3 (0,50-0,75) uT","Tipo 4 (&gt;0,75) uT"))))</f>
        <v>Tipo 1 (≤0,25) uT</v>
      </c>
    </row>
    <row r="20" spans="1:60" x14ac:dyDescent="0.3">
      <c r="A20" s="74">
        <v>46261</v>
      </c>
      <c r="B20" s="139">
        <v>0.39583333333333331</v>
      </c>
      <c r="C20" s="116">
        <v>477</v>
      </c>
      <c r="D20" s="116">
        <v>845</v>
      </c>
      <c r="E20" s="116">
        <v>427</v>
      </c>
      <c r="F20" s="116">
        <v>1740</v>
      </c>
      <c r="G20" s="144" t="s">
        <v>100</v>
      </c>
      <c r="H20" s="122">
        <v>10</v>
      </c>
      <c r="I20" s="116">
        <v>-150</v>
      </c>
      <c r="J20" s="10">
        <v>90</v>
      </c>
      <c r="K20" s="116">
        <v>90</v>
      </c>
      <c r="L20" s="116">
        <v>90</v>
      </c>
      <c r="M20" s="122">
        <v>25.8</v>
      </c>
      <c r="N20" s="122">
        <v>6.4</v>
      </c>
      <c r="O20" s="79">
        <v>1.016</v>
      </c>
      <c r="P20" s="116">
        <v>6</v>
      </c>
      <c r="Q20" s="122">
        <v>8.5</v>
      </c>
      <c r="R20" s="10">
        <v>7.1999999999999995E-2</v>
      </c>
      <c r="S20" s="79">
        <v>22.36</v>
      </c>
      <c r="T20" s="79">
        <v>0.88</v>
      </c>
      <c r="U20" s="79">
        <v>0.7</v>
      </c>
      <c r="V20" s="85">
        <f t="shared" si="2"/>
        <v>1308.48</v>
      </c>
      <c r="W20" s="85">
        <f t="shared" si="3"/>
        <v>1372.556302</v>
      </c>
      <c r="X20" s="85">
        <f t="shared" si="4"/>
        <v>1.0489700278185374</v>
      </c>
      <c r="Y20" s="116">
        <v>2</v>
      </c>
      <c r="Z20" s="116">
        <v>4</v>
      </c>
      <c r="AA20" s="122">
        <v>6.5</v>
      </c>
      <c r="AB20" s="116">
        <v>17</v>
      </c>
      <c r="AC20" s="122">
        <v>6.1</v>
      </c>
      <c r="AD20" s="122">
        <v>5.8</v>
      </c>
      <c r="AE20" s="79">
        <v>0.15</v>
      </c>
      <c r="AF20" s="79">
        <v>0.09</v>
      </c>
      <c r="AG20" s="85">
        <f>(O20+0.3*H20+2)*(F20/2/AK20)</f>
        <v>1744.64</v>
      </c>
      <c r="AH20" s="85">
        <f t="shared" si="5"/>
        <v>1750.3931224</v>
      </c>
      <c r="AI20" s="85">
        <f t="shared" si="6"/>
        <v>1.0032975985876742</v>
      </c>
      <c r="AJ20" s="116">
        <v>2</v>
      </c>
      <c r="AK20" s="116">
        <v>3</v>
      </c>
      <c r="AL20" s="122">
        <v>6.2</v>
      </c>
      <c r="AM20" s="116">
        <v>23</v>
      </c>
      <c r="AN20" s="122">
        <v>6.2</v>
      </c>
      <c r="AO20" s="122">
        <v>5.0999999999999996</v>
      </c>
      <c r="AP20" s="79">
        <v>0.2</v>
      </c>
      <c r="AQ20" s="79">
        <v>0.27</v>
      </c>
      <c r="AR20" s="132">
        <f>SUM(C20:E20)</f>
        <v>1749</v>
      </c>
      <c r="AS20" s="134">
        <f>C20/AR20</f>
        <v>0.27272727272727271</v>
      </c>
      <c r="AT20" s="134">
        <f>D20/AR20</f>
        <v>0.48313321898227557</v>
      </c>
      <c r="AU20" s="134">
        <f>E20/AR20</f>
        <v>0.2441395082904517</v>
      </c>
      <c r="AV20" s="151">
        <f>IF(AND(F20&lt;&gt;"",Z20&lt;&gt;""),AB20/(F20/2/Z20),"")</f>
        <v>7.8160919540229884E-2</v>
      </c>
      <c r="AW20" s="151">
        <f>IF(AND(F20&lt;&gt;"",AK20&lt;&gt;""),AM20/(F20/2/AK20),"")</f>
        <v>7.9310344827586213E-2</v>
      </c>
      <c r="AX20" s="41">
        <f>IF(AND(AQ20&lt;&gt;"",1-(AQ20/O20)&gt;0),1-(AQ20/O20),"")</f>
        <v>0.73425196850393704</v>
      </c>
      <c r="AY20" s="41">
        <f>IF(AND(AF20&lt;&gt;"",1-(AF20/O20)&gt;0),1-(AF20/O20),"")</f>
        <v>0.91141732283464572</v>
      </c>
      <c r="AZ20" s="136" t="str">
        <f>IF(Q20="","",IF(Q20&lt;2.5,"Alc. Bruta &lt; 2,5 mg/L",IF(Q20&lt;5,"2,5 ≤ Alc. Bruta &lt; 5,0 mg/L",IF(Q20&lt;7.5,"5,0 ≤ Alc. Bruta &lt; 7,5 mg/L",IF(Q20&lt;10,"7,5 ≤ Alc. Bruta &lt; 10,0 mg/L",IF(Q20&lt;15,"10,0 ≤ Alca. Bruta &lt; 15,0 mg/L","Alc. Bruta &gt; 15 mg/L"))))))</f>
        <v>7,5 ≤ Alc. Bruta &lt; 10,0 mg/L</v>
      </c>
      <c r="BA20" s="136" t="str">
        <f>IF(P20="","",IF(P20&lt;5,"Cor &lt;5 uC",IF(P20&lt;10,"5 ≤ Cor &lt; 10 uC",IF(P20&lt;15,"10 ≤ Cor &lt;15 uC",IF(P20&lt;30,"15 ≤ Cor &lt; 30 uC",IF(P20&lt;50,"30 ≤ Cor &lt; 50 uC","Cor &gt; 50 uC"))))))</f>
        <v>5 ≤ Cor &lt; 10 uC</v>
      </c>
      <c r="BB20" s="137" t="str">
        <f>IF(O20="","",IF(O20&lt;2.5,"Turbidez &lt; 2,5 uT",IF(O20&lt;5,"2,5 ≤ Turb &lt; 5,0 uT",IF(O20&lt;7.5,"5,0 ≤ Turb &lt; 7,5 uT",IF(O20&lt;10,"7,5 ≤ Turb &lt; 10,0 uT",IF(O20&lt;15,"10,0 ≤ Turb &lt; 15,0 uT","Turb &gt; 15 uT"))))))</f>
        <v>Turbidez &lt; 2,5 uT</v>
      </c>
      <c r="BC20" s="138" t="str">
        <f>IF(AND(C20&gt;D20,D20&gt;E20),"TOR &gt; SM &gt; BNN",IF(AND(C20&gt;E20,E20&gt;D20),"TOR &gt; BNN &gt; SM",IF(AND(D20&gt;C20,C20&gt;E20),"SM &gt; TOR &gt; BNN",IF(AND(D20&gt;E20,E20&gt;C20),"SM &gt; BNN &gt; TOR",IF(AND(C20=D20,D20=E20),"TOR = SM = BNN","Comb. diferentes")))))</f>
        <v>SM &gt; TOR &gt; BNN</v>
      </c>
      <c r="BD20" s="137" t="str">
        <f>IF(OR(AE20="",AQ20="-"),"",IF(AE20&lt;=0.25,"Tipo 1 (≤0,25) uT",IF(AE20&lt;=0.5,"Tipo 2 (0,25-0,50) uT",IF(AE20&lt;=0.75,"Tipo 3 (0,50-0,75) uT","Tipo 4 (&gt;0,75) uT"))))</f>
        <v>Tipo 1 (≤0,25) uT</v>
      </c>
      <c r="BE20" s="137" t="str">
        <f t="shared" si="0"/>
        <v>Tipo 1 (≤0,25) uT</v>
      </c>
      <c r="BF20" s="137" t="str">
        <f>IF(OR(AF20="",AQ20="-"),"",IF(AF20&lt;=0.25,"Tipo 1 (≤0,25) uT",IF(AF20&lt;=0.5,"Tipo 2 (0,25-0,50) uT",IF(AF20&lt;=0.75,"Tipo 3 (0,50-0,75) uT","Tipo 4 (&gt;0,75) uT"))))</f>
        <v>Tipo 1 (≤0,25) uT</v>
      </c>
      <c r="BG20" s="137" t="str">
        <f t="shared" si="1"/>
        <v>Tipo 2 (0,25-0,50) uT</v>
      </c>
      <c r="BH20" s="137" t="str">
        <f>IF(OR(R20="",R20="-"),"",IF(R20&lt;=0.25,"Tipo 1 (≤0,25) uT",IF(R20&lt;=0.5,"Tipo 2 (0,25-0,50) uT",IF(R20&lt;=0.75,"Tipo 3 (0,50-0,75) uT","Tipo 4 (&gt;0,75) uT"))))</f>
        <v>Tipo 1 (≤0,25) uT</v>
      </c>
    </row>
    <row r="21" spans="1:60" x14ac:dyDescent="0.3">
      <c r="A21" s="74">
        <v>46261</v>
      </c>
      <c r="B21" s="139">
        <v>0.47916666666666669</v>
      </c>
      <c r="C21" s="116">
        <v>480</v>
      </c>
      <c r="D21" s="116">
        <v>847</v>
      </c>
      <c r="E21" s="116">
        <v>425</v>
      </c>
      <c r="F21" s="116">
        <v>1741</v>
      </c>
      <c r="G21" s="144" t="s">
        <v>100</v>
      </c>
      <c r="H21" s="122">
        <v>10</v>
      </c>
      <c r="I21" s="116">
        <v>-149</v>
      </c>
      <c r="J21" s="10">
        <v>90</v>
      </c>
      <c r="K21" s="116">
        <v>90</v>
      </c>
      <c r="L21" s="116">
        <v>90</v>
      </c>
      <c r="M21" s="122">
        <v>24.9</v>
      </c>
      <c r="N21" s="122">
        <v>6.5</v>
      </c>
      <c r="O21" s="79">
        <v>0.97699999999999998</v>
      </c>
      <c r="P21" s="116">
        <v>7</v>
      </c>
      <c r="Q21" s="122">
        <v>7.6</v>
      </c>
      <c r="R21" s="10">
        <v>8.2000000000000003E-2</v>
      </c>
      <c r="S21" s="79">
        <v>22.36</v>
      </c>
      <c r="T21" s="79">
        <v>0.88</v>
      </c>
      <c r="U21" s="79">
        <v>0.7</v>
      </c>
      <c r="V21" s="85">
        <f t="shared" si="2"/>
        <v>1300.744625</v>
      </c>
      <c r="W21" s="85">
        <f t="shared" si="3"/>
        <v>1372.556302</v>
      </c>
      <c r="X21" s="85">
        <f t="shared" si="4"/>
        <v>1.0552081289592106</v>
      </c>
      <c r="Y21" s="116">
        <v>2</v>
      </c>
      <c r="Z21" s="116">
        <v>4</v>
      </c>
      <c r="AA21" s="122">
        <v>6.5</v>
      </c>
      <c r="AB21" s="116">
        <v>17</v>
      </c>
      <c r="AC21" s="122">
        <v>6.3</v>
      </c>
      <c r="AD21" s="122">
        <v>5.5</v>
      </c>
      <c r="AE21" s="79">
        <v>0.15</v>
      </c>
      <c r="AF21" s="79">
        <v>0.27</v>
      </c>
      <c r="AG21" s="85">
        <f>(O21+0.3*H21+2)*(F21/2/AK21)</f>
        <v>1734.3261666666669</v>
      </c>
      <c r="AH21" s="85">
        <f t="shared" si="5"/>
        <v>1785.9247275999996</v>
      </c>
      <c r="AI21" s="85">
        <f t="shared" si="6"/>
        <v>1.0297513593031373</v>
      </c>
      <c r="AJ21" s="116">
        <v>2</v>
      </c>
      <c r="AK21" s="116">
        <v>3</v>
      </c>
      <c r="AL21" s="122">
        <v>6.3</v>
      </c>
      <c r="AM21" s="116">
        <v>23</v>
      </c>
      <c r="AN21" s="122">
        <v>6.2</v>
      </c>
      <c r="AO21" s="122">
        <v>5.9</v>
      </c>
      <c r="AP21" s="79">
        <v>0.17</v>
      </c>
      <c r="AQ21" s="79">
        <v>0.26</v>
      </c>
      <c r="AR21" s="132">
        <f>SUM(C21:E21)</f>
        <v>1752</v>
      </c>
      <c r="AS21" s="134">
        <f>C21/AR21</f>
        <v>0.27397260273972601</v>
      </c>
      <c r="AT21" s="134">
        <f>D21/AR21</f>
        <v>0.48344748858447489</v>
      </c>
      <c r="AU21" s="134">
        <f>E21/AR21</f>
        <v>0.24257990867579909</v>
      </c>
      <c r="AV21" s="151">
        <f>IF(AND(F21&lt;&gt;"",Z21&lt;&gt;""),AB21/(F21/2/Z21),"")</f>
        <v>7.8116025272831707E-2</v>
      </c>
      <c r="AW21" s="151">
        <f>IF(AND(F21&lt;&gt;"",AK21&lt;&gt;""),AM21/(F21/2/AK21),"")</f>
        <v>7.9264790350373343E-2</v>
      </c>
      <c r="AX21" s="41">
        <f>IF(AND(AQ21&lt;&gt;"",1-(AQ21/O21)&gt;0),1-(AQ21/O21),"")</f>
        <v>0.73387922210849532</v>
      </c>
      <c r="AY21" s="41">
        <f>IF(AND(AF21&lt;&gt;"",1-(AF21/O21)&gt;0),1-(AF21/O21),"")</f>
        <v>0.72364380757420665</v>
      </c>
      <c r="AZ21" s="136" t="str">
        <f>IF(Q21="","",IF(Q21&lt;2.5,"Alc. Bruta &lt; 2,5 mg/L",IF(Q21&lt;5,"2,5 ≤ Alc. Bruta &lt; 5,0 mg/L",IF(Q21&lt;7.5,"5,0 ≤ Alc. Bruta &lt; 7,5 mg/L",IF(Q21&lt;10,"7,5 ≤ Alc. Bruta &lt; 10,0 mg/L",IF(Q21&lt;15,"10,0 ≤ Alca. Bruta &lt; 15,0 mg/L","Alc. Bruta &gt; 15 mg/L"))))))</f>
        <v>7,5 ≤ Alc. Bruta &lt; 10,0 mg/L</v>
      </c>
      <c r="BA21" s="136" t="str">
        <f>IF(P21="","",IF(P21&lt;5,"Cor &lt;5 uC",IF(P21&lt;10,"5 ≤ Cor &lt; 10 uC",IF(P21&lt;15,"10 ≤ Cor &lt;15 uC",IF(P21&lt;30,"15 ≤ Cor &lt; 30 uC",IF(P21&lt;50,"30 ≤ Cor &lt; 50 uC","Cor &gt; 50 uC"))))))</f>
        <v>5 ≤ Cor &lt; 10 uC</v>
      </c>
      <c r="BB21" s="137" t="str">
        <f>IF(O21="","",IF(O21&lt;2.5,"Turbidez &lt; 2,5 uT",IF(O21&lt;5,"2,5 ≤ Turb &lt; 5,0 uT",IF(O21&lt;7.5,"5,0 ≤ Turb &lt; 7,5 uT",IF(O21&lt;10,"7,5 ≤ Turb &lt; 10,0 uT",IF(O21&lt;15,"10,0 ≤ Turb &lt; 15,0 uT","Turb &gt; 15 uT"))))))</f>
        <v>Turbidez &lt; 2,5 uT</v>
      </c>
      <c r="BC21" s="138" t="str">
        <f>IF(AND(C21&gt;D21,D21&gt;E21),"TOR &gt; SM &gt; BNN",IF(AND(C21&gt;E21,E21&gt;D21),"TOR &gt; BNN &gt; SM",IF(AND(D21&gt;C21,C21&gt;E21),"SM &gt; TOR &gt; BNN",IF(AND(D21&gt;E21,E21&gt;C21),"SM &gt; BNN &gt; TOR",IF(AND(C21=D21,D21=E21),"TOR = SM = BNN","Comb. diferentes")))))</f>
        <v>SM &gt; TOR &gt; BNN</v>
      </c>
      <c r="BD21" s="137" t="str">
        <f>IF(OR(AE21="",AQ21="-"),"",IF(AE21&lt;=0.25,"Tipo 1 (≤0,25) uT",IF(AE21&lt;=0.5,"Tipo 2 (0,25-0,50) uT",IF(AE21&lt;=0.75,"Tipo 3 (0,50-0,75) uT","Tipo 4 (&gt;0,75) uT"))))</f>
        <v>Tipo 1 (≤0,25) uT</v>
      </c>
      <c r="BE21" s="137" t="str">
        <f t="shared" si="0"/>
        <v>Tipo 1 (≤0,25) uT</v>
      </c>
      <c r="BF21" s="137" t="str">
        <f>IF(OR(AF21="",AQ21="-"),"",IF(AF21&lt;=0.25,"Tipo 1 (≤0,25) uT",IF(AF21&lt;=0.5,"Tipo 2 (0,25-0,50) uT",IF(AF21&lt;=0.75,"Tipo 3 (0,50-0,75) uT","Tipo 4 (&gt;0,75) uT"))))</f>
        <v>Tipo 2 (0,25-0,50) uT</v>
      </c>
      <c r="BG21" s="137" t="str">
        <f t="shared" si="1"/>
        <v>Tipo 2 (0,25-0,50) uT</v>
      </c>
      <c r="BH21" s="137" t="str">
        <f>IF(OR(R21="",R21="-"),"",IF(R21&lt;=0.25,"Tipo 1 (≤0,25) uT",IF(R21&lt;=0.5,"Tipo 2 (0,25-0,50) uT",IF(R21&lt;=0.75,"Tipo 3 (0,50-0,75) uT","Tipo 4 (&gt;0,75) uT"))))</f>
        <v>Tipo 1 (≤0,25) uT</v>
      </c>
    </row>
    <row r="22" spans="1:60" x14ac:dyDescent="0.3">
      <c r="A22" s="74">
        <v>46261</v>
      </c>
      <c r="B22" s="139">
        <v>0.64583333333333337</v>
      </c>
      <c r="C22" s="116">
        <v>387</v>
      </c>
      <c r="D22" s="116">
        <v>1650</v>
      </c>
      <c r="E22" s="116">
        <v>200</v>
      </c>
      <c r="F22" s="116">
        <v>2264</v>
      </c>
      <c r="G22" s="144" t="s">
        <v>100</v>
      </c>
      <c r="H22" s="122">
        <v>10</v>
      </c>
      <c r="I22" s="116">
        <v>-153</v>
      </c>
      <c r="J22" s="10">
        <v>90</v>
      </c>
      <c r="K22" s="116">
        <v>90</v>
      </c>
      <c r="L22" s="116">
        <v>90</v>
      </c>
      <c r="M22" s="122">
        <v>26.1</v>
      </c>
      <c r="N22" s="122">
        <v>6.5</v>
      </c>
      <c r="O22" s="79">
        <v>1.26</v>
      </c>
      <c r="P22" s="116">
        <v>6</v>
      </c>
      <c r="Q22" s="122">
        <v>6.3</v>
      </c>
      <c r="R22" s="10">
        <v>7.2999999999999995E-2</v>
      </c>
      <c r="S22" s="79">
        <v>22.36</v>
      </c>
      <c r="T22" s="79">
        <v>0.88</v>
      </c>
      <c r="U22" s="79">
        <v>0.7</v>
      </c>
      <c r="V22" s="85">
        <f t="shared" si="2"/>
        <v>1771.58</v>
      </c>
      <c r="W22" s="85">
        <f t="shared" si="3"/>
        <v>1372.556302</v>
      </c>
      <c r="X22" s="85">
        <f t="shared" si="4"/>
        <v>0.77476394066313692</v>
      </c>
      <c r="Y22" s="116">
        <v>3</v>
      </c>
      <c r="Z22" s="116">
        <v>4</v>
      </c>
      <c r="AA22" s="122">
        <v>6.5</v>
      </c>
      <c r="AB22" s="116">
        <v>17</v>
      </c>
      <c r="AC22" s="122">
        <v>5.9</v>
      </c>
      <c r="AD22" s="122">
        <v>3.2</v>
      </c>
      <c r="AE22" s="79">
        <v>0.16</v>
      </c>
      <c r="AF22" s="79">
        <v>0.13</v>
      </c>
      <c r="AG22" s="85">
        <f>(O22+0.3*H22+2)*(F22/2/AK22)</f>
        <v>1771.58</v>
      </c>
      <c r="AH22" s="85">
        <f t="shared" si="5"/>
        <v>1785.9247275999996</v>
      </c>
      <c r="AI22" s="85">
        <f t="shared" si="6"/>
        <v>1.0080971379220807</v>
      </c>
      <c r="AJ22" s="116">
        <v>3</v>
      </c>
      <c r="AK22" s="116">
        <v>4</v>
      </c>
      <c r="AL22" s="122">
        <v>6.3</v>
      </c>
      <c r="AM22" s="116">
        <v>23</v>
      </c>
      <c r="AN22" s="122">
        <v>6.2</v>
      </c>
      <c r="AO22" s="122">
        <v>3.6</v>
      </c>
      <c r="AP22" s="79">
        <v>0.17</v>
      </c>
      <c r="AQ22" s="79">
        <v>0.19</v>
      </c>
      <c r="AR22" s="132">
        <f>SUM(C22:E22)</f>
        <v>2237</v>
      </c>
      <c r="AS22" s="134">
        <f>C22/AR22</f>
        <v>0.17299955297273134</v>
      </c>
      <c r="AT22" s="134">
        <f>D22/AR22</f>
        <v>0.73759499329459099</v>
      </c>
      <c r="AU22" s="134">
        <f>E22/AR22</f>
        <v>8.9405453732677692E-2</v>
      </c>
      <c r="AV22" s="151">
        <f>IF(AND(F22&lt;&gt;"",Z22&lt;&gt;""),AB22/(F22/2/Z22),"")</f>
        <v>6.0070671378091869E-2</v>
      </c>
      <c r="AW22" s="151">
        <f>IF(AND(F22&lt;&gt;"",AK22&lt;&gt;""),AM22/(F22/2/AK22),"")</f>
        <v>8.1272084805653705E-2</v>
      </c>
      <c r="AX22" s="41">
        <f>IF(AND(AQ22&lt;&gt;"",1-(AQ22/O22)&gt;0),1-(AQ22/O22),"")</f>
        <v>0.84920634920634919</v>
      </c>
      <c r="AY22" s="41">
        <f>IF(AND(AF22&lt;&gt;"",1-(AF22/O22)&gt;0),1-(AF22/O22),"")</f>
        <v>0.89682539682539686</v>
      </c>
      <c r="AZ22" s="136" t="str">
        <f>IF(Q22="","",IF(Q22&lt;2.5,"Alc. Bruta &lt; 2,5 mg/L",IF(Q22&lt;5,"2,5 ≤ Alc. Bruta &lt; 5,0 mg/L",IF(Q22&lt;7.5,"5,0 ≤ Alc. Bruta &lt; 7,5 mg/L",IF(Q22&lt;10,"7,5 ≤ Alc. Bruta &lt; 10,0 mg/L",IF(Q22&lt;15,"10,0 ≤ Alca. Bruta &lt; 15,0 mg/L","Alc. Bruta &gt; 15 mg/L"))))))</f>
        <v>5,0 ≤ Alc. Bruta &lt; 7,5 mg/L</v>
      </c>
      <c r="BA22" s="136" t="str">
        <f>IF(P22="","",IF(P22&lt;5,"Cor &lt;5 uC",IF(P22&lt;10,"5 ≤ Cor &lt; 10 uC",IF(P22&lt;15,"10 ≤ Cor &lt;15 uC",IF(P22&lt;30,"15 ≤ Cor &lt; 30 uC",IF(P22&lt;50,"30 ≤ Cor &lt; 50 uC","Cor &gt; 50 uC"))))))</f>
        <v>5 ≤ Cor &lt; 10 uC</v>
      </c>
      <c r="BB22" s="137" t="str">
        <f>IF(O22="","",IF(O22&lt;2.5,"Turbidez &lt; 2,5 uT",IF(O22&lt;5,"2,5 ≤ Turb &lt; 5,0 uT",IF(O22&lt;7.5,"5,0 ≤ Turb &lt; 7,5 uT",IF(O22&lt;10,"7,5 ≤ Turb &lt; 10,0 uT",IF(O22&lt;15,"10,0 ≤ Turb &lt; 15,0 uT","Turb &gt; 15 uT"))))))</f>
        <v>Turbidez &lt; 2,5 uT</v>
      </c>
      <c r="BC22" s="138" t="str">
        <f>IF(AND(C22&gt;D22,D22&gt;E22),"TOR &gt; SM &gt; BNN",IF(AND(C22&gt;E22,E22&gt;D22),"TOR &gt; BNN &gt; SM",IF(AND(D22&gt;C22,C22&gt;E22),"SM &gt; TOR &gt; BNN",IF(AND(D22&gt;E22,E22&gt;C22),"SM &gt; BNN &gt; TOR",IF(AND(C22=D22,D22=E22),"TOR = SM = BNN","Comb. diferentes")))))</f>
        <v>SM &gt; TOR &gt; BNN</v>
      </c>
      <c r="BD22" s="137" t="str">
        <f>IF(OR(AE22="",AQ22="-"),"",IF(AE22&lt;=0.25,"Tipo 1 (≤0,25) uT",IF(AE22&lt;=0.5,"Tipo 2 (0,25-0,50) uT",IF(AE22&lt;=0.75,"Tipo 3 (0,50-0,75) uT","Tipo 4 (&gt;0,75) uT"))))</f>
        <v>Tipo 1 (≤0,25) uT</v>
      </c>
      <c r="BE22" s="137" t="str">
        <f t="shared" si="0"/>
        <v>Tipo 1 (≤0,25) uT</v>
      </c>
      <c r="BF22" s="137" t="str">
        <f>IF(OR(AF22="",AQ22="-"),"",IF(AF22&lt;=0.25,"Tipo 1 (≤0,25) uT",IF(AF22&lt;=0.5,"Tipo 2 (0,25-0,50) uT",IF(AF22&lt;=0.75,"Tipo 3 (0,50-0,75) uT","Tipo 4 (&gt;0,75) uT"))))</f>
        <v>Tipo 1 (≤0,25) uT</v>
      </c>
      <c r="BG22" s="137" t="str">
        <f t="shared" si="1"/>
        <v>Tipo 1 (≤0,25) uT</v>
      </c>
      <c r="BH22" s="137" t="str">
        <f>IF(OR(R22="",R22="-"),"",IF(R22&lt;=0.25,"Tipo 1 (≤0,25) uT",IF(R22&lt;=0.5,"Tipo 2 (0,25-0,50) uT",IF(R22&lt;=0.75,"Tipo 3 (0,50-0,75) uT","Tipo 4 (&gt;0,75) uT"))))</f>
        <v>Tipo 1 (≤0,25) uT</v>
      </c>
    </row>
    <row r="23" spans="1:60" x14ac:dyDescent="0.3">
      <c r="A23" s="74">
        <v>46261</v>
      </c>
      <c r="B23" s="139">
        <v>0.72916666666666663</v>
      </c>
      <c r="C23" s="116">
        <v>386</v>
      </c>
      <c r="D23" s="116">
        <v>1650</v>
      </c>
      <c r="E23" s="116">
        <v>199</v>
      </c>
      <c r="F23" s="116">
        <v>2242</v>
      </c>
      <c r="G23" s="144" t="s">
        <v>100</v>
      </c>
      <c r="H23" s="122">
        <v>10</v>
      </c>
      <c r="I23" s="116">
        <v>-152</v>
      </c>
      <c r="J23" s="10">
        <v>90</v>
      </c>
      <c r="K23" s="116">
        <v>90</v>
      </c>
      <c r="L23" s="116">
        <v>90</v>
      </c>
      <c r="M23" s="122">
        <v>26.3</v>
      </c>
      <c r="N23" s="122">
        <v>6.5</v>
      </c>
      <c r="O23" s="79">
        <v>0.98599999999999999</v>
      </c>
      <c r="P23" s="116">
        <v>6</v>
      </c>
      <c r="Q23" s="122">
        <v>5.8</v>
      </c>
      <c r="R23" s="10">
        <v>7.2999999999999995E-2</v>
      </c>
      <c r="S23" s="79">
        <v>22.36</v>
      </c>
      <c r="T23" s="79">
        <v>0.88</v>
      </c>
      <c r="U23" s="79">
        <v>0.7</v>
      </c>
      <c r="V23" s="85">
        <f t="shared" si="2"/>
        <v>1677.5764999999999</v>
      </c>
      <c r="W23" s="85">
        <f t="shared" si="3"/>
        <v>1372.556302</v>
      </c>
      <c r="X23" s="85">
        <f t="shared" si="4"/>
        <v>0.81817806937567383</v>
      </c>
      <c r="Y23" s="116">
        <v>4</v>
      </c>
      <c r="Z23" s="116">
        <v>4</v>
      </c>
      <c r="AA23" s="122">
        <v>6.5</v>
      </c>
      <c r="AB23" s="116">
        <v>17</v>
      </c>
      <c r="AC23" s="122">
        <v>5.9</v>
      </c>
      <c r="AD23" s="122">
        <v>3.8</v>
      </c>
      <c r="AE23" s="79">
        <v>0.08</v>
      </c>
      <c r="AF23" s="79">
        <v>0.13</v>
      </c>
      <c r="AG23" s="85">
        <f>(O23+0.3*H23+2)*(F23/2/AK23)</f>
        <v>1677.5764999999999</v>
      </c>
      <c r="AH23" s="85">
        <f t="shared" si="5"/>
        <v>1785.9247275999996</v>
      </c>
      <c r="AI23" s="85">
        <f t="shared" si="6"/>
        <v>1.0645861620021499</v>
      </c>
      <c r="AJ23" s="116">
        <v>4</v>
      </c>
      <c r="AK23" s="116">
        <v>4</v>
      </c>
      <c r="AL23" s="122">
        <v>6.3</v>
      </c>
      <c r="AM23" s="116">
        <v>23</v>
      </c>
      <c r="AN23" s="122">
        <v>6.1</v>
      </c>
      <c r="AO23" s="122">
        <v>3.4</v>
      </c>
      <c r="AP23" s="79">
        <v>0.08</v>
      </c>
      <c r="AQ23" s="79">
        <v>0.17</v>
      </c>
      <c r="AR23" s="132">
        <f>SUM(C23:E23)</f>
        <v>2235</v>
      </c>
      <c r="AS23" s="134">
        <f>C23/AR23</f>
        <v>0.1727069351230425</v>
      </c>
      <c r="AT23" s="134">
        <f>D23/AR23</f>
        <v>0.73825503355704702</v>
      </c>
      <c r="AU23" s="134">
        <f>E23/AR23</f>
        <v>8.9038031319910518E-2</v>
      </c>
      <c r="AV23" s="151">
        <f>IF(AND(F23&lt;&gt;"",Z23&lt;&gt;""),AB23/(F23/2/Z23),"")</f>
        <v>6.0660124888492414E-2</v>
      </c>
      <c r="AW23" s="151">
        <f>IF(AND(F23&lt;&gt;"",AK23&lt;&gt;""),AM23/(F23/2/AK23),"")</f>
        <v>8.2069580731489747E-2</v>
      </c>
      <c r="AX23" s="41">
        <f>IF(AND(AQ23&lt;&gt;"",1-(AQ23/O23)&gt;0),1-(AQ23/O23),"")</f>
        <v>0.82758620689655171</v>
      </c>
      <c r="AY23" s="41">
        <f>IF(AND(AF23&lt;&gt;"",1-(AF23/O23)&gt;0),1-(AF23/O23),"")</f>
        <v>0.86815415821501007</v>
      </c>
      <c r="AZ23" s="136" t="str">
        <f>IF(Q23="","",IF(Q23&lt;2.5,"Alc. Bruta &lt; 2,5 mg/L",IF(Q23&lt;5,"2,5 ≤ Alc. Bruta &lt; 5,0 mg/L",IF(Q23&lt;7.5,"5,0 ≤ Alc. Bruta &lt; 7,5 mg/L",IF(Q23&lt;10,"7,5 ≤ Alc. Bruta &lt; 10,0 mg/L",IF(Q23&lt;15,"10,0 ≤ Alca. Bruta &lt; 15,0 mg/L","Alc. Bruta &gt; 15 mg/L"))))))</f>
        <v>5,0 ≤ Alc. Bruta &lt; 7,5 mg/L</v>
      </c>
      <c r="BA23" s="136" t="str">
        <f>IF(P23="","",IF(P23&lt;5,"Cor &lt;5 uC",IF(P23&lt;10,"5 ≤ Cor &lt; 10 uC",IF(P23&lt;15,"10 ≤ Cor &lt;15 uC",IF(P23&lt;30,"15 ≤ Cor &lt; 30 uC",IF(P23&lt;50,"30 ≤ Cor &lt; 50 uC","Cor &gt; 50 uC"))))))</f>
        <v>5 ≤ Cor &lt; 10 uC</v>
      </c>
      <c r="BB23" s="137" t="str">
        <f>IF(O23="","",IF(O23&lt;2.5,"Turbidez &lt; 2,5 uT",IF(O23&lt;5,"2,5 ≤ Turb &lt; 5,0 uT",IF(O23&lt;7.5,"5,0 ≤ Turb &lt; 7,5 uT",IF(O23&lt;10,"7,5 ≤ Turb &lt; 10,0 uT",IF(O23&lt;15,"10,0 ≤ Turb &lt; 15,0 uT","Turb &gt; 15 uT"))))))</f>
        <v>Turbidez &lt; 2,5 uT</v>
      </c>
      <c r="BC23" s="138" t="str">
        <f>IF(AND(C23&gt;D23,D23&gt;E23),"TOR &gt; SM &gt; BNN",IF(AND(C23&gt;E23,E23&gt;D23),"TOR &gt; BNN &gt; SM",IF(AND(D23&gt;C23,C23&gt;E23),"SM &gt; TOR &gt; BNN",IF(AND(D23&gt;E23,E23&gt;C23),"SM &gt; BNN &gt; TOR",IF(AND(C23=D23,D23=E23),"TOR = SM = BNN","Comb. diferentes")))))</f>
        <v>SM &gt; TOR &gt; BNN</v>
      </c>
      <c r="BD23" s="137" t="str">
        <f>IF(OR(AE23="",AQ23="-"),"",IF(AE23&lt;=0.25,"Tipo 1 (≤0,25) uT",IF(AE23&lt;=0.5,"Tipo 2 (0,25-0,50) uT",IF(AE23&lt;=0.75,"Tipo 3 (0,50-0,75) uT","Tipo 4 (&gt;0,75) uT"))))</f>
        <v>Tipo 1 (≤0,25) uT</v>
      </c>
      <c r="BE23" s="137" t="str">
        <f t="shared" si="0"/>
        <v>Tipo 1 (≤0,25) uT</v>
      </c>
      <c r="BF23" s="137" t="str">
        <f>IF(OR(AF23="",AQ23="-"),"",IF(AF23&lt;=0.25,"Tipo 1 (≤0,25) uT",IF(AF23&lt;=0.5,"Tipo 2 (0,25-0,50) uT",IF(AF23&lt;=0.75,"Tipo 3 (0,50-0,75) uT","Tipo 4 (&gt;0,75) uT"))))</f>
        <v>Tipo 1 (≤0,25) uT</v>
      </c>
      <c r="BG23" s="137" t="str">
        <f t="shared" si="1"/>
        <v>Tipo 1 (≤0,25) uT</v>
      </c>
      <c r="BH23" s="137" t="str">
        <f>IF(OR(R23="",R23="-"),"",IF(R23&lt;=0.25,"Tipo 1 (≤0,25) uT",IF(R23&lt;=0.5,"Tipo 2 (0,25-0,50) uT",IF(R23&lt;=0.75,"Tipo 3 (0,50-0,75) uT","Tipo 4 (&gt;0,75) uT"))))</f>
        <v>Tipo 1 (≤0,25) uT</v>
      </c>
    </row>
    <row r="24" spans="1:60" x14ac:dyDescent="0.3">
      <c r="A24" s="74">
        <v>46261</v>
      </c>
      <c r="B24" s="139">
        <v>0.8125</v>
      </c>
      <c r="C24" s="116">
        <v>379</v>
      </c>
      <c r="D24" s="116">
        <v>1668</v>
      </c>
      <c r="E24" s="116">
        <v>199</v>
      </c>
      <c r="F24" s="116">
        <v>2224</v>
      </c>
      <c r="G24" s="144" t="s">
        <v>100</v>
      </c>
      <c r="H24" s="122">
        <v>10</v>
      </c>
      <c r="I24" s="116">
        <v>-152</v>
      </c>
      <c r="J24" s="10">
        <v>90</v>
      </c>
      <c r="K24" s="116">
        <v>90</v>
      </c>
      <c r="L24" s="116">
        <v>90</v>
      </c>
      <c r="M24" s="122">
        <v>25</v>
      </c>
      <c r="N24" s="122">
        <v>6.4</v>
      </c>
      <c r="O24" s="79">
        <v>1.21</v>
      </c>
      <c r="P24" s="116">
        <v>11</v>
      </c>
      <c r="Q24" s="122">
        <v>8.1999999999999993</v>
      </c>
      <c r="R24" s="10">
        <v>7.0000000000000007E-2</v>
      </c>
      <c r="S24" s="79">
        <v>22.36</v>
      </c>
      <c r="T24" s="79">
        <v>0.88</v>
      </c>
      <c r="U24" s="79">
        <v>0.7</v>
      </c>
      <c r="V24" s="85">
        <f t="shared" si="2"/>
        <v>1726.3799999999999</v>
      </c>
      <c r="W24" s="85">
        <f t="shared" si="3"/>
        <v>1372.556302</v>
      </c>
      <c r="X24" s="85">
        <f t="shared" si="4"/>
        <v>0.79504877373463556</v>
      </c>
      <c r="Y24" s="116">
        <v>4</v>
      </c>
      <c r="Z24" s="116">
        <v>4</v>
      </c>
      <c r="AA24" s="122">
        <v>6.5</v>
      </c>
      <c r="AB24" s="116">
        <v>17</v>
      </c>
      <c r="AC24" s="122">
        <v>6</v>
      </c>
      <c r="AD24" s="122">
        <v>5.7</v>
      </c>
      <c r="AE24" s="79">
        <v>0.15</v>
      </c>
      <c r="AF24" s="79">
        <v>0.13</v>
      </c>
      <c r="AG24" s="85">
        <f>(O24+0.3*H24+2)*(F24/2/AK24)</f>
        <v>1726.3799999999999</v>
      </c>
      <c r="AH24" s="85">
        <f t="shared" si="5"/>
        <v>1750.3931224</v>
      </c>
      <c r="AI24" s="85">
        <f t="shared" si="6"/>
        <v>1.0139095230482282</v>
      </c>
      <c r="AJ24" s="116">
        <v>4</v>
      </c>
      <c r="AK24" s="116">
        <v>4</v>
      </c>
      <c r="AL24" s="122">
        <v>6.2</v>
      </c>
      <c r="AM24" s="116">
        <v>23</v>
      </c>
      <c r="AN24" s="122">
        <v>6</v>
      </c>
      <c r="AO24" s="122">
        <v>8.1</v>
      </c>
      <c r="AP24" s="79">
        <v>0.1</v>
      </c>
      <c r="AQ24" s="79">
        <v>0.18</v>
      </c>
      <c r="AR24" s="132">
        <f>SUM(C24:E24)</f>
        <v>2246</v>
      </c>
      <c r="AS24" s="134">
        <f>C24/AR24</f>
        <v>0.16874443455031166</v>
      </c>
      <c r="AT24" s="134">
        <f>D24/AR24</f>
        <v>0.74265360641139799</v>
      </c>
      <c r="AU24" s="134">
        <f>E24/AR24</f>
        <v>8.8601959038290296E-2</v>
      </c>
      <c r="AV24" s="151">
        <f>IF(AND(F24&lt;&gt;"",Z24&lt;&gt;""),AB24/(F24/2/Z24),"")</f>
        <v>6.1151079136690649E-2</v>
      </c>
      <c r="AW24" s="151">
        <f>IF(AND(F24&lt;&gt;"",AK24&lt;&gt;""),AM24/(F24/2/AK24),"")</f>
        <v>8.2733812949640287E-2</v>
      </c>
      <c r="AX24" s="41">
        <f>IF(AND(AQ24&lt;&gt;"",1-(AQ24/O24)&gt;0),1-(AQ24/O24),"")</f>
        <v>0.85123966942148765</v>
      </c>
      <c r="AY24" s="41">
        <f>IF(AND(AF24&lt;&gt;"",1-(AF24/O24)&gt;0),1-(AF24/O24),"")</f>
        <v>0.8925619834710744</v>
      </c>
      <c r="AZ24" s="136" t="str">
        <f>IF(Q24="","",IF(Q24&lt;2.5,"Alc. Bruta &lt; 2,5 mg/L",IF(Q24&lt;5,"2,5 ≤ Alc. Bruta &lt; 5,0 mg/L",IF(Q24&lt;7.5,"5,0 ≤ Alc. Bruta &lt; 7,5 mg/L",IF(Q24&lt;10,"7,5 ≤ Alc. Bruta &lt; 10,0 mg/L",IF(Q24&lt;15,"10,0 ≤ Alca. Bruta &lt; 15,0 mg/L","Alc. Bruta &gt; 15 mg/L"))))))</f>
        <v>7,5 ≤ Alc. Bruta &lt; 10,0 mg/L</v>
      </c>
      <c r="BA24" s="136" t="str">
        <f>IF(P24="","",IF(P24&lt;5,"Cor &lt;5 uC",IF(P24&lt;10,"5 ≤ Cor &lt; 10 uC",IF(P24&lt;15,"10 ≤ Cor &lt;15 uC",IF(P24&lt;30,"15 ≤ Cor &lt; 30 uC",IF(P24&lt;50,"30 ≤ Cor &lt; 50 uC","Cor &gt; 50 uC"))))))</f>
        <v>10 ≤ Cor &lt;15 uC</v>
      </c>
      <c r="BB24" s="137" t="str">
        <f>IF(O24="","",IF(O24&lt;2.5,"Turbidez &lt; 2,5 uT",IF(O24&lt;5,"2,5 ≤ Turb &lt; 5,0 uT",IF(O24&lt;7.5,"5,0 ≤ Turb &lt; 7,5 uT",IF(O24&lt;10,"7,5 ≤ Turb &lt; 10,0 uT",IF(O24&lt;15,"10,0 ≤ Turb &lt; 15,0 uT","Turb &gt; 15 uT"))))))</f>
        <v>Turbidez &lt; 2,5 uT</v>
      </c>
      <c r="BC24" s="138" t="str">
        <f>IF(AND(C24&gt;D24,D24&gt;E24),"TOR &gt; SM &gt; BNN",IF(AND(C24&gt;E24,E24&gt;D24),"TOR &gt; BNN &gt; SM",IF(AND(D24&gt;C24,C24&gt;E24),"SM &gt; TOR &gt; BNN",IF(AND(D24&gt;E24,E24&gt;C24),"SM &gt; BNN &gt; TOR",IF(AND(C24=D24,D24=E24),"TOR = SM = BNN","Comb. diferentes")))))</f>
        <v>SM &gt; TOR &gt; BNN</v>
      </c>
      <c r="BD24" s="137" t="str">
        <f>IF(OR(AE24="",AQ24="-"),"",IF(AE24&lt;=0.25,"Tipo 1 (≤0,25) uT",IF(AE24&lt;=0.5,"Tipo 2 (0,25-0,50) uT",IF(AE24&lt;=0.75,"Tipo 3 (0,50-0,75) uT","Tipo 4 (&gt;0,75) uT"))))</f>
        <v>Tipo 1 (≤0,25) uT</v>
      </c>
      <c r="BE24" s="137" t="str">
        <f t="shared" si="0"/>
        <v>Tipo 1 (≤0,25) uT</v>
      </c>
      <c r="BF24" s="137" t="str">
        <f>IF(OR(AF24="",AQ24="-"),"",IF(AF24&lt;=0.25,"Tipo 1 (≤0,25) uT",IF(AF24&lt;=0.5,"Tipo 2 (0,25-0,50) uT",IF(AF24&lt;=0.75,"Tipo 3 (0,50-0,75) uT","Tipo 4 (&gt;0,75) uT"))))</f>
        <v>Tipo 1 (≤0,25) uT</v>
      </c>
      <c r="BG24" s="137" t="str">
        <f t="shared" si="1"/>
        <v>Tipo 1 (≤0,25) uT</v>
      </c>
      <c r="BH24" s="137" t="str">
        <f>IF(OR(R24="",R24="-"),"",IF(R24&lt;=0.25,"Tipo 1 (≤0,25) uT",IF(R24&lt;=0.5,"Tipo 2 (0,25-0,50) uT",IF(R24&lt;=0.75,"Tipo 3 (0,50-0,75) uT","Tipo 4 (&gt;0,75) uT"))))</f>
        <v>Tipo 1 (≤0,25) uT</v>
      </c>
    </row>
    <row r="25" spans="1:60" x14ac:dyDescent="0.3">
      <c r="A25" s="74">
        <v>46261</v>
      </c>
      <c r="B25" s="139">
        <v>0.89583333333333337</v>
      </c>
      <c r="C25" s="116">
        <v>382</v>
      </c>
      <c r="D25" s="116">
        <v>1648</v>
      </c>
      <c r="E25" s="116">
        <v>200</v>
      </c>
      <c r="F25" s="116">
        <v>2227</v>
      </c>
      <c r="G25" s="144" t="s">
        <v>100</v>
      </c>
      <c r="H25" s="122">
        <v>10</v>
      </c>
      <c r="I25" s="116">
        <v>-151</v>
      </c>
      <c r="J25" s="10">
        <v>90</v>
      </c>
      <c r="K25" s="116">
        <v>90</v>
      </c>
      <c r="L25" s="116">
        <v>90</v>
      </c>
      <c r="M25" s="122">
        <v>25.3</v>
      </c>
      <c r="N25" s="122">
        <v>6.3</v>
      </c>
      <c r="O25" s="79">
        <v>1.21</v>
      </c>
      <c r="P25" s="116">
        <v>10</v>
      </c>
      <c r="Q25" s="122">
        <v>8.6</v>
      </c>
      <c r="R25" s="10">
        <v>7.0000000000000007E-2</v>
      </c>
      <c r="S25" s="79">
        <v>22.36</v>
      </c>
      <c r="T25" s="79">
        <v>0.88</v>
      </c>
      <c r="U25" s="79">
        <v>0.7</v>
      </c>
      <c r="V25" s="85">
        <f t="shared" si="2"/>
        <v>1728.70875</v>
      </c>
      <c r="W25" s="85">
        <f t="shared" si="3"/>
        <v>1372.556302</v>
      </c>
      <c r="X25" s="85">
        <f t="shared" si="4"/>
        <v>0.79397776056840108</v>
      </c>
      <c r="Y25" s="116">
        <v>4</v>
      </c>
      <c r="Z25" s="116">
        <v>4</v>
      </c>
      <c r="AA25" s="122">
        <v>6.5</v>
      </c>
      <c r="AB25" s="116">
        <v>17</v>
      </c>
      <c r="AC25" s="122">
        <v>6</v>
      </c>
      <c r="AD25" s="122">
        <v>5.6</v>
      </c>
      <c r="AE25" s="79">
        <v>0.17</v>
      </c>
      <c r="AF25" s="79">
        <v>0.14000000000000001</v>
      </c>
      <c r="AG25" s="85">
        <f>(O25+0.3*H25+2)*(F25/2/AK25)</f>
        <v>1728.70875</v>
      </c>
      <c r="AH25" s="85">
        <f t="shared" si="5"/>
        <v>1750.3931224</v>
      </c>
      <c r="AI25" s="85">
        <f t="shared" si="6"/>
        <v>1.0125436817509021</v>
      </c>
      <c r="AJ25" s="116">
        <v>4</v>
      </c>
      <c r="AK25" s="116">
        <v>4</v>
      </c>
      <c r="AL25" s="122">
        <v>6.2</v>
      </c>
      <c r="AM25" s="116">
        <v>23</v>
      </c>
      <c r="AN25" s="122">
        <v>5.8</v>
      </c>
      <c r="AO25" s="122">
        <v>5.4</v>
      </c>
      <c r="AP25" s="79">
        <v>0.11</v>
      </c>
      <c r="AQ25" s="79">
        <v>0.19</v>
      </c>
      <c r="AR25" s="132">
        <f>SUM(C25:E25)</f>
        <v>2230</v>
      </c>
      <c r="AS25" s="134">
        <f>C25/AR25</f>
        <v>0.17130044843049327</v>
      </c>
      <c r="AT25" s="134">
        <f>D25/AR25</f>
        <v>0.73901345291479825</v>
      </c>
      <c r="AU25" s="134">
        <f>E25/AR25</f>
        <v>8.9686098654708515E-2</v>
      </c>
      <c r="AV25" s="151">
        <f>IF(AND(F25&lt;&gt;"",Z25&lt;&gt;""),AB25/(F25/2/Z25),"")</f>
        <v>6.1068702290076333E-2</v>
      </c>
      <c r="AW25" s="151">
        <f>IF(AND(F25&lt;&gt;"",AK25&lt;&gt;""),AM25/(F25/2/AK25),"")</f>
        <v>8.262236192186799E-2</v>
      </c>
      <c r="AX25" s="41">
        <f>IF(AND(AQ25&lt;&gt;"",1-(AQ25/O25)&gt;0),1-(AQ25/O25),"")</f>
        <v>0.84297520661157022</v>
      </c>
      <c r="AY25" s="41">
        <f>IF(AND(AF25&lt;&gt;"",1-(AF25/O25)&gt;0),1-(AF25/O25),"")</f>
        <v>0.88429752066115697</v>
      </c>
      <c r="AZ25" s="136" t="str">
        <f>IF(Q25="","",IF(Q25&lt;2.5,"Alc. Bruta &lt; 2,5 mg/L",IF(Q25&lt;5,"2,5 ≤ Alc. Bruta &lt; 5,0 mg/L",IF(Q25&lt;7.5,"5,0 ≤ Alc. Bruta &lt; 7,5 mg/L",IF(Q25&lt;10,"7,5 ≤ Alc. Bruta &lt; 10,0 mg/L",IF(Q25&lt;15,"10,0 ≤ Alca. Bruta &lt; 15,0 mg/L","Alc. Bruta &gt; 15 mg/L"))))))</f>
        <v>7,5 ≤ Alc. Bruta &lt; 10,0 mg/L</v>
      </c>
      <c r="BA25" s="136" t="str">
        <f>IF(P25="","",IF(P25&lt;5,"Cor &lt;5 uC",IF(P25&lt;10,"5 ≤ Cor &lt; 10 uC",IF(P25&lt;15,"10 ≤ Cor &lt;15 uC",IF(P25&lt;30,"15 ≤ Cor &lt; 30 uC",IF(P25&lt;50,"30 ≤ Cor &lt; 50 uC","Cor &gt; 50 uC"))))))</f>
        <v>10 ≤ Cor &lt;15 uC</v>
      </c>
      <c r="BB25" s="137" t="str">
        <f>IF(O25="","",IF(O25&lt;2.5,"Turbidez &lt; 2,5 uT",IF(O25&lt;5,"2,5 ≤ Turb &lt; 5,0 uT",IF(O25&lt;7.5,"5,0 ≤ Turb &lt; 7,5 uT",IF(O25&lt;10,"7,5 ≤ Turb &lt; 10,0 uT",IF(O25&lt;15,"10,0 ≤ Turb &lt; 15,0 uT","Turb &gt; 15 uT"))))))</f>
        <v>Turbidez &lt; 2,5 uT</v>
      </c>
      <c r="BC25" s="138" t="str">
        <f>IF(AND(C25&gt;D25,D25&gt;E25),"TOR &gt; SM &gt; BNN",IF(AND(C25&gt;E25,E25&gt;D25),"TOR &gt; BNN &gt; SM",IF(AND(D25&gt;C25,C25&gt;E25),"SM &gt; TOR &gt; BNN",IF(AND(D25&gt;E25,E25&gt;C25),"SM &gt; BNN &gt; TOR",IF(AND(C25=D25,D25=E25),"TOR = SM = BNN","Comb. diferentes")))))</f>
        <v>SM &gt; TOR &gt; BNN</v>
      </c>
      <c r="BD25" s="137" t="str">
        <f>IF(OR(AE25="",AQ25="-"),"",IF(AE25&lt;=0.25,"Tipo 1 (≤0,25) uT",IF(AE25&lt;=0.5,"Tipo 2 (0,25-0,50) uT",IF(AE25&lt;=0.75,"Tipo 3 (0,50-0,75) uT","Tipo 4 (&gt;0,75) uT"))))</f>
        <v>Tipo 1 (≤0,25) uT</v>
      </c>
      <c r="BE25" s="137" t="str">
        <f t="shared" si="0"/>
        <v>Tipo 1 (≤0,25) uT</v>
      </c>
      <c r="BF25" s="137" t="str">
        <f>IF(OR(AF25="",AQ25="-"),"",IF(AF25&lt;=0.25,"Tipo 1 (≤0,25) uT",IF(AF25&lt;=0.5,"Tipo 2 (0,25-0,50) uT",IF(AF25&lt;=0.75,"Tipo 3 (0,50-0,75) uT","Tipo 4 (&gt;0,75) uT"))))</f>
        <v>Tipo 1 (≤0,25) uT</v>
      </c>
      <c r="BG25" s="137" t="str">
        <f t="shared" si="1"/>
        <v>Tipo 1 (≤0,25) uT</v>
      </c>
      <c r="BH25" s="137" t="str">
        <f>IF(OR(R25="",R25="-"),"",IF(R25&lt;=0.25,"Tipo 1 (≤0,25) uT",IF(R25&lt;=0.5,"Tipo 2 (0,25-0,50) uT",IF(R25&lt;=0.75,"Tipo 3 (0,50-0,75) uT","Tipo 4 (&gt;0,75) uT"))))</f>
        <v>Tipo 1 (≤0,25) uT</v>
      </c>
    </row>
    <row r="26" spans="1:60" x14ac:dyDescent="0.3">
      <c r="A26" s="74">
        <v>46262</v>
      </c>
      <c r="B26" s="139">
        <v>6.25E-2</v>
      </c>
      <c r="C26" s="116">
        <v>384</v>
      </c>
      <c r="D26" s="116">
        <v>1670</v>
      </c>
      <c r="E26" s="116">
        <v>200</v>
      </c>
      <c r="F26" s="116">
        <v>2329</v>
      </c>
      <c r="G26" s="144" t="s">
        <v>100</v>
      </c>
      <c r="H26" s="122">
        <v>10</v>
      </c>
      <c r="I26" s="116">
        <v>-151</v>
      </c>
      <c r="J26" s="10">
        <v>90</v>
      </c>
      <c r="K26" s="116">
        <v>90</v>
      </c>
      <c r="L26" s="116">
        <v>90</v>
      </c>
      <c r="M26" s="122">
        <v>24.7</v>
      </c>
      <c r="N26" s="122">
        <v>6.6</v>
      </c>
      <c r="O26" s="79">
        <v>2.73</v>
      </c>
      <c r="P26" s="116">
        <v>5</v>
      </c>
      <c r="Q26" s="122">
        <v>7.7</v>
      </c>
      <c r="R26" s="10">
        <v>7.0000000000000007E-2</v>
      </c>
      <c r="S26" s="79">
        <v>22.36</v>
      </c>
      <c r="T26" s="79">
        <v>0.88</v>
      </c>
      <c r="U26" s="79">
        <v>0.7</v>
      </c>
      <c r="V26" s="85">
        <f t="shared" si="2"/>
        <v>2250.3962500000002</v>
      </c>
      <c r="W26" s="85">
        <f t="shared" si="3"/>
        <v>1372.556302</v>
      </c>
      <c r="X26" s="85">
        <f t="shared" si="4"/>
        <v>0.60991760984315535</v>
      </c>
      <c r="Y26" s="116">
        <v>3</v>
      </c>
      <c r="Z26" s="116">
        <v>4</v>
      </c>
      <c r="AA26" s="122">
        <v>6.5</v>
      </c>
      <c r="AB26" s="116">
        <v>17</v>
      </c>
      <c r="AC26" s="122">
        <v>6</v>
      </c>
      <c r="AD26" s="122">
        <v>5</v>
      </c>
      <c r="AE26" s="79">
        <v>0.08</v>
      </c>
      <c r="AF26" s="79">
        <v>0.14000000000000001</v>
      </c>
      <c r="AG26" s="85">
        <f>(O26+0.3*H26+2)*(F26/2/AK26)</f>
        <v>2250.3962500000002</v>
      </c>
      <c r="AH26" s="85">
        <f t="shared" si="5"/>
        <v>1750.3931224</v>
      </c>
      <c r="AI26" s="85">
        <f t="shared" si="6"/>
        <v>0.77781551688952555</v>
      </c>
      <c r="AJ26" s="116">
        <v>3</v>
      </c>
      <c r="AK26" s="116">
        <v>4</v>
      </c>
      <c r="AL26" s="122">
        <v>6.2</v>
      </c>
      <c r="AM26" s="116">
        <v>23</v>
      </c>
      <c r="AN26" s="122">
        <v>6.2</v>
      </c>
      <c r="AO26" s="122">
        <v>6.3</v>
      </c>
      <c r="AP26" s="79">
        <v>0.1</v>
      </c>
      <c r="AQ26" s="79">
        <v>0.2</v>
      </c>
      <c r="AR26" s="132">
        <f>SUM(C26:E26)</f>
        <v>2254</v>
      </c>
      <c r="AS26" s="134">
        <f>C26/AR26</f>
        <v>0.17036379769299023</v>
      </c>
      <c r="AT26" s="134">
        <f>D26/AR26</f>
        <v>0.74090505767524406</v>
      </c>
      <c r="AU26" s="134">
        <f>E26/AR26</f>
        <v>8.8731144631765749E-2</v>
      </c>
      <c r="AV26" s="151">
        <f>IF(AND(F26&lt;&gt;"",Z26&lt;&gt;""),AB26/(F26/2/Z26),"")</f>
        <v>5.8394160583941604E-2</v>
      </c>
      <c r="AW26" s="151">
        <f>IF(AND(F26&lt;&gt;"",AK26&lt;&gt;""),AM26/(F26/2/AK26),"")</f>
        <v>7.9003864319450404E-2</v>
      </c>
      <c r="AX26" s="41">
        <f>IF(AND(AQ26&lt;&gt;"",1-(AQ26/O26)&gt;0),1-(AQ26/O26),"")</f>
        <v>0.92673992673992678</v>
      </c>
      <c r="AY26" s="41">
        <f>IF(AND(AF26&lt;&gt;"",1-(AF26/O26)&gt;0),1-(AF26/O26),"")</f>
        <v>0.94871794871794868</v>
      </c>
      <c r="AZ26" s="136" t="str">
        <f>IF(Q26="","",IF(Q26&lt;2.5,"Alc. Bruta &lt; 2,5 mg/L",IF(Q26&lt;5,"2,5 ≤ Alc. Bruta &lt; 5,0 mg/L",IF(Q26&lt;7.5,"5,0 ≤ Alc. Bruta &lt; 7,5 mg/L",IF(Q26&lt;10,"7,5 ≤ Alc. Bruta &lt; 10,0 mg/L",IF(Q26&lt;15,"10,0 ≤ Alca. Bruta &lt; 15,0 mg/L","Alc. Bruta &gt; 15 mg/L"))))))</f>
        <v>7,5 ≤ Alc. Bruta &lt; 10,0 mg/L</v>
      </c>
      <c r="BA26" s="136" t="str">
        <f>IF(P26="","",IF(P26&lt;5,"Cor &lt;5 uC",IF(P26&lt;10,"5 ≤ Cor &lt; 10 uC",IF(P26&lt;15,"10 ≤ Cor &lt;15 uC",IF(P26&lt;30,"15 ≤ Cor &lt; 30 uC",IF(P26&lt;50,"30 ≤ Cor &lt; 50 uC","Cor &gt; 50 uC"))))))</f>
        <v>5 ≤ Cor &lt; 10 uC</v>
      </c>
      <c r="BB26" s="137" t="str">
        <f>IF(O26="","",IF(O26&lt;2.5,"Turbidez &lt; 2,5 uT",IF(O26&lt;5,"2,5 ≤ Turb &lt; 5,0 uT",IF(O26&lt;7.5,"5,0 ≤ Turb &lt; 7,5 uT",IF(O26&lt;10,"7,5 ≤ Turb &lt; 10,0 uT",IF(O26&lt;15,"10,0 ≤ Turb &lt; 15,0 uT","Turb &gt; 15 uT"))))))</f>
        <v>2,5 ≤ Turb &lt; 5,0 uT</v>
      </c>
      <c r="BC26" s="138" t="str">
        <f>IF(AND(C26&gt;D26,D26&gt;E26),"TOR &gt; SM &gt; BNN",IF(AND(C26&gt;E26,E26&gt;D26),"TOR &gt; BNN &gt; SM",IF(AND(D26&gt;C26,C26&gt;E26),"SM &gt; TOR &gt; BNN",IF(AND(D26&gt;E26,E26&gt;C26),"SM &gt; BNN &gt; TOR",IF(AND(C26=D26,D26=E26),"TOR = SM = BNN","Comb. diferentes")))))</f>
        <v>SM &gt; TOR &gt; BNN</v>
      </c>
      <c r="BD26" s="137" t="str">
        <f>IF(OR(AE26="",AQ26="-"),"",IF(AE26&lt;=0.25,"Tipo 1 (≤0,25) uT",IF(AE26&lt;=0.5,"Tipo 2 (0,25-0,50) uT",IF(AE26&lt;=0.75,"Tipo 3 (0,50-0,75) uT","Tipo 4 (&gt;0,75) uT"))))</f>
        <v>Tipo 1 (≤0,25) uT</v>
      </c>
      <c r="BE26" s="137" t="str">
        <f t="shared" si="0"/>
        <v>Tipo 1 (≤0,25) uT</v>
      </c>
      <c r="BF26" s="137" t="str">
        <f>IF(OR(AF26="",AQ26="-"),"",IF(AF26&lt;=0.25,"Tipo 1 (≤0,25) uT",IF(AF26&lt;=0.5,"Tipo 2 (0,25-0,50) uT",IF(AF26&lt;=0.75,"Tipo 3 (0,50-0,75) uT","Tipo 4 (&gt;0,75) uT"))))</f>
        <v>Tipo 1 (≤0,25) uT</v>
      </c>
      <c r="BG26" s="137" t="str">
        <f t="shared" si="1"/>
        <v>Tipo 1 (≤0,25) uT</v>
      </c>
      <c r="BH26" s="137" t="str">
        <f>IF(OR(R26="",R26="-"),"",IF(R26&lt;=0.25,"Tipo 1 (≤0,25) uT",IF(R26&lt;=0.5,"Tipo 2 (0,25-0,50) uT",IF(R26&lt;=0.75,"Tipo 3 (0,50-0,75) uT","Tipo 4 (&gt;0,75) uT"))))</f>
        <v>Tipo 1 (≤0,25) uT</v>
      </c>
    </row>
    <row r="27" spans="1:60" x14ac:dyDescent="0.3">
      <c r="A27" s="74">
        <v>46262</v>
      </c>
      <c r="B27" s="139">
        <v>0.14583333333333334</v>
      </c>
      <c r="C27" s="116">
        <v>381</v>
      </c>
      <c r="D27" s="116">
        <v>1657</v>
      </c>
      <c r="E27" s="116">
        <v>200</v>
      </c>
      <c r="F27" s="116">
        <v>2230</v>
      </c>
      <c r="G27" s="144" t="s">
        <v>100</v>
      </c>
      <c r="H27" s="122">
        <v>10</v>
      </c>
      <c r="I27" s="116">
        <v>-150</v>
      </c>
      <c r="J27" s="10">
        <v>90</v>
      </c>
      <c r="K27" s="116">
        <v>90</v>
      </c>
      <c r="L27" s="116">
        <v>90</v>
      </c>
      <c r="M27" s="122">
        <v>24.9</v>
      </c>
      <c r="N27" s="122">
        <v>6.5</v>
      </c>
      <c r="O27" s="79">
        <v>0.57199999999999995</v>
      </c>
      <c r="P27" s="116">
        <v>5</v>
      </c>
      <c r="Q27" s="122">
        <v>8.3000000000000007</v>
      </c>
      <c r="R27" s="10">
        <v>7.0000000000000007E-2</v>
      </c>
      <c r="S27" s="79">
        <v>22.36</v>
      </c>
      <c r="T27" s="79">
        <v>0.88</v>
      </c>
      <c r="U27" s="79">
        <v>0.7</v>
      </c>
      <c r="V27" s="85">
        <f t="shared" si="2"/>
        <v>1553.1949999999999</v>
      </c>
      <c r="W27" s="85">
        <f t="shared" si="3"/>
        <v>1372.556302</v>
      </c>
      <c r="X27" s="85">
        <f t="shared" si="4"/>
        <v>0.88369863539349536</v>
      </c>
      <c r="Y27" s="116">
        <v>3</v>
      </c>
      <c r="Z27" s="116">
        <v>4</v>
      </c>
      <c r="AA27" s="122">
        <v>6.5</v>
      </c>
      <c r="AB27" s="116">
        <v>17</v>
      </c>
      <c r="AC27" s="122">
        <v>6</v>
      </c>
      <c r="AD27" s="122">
        <v>5.0999999999999996</v>
      </c>
      <c r="AE27" s="79">
        <v>0.15</v>
      </c>
      <c r="AF27" s="79">
        <v>0.14000000000000001</v>
      </c>
      <c r="AG27" s="85">
        <f>(O27+0.3*H27+2)*(F27/2/AK27)</f>
        <v>1553.1949999999999</v>
      </c>
      <c r="AH27" s="85">
        <f t="shared" si="5"/>
        <v>1750.3931224</v>
      </c>
      <c r="AI27" s="85">
        <f t="shared" si="6"/>
        <v>1.1269628877249798</v>
      </c>
      <c r="AJ27" s="116">
        <v>3</v>
      </c>
      <c r="AK27" s="116">
        <v>4</v>
      </c>
      <c r="AL27" s="122">
        <v>6.2</v>
      </c>
      <c r="AM27" s="116">
        <v>23</v>
      </c>
      <c r="AN27" s="122">
        <v>6.1</v>
      </c>
      <c r="AO27" s="122">
        <v>5.8</v>
      </c>
      <c r="AP27" s="79">
        <v>0.16</v>
      </c>
      <c r="AQ27" s="79">
        <v>0.2</v>
      </c>
      <c r="AR27" s="132">
        <f>SUM(C27:E27)</f>
        <v>2238</v>
      </c>
      <c r="AS27" s="134">
        <f>C27/AR27</f>
        <v>0.17024128686327078</v>
      </c>
      <c r="AT27" s="134">
        <f>D27/AR27</f>
        <v>0.74039320822162646</v>
      </c>
      <c r="AU27" s="134">
        <f>E27/AR27</f>
        <v>8.936550491510277E-2</v>
      </c>
      <c r="AV27" s="151">
        <f>IF(AND(F27&lt;&gt;"",Z27&lt;&gt;""),AB27/(F27/2/Z27),"")</f>
        <v>6.0986547085201792E-2</v>
      </c>
      <c r="AW27" s="151">
        <f>IF(AND(F27&lt;&gt;"",AK27&lt;&gt;""),AM27/(F27/2/AK27),"")</f>
        <v>8.2511210762331838E-2</v>
      </c>
      <c r="AX27" s="41">
        <f>IF(AND(AQ27&lt;&gt;"",1-(AQ27/O27)&gt;0),1-(AQ27/O27),"")</f>
        <v>0.65034965034965031</v>
      </c>
      <c r="AY27" s="41">
        <f>IF(AND(AF27&lt;&gt;"",1-(AF27/O27)&gt;0),1-(AF27/O27),"")</f>
        <v>0.75524475524475521</v>
      </c>
      <c r="AZ27" s="136" t="str">
        <f>IF(Q27="","",IF(Q27&lt;2.5,"Alc. Bruta &lt; 2,5 mg/L",IF(Q27&lt;5,"2,5 ≤ Alc. Bruta &lt; 5,0 mg/L",IF(Q27&lt;7.5,"5,0 ≤ Alc. Bruta &lt; 7,5 mg/L",IF(Q27&lt;10,"7,5 ≤ Alc. Bruta &lt; 10,0 mg/L",IF(Q27&lt;15,"10,0 ≤ Alca. Bruta &lt; 15,0 mg/L","Alc. Bruta &gt; 15 mg/L"))))))</f>
        <v>7,5 ≤ Alc. Bruta &lt; 10,0 mg/L</v>
      </c>
      <c r="BA27" s="136" t="str">
        <f>IF(P27="","",IF(P27&lt;5,"Cor &lt;5 uC",IF(P27&lt;10,"5 ≤ Cor &lt; 10 uC",IF(P27&lt;15,"10 ≤ Cor &lt;15 uC",IF(P27&lt;30,"15 ≤ Cor &lt; 30 uC",IF(P27&lt;50,"30 ≤ Cor &lt; 50 uC","Cor &gt; 50 uC"))))))</f>
        <v>5 ≤ Cor &lt; 10 uC</v>
      </c>
      <c r="BB27" s="137" t="str">
        <f>IF(O27="","",IF(O27&lt;2.5,"Turbidez &lt; 2,5 uT",IF(O27&lt;5,"2,5 ≤ Turb &lt; 5,0 uT",IF(O27&lt;7.5,"5,0 ≤ Turb &lt; 7,5 uT",IF(O27&lt;10,"7,5 ≤ Turb &lt; 10,0 uT",IF(O27&lt;15,"10,0 ≤ Turb &lt; 15,0 uT","Turb &gt; 15 uT"))))))</f>
        <v>Turbidez &lt; 2,5 uT</v>
      </c>
      <c r="BC27" s="138" t="str">
        <f>IF(AND(C27&gt;D27,D27&gt;E27),"TOR &gt; SM &gt; BNN",IF(AND(C27&gt;E27,E27&gt;D27),"TOR &gt; BNN &gt; SM",IF(AND(D27&gt;C27,C27&gt;E27),"SM &gt; TOR &gt; BNN",IF(AND(D27&gt;E27,E27&gt;C27),"SM &gt; BNN &gt; TOR",IF(AND(C27=D27,D27=E27),"TOR = SM = BNN","Comb. diferentes")))))</f>
        <v>SM &gt; TOR &gt; BNN</v>
      </c>
      <c r="BD27" s="137" t="str">
        <f>IF(OR(AE27="",AQ27="-"),"",IF(AE27&lt;=0.25,"Tipo 1 (≤0,25) uT",IF(AE27&lt;=0.5,"Tipo 2 (0,25-0,50) uT",IF(AE27&lt;=0.75,"Tipo 3 (0,50-0,75) uT","Tipo 4 (&gt;0,75) uT"))))</f>
        <v>Tipo 1 (≤0,25) uT</v>
      </c>
      <c r="BE27" s="137" t="str">
        <f t="shared" si="0"/>
        <v>Tipo 1 (≤0,25) uT</v>
      </c>
      <c r="BF27" s="137" t="str">
        <f>IF(OR(AF27="",AQ27="-"),"",IF(AF27&lt;=0.25,"Tipo 1 (≤0,25) uT",IF(AF27&lt;=0.5,"Tipo 2 (0,25-0,50) uT",IF(AF27&lt;=0.75,"Tipo 3 (0,50-0,75) uT","Tipo 4 (&gt;0,75) uT"))))</f>
        <v>Tipo 1 (≤0,25) uT</v>
      </c>
      <c r="BG27" s="137" t="str">
        <f t="shared" si="1"/>
        <v>Tipo 1 (≤0,25) uT</v>
      </c>
      <c r="BH27" s="137" t="str">
        <f>IF(OR(R27="",R27="-"),"",IF(R27&lt;=0.25,"Tipo 1 (≤0,25) uT",IF(R27&lt;=0.5,"Tipo 2 (0,25-0,50) uT",IF(R27&lt;=0.75,"Tipo 3 (0,50-0,75) uT","Tipo 4 (&gt;0,75) uT"))))</f>
        <v>Tipo 1 (≤0,25) uT</v>
      </c>
    </row>
    <row r="28" spans="1:60" ht="15" thickBot="1" x14ac:dyDescent="0.35">
      <c r="A28" s="75">
        <v>46262</v>
      </c>
      <c r="B28" s="140">
        <v>0.22916666666666666</v>
      </c>
      <c r="C28" s="117">
        <v>407</v>
      </c>
      <c r="D28" s="117">
        <v>894</v>
      </c>
      <c r="E28" s="117">
        <v>235</v>
      </c>
      <c r="F28" s="117">
        <v>1624</v>
      </c>
      <c r="G28" s="145" t="s">
        <v>100</v>
      </c>
      <c r="H28" s="123">
        <v>10</v>
      </c>
      <c r="I28" s="117">
        <v>-151</v>
      </c>
      <c r="J28" s="11">
        <v>90</v>
      </c>
      <c r="K28" s="117">
        <v>90</v>
      </c>
      <c r="L28" s="117">
        <v>90</v>
      </c>
      <c r="M28" s="123">
        <v>24.6</v>
      </c>
      <c r="N28" s="123">
        <v>6.6</v>
      </c>
      <c r="O28" s="80">
        <v>1.72</v>
      </c>
      <c r="P28" s="117">
        <v>10</v>
      </c>
      <c r="Q28" s="123">
        <v>5.3</v>
      </c>
      <c r="R28" s="11">
        <v>7.0000000000000007E-2</v>
      </c>
      <c r="S28" s="79">
        <v>22.36</v>
      </c>
      <c r="T28" s="79">
        <v>0.88</v>
      </c>
      <c r="U28" s="79">
        <v>0.7</v>
      </c>
      <c r="V28" s="85">
        <f t="shared" si="2"/>
        <v>1364.1599999999999</v>
      </c>
      <c r="W28" s="85">
        <f t="shared" si="3"/>
        <v>1372.556302</v>
      </c>
      <c r="X28" s="85">
        <f t="shared" si="4"/>
        <v>1.0061549246422707</v>
      </c>
      <c r="Y28" s="117">
        <v>2</v>
      </c>
      <c r="Z28" s="117">
        <v>4</v>
      </c>
      <c r="AA28" s="123">
        <v>6.5</v>
      </c>
      <c r="AB28" s="117">
        <v>17</v>
      </c>
      <c r="AC28" s="123">
        <v>5.9</v>
      </c>
      <c r="AD28" s="123">
        <v>4.7</v>
      </c>
      <c r="AE28" s="80">
        <v>0.18</v>
      </c>
      <c r="AF28" s="80">
        <v>0.14000000000000001</v>
      </c>
      <c r="AG28" s="85">
        <f>(O28+0.3*H28+2)*(F28/2/AK28)</f>
        <v>1364.1599999999999</v>
      </c>
      <c r="AH28" s="85">
        <f t="shared" si="5"/>
        <v>1785.9247275999996</v>
      </c>
      <c r="AI28" s="85">
        <f t="shared" si="6"/>
        <v>1.3091754102158104</v>
      </c>
      <c r="AJ28" s="117">
        <v>2</v>
      </c>
      <c r="AK28" s="117">
        <v>4</v>
      </c>
      <c r="AL28" s="123">
        <v>6.3</v>
      </c>
      <c r="AM28" s="117">
        <v>23</v>
      </c>
      <c r="AN28" s="123">
        <v>5.8</v>
      </c>
      <c r="AO28" s="123">
        <v>4.4000000000000004</v>
      </c>
      <c r="AP28" s="80">
        <v>0.16</v>
      </c>
      <c r="AQ28" s="80">
        <v>0.21</v>
      </c>
      <c r="AR28" s="132">
        <f>SUM(C28:E28)</f>
        <v>1536</v>
      </c>
      <c r="AS28" s="134">
        <f>C28/AR28</f>
        <v>0.26497395833333331</v>
      </c>
      <c r="AT28" s="134">
        <f>D28/AR28</f>
        <v>0.58203125</v>
      </c>
      <c r="AU28" s="134">
        <f>E28/AR28</f>
        <v>0.15299479166666666</v>
      </c>
      <c r="AV28" s="151">
        <f>IF(AND(F28&lt;&gt;"",Z28&lt;&gt;""),AB28/(F28/2/Z28),"")</f>
        <v>8.3743842364532015E-2</v>
      </c>
      <c r="AW28" s="151">
        <f>IF(AND(F28&lt;&gt;"",AK28&lt;&gt;""),AM28/(F28/2/AK28),"")</f>
        <v>0.11330049261083744</v>
      </c>
      <c r="AX28" s="41">
        <f>IF(AND(AQ28&lt;&gt;"",1-(AQ28/O28)&gt;0),1-(AQ28/O28),"")</f>
        <v>0.87790697674418605</v>
      </c>
      <c r="AY28" s="41">
        <f>IF(AND(AF28&lt;&gt;"",1-(AF28/O28)&gt;0),1-(AF28/O28),"")</f>
        <v>0.91860465116279066</v>
      </c>
      <c r="AZ28" s="136" t="str">
        <f>IF(Q28="","",IF(Q28&lt;2.5,"Alc. Bruta &lt; 2,5 mg/L",IF(Q28&lt;5,"2,5 ≤ Alc. Bruta &lt; 5,0 mg/L",IF(Q28&lt;7.5,"5,0 ≤ Alc. Bruta &lt; 7,5 mg/L",IF(Q28&lt;10,"7,5 ≤ Alc. Bruta &lt; 10,0 mg/L",IF(Q28&lt;15,"10,0 ≤ Alca. Bruta &lt; 15,0 mg/L","Alc. Bruta &gt; 15 mg/L"))))))</f>
        <v>5,0 ≤ Alc. Bruta &lt; 7,5 mg/L</v>
      </c>
      <c r="BA28" s="136" t="str">
        <f>IF(P28="","",IF(P28&lt;5,"Cor &lt;5 uC",IF(P28&lt;10,"5 ≤ Cor &lt; 10 uC",IF(P28&lt;15,"10 ≤ Cor &lt;15 uC",IF(P28&lt;30,"15 ≤ Cor &lt; 30 uC",IF(P28&lt;50,"30 ≤ Cor &lt; 50 uC","Cor &gt; 50 uC"))))))</f>
        <v>10 ≤ Cor &lt;15 uC</v>
      </c>
      <c r="BB28" s="137" t="str">
        <f>IF(O28="","",IF(O28&lt;2.5,"Turbidez &lt; 2,5 uT",IF(O28&lt;5,"2,5 ≤ Turb &lt; 5,0 uT",IF(O28&lt;7.5,"5,0 ≤ Turb &lt; 7,5 uT",IF(O28&lt;10,"7,5 ≤ Turb &lt; 10,0 uT",IF(O28&lt;15,"10,0 ≤ Turb &lt; 15,0 uT","Turb &gt; 15 uT"))))))</f>
        <v>Turbidez &lt; 2,5 uT</v>
      </c>
      <c r="BC28" s="138" t="str">
        <f>IF(AND(C28&gt;D28,D28&gt;E28),"TOR &gt; SM &gt; BNN",IF(AND(C28&gt;E28,E28&gt;D28),"TOR &gt; BNN &gt; SM",IF(AND(D28&gt;C28,C28&gt;E28),"SM &gt; TOR &gt; BNN",IF(AND(D28&gt;E28,E28&gt;C28),"SM &gt; BNN &gt; TOR",IF(AND(C28=D28,D28=E28),"TOR = SM = BNN","Comb. diferentes")))))</f>
        <v>SM &gt; TOR &gt; BNN</v>
      </c>
      <c r="BD28" s="137" t="str">
        <f>IF(OR(AE28="",AQ28="-"),"",IF(AE28&lt;=0.25,"Tipo 1 (≤0,25) uT",IF(AE28&lt;=0.5,"Tipo 2 (0,25-0,50) uT",IF(AE28&lt;=0.75,"Tipo 3 (0,50-0,75) uT","Tipo 4 (&gt;0,75) uT"))))</f>
        <v>Tipo 1 (≤0,25) uT</v>
      </c>
      <c r="BE28" s="137" t="str">
        <f t="shared" si="0"/>
        <v>Tipo 1 (≤0,25) uT</v>
      </c>
      <c r="BF28" s="137" t="str">
        <f>IF(OR(AF28="",AQ28="-"),"",IF(AF28&lt;=0.25,"Tipo 1 (≤0,25) uT",IF(AF28&lt;=0.5,"Tipo 2 (0,25-0,50) uT",IF(AF28&lt;=0.75,"Tipo 3 (0,50-0,75) uT","Tipo 4 (&gt;0,75) uT"))))</f>
        <v>Tipo 1 (≤0,25) uT</v>
      </c>
      <c r="BG28" s="137" t="str">
        <f t="shared" si="1"/>
        <v>Tipo 1 (≤0,25) uT</v>
      </c>
      <c r="BH28" s="137" t="str">
        <f>IF(OR(R28="",R28="-"),"",IF(R28&lt;=0.25,"Tipo 1 (≤0,25) uT",IF(R28&lt;=0.5,"Tipo 2 (0,25-0,50) uT",IF(R28&lt;=0.75,"Tipo 3 (0,50-0,75) uT","Tipo 4 (&gt;0,75) uT"))))</f>
        <v>Tipo 1 (≤0,25) uT</v>
      </c>
    </row>
    <row r="29" spans="1:60" x14ac:dyDescent="0.3">
      <c r="A29" s="73">
        <v>46262</v>
      </c>
      <c r="B29" s="141" t="s">
        <v>298</v>
      </c>
      <c r="C29" s="118">
        <v>362</v>
      </c>
      <c r="D29" s="118">
        <v>999</v>
      </c>
      <c r="E29" s="118">
        <v>500</v>
      </c>
      <c r="F29" s="118">
        <v>1864</v>
      </c>
      <c r="G29" s="146" t="s">
        <v>100</v>
      </c>
      <c r="H29" s="124">
        <v>9.8000000000000007</v>
      </c>
      <c r="I29" s="118">
        <v>-152</v>
      </c>
      <c r="J29" s="9">
        <v>90</v>
      </c>
      <c r="K29" s="118">
        <v>90</v>
      </c>
      <c r="L29" s="118">
        <v>90</v>
      </c>
      <c r="M29" s="124">
        <v>27.8</v>
      </c>
      <c r="N29" s="124">
        <v>6.5</v>
      </c>
      <c r="O29" s="81">
        <v>1.08</v>
      </c>
      <c r="P29" s="118">
        <v>8</v>
      </c>
      <c r="Q29" s="124">
        <v>7.5</v>
      </c>
      <c r="R29" s="9">
        <v>7.0000000000000007E-2</v>
      </c>
      <c r="S29" s="79">
        <v>22.36</v>
      </c>
      <c r="T29" s="79">
        <v>0.88</v>
      </c>
      <c r="U29" s="79">
        <v>0.7</v>
      </c>
      <c r="V29" s="85">
        <f t="shared" si="2"/>
        <v>1402.6599999999999</v>
      </c>
      <c r="W29" s="85">
        <f t="shared" si="3"/>
        <v>1372.556302</v>
      </c>
      <c r="X29" s="85">
        <f t="shared" si="4"/>
        <v>0.97853813611281426</v>
      </c>
      <c r="Y29" s="118">
        <v>2</v>
      </c>
      <c r="Z29" s="118">
        <v>4</v>
      </c>
      <c r="AA29" s="124">
        <v>6.5</v>
      </c>
      <c r="AB29" s="118">
        <v>17</v>
      </c>
      <c r="AC29" s="124">
        <v>6.2</v>
      </c>
      <c r="AD29" s="124">
        <v>4.0999999999999996</v>
      </c>
      <c r="AE29" s="81">
        <v>0.11</v>
      </c>
      <c r="AF29" s="81">
        <v>0.14000000000000001</v>
      </c>
      <c r="AG29" s="85">
        <f>(O29+0.3*H29+2)*(F29/2/AK29)</f>
        <v>1402.6599999999999</v>
      </c>
      <c r="AH29" s="85">
        <f t="shared" si="5"/>
        <v>1785.9247275999996</v>
      </c>
      <c r="AI29" s="85">
        <f t="shared" si="6"/>
        <v>1.2732413611281421</v>
      </c>
      <c r="AJ29" s="118">
        <v>4</v>
      </c>
      <c r="AK29" s="118">
        <v>4</v>
      </c>
      <c r="AL29" s="124">
        <v>6.3</v>
      </c>
      <c r="AM29" s="118">
        <v>23</v>
      </c>
      <c r="AN29" s="124">
        <v>6.1</v>
      </c>
      <c r="AO29" s="124">
        <v>4.5999999999999996</v>
      </c>
      <c r="AP29" s="81">
        <v>0.12</v>
      </c>
      <c r="AQ29" s="81">
        <v>0.17</v>
      </c>
      <c r="AR29" s="132">
        <f>SUM(C29:E29)</f>
        <v>1861</v>
      </c>
      <c r="AS29" s="134">
        <f>C29/AR29</f>
        <v>0.19451907576571736</v>
      </c>
      <c r="AT29" s="134">
        <f>D29/AR29</f>
        <v>0.53680816765180006</v>
      </c>
      <c r="AU29" s="134">
        <f>E29/AR29</f>
        <v>0.26867275658248252</v>
      </c>
      <c r="AV29" s="151">
        <f>IF(AND(F29&lt;&gt;"",Z29&lt;&gt;""),AB29/(F29/2/Z29),"")</f>
        <v>7.2961373390557943E-2</v>
      </c>
      <c r="AW29" s="151">
        <f>IF(AND(F29&lt;&gt;"",AK29&lt;&gt;""),AM29/(F29/2/AK29),"")</f>
        <v>9.8712446351931327E-2</v>
      </c>
      <c r="AX29" s="41">
        <f>IF(AND(AQ29&lt;&gt;"",1-(AQ29/O29)&gt;0),1-(AQ29/O29),"")</f>
        <v>0.84259259259259256</v>
      </c>
      <c r="AY29" s="41">
        <f>IF(AND(AF29&lt;&gt;"",1-(AF29/O29)&gt;0),1-(AF29/O29),"")</f>
        <v>0.87037037037037035</v>
      </c>
      <c r="AZ29" s="136" t="str">
        <f>IF(Q29="","",IF(Q29&lt;2.5,"Alc. Bruta &lt; 2,5 mg/L",IF(Q29&lt;5,"2,5 ≤ Alc. Bruta &lt; 5,0 mg/L",IF(Q29&lt;7.5,"5,0 ≤ Alc. Bruta &lt; 7,5 mg/L",IF(Q29&lt;10,"7,5 ≤ Alc. Bruta &lt; 10,0 mg/L",IF(Q29&lt;15,"10,0 ≤ Alca. Bruta &lt; 15,0 mg/L","Alc. Bruta &gt; 15 mg/L"))))))</f>
        <v>7,5 ≤ Alc. Bruta &lt; 10,0 mg/L</v>
      </c>
      <c r="BA29" s="136" t="str">
        <f>IF(P29="","",IF(P29&lt;5,"Cor &lt;5 uC",IF(P29&lt;10,"5 ≤ Cor &lt; 10 uC",IF(P29&lt;15,"10 ≤ Cor &lt;15 uC",IF(P29&lt;30,"15 ≤ Cor &lt; 30 uC",IF(P29&lt;50,"30 ≤ Cor &lt; 50 uC","Cor &gt; 50 uC"))))))</f>
        <v>5 ≤ Cor &lt; 10 uC</v>
      </c>
      <c r="BB29" s="137" t="str">
        <f>IF(O29="","",IF(O29&lt;2.5,"Turbidez &lt; 2,5 uT",IF(O29&lt;5,"2,5 ≤ Turb &lt; 5,0 uT",IF(O29&lt;7.5,"5,0 ≤ Turb &lt; 7,5 uT",IF(O29&lt;10,"7,5 ≤ Turb &lt; 10,0 uT",IF(O29&lt;15,"10,0 ≤ Turb &lt; 15,0 uT","Turb &gt; 15 uT"))))))</f>
        <v>Turbidez &lt; 2,5 uT</v>
      </c>
      <c r="BC29" s="138" t="str">
        <f>IF(AND(C29&gt;D29,D29&gt;E29),"TOR &gt; SM &gt; BNN",IF(AND(C29&gt;E29,E29&gt;D29),"TOR &gt; BNN &gt; SM",IF(AND(D29&gt;C29,C29&gt;E29),"SM &gt; TOR &gt; BNN",IF(AND(D29&gt;E29,E29&gt;C29),"SM &gt; BNN &gt; TOR",IF(AND(C29=D29,D29=E29),"TOR = SM = BNN","Comb. diferentes")))))</f>
        <v>SM &gt; BNN &gt; TOR</v>
      </c>
      <c r="BD29" s="137" t="str">
        <f>IF(OR(AE29="",AQ29="-"),"",IF(AE29&lt;=0.25,"Tipo 1 (≤0,25) uT",IF(AE29&lt;=0.5,"Tipo 2 (0,25-0,50) uT",IF(AE29&lt;=0.75,"Tipo 3 (0,50-0,75) uT","Tipo 4 (&gt;0,75) uT"))))</f>
        <v>Tipo 1 (≤0,25) uT</v>
      </c>
      <c r="BE29" s="137" t="str">
        <f t="shared" si="0"/>
        <v>Tipo 1 (≤0,25) uT</v>
      </c>
      <c r="BF29" s="137" t="str">
        <f>IF(OR(AF29="",AQ29="-"),"",IF(AF29&lt;=0.25,"Tipo 1 (≤0,25) uT",IF(AF29&lt;=0.5,"Tipo 2 (0,25-0,50) uT",IF(AF29&lt;=0.75,"Tipo 3 (0,50-0,75) uT","Tipo 4 (&gt;0,75) uT"))))</f>
        <v>Tipo 1 (≤0,25) uT</v>
      </c>
      <c r="BG29" s="137" t="str">
        <f t="shared" si="1"/>
        <v>Tipo 1 (≤0,25) uT</v>
      </c>
      <c r="BH29" s="137" t="str">
        <f>IF(OR(R29="",R29="-"),"",IF(R29&lt;=0.25,"Tipo 1 (≤0,25) uT",IF(R29&lt;=0.5,"Tipo 2 (0,25-0,50) uT",IF(R29&lt;=0.75,"Tipo 3 (0,50-0,75) uT","Tipo 4 (&gt;0,75) uT"))))</f>
        <v>Tipo 1 (≤0,25) uT</v>
      </c>
    </row>
    <row r="30" spans="1:60" x14ac:dyDescent="0.3">
      <c r="A30" s="74">
        <v>46262</v>
      </c>
      <c r="B30" s="139" t="s">
        <v>299</v>
      </c>
      <c r="C30" s="116">
        <v>275</v>
      </c>
      <c r="D30" s="116">
        <v>1767</v>
      </c>
      <c r="E30" s="116">
        <v>200</v>
      </c>
      <c r="F30" s="116">
        <v>2275</v>
      </c>
      <c r="G30" s="144" t="s">
        <v>100</v>
      </c>
      <c r="H30" s="122">
        <v>9.8000000000000007</v>
      </c>
      <c r="I30" s="116">
        <v>-154</v>
      </c>
      <c r="J30" s="10">
        <v>90</v>
      </c>
      <c r="K30" s="116">
        <v>90</v>
      </c>
      <c r="L30" s="116">
        <v>90</v>
      </c>
      <c r="M30" s="122">
        <v>25.3</v>
      </c>
      <c r="N30" s="122">
        <v>6.5</v>
      </c>
      <c r="O30" s="79">
        <v>0.97</v>
      </c>
      <c r="P30" s="116">
        <v>6</v>
      </c>
      <c r="Q30" s="122">
        <v>7.9</v>
      </c>
      <c r="R30" s="10">
        <v>0.06</v>
      </c>
      <c r="S30" s="79">
        <v>22.36</v>
      </c>
      <c r="T30" s="79">
        <v>0.88</v>
      </c>
      <c r="U30" s="79">
        <v>0.7</v>
      </c>
      <c r="V30" s="85">
        <f t="shared" si="2"/>
        <v>1680.65625</v>
      </c>
      <c r="W30" s="85">
        <f t="shared" si="3"/>
        <v>1372.556302</v>
      </c>
      <c r="X30" s="85">
        <f t="shared" si="4"/>
        <v>0.81667878365965674</v>
      </c>
      <c r="Y30" s="116">
        <v>3</v>
      </c>
      <c r="Z30" s="116">
        <v>4</v>
      </c>
      <c r="AA30" s="122">
        <v>6.5</v>
      </c>
      <c r="AB30" s="116">
        <v>17</v>
      </c>
      <c r="AC30" s="122">
        <v>6.2</v>
      </c>
      <c r="AD30" s="122">
        <v>4.4000000000000004</v>
      </c>
      <c r="AE30" s="79">
        <v>0.13</v>
      </c>
      <c r="AF30" s="79">
        <v>0.14000000000000001</v>
      </c>
      <c r="AG30" s="85">
        <f>(O30+0.3*H30+2)*(F30/2/AK30)</f>
        <v>1680.65625</v>
      </c>
      <c r="AH30" s="85">
        <f t="shared" si="5"/>
        <v>1750.3931224</v>
      </c>
      <c r="AI30" s="85">
        <f t="shared" si="6"/>
        <v>1.0414938345661107</v>
      </c>
      <c r="AJ30" s="116">
        <v>4</v>
      </c>
      <c r="AK30" s="116">
        <v>4</v>
      </c>
      <c r="AL30" s="122">
        <v>6.2</v>
      </c>
      <c r="AM30" s="116">
        <v>23</v>
      </c>
      <c r="AN30" s="122">
        <v>6.2</v>
      </c>
      <c r="AO30" s="122">
        <v>5</v>
      </c>
      <c r="AP30" s="79">
        <v>0.14000000000000001</v>
      </c>
      <c r="AQ30" s="79">
        <v>0.24</v>
      </c>
      <c r="AR30" s="132">
        <f>SUM(C30:E30)</f>
        <v>2242</v>
      </c>
      <c r="AS30" s="134">
        <f>C30/AR30</f>
        <v>0.12265834076717216</v>
      </c>
      <c r="AT30" s="134">
        <f>D30/AR30</f>
        <v>0.78813559322033899</v>
      </c>
      <c r="AU30" s="134">
        <f>E30/AR30</f>
        <v>8.9206066012488844E-2</v>
      </c>
      <c r="AV30" s="151">
        <f>IF(AND(F30&lt;&gt;"",Z30&lt;&gt;""),AB30/(F30/2/Z30),"")</f>
        <v>5.978021978021978E-2</v>
      </c>
      <c r="AW30" s="151">
        <f>IF(AND(F30&lt;&gt;"",AK30&lt;&gt;""),AM30/(F30/2/AK30),"")</f>
        <v>8.0879120879120886E-2</v>
      </c>
      <c r="AX30" s="41">
        <f>IF(AND(AQ30&lt;&gt;"",1-(AQ30/O30)&gt;0),1-(AQ30/O30),"")</f>
        <v>0.75257731958762886</v>
      </c>
      <c r="AY30" s="41">
        <f>IF(AND(AF30&lt;&gt;"",1-(AF30/O30)&gt;0),1-(AF30/O30),"")</f>
        <v>0.85567010309278346</v>
      </c>
      <c r="AZ30" s="136" t="str">
        <f>IF(Q30="","",IF(Q30&lt;2.5,"Alc. Bruta &lt; 2,5 mg/L",IF(Q30&lt;5,"2,5 ≤ Alc. Bruta &lt; 5,0 mg/L",IF(Q30&lt;7.5,"5,0 ≤ Alc. Bruta &lt; 7,5 mg/L",IF(Q30&lt;10,"7,5 ≤ Alc. Bruta &lt; 10,0 mg/L",IF(Q30&lt;15,"10,0 ≤ Alca. Bruta &lt; 15,0 mg/L","Alc. Bruta &gt; 15 mg/L"))))))</f>
        <v>7,5 ≤ Alc. Bruta &lt; 10,0 mg/L</v>
      </c>
      <c r="BA30" s="136" t="str">
        <f>IF(P30="","",IF(P30&lt;5,"Cor &lt;5 uC",IF(P30&lt;10,"5 ≤ Cor &lt; 10 uC",IF(P30&lt;15,"10 ≤ Cor &lt;15 uC",IF(P30&lt;30,"15 ≤ Cor &lt; 30 uC",IF(P30&lt;50,"30 ≤ Cor &lt; 50 uC","Cor &gt; 50 uC"))))))</f>
        <v>5 ≤ Cor &lt; 10 uC</v>
      </c>
      <c r="BB30" s="137" t="str">
        <f>IF(O30="","",IF(O30&lt;2.5,"Turbidez &lt; 2,5 uT",IF(O30&lt;5,"2,5 ≤ Turb &lt; 5,0 uT",IF(O30&lt;7.5,"5,0 ≤ Turb &lt; 7,5 uT",IF(O30&lt;10,"7,5 ≤ Turb &lt; 10,0 uT",IF(O30&lt;15,"10,0 ≤ Turb &lt; 15,0 uT","Turb &gt; 15 uT"))))))</f>
        <v>Turbidez &lt; 2,5 uT</v>
      </c>
      <c r="BC30" s="138" t="str">
        <f>IF(AND(C30&gt;D30,D30&gt;E30),"TOR &gt; SM &gt; BNN",IF(AND(C30&gt;E30,E30&gt;D30),"TOR &gt; BNN &gt; SM",IF(AND(D30&gt;C30,C30&gt;E30),"SM &gt; TOR &gt; BNN",IF(AND(D30&gt;E30,E30&gt;C30),"SM &gt; BNN &gt; TOR",IF(AND(C30=D30,D30=E30),"TOR = SM = BNN","Comb. diferentes")))))</f>
        <v>SM &gt; TOR &gt; BNN</v>
      </c>
      <c r="BD30" s="137" t="str">
        <f>IF(OR(AE30="",AQ30="-"),"",IF(AE30&lt;=0.25,"Tipo 1 (≤0,25) uT",IF(AE30&lt;=0.5,"Tipo 2 (0,25-0,50) uT",IF(AE30&lt;=0.75,"Tipo 3 (0,50-0,75) uT","Tipo 4 (&gt;0,75) uT"))))</f>
        <v>Tipo 1 (≤0,25) uT</v>
      </c>
      <c r="BE30" s="137" t="str">
        <f t="shared" si="0"/>
        <v>Tipo 1 (≤0,25) uT</v>
      </c>
      <c r="BF30" s="137" t="str">
        <f>IF(OR(AF30="",AQ30="-"),"",IF(AF30&lt;=0.25,"Tipo 1 (≤0,25) uT",IF(AF30&lt;=0.5,"Tipo 2 (0,25-0,50) uT",IF(AF30&lt;=0.75,"Tipo 3 (0,50-0,75) uT","Tipo 4 (&gt;0,75) uT"))))</f>
        <v>Tipo 1 (≤0,25) uT</v>
      </c>
      <c r="BG30" s="137" t="str">
        <f t="shared" si="1"/>
        <v>Tipo 1 (≤0,25) uT</v>
      </c>
      <c r="BH30" s="137" t="str">
        <f>IF(OR(R30="",R30="-"),"",IF(R30&lt;=0.25,"Tipo 1 (≤0,25) uT",IF(R30&lt;=0.5,"Tipo 2 (0,25-0,50) uT",IF(R30&lt;=0.75,"Tipo 3 (0,50-0,75) uT","Tipo 4 (&gt;0,75) uT"))))</f>
        <v>Tipo 1 (≤0,25) uT</v>
      </c>
    </row>
    <row r="31" spans="1:60" x14ac:dyDescent="0.3">
      <c r="A31" s="74">
        <v>46262</v>
      </c>
      <c r="B31" s="139" t="s">
        <v>300</v>
      </c>
      <c r="C31" s="116">
        <v>283</v>
      </c>
      <c r="D31" s="116">
        <v>1756</v>
      </c>
      <c r="E31" s="116">
        <v>0</v>
      </c>
      <c r="F31" s="116">
        <v>2125</v>
      </c>
      <c r="G31" s="144" t="s">
        <v>100</v>
      </c>
      <c r="H31" s="122">
        <v>9.8000000000000007</v>
      </c>
      <c r="I31" s="116">
        <v>-156</v>
      </c>
      <c r="J31" s="10">
        <v>90</v>
      </c>
      <c r="K31" s="116">
        <v>90</v>
      </c>
      <c r="L31" s="116">
        <v>90</v>
      </c>
      <c r="M31" s="122">
        <v>25.9</v>
      </c>
      <c r="N31" s="122">
        <v>6.5</v>
      </c>
      <c r="O31" s="79">
        <v>1.01</v>
      </c>
      <c r="P31" s="116">
        <v>7</v>
      </c>
      <c r="Q31" s="122">
        <v>7.6</v>
      </c>
      <c r="R31" s="10">
        <v>7.0000000000000007E-2</v>
      </c>
      <c r="S31" s="79">
        <v>22.36</v>
      </c>
      <c r="T31" s="79">
        <v>0.88</v>
      </c>
      <c r="U31" s="79">
        <v>0.7</v>
      </c>
      <c r="V31" s="85">
        <f t="shared" si="2"/>
        <v>2107.291666666667</v>
      </c>
      <c r="W31" s="85">
        <f t="shared" si="3"/>
        <v>1372.556302</v>
      </c>
      <c r="X31" s="85">
        <f t="shared" si="4"/>
        <v>0.65133665344537806</v>
      </c>
      <c r="Y31" s="116">
        <v>4</v>
      </c>
      <c r="Z31" s="116">
        <v>3</v>
      </c>
      <c r="AA31" s="122">
        <v>6.5</v>
      </c>
      <c r="AB31" s="116">
        <v>17</v>
      </c>
      <c r="AC31" s="122">
        <v>6.1</v>
      </c>
      <c r="AD31" s="122">
        <v>4</v>
      </c>
      <c r="AE31" s="79">
        <v>0.2</v>
      </c>
      <c r="AF31" s="79">
        <v>0.16</v>
      </c>
      <c r="AG31" s="85">
        <f>(O31+0.3*H31+2)*(F31/2/AK31)</f>
        <v>1580.46875</v>
      </c>
      <c r="AH31" s="85">
        <f t="shared" si="5"/>
        <v>1750.3931224</v>
      </c>
      <c r="AI31" s="85">
        <f t="shared" si="6"/>
        <v>1.107515173836876</v>
      </c>
      <c r="AJ31" s="116">
        <v>4</v>
      </c>
      <c r="AK31" s="116">
        <v>4</v>
      </c>
      <c r="AL31" s="122">
        <v>6.2</v>
      </c>
      <c r="AM31" s="116">
        <v>23</v>
      </c>
      <c r="AN31" s="122">
        <v>6.2</v>
      </c>
      <c r="AO31" s="122">
        <v>4.4000000000000004</v>
      </c>
      <c r="AP31" s="79">
        <v>0.14000000000000001</v>
      </c>
      <c r="AQ31" s="79">
        <v>0.28999999999999998</v>
      </c>
      <c r="AR31" s="132">
        <f>SUM(C31:E31)</f>
        <v>2039</v>
      </c>
      <c r="AS31" s="134">
        <f>C31/AR31</f>
        <v>0.13879352623835214</v>
      </c>
      <c r="AT31" s="134">
        <f>D31/AR31</f>
        <v>0.86120647376164783</v>
      </c>
      <c r="AU31" s="134">
        <f>E31/AR31</f>
        <v>0</v>
      </c>
      <c r="AV31" s="151">
        <f>IF(AND(F31&lt;&gt;"",Z31&lt;&gt;""),AB31/(F31/2/Z31),"")</f>
        <v>4.7999999999999994E-2</v>
      </c>
      <c r="AW31" s="151">
        <f>IF(AND(F31&lt;&gt;"",AK31&lt;&gt;""),AM31/(F31/2/AK31),"")</f>
        <v>8.6588235294117646E-2</v>
      </c>
      <c r="AX31" s="41">
        <f>IF(AND(AQ31&lt;&gt;"",1-(AQ31/O31)&gt;0),1-(AQ31/O31),"")</f>
        <v>0.71287128712871284</v>
      </c>
      <c r="AY31" s="41">
        <f>IF(AND(AF31&lt;&gt;"",1-(AF31/O31)&gt;0),1-(AF31/O31),"")</f>
        <v>0.84158415841584155</v>
      </c>
      <c r="AZ31" s="136" t="str">
        <f>IF(Q31="","",IF(Q31&lt;2.5,"Alc. Bruta &lt; 2,5 mg/L",IF(Q31&lt;5,"2,5 ≤ Alc. Bruta &lt; 5,0 mg/L",IF(Q31&lt;7.5,"5,0 ≤ Alc. Bruta &lt; 7,5 mg/L",IF(Q31&lt;10,"7,5 ≤ Alc. Bruta &lt; 10,0 mg/L",IF(Q31&lt;15,"10,0 ≤ Alca. Bruta &lt; 15,0 mg/L","Alc. Bruta &gt; 15 mg/L"))))))</f>
        <v>7,5 ≤ Alc. Bruta &lt; 10,0 mg/L</v>
      </c>
      <c r="BA31" s="136" t="str">
        <f>IF(P31="","",IF(P31&lt;5,"Cor &lt;5 uC",IF(P31&lt;10,"5 ≤ Cor &lt; 10 uC",IF(P31&lt;15,"10 ≤ Cor &lt;15 uC",IF(P31&lt;30,"15 ≤ Cor &lt; 30 uC",IF(P31&lt;50,"30 ≤ Cor &lt; 50 uC","Cor &gt; 50 uC"))))))</f>
        <v>5 ≤ Cor &lt; 10 uC</v>
      </c>
      <c r="BB31" s="137" t="str">
        <f>IF(O31="","",IF(O31&lt;2.5,"Turbidez &lt; 2,5 uT",IF(O31&lt;5,"2,5 ≤ Turb &lt; 5,0 uT",IF(O31&lt;7.5,"5,0 ≤ Turb &lt; 7,5 uT",IF(O31&lt;10,"7,5 ≤ Turb &lt; 10,0 uT",IF(O31&lt;15,"10,0 ≤ Turb &lt; 15,0 uT","Turb &gt; 15 uT"))))))</f>
        <v>Turbidez &lt; 2,5 uT</v>
      </c>
      <c r="BC31" s="138" t="str">
        <f>IF(AND(C31&gt;D31,D31&gt;E31),"TOR &gt; SM &gt; BNN",IF(AND(C31&gt;E31,E31&gt;D31),"TOR &gt; BNN &gt; SM",IF(AND(D31&gt;C31,C31&gt;E31),"SM &gt; TOR &gt; BNN",IF(AND(D31&gt;E31,E31&gt;C31),"SM &gt; BNN &gt; TOR",IF(AND(C31=D31,D31=E31),"TOR = SM = BNN","Comb. diferentes")))))</f>
        <v>SM &gt; TOR &gt; BNN</v>
      </c>
      <c r="BD31" s="137" t="str">
        <f>IF(OR(AE31="",AQ31="-"),"",IF(AE31&lt;=0.25,"Tipo 1 (≤0,25) uT",IF(AE31&lt;=0.5,"Tipo 2 (0,25-0,50) uT",IF(AE31&lt;=0.75,"Tipo 3 (0,50-0,75) uT","Tipo 4 (&gt;0,75) uT"))))</f>
        <v>Tipo 1 (≤0,25) uT</v>
      </c>
      <c r="BE31" s="137" t="str">
        <f t="shared" si="0"/>
        <v>Tipo 1 (≤0,25) uT</v>
      </c>
      <c r="BF31" s="137" t="str">
        <f>IF(OR(AF31="",AQ31="-"),"",IF(AF31&lt;=0.25,"Tipo 1 (≤0,25) uT",IF(AF31&lt;=0.5,"Tipo 2 (0,25-0,50) uT",IF(AF31&lt;=0.75,"Tipo 3 (0,50-0,75) uT","Tipo 4 (&gt;0,75) uT"))))</f>
        <v>Tipo 1 (≤0,25) uT</v>
      </c>
      <c r="BG31" s="137" t="str">
        <f t="shared" si="1"/>
        <v>Tipo 2 (0,25-0,50) uT</v>
      </c>
      <c r="BH31" s="137" t="str">
        <f>IF(OR(R31="",R31="-"),"",IF(R31&lt;=0.25,"Tipo 1 (≤0,25) uT",IF(R31&lt;=0.5,"Tipo 2 (0,25-0,50) uT",IF(R31&lt;=0.75,"Tipo 3 (0,50-0,75) uT","Tipo 4 (&gt;0,75) uT"))))</f>
        <v>Tipo 1 (≤0,25) uT</v>
      </c>
    </row>
    <row r="32" spans="1:60" x14ac:dyDescent="0.3">
      <c r="A32" s="74">
        <v>46262</v>
      </c>
      <c r="B32" s="139" t="s">
        <v>301</v>
      </c>
      <c r="C32" s="116">
        <v>288</v>
      </c>
      <c r="D32" s="116">
        <v>1611</v>
      </c>
      <c r="E32" s="116">
        <v>200</v>
      </c>
      <c r="F32" s="116">
        <v>2050</v>
      </c>
      <c r="G32" s="144" t="s">
        <v>100</v>
      </c>
      <c r="H32" s="122">
        <v>9.8000000000000007</v>
      </c>
      <c r="I32" s="116">
        <v>-148</v>
      </c>
      <c r="J32" s="10">
        <v>90</v>
      </c>
      <c r="K32" s="116">
        <v>90</v>
      </c>
      <c r="L32" s="116">
        <v>90</v>
      </c>
      <c r="M32" s="122">
        <v>26</v>
      </c>
      <c r="N32" s="122">
        <v>6.5</v>
      </c>
      <c r="O32" s="79">
        <v>0.91</v>
      </c>
      <c r="P32" s="116">
        <v>5</v>
      </c>
      <c r="Q32" s="122">
        <v>6.8</v>
      </c>
      <c r="R32" s="10">
        <v>0.08</v>
      </c>
      <c r="S32" s="79">
        <v>22.36</v>
      </c>
      <c r="T32" s="79">
        <v>0.88</v>
      </c>
      <c r="U32" s="79">
        <v>0.7</v>
      </c>
      <c r="V32" s="85">
        <f t="shared" si="2"/>
        <v>1499.0625</v>
      </c>
      <c r="W32" s="85">
        <f t="shared" si="3"/>
        <v>1372.556302</v>
      </c>
      <c r="X32" s="85">
        <f t="shared" si="4"/>
        <v>0.91560979078590787</v>
      </c>
      <c r="Y32" s="116">
        <v>3</v>
      </c>
      <c r="Z32" s="116">
        <v>4</v>
      </c>
      <c r="AA32" s="122">
        <v>6.5</v>
      </c>
      <c r="AB32" s="116">
        <v>17</v>
      </c>
      <c r="AC32" s="122">
        <v>6.2</v>
      </c>
      <c r="AD32" s="122">
        <v>3.6</v>
      </c>
      <c r="AE32" s="79">
        <v>0.21</v>
      </c>
      <c r="AF32" s="79">
        <v>0.14000000000000001</v>
      </c>
      <c r="AG32" s="85">
        <f>(O32+0.3*H32+2)*(F32/2/AK32)</f>
        <v>1499.0625</v>
      </c>
      <c r="AH32" s="85">
        <f t="shared" si="5"/>
        <v>1750.3931224</v>
      </c>
      <c r="AI32" s="85">
        <f t="shared" si="6"/>
        <v>1.1676585348509485</v>
      </c>
      <c r="AJ32" s="116">
        <v>3</v>
      </c>
      <c r="AK32" s="116">
        <v>4</v>
      </c>
      <c r="AL32" s="122">
        <v>6.2</v>
      </c>
      <c r="AM32" s="116">
        <v>23</v>
      </c>
      <c r="AN32" s="122">
        <v>5.9</v>
      </c>
      <c r="AO32" s="122">
        <v>4</v>
      </c>
      <c r="AP32" s="79">
        <v>0.11</v>
      </c>
      <c r="AQ32" s="79">
        <v>0.22</v>
      </c>
      <c r="AR32" s="132">
        <f>SUM(C32:E32)</f>
        <v>2099</v>
      </c>
      <c r="AS32" s="134">
        <f>C32/AR32</f>
        <v>0.13720819437827536</v>
      </c>
      <c r="AT32" s="134">
        <f>D32/AR32</f>
        <v>0.76750833730347789</v>
      </c>
      <c r="AU32" s="134">
        <f>E32/AR32</f>
        <v>9.5283468318246786E-2</v>
      </c>
      <c r="AV32" s="151">
        <f>IF(AND(F32&lt;&gt;"",Z32&lt;&gt;""),AB32/(F32/2/Z32),"")</f>
        <v>6.634146341463415E-2</v>
      </c>
      <c r="AW32" s="151">
        <f>IF(AND(F32&lt;&gt;"",AK32&lt;&gt;""),AM32/(F32/2/AK32),"")</f>
        <v>8.9756097560975606E-2</v>
      </c>
      <c r="AX32" s="41">
        <f>IF(AND(AQ32&lt;&gt;"",1-(AQ32/O32)&gt;0),1-(AQ32/O32),"")</f>
        <v>0.75824175824175821</v>
      </c>
      <c r="AY32" s="41">
        <f>IF(AND(AF32&lt;&gt;"",1-(AF32/O32)&gt;0),1-(AF32/O32),"")</f>
        <v>0.84615384615384615</v>
      </c>
      <c r="AZ32" s="136" t="str">
        <f>IF(Q32="","",IF(Q32&lt;2.5,"Alc. Bruta &lt; 2,5 mg/L",IF(Q32&lt;5,"2,5 ≤ Alc. Bruta &lt; 5,0 mg/L",IF(Q32&lt;7.5,"5,0 ≤ Alc. Bruta &lt; 7,5 mg/L",IF(Q32&lt;10,"7,5 ≤ Alc. Bruta &lt; 10,0 mg/L",IF(Q32&lt;15,"10,0 ≤ Alca. Bruta &lt; 15,0 mg/L","Alc. Bruta &gt; 15 mg/L"))))))</f>
        <v>5,0 ≤ Alc. Bruta &lt; 7,5 mg/L</v>
      </c>
      <c r="BA32" s="136" t="str">
        <f>IF(P32="","",IF(P32&lt;5,"Cor &lt;5 uC",IF(P32&lt;10,"5 ≤ Cor &lt; 10 uC",IF(P32&lt;15,"10 ≤ Cor &lt;15 uC",IF(P32&lt;30,"15 ≤ Cor &lt; 30 uC",IF(P32&lt;50,"30 ≤ Cor &lt; 50 uC","Cor &gt; 50 uC"))))))</f>
        <v>5 ≤ Cor &lt; 10 uC</v>
      </c>
      <c r="BB32" s="137" t="str">
        <f>IF(O32="","",IF(O32&lt;2.5,"Turbidez &lt; 2,5 uT",IF(O32&lt;5,"2,5 ≤ Turb &lt; 5,0 uT",IF(O32&lt;7.5,"5,0 ≤ Turb &lt; 7,5 uT",IF(O32&lt;10,"7,5 ≤ Turb &lt; 10,0 uT",IF(O32&lt;15,"10,0 ≤ Turb &lt; 15,0 uT","Turb &gt; 15 uT"))))))</f>
        <v>Turbidez &lt; 2,5 uT</v>
      </c>
      <c r="BC32" s="138" t="str">
        <f>IF(AND(C32&gt;D32,D32&gt;E32),"TOR &gt; SM &gt; BNN",IF(AND(C32&gt;E32,E32&gt;D32),"TOR &gt; BNN &gt; SM",IF(AND(D32&gt;C32,C32&gt;E32),"SM &gt; TOR &gt; BNN",IF(AND(D32&gt;E32,E32&gt;C32),"SM &gt; BNN &gt; TOR",IF(AND(C32=D32,D32=E32),"TOR = SM = BNN","Comb. diferentes")))))</f>
        <v>SM &gt; TOR &gt; BNN</v>
      </c>
      <c r="BD32" s="137" t="str">
        <f>IF(OR(AE32="",AQ32="-"),"",IF(AE32&lt;=0.25,"Tipo 1 (≤0,25) uT",IF(AE32&lt;=0.5,"Tipo 2 (0,25-0,50) uT",IF(AE32&lt;=0.75,"Tipo 3 (0,50-0,75) uT","Tipo 4 (&gt;0,75) uT"))))</f>
        <v>Tipo 1 (≤0,25) uT</v>
      </c>
      <c r="BE32" s="137" t="str">
        <f t="shared" si="0"/>
        <v>Tipo 1 (≤0,25) uT</v>
      </c>
      <c r="BF32" s="137" t="str">
        <f>IF(OR(AF32="",AQ32="-"),"",IF(AF32&lt;=0.25,"Tipo 1 (≤0,25) uT",IF(AF32&lt;=0.5,"Tipo 2 (0,25-0,50) uT",IF(AF32&lt;=0.75,"Tipo 3 (0,50-0,75) uT","Tipo 4 (&gt;0,75) uT"))))</f>
        <v>Tipo 1 (≤0,25) uT</v>
      </c>
      <c r="BG32" s="137" t="str">
        <f t="shared" si="1"/>
        <v>Tipo 1 (≤0,25) uT</v>
      </c>
      <c r="BH32" s="137" t="str">
        <f>IF(OR(R32="",R32="-"),"",IF(R32&lt;=0.25,"Tipo 1 (≤0,25) uT",IF(R32&lt;=0.5,"Tipo 2 (0,25-0,50) uT",IF(R32&lt;=0.75,"Tipo 3 (0,50-0,75) uT","Tipo 4 (&gt;0,75) uT"))))</f>
        <v>Tipo 1 (≤0,25) uT</v>
      </c>
    </row>
    <row r="33" spans="1:60" x14ac:dyDescent="0.3">
      <c r="A33" s="74">
        <v>46262</v>
      </c>
      <c r="B33" s="139" t="s">
        <v>302</v>
      </c>
      <c r="C33" s="116">
        <v>413</v>
      </c>
      <c r="D33" s="116">
        <v>1500</v>
      </c>
      <c r="E33" s="116">
        <v>199</v>
      </c>
      <c r="F33" s="116">
        <v>2089</v>
      </c>
      <c r="G33" s="144" t="s">
        <v>100</v>
      </c>
      <c r="H33" s="122">
        <v>9.8000000000000007</v>
      </c>
      <c r="I33" s="116">
        <v>-149</v>
      </c>
      <c r="J33" s="10">
        <v>90</v>
      </c>
      <c r="K33" s="116">
        <v>90</v>
      </c>
      <c r="L33" s="116">
        <v>90</v>
      </c>
      <c r="M33" s="122">
        <v>26.4</v>
      </c>
      <c r="N33" s="122">
        <v>6.5</v>
      </c>
      <c r="O33" s="79">
        <v>0.83</v>
      </c>
      <c r="P33" s="116">
        <v>5</v>
      </c>
      <c r="Q33" s="122">
        <v>6.1</v>
      </c>
      <c r="R33" s="10">
        <v>0.08</v>
      </c>
      <c r="S33" s="79">
        <v>22.36</v>
      </c>
      <c r="T33" s="79">
        <v>0.88</v>
      </c>
      <c r="U33" s="79">
        <v>0.7</v>
      </c>
      <c r="V33" s="85">
        <f t="shared" si="2"/>
        <v>1506.6912499999999</v>
      </c>
      <c r="W33" s="85">
        <f t="shared" si="3"/>
        <v>1372.556302</v>
      </c>
      <c r="X33" s="85">
        <f t="shared" si="4"/>
        <v>0.91097383223006045</v>
      </c>
      <c r="Y33" s="116">
        <v>3</v>
      </c>
      <c r="Z33" s="116">
        <v>4</v>
      </c>
      <c r="AA33" s="122">
        <v>6.5</v>
      </c>
      <c r="AB33" s="116">
        <v>17</v>
      </c>
      <c r="AC33" s="122">
        <v>6</v>
      </c>
      <c r="AD33" s="122">
        <v>3.9</v>
      </c>
      <c r="AE33" s="79">
        <v>0.16</v>
      </c>
      <c r="AF33" s="79">
        <v>0.12</v>
      </c>
      <c r="AG33" s="85">
        <f>(O33+0.3*H33+2)*(F33/2/AK33)</f>
        <v>1506.6912499999999</v>
      </c>
      <c r="AH33" s="85">
        <f t="shared" si="5"/>
        <v>1750.3931224</v>
      </c>
      <c r="AI33" s="85">
        <f t="shared" si="6"/>
        <v>1.1617463912397448</v>
      </c>
      <c r="AJ33" s="116">
        <v>4</v>
      </c>
      <c r="AK33" s="116">
        <v>4</v>
      </c>
      <c r="AL33" s="122">
        <v>6.2</v>
      </c>
      <c r="AM33" s="116">
        <v>23</v>
      </c>
      <c r="AN33" s="122">
        <v>6.1</v>
      </c>
      <c r="AO33" s="122">
        <v>3.5</v>
      </c>
      <c r="AP33" s="79">
        <v>0.12</v>
      </c>
      <c r="AQ33" s="79">
        <v>0.2</v>
      </c>
      <c r="AR33" s="132">
        <f>SUM(C33:E33)</f>
        <v>2112</v>
      </c>
      <c r="AS33" s="134">
        <f>C33/AR33</f>
        <v>0.19554924242424243</v>
      </c>
      <c r="AT33" s="134">
        <f>D33/AR33</f>
        <v>0.71022727272727271</v>
      </c>
      <c r="AU33" s="134">
        <f>E33/AR33</f>
        <v>9.4223484848484848E-2</v>
      </c>
      <c r="AV33" s="151">
        <f>IF(AND(F33&lt;&gt;"",Z33&lt;&gt;""),AB33/(F33/2/Z33),"")</f>
        <v>6.5102920057443753E-2</v>
      </c>
      <c r="AW33" s="151">
        <f>IF(AND(F33&lt;&gt;"",AK33&lt;&gt;""),AM33/(F33/2/AK33),"")</f>
        <v>8.8080421254188607E-2</v>
      </c>
      <c r="AX33" s="41">
        <f>IF(AND(AQ33&lt;&gt;"",1-(AQ33/O33)&gt;0),1-(AQ33/O33),"")</f>
        <v>0.75903614457831325</v>
      </c>
      <c r="AY33" s="41">
        <f>IF(AND(AF33&lt;&gt;"",1-(AF33/O33)&gt;0),1-(AF33/O33),"")</f>
        <v>0.85542168674698793</v>
      </c>
      <c r="AZ33" s="136" t="str">
        <f>IF(Q33="","",IF(Q33&lt;2.5,"Alc. Bruta &lt; 2,5 mg/L",IF(Q33&lt;5,"2,5 ≤ Alc. Bruta &lt; 5,0 mg/L",IF(Q33&lt;7.5,"5,0 ≤ Alc. Bruta &lt; 7,5 mg/L",IF(Q33&lt;10,"7,5 ≤ Alc. Bruta &lt; 10,0 mg/L",IF(Q33&lt;15,"10,0 ≤ Alca. Bruta &lt; 15,0 mg/L","Alc. Bruta &gt; 15 mg/L"))))))</f>
        <v>5,0 ≤ Alc. Bruta &lt; 7,5 mg/L</v>
      </c>
      <c r="BA33" s="136" t="str">
        <f>IF(P33="","",IF(P33&lt;5,"Cor &lt;5 uC",IF(P33&lt;10,"5 ≤ Cor &lt; 10 uC",IF(P33&lt;15,"10 ≤ Cor &lt;15 uC",IF(P33&lt;30,"15 ≤ Cor &lt; 30 uC",IF(P33&lt;50,"30 ≤ Cor &lt; 50 uC","Cor &gt; 50 uC"))))))</f>
        <v>5 ≤ Cor &lt; 10 uC</v>
      </c>
      <c r="BB33" s="137" t="str">
        <f>IF(O33="","",IF(O33&lt;2.5,"Turbidez &lt; 2,5 uT",IF(O33&lt;5,"2,5 ≤ Turb &lt; 5,0 uT",IF(O33&lt;7.5,"5,0 ≤ Turb &lt; 7,5 uT",IF(O33&lt;10,"7,5 ≤ Turb &lt; 10,0 uT",IF(O33&lt;15,"10,0 ≤ Turb &lt; 15,0 uT","Turb &gt; 15 uT"))))))</f>
        <v>Turbidez &lt; 2,5 uT</v>
      </c>
      <c r="BC33" s="138" t="str">
        <f>IF(AND(C33&gt;D33,D33&gt;E33),"TOR &gt; SM &gt; BNN",IF(AND(C33&gt;E33,E33&gt;D33),"TOR &gt; BNN &gt; SM",IF(AND(D33&gt;C33,C33&gt;E33),"SM &gt; TOR &gt; BNN",IF(AND(D33&gt;E33,E33&gt;C33),"SM &gt; BNN &gt; TOR",IF(AND(C33=D33,D33=E33),"TOR = SM = BNN","Comb. diferentes")))))</f>
        <v>SM &gt; TOR &gt; BNN</v>
      </c>
      <c r="BD33" s="137" t="str">
        <f>IF(OR(AE33="",AQ33="-"),"",IF(AE33&lt;=0.25,"Tipo 1 (≤0,25) uT",IF(AE33&lt;=0.5,"Tipo 2 (0,25-0,50) uT",IF(AE33&lt;=0.75,"Tipo 3 (0,50-0,75) uT","Tipo 4 (&gt;0,75) uT"))))</f>
        <v>Tipo 1 (≤0,25) uT</v>
      </c>
      <c r="BE33" s="137" t="str">
        <f t="shared" si="0"/>
        <v>Tipo 1 (≤0,25) uT</v>
      </c>
      <c r="BF33" s="137" t="str">
        <f>IF(OR(AF33="",AQ33="-"),"",IF(AF33&lt;=0.25,"Tipo 1 (≤0,25) uT",IF(AF33&lt;=0.5,"Tipo 2 (0,25-0,50) uT",IF(AF33&lt;=0.75,"Tipo 3 (0,50-0,75) uT","Tipo 4 (&gt;0,75) uT"))))</f>
        <v>Tipo 1 (≤0,25) uT</v>
      </c>
      <c r="BG33" s="137" t="str">
        <f t="shared" si="1"/>
        <v>Tipo 1 (≤0,25) uT</v>
      </c>
      <c r="BH33" s="137" t="str">
        <f>IF(OR(R33="",R33="-"),"",IF(R33&lt;=0.25,"Tipo 1 (≤0,25) uT",IF(R33&lt;=0.5,"Tipo 2 (0,25-0,50) uT",IF(R33&lt;=0.75,"Tipo 3 (0,50-0,75) uT","Tipo 4 (&gt;0,75) uT"))))</f>
        <v>Tipo 1 (≤0,25) uT</v>
      </c>
    </row>
    <row r="34" spans="1:60" x14ac:dyDescent="0.3">
      <c r="A34" s="74">
        <v>46262</v>
      </c>
      <c r="B34" s="139" t="s">
        <v>303</v>
      </c>
      <c r="C34" s="116">
        <v>393</v>
      </c>
      <c r="D34" s="116">
        <v>1490</v>
      </c>
      <c r="E34" s="116">
        <v>200</v>
      </c>
      <c r="F34" s="116">
        <v>2100</v>
      </c>
      <c r="G34" s="144" t="s">
        <v>100</v>
      </c>
      <c r="H34" s="122">
        <v>9.8000000000000007</v>
      </c>
      <c r="I34" s="116">
        <v>-148.69999999999999</v>
      </c>
      <c r="J34" s="10">
        <v>90</v>
      </c>
      <c r="K34" s="116">
        <v>90</v>
      </c>
      <c r="L34" s="116">
        <v>90</v>
      </c>
      <c r="M34" s="122">
        <v>25.7</v>
      </c>
      <c r="N34" s="122">
        <v>6.6</v>
      </c>
      <c r="O34" s="79">
        <v>0.96</v>
      </c>
      <c r="P34" s="116">
        <v>6</v>
      </c>
      <c r="Q34" s="122">
        <v>5.7</v>
      </c>
      <c r="R34" s="10">
        <v>0.06</v>
      </c>
      <c r="S34" s="79">
        <v>22.36</v>
      </c>
      <c r="T34" s="79">
        <v>0.88</v>
      </c>
      <c r="U34" s="79">
        <v>0.7</v>
      </c>
      <c r="V34" s="85">
        <f t="shared" si="2"/>
        <v>1548.75</v>
      </c>
      <c r="W34" s="85">
        <f t="shared" si="3"/>
        <v>1372.556302</v>
      </c>
      <c r="X34" s="85">
        <f t="shared" si="4"/>
        <v>0.88623490040355124</v>
      </c>
      <c r="Y34" s="116">
        <v>3</v>
      </c>
      <c r="Z34" s="116">
        <v>4</v>
      </c>
      <c r="AA34" s="122">
        <v>6.5</v>
      </c>
      <c r="AB34" s="116">
        <v>17</v>
      </c>
      <c r="AC34" s="122">
        <v>6</v>
      </c>
      <c r="AD34" s="122">
        <v>4.5999999999999996</v>
      </c>
      <c r="AE34" s="79">
        <v>0.25</v>
      </c>
      <c r="AF34" s="79">
        <v>0.12</v>
      </c>
      <c r="AG34" s="85">
        <f>(O34+0.3*H34+2)*(F34/2/AK34)</f>
        <v>1548.75</v>
      </c>
      <c r="AH34" s="85">
        <f t="shared" si="5"/>
        <v>1750.3931224</v>
      </c>
      <c r="AI34" s="85">
        <f t="shared" si="6"/>
        <v>1.1301973348829701</v>
      </c>
      <c r="AJ34" s="116">
        <v>4</v>
      </c>
      <c r="AK34" s="116">
        <v>4</v>
      </c>
      <c r="AL34" s="122">
        <v>6.2</v>
      </c>
      <c r="AM34" s="116">
        <v>23</v>
      </c>
      <c r="AN34" s="122">
        <v>6.1</v>
      </c>
      <c r="AO34" s="122">
        <v>3.7</v>
      </c>
      <c r="AP34" s="79">
        <v>0.17</v>
      </c>
      <c r="AQ34" s="79">
        <v>0.21</v>
      </c>
      <c r="AR34" s="132">
        <f>SUM(C34:E34)</f>
        <v>2083</v>
      </c>
      <c r="AS34" s="134">
        <f>C34/AR34</f>
        <v>0.18867018722995679</v>
      </c>
      <c r="AT34" s="134">
        <f>D34/AR34</f>
        <v>0.71531445031204988</v>
      </c>
      <c r="AU34" s="134">
        <f>E34/AR34</f>
        <v>9.6015362457993275E-2</v>
      </c>
      <c r="AV34" s="151">
        <f>IF(AND(F34&lt;&gt;"",Z34&lt;&gt;""),AB34/(F34/2/Z34),"")</f>
        <v>6.4761904761904757E-2</v>
      </c>
      <c r="AW34" s="151">
        <f>IF(AND(F34&lt;&gt;"",AK34&lt;&gt;""),AM34/(F34/2/AK34),"")</f>
        <v>8.7619047619047624E-2</v>
      </c>
      <c r="AX34" s="41">
        <f>IF(AND(AQ34&lt;&gt;"",1-(AQ34/O34)&gt;0),1-(AQ34/O34),"")</f>
        <v>0.78125</v>
      </c>
      <c r="AY34" s="41">
        <f>IF(AND(AF34&lt;&gt;"",1-(AF34/O34)&gt;0),1-(AF34/O34),"")</f>
        <v>0.875</v>
      </c>
      <c r="AZ34" s="136" t="str">
        <f>IF(Q34="","",IF(Q34&lt;2.5,"Alc. Bruta &lt; 2,5 mg/L",IF(Q34&lt;5,"2,5 ≤ Alc. Bruta &lt; 5,0 mg/L",IF(Q34&lt;7.5,"5,0 ≤ Alc. Bruta &lt; 7,5 mg/L",IF(Q34&lt;10,"7,5 ≤ Alc. Bruta &lt; 10,0 mg/L",IF(Q34&lt;15,"10,0 ≤ Alca. Bruta &lt; 15,0 mg/L","Alc. Bruta &gt; 15 mg/L"))))))</f>
        <v>5,0 ≤ Alc. Bruta &lt; 7,5 mg/L</v>
      </c>
      <c r="BA34" s="136" t="str">
        <f>IF(P34="","",IF(P34&lt;5,"Cor &lt;5 uC",IF(P34&lt;10,"5 ≤ Cor &lt; 10 uC",IF(P34&lt;15,"10 ≤ Cor &lt;15 uC",IF(P34&lt;30,"15 ≤ Cor &lt; 30 uC",IF(P34&lt;50,"30 ≤ Cor &lt; 50 uC","Cor &gt; 50 uC"))))))</f>
        <v>5 ≤ Cor &lt; 10 uC</v>
      </c>
      <c r="BB34" s="137" t="str">
        <f>IF(O34="","",IF(O34&lt;2.5,"Turbidez &lt; 2,5 uT",IF(O34&lt;5,"2,5 ≤ Turb &lt; 5,0 uT",IF(O34&lt;7.5,"5,0 ≤ Turb &lt; 7,5 uT",IF(O34&lt;10,"7,5 ≤ Turb &lt; 10,0 uT",IF(O34&lt;15,"10,0 ≤ Turb &lt; 15,0 uT","Turb &gt; 15 uT"))))))</f>
        <v>Turbidez &lt; 2,5 uT</v>
      </c>
      <c r="BC34" s="138" t="str">
        <f>IF(AND(C34&gt;D34,D34&gt;E34),"TOR &gt; SM &gt; BNN",IF(AND(C34&gt;E34,E34&gt;D34),"TOR &gt; BNN &gt; SM",IF(AND(D34&gt;C34,C34&gt;E34),"SM &gt; TOR &gt; BNN",IF(AND(D34&gt;E34,E34&gt;C34),"SM &gt; BNN &gt; TOR",IF(AND(C34=D34,D34=E34),"TOR = SM = BNN","Comb. diferentes")))))</f>
        <v>SM &gt; TOR &gt; BNN</v>
      </c>
      <c r="BD34" s="137" t="str">
        <f>IF(OR(AE34="",AQ34="-"),"",IF(AE34&lt;=0.25,"Tipo 1 (≤0,25) uT",IF(AE34&lt;=0.5,"Tipo 2 (0,25-0,50) uT",IF(AE34&lt;=0.75,"Tipo 3 (0,50-0,75) uT","Tipo 4 (&gt;0,75) uT"))))</f>
        <v>Tipo 1 (≤0,25) uT</v>
      </c>
      <c r="BE34" s="137" t="str">
        <f t="shared" si="0"/>
        <v>Tipo 1 (≤0,25) uT</v>
      </c>
      <c r="BF34" s="137" t="str">
        <f>IF(OR(AF34="",AQ34="-"),"",IF(AF34&lt;=0.25,"Tipo 1 (≤0,25) uT",IF(AF34&lt;=0.5,"Tipo 2 (0,25-0,50) uT",IF(AF34&lt;=0.75,"Tipo 3 (0,50-0,75) uT","Tipo 4 (&gt;0,75) uT"))))</f>
        <v>Tipo 1 (≤0,25) uT</v>
      </c>
      <c r="BG34" s="137" t="str">
        <f t="shared" si="1"/>
        <v>Tipo 1 (≤0,25) uT</v>
      </c>
      <c r="BH34" s="137" t="str">
        <f>IF(OR(R34="",R34="-"),"",IF(R34&lt;=0.25,"Tipo 1 (≤0,25) uT",IF(R34&lt;=0.5,"Tipo 2 (0,25-0,50) uT",IF(R34&lt;=0.75,"Tipo 3 (0,50-0,75) uT","Tipo 4 (&gt;0,75) uT"))))</f>
        <v>Tipo 1 (≤0,25) uT</v>
      </c>
    </row>
    <row r="35" spans="1:60" x14ac:dyDescent="0.3">
      <c r="A35" s="74">
        <v>46262</v>
      </c>
      <c r="B35" s="139" t="s">
        <v>304</v>
      </c>
      <c r="C35" s="116">
        <v>390</v>
      </c>
      <c r="D35" s="116">
        <v>1493</v>
      </c>
      <c r="E35" s="116">
        <v>250</v>
      </c>
      <c r="F35" s="116">
        <v>2151</v>
      </c>
      <c r="G35" s="144" t="s">
        <v>100</v>
      </c>
      <c r="H35" s="122">
        <v>9.8000000000000007</v>
      </c>
      <c r="I35" s="116">
        <v>-146.69999999999999</v>
      </c>
      <c r="J35" s="10">
        <v>90</v>
      </c>
      <c r="K35" s="116">
        <v>90</v>
      </c>
      <c r="L35" s="116">
        <v>90</v>
      </c>
      <c r="M35" s="122">
        <v>24.8</v>
      </c>
      <c r="N35" s="122">
        <v>6.6</v>
      </c>
      <c r="O35" s="79">
        <v>0.93</v>
      </c>
      <c r="P35" s="116">
        <v>6</v>
      </c>
      <c r="Q35" s="122">
        <v>6.7</v>
      </c>
      <c r="R35" s="10">
        <v>7.0000000000000007E-2</v>
      </c>
      <c r="S35" s="79">
        <v>22.36</v>
      </c>
      <c r="T35" s="79">
        <v>0.88</v>
      </c>
      <c r="U35" s="79">
        <v>0.7</v>
      </c>
      <c r="V35" s="85">
        <f t="shared" si="2"/>
        <v>1578.2962500000001</v>
      </c>
      <c r="W35" s="85">
        <f t="shared" si="3"/>
        <v>1372.556302</v>
      </c>
      <c r="X35" s="85">
        <f t="shared" si="4"/>
        <v>0.86964427749226414</v>
      </c>
      <c r="Y35" s="116">
        <v>3</v>
      </c>
      <c r="Z35" s="116">
        <v>4</v>
      </c>
      <c r="AA35" s="122">
        <v>6.5</v>
      </c>
      <c r="AB35" s="116">
        <v>17</v>
      </c>
      <c r="AC35" s="122">
        <v>6</v>
      </c>
      <c r="AD35" s="122">
        <v>4.2</v>
      </c>
      <c r="AE35" s="79">
        <v>0.21</v>
      </c>
      <c r="AF35" s="79">
        <v>0.13</v>
      </c>
      <c r="AG35" s="85">
        <f>(O35+0.3*H35+2)*(F35/2/AK35)</f>
        <v>1578.2962500000001</v>
      </c>
      <c r="AH35" s="85">
        <f t="shared" si="5"/>
        <v>1750.3931224</v>
      </c>
      <c r="AI35" s="85">
        <f t="shared" si="6"/>
        <v>1.1090396510794471</v>
      </c>
      <c r="AJ35" s="116">
        <v>3</v>
      </c>
      <c r="AK35" s="116">
        <v>4</v>
      </c>
      <c r="AL35" s="122">
        <v>6.2</v>
      </c>
      <c r="AM35" s="116">
        <v>23</v>
      </c>
      <c r="AN35" s="122">
        <v>6</v>
      </c>
      <c r="AO35" s="122">
        <v>4.3</v>
      </c>
      <c r="AP35" s="79">
        <v>0.19</v>
      </c>
      <c r="AQ35" s="79">
        <v>0.24</v>
      </c>
      <c r="AR35" s="132">
        <f>SUM(C35:E35)</f>
        <v>2133</v>
      </c>
      <c r="AS35" s="134">
        <f>C35/AR35</f>
        <v>0.18284106891701829</v>
      </c>
      <c r="AT35" s="134">
        <f>D35/AR35</f>
        <v>0.69995311767463664</v>
      </c>
      <c r="AU35" s="134">
        <f>E35/AR35</f>
        <v>0.11720581340834506</v>
      </c>
      <c r="AV35" s="151">
        <f>IF(AND(F35&lt;&gt;"",Z35&lt;&gt;""),AB35/(F35/2/Z35),"")</f>
        <v>6.3226406322640635E-2</v>
      </c>
      <c r="AW35" s="151">
        <f>IF(AND(F35&lt;&gt;"",AK35&lt;&gt;""),AM35/(F35/2/AK35),"")</f>
        <v>8.5541608554160861E-2</v>
      </c>
      <c r="AX35" s="41">
        <f>IF(AND(AQ35&lt;&gt;"",1-(AQ35/O35)&gt;0),1-(AQ35/O35),"")</f>
        <v>0.74193548387096775</v>
      </c>
      <c r="AY35" s="41">
        <f>IF(AND(AF35&lt;&gt;"",1-(AF35/O35)&gt;0),1-(AF35/O35),"")</f>
        <v>0.86021505376344087</v>
      </c>
      <c r="AZ35" s="136" t="str">
        <f>IF(Q35="","",IF(Q35&lt;2.5,"Alc. Bruta &lt; 2,5 mg/L",IF(Q35&lt;5,"2,5 ≤ Alc. Bruta &lt; 5,0 mg/L",IF(Q35&lt;7.5,"5,0 ≤ Alc. Bruta &lt; 7,5 mg/L",IF(Q35&lt;10,"7,5 ≤ Alc. Bruta &lt; 10,0 mg/L",IF(Q35&lt;15,"10,0 ≤ Alca. Bruta &lt; 15,0 mg/L","Alc. Bruta &gt; 15 mg/L"))))))</f>
        <v>5,0 ≤ Alc. Bruta &lt; 7,5 mg/L</v>
      </c>
      <c r="BA35" s="136" t="str">
        <f>IF(P35="","",IF(P35&lt;5,"Cor &lt;5 uC",IF(P35&lt;10,"5 ≤ Cor &lt; 10 uC",IF(P35&lt;15,"10 ≤ Cor &lt;15 uC",IF(P35&lt;30,"15 ≤ Cor &lt; 30 uC",IF(P35&lt;50,"30 ≤ Cor &lt; 50 uC","Cor &gt; 50 uC"))))))</f>
        <v>5 ≤ Cor &lt; 10 uC</v>
      </c>
      <c r="BB35" s="137" t="str">
        <f>IF(O35="","",IF(O35&lt;2.5,"Turbidez &lt; 2,5 uT",IF(O35&lt;5,"2,5 ≤ Turb &lt; 5,0 uT",IF(O35&lt;7.5,"5,0 ≤ Turb &lt; 7,5 uT",IF(O35&lt;10,"7,5 ≤ Turb &lt; 10,0 uT",IF(O35&lt;15,"10,0 ≤ Turb &lt; 15,0 uT","Turb &gt; 15 uT"))))))</f>
        <v>Turbidez &lt; 2,5 uT</v>
      </c>
      <c r="BC35" s="138" t="str">
        <f>IF(AND(C35&gt;D35,D35&gt;E35),"TOR &gt; SM &gt; BNN",IF(AND(C35&gt;E35,E35&gt;D35),"TOR &gt; BNN &gt; SM",IF(AND(D35&gt;C35,C35&gt;E35),"SM &gt; TOR &gt; BNN",IF(AND(D35&gt;E35,E35&gt;C35),"SM &gt; BNN &gt; TOR",IF(AND(C35=D35,D35=E35),"TOR = SM = BNN","Comb. diferentes")))))</f>
        <v>SM &gt; TOR &gt; BNN</v>
      </c>
      <c r="BD35" s="137" t="str">
        <f>IF(OR(AE35="",AQ35="-"),"",IF(AE35&lt;=0.25,"Tipo 1 (≤0,25) uT",IF(AE35&lt;=0.5,"Tipo 2 (0,25-0,50) uT",IF(AE35&lt;=0.75,"Tipo 3 (0,50-0,75) uT","Tipo 4 (&gt;0,75) uT"))))</f>
        <v>Tipo 1 (≤0,25) uT</v>
      </c>
      <c r="BE35" s="137" t="str">
        <f t="shared" si="0"/>
        <v>Tipo 1 (≤0,25) uT</v>
      </c>
      <c r="BF35" s="137" t="str">
        <f>IF(OR(AF35="",AQ35="-"),"",IF(AF35&lt;=0.25,"Tipo 1 (≤0,25) uT",IF(AF35&lt;=0.5,"Tipo 2 (0,25-0,50) uT",IF(AF35&lt;=0.75,"Tipo 3 (0,50-0,75) uT","Tipo 4 (&gt;0,75) uT"))))</f>
        <v>Tipo 1 (≤0,25) uT</v>
      </c>
      <c r="BG35" s="137" t="str">
        <f t="shared" si="1"/>
        <v>Tipo 1 (≤0,25) uT</v>
      </c>
      <c r="BH35" s="137" t="str">
        <f>IF(OR(R35="",R35="-"),"",IF(R35&lt;=0.25,"Tipo 1 (≤0,25) uT",IF(R35&lt;=0.5,"Tipo 2 (0,25-0,50) uT",IF(R35&lt;=0.75,"Tipo 3 (0,50-0,75) uT","Tipo 4 (&gt;0,75) uT"))))</f>
        <v>Tipo 1 (≤0,25) uT</v>
      </c>
    </row>
    <row r="36" spans="1:60" x14ac:dyDescent="0.3">
      <c r="A36" s="74">
        <v>46262</v>
      </c>
      <c r="B36" s="139" t="s">
        <v>305</v>
      </c>
      <c r="C36" s="116">
        <v>295</v>
      </c>
      <c r="D36" s="116">
        <v>1501</v>
      </c>
      <c r="E36" s="116">
        <v>250</v>
      </c>
      <c r="F36" s="116">
        <v>2196</v>
      </c>
      <c r="G36" s="144" t="s">
        <v>100</v>
      </c>
      <c r="H36" s="122">
        <v>9.8000000000000007</v>
      </c>
      <c r="I36" s="116">
        <v>-144.69999999999999</v>
      </c>
      <c r="J36" s="10">
        <v>90</v>
      </c>
      <c r="K36" s="116">
        <v>90</v>
      </c>
      <c r="L36" s="116">
        <v>90</v>
      </c>
      <c r="M36" s="122">
        <v>25</v>
      </c>
      <c r="N36" s="122">
        <v>6.6</v>
      </c>
      <c r="O36" s="79">
        <v>0.85</v>
      </c>
      <c r="P36" s="116">
        <v>6</v>
      </c>
      <c r="Q36" s="122">
        <v>6.8</v>
      </c>
      <c r="R36" s="10">
        <v>7.0000000000000007E-2</v>
      </c>
      <c r="S36" s="79">
        <v>22.36</v>
      </c>
      <c r="T36" s="79">
        <v>0.88</v>
      </c>
      <c r="U36" s="79">
        <v>0.7</v>
      </c>
      <c r="V36" s="85">
        <f t="shared" si="2"/>
        <v>1589.355</v>
      </c>
      <c r="W36" s="85">
        <f t="shared" si="3"/>
        <v>1372.556302</v>
      </c>
      <c r="X36" s="85">
        <f t="shared" si="4"/>
        <v>0.86359328280969316</v>
      </c>
      <c r="Y36" s="116">
        <v>3</v>
      </c>
      <c r="Z36" s="116">
        <v>4</v>
      </c>
      <c r="AA36" s="122">
        <v>6.5</v>
      </c>
      <c r="AB36" s="116">
        <v>17</v>
      </c>
      <c r="AC36" s="122">
        <v>6</v>
      </c>
      <c r="AD36" s="122">
        <v>4.7</v>
      </c>
      <c r="AE36" s="79">
        <v>0.19</v>
      </c>
      <c r="AF36" s="79">
        <v>0.13</v>
      </c>
      <c r="AG36" s="85">
        <f>(O36+0.3*H36+2)*(F36/2/AK36)</f>
        <v>1589.355</v>
      </c>
      <c r="AH36" s="85">
        <f t="shared" si="5"/>
        <v>1750.3931224</v>
      </c>
      <c r="AI36" s="85">
        <f t="shared" si="6"/>
        <v>1.1013229406897767</v>
      </c>
      <c r="AJ36" s="116">
        <v>4</v>
      </c>
      <c r="AK36" s="116">
        <v>4</v>
      </c>
      <c r="AL36" s="122">
        <v>6.2</v>
      </c>
      <c r="AM36" s="116">
        <v>23</v>
      </c>
      <c r="AN36" s="122">
        <v>6</v>
      </c>
      <c r="AO36" s="122">
        <v>4.0999999999999996</v>
      </c>
      <c r="AP36" s="79">
        <v>0.21</v>
      </c>
      <c r="AQ36" s="79">
        <v>0.23</v>
      </c>
      <c r="AR36" s="132">
        <f>SUM(C36:E36)</f>
        <v>2046</v>
      </c>
      <c r="AS36" s="134">
        <f>C36/AR36</f>
        <v>0.14418377321603129</v>
      </c>
      <c r="AT36" s="134">
        <f>D36/AR36</f>
        <v>0.73362658846529816</v>
      </c>
      <c r="AU36" s="134">
        <f>E36/AR36</f>
        <v>0.12218963831867058</v>
      </c>
      <c r="AV36" s="151">
        <f>IF(AND(F36&lt;&gt;"",Z36&lt;&gt;""),AB36/(F36/2/Z36),"")</f>
        <v>6.1930783242258654E-2</v>
      </c>
      <c r="AW36" s="151">
        <f>IF(AND(F36&lt;&gt;"",AK36&lt;&gt;""),AM36/(F36/2/AK36),"")</f>
        <v>8.3788706739526417E-2</v>
      </c>
      <c r="AX36" s="41">
        <f>IF(AND(AQ36&lt;&gt;"",1-(AQ36/O36)&gt;0),1-(AQ36/O36),"")</f>
        <v>0.72941176470588232</v>
      </c>
      <c r="AY36" s="41">
        <f>IF(AND(AF36&lt;&gt;"",1-(AF36/O36)&gt;0),1-(AF36/O36),"")</f>
        <v>0.84705882352941175</v>
      </c>
      <c r="AZ36" s="136" t="str">
        <f>IF(Q36="","",IF(Q36&lt;2.5,"Alc. Bruta &lt; 2,5 mg/L",IF(Q36&lt;5,"2,5 ≤ Alc. Bruta &lt; 5,0 mg/L",IF(Q36&lt;7.5,"5,0 ≤ Alc. Bruta &lt; 7,5 mg/L",IF(Q36&lt;10,"7,5 ≤ Alc. Bruta &lt; 10,0 mg/L",IF(Q36&lt;15,"10,0 ≤ Alca. Bruta &lt; 15,0 mg/L","Alc. Bruta &gt; 15 mg/L"))))))</f>
        <v>5,0 ≤ Alc. Bruta &lt; 7,5 mg/L</v>
      </c>
      <c r="BA36" s="136" t="str">
        <f>IF(P36="","",IF(P36&lt;5,"Cor &lt;5 uC",IF(P36&lt;10,"5 ≤ Cor &lt; 10 uC",IF(P36&lt;15,"10 ≤ Cor &lt;15 uC",IF(P36&lt;30,"15 ≤ Cor &lt; 30 uC",IF(P36&lt;50,"30 ≤ Cor &lt; 50 uC","Cor &gt; 50 uC"))))))</f>
        <v>5 ≤ Cor &lt; 10 uC</v>
      </c>
      <c r="BB36" s="137" t="str">
        <f>IF(O36="","",IF(O36&lt;2.5,"Turbidez &lt; 2,5 uT",IF(O36&lt;5,"2,5 ≤ Turb &lt; 5,0 uT",IF(O36&lt;7.5,"5,0 ≤ Turb &lt; 7,5 uT",IF(O36&lt;10,"7,5 ≤ Turb &lt; 10,0 uT",IF(O36&lt;15,"10,0 ≤ Turb &lt; 15,0 uT","Turb &gt; 15 uT"))))))</f>
        <v>Turbidez &lt; 2,5 uT</v>
      </c>
      <c r="BC36" s="138" t="str">
        <f>IF(AND(C36&gt;D36,D36&gt;E36),"TOR &gt; SM &gt; BNN",IF(AND(C36&gt;E36,E36&gt;D36),"TOR &gt; BNN &gt; SM",IF(AND(D36&gt;C36,C36&gt;E36),"SM &gt; TOR &gt; BNN",IF(AND(D36&gt;E36,E36&gt;C36),"SM &gt; BNN &gt; TOR",IF(AND(C36=D36,D36=E36),"TOR = SM = BNN","Comb. diferentes")))))</f>
        <v>SM &gt; TOR &gt; BNN</v>
      </c>
      <c r="BD36" s="137" t="str">
        <f>IF(OR(AE36="",AQ36="-"),"",IF(AE36&lt;=0.25,"Tipo 1 (≤0,25) uT",IF(AE36&lt;=0.5,"Tipo 2 (0,25-0,50) uT",IF(AE36&lt;=0.75,"Tipo 3 (0,50-0,75) uT","Tipo 4 (&gt;0,75) uT"))))</f>
        <v>Tipo 1 (≤0,25) uT</v>
      </c>
      <c r="BE36" s="137" t="str">
        <f t="shared" si="0"/>
        <v>Tipo 1 (≤0,25) uT</v>
      </c>
      <c r="BF36" s="137" t="str">
        <f>IF(OR(AF36="",AQ36="-"),"",IF(AF36&lt;=0.25,"Tipo 1 (≤0,25) uT",IF(AF36&lt;=0.5,"Tipo 2 (0,25-0,50) uT",IF(AF36&lt;=0.75,"Tipo 3 (0,50-0,75) uT","Tipo 4 (&gt;0,75) uT"))))</f>
        <v>Tipo 1 (≤0,25) uT</v>
      </c>
      <c r="BG36" s="137" t="str">
        <f t="shared" si="1"/>
        <v>Tipo 1 (≤0,25) uT</v>
      </c>
      <c r="BH36" s="137" t="str">
        <f>IF(OR(R36="",R36="-"),"",IF(R36&lt;=0.25,"Tipo 1 (≤0,25) uT",IF(R36&lt;=0.5,"Tipo 2 (0,25-0,50) uT",IF(R36&lt;=0.75,"Tipo 3 (0,50-0,75) uT","Tipo 4 (&gt;0,75) uT"))))</f>
        <v>Tipo 1 (≤0,25) uT</v>
      </c>
    </row>
    <row r="37" spans="1:60" x14ac:dyDescent="0.3">
      <c r="A37" s="74">
        <v>46263</v>
      </c>
      <c r="B37" s="139" t="s">
        <v>306</v>
      </c>
      <c r="C37" s="116">
        <v>381</v>
      </c>
      <c r="D37" s="116">
        <v>1538</v>
      </c>
      <c r="E37" s="116">
        <v>250</v>
      </c>
      <c r="F37" s="116">
        <v>2145</v>
      </c>
      <c r="G37" s="144" t="s">
        <v>100</v>
      </c>
      <c r="H37" s="122">
        <v>9.8000000000000007</v>
      </c>
      <c r="I37" s="116">
        <v>-138.6</v>
      </c>
      <c r="J37" s="10">
        <v>90</v>
      </c>
      <c r="K37" s="116">
        <v>90</v>
      </c>
      <c r="L37" s="116">
        <v>90</v>
      </c>
      <c r="M37" s="122">
        <v>25</v>
      </c>
      <c r="N37" s="122">
        <v>6.6</v>
      </c>
      <c r="O37" s="79">
        <v>0.94</v>
      </c>
      <c r="P37" s="116">
        <v>6</v>
      </c>
      <c r="Q37" s="122">
        <v>6.2</v>
      </c>
      <c r="R37" s="10">
        <v>0.06</v>
      </c>
      <c r="S37" s="79">
        <v>22.36</v>
      </c>
      <c r="T37" s="79">
        <v>0.88</v>
      </c>
      <c r="U37" s="79">
        <v>0.7</v>
      </c>
      <c r="V37" s="85">
        <f t="shared" si="2"/>
        <v>1576.575</v>
      </c>
      <c r="W37" s="85">
        <f t="shared" si="3"/>
        <v>1372.556302</v>
      </c>
      <c r="X37" s="85">
        <f t="shared" si="4"/>
        <v>0.87059372500515353</v>
      </c>
      <c r="Y37" s="116">
        <v>3</v>
      </c>
      <c r="Z37" s="116">
        <v>4</v>
      </c>
      <c r="AA37" s="122">
        <v>6.5</v>
      </c>
      <c r="AB37" s="116">
        <v>17</v>
      </c>
      <c r="AC37" s="122">
        <v>5.9</v>
      </c>
      <c r="AD37" s="122">
        <v>4.3</v>
      </c>
      <c r="AE37" s="79">
        <v>0.11</v>
      </c>
      <c r="AF37" s="79">
        <v>0.12</v>
      </c>
      <c r="AG37" s="85">
        <f>(O37+0.3*H37+2)*(F37/2/AK37)</f>
        <v>1576.575</v>
      </c>
      <c r="AH37" s="85">
        <f t="shared" si="5"/>
        <v>1750.3931224</v>
      </c>
      <c r="AI37" s="85">
        <f t="shared" si="6"/>
        <v>1.1102504621727478</v>
      </c>
      <c r="AJ37" s="116">
        <v>3</v>
      </c>
      <c r="AK37" s="116">
        <v>4</v>
      </c>
      <c r="AL37" s="122">
        <v>6.2</v>
      </c>
      <c r="AM37" s="116">
        <v>23</v>
      </c>
      <c r="AN37" s="122">
        <v>6.1</v>
      </c>
      <c r="AO37" s="122">
        <v>4.2</v>
      </c>
      <c r="AP37" s="79">
        <v>0.12</v>
      </c>
      <c r="AQ37" s="79">
        <v>0.22</v>
      </c>
      <c r="AR37" s="132">
        <f>SUM(C37:E37)</f>
        <v>2169</v>
      </c>
      <c r="AS37" s="134">
        <f>C37/AR37</f>
        <v>0.17565698478561548</v>
      </c>
      <c r="AT37" s="134">
        <f>D37/AR37</f>
        <v>0.70908252650991244</v>
      </c>
      <c r="AU37" s="134">
        <f>E37/AR37</f>
        <v>0.11526048870447211</v>
      </c>
      <c r="AV37" s="151">
        <f>IF(AND(F37&lt;&gt;"",Z37&lt;&gt;""),AB37/(F37/2/Z37),"")</f>
        <v>6.340326340326341E-2</v>
      </c>
      <c r="AW37" s="151">
        <f>IF(AND(F37&lt;&gt;"",AK37&lt;&gt;""),AM37/(F37/2/AK37),"")</f>
        <v>8.5780885780885788E-2</v>
      </c>
      <c r="AX37" s="41">
        <f>IF(AND(AQ37&lt;&gt;"",1-(AQ37/O37)&gt;0),1-(AQ37/O37),"")</f>
        <v>0.76595744680851063</v>
      </c>
      <c r="AY37" s="41">
        <f>IF(AND(AF37&lt;&gt;"",1-(AF37/O37)&gt;0),1-(AF37/O37),"")</f>
        <v>0.87234042553191493</v>
      </c>
      <c r="AZ37" s="136" t="str">
        <f>IF(Q37="","",IF(Q37&lt;2.5,"Alc. Bruta &lt; 2,5 mg/L",IF(Q37&lt;5,"2,5 ≤ Alc. Bruta &lt; 5,0 mg/L",IF(Q37&lt;7.5,"5,0 ≤ Alc. Bruta &lt; 7,5 mg/L",IF(Q37&lt;10,"7,5 ≤ Alc. Bruta &lt; 10,0 mg/L",IF(Q37&lt;15,"10,0 ≤ Alca. Bruta &lt; 15,0 mg/L","Alc. Bruta &gt; 15 mg/L"))))))</f>
        <v>5,0 ≤ Alc. Bruta &lt; 7,5 mg/L</v>
      </c>
      <c r="BA37" s="136" t="str">
        <f>IF(P37="","",IF(P37&lt;5,"Cor &lt;5 uC",IF(P37&lt;10,"5 ≤ Cor &lt; 10 uC",IF(P37&lt;15,"10 ≤ Cor &lt;15 uC",IF(P37&lt;30,"15 ≤ Cor &lt; 30 uC",IF(P37&lt;50,"30 ≤ Cor &lt; 50 uC","Cor &gt; 50 uC"))))))</f>
        <v>5 ≤ Cor &lt; 10 uC</v>
      </c>
      <c r="BB37" s="137" t="str">
        <f>IF(O37="","",IF(O37&lt;2.5,"Turbidez &lt; 2,5 uT",IF(O37&lt;5,"2,5 ≤ Turb &lt; 5,0 uT",IF(O37&lt;7.5,"5,0 ≤ Turb &lt; 7,5 uT",IF(O37&lt;10,"7,5 ≤ Turb &lt; 10,0 uT",IF(O37&lt;15,"10,0 ≤ Turb &lt; 15,0 uT","Turb &gt; 15 uT"))))))</f>
        <v>Turbidez &lt; 2,5 uT</v>
      </c>
      <c r="BC37" s="138" t="str">
        <f>IF(AND(C37&gt;D37,D37&gt;E37),"TOR &gt; SM &gt; BNN",IF(AND(C37&gt;E37,E37&gt;D37),"TOR &gt; BNN &gt; SM",IF(AND(D37&gt;C37,C37&gt;E37),"SM &gt; TOR &gt; BNN",IF(AND(D37&gt;E37,E37&gt;C37),"SM &gt; BNN &gt; TOR",IF(AND(C37=D37,D37=E37),"TOR = SM = BNN","Comb. diferentes")))))</f>
        <v>SM &gt; TOR &gt; BNN</v>
      </c>
      <c r="BD37" s="137" t="str">
        <f>IF(OR(AE37="",AQ37="-"),"",IF(AE37&lt;=0.25,"Tipo 1 (≤0,25) uT",IF(AE37&lt;=0.5,"Tipo 2 (0,25-0,50) uT",IF(AE37&lt;=0.75,"Tipo 3 (0,50-0,75) uT","Tipo 4 (&gt;0,75) uT"))))</f>
        <v>Tipo 1 (≤0,25) uT</v>
      </c>
      <c r="BE37" s="137" t="str">
        <f t="shared" si="0"/>
        <v>Tipo 1 (≤0,25) uT</v>
      </c>
      <c r="BF37" s="137" t="str">
        <f>IF(OR(AF37="",AQ37="-"),"",IF(AF37&lt;=0.25,"Tipo 1 (≤0,25) uT",IF(AF37&lt;=0.5,"Tipo 2 (0,25-0,50) uT",IF(AF37&lt;=0.75,"Tipo 3 (0,50-0,75) uT","Tipo 4 (&gt;0,75) uT"))))</f>
        <v>Tipo 1 (≤0,25) uT</v>
      </c>
      <c r="BG37" s="137" t="str">
        <f t="shared" si="1"/>
        <v>Tipo 1 (≤0,25) uT</v>
      </c>
      <c r="BH37" s="137" t="str">
        <f>IF(OR(R37="",R37="-"),"",IF(R37&lt;=0.25,"Tipo 1 (≤0,25) uT",IF(R37&lt;=0.5,"Tipo 2 (0,25-0,50) uT",IF(R37&lt;=0.75,"Tipo 3 (0,50-0,75) uT","Tipo 4 (&gt;0,75) uT"))))</f>
        <v>Tipo 1 (≤0,25) uT</v>
      </c>
    </row>
    <row r="38" spans="1:60" ht="15" thickBot="1" x14ac:dyDescent="0.35">
      <c r="A38" s="75">
        <v>46263</v>
      </c>
      <c r="B38" s="140" t="s">
        <v>307</v>
      </c>
      <c r="C38" s="117">
        <v>397</v>
      </c>
      <c r="D38" s="117">
        <v>1500</v>
      </c>
      <c r="E38" s="117">
        <v>250</v>
      </c>
      <c r="F38" s="117">
        <v>2146</v>
      </c>
      <c r="G38" s="145" t="s">
        <v>100</v>
      </c>
      <c r="H38" s="123">
        <v>10.8</v>
      </c>
      <c r="I38" s="117">
        <v>-136.69999999999999</v>
      </c>
      <c r="J38" s="11">
        <v>90</v>
      </c>
      <c r="K38" s="117">
        <v>90</v>
      </c>
      <c r="L38" s="117">
        <v>90</v>
      </c>
      <c r="M38" s="123">
        <v>24.8</v>
      </c>
      <c r="N38" s="123">
        <v>6.6</v>
      </c>
      <c r="O38" s="80">
        <v>0.81</v>
      </c>
      <c r="P38" s="117">
        <v>6</v>
      </c>
      <c r="Q38" s="123">
        <v>6.9</v>
      </c>
      <c r="R38" s="11">
        <v>0.06</v>
      </c>
      <c r="S38" s="79">
        <v>22.36</v>
      </c>
      <c r="T38" s="79">
        <v>0.88</v>
      </c>
      <c r="U38" s="79">
        <v>0.7</v>
      </c>
      <c r="V38" s="85">
        <f t="shared" si="2"/>
        <v>1622.9125000000001</v>
      </c>
      <c r="W38" s="85">
        <f t="shared" si="3"/>
        <v>1372.556302</v>
      </c>
      <c r="X38" s="85">
        <f t="shared" si="4"/>
        <v>0.8457364780910861</v>
      </c>
      <c r="Y38" s="117">
        <v>3</v>
      </c>
      <c r="Z38" s="117">
        <v>4</v>
      </c>
      <c r="AA38" s="123">
        <v>6.5</v>
      </c>
      <c r="AB38" s="117">
        <v>17</v>
      </c>
      <c r="AC38" s="123">
        <v>6.1</v>
      </c>
      <c r="AD38" s="123">
        <v>4.9000000000000004</v>
      </c>
      <c r="AE38" s="80">
        <v>0.11</v>
      </c>
      <c r="AF38" s="80">
        <v>0.08</v>
      </c>
      <c r="AG38" s="85">
        <f>(O38+0.3*H38+2)*(F38/2/AK38)</f>
        <v>1622.9125000000001</v>
      </c>
      <c r="AH38" s="85">
        <f t="shared" si="5"/>
        <v>1750.3931224</v>
      </c>
      <c r="AI38" s="85">
        <f t="shared" si="6"/>
        <v>1.0785505209923516</v>
      </c>
      <c r="AJ38" s="117">
        <v>3</v>
      </c>
      <c r="AK38" s="117">
        <v>4</v>
      </c>
      <c r="AL38" s="123">
        <v>6.2</v>
      </c>
      <c r="AM38" s="117">
        <v>23</v>
      </c>
      <c r="AN38" s="123">
        <v>6</v>
      </c>
      <c r="AO38" s="123">
        <v>5.7</v>
      </c>
      <c r="AP38" s="80">
        <v>0.11</v>
      </c>
      <c r="AQ38" s="80">
        <v>0.24</v>
      </c>
      <c r="AR38" s="132">
        <f>SUM(C38:E38)</f>
        <v>2147</v>
      </c>
      <c r="AS38" s="134">
        <f>C38/AR38</f>
        <v>0.18490917559385189</v>
      </c>
      <c r="AT38" s="134">
        <f>D38/AR38</f>
        <v>0.69864927806241262</v>
      </c>
      <c r="AU38" s="134">
        <f>E38/AR38</f>
        <v>0.11644154634373545</v>
      </c>
      <c r="AV38" s="151">
        <f>IF(AND(F38&lt;&gt;"",Z38&lt;&gt;""),AB38/(F38/2/Z38),"")</f>
        <v>6.3373718546132343E-2</v>
      </c>
      <c r="AW38" s="151">
        <f>IF(AND(F38&lt;&gt;"",AK38&lt;&gt;""),AM38/(F38/2/AK38),"")</f>
        <v>8.5740913327120222E-2</v>
      </c>
      <c r="AX38" s="41">
        <f>IF(AND(AQ38&lt;&gt;"",1-(AQ38/O38)&gt;0),1-(AQ38/O38),"")</f>
        <v>0.70370370370370372</v>
      </c>
      <c r="AY38" s="41">
        <f>IF(AND(AF38&lt;&gt;"",1-(AF38/O38)&gt;0),1-(AF38/O38),"")</f>
        <v>0.90123456790123457</v>
      </c>
      <c r="AZ38" s="136" t="str">
        <f>IF(Q38="","",IF(Q38&lt;2.5,"Alc. Bruta &lt; 2,5 mg/L",IF(Q38&lt;5,"2,5 ≤ Alc. Bruta &lt; 5,0 mg/L",IF(Q38&lt;7.5,"5,0 ≤ Alc. Bruta &lt; 7,5 mg/L",IF(Q38&lt;10,"7,5 ≤ Alc. Bruta &lt; 10,0 mg/L",IF(Q38&lt;15,"10,0 ≤ Alca. Bruta &lt; 15,0 mg/L","Alc. Bruta &gt; 15 mg/L"))))))</f>
        <v>5,0 ≤ Alc. Bruta &lt; 7,5 mg/L</v>
      </c>
      <c r="BA38" s="136" t="str">
        <f>IF(P38="","",IF(P38&lt;5,"Cor &lt;5 uC",IF(P38&lt;10,"5 ≤ Cor &lt; 10 uC",IF(P38&lt;15,"10 ≤ Cor &lt;15 uC",IF(P38&lt;30,"15 ≤ Cor &lt; 30 uC",IF(P38&lt;50,"30 ≤ Cor &lt; 50 uC","Cor &gt; 50 uC"))))))</f>
        <v>5 ≤ Cor &lt; 10 uC</v>
      </c>
      <c r="BB38" s="137" t="str">
        <f>IF(O38="","",IF(O38&lt;2.5,"Turbidez &lt; 2,5 uT",IF(O38&lt;5,"2,5 ≤ Turb &lt; 5,0 uT",IF(O38&lt;7.5,"5,0 ≤ Turb &lt; 7,5 uT",IF(O38&lt;10,"7,5 ≤ Turb &lt; 10,0 uT",IF(O38&lt;15,"10,0 ≤ Turb &lt; 15,0 uT","Turb &gt; 15 uT"))))))</f>
        <v>Turbidez &lt; 2,5 uT</v>
      </c>
      <c r="BC38" s="138" t="str">
        <f>IF(AND(C38&gt;D38,D38&gt;E38),"TOR &gt; SM &gt; BNN",IF(AND(C38&gt;E38,E38&gt;D38),"TOR &gt; BNN &gt; SM",IF(AND(D38&gt;C38,C38&gt;E38),"SM &gt; TOR &gt; BNN",IF(AND(D38&gt;E38,E38&gt;C38),"SM &gt; BNN &gt; TOR",IF(AND(C38=D38,D38=E38),"TOR = SM = BNN","Comb. diferentes")))))</f>
        <v>SM &gt; TOR &gt; BNN</v>
      </c>
      <c r="BD38" s="137" t="str">
        <f>IF(OR(AE38="",AQ38="-"),"",IF(AE38&lt;=0.25,"Tipo 1 (≤0,25) uT",IF(AE38&lt;=0.5,"Tipo 2 (0,25-0,50) uT",IF(AE38&lt;=0.75,"Tipo 3 (0,50-0,75) uT","Tipo 4 (&gt;0,75) uT"))))</f>
        <v>Tipo 1 (≤0,25) uT</v>
      </c>
      <c r="BE38" s="137" t="str">
        <f t="shared" si="0"/>
        <v>Tipo 1 (≤0,25) uT</v>
      </c>
      <c r="BF38" s="137" t="str">
        <f>IF(OR(AF38="",AQ38="-"),"",IF(AF38&lt;=0.25,"Tipo 1 (≤0,25) uT",IF(AF38&lt;=0.5,"Tipo 2 (0,25-0,50) uT",IF(AF38&lt;=0.75,"Tipo 3 (0,50-0,75) uT","Tipo 4 (&gt;0,75) uT"))))</f>
        <v>Tipo 1 (≤0,25) uT</v>
      </c>
      <c r="BG38" s="137" t="str">
        <f t="shared" si="1"/>
        <v>Tipo 1 (≤0,25) uT</v>
      </c>
      <c r="BH38" s="137" t="str">
        <f>IF(OR(R38="",R38="-"),"",IF(R38&lt;=0.25,"Tipo 1 (≤0,25) uT",IF(R38&lt;=0.5,"Tipo 2 (0,25-0,50) uT",IF(R38&lt;=0.75,"Tipo 3 (0,50-0,75) uT","Tipo 4 (&gt;0,75) uT"))))</f>
        <v>Tipo 1 (≤0,25) uT</v>
      </c>
    </row>
    <row r="39" spans="1:60" x14ac:dyDescent="0.3">
      <c r="A39" s="73">
        <v>46263</v>
      </c>
      <c r="B39" s="141">
        <v>0.3125</v>
      </c>
      <c r="C39" s="118">
        <v>340</v>
      </c>
      <c r="D39" s="118">
        <v>1608</v>
      </c>
      <c r="E39" s="118">
        <v>249</v>
      </c>
      <c r="F39" s="118">
        <v>2232</v>
      </c>
      <c r="G39" s="146" t="s">
        <v>100</v>
      </c>
      <c r="H39" s="124">
        <v>10.8</v>
      </c>
      <c r="I39" s="118">
        <v>-135</v>
      </c>
      <c r="J39" s="9">
        <v>90</v>
      </c>
      <c r="K39" s="118">
        <v>90</v>
      </c>
      <c r="L39" s="118">
        <v>90</v>
      </c>
      <c r="M39" s="124">
        <v>24.8</v>
      </c>
      <c r="N39" s="124">
        <v>6.5</v>
      </c>
      <c r="O39" s="81">
        <v>0.59</v>
      </c>
      <c r="P39" s="118">
        <v>6</v>
      </c>
      <c r="Q39" s="124">
        <v>6.9</v>
      </c>
      <c r="R39" s="9">
        <v>0.06</v>
      </c>
      <c r="S39" s="79">
        <v>22.36</v>
      </c>
      <c r="T39" s="79">
        <v>0.88</v>
      </c>
      <c r="U39" s="79">
        <v>0.7</v>
      </c>
      <c r="V39" s="85">
        <f t="shared" si="2"/>
        <v>1626.57</v>
      </c>
      <c r="W39" s="85">
        <f t="shared" si="3"/>
        <v>1367.3038038399998</v>
      </c>
      <c r="X39" s="85">
        <f t="shared" si="4"/>
        <v>0.84060557113435008</v>
      </c>
      <c r="Y39" s="118">
        <v>3</v>
      </c>
      <c r="Z39" s="118">
        <v>4</v>
      </c>
      <c r="AA39" s="124">
        <v>6.48</v>
      </c>
      <c r="AB39" s="118">
        <v>17</v>
      </c>
      <c r="AC39" s="124">
        <v>6.3</v>
      </c>
      <c r="AD39" s="124">
        <v>4.2</v>
      </c>
      <c r="AE39" s="81">
        <v>0.11</v>
      </c>
      <c r="AF39" s="81">
        <v>0.11</v>
      </c>
      <c r="AG39" s="85">
        <f>(O39+0.3*H39+2)*(F39/2/AK39)</f>
        <v>1626.57</v>
      </c>
      <c r="AH39" s="85">
        <f t="shared" si="5"/>
        <v>1764.6057644799996</v>
      </c>
      <c r="AI39" s="85">
        <f t="shared" si="6"/>
        <v>1.0848630950281879</v>
      </c>
      <c r="AJ39" s="118">
        <v>3</v>
      </c>
      <c r="AK39" s="118">
        <v>4</v>
      </c>
      <c r="AL39" s="124">
        <v>6.24</v>
      </c>
      <c r="AM39" s="118">
        <v>23</v>
      </c>
      <c r="AN39" s="124">
        <v>6.3</v>
      </c>
      <c r="AO39" s="124">
        <v>4.8</v>
      </c>
      <c r="AP39" s="81">
        <v>0.08</v>
      </c>
      <c r="AQ39" s="81">
        <v>0.24</v>
      </c>
      <c r="AR39" s="132">
        <f>SUM(C39:E39)</f>
        <v>2197</v>
      </c>
      <c r="AS39" s="134">
        <f>C39/AR39</f>
        <v>0.15475648611743287</v>
      </c>
      <c r="AT39" s="134">
        <f>D39/AR39</f>
        <v>0.73190714610832952</v>
      </c>
      <c r="AU39" s="134">
        <f>E39/AR39</f>
        <v>0.1133363677742376</v>
      </c>
      <c r="AV39" s="151">
        <f>IF(AND(F39&lt;&gt;"",Z39&lt;&gt;""),AB39/(F39/2/Z39),"")</f>
        <v>6.093189964157706E-2</v>
      </c>
      <c r="AW39" s="151">
        <f>IF(AND(F39&lt;&gt;"",AK39&lt;&gt;""),AM39/(F39/2/AK39),"")</f>
        <v>8.2437275985663083E-2</v>
      </c>
      <c r="AX39" s="41">
        <f>IF(AND(AQ39&lt;&gt;"",1-(AQ39/O39)&gt;0),1-(AQ39/O39),"")</f>
        <v>0.59322033898305082</v>
      </c>
      <c r="AY39" s="41">
        <f>IF(AND(AF39&lt;&gt;"",1-(AF39/O39)&gt;0),1-(AF39/O39),"")</f>
        <v>0.81355932203389836</v>
      </c>
      <c r="AZ39" s="136" t="str">
        <f>IF(Q39="","",IF(Q39&lt;2.5,"Alc. Bruta &lt; 2,5 mg/L",IF(Q39&lt;5,"2,5 ≤ Alc. Bruta &lt; 5,0 mg/L",IF(Q39&lt;7.5,"5,0 ≤ Alc. Bruta &lt; 7,5 mg/L",IF(Q39&lt;10,"7,5 ≤ Alc. Bruta &lt; 10,0 mg/L",IF(Q39&lt;15,"10,0 ≤ Alca. Bruta &lt; 15,0 mg/L","Alc. Bruta &gt; 15 mg/L"))))))</f>
        <v>5,0 ≤ Alc. Bruta &lt; 7,5 mg/L</v>
      </c>
      <c r="BA39" s="136" t="str">
        <f>IF(P39="","",IF(P39&lt;5,"Cor &lt;5 uC",IF(P39&lt;10,"5 ≤ Cor &lt; 10 uC",IF(P39&lt;15,"10 ≤ Cor &lt;15 uC",IF(P39&lt;30,"15 ≤ Cor &lt; 30 uC",IF(P39&lt;50,"30 ≤ Cor &lt; 50 uC","Cor &gt; 50 uC"))))))</f>
        <v>5 ≤ Cor &lt; 10 uC</v>
      </c>
      <c r="BB39" s="137" t="str">
        <f>IF(O39="","",IF(O39&lt;2.5,"Turbidez &lt; 2,5 uT",IF(O39&lt;5,"2,5 ≤ Turb &lt; 5,0 uT",IF(O39&lt;7.5,"5,0 ≤ Turb &lt; 7,5 uT",IF(O39&lt;10,"7,5 ≤ Turb &lt; 10,0 uT",IF(O39&lt;15,"10,0 ≤ Turb &lt; 15,0 uT","Turb &gt; 15 uT"))))))</f>
        <v>Turbidez &lt; 2,5 uT</v>
      </c>
      <c r="BC39" s="138" t="str">
        <f>IF(AND(C39&gt;D39,D39&gt;E39),"TOR &gt; SM &gt; BNN",IF(AND(C39&gt;E39,E39&gt;D39),"TOR &gt; BNN &gt; SM",IF(AND(D39&gt;C39,C39&gt;E39),"SM &gt; TOR &gt; BNN",IF(AND(D39&gt;E39,E39&gt;C39),"SM &gt; BNN &gt; TOR",IF(AND(C39=D39,D39=E39),"TOR = SM = BNN","Comb. diferentes")))))</f>
        <v>SM &gt; TOR &gt; BNN</v>
      </c>
      <c r="BD39" s="137" t="str">
        <f>IF(OR(AE39="",AQ39="-"),"",IF(AE39&lt;=0.25,"Tipo 1 (≤0,25) uT",IF(AE39&lt;=0.5,"Tipo 2 (0,25-0,50) uT",IF(AE39&lt;=0.75,"Tipo 3 (0,50-0,75) uT","Tipo 4 (&gt;0,75) uT"))))</f>
        <v>Tipo 1 (≤0,25) uT</v>
      </c>
      <c r="BE39" s="137" t="str">
        <f t="shared" si="0"/>
        <v>Tipo 1 (≤0,25) uT</v>
      </c>
      <c r="BF39" s="137" t="str">
        <f>IF(OR(AF39="",AQ39="-"),"",IF(AF39&lt;=0.25,"Tipo 1 (≤0,25) uT",IF(AF39&lt;=0.5,"Tipo 2 (0,25-0,50) uT",IF(AF39&lt;=0.75,"Tipo 3 (0,50-0,75) uT","Tipo 4 (&gt;0,75) uT"))))</f>
        <v>Tipo 1 (≤0,25) uT</v>
      </c>
      <c r="BG39" s="137" t="str">
        <f t="shared" si="1"/>
        <v>Tipo 1 (≤0,25) uT</v>
      </c>
      <c r="BH39" s="137" t="str">
        <f>IF(OR(R39="",R39="-"),"",IF(R39&lt;=0.25,"Tipo 1 (≤0,25) uT",IF(R39&lt;=0.5,"Tipo 2 (0,25-0,50) uT",IF(R39&lt;=0.75,"Tipo 3 (0,50-0,75) uT","Tipo 4 (&gt;0,75) uT"))))</f>
        <v>Tipo 1 (≤0,25) uT</v>
      </c>
    </row>
    <row r="40" spans="1:60" x14ac:dyDescent="0.3">
      <c r="A40" s="74">
        <v>46263</v>
      </c>
      <c r="B40" s="139">
        <v>0.39583333333333331</v>
      </c>
      <c r="C40" s="116">
        <v>384</v>
      </c>
      <c r="D40" s="116">
        <v>1818</v>
      </c>
      <c r="E40" s="116">
        <v>249</v>
      </c>
      <c r="F40" s="116">
        <v>2207</v>
      </c>
      <c r="G40" s="144" t="s">
        <v>100</v>
      </c>
      <c r="H40" s="122">
        <v>10.8</v>
      </c>
      <c r="I40" s="116">
        <v>-142</v>
      </c>
      <c r="J40" s="10">
        <v>90</v>
      </c>
      <c r="K40" s="116">
        <v>90</v>
      </c>
      <c r="L40" s="116">
        <v>90</v>
      </c>
      <c r="M40" s="122">
        <v>22.8</v>
      </c>
      <c r="N40" s="122">
        <v>6.6</v>
      </c>
      <c r="O40" s="79">
        <v>0.76</v>
      </c>
      <c r="P40" s="116">
        <v>5</v>
      </c>
      <c r="Q40" s="122">
        <v>6.3</v>
      </c>
      <c r="R40" s="10">
        <v>0.06</v>
      </c>
      <c r="S40" s="79">
        <v>22.36</v>
      </c>
      <c r="T40" s="79">
        <v>0.88</v>
      </c>
      <c r="U40" s="79">
        <v>0.7</v>
      </c>
      <c r="V40" s="85">
        <f t="shared" si="2"/>
        <v>1655.25</v>
      </c>
      <c r="W40" s="85">
        <f t="shared" si="3"/>
        <v>1380.4350492400001</v>
      </c>
      <c r="X40" s="85">
        <f t="shared" si="4"/>
        <v>0.83397374972964822</v>
      </c>
      <c r="Y40" s="116">
        <v>3</v>
      </c>
      <c r="Z40" s="116">
        <v>4</v>
      </c>
      <c r="AA40" s="122">
        <v>6.53</v>
      </c>
      <c r="AB40" s="116">
        <v>17</v>
      </c>
      <c r="AC40" s="122">
        <v>6.2</v>
      </c>
      <c r="AD40" s="122">
        <v>3.8</v>
      </c>
      <c r="AE40" s="79">
        <v>0.08</v>
      </c>
      <c r="AF40" s="79">
        <v>0.12</v>
      </c>
      <c r="AG40" s="85">
        <f>(O40+0.3*H40+2)*(F40/2/AK40)</f>
        <v>1655.25</v>
      </c>
      <c r="AH40" s="85">
        <f t="shared" si="5"/>
        <v>1771.7120855199996</v>
      </c>
      <c r="AI40" s="85">
        <f t="shared" si="6"/>
        <v>1.0703592119136081</v>
      </c>
      <c r="AJ40" s="116">
        <v>3</v>
      </c>
      <c r="AK40" s="116">
        <v>4</v>
      </c>
      <c r="AL40" s="122">
        <v>6.26</v>
      </c>
      <c r="AM40" s="116">
        <v>23</v>
      </c>
      <c r="AN40" s="122">
        <v>6.4</v>
      </c>
      <c r="AO40" s="122">
        <v>3.7</v>
      </c>
      <c r="AP40" s="79">
        <v>0.09</v>
      </c>
      <c r="AQ40" s="79">
        <v>0.16</v>
      </c>
      <c r="AR40" s="132">
        <f>SUM(C40:E40)</f>
        <v>2451</v>
      </c>
      <c r="AS40" s="134">
        <f>C40/AR40</f>
        <v>0.15667074663402691</v>
      </c>
      <c r="AT40" s="134">
        <f>D40/AR40</f>
        <v>0.74173806609547122</v>
      </c>
      <c r="AU40" s="134">
        <f>E40/AR40</f>
        <v>0.10159118727050184</v>
      </c>
      <c r="AV40" s="151">
        <f>IF(AND(F40&lt;&gt;"",Z40&lt;&gt;""),AB40/(F40/2/Z40),"")</f>
        <v>6.1622111463525149E-2</v>
      </c>
      <c r="AW40" s="151">
        <f>IF(AND(F40&lt;&gt;"",AK40&lt;&gt;""),AM40/(F40/2/AK40),"")</f>
        <v>8.3371091980063428E-2</v>
      </c>
      <c r="AX40" s="41">
        <f>IF(AND(AQ40&lt;&gt;"",1-(AQ40/O40)&gt;0),1-(AQ40/O40),"")</f>
        <v>0.78947368421052633</v>
      </c>
      <c r="AY40" s="41">
        <f>IF(AND(AF40&lt;&gt;"",1-(AF40/O40)&gt;0),1-(AF40/O40),"")</f>
        <v>0.84210526315789469</v>
      </c>
      <c r="AZ40" s="136" t="str">
        <f>IF(Q40="","",IF(Q40&lt;2.5,"Alc. Bruta &lt; 2,5 mg/L",IF(Q40&lt;5,"2,5 ≤ Alc. Bruta &lt; 5,0 mg/L",IF(Q40&lt;7.5,"5,0 ≤ Alc. Bruta &lt; 7,5 mg/L",IF(Q40&lt;10,"7,5 ≤ Alc. Bruta &lt; 10,0 mg/L",IF(Q40&lt;15,"10,0 ≤ Alca. Bruta &lt; 15,0 mg/L","Alc. Bruta &gt; 15 mg/L"))))))</f>
        <v>5,0 ≤ Alc. Bruta &lt; 7,5 mg/L</v>
      </c>
      <c r="BA40" s="136" t="str">
        <f>IF(P40="","",IF(P40&lt;5,"Cor &lt;5 uC",IF(P40&lt;10,"5 ≤ Cor &lt; 10 uC",IF(P40&lt;15,"10 ≤ Cor &lt;15 uC",IF(P40&lt;30,"15 ≤ Cor &lt; 30 uC",IF(P40&lt;50,"30 ≤ Cor &lt; 50 uC","Cor &gt; 50 uC"))))))</f>
        <v>5 ≤ Cor &lt; 10 uC</v>
      </c>
      <c r="BB40" s="137" t="str">
        <f>IF(O40="","",IF(O40&lt;2.5,"Turbidez &lt; 2,5 uT",IF(O40&lt;5,"2,5 ≤ Turb &lt; 5,0 uT",IF(O40&lt;7.5,"5,0 ≤ Turb &lt; 7,5 uT",IF(O40&lt;10,"7,5 ≤ Turb &lt; 10,0 uT",IF(O40&lt;15,"10,0 ≤ Turb &lt; 15,0 uT","Turb &gt; 15 uT"))))))</f>
        <v>Turbidez &lt; 2,5 uT</v>
      </c>
      <c r="BC40" s="138" t="str">
        <f>IF(AND(C40&gt;D40,D40&gt;E40),"TOR &gt; SM &gt; BNN",IF(AND(C40&gt;E40,E40&gt;D40),"TOR &gt; BNN &gt; SM",IF(AND(D40&gt;C40,C40&gt;E40),"SM &gt; TOR &gt; BNN",IF(AND(D40&gt;E40,E40&gt;C40),"SM &gt; BNN &gt; TOR",IF(AND(C40=D40,D40=E40),"TOR = SM = BNN","Comb. diferentes")))))</f>
        <v>SM &gt; TOR &gt; BNN</v>
      </c>
      <c r="BD40" s="137" t="str">
        <f>IF(OR(AE40="",AQ40="-"),"",IF(AE40&lt;=0.25,"Tipo 1 (≤0,25) uT",IF(AE40&lt;=0.5,"Tipo 2 (0,25-0,50) uT",IF(AE40&lt;=0.75,"Tipo 3 (0,50-0,75) uT","Tipo 4 (&gt;0,75) uT"))))</f>
        <v>Tipo 1 (≤0,25) uT</v>
      </c>
      <c r="BE40" s="137" t="str">
        <f t="shared" si="0"/>
        <v>Tipo 1 (≤0,25) uT</v>
      </c>
      <c r="BF40" s="137" t="str">
        <f>IF(OR(AF40="",AQ40="-"),"",IF(AF40&lt;=0.25,"Tipo 1 (≤0,25) uT",IF(AF40&lt;=0.5,"Tipo 2 (0,25-0,50) uT",IF(AF40&lt;=0.75,"Tipo 3 (0,50-0,75) uT","Tipo 4 (&gt;0,75) uT"))))</f>
        <v>Tipo 1 (≤0,25) uT</v>
      </c>
      <c r="BG40" s="137" t="str">
        <f t="shared" si="1"/>
        <v>Tipo 1 (≤0,25) uT</v>
      </c>
      <c r="BH40" s="137" t="str">
        <f>IF(OR(R40="",R40="-"),"",IF(R40&lt;=0.25,"Tipo 1 (≤0,25) uT",IF(R40&lt;=0.5,"Tipo 2 (0,25-0,50) uT",IF(R40&lt;=0.75,"Tipo 3 (0,50-0,75) uT","Tipo 4 (&gt;0,75) uT"))))</f>
        <v>Tipo 1 (≤0,25) uT</v>
      </c>
    </row>
    <row r="41" spans="1:60" x14ac:dyDescent="0.3">
      <c r="A41" s="74">
        <v>46263</v>
      </c>
      <c r="B41" s="139">
        <v>0.47916666666666669</v>
      </c>
      <c r="C41" s="116">
        <v>408</v>
      </c>
      <c r="D41" s="116">
        <v>1508</v>
      </c>
      <c r="E41" s="116">
        <v>249</v>
      </c>
      <c r="F41" s="116">
        <v>2078</v>
      </c>
      <c r="G41" s="144" t="s">
        <v>100</v>
      </c>
      <c r="H41" s="122">
        <v>10.8</v>
      </c>
      <c r="I41" s="116">
        <v>-139</v>
      </c>
      <c r="J41" s="10">
        <v>90</v>
      </c>
      <c r="K41" s="116">
        <v>90</v>
      </c>
      <c r="L41" s="116">
        <v>90</v>
      </c>
      <c r="M41" s="122">
        <v>26.5</v>
      </c>
      <c r="N41" s="122">
        <v>6.6</v>
      </c>
      <c r="O41" s="79">
        <v>0.82</v>
      </c>
      <c r="P41" s="116">
        <v>6</v>
      </c>
      <c r="Q41" s="122">
        <v>6.3</v>
      </c>
      <c r="R41" s="10">
        <v>7.0000000000000007E-2</v>
      </c>
      <c r="S41" s="79">
        <v>22.36</v>
      </c>
      <c r="T41" s="79">
        <v>0.88</v>
      </c>
      <c r="U41" s="79">
        <v>0.7</v>
      </c>
      <c r="V41" s="85">
        <f t="shared" si="2"/>
        <v>1574.085</v>
      </c>
      <c r="W41" s="85">
        <f t="shared" si="3"/>
        <v>1380.4350492400001</v>
      </c>
      <c r="X41" s="85">
        <f t="shared" si="4"/>
        <v>0.87697617932957883</v>
      </c>
      <c r="Y41" s="116">
        <v>3</v>
      </c>
      <c r="Z41" s="116">
        <v>4</v>
      </c>
      <c r="AA41" s="122">
        <v>6.53</v>
      </c>
      <c r="AB41" s="116">
        <v>17</v>
      </c>
      <c r="AC41" s="122">
        <v>6.2</v>
      </c>
      <c r="AD41" s="122">
        <v>4.2</v>
      </c>
      <c r="AE41" s="79">
        <v>0.08</v>
      </c>
      <c r="AF41" s="79">
        <v>0.11</v>
      </c>
      <c r="AG41" s="85">
        <f>(O41+0.3*H41+2)*(F41/2/AK41)</f>
        <v>1574.085</v>
      </c>
      <c r="AH41" s="85">
        <f t="shared" si="5"/>
        <v>1778.8184065599999</v>
      </c>
      <c r="AI41" s="85">
        <f t="shared" si="6"/>
        <v>1.130065026069113</v>
      </c>
      <c r="AJ41" s="116">
        <v>3</v>
      </c>
      <c r="AK41" s="116">
        <v>4</v>
      </c>
      <c r="AL41" s="122">
        <v>6.28</v>
      </c>
      <c r="AM41" s="116">
        <v>23</v>
      </c>
      <c r="AN41" s="122">
        <v>6.3</v>
      </c>
      <c r="AO41" s="122">
        <v>4.2</v>
      </c>
      <c r="AP41" s="79">
        <v>0.08</v>
      </c>
      <c r="AQ41" s="79">
        <v>0.17</v>
      </c>
      <c r="AR41" s="132">
        <f>SUM(C41:E41)</f>
        <v>2165</v>
      </c>
      <c r="AS41" s="134">
        <f>C41/AR41</f>
        <v>0.1884526558891455</v>
      </c>
      <c r="AT41" s="134">
        <f>D41/AR41</f>
        <v>0.6965357967667436</v>
      </c>
      <c r="AU41" s="134">
        <f>E41/AR41</f>
        <v>0.11501154734411086</v>
      </c>
      <c r="AV41" s="151">
        <f>IF(AND(F41&lt;&gt;"",Z41&lt;&gt;""),AB41/(F41/2/Z41),"")</f>
        <v>6.5447545717035607E-2</v>
      </c>
      <c r="AW41" s="151">
        <f>IF(AND(F41&lt;&gt;"",AK41&lt;&gt;""),AM41/(F41/2/AK41),"")</f>
        <v>8.8546679499518763E-2</v>
      </c>
      <c r="AX41" s="41">
        <f>IF(AND(AQ41&lt;&gt;"",1-(AQ41/O41)&gt;0),1-(AQ41/O41),"")</f>
        <v>0.79268292682926833</v>
      </c>
      <c r="AY41" s="41">
        <f>IF(AND(AF41&lt;&gt;"",1-(AF41/O41)&gt;0),1-(AF41/O41),"")</f>
        <v>0.86585365853658536</v>
      </c>
      <c r="AZ41" s="136" t="str">
        <f>IF(Q41="","",IF(Q41&lt;2.5,"Alc. Bruta &lt; 2,5 mg/L",IF(Q41&lt;5,"2,5 ≤ Alc. Bruta &lt; 5,0 mg/L",IF(Q41&lt;7.5,"5,0 ≤ Alc. Bruta &lt; 7,5 mg/L",IF(Q41&lt;10,"7,5 ≤ Alc. Bruta &lt; 10,0 mg/L",IF(Q41&lt;15,"10,0 ≤ Alca. Bruta &lt; 15,0 mg/L","Alc. Bruta &gt; 15 mg/L"))))))</f>
        <v>5,0 ≤ Alc. Bruta &lt; 7,5 mg/L</v>
      </c>
      <c r="BA41" s="136" t="str">
        <f>IF(P41="","",IF(P41&lt;5,"Cor &lt;5 uC",IF(P41&lt;10,"5 ≤ Cor &lt; 10 uC",IF(P41&lt;15,"10 ≤ Cor &lt;15 uC",IF(P41&lt;30,"15 ≤ Cor &lt; 30 uC",IF(P41&lt;50,"30 ≤ Cor &lt; 50 uC","Cor &gt; 50 uC"))))))</f>
        <v>5 ≤ Cor &lt; 10 uC</v>
      </c>
      <c r="BB41" s="137" t="str">
        <f>IF(O41="","",IF(O41&lt;2.5,"Turbidez &lt; 2,5 uT",IF(O41&lt;5,"2,5 ≤ Turb &lt; 5,0 uT",IF(O41&lt;7.5,"5,0 ≤ Turb &lt; 7,5 uT",IF(O41&lt;10,"7,5 ≤ Turb &lt; 10,0 uT",IF(O41&lt;15,"10,0 ≤ Turb &lt; 15,0 uT","Turb &gt; 15 uT"))))))</f>
        <v>Turbidez &lt; 2,5 uT</v>
      </c>
      <c r="BC41" s="138" t="str">
        <f>IF(AND(C41&gt;D41,D41&gt;E41),"TOR &gt; SM &gt; BNN",IF(AND(C41&gt;E41,E41&gt;D41),"TOR &gt; BNN &gt; SM",IF(AND(D41&gt;C41,C41&gt;E41),"SM &gt; TOR &gt; BNN",IF(AND(D41&gt;E41,E41&gt;C41),"SM &gt; BNN &gt; TOR",IF(AND(C41=D41,D41=E41),"TOR = SM = BNN","Comb. diferentes")))))</f>
        <v>SM &gt; TOR &gt; BNN</v>
      </c>
      <c r="BD41" s="137" t="str">
        <f>IF(OR(AE41="",AQ41="-"),"",IF(AE41&lt;=0.25,"Tipo 1 (≤0,25) uT",IF(AE41&lt;=0.5,"Tipo 2 (0,25-0,50) uT",IF(AE41&lt;=0.75,"Tipo 3 (0,50-0,75) uT","Tipo 4 (&gt;0,75) uT"))))</f>
        <v>Tipo 1 (≤0,25) uT</v>
      </c>
      <c r="BE41" s="137" t="str">
        <f t="shared" si="0"/>
        <v>Tipo 1 (≤0,25) uT</v>
      </c>
      <c r="BF41" s="137" t="str">
        <f>IF(OR(AF41="",AQ41="-"),"",IF(AF41&lt;=0.25,"Tipo 1 (≤0,25) uT",IF(AF41&lt;=0.5,"Tipo 2 (0,25-0,50) uT",IF(AF41&lt;=0.75,"Tipo 3 (0,50-0,75) uT","Tipo 4 (&gt;0,75) uT"))))</f>
        <v>Tipo 1 (≤0,25) uT</v>
      </c>
      <c r="BG41" s="137" t="str">
        <f t="shared" si="1"/>
        <v>Tipo 1 (≤0,25) uT</v>
      </c>
      <c r="BH41" s="137" t="str">
        <f>IF(OR(R41="",R41="-"),"",IF(R41&lt;=0.25,"Tipo 1 (≤0,25) uT",IF(R41&lt;=0.5,"Tipo 2 (0,25-0,50) uT",IF(R41&lt;=0.75,"Tipo 3 (0,50-0,75) uT","Tipo 4 (&gt;0,75) uT"))))</f>
        <v>Tipo 1 (≤0,25) uT</v>
      </c>
    </row>
    <row r="42" spans="1:60" x14ac:dyDescent="0.3">
      <c r="A42" s="74">
        <v>46263</v>
      </c>
      <c r="B42" s="139">
        <v>0.64583333333333337</v>
      </c>
      <c r="C42" s="116">
        <v>319</v>
      </c>
      <c r="D42" s="116">
        <v>1599</v>
      </c>
      <c r="E42" s="116">
        <v>249</v>
      </c>
      <c r="F42" s="116">
        <v>2070</v>
      </c>
      <c r="G42" s="144" t="s">
        <v>100</v>
      </c>
      <c r="H42" s="122">
        <v>10.8</v>
      </c>
      <c r="I42" s="116">
        <v>-129</v>
      </c>
      <c r="J42" s="10">
        <v>90</v>
      </c>
      <c r="K42" s="116">
        <v>90</v>
      </c>
      <c r="L42" s="116">
        <v>90</v>
      </c>
      <c r="M42" s="122">
        <v>27.5</v>
      </c>
      <c r="N42" s="122">
        <v>6.6</v>
      </c>
      <c r="O42" s="79">
        <v>0.77</v>
      </c>
      <c r="P42" s="116">
        <v>5</v>
      </c>
      <c r="Q42" s="122">
        <v>6.5</v>
      </c>
      <c r="R42" s="10">
        <v>0.08</v>
      </c>
      <c r="S42" s="79">
        <v>22.36</v>
      </c>
      <c r="T42" s="79">
        <v>0.88</v>
      </c>
      <c r="U42" s="79">
        <v>0.7</v>
      </c>
      <c r="V42" s="85">
        <f t="shared" si="2"/>
        <v>1555.0874999999999</v>
      </c>
      <c r="W42" s="85">
        <f t="shared" si="3"/>
        <v>1388.3137964800001</v>
      </c>
      <c r="X42" s="85">
        <f t="shared" si="4"/>
        <v>0.89275606451727008</v>
      </c>
      <c r="Y42" s="116">
        <v>3</v>
      </c>
      <c r="Z42" s="116">
        <v>4</v>
      </c>
      <c r="AA42" s="122">
        <v>6.56</v>
      </c>
      <c r="AB42" s="116">
        <v>17</v>
      </c>
      <c r="AC42" s="122">
        <v>6.2</v>
      </c>
      <c r="AD42" s="122">
        <v>4.2</v>
      </c>
      <c r="AE42" s="79">
        <v>0.09</v>
      </c>
      <c r="AF42" s="79">
        <v>0.1</v>
      </c>
      <c r="AG42" s="85">
        <f>(O42+0.3*H42+2)*(F42/2/AK42)</f>
        <v>1555.0874999999999</v>
      </c>
      <c r="AH42" s="85">
        <f t="shared" si="5"/>
        <v>1664.09304776</v>
      </c>
      <c r="AI42" s="85">
        <f t="shared" si="6"/>
        <v>1.0700960864002831</v>
      </c>
      <c r="AJ42" s="116">
        <v>3</v>
      </c>
      <c r="AK42" s="116">
        <v>4</v>
      </c>
      <c r="AL42" s="122">
        <v>6.17</v>
      </c>
      <c r="AM42" s="116">
        <v>22</v>
      </c>
      <c r="AN42" s="122">
        <v>6.2</v>
      </c>
      <c r="AO42" s="122">
        <v>4.2</v>
      </c>
      <c r="AP42" s="79">
        <v>0.18</v>
      </c>
      <c r="AQ42" s="79">
        <v>0.28000000000000003</v>
      </c>
      <c r="AR42" s="132">
        <f>SUM(C42:E42)</f>
        <v>2167</v>
      </c>
      <c r="AS42" s="134">
        <f>C42/AR42</f>
        <v>0.14720812182741116</v>
      </c>
      <c r="AT42" s="134">
        <f>D42/AR42</f>
        <v>0.73788647900323023</v>
      </c>
      <c r="AU42" s="134">
        <f>E42/AR42</f>
        <v>0.11490539916935856</v>
      </c>
      <c r="AV42" s="151">
        <f>IF(AND(F42&lt;&gt;"",Z42&lt;&gt;""),AB42/(F42/2/Z42),"")</f>
        <v>6.5700483091787443E-2</v>
      </c>
      <c r="AW42" s="151">
        <f>IF(AND(F42&lt;&gt;"",AK42&lt;&gt;""),AM42/(F42/2/AK42),"")</f>
        <v>8.5024154589371986E-2</v>
      </c>
      <c r="AX42" s="41">
        <f>IF(AND(AQ42&lt;&gt;"",1-(AQ42/O42)&gt;0),1-(AQ42/O42),"")</f>
        <v>0.63636363636363635</v>
      </c>
      <c r="AY42" s="41">
        <f>IF(AND(AF42&lt;&gt;"",1-(AF42/O42)&gt;0),1-(AF42/O42),"")</f>
        <v>0.87012987012987009</v>
      </c>
      <c r="AZ42" s="136" t="str">
        <f>IF(Q42="","",IF(Q42&lt;2.5,"Alc. Bruta &lt; 2,5 mg/L",IF(Q42&lt;5,"2,5 ≤ Alc. Bruta &lt; 5,0 mg/L",IF(Q42&lt;7.5,"5,0 ≤ Alc. Bruta &lt; 7,5 mg/L",IF(Q42&lt;10,"7,5 ≤ Alc. Bruta &lt; 10,0 mg/L",IF(Q42&lt;15,"10,0 ≤ Alca. Bruta &lt; 15,0 mg/L","Alc. Bruta &gt; 15 mg/L"))))))</f>
        <v>5,0 ≤ Alc. Bruta &lt; 7,5 mg/L</v>
      </c>
      <c r="BA42" s="136" t="str">
        <f>IF(P42="","",IF(P42&lt;5,"Cor &lt;5 uC",IF(P42&lt;10,"5 ≤ Cor &lt; 10 uC",IF(P42&lt;15,"10 ≤ Cor &lt;15 uC",IF(P42&lt;30,"15 ≤ Cor &lt; 30 uC",IF(P42&lt;50,"30 ≤ Cor &lt; 50 uC","Cor &gt; 50 uC"))))))</f>
        <v>5 ≤ Cor &lt; 10 uC</v>
      </c>
      <c r="BB42" s="137" t="str">
        <f>IF(O42="","",IF(O42&lt;2.5,"Turbidez &lt; 2,5 uT",IF(O42&lt;5,"2,5 ≤ Turb &lt; 5,0 uT",IF(O42&lt;7.5,"5,0 ≤ Turb &lt; 7,5 uT",IF(O42&lt;10,"7,5 ≤ Turb &lt; 10,0 uT",IF(O42&lt;15,"10,0 ≤ Turb &lt; 15,0 uT","Turb &gt; 15 uT"))))))</f>
        <v>Turbidez &lt; 2,5 uT</v>
      </c>
      <c r="BC42" s="138" t="str">
        <f>IF(AND(C42&gt;D42,D42&gt;E42),"TOR &gt; SM &gt; BNN",IF(AND(C42&gt;E42,E42&gt;D42),"TOR &gt; BNN &gt; SM",IF(AND(D42&gt;C42,C42&gt;E42),"SM &gt; TOR &gt; BNN",IF(AND(D42&gt;E42,E42&gt;C42),"SM &gt; BNN &gt; TOR",IF(AND(C42=D42,D42=E42),"TOR = SM = BNN","Comb. diferentes")))))</f>
        <v>SM &gt; TOR &gt; BNN</v>
      </c>
      <c r="BD42" s="137" t="str">
        <f>IF(OR(AE42="",AQ42="-"),"",IF(AE42&lt;=0.25,"Tipo 1 (≤0,25) uT",IF(AE42&lt;=0.5,"Tipo 2 (0,25-0,50) uT",IF(AE42&lt;=0.75,"Tipo 3 (0,50-0,75) uT","Tipo 4 (&gt;0,75) uT"))))</f>
        <v>Tipo 1 (≤0,25) uT</v>
      </c>
      <c r="BE42" s="137" t="str">
        <f t="shared" si="0"/>
        <v>Tipo 1 (≤0,25) uT</v>
      </c>
      <c r="BF42" s="137" t="str">
        <f>IF(OR(AF42="",AQ42="-"),"",IF(AF42&lt;=0.25,"Tipo 1 (≤0,25) uT",IF(AF42&lt;=0.5,"Tipo 2 (0,25-0,50) uT",IF(AF42&lt;=0.75,"Tipo 3 (0,50-0,75) uT","Tipo 4 (&gt;0,75) uT"))))</f>
        <v>Tipo 1 (≤0,25) uT</v>
      </c>
      <c r="BG42" s="137" t="str">
        <f t="shared" si="1"/>
        <v>Tipo 2 (0,25-0,50) uT</v>
      </c>
      <c r="BH42" s="137" t="str">
        <f>IF(OR(R42="",R42="-"),"",IF(R42&lt;=0.25,"Tipo 1 (≤0,25) uT",IF(R42&lt;=0.5,"Tipo 2 (0,25-0,50) uT",IF(R42&lt;=0.75,"Tipo 3 (0,50-0,75) uT","Tipo 4 (&gt;0,75) uT"))))</f>
        <v>Tipo 1 (≤0,25) uT</v>
      </c>
    </row>
    <row r="43" spans="1:60" x14ac:dyDescent="0.3">
      <c r="A43" s="74">
        <v>46263</v>
      </c>
      <c r="B43" s="139">
        <v>0.72916666666666663</v>
      </c>
      <c r="C43" s="116">
        <v>311</v>
      </c>
      <c r="D43" s="116">
        <v>995</v>
      </c>
      <c r="E43" s="116">
        <v>307</v>
      </c>
      <c r="F43" s="116">
        <v>1635</v>
      </c>
      <c r="G43" s="144" t="s">
        <v>100</v>
      </c>
      <c r="H43" s="122">
        <v>10.8</v>
      </c>
      <c r="I43" s="116">
        <v>-126</v>
      </c>
      <c r="J43" s="10">
        <v>90</v>
      </c>
      <c r="K43" s="116">
        <v>90</v>
      </c>
      <c r="L43" s="116">
        <v>90</v>
      </c>
      <c r="M43" s="122">
        <v>26.9</v>
      </c>
      <c r="N43" s="122">
        <v>6.5</v>
      </c>
      <c r="O43" s="79">
        <v>0.8</v>
      </c>
      <c r="P43" s="116">
        <v>5</v>
      </c>
      <c r="Q43" s="122">
        <v>6.1</v>
      </c>
      <c r="R43" s="10">
        <v>7.0000000000000007E-2</v>
      </c>
      <c r="S43" s="79">
        <v>22.36</v>
      </c>
      <c r="T43" s="79">
        <v>0.88</v>
      </c>
      <c r="U43" s="79">
        <v>0.7</v>
      </c>
      <c r="V43" s="85">
        <f t="shared" si="2"/>
        <v>1234.425</v>
      </c>
      <c r="W43" s="85">
        <f t="shared" si="3"/>
        <v>1385.6875473999999</v>
      </c>
      <c r="X43" s="85">
        <f t="shared" si="4"/>
        <v>1.1225368470340442</v>
      </c>
      <c r="Y43" s="116">
        <v>2</v>
      </c>
      <c r="Z43" s="116">
        <v>4</v>
      </c>
      <c r="AA43" s="122">
        <v>6.55</v>
      </c>
      <c r="AB43" s="116">
        <v>17</v>
      </c>
      <c r="AC43" s="122">
        <v>6.2</v>
      </c>
      <c r="AD43" s="122">
        <v>3.8</v>
      </c>
      <c r="AE43" s="79">
        <v>0.08</v>
      </c>
      <c r="AF43" s="79">
        <v>0.11</v>
      </c>
      <c r="AG43" s="85">
        <f>(O43+0.3*H43+2)*(F43/2/AK43)</f>
        <v>1645.9</v>
      </c>
      <c r="AH43" s="85">
        <f t="shared" si="5"/>
        <v>1819.0818796799997</v>
      </c>
      <c r="AI43" s="85">
        <f t="shared" si="6"/>
        <v>1.1052201711404093</v>
      </c>
      <c r="AJ43" s="116">
        <v>2</v>
      </c>
      <c r="AK43" s="116">
        <v>3</v>
      </c>
      <c r="AL43" s="122">
        <v>6.18</v>
      </c>
      <c r="AM43" s="116">
        <v>24</v>
      </c>
      <c r="AN43" s="122">
        <v>6.3</v>
      </c>
      <c r="AO43" s="122">
        <v>4.3</v>
      </c>
      <c r="AP43" s="79">
        <v>0.1</v>
      </c>
      <c r="AQ43" s="79">
        <v>0.23</v>
      </c>
      <c r="AR43" s="132">
        <f>SUM(C43:E43)</f>
        <v>1613</v>
      </c>
      <c r="AS43" s="134">
        <f>C43/AR43</f>
        <v>0.19280843149411037</v>
      </c>
      <c r="AT43" s="134">
        <f>D43/AR43</f>
        <v>0.61686298822070673</v>
      </c>
      <c r="AU43" s="134">
        <f>E43/AR43</f>
        <v>0.1903285802851829</v>
      </c>
      <c r="AV43" s="151">
        <f>IF(AND(F43&lt;&gt;"",Z43&lt;&gt;""),AB43/(F43/2/Z43),"")</f>
        <v>8.3180428134556575E-2</v>
      </c>
      <c r="AW43" s="151">
        <f>IF(AND(F43&lt;&gt;"",AK43&lt;&gt;""),AM43/(F43/2/AK43),"")</f>
        <v>8.8073394495412849E-2</v>
      </c>
      <c r="AX43" s="41">
        <f>IF(AND(AQ43&lt;&gt;"",1-(AQ43/O43)&gt;0),1-(AQ43/O43),"")</f>
        <v>0.71250000000000002</v>
      </c>
      <c r="AY43" s="41">
        <f>IF(AND(AF43&lt;&gt;"",1-(AF43/O43)&gt;0),1-(AF43/O43),"")</f>
        <v>0.86250000000000004</v>
      </c>
      <c r="AZ43" s="136" t="str">
        <f>IF(Q43="","",IF(Q43&lt;2.5,"Alc. Bruta &lt; 2,5 mg/L",IF(Q43&lt;5,"2,5 ≤ Alc. Bruta &lt; 5,0 mg/L",IF(Q43&lt;7.5,"5,0 ≤ Alc. Bruta &lt; 7,5 mg/L",IF(Q43&lt;10,"7,5 ≤ Alc. Bruta &lt; 10,0 mg/L",IF(Q43&lt;15,"10,0 ≤ Alca. Bruta &lt; 15,0 mg/L","Alc. Bruta &gt; 15 mg/L"))))))</f>
        <v>5,0 ≤ Alc. Bruta &lt; 7,5 mg/L</v>
      </c>
      <c r="BA43" s="136" t="str">
        <f>IF(P43="","",IF(P43&lt;5,"Cor &lt;5 uC",IF(P43&lt;10,"5 ≤ Cor &lt; 10 uC",IF(P43&lt;15,"10 ≤ Cor &lt;15 uC",IF(P43&lt;30,"15 ≤ Cor &lt; 30 uC",IF(P43&lt;50,"30 ≤ Cor &lt; 50 uC","Cor &gt; 50 uC"))))))</f>
        <v>5 ≤ Cor &lt; 10 uC</v>
      </c>
      <c r="BB43" s="137" t="str">
        <f>IF(O43="","",IF(O43&lt;2.5,"Turbidez &lt; 2,5 uT",IF(O43&lt;5,"2,5 ≤ Turb &lt; 5,0 uT",IF(O43&lt;7.5,"5,0 ≤ Turb &lt; 7,5 uT",IF(O43&lt;10,"7,5 ≤ Turb &lt; 10,0 uT",IF(O43&lt;15,"10,0 ≤ Turb &lt; 15,0 uT","Turb &gt; 15 uT"))))))</f>
        <v>Turbidez &lt; 2,5 uT</v>
      </c>
      <c r="BC43" s="138" t="str">
        <f>IF(AND(C43&gt;D43,D43&gt;E43),"TOR &gt; SM &gt; BNN",IF(AND(C43&gt;E43,E43&gt;D43),"TOR &gt; BNN &gt; SM",IF(AND(D43&gt;C43,C43&gt;E43),"SM &gt; TOR &gt; BNN",IF(AND(D43&gt;E43,E43&gt;C43),"SM &gt; BNN &gt; TOR",IF(AND(C43=D43,D43=E43),"TOR = SM = BNN","Comb. diferentes")))))</f>
        <v>SM &gt; TOR &gt; BNN</v>
      </c>
      <c r="BD43" s="137" t="str">
        <f>IF(OR(AE43="",AQ43="-"),"",IF(AE43&lt;=0.25,"Tipo 1 (≤0,25) uT",IF(AE43&lt;=0.5,"Tipo 2 (0,25-0,50) uT",IF(AE43&lt;=0.75,"Tipo 3 (0,50-0,75) uT","Tipo 4 (&gt;0,75) uT"))))</f>
        <v>Tipo 1 (≤0,25) uT</v>
      </c>
      <c r="BE43" s="137" t="str">
        <f t="shared" si="0"/>
        <v>Tipo 1 (≤0,25) uT</v>
      </c>
      <c r="BF43" s="137" t="str">
        <f>IF(OR(AF43="",AQ43="-"),"",IF(AF43&lt;=0.25,"Tipo 1 (≤0,25) uT",IF(AF43&lt;=0.5,"Tipo 2 (0,25-0,50) uT",IF(AF43&lt;=0.75,"Tipo 3 (0,50-0,75) uT","Tipo 4 (&gt;0,75) uT"))))</f>
        <v>Tipo 1 (≤0,25) uT</v>
      </c>
      <c r="BG43" s="137" t="str">
        <f t="shared" si="1"/>
        <v>Tipo 1 (≤0,25) uT</v>
      </c>
      <c r="BH43" s="137" t="str">
        <f>IF(OR(R43="",R43="-"),"",IF(R43&lt;=0.25,"Tipo 1 (≤0,25) uT",IF(R43&lt;=0.5,"Tipo 2 (0,25-0,50) uT",IF(R43&lt;=0.75,"Tipo 3 (0,50-0,75) uT","Tipo 4 (&gt;0,75) uT"))))</f>
        <v>Tipo 1 (≤0,25) uT</v>
      </c>
    </row>
    <row r="44" spans="1:60" x14ac:dyDescent="0.3">
      <c r="A44" s="74">
        <v>46263</v>
      </c>
      <c r="B44" s="139">
        <v>0.8125</v>
      </c>
      <c r="C44" s="116">
        <v>320</v>
      </c>
      <c r="D44" s="116">
        <v>934</v>
      </c>
      <c r="E44" s="116">
        <v>500</v>
      </c>
      <c r="F44" s="116">
        <v>1775</v>
      </c>
      <c r="G44" s="144" t="s">
        <v>100</v>
      </c>
      <c r="H44" s="122">
        <v>10.8</v>
      </c>
      <c r="I44" s="116">
        <v>-112</v>
      </c>
      <c r="J44" s="10">
        <v>90</v>
      </c>
      <c r="K44" s="116">
        <v>90</v>
      </c>
      <c r="L44" s="116">
        <v>90</v>
      </c>
      <c r="M44" s="122">
        <v>26.1</v>
      </c>
      <c r="N44" s="122">
        <v>6.5</v>
      </c>
      <c r="O44" s="79">
        <v>0.93</v>
      </c>
      <c r="P44" s="116">
        <v>6</v>
      </c>
      <c r="Q44" s="122">
        <v>6.2</v>
      </c>
      <c r="R44" s="10">
        <v>0.06</v>
      </c>
      <c r="S44" s="79">
        <v>22.36</v>
      </c>
      <c r="T44" s="79">
        <v>0.88</v>
      </c>
      <c r="U44" s="79">
        <v>0.7</v>
      </c>
      <c r="V44" s="85">
        <f t="shared" si="2"/>
        <v>1368.96875</v>
      </c>
      <c r="W44" s="85">
        <f t="shared" si="3"/>
        <v>1372.556302</v>
      </c>
      <c r="X44" s="85">
        <f t="shared" si="4"/>
        <v>1.0026206237359325</v>
      </c>
      <c r="Y44" s="116">
        <v>2</v>
      </c>
      <c r="Z44" s="116">
        <v>4</v>
      </c>
      <c r="AA44" s="122">
        <v>6.5</v>
      </c>
      <c r="AB44" s="116">
        <v>17</v>
      </c>
      <c r="AC44" s="122">
        <v>6.2</v>
      </c>
      <c r="AD44" s="122">
        <v>4</v>
      </c>
      <c r="AE44" s="79">
        <v>0.1</v>
      </c>
      <c r="AF44" s="79">
        <v>0.1</v>
      </c>
      <c r="AG44" s="85">
        <f>(O44+0.3*H44+2)*(F44/2/AK44)</f>
        <v>1825.2916666666665</v>
      </c>
      <c r="AH44" s="85">
        <f t="shared" si="5"/>
        <v>1750.3931224</v>
      </c>
      <c r="AI44" s="85">
        <f t="shared" si="6"/>
        <v>0.95896625967539439</v>
      </c>
      <c r="AJ44" s="116">
        <v>2</v>
      </c>
      <c r="AK44" s="116">
        <v>3</v>
      </c>
      <c r="AL44" s="122">
        <v>6.2</v>
      </c>
      <c r="AM44" s="116">
        <v>23</v>
      </c>
      <c r="AN44" s="122">
        <v>6.2</v>
      </c>
      <c r="AO44" s="122">
        <v>4.0999999999999996</v>
      </c>
      <c r="AP44" s="79">
        <v>0.1</v>
      </c>
      <c r="AQ44" s="79">
        <v>0.2</v>
      </c>
      <c r="AR44" s="132">
        <f>SUM(C44:E44)</f>
        <v>1754</v>
      </c>
      <c r="AS44" s="134">
        <f>C44/AR44</f>
        <v>0.18244013683010263</v>
      </c>
      <c r="AT44" s="134">
        <f>D44/AR44</f>
        <v>0.53249714937286208</v>
      </c>
      <c r="AU44" s="134">
        <f>E44/AR44</f>
        <v>0.28506271379703535</v>
      </c>
      <c r="AV44" s="151">
        <f>IF(AND(F44&lt;&gt;"",Z44&lt;&gt;""),AB44/(F44/2/Z44),"")</f>
        <v>7.6619718309859156E-2</v>
      </c>
      <c r="AW44" s="151">
        <f>IF(AND(F44&lt;&gt;"",AK44&lt;&gt;""),AM44/(F44/2/AK44),"")</f>
        <v>7.7746478873239447E-2</v>
      </c>
      <c r="AX44" s="41">
        <f>IF(AND(AQ44&lt;&gt;"",1-(AQ44/O44)&gt;0),1-(AQ44/O44),"")</f>
        <v>0.78494623655913975</v>
      </c>
      <c r="AY44" s="41">
        <f>IF(AND(AF44&lt;&gt;"",1-(AF44/O44)&gt;0),1-(AF44/O44),"")</f>
        <v>0.89247311827956988</v>
      </c>
      <c r="AZ44" s="136" t="str">
        <f>IF(Q44="","",IF(Q44&lt;2.5,"Alc. Bruta &lt; 2,5 mg/L",IF(Q44&lt;5,"2,5 ≤ Alc. Bruta &lt; 5,0 mg/L",IF(Q44&lt;7.5,"5,0 ≤ Alc. Bruta &lt; 7,5 mg/L",IF(Q44&lt;10,"7,5 ≤ Alc. Bruta &lt; 10,0 mg/L",IF(Q44&lt;15,"10,0 ≤ Alca. Bruta &lt; 15,0 mg/L","Alc. Bruta &gt; 15 mg/L"))))))</f>
        <v>5,0 ≤ Alc. Bruta &lt; 7,5 mg/L</v>
      </c>
      <c r="BA44" s="136" t="str">
        <f>IF(P44="","",IF(P44&lt;5,"Cor &lt;5 uC",IF(P44&lt;10,"5 ≤ Cor &lt; 10 uC",IF(P44&lt;15,"10 ≤ Cor &lt;15 uC",IF(P44&lt;30,"15 ≤ Cor &lt; 30 uC",IF(P44&lt;50,"30 ≤ Cor &lt; 50 uC","Cor &gt; 50 uC"))))))</f>
        <v>5 ≤ Cor &lt; 10 uC</v>
      </c>
      <c r="BB44" s="137" t="str">
        <f>IF(O44="","",IF(O44&lt;2.5,"Turbidez &lt; 2,5 uT",IF(O44&lt;5,"2,5 ≤ Turb &lt; 5,0 uT",IF(O44&lt;7.5,"5,0 ≤ Turb &lt; 7,5 uT",IF(O44&lt;10,"7,5 ≤ Turb &lt; 10,0 uT",IF(O44&lt;15,"10,0 ≤ Turb &lt; 15,0 uT","Turb &gt; 15 uT"))))))</f>
        <v>Turbidez &lt; 2,5 uT</v>
      </c>
      <c r="BC44" s="138" t="str">
        <f>IF(AND(C44&gt;D44,D44&gt;E44),"TOR &gt; SM &gt; BNN",IF(AND(C44&gt;E44,E44&gt;D44),"TOR &gt; BNN &gt; SM",IF(AND(D44&gt;C44,C44&gt;E44),"SM &gt; TOR &gt; BNN",IF(AND(D44&gt;E44,E44&gt;C44),"SM &gt; BNN &gt; TOR",IF(AND(C44=D44,D44=E44),"TOR = SM = BNN","Comb. diferentes")))))</f>
        <v>SM &gt; BNN &gt; TOR</v>
      </c>
      <c r="BD44" s="137" t="str">
        <f>IF(OR(AE44="",AQ44="-"),"",IF(AE44&lt;=0.25,"Tipo 1 (≤0,25) uT",IF(AE44&lt;=0.5,"Tipo 2 (0,25-0,50) uT",IF(AE44&lt;=0.75,"Tipo 3 (0,50-0,75) uT","Tipo 4 (&gt;0,75) uT"))))</f>
        <v>Tipo 1 (≤0,25) uT</v>
      </c>
      <c r="BE44" s="137" t="str">
        <f t="shared" si="0"/>
        <v>Tipo 1 (≤0,25) uT</v>
      </c>
      <c r="BF44" s="137" t="str">
        <f>IF(OR(AF44="",AQ44="-"),"",IF(AF44&lt;=0.25,"Tipo 1 (≤0,25) uT",IF(AF44&lt;=0.5,"Tipo 2 (0,25-0,50) uT",IF(AF44&lt;=0.75,"Tipo 3 (0,50-0,75) uT","Tipo 4 (&gt;0,75) uT"))))</f>
        <v>Tipo 1 (≤0,25) uT</v>
      </c>
      <c r="BG44" s="137" t="str">
        <f t="shared" si="1"/>
        <v>Tipo 1 (≤0,25) uT</v>
      </c>
      <c r="BH44" s="137" t="str">
        <f>IF(OR(R44="",R44="-"),"",IF(R44&lt;=0.25,"Tipo 1 (≤0,25) uT",IF(R44&lt;=0.5,"Tipo 2 (0,25-0,50) uT",IF(R44&lt;=0.75,"Tipo 3 (0,50-0,75) uT","Tipo 4 (&gt;0,75) uT"))))</f>
        <v>Tipo 1 (≤0,25) uT</v>
      </c>
    </row>
    <row r="45" spans="1:60" x14ac:dyDescent="0.3">
      <c r="A45" s="74">
        <v>46263</v>
      </c>
      <c r="B45" s="139">
        <v>0.89583333333333337</v>
      </c>
      <c r="C45" s="116">
        <v>381</v>
      </c>
      <c r="D45" s="116">
        <v>955</v>
      </c>
      <c r="E45" s="116">
        <v>500</v>
      </c>
      <c r="F45" s="116">
        <v>1775</v>
      </c>
      <c r="G45" s="144" t="s">
        <v>100</v>
      </c>
      <c r="H45" s="122">
        <v>10.8</v>
      </c>
      <c r="I45" s="116">
        <v>-107</v>
      </c>
      <c r="J45" s="10">
        <v>90</v>
      </c>
      <c r="K45" s="116">
        <v>90</v>
      </c>
      <c r="L45" s="116">
        <v>90</v>
      </c>
      <c r="M45" s="122">
        <v>25.5</v>
      </c>
      <c r="N45" s="122">
        <v>6.7</v>
      </c>
      <c r="O45" s="79">
        <v>0.75</v>
      </c>
      <c r="P45" s="116">
        <v>6</v>
      </c>
      <c r="Q45" s="122">
        <v>8.4</v>
      </c>
      <c r="R45" s="10">
        <v>0.06</v>
      </c>
      <c r="S45" s="79">
        <v>22.36</v>
      </c>
      <c r="T45" s="79">
        <v>0.88</v>
      </c>
      <c r="U45" s="79">
        <v>0.7</v>
      </c>
      <c r="V45" s="85">
        <f t="shared" si="2"/>
        <v>1329.03125</v>
      </c>
      <c r="W45" s="85">
        <f t="shared" si="3"/>
        <v>1372.556302</v>
      </c>
      <c r="X45" s="85">
        <f t="shared" si="4"/>
        <v>1.0327494571704015</v>
      </c>
      <c r="Y45" s="116">
        <v>2</v>
      </c>
      <c r="Z45" s="116">
        <v>4</v>
      </c>
      <c r="AA45" s="122">
        <v>6.5</v>
      </c>
      <c r="AB45" s="116">
        <v>17</v>
      </c>
      <c r="AC45" s="122">
        <v>6.4</v>
      </c>
      <c r="AD45" s="122">
        <v>4.0999999999999996</v>
      </c>
      <c r="AE45" s="79">
        <v>0.13</v>
      </c>
      <c r="AF45" s="79">
        <v>0.1</v>
      </c>
      <c r="AG45" s="85">
        <f>(O45+0.3*H45+2)*(F45/2/AK45)</f>
        <v>1772.0416666666665</v>
      </c>
      <c r="AH45" s="85">
        <f t="shared" si="5"/>
        <v>1789.4207135999998</v>
      </c>
      <c r="AI45" s="85">
        <f t="shared" si="6"/>
        <v>1.0098073579533964</v>
      </c>
      <c r="AJ45" s="116">
        <v>2</v>
      </c>
      <c r="AK45" s="116">
        <v>3</v>
      </c>
      <c r="AL45" s="122">
        <v>6.1</v>
      </c>
      <c r="AM45" s="116">
        <v>24</v>
      </c>
      <c r="AN45" s="122">
        <v>6.5</v>
      </c>
      <c r="AO45" s="122">
        <v>4.0999999999999996</v>
      </c>
      <c r="AP45" s="79">
        <v>0.14000000000000001</v>
      </c>
      <c r="AQ45" s="79">
        <v>0.1</v>
      </c>
      <c r="AR45" s="132">
        <f>SUM(C45:E45)</f>
        <v>1836</v>
      </c>
      <c r="AS45" s="134">
        <f>C45/AR45</f>
        <v>0.20751633986928106</v>
      </c>
      <c r="AT45" s="134">
        <f>D45/AR45</f>
        <v>0.52015250544662306</v>
      </c>
      <c r="AU45" s="134">
        <f>E45/AR45</f>
        <v>0.27233115468409586</v>
      </c>
      <c r="AV45" s="151">
        <f>IF(AND(F45&lt;&gt;"",Z45&lt;&gt;""),AB45/(F45/2/Z45),"")</f>
        <v>7.6619718309859156E-2</v>
      </c>
      <c r="AW45" s="151">
        <f>IF(AND(F45&lt;&gt;"",AK45&lt;&gt;""),AM45/(F45/2/AK45),"")</f>
        <v>8.1126760563380293E-2</v>
      </c>
      <c r="AX45" s="41">
        <f>IF(AND(AQ45&lt;&gt;"",1-(AQ45/O45)&gt;0),1-(AQ45/O45),"")</f>
        <v>0.8666666666666667</v>
      </c>
      <c r="AY45" s="41">
        <f>IF(AND(AF45&lt;&gt;"",1-(AF45/O45)&gt;0),1-(AF45/O45),"")</f>
        <v>0.8666666666666667</v>
      </c>
      <c r="AZ45" s="136" t="str">
        <f>IF(Q45="","",IF(Q45&lt;2.5,"Alc. Bruta &lt; 2,5 mg/L",IF(Q45&lt;5,"2,5 ≤ Alc. Bruta &lt; 5,0 mg/L",IF(Q45&lt;7.5,"5,0 ≤ Alc. Bruta &lt; 7,5 mg/L",IF(Q45&lt;10,"7,5 ≤ Alc. Bruta &lt; 10,0 mg/L",IF(Q45&lt;15,"10,0 ≤ Alca. Bruta &lt; 15,0 mg/L","Alc. Bruta &gt; 15 mg/L"))))))</f>
        <v>7,5 ≤ Alc. Bruta &lt; 10,0 mg/L</v>
      </c>
      <c r="BA45" s="136" t="str">
        <f>IF(P45="","",IF(P45&lt;5,"Cor &lt;5 uC",IF(P45&lt;10,"5 ≤ Cor &lt; 10 uC",IF(P45&lt;15,"10 ≤ Cor &lt;15 uC",IF(P45&lt;30,"15 ≤ Cor &lt; 30 uC",IF(P45&lt;50,"30 ≤ Cor &lt; 50 uC","Cor &gt; 50 uC"))))))</f>
        <v>5 ≤ Cor &lt; 10 uC</v>
      </c>
      <c r="BB45" s="137" t="str">
        <f>IF(O45="","",IF(O45&lt;2.5,"Turbidez &lt; 2,5 uT",IF(O45&lt;5,"2,5 ≤ Turb &lt; 5,0 uT",IF(O45&lt;7.5,"5,0 ≤ Turb &lt; 7,5 uT",IF(O45&lt;10,"7,5 ≤ Turb &lt; 10,0 uT",IF(O45&lt;15,"10,0 ≤ Turb &lt; 15,0 uT","Turb &gt; 15 uT"))))))</f>
        <v>Turbidez &lt; 2,5 uT</v>
      </c>
      <c r="BC45" s="138" t="str">
        <f>IF(AND(C45&gt;D45,D45&gt;E45),"TOR &gt; SM &gt; BNN",IF(AND(C45&gt;E45,E45&gt;D45),"TOR &gt; BNN &gt; SM",IF(AND(D45&gt;C45,C45&gt;E45),"SM &gt; TOR &gt; BNN",IF(AND(D45&gt;E45,E45&gt;C45),"SM &gt; BNN &gt; TOR",IF(AND(C45=D45,D45=E45),"TOR = SM = BNN","Comb. diferentes")))))</f>
        <v>SM &gt; BNN &gt; TOR</v>
      </c>
      <c r="BD45" s="137" t="str">
        <f>IF(OR(AE45="",AQ45="-"),"",IF(AE45&lt;=0.25,"Tipo 1 (≤0,25) uT",IF(AE45&lt;=0.5,"Tipo 2 (0,25-0,50) uT",IF(AE45&lt;=0.75,"Tipo 3 (0,50-0,75) uT","Tipo 4 (&gt;0,75) uT"))))</f>
        <v>Tipo 1 (≤0,25) uT</v>
      </c>
      <c r="BE45" s="137" t="str">
        <f t="shared" si="0"/>
        <v>Tipo 1 (≤0,25) uT</v>
      </c>
      <c r="BF45" s="137" t="str">
        <f>IF(OR(AF45="",AQ45="-"),"",IF(AF45&lt;=0.25,"Tipo 1 (≤0,25) uT",IF(AF45&lt;=0.5,"Tipo 2 (0,25-0,50) uT",IF(AF45&lt;=0.75,"Tipo 3 (0,50-0,75) uT","Tipo 4 (&gt;0,75) uT"))))</f>
        <v>Tipo 1 (≤0,25) uT</v>
      </c>
      <c r="BG45" s="137" t="str">
        <f t="shared" si="1"/>
        <v>Tipo 1 (≤0,25) uT</v>
      </c>
      <c r="BH45" s="137" t="str">
        <f>IF(OR(R45="",R45="-"),"",IF(R45&lt;=0.25,"Tipo 1 (≤0,25) uT",IF(R45&lt;=0.5,"Tipo 2 (0,25-0,50) uT",IF(R45&lt;=0.75,"Tipo 3 (0,50-0,75) uT","Tipo 4 (&gt;0,75) uT"))))</f>
        <v>Tipo 1 (≤0,25) uT</v>
      </c>
    </row>
    <row r="46" spans="1:60" x14ac:dyDescent="0.3">
      <c r="A46" s="74">
        <v>46263</v>
      </c>
      <c r="B46" s="139">
        <v>0.97916666666666663</v>
      </c>
      <c r="C46" s="116">
        <v>391</v>
      </c>
      <c r="D46" s="116">
        <v>970</v>
      </c>
      <c r="E46" s="116">
        <v>500</v>
      </c>
      <c r="F46" s="116">
        <v>1833</v>
      </c>
      <c r="G46" s="144" t="s">
        <v>100</v>
      </c>
      <c r="H46" s="122">
        <v>10.8</v>
      </c>
      <c r="I46" s="116">
        <v>-99</v>
      </c>
      <c r="J46" s="10">
        <v>90</v>
      </c>
      <c r="K46" s="116">
        <v>90</v>
      </c>
      <c r="L46" s="116">
        <v>90</v>
      </c>
      <c r="M46" s="122">
        <v>24.3</v>
      </c>
      <c r="N46" s="122">
        <v>6.6</v>
      </c>
      <c r="O46" s="79">
        <v>0.89</v>
      </c>
      <c r="P46" s="116">
        <v>6</v>
      </c>
      <c r="Q46" s="122">
        <v>8.1999999999999993</v>
      </c>
      <c r="R46" s="10">
        <v>0.06</v>
      </c>
      <c r="S46" s="79">
        <v>22.36</v>
      </c>
      <c r="T46" s="79">
        <v>0.88</v>
      </c>
      <c r="U46" s="79">
        <v>0.7</v>
      </c>
      <c r="V46" s="85">
        <f t="shared" si="2"/>
        <v>1404.5362499999999</v>
      </c>
      <c r="W46" s="85">
        <f t="shared" si="3"/>
        <v>1372.556302</v>
      </c>
      <c r="X46" s="85">
        <f t="shared" si="4"/>
        <v>0.9772309557692086</v>
      </c>
      <c r="Y46" s="116">
        <v>2</v>
      </c>
      <c r="Z46" s="116">
        <v>4</v>
      </c>
      <c r="AA46" s="122">
        <v>6.5</v>
      </c>
      <c r="AB46" s="116">
        <v>17</v>
      </c>
      <c r="AC46" s="122">
        <v>6.2</v>
      </c>
      <c r="AD46" s="122">
        <v>6.6</v>
      </c>
      <c r="AE46" s="79">
        <v>0.12</v>
      </c>
      <c r="AF46" s="79">
        <v>0.1</v>
      </c>
      <c r="AG46" s="85">
        <f>(O46+0.3*H46+2)*(F46/2/AK46)</f>
        <v>1872.7149999999999</v>
      </c>
      <c r="AH46" s="85">
        <f t="shared" si="5"/>
        <v>1750.3931224</v>
      </c>
      <c r="AI46" s="85">
        <f t="shared" si="6"/>
        <v>0.93468206448925761</v>
      </c>
      <c r="AJ46" s="116">
        <v>2</v>
      </c>
      <c r="AK46" s="116">
        <v>3</v>
      </c>
      <c r="AL46" s="122">
        <v>6.2</v>
      </c>
      <c r="AM46" s="116">
        <v>23</v>
      </c>
      <c r="AN46" s="122">
        <v>6.4</v>
      </c>
      <c r="AO46" s="122">
        <v>6.3</v>
      </c>
      <c r="AP46" s="79">
        <v>0.17</v>
      </c>
      <c r="AQ46" s="79">
        <v>0.19</v>
      </c>
      <c r="AR46" s="132">
        <f>SUM(C46:E46)</f>
        <v>1861</v>
      </c>
      <c r="AS46" s="134">
        <f>C46/AR46</f>
        <v>0.21010209564750135</v>
      </c>
      <c r="AT46" s="134">
        <f>D46/AR46</f>
        <v>0.52122514777001616</v>
      </c>
      <c r="AU46" s="134">
        <f>E46/AR46</f>
        <v>0.26867275658248252</v>
      </c>
      <c r="AV46" s="151">
        <f>IF(AND(F46&lt;&gt;"",Z46&lt;&gt;""),AB46/(F46/2/Z46),"")</f>
        <v>7.4195308237861426E-2</v>
      </c>
      <c r="AW46" s="151">
        <f>IF(AND(F46&lt;&gt;"",AK46&lt;&gt;""),AM46/(F46/2/AK46),"")</f>
        <v>7.5286415711947621E-2</v>
      </c>
      <c r="AX46" s="41">
        <f>IF(AND(AQ46&lt;&gt;"",1-(AQ46/O46)&gt;0),1-(AQ46/O46),"")</f>
        <v>0.7865168539325843</v>
      </c>
      <c r="AY46" s="41">
        <f>IF(AND(AF46&lt;&gt;"",1-(AF46/O46)&gt;0),1-(AF46/O46),"")</f>
        <v>0.88764044943820219</v>
      </c>
      <c r="AZ46" s="136" t="str">
        <f>IF(Q46="","",IF(Q46&lt;2.5,"Alc. Bruta &lt; 2,5 mg/L",IF(Q46&lt;5,"2,5 ≤ Alc. Bruta &lt; 5,0 mg/L",IF(Q46&lt;7.5,"5,0 ≤ Alc. Bruta &lt; 7,5 mg/L",IF(Q46&lt;10,"7,5 ≤ Alc. Bruta &lt; 10,0 mg/L",IF(Q46&lt;15,"10,0 ≤ Alca. Bruta &lt; 15,0 mg/L","Alc. Bruta &gt; 15 mg/L"))))))</f>
        <v>7,5 ≤ Alc. Bruta &lt; 10,0 mg/L</v>
      </c>
      <c r="BA46" s="136" t="str">
        <f>IF(P46="","",IF(P46&lt;5,"Cor &lt;5 uC",IF(P46&lt;10,"5 ≤ Cor &lt; 10 uC",IF(P46&lt;15,"10 ≤ Cor &lt;15 uC",IF(P46&lt;30,"15 ≤ Cor &lt; 30 uC",IF(P46&lt;50,"30 ≤ Cor &lt; 50 uC","Cor &gt; 50 uC"))))))</f>
        <v>5 ≤ Cor &lt; 10 uC</v>
      </c>
      <c r="BB46" s="137" t="str">
        <f>IF(O46="","",IF(O46&lt;2.5,"Turbidez &lt; 2,5 uT",IF(O46&lt;5,"2,5 ≤ Turb &lt; 5,0 uT",IF(O46&lt;7.5,"5,0 ≤ Turb &lt; 7,5 uT",IF(O46&lt;10,"7,5 ≤ Turb &lt; 10,0 uT",IF(O46&lt;15,"10,0 ≤ Turb &lt; 15,0 uT","Turb &gt; 15 uT"))))))</f>
        <v>Turbidez &lt; 2,5 uT</v>
      </c>
      <c r="BC46" s="138" t="str">
        <f>IF(AND(C46&gt;D46,D46&gt;E46),"TOR &gt; SM &gt; BNN",IF(AND(C46&gt;E46,E46&gt;D46),"TOR &gt; BNN &gt; SM",IF(AND(D46&gt;C46,C46&gt;E46),"SM &gt; TOR &gt; BNN",IF(AND(D46&gt;E46,E46&gt;C46),"SM &gt; BNN &gt; TOR",IF(AND(C46=D46,D46=E46),"TOR = SM = BNN","Comb. diferentes")))))</f>
        <v>SM &gt; BNN &gt; TOR</v>
      </c>
      <c r="BD46" s="137" t="str">
        <f>IF(OR(AE46="",AQ46="-"),"",IF(AE46&lt;=0.25,"Tipo 1 (≤0,25) uT",IF(AE46&lt;=0.5,"Tipo 2 (0,25-0,50) uT",IF(AE46&lt;=0.75,"Tipo 3 (0,50-0,75) uT","Tipo 4 (&gt;0,75) uT"))))</f>
        <v>Tipo 1 (≤0,25) uT</v>
      </c>
      <c r="BE46" s="137" t="str">
        <f t="shared" si="0"/>
        <v>Tipo 1 (≤0,25) uT</v>
      </c>
      <c r="BF46" s="137" t="str">
        <f>IF(OR(AF46="",AQ46="-"),"",IF(AF46&lt;=0.25,"Tipo 1 (≤0,25) uT",IF(AF46&lt;=0.5,"Tipo 2 (0,25-0,50) uT",IF(AF46&lt;=0.75,"Tipo 3 (0,50-0,75) uT","Tipo 4 (&gt;0,75) uT"))))</f>
        <v>Tipo 1 (≤0,25) uT</v>
      </c>
      <c r="BG46" s="137" t="str">
        <f t="shared" si="1"/>
        <v>Tipo 1 (≤0,25) uT</v>
      </c>
      <c r="BH46" s="137" t="str">
        <f>IF(OR(R46="",R46="-"),"",IF(R46&lt;=0.25,"Tipo 1 (≤0,25) uT",IF(R46&lt;=0.5,"Tipo 2 (0,25-0,50) uT",IF(R46&lt;=0.75,"Tipo 3 (0,50-0,75) uT","Tipo 4 (&gt;0,75) uT"))))</f>
        <v>Tipo 1 (≤0,25) uT</v>
      </c>
    </row>
    <row r="47" spans="1:60" x14ac:dyDescent="0.3">
      <c r="A47" s="74">
        <v>46264</v>
      </c>
      <c r="B47" s="139">
        <v>6.25E-2</v>
      </c>
      <c r="C47" s="116">
        <v>382</v>
      </c>
      <c r="D47" s="116">
        <v>967</v>
      </c>
      <c r="E47" s="116">
        <v>499</v>
      </c>
      <c r="F47" s="116">
        <v>1877</v>
      </c>
      <c r="G47" s="144" t="s">
        <v>100</v>
      </c>
      <c r="H47" s="122">
        <v>10.5</v>
      </c>
      <c r="I47" s="116">
        <v>-90</v>
      </c>
      <c r="J47" s="10">
        <v>90</v>
      </c>
      <c r="K47" s="116">
        <v>90</v>
      </c>
      <c r="L47" s="116">
        <v>90</v>
      </c>
      <c r="M47" s="122">
        <v>25.8</v>
      </c>
      <c r="N47" s="122">
        <v>6.6</v>
      </c>
      <c r="O47" s="79">
        <v>0.93</v>
      </c>
      <c r="P47" s="116">
        <v>7</v>
      </c>
      <c r="Q47" s="122">
        <v>9.1</v>
      </c>
      <c r="R47" s="10">
        <v>7.0000000000000007E-2</v>
      </c>
      <c r="S47" s="79">
        <v>22.36</v>
      </c>
      <c r="T47" s="79">
        <v>0.88</v>
      </c>
      <c r="U47" s="79">
        <v>0.7</v>
      </c>
      <c r="V47" s="85">
        <f t="shared" si="2"/>
        <v>1426.52</v>
      </c>
      <c r="W47" s="85">
        <f t="shared" si="3"/>
        <v>1372.556302</v>
      </c>
      <c r="X47" s="85">
        <f t="shared" si="4"/>
        <v>0.96217108908392446</v>
      </c>
      <c r="Y47" s="116">
        <v>2</v>
      </c>
      <c r="Z47" s="116">
        <v>4</v>
      </c>
      <c r="AA47" s="122">
        <v>6.5</v>
      </c>
      <c r="AB47" s="116">
        <v>17</v>
      </c>
      <c r="AC47" s="122">
        <v>6.2</v>
      </c>
      <c r="AD47" s="122">
        <v>7.1</v>
      </c>
      <c r="AE47" s="79">
        <v>0.11</v>
      </c>
      <c r="AF47" s="79">
        <v>0.1</v>
      </c>
      <c r="AG47" s="85">
        <f>(O47+0.3*H47+2)*(F47/2/AK47)</f>
        <v>1902.0266666666666</v>
      </c>
      <c r="AH47" s="85">
        <f t="shared" si="5"/>
        <v>1750.3931224</v>
      </c>
      <c r="AI47" s="85">
        <f t="shared" si="6"/>
        <v>0.92027790833637102</v>
      </c>
      <c r="AJ47" s="116">
        <v>2</v>
      </c>
      <c r="AK47" s="116">
        <v>3</v>
      </c>
      <c r="AL47" s="122">
        <v>6.2</v>
      </c>
      <c r="AM47" s="116">
        <v>23</v>
      </c>
      <c r="AN47" s="122">
        <v>6.4</v>
      </c>
      <c r="AO47" s="122">
        <v>6.9</v>
      </c>
      <c r="AP47" s="79">
        <v>0.16</v>
      </c>
      <c r="AQ47" s="79">
        <v>0.16</v>
      </c>
      <c r="AR47" s="132">
        <f>SUM(C47:E47)</f>
        <v>1848</v>
      </c>
      <c r="AS47" s="134">
        <f>C47/AR47</f>
        <v>0.2067099567099567</v>
      </c>
      <c r="AT47" s="134">
        <f>D47/AR47</f>
        <v>0.52326839826839822</v>
      </c>
      <c r="AU47" s="134">
        <f>E47/AR47</f>
        <v>0.270021645021645</v>
      </c>
      <c r="AV47" s="151">
        <f>IF(AND(F47&lt;&gt;"",Z47&lt;&gt;""),AB47/(F47/2/Z47),"")</f>
        <v>7.2456046883324451E-2</v>
      </c>
      <c r="AW47" s="151">
        <f>IF(AND(F47&lt;&gt;"",AK47&lt;&gt;""),AM47/(F47/2/AK47),"")</f>
        <v>7.3521576984549822E-2</v>
      </c>
      <c r="AX47" s="41">
        <f>IF(AND(AQ47&lt;&gt;"",1-(AQ47/O47)&gt;0),1-(AQ47/O47),"")</f>
        <v>0.82795698924731187</v>
      </c>
      <c r="AY47" s="41">
        <f>IF(AND(AF47&lt;&gt;"",1-(AF47/O47)&gt;0),1-(AF47/O47),"")</f>
        <v>0.89247311827956988</v>
      </c>
      <c r="AZ47" s="136" t="str">
        <f>IF(Q47="","",IF(Q47&lt;2.5,"Alc. Bruta &lt; 2,5 mg/L",IF(Q47&lt;5,"2,5 ≤ Alc. Bruta &lt; 5,0 mg/L",IF(Q47&lt;7.5,"5,0 ≤ Alc. Bruta &lt; 7,5 mg/L",IF(Q47&lt;10,"7,5 ≤ Alc. Bruta &lt; 10,0 mg/L",IF(Q47&lt;15,"10,0 ≤ Alca. Bruta &lt; 15,0 mg/L","Alc. Bruta &gt; 15 mg/L"))))))</f>
        <v>7,5 ≤ Alc. Bruta &lt; 10,0 mg/L</v>
      </c>
      <c r="BA47" s="136" t="str">
        <f>IF(P47="","",IF(P47&lt;5,"Cor &lt;5 uC",IF(P47&lt;10,"5 ≤ Cor &lt; 10 uC",IF(P47&lt;15,"10 ≤ Cor &lt;15 uC",IF(P47&lt;30,"15 ≤ Cor &lt; 30 uC",IF(P47&lt;50,"30 ≤ Cor &lt; 50 uC","Cor &gt; 50 uC"))))))</f>
        <v>5 ≤ Cor &lt; 10 uC</v>
      </c>
      <c r="BB47" s="137" t="str">
        <f>IF(O47="","",IF(O47&lt;2.5,"Turbidez &lt; 2,5 uT",IF(O47&lt;5,"2,5 ≤ Turb &lt; 5,0 uT",IF(O47&lt;7.5,"5,0 ≤ Turb &lt; 7,5 uT",IF(O47&lt;10,"7,5 ≤ Turb &lt; 10,0 uT",IF(O47&lt;15,"10,0 ≤ Turb &lt; 15,0 uT","Turb &gt; 15 uT"))))))</f>
        <v>Turbidez &lt; 2,5 uT</v>
      </c>
      <c r="BC47" s="138" t="str">
        <f>IF(AND(C47&gt;D47,D47&gt;E47),"TOR &gt; SM &gt; BNN",IF(AND(C47&gt;E47,E47&gt;D47),"TOR &gt; BNN &gt; SM",IF(AND(D47&gt;C47,C47&gt;E47),"SM &gt; TOR &gt; BNN",IF(AND(D47&gt;E47,E47&gt;C47),"SM &gt; BNN &gt; TOR",IF(AND(C47=D47,D47=E47),"TOR = SM = BNN","Comb. diferentes")))))</f>
        <v>SM &gt; BNN &gt; TOR</v>
      </c>
      <c r="BD47" s="137" t="str">
        <f>IF(OR(AE47="",AQ47="-"),"",IF(AE47&lt;=0.25,"Tipo 1 (≤0,25) uT",IF(AE47&lt;=0.5,"Tipo 2 (0,25-0,50) uT",IF(AE47&lt;=0.75,"Tipo 3 (0,50-0,75) uT","Tipo 4 (&gt;0,75) uT"))))</f>
        <v>Tipo 1 (≤0,25) uT</v>
      </c>
      <c r="BE47" s="137" t="str">
        <f t="shared" si="0"/>
        <v>Tipo 1 (≤0,25) uT</v>
      </c>
      <c r="BF47" s="137" t="str">
        <f>IF(OR(AF47="",AQ47="-"),"",IF(AF47&lt;=0.25,"Tipo 1 (≤0,25) uT",IF(AF47&lt;=0.5,"Tipo 2 (0,25-0,50) uT",IF(AF47&lt;=0.75,"Tipo 3 (0,50-0,75) uT","Tipo 4 (&gt;0,75) uT"))))</f>
        <v>Tipo 1 (≤0,25) uT</v>
      </c>
      <c r="BG47" s="137" t="str">
        <f t="shared" si="1"/>
        <v>Tipo 1 (≤0,25) uT</v>
      </c>
      <c r="BH47" s="137" t="str">
        <f>IF(OR(R47="",R47="-"),"",IF(R47&lt;=0.25,"Tipo 1 (≤0,25) uT",IF(R47&lt;=0.5,"Tipo 2 (0,25-0,50) uT",IF(R47&lt;=0.75,"Tipo 3 (0,50-0,75) uT","Tipo 4 (&gt;0,75) uT"))))</f>
        <v>Tipo 1 (≤0,25) uT</v>
      </c>
    </row>
    <row r="48" spans="1:60" x14ac:dyDescent="0.3">
      <c r="A48" s="74">
        <v>46264</v>
      </c>
      <c r="B48" s="139">
        <v>0.14583333333333334</v>
      </c>
      <c r="C48" s="116">
        <v>395</v>
      </c>
      <c r="D48" s="116">
        <v>777</v>
      </c>
      <c r="E48" s="116">
        <v>500</v>
      </c>
      <c r="F48" s="116">
        <v>1658</v>
      </c>
      <c r="G48" s="144" t="s">
        <v>100</v>
      </c>
      <c r="H48" s="122">
        <v>10.8</v>
      </c>
      <c r="I48" s="116">
        <v>-107</v>
      </c>
      <c r="J48" s="10">
        <v>90</v>
      </c>
      <c r="K48" s="116">
        <v>90</v>
      </c>
      <c r="L48" s="116">
        <v>90</v>
      </c>
      <c r="M48" s="122">
        <v>25.3</v>
      </c>
      <c r="N48" s="122">
        <v>6.6</v>
      </c>
      <c r="O48" s="79">
        <v>0.85</v>
      </c>
      <c r="P48" s="116">
        <v>5</v>
      </c>
      <c r="Q48" s="122">
        <v>8.4</v>
      </c>
      <c r="R48" s="10">
        <v>0.06</v>
      </c>
      <c r="S48" s="79">
        <v>22.36</v>
      </c>
      <c r="T48" s="79">
        <v>0.88</v>
      </c>
      <c r="U48" s="79">
        <v>0.7</v>
      </c>
      <c r="V48" s="85">
        <f t="shared" si="2"/>
        <v>1262.1524999999999</v>
      </c>
      <c r="W48" s="85">
        <f t="shared" si="3"/>
        <v>1372.556302</v>
      </c>
      <c r="X48" s="85">
        <f t="shared" si="4"/>
        <v>1.0874726326652286</v>
      </c>
      <c r="Y48" s="116">
        <v>2</v>
      </c>
      <c r="Z48" s="116">
        <v>4</v>
      </c>
      <c r="AA48" s="122">
        <v>6.5</v>
      </c>
      <c r="AB48" s="116">
        <v>17</v>
      </c>
      <c r="AC48" s="122">
        <v>6.3</v>
      </c>
      <c r="AD48" s="122">
        <v>7.6</v>
      </c>
      <c r="AE48" s="79">
        <v>0.16</v>
      </c>
      <c r="AF48" s="79">
        <v>0.1</v>
      </c>
      <c r="AG48" s="85">
        <f>(O48+0.3*H48+2)*(F48/2/AK48)</f>
        <v>1682.87</v>
      </c>
      <c r="AH48" s="85">
        <f t="shared" si="5"/>
        <v>1714.8615171999998</v>
      </c>
      <c r="AI48" s="85">
        <f t="shared" si="6"/>
        <v>1.0190100941843399</v>
      </c>
      <c r="AJ48" s="116">
        <v>2</v>
      </c>
      <c r="AK48" s="116">
        <v>3</v>
      </c>
      <c r="AL48" s="122">
        <v>6.1</v>
      </c>
      <c r="AM48" s="116">
        <v>23</v>
      </c>
      <c r="AN48" s="122">
        <v>6.4</v>
      </c>
      <c r="AO48" s="122">
        <v>7.2</v>
      </c>
      <c r="AP48" s="79">
        <v>0.1</v>
      </c>
      <c r="AQ48" s="79">
        <v>0.16</v>
      </c>
      <c r="AR48" s="132">
        <f>SUM(C48:E48)</f>
        <v>1672</v>
      </c>
      <c r="AS48" s="134">
        <f>C48/AR48</f>
        <v>0.23624401913875598</v>
      </c>
      <c r="AT48" s="134">
        <f>D48/AR48</f>
        <v>0.46471291866028708</v>
      </c>
      <c r="AU48" s="134">
        <f>E48/AR48</f>
        <v>0.29904306220095694</v>
      </c>
      <c r="AV48" s="151">
        <f>IF(AND(F48&lt;&gt;"",Z48&lt;&gt;""),AB48/(F48/2/Z48),"")</f>
        <v>8.2026537997587454E-2</v>
      </c>
      <c r="AW48" s="151">
        <f>IF(AND(F48&lt;&gt;"",AK48&lt;&gt;""),AM48/(F48/2/AK48),"")</f>
        <v>8.3232810615199035E-2</v>
      </c>
      <c r="AX48" s="41">
        <f>IF(AND(AQ48&lt;&gt;"",1-(AQ48/O48)&gt;0),1-(AQ48/O48),"")</f>
        <v>0.81176470588235294</v>
      </c>
      <c r="AY48" s="41">
        <f>IF(AND(AF48&lt;&gt;"",1-(AF48/O48)&gt;0),1-(AF48/O48),"")</f>
        <v>0.88235294117647056</v>
      </c>
      <c r="AZ48" s="136" t="str">
        <f>IF(Q48="","",IF(Q48&lt;2.5,"Alc. Bruta &lt; 2,5 mg/L",IF(Q48&lt;5,"2,5 ≤ Alc. Bruta &lt; 5,0 mg/L",IF(Q48&lt;7.5,"5,0 ≤ Alc. Bruta &lt; 7,5 mg/L",IF(Q48&lt;10,"7,5 ≤ Alc. Bruta &lt; 10,0 mg/L",IF(Q48&lt;15,"10,0 ≤ Alca. Bruta &lt; 15,0 mg/L","Alc. Bruta &gt; 15 mg/L"))))))</f>
        <v>7,5 ≤ Alc. Bruta &lt; 10,0 mg/L</v>
      </c>
      <c r="BA48" s="136" t="str">
        <f>IF(P48="","",IF(P48&lt;5,"Cor &lt;5 uC",IF(P48&lt;10,"5 ≤ Cor &lt; 10 uC",IF(P48&lt;15,"10 ≤ Cor &lt;15 uC",IF(P48&lt;30,"15 ≤ Cor &lt; 30 uC",IF(P48&lt;50,"30 ≤ Cor &lt; 50 uC","Cor &gt; 50 uC"))))))</f>
        <v>5 ≤ Cor &lt; 10 uC</v>
      </c>
      <c r="BB48" s="137" t="str">
        <f>IF(O48="","",IF(O48&lt;2.5,"Turbidez &lt; 2,5 uT",IF(O48&lt;5,"2,5 ≤ Turb &lt; 5,0 uT",IF(O48&lt;7.5,"5,0 ≤ Turb &lt; 7,5 uT",IF(O48&lt;10,"7,5 ≤ Turb &lt; 10,0 uT",IF(O48&lt;15,"10,0 ≤ Turb &lt; 15,0 uT","Turb &gt; 15 uT"))))))</f>
        <v>Turbidez &lt; 2,5 uT</v>
      </c>
      <c r="BC48" s="138" t="str">
        <f>IF(AND(C48&gt;D48,D48&gt;E48),"TOR &gt; SM &gt; BNN",IF(AND(C48&gt;E48,E48&gt;D48),"TOR &gt; BNN &gt; SM",IF(AND(D48&gt;C48,C48&gt;E48),"SM &gt; TOR &gt; BNN",IF(AND(D48&gt;E48,E48&gt;C48),"SM &gt; BNN &gt; TOR",IF(AND(C48=D48,D48=E48),"TOR = SM = BNN","Comb. diferentes")))))</f>
        <v>SM &gt; BNN &gt; TOR</v>
      </c>
      <c r="BD48" s="137" t="str">
        <f>IF(OR(AE48="",AQ48="-"),"",IF(AE48&lt;=0.25,"Tipo 1 (≤0,25) uT",IF(AE48&lt;=0.5,"Tipo 2 (0,25-0,50) uT",IF(AE48&lt;=0.75,"Tipo 3 (0,50-0,75) uT","Tipo 4 (&gt;0,75) uT"))))</f>
        <v>Tipo 1 (≤0,25) uT</v>
      </c>
      <c r="BE48" s="137" t="str">
        <f t="shared" si="0"/>
        <v>Tipo 1 (≤0,25) uT</v>
      </c>
      <c r="BF48" s="137" t="str">
        <f>IF(OR(AF48="",AQ48="-"),"",IF(AF48&lt;=0.25,"Tipo 1 (≤0,25) uT",IF(AF48&lt;=0.5,"Tipo 2 (0,25-0,50) uT",IF(AF48&lt;=0.75,"Tipo 3 (0,50-0,75) uT","Tipo 4 (&gt;0,75) uT"))))</f>
        <v>Tipo 1 (≤0,25) uT</v>
      </c>
      <c r="BG48" s="137" t="str">
        <f t="shared" si="1"/>
        <v>Tipo 1 (≤0,25) uT</v>
      </c>
      <c r="BH48" s="137" t="str">
        <f>IF(OR(R48="",R48="-"),"",IF(R48&lt;=0.25,"Tipo 1 (≤0,25) uT",IF(R48&lt;=0.5,"Tipo 2 (0,25-0,50) uT",IF(R48&lt;=0.75,"Tipo 3 (0,50-0,75) uT","Tipo 4 (&gt;0,75) uT"))))</f>
        <v>Tipo 1 (≤0,25) uT</v>
      </c>
    </row>
    <row r="49" spans="1:60" ht="15" thickBot="1" x14ac:dyDescent="0.35">
      <c r="A49" s="75">
        <v>46264</v>
      </c>
      <c r="B49" s="140">
        <v>0.22916666666666666</v>
      </c>
      <c r="C49" s="117">
        <v>372</v>
      </c>
      <c r="D49" s="117">
        <v>1106</v>
      </c>
      <c r="E49" s="117">
        <v>494</v>
      </c>
      <c r="F49" s="117">
        <v>1961</v>
      </c>
      <c r="G49" s="145" t="s">
        <v>100</v>
      </c>
      <c r="H49" s="123">
        <v>10.8</v>
      </c>
      <c r="I49" s="117">
        <v>-84</v>
      </c>
      <c r="J49" s="11">
        <v>90</v>
      </c>
      <c r="K49" s="117">
        <v>90</v>
      </c>
      <c r="L49" s="117">
        <v>90</v>
      </c>
      <c r="M49" s="123">
        <v>25.3</v>
      </c>
      <c r="N49" s="123">
        <v>6.6</v>
      </c>
      <c r="O49" s="80">
        <v>0.87</v>
      </c>
      <c r="P49" s="117">
        <v>5</v>
      </c>
      <c r="Q49" s="123">
        <v>10.7</v>
      </c>
      <c r="R49" s="11">
        <v>0.06</v>
      </c>
      <c r="S49" s="79">
        <v>22.36</v>
      </c>
      <c r="T49" s="79">
        <v>0.88</v>
      </c>
      <c r="U49" s="79">
        <v>0.7</v>
      </c>
      <c r="V49" s="85">
        <f t="shared" si="2"/>
        <v>1497.7137500000001</v>
      </c>
      <c r="W49" s="85">
        <f t="shared" si="3"/>
        <v>1372.556302</v>
      </c>
      <c r="X49" s="85">
        <f t="shared" si="4"/>
        <v>0.91643433332971658</v>
      </c>
      <c r="Y49" s="117">
        <v>2</v>
      </c>
      <c r="Z49" s="117">
        <v>4</v>
      </c>
      <c r="AA49" s="123">
        <v>6.5</v>
      </c>
      <c r="AB49" s="117">
        <v>17</v>
      </c>
      <c r="AC49" s="123">
        <v>6.3</v>
      </c>
      <c r="AD49" s="123">
        <v>7.7</v>
      </c>
      <c r="AE49" s="80">
        <v>0.2</v>
      </c>
      <c r="AF49" s="80">
        <v>0.1</v>
      </c>
      <c r="AG49" s="85">
        <f>(O49+0.3*H49+2)*(F49/2/AK49)</f>
        <v>1996.9516666666666</v>
      </c>
      <c r="AH49" s="85">
        <f t="shared" si="5"/>
        <v>1750.3931224</v>
      </c>
      <c r="AI49" s="85">
        <f t="shared" si="6"/>
        <v>0.87653254288411253</v>
      </c>
      <c r="AJ49" s="117">
        <v>2</v>
      </c>
      <c r="AK49" s="117">
        <v>3</v>
      </c>
      <c r="AL49" s="123">
        <v>6.2</v>
      </c>
      <c r="AM49" s="117">
        <v>23</v>
      </c>
      <c r="AN49" s="123">
        <v>6.4</v>
      </c>
      <c r="AO49" s="123">
        <v>8.1</v>
      </c>
      <c r="AP49" s="80">
        <v>0.11</v>
      </c>
      <c r="AQ49" s="80">
        <v>0.19</v>
      </c>
      <c r="AR49" s="132">
        <f>SUM(C49:E49)</f>
        <v>1972</v>
      </c>
      <c r="AS49" s="134">
        <f>C49/AR49</f>
        <v>0.18864097363083165</v>
      </c>
      <c r="AT49" s="134">
        <f>D49/AR49</f>
        <v>0.5608519269776876</v>
      </c>
      <c r="AU49" s="134">
        <f>E49/AR49</f>
        <v>0.25050709939148075</v>
      </c>
      <c r="AV49" s="151">
        <f>IF(AND(F49&lt;&gt;"",Z49&lt;&gt;""),AB49/(F49/2/Z49),"")</f>
        <v>6.9352371239163699E-2</v>
      </c>
      <c r="AW49" s="151">
        <f>IF(AND(F49&lt;&gt;"",AK49&lt;&gt;""),AM49/(F49/2/AK49),"")</f>
        <v>7.0372259051504335E-2</v>
      </c>
      <c r="AX49" s="41">
        <f>IF(AND(AQ49&lt;&gt;"",1-(AQ49/O49)&gt;0),1-(AQ49/O49),"")</f>
        <v>0.78160919540229878</v>
      </c>
      <c r="AY49" s="41">
        <f>IF(AND(AF49&lt;&gt;"",1-(AF49/O49)&gt;0),1-(AF49/O49),"")</f>
        <v>0.88505747126436785</v>
      </c>
      <c r="AZ49" s="136" t="str">
        <f>IF(Q49="","",IF(Q49&lt;2.5,"Alc. Bruta &lt; 2,5 mg/L",IF(Q49&lt;5,"2,5 ≤ Alc. Bruta &lt; 5,0 mg/L",IF(Q49&lt;7.5,"5,0 ≤ Alc. Bruta &lt; 7,5 mg/L",IF(Q49&lt;10,"7,5 ≤ Alc. Bruta &lt; 10,0 mg/L",IF(Q49&lt;15,"10,0 ≤ Alca. Bruta &lt; 15,0 mg/L","Alc. Bruta &gt; 15 mg/L"))))))</f>
        <v>10,0 ≤ Alca. Bruta &lt; 15,0 mg/L</v>
      </c>
      <c r="BA49" s="136" t="str">
        <f>IF(P49="","",IF(P49&lt;5,"Cor &lt;5 uC",IF(P49&lt;10,"5 ≤ Cor &lt; 10 uC",IF(P49&lt;15,"10 ≤ Cor &lt;15 uC",IF(P49&lt;30,"15 ≤ Cor &lt; 30 uC",IF(P49&lt;50,"30 ≤ Cor &lt; 50 uC","Cor &gt; 50 uC"))))))</f>
        <v>5 ≤ Cor &lt; 10 uC</v>
      </c>
      <c r="BB49" s="137" t="str">
        <f>IF(O49="","",IF(O49&lt;2.5,"Turbidez &lt; 2,5 uT",IF(O49&lt;5,"2,5 ≤ Turb &lt; 5,0 uT",IF(O49&lt;7.5,"5,0 ≤ Turb &lt; 7,5 uT",IF(O49&lt;10,"7,5 ≤ Turb &lt; 10,0 uT",IF(O49&lt;15,"10,0 ≤ Turb &lt; 15,0 uT","Turb &gt; 15 uT"))))))</f>
        <v>Turbidez &lt; 2,5 uT</v>
      </c>
      <c r="BC49" s="138" t="str">
        <f>IF(AND(C49&gt;D49,D49&gt;E49),"TOR &gt; SM &gt; BNN",IF(AND(C49&gt;E49,E49&gt;D49),"TOR &gt; BNN &gt; SM",IF(AND(D49&gt;C49,C49&gt;E49),"SM &gt; TOR &gt; BNN",IF(AND(D49&gt;E49,E49&gt;C49),"SM &gt; BNN &gt; TOR",IF(AND(C49=D49,D49=E49),"TOR = SM = BNN","Comb. diferentes")))))</f>
        <v>SM &gt; BNN &gt; TOR</v>
      </c>
      <c r="BD49" s="137" t="str">
        <f>IF(OR(AE49="",AQ49="-"),"",IF(AE49&lt;=0.25,"Tipo 1 (≤0,25) uT",IF(AE49&lt;=0.5,"Tipo 2 (0,25-0,50) uT",IF(AE49&lt;=0.75,"Tipo 3 (0,50-0,75) uT","Tipo 4 (&gt;0,75) uT"))))</f>
        <v>Tipo 1 (≤0,25) uT</v>
      </c>
      <c r="BE49" s="137" t="str">
        <f t="shared" si="0"/>
        <v>Tipo 1 (≤0,25) uT</v>
      </c>
      <c r="BF49" s="137" t="str">
        <f>IF(OR(AF49="",AQ49="-"),"",IF(AF49&lt;=0.25,"Tipo 1 (≤0,25) uT",IF(AF49&lt;=0.5,"Tipo 2 (0,25-0,50) uT",IF(AF49&lt;=0.75,"Tipo 3 (0,50-0,75) uT","Tipo 4 (&gt;0,75) uT"))))</f>
        <v>Tipo 1 (≤0,25) uT</v>
      </c>
      <c r="BG49" s="137" t="str">
        <f t="shared" si="1"/>
        <v>Tipo 1 (≤0,25) uT</v>
      </c>
      <c r="BH49" s="137" t="str">
        <f>IF(OR(R49="",R49="-"),"",IF(R49&lt;=0.25,"Tipo 1 (≤0,25) uT",IF(R49&lt;=0.5,"Tipo 2 (0,25-0,50) uT",IF(R49&lt;=0.75,"Tipo 3 (0,50-0,75) uT","Tipo 4 (&gt;0,75) uT"))))</f>
        <v>Tipo 1 (≤0,25) uT</v>
      </c>
    </row>
    <row r="50" spans="1:60" x14ac:dyDescent="0.3">
      <c r="A50" s="73">
        <v>46264</v>
      </c>
      <c r="B50" s="141">
        <v>0.3125</v>
      </c>
      <c r="C50" s="118">
        <v>274</v>
      </c>
      <c r="D50" s="118">
        <v>1103</v>
      </c>
      <c r="E50" s="118">
        <v>430</v>
      </c>
      <c r="F50" s="118">
        <v>1806</v>
      </c>
      <c r="G50" s="146" t="s">
        <v>100</v>
      </c>
      <c r="H50" s="124">
        <v>10.8</v>
      </c>
      <c r="I50" s="118">
        <v>-82.01</v>
      </c>
      <c r="J50" s="9">
        <v>90</v>
      </c>
      <c r="K50" s="118">
        <v>90</v>
      </c>
      <c r="L50" s="118">
        <v>90</v>
      </c>
      <c r="M50" s="124">
        <v>24.7</v>
      </c>
      <c r="N50" s="124">
        <v>6.6</v>
      </c>
      <c r="O50" s="81">
        <v>0.78</v>
      </c>
      <c r="P50" s="118">
        <v>5</v>
      </c>
      <c r="Q50" s="124">
        <v>8.5</v>
      </c>
      <c r="R50" s="9">
        <v>0.06</v>
      </c>
      <c r="S50" s="79">
        <v>22.36</v>
      </c>
      <c r="T50" s="79">
        <v>0.88</v>
      </c>
      <c r="U50" s="79">
        <v>0.7</v>
      </c>
      <c r="V50" s="85">
        <f t="shared" si="2"/>
        <v>1359.0150000000001</v>
      </c>
      <c r="W50" s="85">
        <f t="shared" si="3"/>
        <v>1372.556302</v>
      </c>
      <c r="X50" s="85">
        <f t="shared" si="4"/>
        <v>1.0099640563202024</v>
      </c>
      <c r="Y50" s="118">
        <v>2</v>
      </c>
      <c r="Z50" s="118">
        <v>4</v>
      </c>
      <c r="AA50" s="124">
        <v>6.5</v>
      </c>
      <c r="AB50" s="118">
        <v>17</v>
      </c>
      <c r="AC50" s="124">
        <v>6.3</v>
      </c>
      <c r="AD50" s="124">
        <v>5.9</v>
      </c>
      <c r="AE50" s="81">
        <v>0.09</v>
      </c>
      <c r="AF50" s="81">
        <v>0.1</v>
      </c>
      <c r="AG50" s="85">
        <f>(O50+0.3*H50+2)*(F50/2/AK50)</f>
        <v>1812.0200000000002</v>
      </c>
      <c r="AH50" s="85">
        <f t="shared" si="5"/>
        <v>1750.3931224</v>
      </c>
      <c r="AI50" s="85">
        <f t="shared" si="6"/>
        <v>0.96598995728523962</v>
      </c>
      <c r="AJ50" s="118">
        <v>2</v>
      </c>
      <c r="AK50" s="118">
        <v>3</v>
      </c>
      <c r="AL50" s="124">
        <v>6.2</v>
      </c>
      <c r="AM50" s="118">
        <v>23</v>
      </c>
      <c r="AN50" s="124">
        <v>6.3</v>
      </c>
      <c r="AO50" s="124">
        <v>5.8</v>
      </c>
      <c r="AP50" s="81">
        <v>0.12</v>
      </c>
      <c r="AQ50" s="81">
        <v>0.16</v>
      </c>
      <c r="AR50" s="132">
        <f>SUM(C50:E50)</f>
        <v>1807</v>
      </c>
      <c r="AS50" s="134">
        <f>C50/AR50</f>
        <v>0.15163254012174876</v>
      </c>
      <c r="AT50" s="134">
        <f>D50/AR50</f>
        <v>0.6104039845047039</v>
      </c>
      <c r="AU50" s="134">
        <f>E50/AR50</f>
        <v>0.23796347537354731</v>
      </c>
      <c r="AV50" s="151">
        <f>IF(AND(F50&lt;&gt;"",Z50&lt;&gt;""),AB50/(F50/2/Z50),"")</f>
        <v>7.5304540420819494E-2</v>
      </c>
      <c r="AW50" s="151">
        <f>IF(AND(F50&lt;&gt;"",AK50&lt;&gt;""),AM50/(F50/2/AK50),"")</f>
        <v>7.6411960132890366E-2</v>
      </c>
      <c r="AX50" s="41">
        <f>IF(AND(AQ50&lt;&gt;"",1-(AQ50/O50)&gt;0),1-(AQ50/O50),"")</f>
        <v>0.79487179487179493</v>
      </c>
      <c r="AY50" s="41">
        <f>IF(AND(AF50&lt;&gt;"",1-(AF50/O50)&gt;0),1-(AF50/O50),"")</f>
        <v>0.87179487179487181</v>
      </c>
      <c r="AZ50" s="136" t="str">
        <f>IF(Q50="","",IF(Q50&lt;2.5,"Alc. Bruta &lt; 2,5 mg/L",IF(Q50&lt;5,"2,5 ≤ Alc. Bruta &lt; 5,0 mg/L",IF(Q50&lt;7.5,"5,0 ≤ Alc. Bruta &lt; 7,5 mg/L",IF(Q50&lt;10,"7,5 ≤ Alc. Bruta &lt; 10,0 mg/L",IF(Q50&lt;15,"10,0 ≤ Alca. Bruta &lt; 15,0 mg/L","Alc. Bruta &gt; 15 mg/L"))))))</f>
        <v>7,5 ≤ Alc. Bruta &lt; 10,0 mg/L</v>
      </c>
      <c r="BA50" s="136" t="str">
        <f>IF(P50="","",IF(P50&lt;5,"Cor &lt;5 uC",IF(P50&lt;10,"5 ≤ Cor &lt; 10 uC",IF(P50&lt;15,"10 ≤ Cor &lt;15 uC",IF(P50&lt;30,"15 ≤ Cor &lt; 30 uC",IF(P50&lt;50,"30 ≤ Cor &lt; 50 uC","Cor &gt; 50 uC"))))))</f>
        <v>5 ≤ Cor &lt; 10 uC</v>
      </c>
      <c r="BB50" s="137" t="str">
        <f>IF(O50="","",IF(O50&lt;2.5,"Turbidez &lt; 2,5 uT",IF(O50&lt;5,"2,5 ≤ Turb &lt; 5,0 uT",IF(O50&lt;7.5,"5,0 ≤ Turb &lt; 7,5 uT",IF(O50&lt;10,"7,5 ≤ Turb &lt; 10,0 uT",IF(O50&lt;15,"10,0 ≤ Turb &lt; 15,0 uT","Turb &gt; 15 uT"))))))</f>
        <v>Turbidez &lt; 2,5 uT</v>
      </c>
      <c r="BC50" s="138" t="str">
        <f>IF(AND(C50&gt;D50,D50&gt;E50),"TOR &gt; SM &gt; BNN",IF(AND(C50&gt;E50,E50&gt;D50),"TOR &gt; BNN &gt; SM",IF(AND(D50&gt;C50,C50&gt;E50),"SM &gt; TOR &gt; BNN",IF(AND(D50&gt;E50,E50&gt;C50),"SM &gt; BNN &gt; TOR",IF(AND(C50=D50,D50=E50),"TOR = SM = BNN","Comb. diferentes")))))</f>
        <v>SM &gt; BNN &gt; TOR</v>
      </c>
      <c r="BD50" s="137" t="str">
        <f>IF(OR(AE50="",AQ50="-"),"",IF(AE50&lt;=0.25,"Tipo 1 (≤0,25) uT",IF(AE50&lt;=0.5,"Tipo 2 (0,25-0,50) uT",IF(AE50&lt;=0.75,"Tipo 3 (0,50-0,75) uT","Tipo 4 (&gt;0,75) uT"))))</f>
        <v>Tipo 1 (≤0,25) uT</v>
      </c>
      <c r="BE50" s="137" t="str">
        <f t="shared" si="0"/>
        <v>Tipo 1 (≤0,25) uT</v>
      </c>
      <c r="BF50" s="137" t="str">
        <f>IF(OR(AF50="",AQ50="-"),"",IF(AF50&lt;=0.25,"Tipo 1 (≤0,25) uT",IF(AF50&lt;=0.5,"Tipo 2 (0,25-0,50) uT",IF(AF50&lt;=0.75,"Tipo 3 (0,50-0,75) uT","Tipo 4 (&gt;0,75) uT"))))</f>
        <v>Tipo 1 (≤0,25) uT</v>
      </c>
      <c r="BG50" s="137" t="str">
        <f t="shared" si="1"/>
        <v>Tipo 1 (≤0,25) uT</v>
      </c>
      <c r="BH50" s="137" t="str">
        <f>IF(OR(R50="",R50="-"),"",IF(R50&lt;=0.25,"Tipo 1 (≤0,25) uT",IF(R50&lt;=0.5,"Tipo 2 (0,25-0,50) uT",IF(R50&lt;=0.75,"Tipo 3 (0,50-0,75) uT","Tipo 4 (&gt;0,75) uT"))))</f>
        <v>Tipo 1 (≤0,25) uT</v>
      </c>
    </row>
    <row r="51" spans="1:60" x14ac:dyDescent="0.3">
      <c r="A51" s="74">
        <v>46264</v>
      </c>
      <c r="B51" s="139">
        <v>0.39583333333333331</v>
      </c>
      <c r="C51" s="116">
        <v>260</v>
      </c>
      <c r="D51" s="116">
        <v>1025</v>
      </c>
      <c r="E51" s="116">
        <v>430</v>
      </c>
      <c r="F51" s="116">
        <v>1721</v>
      </c>
      <c r="G51" s="144" t="s">
        <v>100</v>
      </c>
      <c r="H51" s="122">
        <v>10.8</v>
      </c>
      <c r="I51" s="116">
        <v>-75.02</v>
      </c>
      <c r="J51" s="10">
        <v>90</v>
      </c>
      <c r="K51" s="116">
        <v>90</v>
      </c>
      <c r="L51" s="116">
        <v>90</v>
      </c>
      <c r="M51" s="122">
        <v>26.1</v>
      </c>
      <c r="N51" s="122">
        <v>6.6</v>
      </c>
      <c r="O51" s="79">
        <v>0.81</v>
      </c>
      <c r="P51" s="116">
        <v>5</v>
      </c>
      <c r="Q51" s="122">
        <v>8.1</v>
      </c>
      <c r="R51" s="10">
        <v>0.06</v>
      </c>
      <c r="S51" s="79">
        <v>22.36</v>
      </c>
      <c r="T51" s="79">
        <v>0.88</v>
      </c>
      <c r="U51" s="79">
        <v>0.7</v>
      </c>
      <c r="V51" s="85">
        <f t="shared" si="2"/>
        <v>1301.5062500000001</v>
      </c>
      <c r="W51" s="85">
        <f t="shared" si="3"/>
        <v>1372.556302</v>
      </c>
      <c r="X51" s="85">
        <f t="shared" si="4"/>
        <v>1.0545906345052125</v>
      </c>
      <c r="Y51" s="116">
        <v>2</v>
      </c>
      <c r="Z51" s="116">
        <v>4</v>
      </c>
      <c r="AA51" s="122">
        <v>6.5</v>
      </c>
      <c r="AB51" s="116">
        <v>17</v>
      </c>
      <c r="AC51" s="122">
        <v>6.3</v>
      </c>
      <c r="AD51" s="122">
        <v>5.8</v>
      </c>
      <c r="AE51" s="79">
        <v>0.09</v>
      </c>
      <c r="AF51" s="79">
        <v>0.1</v>
      </c>
      <c r="AG51" s="85">
        <f>(O51+0.3*H51+2)*(F51/2/AK51)</f>
        <v>1735.3416666666667</v>
      </c>
      <c r="AH51" s="85">
        <f t="shared" si="5"/>
        <v>1785.9247275999996</v>
      </c>
      <c r="AI51" s="85">
        <f t="shared" si="6"/>
        <v>1.0291487618288424</v>
      </c>
      <c r="AJ51" s="116">
        <v>2</v>
      </c>
      <c r="AK51" s="116">
        <v>3</v>
      </c>
      <c r="AL51" s="122">
        <v>6.3</v>
      </c>
      <c r="AM51" s="116">
        <v>23</v>
      </c>
      <c r="AN51" s="122">
        <v>6.4</v>
      </c>
      <c r="AO51" s="122">
        <v>5.8</v>
      </c>
      <c r="AP51" s="79">
        <v>0.15</v>
      </c>
      <c r="AQ51" s="79">
        <v>0.19</v>
      </c>
      <c r="AR51" s="132">
        <f>SUM(C51:E51)</f>
        <v>1715</v>
      </c>
      <c r="AS51" s="134">
        <f>C51/AR51</f>
        <v>0.15160349854227406</v>
      </c>
      <c r="AT51" s="134">
        <f>D51/AR51</f>
        <v>0.59766763848396498</v>
      </c>
      <c r="AU51" s="134">
        <f>E51/AR51</f>
        <v>0.25072886297376096</v>
      </c>
      <c r="AV51" s="151">
        <f>IF(AND(F51&lt;&gt;"",Z51&lt;&gt;""),AB51/(F51/2/Z51),"")</f>
        <v>7.9023823358512491E-2</v>
      </c>
      <c r="AW51" s="151">
        <f>IF(AND(F51&lt;&gt;"",AK51&lt;&gt;""),AM51/(F51/2/AK51),"")</f>
        <v>8.0185938407902391E-2</v>
      </c>
      <c r="AX51" s="41">
        <f>IF(AND(AQ51&lt;&gt;"",1-(AQ51/O51)&gt;0),1-(AQ51/O51),"")</f>
        <v>0.76543209876543217</v>
      </c>
      <c r="AY51" s="41">
        <f>IF(AND(AF51&lt;&gt;"",1-(AF51/O51)&gt;0),1-(AF51/O51),"")</f>
        <v>0.87654320987654322</v>
      </c>
      <c r="AZ51" s="136" t="str">
        <f>IF(Q51="","",IF(Q51&lt;2.5,"Alc. Bruta &lt; 2,5 mg/L",IF(Q51&lt;5,"2,5 ≤ Alc. Bruta &lt; 5,0 mg/L",IF(Q51&lt;7.5,"5,0 ≤ Alc. Bruta &lt; 7,5 mg/L",IF(Q51&lt;10,"7,5 ≤ Alc. Bruta &lt; 10,0 mg/L",IF(Q51&lt;15,"10,0 ≤ Alca. Bruta &lt; 15,0 mg/L","Alc. Bruta &gt; 15 mg/L"))))))</f>
        <v>7,5 ≤ Alc. Bruta &lt; 10,0 mg/L</v>
      </c>
      <c r="BA51" s="136" t="str">
        <f>IF(P51="","",IF(P51&lt;5,"Cor &lt;5 uC",IF(P51&lt;10,"5 ≤ Cor &lt; 10 uC",IF(P51&lt;15,"10 ≤ Cor &lt;15 uC",IF(P51&lt;30,"15 ≤ Cor &lt; 30 uC",IF(P51&lt;50,"30 ≤ Cor &lt; 50 uC","Cor &gt; 50 uC"))))))</f>
        <v>5 ≤ Cor &lt; 10 uC</v>
      </c>
      <c r="BB51" s="137" t="str">
        <f>IF(O51="","",IF(O51&lt;2.5,"Turbidez &lt; 2,5 uT",IF(O51&lt;5,"2,5 ≤ Turb &lt; 5,0 uT",IF(O51&lt;7.5,"5,0 ≤ Turb &lt; 7,5 uT",IF(O51&lt;10,"7,5 ≤ Turb &lt; 10,0 uT",IF(O51&lt;15,"10,0 ≤ Turb &lt; 15,0 uT","Turb &gt; 15 uT"))))))</f>
        <v>Turbidez &lt; 2,5 uT</v>
      </c>
      <c r="BC51" s="138" t="str">
        <f>IF(AND(C51&gt;D51,D51&gt;E51),"TOR &gt; SM &gt; BNN",IF(AND(C51&gt;E51,E51&gt;D51),"TOR &gt; BNN &gt; SM",IF(AND(D51&gt;C51,C51&gt;E51),"SM &gt; TOR &gt; BNN",IF(AND(D51&gt;E51,E51&gt;C51),"SM &gt; BNN &gt; TOR",IF(AND(C51=D51,D51=E51),"TOR = SM = BNN","Comb. diferentes")))))</f>
        <v>SM &gt; BNN &gt; TOR</v>
      </c>
      <c r="BD51" s="137" t="str">
        <f>IF(OR(AE51="",AQ51="-"),"",IF(AE51&lt;=0.25,"Tipo 1 (≤0,25) uT",IF(AE51&lt;=0.5,"Tipo 2 (0,25-0,50) uT",IF(AE51&lt;=0.75,"Tipo 3 (0,50-0,75) uT","Tipo 4 (&gt;0,75) uT"))))</f>
        <v>Tipo 1 (≤0,25) uT</v>
      </c>
      <c r="BE51" s="137" t="str">
        <f t="shared" si="0"/>
        <v>Tipo 1 (≤0,25) uT</v>
      </c>
      <c r="BF51" s="137" t="str">
        <f>IF(OR(AF51="",AQ51="-"),"",IF(AF51&lt;=0.25,"Tipo 1 (≤0,25) uT",IF(AF51&lt;=0.5,"Tipo 2 (0,25-0,50) uT",IF(AF51&lt;=0.75,"Tipo 3 (0,50-0,75) uT","Tipo 4 (&gt;0,75) uT"))))</f>
        <v>Tipo 1 (≤0,25) uT</v>
      </c>
      <c r="BG51" s="137" t="str">
        <f t="shared" si="1"/>
        <v>Tipo 1 (≤0,25) uT</v>
      </c>
      <c r="BH51" s="137" t="str">
        <f>IF(OR(R51="",R51="-"),"",IF(R51&lt;=0.25,"Tipo 1 (≤0,25) uT",IF(R51&lt;=0.5,"Tipo 2 (0,25-0,50) uT",IF(R51&lt;=0.75,"Tipo 3 (0,50-0,75) uT","Tipo 4 (&gt;0,75) uT"))))</f>
        <v>Tipo 1 (≤0,25) uT</v>
      </c>
    </row>
    <row r="52" spans="1:60" x14ac:dyDescent="0.3">
      <c r="A52" s="74">
        <v>46264</v>
      </c>
      <c r="B52" s="139">
        <v>0.47916666666666669</v>
      </c>
      <c r="C52" s="116">
        <v>257</v>
      </c>
      <c r="D52" s="116">
        <v>1682</v>
      </c>
      <c r="E52" s="116">
        <v>426</v>
      </c>
      <c r="F52" s="116">
        <v>1791</v>
      </c>
      <c r="G52" s="144" t="s">
        <v>100</v>
      </c>
      <c r="H52" s="122">
        <v>10.8</v>
      </c>
      <c r="I52" s="116">
        <v>-68.959999999999994</v>
      </c>
      <c r="J52" s="10">
        <v>90</v>
      </c>
      <c r="K52" s="116">
        <v>90</v>
      </c>
      <c r="L52" s="116">
        <v>90</v>
      </c>
      <c r="M52" s="122">
        <v>27.1</v>
      </c>
      <c r="N52" s="122">
        <v>6.6</v>
      </c>
      <c r="O52" s="79">
        <v>0.79</v>
      </c>
      <c r="P52" s="116">
        <v>5</v>
      </c>
      <c r="Q52" s="122">
        <v>9.3000000000000007</v>
      </c>
      <c r="R52" s="10">
        <v>0.06</v>
      </c>
      <c r="S52" s="79">
        <v>22.36</v>
      </c>
      <c r="T52" s="79">
        <v>0.88</v>
      </c>
      <c r="U52" s="79">
        <v>0.7</v>
      </c>
      <c r="V52" s="85">
        <f t="shared" si="2"/>
        <v>1349.9662499999999</v>
      </c>
      <c r="W52" s="85">
        <f t="shared" si="3"/>
        <v>1372.556302</v>
      </c>
      <c r="X52" s="85">
        <f t="shared" si="4"/>
        <v>1.0167337901966067</v>
      </c>
      <c r="Y52" s="116">
        <v>2</v>
      </c>
      <c r="Z52" s="116">
        <v>4</v>
      </c>
      <c r="AA52" s="122">
        <v>6.5</v>
      </c>
      <c r="AB52" s="116">
        <v>17</v>
      </c>
      <c r="AC52" s="122">
        <v>6.4</v>
      </c>
      <c r="AD52" s="122">
        <v>6.5</v>
      </c>
      <c r="AE52" s="79">
        <v>0.13</v>
      </c>
      <c r="AF52" s="79">
        <v>0.1</v>
      </c>
      <c r="AG52" s="85">
        <f>(O52+0.3*H52+2)*(F52/2/AK52)</f>
        <v>1799.9550000000002</v>
      </c>
      <c r="AH52" s="85">
        <f t="shared" si="5"/>
        <v>1785.9247275999996</v>
      </c>
      <c r="AI52" s="85">
        <f t="shared" si="6"/>
        <v>0.99220520935245571</v>
      </c>
      <c r="AJ52" s="116">
        <v>2</v>
      </c>
      <c r="AK52" s="116">
        <v>3</v>
      </c>
      <c r="AL52" s="122">
        <v>6.3</v>
      </c>
      <c r="AM52" s="116">
        <v>23</v>
      </c>
      <c r="AN52" s="122">
        <v>6.3</v>
      </c>
      <c r="AO52" s="122">
        <v>6.3</v>
      </c>
      <c r="AP52" s="79">
        <v>0.16</v>
      </c>
      <c r="AQ52" s="79">
        <v>0.18</v>
      </c>
      <c r="AR52" s="132">
        <f>SUM(C52:E52)</f>
        <v>2365</v>
      </c>
      <c r="AS52" s="134">
        <f>C52/AR52</f>
        <v>0.10866807610993658</v>
      </c>
      <c r="AT52" s="134">
        <f>D52/AR52</f>
        <v>0.71120507399577171</v>
      </c>
      <c r="AU52" s="134">
        <f>E52/AR52</f>
        <v>0.18012684989429176</v>
      </c>
      <c r="AV52" s="151">
        <f>IF(AND(F52&lt;&gt;"",Z52&lt;&gt;""),AB52/(F52/2/Z52),"")</f>
        <v>7.5935231714126181E-2</v>
      </c>
      <c r="AW52" s="151">
        <f>IF(AND(F52&lt;&gt;"",AK52&lt;&gt;""),AM52/(F52/2/AK52),"")</f>
        <v>7.705192629815745E-2</v>
      </c>
      <c r="AX52" s="41">
        <f>IF(AND(AQ52&lt;&gt;"",1-(AQ52/O52)&gt;0),1-(AQ52/O52),"")</f>
        <v>0.77215189873417722</v>
      </c>
      <c r="AY52" s="41">
        <f>IF(AND(AF52&lt;&gt;"",1-(AF52/O52)&gt;0),1-(AF52/O52),"")</f>
        <v>0.87341772151898733</v>
      </c>
      <c r="AZ52" s="136" t="str">
        <f>IF(Q52="","",IF(Q52&lt;2.5,"Alc. Bruta &lt; 2,5 mg/L",IF(Q52&lt;5,"2,5 ≤ Alc. Bruta &lt; 5,0 mg/L",IF(Q52&lt;7.5,"5,0 ≤ Alc. Bruta &lt; 7,5 mg/L",IF(Q52&lt;10,"7,5 ≤ Alc. Bruta &lt; 10,0 mg/L",IF(Q52&lt;15,"10,0 ≤ Alca. Bruta &lt; 15,0 mg/L","Alc. Bruta &gt; 15 mg/L"))))))</f>
        <v>7,5 ≤ Alc. Bruta &lt; 10,0 mg/L</v>
      </c>
      <c r="BA52" s="136" t="str">
        <f>IF(P52="","",IF(P52&lt;5,"Cor &lt;5 uC",IF(P52&lt;10,"5 ≤ Cor &lt; 10 uC",IF(P52&lt;15,"10 ≤ Cor &lt;15 uC",IF(P52&lt;30,"15 ≤ Cor &lt; 30 uC",IF(P52&lt;50,"30 ≤ Cor &lt; 50 uC","Cor &gt; 50 uC"))))))</f>
        <v>5 ≤ Cor &lt; 10 uC</v>
      </c>
      <c r="BB52" s="137" t="str">
        <f>IF(O52="","",IF(O52&lt;2.5,"Turbidez &lt; 2,5 uT",IF(O52&lt;5,"2,5 ≤ Turb &lt; 5,0 uT",IF(O52&lt;7.5,"5,0 ≤ Turb &lt; 7,5 uT",IF(O52&lt;10,"7,5 ≤ Turb &lt; 10,0 uT",IF(O52&lt;15,"10,0 ≤ Turb &lt; 15,0 uT","Turb &gt; 15 uT"))))))</f>
        <v>Turbidez &lt; 2,5 uT</v>
      </c>
      <c r="BC52" s="138" t="str">
        <f>IF(AND(C52&gt;D52,D52&gt;E52),"TOR &gt; SM &gt; BNN",IF(AND(C52&gt;E52,E52&gt;D52),"TOR &gt; BNN &gt; SM",IF(AND(D52&gt;C52,C52&gt;E52),"SM &gt; TOR &gt; BNN",IF(AND(D52&gt;E52,E52&gt;C52),"SM &gt; BNN &gt; TOR",IF(AND(C52=D52,D52=E52),"TOR = SM = BNN","Comb. diferentes")))))</f>
        <v>SM &gt; BNN &gt; TOR</v>
      </c>
      <c r="BD52" s="137" t="str">
        <f>IF(OR(AE52="",AQ52="-"),"",IF(AE52&lt;=0.25,"Tipo 1 (≤0,25) uT",IF(AE52&lt;=0.5,"Tipo 2 (0,25-0,50) uT",IF(AE52&lt;=0.75,"Tipo 3 (0,50-0,75) uT","Tipo 4 (&gt;0,75) uT"))))</f>
        <v>Tipo 1 (≤0,25) uT</v>
      </c>
      <c r="BE52" s="137" t="str">
        <f t="shared" si="0"/>
        <v>Tipo 1 (≤0,25) uT</v>
      </c>
      <c r="BF52" s="137" t="str">
        <f>IF(OR(AF52="",AQ52="-"),"",IF(AF52&lt;=0.25,"Tipo 1 (≤0,25) uT",IF(AF52&lt;=0.5,"Tipo 2 (0,25-0,50) uT",IF(AF52&lt;=0.75,"Tipo 3 (0,50-0,75) uT","Tipo 4 (&gt;0,75) uT"))))</f>
        <v>Tipo 1 (≤0,25) uT</v>
      </c>
      <c r="BG52" s="137" t="str">
        <f t="shared" si="1"/>
        <v>Tipo 1 (≤0,25) uT</v>
      </c>
      <c r="BH52" s="137" t="str">
        <f>IF(OR(R52="",R52="-"),"",IF(R52&lt;=0.25,"Tipo 1 (≤0,25) uT",IF(R52&lt;=0.5,"Tipo 2 (0,25-0,50) uT",IF(R52&lt;=0.75,"Tipo 3 (0,50-0,75) uT","Tipo 4 (&gt;0,75) uT"))))</f>
        <v>Tipo 1 (≤0,25) uT</v>
      </c>
    </row>
    <row r="53" spans="1:60" x14ac:dyDescent="0.3">
      <c r="A53" s="74">
        <v>46264</v>
      </c>
      <c r="B53" s="139">
        <v>0.5625</v>
      </c>
      <c r="C53" s="116">
        <v>259</v>
      </c>
      <c r="D53" s="116">
        <v>1083</v>
      </c>
      <c r="E53" s="116">
        <v>426</v>
      </c>
      <c r="F53" s="116">
        <v>1710</v>
      </c>
      <c r="G53" s="144" t="s">
        <v>100</v>
      </c>
      <c r="H53" s="122">
        <v>10.8</v>
      </c>
      <c r="I53" s="116">
        <v>-59.34</v>
      </c>
      <c r="J53" s="10">
        <v>90</v>
      </c>
      <c r="K53" s="116">
        <v>90</v>
      </c>
      <c r="L53" s="116">
        <v>90</v>
      </c>
      <c r="M53" s="122">
        <v>27.9</v>
      </c>
      <c r="N53" s="122">
        <v>6.7</v>
      </c>
      <c r="O53" s="79">
        <v>0.78</v>
      </c>
      <c r="P53" s="116">
        <v>5</v>
      </c>
      <c r="Q53" s="122">
        <v>8.9</v>
      </c>
      <c r="R53" s="10">
        <v>0.06</v>
      </c>
      <c r="S53" s="79">
        <v>22.36</v>
      </c>
      <c r="T53" s="79">
        <v>0.88</v>
      </c>
      <c r="U53" s="79">
        <v>0.7</v>
      </c>
      <c r="V53" s="85">
        <f t="shared" si="2"/>
        <v>1286.7750000000001</v>
      </c>
      <c r="W53" s="85">
        <f t="shared" si="3"/>
        <v>1372.556302</v>
      </c>
      <c r="X53" s="85">
        <f t="shared" si="4"/>
        <v>1.0666637928153717</v>
      </c>
      <c r="Y53" s="116">
        <v>2</v>
      </c>
      <c r="Z53" s="116">
        <v>4</v>
      </c>
      <c r="AA53" s="122">
        <v>6.5</v>
      </c>
      <c r="AB53" s="116">
        <v>17</v>
      </c>
      <c r="AC53" s="122">
        <v>6.4</v>
      </c>
      <c r="AD53" s="122">
        <v>6.3</v>
      </c>
      <c r="AE53" s="79">
        <v>0.13</v>
      </c>
      <c r="AF53" s="79">
        <v>0.09</v>
      </c>
      <c r="AG53" s="85">
        <f>(O53+0.3*H53+2)*(F53/2/AK53)</f>
        <v>1715.7</v>
      </c>
      <c r="AH53" s="85">
        <f t="shared" si="5"/>
        <v>1750.3931224</v>
      </c>
      <c r="AI53" s="85">
        <f t="shared" si="6"/>
        <v>1.0202209724310778</v>
      </c>
      <c r="AJ53" s="116">
        <v>2</v>
      </c>
      <c r="AK53" s="116">
        <v>3</v>
      </c>
      <c r="AL53" s="122">
        <v>6.2</v>
      </c>
      <c r="AM53" s="116">
        <v>23</v>
      </c>
      <c r="AN53" s="122">
        <v>6.4</v>
      </c>
      <c r="AO53" s="122">
        <v>6.9</v>
      </c>
      <c r="AP53" s="79">
        <v>0.15</v>
      </c>
      <c r="AQ53" s="79">
        <v>0.18</v>
      </c>
      <c r="AR53" s="132">
        <f>SUM(C53:E53)</f>
        <v>1768</v>
      </c>
      <c r="AS53" s="134">
        <f>C53/AR53</f>
        <v>0.14649321266968326</v>
      </c>
      <c r="AT53" s="134">
        <f>D53/AR53</f>
        <v>0.61255656108597289</v>
      </c>
      <c r="AU53" s="134">
        <f>E53/AR53</f>
        <v>0.2409502262443439</v>
      </c>
      <c r="AV53" s="151">
        <f>IF(AND(F53&lt;&gt;"",Z53&lt;&gt;""),AB53/(F53/2/Z53),"")</f>
        <v>7.9532163742690065E-2</v>
      </c>
      <c r="AW53" s="151">
        <f>IF(AND(F53&lt;&gt;"",AK53&lt;&gt;""),AM53/(F53/2/AK53),"")</f>
        <v>8.0701754385964913E-2</v>
      </c>
      <c r="AX53" s="41">
        <f>IF(AND(AQ53&lt;&gt;"",1-(AQ53/O53)&gt;0),1-(AQ53/O53),"")</f>
        <v>0.76923076923076927</v>
      </c>
      <c r="AY53" s="41">
        <f>IF(AND(AF53&lt;&gt;"",1-(AF53/O53)&gt;0),1-(AF53/O53),"")</f>
        <v>0.88461538461538458</v>
      </c>
      <c r="AZ53" s="136" t="str">
        <f>IF(Q53="","",IF(Q53&lt;2.5,"Alc. Bruta &lt; 2,5 mg/L",IF(Q53&lt;5,"2,5 ≤ Alc. Bruta &lt; 5,0 mg/L",IF(Q53&lt;7.5,"5,0 ≤ Alc. Bruta &lt; 7,5 mg/L",IF(Q53&lt;10,"7,5 ≤ Alc. Bruta &lt; 10,0 mg/L",IF(Q53&lt;15,"10,0 ≤ Alca. Bruta &lt; 15,0 mg/L","Alc. Bruta &gt; 15 mg/L"))))))</f>
        <v>7,5 ≤ Alc. Bruta &lt; 10,0 mg/L</v>
      </c>
      <c r="BA53" s="136" t="str">
        <f>IF(P53="","",IF(P53&lt;5,"Cor &lt;5 uC",IF(P53&lt;10,"5 ≤ Cor &lt; 10 uC",IF(P53&lt;15,"10 ≤ Cor &lt;15 uC",IF(P53&lt;30,"15 ≤ Cor &lt; 30 uC",IF(P53&lt;50,"30 ≤ Cor &lt; 50 uC","Cor &gt; 50 uC"))))))</f>
        <v>5 ≤ Cor &lt; 10 uC</v>
      </c>
      <c r="BB53" s="137" t="str">
        <f>IF(O53="","",IF(O53&lt;2.5,"Turbidez &lt; 2,5 uT",IF(O53&lt;5,"2,5 ≤ Turb &lt; 5,0 uT",IF(O53&lt;7.5,"5,0 ≤ Turb &lt; 7,5 uT",IF(O53&lt;10,"7,5 ≤ Turb &lt; 10,0 uT",IF(O53&lt;15,"10,0 ≤ Turb &lt; 15,0 uT","Turb &gt; 15 uT"))))))</f>
        <v>Turbidez &lt; 2,5 uT</v>
      </c>
      <c r="BC53" s="138" t="str">
        <f>IF(AND(C53&gt;D53,D53&gt;E53),"TOR &gt; SM &gt; BNN",IF(AND(C53&gt;E53,E53&gt;D53),"TOR &gt; BNN &gt; SM",IF(AND(D53&gt;C53,C53&gt;E53),"SM &gt; TOR &gt; BNN",IF(AND(D53&gt;E53,E53&gt;C53),"SM &gt; BNN &gt; TOR",IF(AND(C53=D53,D53=E53),"TOR = SM = BNN","Comb. diferentes")))))</f>
        <v>SM &gt; BNN &gt; TOR</v>
      </c>
      <c r="BD53" s="137" t="str">
        <f>IF(OR(AE53="",AQ53="-"),"",IF(AE53&lt;=0.25,"Tipo 1 (≤0,25) uT",IF(AE53&lt;=0.5,"Tipo 2 (0,25-0,50) uT",IF(AE53&lt;=0.75,"Tipo 3 (0,50-0,75) uT","Tipo 4 (&gt;0,75) uT"))))</f>
        <v>Tipo 1 (≤0,25) uT</v>
      </c>
      <c r="BE53" s="137" t="str">
        <f t="shared" si="0"/>
        <v>Tipo 1 (≤0,25) uT</v>
      </c>
      <c r="BF53" s="137" t="str">
        <f>IF(OR(AF53="",AQ53="-"),"",IF(AF53&lt;=0.25,"Tipo 1 (≤0,25) uT",IF(AF53&lt;=0.5,"Tipo 2 (0,25-0,50) uT",IF(AF53&lt;=0.75,"Tipo 3 (0,50-0,75) uT","Tipo 4 (&gt;0,75) uT"))))</f>
        <v>Tipo 1 (≤0,25) uT</v>
      </c>
      <c r="BG53" s="137" t="str">
        <f t="shared" si="1"/>
        <v>Tipo 1 (≤0,25) uT</v>
      </c>
      <c r="BH53" s="137" t="str">
        <f>IF(OR(R53="",R53="-"),"",IF(R53&lt;=0.25,"Tipo 1 (≤0,25) uT",IF(R53&lt;=0.5,"Tipo 2 (0,25-0,50) uT",IF(R53&lt;=0.75,"Tipo 3 (0,50-0,75) uT","Tipo 4 (&gt;0,75) uT"))))</f>
        <v>Tipo 1 (≤0,25) uT</v>
      </c>
    </row>
    <row r="54" spans="1:60" x14ac:dyDescent="0.3">
      <c r="A54" s="74">
        <v>46264</v>
      </c>
      <c r="B54" s="139">
        <v>0.64583333333333337</v>
      </c>
      <c r="C54" s="116">
        <v>272</v>
      </c>
      <c r="D54" s="116">
        <v>1084</v>
      </c>
      <c r="E54" s="116">
        <v>300</v>
      </c>
      <c r="F54" s="116">
        <v>1635</v>
      </c>
      <c r="G54" s="144" t="s">
        <v>100</v>
      </c>
      <c r="H54" s="122">
        <v>10.8</v>
      </c>
      <c r="I54" s="116">
        <v>-49.91</v>
      </c>
      <c r="J54" s="10">
        <v>90</v>
      </c>
      <c r="K54" s="116">
        <v>90</v>
      </c>
      <c r="L54" s="116">
        <v>90</v>
      </c>
      <c r="M54" s="122">
        <v>28.5</v>
      </c>
      <c r="N54" s="122">
        <v>6.6</v>
      </c>
      <c r="O54" s="79">
        <v>0.73</v>
      </c>
      <c r="P54" s="116">
        <v>3</v>
      </c>
      <c r="Q54" s="122">
        <v>9.3000000000000007</v>
      </c>
      <c r="R54" s="10">
        <v>0.06</v>
      </c>
      <c r="S54" s="79">
        <v>22.36</v>
      </c>
      <c r="T54" s="79">
        <v>0.88</v>
      </c>
      <c r="U54" s="79">
        <v>0.7</v>
      </c>
      <c r="V54" s="85">
        <f t="shared" si="2"/>
        <v>1220.1187500000001</v>
      </c>
      <c r="W54" s="85">
        <f t="shared" si="3"/>
        <v>1372.556302</v>
      </c>
      <c r="X54" s="85">
        <f t="shared" si="4"/>
        <v>1.1249366522725759</v>
      </c>
      <c r="Y54" s="116">
        <v>2</v>
      </c>
      <c r="Z54" s="116">
        <v>4</v>
      </c>
      <c r="AA54" s="122">
        <v>6.5</v>
      </c>
      <c r="AB54" s="116">
        <v>17</v>
      </c>
      <c r="AC54" s="122">
        <v>6.4</v>
      </c>
      <c r="AD54" s="122">
        <v>7.6</v>
      </c>
      <c r="AE54" s="79">
        <v>0.13</v>
      </c>
      <c r="AF54" s="79">
        <v>0.09</v>
      </c>
      <c r="AG54" s="85">
        <f>(O54+0.3*H54+2)*(F54/2/AK54)</f>
        <v>1626.8250000000003</v>
      </c>
      <c r="AH54" s="85">
        <f t="shared" si="5"/>
        <v>1750.3931224</v>
      </c>
      <c r="AI54" s="85">
        <f t="shared" si="6"/>
        <v>1.0759566163539409</v>
      </c>
      <c r="AJ54" s="116">
        <v>2</v>
      </c>
      <c r="AK54" s="116">
        <v>3</v>
      </c>
      <c r="AL54" s="122">
        <v>6.2</v>
      </c>
      <c r="AM54" s="116">
        <v>23</v>
      </c>
      <c r="AN54" s="122">
        <v>6.4</v>
      </c>
      <c r="AO54" s="122">
        <v>8.1</v>
      </c>
      <c r="AP54" s="79">
        <v>0.12</v>
      </c>
      <c r="AQ54" s="79">
        <v>0.14000000000000001</v>
      </c>
      <c r="AR54" s="132">
        <f>SUM(C54:E54)</f>
        <v>1656</v>
      </c>
      <c r="AS54" s="134">
        <f>C54/AR54</f>
        <v>0.16425120772946861</v>
      </c>
      <c r="AT54" s="134">
        <f>D54/AR54</f>
        <v>0.65458937198067635</v>
      </c>
      <c r="AU54" s="134">
        <f>E54/AR54</f>
        <v>0.18115942028985507</v>
      </c>
      <c r="AV54" s="151">
        <f>IF(AND(F54&lt;&gt;"",Z54&lt;&gt;""),AB54/(F54/2/Z54),"")</f>
        <v>8.3180428134556575E-2</v>
      </c>
      <c r="AW54" s="151">
        <f>IF(AND(F54&lt;&gt;"",AK54&lt;&gt;""),AM54/(F54/2/AK54),"")</f>
        <v>8.4403669724770647E-2</v>
      </c>
      <c r="AX54" s="41">
        <f>IF(AND(AQ54&lt;&gt;"",1-(AQ54/O54)&gt;0),1-(AQ54/O54),"")</f>
        <v>0.80821917808219179</v>
      </c>
      <c r="AY54" s="41">
        <f>IF(AND(AF54&lt;&gt;"",1-(AF54/O54)&gt;0),1-(AF54/O54),"")</f>
        <v>0.87671232876712324</v>
      </c>
      <c r="AZ54" s="136" t="str">
        <f>IF(Q54="","",IF(Q54&lt;2.5,"Alc. Bruta &lt; 2,5 mg/L",IF(Q54&lt;5,"2,5 ≤ Alc. Bruta &lt; 5,0 mg/L",IF(Q54&lt;7.5,"5,0 ≤ Alc. Bruta &lt; 7,5 mg/L",IF(Q54&lt;10,"7,5 ≤ Alc. Bruta &lt; 10,0 mg/L",IF(Q54&lt;15,"10,0 ≤ Alca. Bruta &lt; 15,0 mg/L","Alc. Bruta &gt; 15 mg/L"))))))</f>
        <v>7,5 ≤ Alc. Bruta &lt; 10,0 mg/L</v>
      </c>
      <c r="BA54" s="136" t="str">
        <f>IF(P54="","",IF(P54&lt;5,"Cor &lt;5 uC",IF(P54&lt;10,"5 ≤ Cor &lt; 10 uC",IF(P54&lt;15,"10 ≤ Cor &lt;15 uC",IF(P54&lt;30,"15 ≤ Cor &lt; 30 uC",IF(P54&lt;50,"30 ≤ Cor &lt; 50 uC","Cor &gt; 50 uC"))))))</f>
        <v>Cor &lt;5 uC</v>
      </c>
      <c r="BB54" s="137" t="str">
        <f>IF(O54="","",IF(O54&lt;2.5,"Turbidez &lt; 2,5 uT",IF(O54&lt;5,"2,5 ≤ Turb &lt; 5,0 uT",IF(O54&lt;7.5,"5,0 ≤ Turb &lt; 7,5 uT",IF(O54&lt;10,"7,5 ≤ Turb &lt; 10,0 uT",IF(O54&lt;15,"10,0 ≤ Turb &lt; 15,0 uT","Turb &gt; 15 uT"))))))</f>
        <v>Turbidez &lt; 2,5 uT</v>
      </c>
      <c r="BC54" s="138" t="str">
        <f>IF(AND(C54&gt;D54,D54&gt;E54),"TOR &gt; SM &gt; BNN",IF(AND(C54&gt;E54,E54&gt;D54),"TOR &gt; BNN &gt; SM",IF(AND(D54&gt;C54,C54&gt;E54),"SM &gt; TOR &gt; BNN",IF(AND(D54&gt;E54,E54&gt;C54),"SM &gt; BNN &gt; TOR",IF(AND(C54=D54,D54=E54),"TOR = SM = BNN","Comb. diferentes")))))</f>
        <v>SM &gt; BNN &gt; TOR</v>
      </c>
      <c r="BD54" s="137" t="str">
        <f>IF(OR(AE54="",AQ54="-"),"",IF(AE54&lt;=0.25,"Tipo 1 (≤0,25) uT",IF(AE54&lt;=0.5,"Tipo 2 (0,25-0,50) uT",IF(AE54&lt;=0.75,"Tipo 3 (0,50-0,75) uT","Tipo 4 (&gt;0,75) uT"))))</f>
        <v>Tipo 1 (≤0,25) uT</v>
      </c>
      <c r="BE54" s="137" t="str">
        <f t="shared" si="0"/>
        <v>Tipo 1 (≤0,25) uT</v>
      </c>
      <c r="BF54" s="137" t="str">
        <f>IF(OR(AF54="",AQ54="-"),"",IF(AF54&lt;=0.25,"Tipo 1 (≤0,25) uT",IF(AF54&lt;=0.5,"Tipo 2 (0,25-0,50) uT",IF(AF54&lt;=0.75,"Tipo 3 (0,50-0,75) uT","Tipo 4 (&gt;0,75) uT"))))</f>
        <v>Tipo 1 (≤0,25) uT</v>
      </c>
      <c r="BG54" s="137" t="str">
        <f t="shared" si="1"/>
        <v>Tipo 1 (≤0,25) uT</v>
      </c>
      <c r="BH54" s="137" t="str">
        <f>IF(OR(R54="",R54="-"),"",IF(R54&lt;=0.25,"Tipo 1 (≤0,25) uT",IF(R54&lt;=0.5,"Tipo 2 (0,25-0,50) uT",IF(R54&lt;=0.75,"Tipo 3 (0,50-0,75) uT","Tipo 4 (&gt;0,75) uT"))))</f>
        <v>Tipo 1 (≤0,25) uT</v>
      </c>
    </row>
    <row r="55" spans="1:60" x14ac:dyDescent="0.3">
      <c r="A55" s="74">
        <v>46264</v>
      </c>
      <c r="B55" s="139">
        <v>0.72916666666666663</v>
      </c>
      <c r="C55" s="116">
        <v>276</v>
      </c>
      <c r="D55" s="116">
        <v>1107</v>
      </c>
      <c r="E55" s="116">
        <v>300</v>
      </c>
      <c r="F55" s="116">
        <v>1656</v>
      </c>
      <c r="G55" s="144" t="s">
        <v>100</v>
      </c>
      <c r="H55" s="122">
        <v>10.8</v>
      </c>
      <c r="I55" s="116">
        <v>-43.29</v>
      </c>
      <c r="J55" s="10">
        <v>90</v>
      </c>
      <c r="K55" s="116">
        <v>90</v>
      </c>
      <c r="L55" s="116">
        <v>90</v>
      </c>
      <c r="M55" s="122">
        <v>28.4</v>
      </c>
      <c r="N55" s="122">
        <v>6.6</v>
      </c>
      <c r="O55" s="79">
        <v>0.81</v>
      </c>
      <c r="P55" s="116">
        <v>6</v>
      </c>
      <c r="Q55" s="122">
        <v>8.9</v>
      </c>
      <c r="R55" s="10">
        <v>0.06</v>
      </c>
      <c r="S55" s="79">
        <v>22.36</v>
      </c>
      <c r="T55" s="79">
        <v>0.88</v>
      </c>
      <c r="U55" s="79">
        <v>0.7</v>
      </c>
      <c r="V55" s="85">
        <f t="shared" si="2"/>
        <v>1252.3500000000001</v>
      </c>
      <c r="W55" s="85">
        <f t="shared" si="3"/>
        <v>1372.556302</v>
      </c>
      <c r="X55" s="85">
        <f t="shared" si="4"/>
        <v>1.0959845905697287</v>
      </c>
      <c r="Y55" s="116">
        <v>2</v>
      </c>
      <c r="Z55" s="116">
        <v>4</v>
      </c>
      <c r="AA55" s="122">
        <v>6.5</v>
      </c>
      <c r="AB55" s="116">
        <v>17</v>
      </c>
      <c r="AC55" s="122">
        <v>6.5</v>
      </c>
      <c r="AD55" s="122">
        <v>6.4</v>
      </c>
      <c r="AE55" s="79">
        <v>0.13</v>
      </c>
      <c r="AF55" s="79">
        <v>0.09</v>
      </c>
      <c r="AG55" s="85">
        <f>(O55+0.3*H55+2)*(F55/2/AK55)</f>
        <v>1669.8000000000002</v>
      </c>
      <c r="AH55" s="85">
        <f t="shared" si="5"/>
        <v>1750.3931224</v>
      </c>
      <c r="AI55" s="85">
        <f t="shared" si="6"/>
        <v>1.0482651349862258</v>
      </c>
      <c r="AJ55" s="116">
        <v>2</v>
      </c>
      <c r="AK55" s="116">
        <v>3</v>
      </c>
      <c r="AL55" s="122">
        <v>6.2</v>
      </c>
      <c r="AM55" s="116">
        <v>23</v>
      </c>
      <c r="AN55" s="122">
        <v>6.4</v>
      </c>
      <c r="AO55" s="122">
        <v>6</v>
      </c>
      <c r="AP55" s="79">
        <v>0.13</v>
      </c>
      <c r="AQ55" s="79">
        <v>0.14000000000000001</v>
      </c>
      <c r="AR55" s="132">
        <f>SUM(C55:E55)</f>
        <v>1683</v>
      </c>
      <c r="AS55" s="134">
        <f>C55/AR55</f>
        <v>0.16399286987522282</v>
      </c>
      <c r="AT55" s="134">
        <f>D55/AR55</f>
        <v>0.65775401069518713</v>
      </c>
      <c r="AU55" s="134">
        <f>E55/AR55</f>
        <v>0.17825311942959002</v>
      </c>
      <c r="AV55" s="151">
        <f>IF(AND(F55&lt;&gt;"",Z55&lt;&gt;""),AB55/(F55/2/Z55),"")</f>
        <v>8.2125603864734303E-2</v>
      </c>
      <c r="AW55" s="151">
        <f>IF(AND(F55&lt;&gt;"",AK55&lt;&gt;""),AM55/(F55/2/AK55),"")</f>
        <v>8.3333333333333329E-2</v>
      </c>
      <c r="AX55" s="41">
        <f>IF(AND(AQ55&lt;&gt;"",1-(AQ55/O55)&gt;0),1-(AQ55/O55),"")</f>
        <v>0.8271604938271605</v>
      </c>
      <c r="AY55" s="41">
        <f>IF(AND(AF55&lt;&gt;"",1-(AF55/O55)&gt;0),1-(AF55/O55),"")</f>
        <v>0.88888888888888884</v>
      </c>
      <c r="AZ55" s="136" t="str">
        <f>IF(Q55="","",IF(Q55&lt;2.5,"Alc. Bruta &lt; 2,5 mg/L",IF(Q55&lt;5,"2,5 ≤ Alc. Bruta &lt; 5,0 mg/L",IF(Q55&lt;7.5,"5,0 ≤ Alc. Bruta &lt; 7,5 mg/L",IF(Q55&lt;10,"7,5 ≤ Alc. Bruta &lt; 10,0 mg/L",IF(Q55&lt;15,"10,0 ≤ Alca. Bruta &lt; 15,0 mg/L","Alc. Bruta &gt; 15 mg/L"))))))</f>
        <v>7,5 ≤ Alc. Bruta &lt; 10,0 mg/L</v>
      </c>
      <c r="BA55" s="136" t="str">
        <f>IF(P55="","",IF(P55&lt;5,"Cor &lt;5 uC",IF(P55&lt;10,"5 ≤ Cor &lt; 10 uC",IF(P55&lt;15,"10 ≤ Cor &lt;15 uC",IF(P55&lt;30,"15 ≤ Cor &lt; 30 uC",IF(P55&lt;50,"30 ≤ Cor &lt; 50 uC","Cor &gt; 50 uC"))))))</f>
        <v>5 ≤ Cor &lt; 10 uC</v>
      </c>
      <c r="BB55" s="137" t="str">
        <f>IF(O55="","",IF(O55&lt;2.5,"Turbidez &lt; 2,5 uT",IF(O55&lt;5,"2,5 ≤ Turb &lt; 5,0 uT",IF(O55&lt;7.5,"5,0 ≤ Turb &lt; 7,5 uT",IF(O55&lt;10,"7,5 ≤ Turb &lt; 10,0 uT",IF(O55&lt;15,"10,0 ≤ Turb &lt; 15,0 uT","Turb &gt; 15 uT"))))))</f>
        <v>Turbidez &lt; 2,5 uT</v>
      </c>
      <c r="BC55" s="138" t="str">
        <f>IF(AND(C55&gt;D55,D55&gt;E55),"TOR &gt; SM &gt; BNN",IF(AND(C55&gt;E55,E55&gt;D55),"TOR &gt; BNN &gt; SM",IF(AND(D55&gt;C55,C55&gt;E55),"SM &gt; TOR &gt; BNN",IF(AND(D55&gt;E55,E55&gt;C55),"SM &gt; BNN &gt; TOR",IF(AND(C55=D55,D55=E55),"TOR = SM = BNN","Comb. diferentes")))))</f>
        <v>SM &gt; BNN &gt; TOR</v>
      </c>
      <c r="BD55" s="137" t="str">
        <f>IF(OR(AE55="",AQ55="-"),"",IF(AE55&lt;=0.25,"Tipo 1 (≤0,25) uT",IF(AE55&lt;=0.5,"Tipo 2 (0,25-0,50) uT",IF(AE55&lt;=0.75,"Tipo 3 (0,50-0,75) uT","Tipo 4 (&gt;0,75) uT"))))</f>
        <v>Tipo 1 (≤0,25) uT</v>
      </c>
      <c r="BE55" s="137" t="str">
        <f t="shared" si="0"/>
        <v>Tipo 1 (≤0,25) uT</v>
      </c>
      <c r="BF55" s="137" t="str">
        <f>IF(OR(AF55="",AQ55="-"),"",IF(AF55&lt;=0.25,"Tipo 1 (≤0,25) uT",IF(AF55&lt;=0.5,"Tipo 2 (0,25-0,50) uT",IF(AF55&lt;=0.75,"Tipo 3 (0,50-0,75) uT","Tipo 4 (&gt;0,75) uT"))))</f>
        <v>Tipo 1 (≤0,25) uT</v>
      </c>
      <c r="BG55" s="137" t="str">
        <f t="shared" si="1"/>
        <v>Tipo 1 (≤0,25) uT</v>
      </c>
      <c r="BH55" s="137" t="str">
        <f>IF(OR(R55="",R55="-"),"",IF(R55&lt;=0.25,"Tipo 1 (≤0,25) uT",IF(R55&lt;=0.5,"Tipo 2 (0,25-0,50) uT",IF(R55&lt;=0.75,"Tipo 3 (0,50-0,75) uT","Tipo 4 (&gt;0,75) uT"))))</f>
        <v>Tipo 1 (≤0,25) uT</v>
      </c>
    </row>
    <row r="56" spans="1:60" x14ac:dyDescent="0.3">
      <c r="A56" s="74">
        <v>46264</v>
      </c>
      <c r="B56" s="139">
        <v>0.8125</v>
      </c>
      <c r="C56" s="116">
        <v>332</v>
      </c>
      <c r="D56" s="116">
        <v>1056</v>
      </c>
      <c r="E56" s="116">
        <v>299</v>
      </c>
      <c r="F56" s="116">
        <v>1633</v>
      </c>
      <c r="G56" s="144" t="s">
        <v>100</v>
      </c>
      <c r="H56" s="122">
        <v>10.8</v>
      </c>
      <c r="I56" s="116">
        <v>-33.4</v>
      </c>
      <c r="J56" s="10">
        <v>90</v>
      </c>
      <c r="K56" s="116">
        <v>90</v>
      </c>
      <c r="L56" s="116">
        <v>90</v>
      </c>
      <c r="M56" s="122">
        <v>27.8</v>
      </c>
      <c r="N56" s="122">
        <v>6.8</v>
      </c>
      <c r="O56" s="79">
        <v>0.92</v>
      </c>
      <c r="P56" s="116">
        <v>6</v>
      </c>
      <c r="Q56" s="122">
        <v>7</v>
      </c>
      <c r="R56" s="10">
        <v>0.06</v>
      </c>
      <c r="S56" s="79">
        <v>22.36</v>
      </c>
      <c r="T56" s="79">
        <v>0.88</v>
      </c>
      <c r="U56" s="79">
        <v>0.7</v>
      </c>
      <c r="V56" s="85">
        <f t="shared" si="2"/>
        <v>1257.4100000000001</v>
      </c>
      <c r="W56" s="85">
        <f t="shared" si="3"/>
        <v>1372.556302</v>
      </c>
      <c r="X56" s="85">
        <f t="shared" si="4"/>
        <v>1.0915741898028486</v>
      </c>
      <c r="Y56" s="116">
        <v>2</v>
      </c>
      <c r="Z56" s="116">
        <v>4</v>
      </c>
      <c r="AA56" s="122">
        <v>6.5</v>
      </c>
      <c r="AB56" s="116">
        <v>17</v>
      </c>
      <c r="AC56" s="122">
        <v>6.4</v>
      </c>
      <c r="AD56" s="122">
        <v>5.6</v>
      </c>
      <c r="AE56" s="79">
        <v>0.09</v>
      </c>
      <c r="AF56" s="79">
        <v>0.09</v>
      </c>
      <c r="AG56" s="85">
        <f>(O56+0.3*H56+2)*(F56/2/AK56)</f>
        <v>1676.5466666666669</v>
      </c>
      <c r="AH56" s="85">
        <f t="shared" si="5"/>
        <v>1750.3931224</v>
      </c>
      <c r="AI56" s="85">
        <f t="shared" si="6"/>
        <v>1.0440467642216937</v>
      </c>
      <c r="AJ56" s="116">
        <v>2</v>
      </c>
      <c r="AK56" s="116">
        <v>3</v>
      </c>
      <c r="AL56" s="122">
        <v>6.2</v>
      </c>
      <c r="AM56" s="116">
        <v>23</v>
      </c>
      <c r="AN56" s="122">
        <v>6.4</v>
      </c>
      <c r="AO56" s="122">
        <v>5.3</v>
      </c>
      <c r="AP56" s="79">
        <v>0.13</v>
      </c>
      <c r="AQ56" s="79">
        <v>0.13</v>
      </c>
      <c r="AR56" s="132">
        <f>SUM(C56:E56)</f>
        <v>1687</v>
      </c>
      <c r="AS56" s="134">
        <f>C56/AR56</f>
        <v>0.1967990515708358</v>
      </c>
      <c r="AT56" s="134">
        <f>D56/AR56</f>
        <v>0.62596324836988737</v>
      </c>
      <c r="AU56" s="134">
        <f>E56/AR56</f>
        <v>0.17723770005927683</v>
      </c>
      <c r="AV56" s="151">
        <f>IF(AND(F56&lt;&gt;"",Z56&lt;&gt;""),AB56/(F56/2/Z56),"")</f>
        <v>8.3282302510716472E-2</v>
      </c>
      <c r="AW56" s="151">
        <f>IF(AND(F56&lt;&gt;"",AK56&lt;&gt;""),AM56/(F56/2/AK56),"")</f>
        <v>8.4507042253521125E-2</v>
      </c>
      <c r="AX56" s="41">
        <f>IF(AND(AQ56&lt;&gt;"",1-(AQ56/O56)&gt;0),1-(AQ56/O56),"")</f>
        <v>0.85869565217391308</v>
      </c>
      <c r="AY56" s="41">
        <f>IF(AND(AF56&lt;&gt;"",1-(AF56/O56)&gt;0),1-(AF56/O56),"")</f>
        <v>0.90217391304347827</v>
      </c>
      <c r="AZ56" s="136" t="str">
        <f>IF(Q56="","",IF(Q56&lt;2.5,"Alc. Bruta &lt; 2,5 mg/L",IF(Q56&lt;5,"2,5 ≤ Alc. Bruta &lt; 5,0 mg/L",IF(Q56&lt;7.5,"5,0 ≤ Alc. Bruta &lt; 7,5 mg/L",IF(Q56&lt;10,"7,5 ≤ Alc. Bruta &lt; 10,0 mg/L",IF(Q56&lt;15,"10,0 ≤ Alca. Bruta &lt; 15,0 mg/L","Alc. Bruta &gt; 15 mg/L"))))))</f>
        <v>5,0 ≤ Alc. Bruta &lt; 7,5 mg/L</v>
      </c>
      <c r="BA56" s="136" t="str">
        <f>IF(P56="","",IF(P56&lt;5,"Cor &lt;5 uC",IF(P56&lt;10,"5 ≤ Cor &lt; 10 uC",IF(P56&lt;15,"10 ≤ Cor &lt;15 uC",IF(P56&lt;30,"15 ≤ Cor &lt; 30 uC",IF(P56&lt;50,"30 ≤ Cor &lt; 50 uC","Cor &gt; 50 uC"))))))</f>
        <v>5 ≤ Cor &lt; 10 uC</v>
      </c>
      <c r="BB56" s="137" t="str">
        <f>IF(O56="","",IF(O56&lt;2.5,"Turbidez &lt; 2,5 uT",IF(O56&lt;5,"2,5 ≤ Turb &lt; 5,0 uT",IF(O56&lt;7.5,"5,0 ≤ Turb &lt; 7,5 uT",IF(O56&lt;10,"7,5 ≤ Turb &lt; 10,0 uT",IF(O56&lt;15,"10,0 ≤ Turb &lt; 15,0 uT","Turb &gt; 15 uT"))))))</f>
        <v>Turbidez &lt; 2,5 uT</v>
      </c>
      <c r="BC56" s="138" t="str">
        <f>IF(AND(C56&gt;D56,D56&gt;E56),"TOR &gt; SM &gt; BNN",IF(AND(C56&gt;E56,E56&gt;D56),"TOR &gt; BNN &gt; SM",IF(AND(D56&gt;C56,C56&gt;E56),"SM &gt; TOR &gt; BNN",IF(AND(D56&gt;E56,E56&gt;C56),"SM &gt; BNN &gt; TOR",IF(AND(C56=D56,D56=E56),"TOR = SM = BNN","Comb. diferentes")))))</f>
        <v>SM &gt; TOR &gt; BNN</v>
      </c>
      <c r="BD56" s="137" t="str">
        <f>IF(OR(AE56="",AQ56="-"),"",IF(AE56&lt;=0.25,"Tipo 1 (≤0,25) uT",IF(AE56&lt;=0.5,"Tipo 2 (0,25-0,50) uT",IF(AE56&lt;=0.75,"Tipo 3 (0,50-0,75) uT","Tipo 4 (&gt;0,75) uT"))))</f>
        <v>Tipo 1 (≤0,25) uT</v>
      </c>
      <c r="BE56" s="137" t="str">
        <f t="shared" si="0"/>
        <v>Tipo 1 (≤0,25) uT</v>
      </c>
      <c r="BF56" s="137" t="str">
        <f>IF(OR(AF56="",AQ56="-"),"",IF(AF56&lt;=0.25,"Tipo 1 (≤0,25) uT",IF(AF56&lt;=0.5,"Tipo 2 (0,25-0,50) uT",IF(AF56&lt;=0.75,"Tipo 3 (0,50-0,75) uT","Tipo 4 (&gt;0,75) uT"))))</f>
        <v>Tipo 1 (≤0,25) uT</v>
      </c>
      <c r="BG56" s="137" t="str">
        <f t="shared" si="1"/>
        <v>Tipo 1 (≤0,25) uT</v>
      </c>
      <c r="BH56" s="137" t="str">
        <f>IF(OR(R56="",R56="-"),"",IF(R56&lt;=0.25,"Tipo 1 (≤0,25) uT",IF(R56&lt;=0.5,"Tipo 2 (0,25-0,50) uT",IF(R56&lt;=0.75,"Tipo 3 (0,50-0,75) uT","Tipo 4 (&gt;0,75) uT"))))</f>
        <v>Tipo 1 (≤0,25) uT</v>
      </c>
    </row>
    <row r="57" spans="1:60" x14ac:dyDescent="0.3">
      <c r="A57" s="74">
        <v>46264</v>
      </c>
      <c r="B57" s="139">
        <v>0.89583333333333337</v>
      </c>
      <c r="C57" s="116">
        <v>349</v>
      </c>
      <c r="D57" s="116">
        <v>1579</v>
      </c>
      <c r="E57" s="116">
        <v>250</v>
      </c>
      <c r="F57" s="116">
        <v>2154</v>
      </c>
      <c r="G57" s="144" t="s">
        <v>100</v>
      </c>
      <c r="H57" s="122">
        <v>10.8</v>
      </c>
      <c r="I57" s="116">
        <v>-17.5</v>
      </c>
      <c r="J57" s="10">
        <v>90</v>
      </c>
      <c r="K57" s="116">
        <v>90</v>
      </c>
      <c r="L57" s="116">
        <v>90</v>
      </c>
      <c r="M57" s="122">
        <v>26.9</v>
      </c>
      <c r="N57" s="122">
        <v>6.5</v>
      </c>
      <c r="O57" s="79">
        <v>0.88</v>
      </c>
      <c r="P57" s="116">
        <v>5</v>
      </c>
      <c r="Q57" s="122">
        <v>6.9</v>
      </c>
      <c r="R57" s="10">
        <v>0.06</v>
      </c>
      <c r="S57" s="79">
        <v>22.36</v>
      </c>
      <c r="T57" s="79">
        <v>0.88</v>
      </c>
      <c r="U57" s="79">
        <v>0.7</v>
      </c>
      <c r="V57" s="85">
        <f t="shared" si="2"/>
        <v>1647.81</v>
      </c>
      <c r="W57" s="85">
        <f t="shared" si="3"/>
        <v>1372.556302</v>
      </c>
      <c r="X57" s="85">
        <f t="shared" si="4"/>
        <v>0.83295786650159909</v>
      </c>
      <c r="Y57" s="116">
        <v>3</v>
      </c>
      <c r="Z57" s="116">
        <v>4</v>
      </c>
      <c r="AA57" s="122">
        <v>6.5</v>
      </c>
      <c r="AB57" s="116">
        <v>17</v>
      </c>
      <c r="AC57" s="122">
        <v>6.4</v>
      </c>
      <c r="AD57" s="122">
        <v>4.5999999999999996</v>
      </c>
      <c r="AE57" s="79">
        <v>0.2</v>
      </c>
      <c r="AF57" s="79">
        <v>0.09</v>
      </c>
      <c r="AG57" s="85">
        <f>(O57+0.3*H57+2)*(F57/2/AK57)</f>
        <v>1647.81</v>
      </c>
      <c r="AH57" s="85">
        <f t="shared" si="5"/>
        <v>1785.9247275999996</v>
      </c>
      <c r="AI57" s="85">
        <f t="shared" si="6"/>
        <v>1.0838171437240942</v>
      </c>
      <c r="AJ57" s="116">
        <v>3</v>
      </c>
      <c r="AK57" s="116">
        <v>4</v>
      </c>
      <c r="AL57" s="122">
        <v>6.3</v>
      </c>
      <c r="AM57" s="116">
        <v>23</v>
      </c>
      <c r="AN57" s="122">
        <v>6.2</v>
      </c>
      <c r="AO57" s="122">
        <v>5.5</v>
      </c>
      <c r="AP57" s="79">
        <v>0.26</v>
      </c>
      <c r="AQ57" s="79">
        <v>0.17</v>
      </c>
      <c r="AR57" s="132">
        <f>SUM(C57:E57)</f>
        <v>2178</v>
      </c>
      <c r="AS57" s="134">
        <f>C57/AR57</f>
        <v>0.16023875114784206</v>
      </c>
      <c r="AT57" s="134">
        <f>D57/AR57</f>
        <v>0.72497704315886136</v>
      </c>
      <c r="AU57" s="134">
        <f>E57/AR57</f>
        <v>0.1147842056932966</v>
      </c>
      <c r="AV57" s="151">
        <f>IF(AND(F57&lt;&gt;"",Z57&lt;&gt;""),AB57/(F57/2/Z57),"")</f>
        <v>6.313834726090993E-2</v>
      </c>
      <c r="AW57" s="151">
        <f>IF(AND(F57&lt;&gt;"",AK57&lt;&gt;""),AM57/(F57/2/AK57),"")</f>
        <v>8.5422469823584035E-2</v>
      </c>
      <c r="AX57" s="41">
        <f>IF(AND(AQ57&lt;&gt;"",1-(AQ57/O57)&gt;0),1-(AQ57/O57),"")</f>
        <v>0.80681818181818177</v>
      </c>
      <c r="AY57" s="41">
        <f>IF(AND(AF57&lt;&gt;"",1-(AF57/O57)&gt;0),1-(AF57/O57),"")</f>
        <v>0.89772727272727271</v>
      </c>
      <c r="AZ57" s="136" t="str">
        <f>IF(Q57="","",IF(Q57&lt;2.5,"Alc. Bruta &lt; 2,5 mg/L",IF(Q57&lt;5,"2,5 ≤ Alc. Bruta &lt; 5,0 mg/L",IF(Q57&lt;7.5,"5,0 ≤ Alc. Bruta &lt; 7,5 mg/L",IF(Q57&lt;10,"7,5 ≤ Alc. Bruta &lt; 10,0 mg/L",IF(Q57&lt;15,"10,0 ≤ Alca. Bruta &lt; 15,0 mg/L","Alc. Bruta &gt; 15 mg/L"))))))</f>
        <v>5,0 ≤ Alc. Bruta &lt; 7,5 mg/L</v>
      </c>
      <c r="BA57" s="136" t="str">
        <f>IF(P57="","",IF(P57&lt;5,"Cor &lt;5 uC",IF(P57&lt;10,"5 ≤ Cor &lt; 10 uC",IF(P57&lt;15,"10 ≤ Cor &lt;15 uC",IF(P57&lt;30,"15 ≤ Cor &lt; 30 uC",IF(P57&lt;50,"30 ≤ Cor &lt; 50 uC","Cor &gt; 50 uC"))))))</f>
        <v>5 ≤ Cor &lt; 10 uC</v>
      </c>
      <c r="BB57" s="137" t="str">
        <f>IF(O57="","",IF(O57&lt;2.5,"Turbidez &lt; 2,5 uT",IF(O57&lt;5,"2,5 ≤ Turb &lt; 5,0 uT",IF(O57&lt;7.5,"5,0 ≤ Turb &lt; 7,5 uT",IF(O57&lt;10,"7,5 ≤ Turb &lt; 10,0 uT",IF(O57&lt;15,"10,0 ≤ Turb &lt; 15,0 uT","Turb &gt; 15 uT"))))))</f>
        <v>Turbidez &lt; 2,5 uT</v>
      </c>
      <c r="BC57" s="138" t="str">
        <f>IF(AND(C57&gt;D57,D57&gt;E57),"TOR &gt; SM &gt; BNN",IF(AND(C57&gt;E57,E57&gt;D57),"TOR &gt; BNN &gt; SM",IF(AND(D57&gt;C57,C57&gt;E57),"SM &gt; TOR &gt; BNN",IF(AND(D57&gt;E57,E57&gt;C57),"SM &gt; BNN &gt; TOR",IF(AND(C57=D57,D57=E57),"TOR = SM = BNN","Comb. diferentes")))))</f>
        <v>SM &gt; TOR &gt; BNN</v>
      </c>
      <c r="BD57" s="137" t="str">
        <f>IF(OR(AE57="",AQ57="-"),"",IF(AE57&lt;=0.25,"Tipo 1 (≤0,25) uT",IF(AE57&lt;=0.5,"Tipo 2 (0,25-0,50) uT",IF(AE57&lt;=0.75,"Tipo 3 (0,50-0,75) uT","Tipo 4 (&gt;0,75) uT"))))</f>
        <v>Tipo 1 (≤0,25) uT</v>
      </c>
      <c r="BE57" s="137" t="str">
        <f t="shared" si="0"/>
        <v>Tipo 2 (0,25-0,50) uT</v>
      </c>
      <c r="BF57" s="137" t="str">
        <f>IF(OR(AF57="",AQ57="-"),"",IF(AF57&lt;=0.25,"Tipo 1 (≤0,25) uT",IF(AF57&lt;=0.5,"Tipo 2 (0,25-0,50) uT",IF(AF57&lt;=0.75,"Tipo 3 (0,50-0,75) uT","Tipo 4 (&gt;0,75) uT"))))</f>
        <v>Tipo 1 (≤0,25) uT</v>
      </c>
      <c r="BG57" s="137" t="str">
        <f t="shared" si="1"/>
        <v>Tipo 1 (≤0,25) uT</v>
      </c>
      <c r="BH57" s="137" t="str">
        <f>IF(OR(R57="",R57="-"),"",IF(R57&lt;=0.25,"Tipo 1 (≤0,25) uT",IF(R57&lt;=0.5,"Tipo 2 (0,25-0,50) uT",IF(R57&lt;=0.75,"Tipo 3 (0,50-0,75) uT","Tipo 4 (&gt;0,75) uT"))))</f>
        <v>Tipo 1 (≤0,25) uT</v>
      </c>
    </row>
    <row r="58" spans="1:60" x14ac:dyDescent="0.3">
      <c r="A58" s="74">
        <v>46264</v>
      </c>
      <c r="B58" s="139">
        <v>0.97916666666666663</v>
      </c>
      <c r="C58" s="116">
        <v>363</v>
      </c>
      <c r="D58" s="116">
        <v>1572</v>
      </c>
      <c r="E58" s="116">
        <v>250</v>
      </c>
      <c r="F58" s="116">
        <v>2150</v>
      </c>
      <c r="G58" s="144" t="s">
        <v>100</v>
      </c>
      <c r="H58" s="122">
        <v>10.8</v>
      </c>
      <c r="I58" s="116">
        <v>-14.93</v>
      </c>
      <c r="J58" s="10">
        <v>90</v>
      </c>
      <c r="K58" s="116">
        <v>90</v>
      </c>
      <c r="L58" s="116">
        <v>90</v>
      </c>
      <c r="M58" s="122">
        <v>26.2</v>
      </c>
      <c r="N58" s="122">
        <v>6.6</v>
      </c>
      <c r="O58" s="79">
        <v>0.83</v>
      </c>
      <c r="P58" s="116">
        <v>5</v>
      </c>
      <c r="Q58" s="122">
        <v>6.7</v>
      </c>
      <c r="R58" s="10">
        <v>0.06</v>
      </c>
      <c r="S58" s="79">
        <v>22.36</v>
      </c>
      <c r="T58" s="79">
        <v>0.88</v>
      </c>
      <c r="U58" s="79">
        <v>0.7</v>
      </c>
      <c r="V58" s="85">
        <f t="shared" si="2"/>
        <v>1631.3125</v>
      </c>
      <c r="W58" s="85">
        <f t="shared" si="3"/>
        <v>1372.556302</v>
      </c>
      <c r="X58" s="85">
        <f t="shared" si="4"/>
        <v>0.84138158813838548</v>
      </c>
      <c r="Y58" s="116">
        <v>3</v>
      </c>
      <c r="Z58" s="116">
        <v>4</v>
      </c>
      <c r="AA58" s="122">
        <v>6.5</v>
      </c>
      <c r="AB58" s="116">
        <v>17</v>
      </c>
      <c r="AC58" s="122">
        <v>6.4</v>
      </c>
      <c r="AD58" s="122">
        <v>4.8</v>
      </c>
      <c r="AE58" s="79">
        <v>0.11</v>
      </c>
      <c r="AF58" s="79">
        <v>0.08</v>
      </c>
      <c r="AG58" s="85">
        <f>(O58+0.3*H58+2)*(F58/2/AK58)</f>
        <v>1631.3125</v>
      </c>
      <c r="AH58" s="85">
        <f t="shared" si="5"/>
        <v>1785.9247275999996</v>
      </c>
      <c r="AI58" s="85">
        <f t="shared" si="6"/>
        <v>1.0947778108731463</v>
      </c>
      <c r="AJ58" s="116">
        <v>3</v>
      </c>
      <c r="AK58" s="116">
        <v>4</v>
      </c>
      <c r="AL58" s="122">
        <v>6.3</v>
      </c>
      <c r="AM58" s="116">
        <v>23</v>
      </c>
      <c r="AN58" s="122">
        <v>6.3</v>
      </c>
      <c r="AO58" s="122">
        <v>5.6</v>
      </c>
      <c r="AP58" s="79">
        <v>0.14000000000000001</v>
      </c>
      <c r="AQ58" s="79">
        <v>0.14000000000000001</v>
      </c>
      <c r="AR58" s="132">
        <f>SUM(C58:E58)</f>
        <v>2185</v>
      </c>
      <c r="AS58" s="134">
        <f>C58/AR58</f>
        <v>0.16613272311212815</v>
      </c>
      <c r="AT58" s="134">
        <f>D58/AR58</f>
        <v>0.71945080091533176</v>
      </c>
      <c r="AU58" s="134">
        <f>E58/AR58</f>
        <v>0.11441647597254005</v>
      </c>
      <c r="AV58" s="151">
        <f>IF(AND(F58&lt;&gt;"",Z58&lt;&gt;""),AB58/(F58/2/Z58),"")</f>
        <v>6.3255813953488366E-2</v>
      </c>
      <c r="AW58" s="151">
        <f>IF(AND(F58&lt;&gt;"",AK58&lt;&gt;""),AM58/(F58/2/AK58),"")</f>
        <v>8.5581395348837214E-2</v>
      </c>
      <c r="AX58" s="41">
        <f>IF(AND(AQ58&lt;&gt;"",1-(AQ58/O58)&gt;0),1-(AQ58/O58),"")</f>
        <v>0.83132530120481929</v>
      </c>
      <c r="AY58" s="41">
        <f>IF(AND(AF58&lt;&gt;"",1-(AF58/O58)&gt;0),1-(AF58/O58),"")</f>
        <v>0.90361445783132532</v>
      </c>
      <c r="AZ58" s="136" t="str">
        <f>IF(Q58="","",IF(Q58&lt;2.5,"Alc. Bruta &lt; 2,5 mg/L",IF(Q58&lt;5,"2,5 ≤ Alc. Bruta &lt; 5,0 mg/L",IF(Q58&lt;7.5,"5,0 ≤ Alc. Bruta &lt; 7,5 mg/L",IF(Q58&lt;10,"7,5 ≤ Alc. Bruta &lt; 10,0 mg/L",IF(Q58&lt;15,"10,0 ≤ Alca. Bruta &lt; 15,0 mg/L","Alc. Bruta &gt; 15 mg/L"))))))</f>
        <v>5,0 ≤ Alc. Bruta &lt; 7,5 mg/L</v>
      </c>
      <c r="BA58" s="136" t="str">
        <f>IF(P58="","",IF(P58&lt;5,"Cor &lt;5 uC",IF(P58&lt;10,"5 ≤ Cor &lt; 10 uC",IF(P58&lt;15,"10 ≤ Cor &lt;15 uC",IF(P58&lt;30,"15 ≤ Cor &lt; 30 uC",IF(P58&lt;50,"30 ≤ Cor &lt; 50 uC","Cor &gt; 50 uC"))))))</f>
        <v>5 ≤ Cor &lt; 10 uC</v>
      </c>
      <c r="BB58" s="137" t="str">
        <f>IF(O58="","",IF(O58&lt;2.5,"Turbidez &lt; 2,5 uT",IF(O58&lt;5,"2,5 ≤ Turb &lt; 5,0 uT",IF(O58&lt;7.5,"5,0 ≤ Turb &lt; 7,5 uT",IF(O58&lt;10,"7,5 ≤ Turb &lt; 10,0 uT",IF(O58&lt;15,"10,0 ≤ Turb &lt; 15,0 uT","Turb &gt; 15 uT"))))))</f>
        <v>Turbidez &lt; 2,5 uT</v>
      </c>
      <c r="BC58" s="138" t="str">
        <f>IF(AND(C58&gt;D58,D58&gt;E58),"TOR &gt; SM &gt; BNN",IF(AND(C58&gt;E58,E58&gt;D58),"TOR &gt; BNN &gt; SM",IF(AND(D58&gt;C58,C58&gt;E58),"SM &gt; TOR &gt; BNN",IF(AND(D58&gt;E58,E58&gt;C58),"SM &gt; BNN &gt; TOR",IF(AND(C58=D58,D58=E58),"TOR = SM = BNN","Comb. diferentes")))))</f>
        <v>SM &gt; TOR &gt; BNN</v>
      </c>
      <c r="BD58" s="137" t="str">
        <f>IF(OR(AE58="",AQ58="-"),"",IF(AE58&lt;=0.25,"Tipo 1 (≤0,25) uT",IF(AE58&lt;=0.5,"Tipo 2 (0,25-0,50) uT",IF(AE58&lt;=0.75,"Tipo 3 (0,50-0,75) uT","Tipo 4 (&gt;0,75) uT"))))</f>
        <v>Tipo 1 (≤0,25) uT</v>
      </c>
      <c r="BE58" s="137" t="str">
        <f t="shared" si="0"/>
        <v>Tipo 1 (≤0,25) uT</v>
      </c>
      <c r="BF58" s="137" t="str">
        <f>IF(OR(AF58="",AQ58="-"),"",IF(AF58&lt;=0.25,"Tipo 1 (≤0,25) uT",IF(AF58&lt;=0.5,"Tipo 2 (0,25-0,50) uT",IF(AF58&lt;=0.75,"Tipo 3 (0,50-0,75) uT","Tipo 4 (&gt;0,75) uT"))))</f>
        <v>Tipo 1 (≤0,25) uT</v>
      </c>
      <c r="BG58" s="137" t="str">
        <f t="shared" si="1"/>
        <v>Tipo 1 (≤0,25) uT</v>
      </c>
      <c r="BH58" s="137" t="str">
        <f>IF(OR(R58="",R58="-"),"",IF(R58&lt;=0.25,"Tipo 1 (≤0,25) uT",IF(R58&lt;=0.5,"Tipo 2 (0,25-0,50) uT",IF(R58&lt;=0.75,"Tipo 3 (0,50-0,75) uT","Tipo 4 (&gt;0,75) uT"))))</f>
        <v>Tipo 1 (≤0,25) uT</v>
      </c>
    </row>
    <row r="59" spans="1:60" x14ac:dyDescent="0.3">
      <c r="A59" s="74">
        <v>46265</v>
      </c>
      <c r="B59" s="139">
        <v>0.14583333333333334</v>
      </c>
      <c r="C59" s="116">
        <v>348</v>
      </c>
      <c r="D59" s="116">
        <v>1525</v>
      </c>
      <c r="E59" s="116">
        <v>250</v>
      </c>
      <c r="F59" s="116">
        <v>2142</v>
      </c>
      <c r="G59" s="144" t="s">
        <v>100</v>
      </c>
      <c r="H59" s="122">
        <v>9.8000000000000007</v>
      </c>
      <c r="I59" s="116">
        <v>-48.1</v>
      </c>
      <c r="J59" s="10">
        <v>90</v>
      </c>
      <c r="K59" s="116">
        <v>90</v>
      </c>
      <c r="L59" s="116">
        <v>90</v>
      </c>
      <c r="M59" s="122">
        <v>25.8</v>
      </c>
      <c r="N59" s="122">
        <v>6.5</v>
      </c>
      <c r="O59" s="79">
        <v>0.78</v>
      </c>
      <c r="P59" s="116">
        <v>5</v>
      </c>
      <c r="Q59" s="122">
        <v>6.8</v>
      </c>
      <c r="R59" s="10">
        <v>0.06</v>
      </c>
      <c r="S59" s="79">
        <v>22.36</v>
      </c>
      <c r="T59" s="79">
        <v>0.88</v>
      </c>
      <c r="U59" s="79">
        <v>0.7</v>
      </c>
      <c r="V59" s="85">
        <f t="shared" si="2"/>
        <v>1531.53</v>
      </c>
      <c r="W59" s="85">
        <f t="shared" si="3"/>
        <v>1372.556302</v>
      </c>
      <c r="X59" s="85">
        <f t="shared" si="4"/>
        <v>0.89619942279942277</v>
      </c>
      <c r="Y59" s="116">
        <v>3</v>
      </c>
      <c r="Z59" s="116">
        <v>4</v>
      </c>
      <c r="AA59" s="122">
        <v>6.5</v>
      </c>
      <c r="AB59" s="116">
        <v>17</v>
      </c>
      <c r="AC59" s="122">
        <v>6.2</v>
      </c>
      <c r="AD59" s="122">
        <v>5.2</v>
      </c>
      <c r="AE59" s="79">
        <v>0.12</v>
      </c>
      <c r="AF59" s="79">
        <v>0.08</v>
      </c>
      <c r="AG59" s="85">
        <f>(O59+0.3*H59+2)*(F59/2/AK59)</f>
        <v>1531.53</v>
      </c>
      <c r="AH59" s="85">
        <f t="shared" si="5"/>
        <v>1750.3931224</v>
      </c>
      <c r="AI59" s="85">
        <f t="shared" si="6"/>
        <v>1.1429048875307699</v>
      </c>
      <c r="AJ59" s="116">
        <v>3</v>
      </c>
      <c r="AK59" s="116">
        <v>4</v>
      </c>
      <c r="AL59" s="122">
        <v>6.2</v>
      </c>
      <c r="AM59" s="116">
        <v>23</v>
      </c>
      <c r="AN59" s="122">
        <v>6.1</v>
      </c>
      <c r="AO59" s="122">
        <v>5.2</v>
      </c>
      <c r="AP59" s="79">
        <v>0.13</v>
      </c>
      <c r="AQ59" s="79">
        <v>0.17</v>
      </c>
      <c r="AR59" s="132">
        <f>SUM(C59:E59)</f>
        <v>2123</v>
      </c>
      <c r="AS59" s="134">
        <f>C59/AR59</f>
        <v>0.16391898257183232</v>
      </c>
      <c r="AT59" s="134">
        <f>D59/AR59</f>
        <v>0.71832312764955253</v>
      </c>
      <c r="AU59" s="134">
        <f>E59/AR59</f>
        <v>0.11775788977861516</v>
      </c>
      <c r="AV59" s="151">
        <f>IF(AND(F59&lt;&gt;"",Z59&lt;&gt;""),AB59/(F59/2/Z59),"")</f>
        <v>6.3492063492063489E-2</v>
      </c>
      <c r="AW59" s="151">
        <f>IF(AND(F59&lt;&gt;"",AK59&lt;&gt;""),AM59/(F59/2/AK59),"")</f>
        <v>8.5901027077497666E-2</v>
      </c>
      <c r="AX59" s="41">
        <f>IF(AND(AQ59&lt;&gt;"",1-(AQ59/O59)&gt;0),1-(AQ59/O59),"")</f>
        <v>0.78205128205128205</v>
      </c>
      <c r="AY59" s="41">
        <f>IF(AND(AF59&lt;&gt;"",1-(AF59/O59)&gt;0),1-(AF59/O59),"")</f>
        <v>0.89743589743589747</v>
      </c>
      <c r="AZ59" s="136" t="str">
        <f>IF(Q59="","",IF(Q59&lt;2.5,"Alc. Bruta &lt; 2,5 mg/L",IF(Q59&lt;5,"2,5 ≤ Alc. Bruta &lt; 5,0 mg/L",IF(Q59&lt;7.5,"5,0 ≤ Alc. Bruta &lt; 7,5 mg/L",IF(Q59&lt;10,"7,5 ≤ Alc. Bruta &lt; 10,0 mg/L",IF(Q59&lt;15,"10,0 ≤ Alca. Bruta &lt; 15,0 mg/L","Alc. Bruta &gt; 15 mg/L"))))))</f>
        <v>5,0 ≤ Alc. Bruta &lt; 7,5 mg/L</v>
      </c>
      <c r="BA59" s="136" t="str">
        <f>IF(P59="","",IF(P59&lt;5,"Cor &lt;5 uC",IF(P59&lt;10,"5 ≤ Cor &lt; 10 uC",IF(P59&lt;15,"10 ≤ Cor &lt;15 uC",IF(P59&lt;30,"15 ≤ Cor &lt; 30 uC",IF(P59&lt;50,"30 ≤ Cor &lt; 50 uC","Cor &gt; 50 uC"))))))</f>
        <v>5 ≤ Cor &lt; 10 uC</v>
      </c>
      <c r="BB59" s="137" t="str">
        <f>IF(O59="","",IF(O59&lt;2.5,"Turbidez &lt; 2,5 uT",IF(O59&lt;5,"2,5 ≤ Turb &lt; 5,0 uT",IF(O59&lt;7.5,"5,0 ≤ Turb &lt; 7,5 uT",IF(O59&lt;10,"7,5 ≤ Turb &lt; 10,0 uT",IF(O59&lt;15,"10,0 ≤ Turb &lt; 15,0 uT","Turb &gt; 15 uT"))))))</f>
        <v>Turbidez &lt; 2,5 uT</v>
      </c>
      <c r="BC59" s="138" t="str">
        <f>IF(AND(C59&gt;D59,D59&gt;E59),"TOR &gt; SM &gt; BNN",IF(AND(C59&gt;E59,E59&gt;D59),"TOR &gt; BNN &gt; SM",IF(AND(D59&gt;C59,C59&gt;E59),"SM &gt; TOR &gt; BNN",IF(AND(D59&gt;E59,E59&gt;C59),"SM &gt; BNN &gt; TOR",IF(AND(C59=D59,D59=E59),"TOR = SM = BNN","Comb. diferentes")))))</f>
        <v>SM &gt; TOR &gt; BNN</v>
      </c>
      <c r="BD59" s="137" t="str">
        <f>IF(OR(AE59="",AQ59="-"),"",IF(AE59&lt;=0.25,"Tipo 1 (≤0,25) uT",IF(AE59&lt;=0.5,"Tipo 2 (0,25-0,50) uT",IF(AE59&lt;=0.75,"Tipo 3 (0,50-0,75) uT","Tipo 4 (&gt;0,75) uT"))))</f>
        <v>Tipo 1 (≤0,25) uT</v>
      </c>
      <c r="BE59" s="137" t="str">
        <f t="shared" si="0"/>
        <v>Tipo 1 (≤0,25) uT</v>
      </c>
      <c r="BF59" s="137" t="str">
        <f>IF(OR(AF59="",AQ59="-"),"",IF(AF59&lt;=0.25,"Tipo 1 (≤0,25) uT",IF(AF59&lt;=0.5,"Tipo 2 (0,25-0,50) uT",IF(AF59&lt;=0.75,"Tipo 3 (0,50-0,75) uT","Tipo 4 (&gt;0,75) uT"))))</f>
        <v>Tipo 1 (≤0,25) uT</v>
      </c>
      <c r="BG59" s="137" t="str">
        <f t="shared" si="1"/>
        <v>Tipo 1 (≤0,25) uT</v>
      </c>
      <c r="BH59" s="137" t="str">
        <f>IF(OR(R59="",R59="-"),"",IF(R59&lt;=0.25,"Tipo 1 (≤0,25) uT",IF(R59&lt;=0.5,"Tipo 2 (0,25-0,50) uT",IF(R59&lt;=0.75,"Tipo 3 (0,50-0,75) uT","Tipo 4 (&gt;0,75) uT"))))</f>
        <v>Tipo 1 (≤0,25) uT</v>
      </c>
    </row>
    <row r="60" spans="1:60" ht="15" thickBot="1" x14ac:dyDescent="0.35">
      <c r="A60" s="75">
        <v>46265</v>
      </c>
      <c r="B60" s="140">
        <v>0.22916666666666666</v>
      </c>
      <c r="C60" s="117">
        <v>332</v>
      </c>
      <c r="D60" s="117">
        <v>1512</v>
      </c>
      <c r="E60" s="117">
        <v>250</v>
      </c>
      <c r="F60" s="117">
        <v>2121</v>
      </c>
      <c r="G60" s="145" t="s">
        <v>100</v>
      </c>
      <c r="H60" s="123">
        <v>10.8</v>
      </c>
      <c r="I60" s="117">
        <v>-36.200000000000003</v>
      </c>
      <c r="J60" s="11">
        <v>90</v>
      </c>
      <c r="K60" s="117">
        <v>90</v>
      </c>
      <c r="L60" s="117">
        <v>90</v>
      </c>
      <c r="M60" s="123">
        <v>25.6</v>
      </c>
      <c r="N60" s="123">
        <v>6.5</v>
      </c>
      <c r="O60" s="80">
        <v>1.02</v>
      </c>
      <c r="P60" s="117">
        <v>3</v>
      </c>
      <c r="Q60" s="123">
        <v>7</v>
      </c>
      <c r="R60" s="11">
        <v>0.06</v>
      </c>
      <c r="S60" s="79">
        <v>22.36</v>
      </c>
      <c r="T60" s="79">
        <v>0.88</v>
      </c>
      <c r="U60" s="79">
        <v>0.7</v>
      </c>
      <c r="V60" s="85">
        <f t="shared" si="2"/>
        <v>1659.6824999999999</v>
      </c>
      <c r="W60" s="85">
        <f t="shared" si="3"/>
        <v>1372.556302</v>
      </c>
      <c r="X60" s="85">
        <f t="shared" si="4"/>
        <v>0.82699932185824698</v>
      </c>
      <c r="Y60" s="117">
        <v>3</v>
      </c>
      <c r="Z60" s="117">
        <v>4</v>
      </c>
      <c r="AA60" s="123">
        <v>6.5</v>
      </c>
      <c r="AB60" s="117">
        <v>17</v>
      </c>
      <c r="AC60" s="123">
        <v>6.1</v>
      </c>
      <c r="AD60" s="123">
        <v>6.5</v>
      </c>
      <c r="AE60" s="80">
        <v>0.11</v>
      </c>
      <c r="AF60" s="80">
        <v>0.08</v>
      </c>
      <c r="AG60" s="85">
        <f>(O60+0.3*H60+2)*(F60/2/AK60)</f>
        <v>1659.6824999999999</v>
      </c>
      <c r="AH60" s="85">
        <f t="shared" si="5"/>
        <v>1785.9247275999996</v>
      </c>
      <c r="AI60" s="85">
        <f t="shared" si="6"/>
        <v>1.0760640831002313</v>
      </c>
      <c r="AJ60" s="117">
        <v>3</v>
      </c>
      <c r="AK60" s="117">
        <v>4</v>
      </c>
      <c r="AL60" s="123">
        <v>6.3</v>
      </c>
      <c r="AM60" s="117">
        <v>23</v>
      </c>
      <c r="AN60" s="123">
        <v>6.1</v>
      </c>
      <c r="AO60" s="123">
        <v>6.6</v>
      </c>
      <c r="AP60" s="80">
        <v>0.13</v>
      </c>
      <c r="AQ60" s="80">
        <v>0.14000000000000001</v>
      </c>
      <c r="AR60" s="132">
        <f>SUM(C60:E60)</f>
        <v>2094</v>
      </c>
      <c r="AS60" s="134">
        <f>C60/AR60</f>
        <v>0.15854823304680038</v>
      </c>
      <c r="AT60" s="134">
        <f>D60/AR60</f>
        <v>0.72206303724928367</v>
      </c>
      <c r="AU60" s="134">
        <f>E60/AR60</f>
        <v>0.11938872970391595</v>
      </c>
      <c r="AV60" s="151">
        <f>IF(AND(F60&lt;&gt;"",Z60&lt;&gt;""),AB60/(F60/2/Z60),"")</f>
        <v>6.4120697784064123E-2</v>
      </c>
      <c r="AW60" s="151">
        <f>IF(AND(F60&lt;&gt;"",AK60&lt;&gt;""),AM60/(F60/2/AK60),"")</f>
        <v>8.6751532296086745E-2</v>
      </c>
      <c r="AX60" s="41">
        <f>IF(AND(AQ60&lt;&gt;"",1-(AQ60/O60)&gt;0),1-(AQ60/O60),"")</f>
        <v>0.86274509803921573</v>
      </c>
      <c r="AY60" s="41">
        <f>IF(AND(AF60&lt;&gt;"",1-(AF60/O60)&gt;0),1-(AF60/O60),"")</f>
        <v>0.92156862745098045</v>
      </c>
      <c r="AZ60" s="136" t="str">
        <f>IF(Q60="","",IF(Q60&lt;2.5,"Alc. Bruta &lt; 2,5 mg/L",IF(Q60&lt;5,"2,5 ≤ Alc. Bruta &lt; 5,0 mg/L",IF(Q60&lt;7.5,"5,0 ≤ Alc. Bruta &lt; 7,5 mg/L",IF(Q60&lt;10,"7,5 ≤ Alc. Bruta &lt; 10,0 mg/L",IF(Q60&lt;15,"10,0 ≤ Alca. Bruta &lt; 15,0 mg/L","Alc. Bruta &gt; 15 mg/L"))))))</f>
        <v>5,0 ≤ Alc. Bruta &lt; 7,5 mg/L</v>
      </c>
      <c r="BA60" s="136" t="str">
        <f>IF(P60="","",IF(P60&lt;5,"Cor &lt;5 uC",IF(P60&lt;10,"5 ≤ Cor &lt; 10 uC",IF(P60&lt;15,"10 ≤ Cor &lt;15 uC",IF(P60&lt;30,"15 ≤ Cor &lt; 30 uC",IF(P60&lt;50,"30 ≤ Cor &lt; 50 uC","Cor &gt; 50 uC"))))))</f>
        <v>Cor &lt;5 uC</v>
      </c>
      <c r="BB60" s="137" t="str">
        <f>IF(O60="","",IF(O60&lt;2.5,"Turbidez &lt; 2,5 uT",IF(O60&lt;5,"2,5 ≤ Turb &lt; 5,0 uT",IF(O60&lt;7.5,"5,0 ≤ Turb &lt; 7,5 uT",IF(O60&lt;10,"7,5 ≤ Turb &lt; 10,0 uT",IF(O60&lt;15,"10,0 ≤ Turb &lt; 15,0 uT","Turb &gt; 15 uT"))))))</f>
        <v>Turbidez &lt; 2,5 uT</v>
      </c>
      <c r="BC60" s="138" t="str">
        <f>IF(AND(C60&gt;D60,D60&gt;E60),"TOR &gt; SM &gt; BNN",IF(AND(C60&gt;E60,E60&gt;D60),"TOR &gt; BNN &gt; SM",IF(AND(D60&gt;C60,C60&gt;E60),"SM &gt; TOR &gt; BNN",IF(AND(D60&gt;E60,E60&gt;C60),"SM &gt; BNN &gt; TOR",IF(AND(C60=D60,D60=E60),"TOR = SM = BNN","Comb. diferentes")))))</f>
        <v>SM &gt; TOR &gt; BNN</v>
      </c>
      <c r="BD60" s="137" t="str">
        <f>IF(OR(AE60="",AQ60="-"),"",IF(AE60&lt;=0.25,"Tipo 1 (≤0,25) uT",IF(AE60&lt;=0.5,"Tipo 2 (0,25-0,50) uT",IF(AE60&lt;=0.75,"Tipo 3 (0,50-0,75) uT","Tipo 4 (&gt;0,75) uT"))))</f>
        <v>Tipo 1 (≤0,25) uT</v>
      </c>
      <c r="BE60" s="137" t="str">
        <f t="shared" si="0"/>
        <v>Tipo 1 (≤0,25) uT</v>
      </c>
      <c r="BF60" s="137" t="str">
        <f>IF(OR(AF60="",AQ60="-"),"",IF(AF60&lt;=0.25,"Tipo 1 (≤0,25) uT",IF(AF60&lt;=0.5,"Tipo 2 (0,25-0,50) uT",IF(AF60&lt;=0.75,"Tipo 3 (0,50-0,75) uT","Tipo 4 (&gt;0,75) uT"))))</f>
        <v>Tipo 1 (≤0,25) uT</v>
      </c>
      <c r="BG60" s="137" t="str">
        <f t="shared" si="1"/>
        <v>Tipo 1 (≤0,25) uT</v>
      </c>
      <c r="BH60" s="137" t="str">
        <f>IF(OR(R60="",R60="-"),"",IF(R60&lt;=0.25,"Tipo 1 (≤0,25) uT",IF(R60&lt;=0.5,"Tipo 2 (0,25-0,50) uT",IF(R60&lt;=0.75,"Tipo 3 (0,50-0,75) uT","Tipo 4 (&gt;0,75) uT"))))</f>
        <v>Tipo 1 (≤0,25) uT</v>
      </c>
    </row>
    <row r="61" spans="1:60" x14ac:dyDescent="0.3">
      <c r="A61" s="73">
        <v>46265</v>
      </c>
      <c r="B61" s="141">
        <v>0.3125</v>
      </c>
      <c r="C61" s="118">
        <v>351</v>
      </c>
      <c r="D61" s="118">
        <v>1553</v>
      </c>
      <c r="E61" s="118">
        <v>250</v>
      </c>
      <c r="F61" s="118">
        <v>2150</v>
      </c>
      <c r="G61" s="146" t="s">
        <v>100</v>
      </c>
      <c r="H61" s="124">
        <v>10.8</v>
      </c>
      <c r="I61" s="118">
        <v>1.81</v>
      </c>
      <c r="J61" s="9">
        <v>90</v>
      </c>
      <c r="K61" s="118">
        <v>90</v>
      </c>
      <c r="L61" s="118">
        <v>90</v>
      </c>
      <c r="M61" s="124">
        <v>25.2</v>
      </c>
      <c r="N61" s="124">
        <v>6.5</v>
      </c>
      <c r="O61" s="81">
        <v>0.79</v>
      </c>
      <c r="P61" s="118">
        <v>5</v>
      </c>
      <c r="Q61" s="124">
        <v>8</v>
      </c>
      <c r="R61" s="9">
        <v>7.0000000000000007E-2</v>
      </c>
      <c r="S61" s="79">
        <v>22.36</v>
      </c>
      <c r="T61" s="79">
        <v>0.88</v>
      </c>
      <c r="U61" s="79">
        <v>0.7</v>
      </c>
      <c r="V61" s="85">
        <f t="shared" si="2"/>
        <v>1620.5625</v>
      </c>
      <c r="W61" s="85">
        <f t="shared" si="3"/>
        <v>1372.556302</v>
      </c>
      <c r="X61" s="85">
        <f t="shared" si="4"/>
        <v>0.84696289220563847</v>
      </c>
      <c r="Y61" s="118">
        <v>3</v>
      </c>
      <c r="Z61" s="118">
        <v>4</v>
      </c>
      <c r="AA61" s="124">
        <v>6.5</v>
      </c>
      <c r="AB61" s="118">
        <v>17</v>
      </c>
      <c r="AC61" s="124">
        <v>6.5</v>
      </c>
      <c r="AD61" s="124">
        <v>5.0999999999999996</v>
      </c>
      <c r="AE61" s="81">
        <v>0.15</v>
      </c>
      <c r="AF61" s="81">
        <v>7.0000000000000007E-2</v>
      </c>
      <c r="AG61" s="85">
        <f>(O61+0.3*H61+2)*(F61/2/AK61)</f>
        <v>1620.5625</v>
      </c>
      <c r="AH61" s="85">
        <f t="shared" si="5"/>
        <v>1750.3931224</v>
      </c>
      <c r="AI61" s="85">
        <f t="shared" si="6"/>
        <v>1.0801145419568823</v>
      </c>
      <c r="AJ61" s="118">
        <v>3</v>
      </c>
      <c r="AK61" s="118">
        <v>4</v>
      </c>
      <c r="AL61" s="124">
        <v>6.2</v>
      </c>
      <c r="AM61" s="118">
        <v>23</v>
      </c>
      <c r="AN61" s="124">
        <v>6.3</v>
      </c>
      <c r="AO61" s="124">
        <v>6.9</v>
      </c>
      <c r="AP61" s="81">
        <v>0.13</v>
      </c>
      <c r="AQ61" s="81">
        <v>0.15</v>
      </c>
      <c r="AR61" s="132">
        <f>SUM(C61:E61)</f>
        <v>2154</v>
      </c>
      <c r="AS61" s="134">
        <f>C61/AR61</f>
        <v>0.16295264623955433</v>
      </c>
      <c r="AT61" s="134">
        <f>D61/AR61</f>
        <v>0.7209842154131848</v>
      </c>
      <c r="AU61" s="134">
        <f>E61/AR61</f>
        <v>0.11606313834726091</v>
      </c>
      <c r="AV61" s="151">
        <f>IF(AND(F61&lt;&gt;"",Z61&lt;&gt;""),AB61/(F61/2/Z61),"")</f>
        <v>6.3255813953488366E-2</v>
      </c>
      <c r="AW61" s="151">
        <f>IF(AND(F61&lt;&gt;"",AK61&lt;&gt;""),AM61/(F61/2/AK61),"")</f>
        <v>8.5581395348837214E-2</v>
      </c>
      <c r="AX61" s="41">
        <f>IF(AND(AQ61&lt;&gt;"",1-(AQ61/O61)&gt;0),1-(AQ61/O61),"")</f>
        <v>0.810126582278481</v>
      </c>
      <c r="AY61" s="41">
        <f>IF(AND(AF61&lt;&gt;"",1-(AF61/O61)&gt;0),1-(AF61/O61),"")</f>
        <v>0.91139240506329111</v>
      </c>
      <c r="AZ61" s="136" t="str">
        <f>IF(Q61="","",IF(Q61&lt;2.5,"Alc. Bruta &lt; 2,5 mg/L",IF(Q61&lt;5,"2,5 ≤ Alc. Bruta &lt; 5,0 mg/L",IF(Q61&lt;7.5,"5,0 ≤ Alc. Bruta &lt; 7,5 mg/L",IF(Q61&lt;10,"7,5 ≤ Alc. Bruta &lt; 10,0 mg/L",IF(Q61&lt;15,"10,0 ≤ Alca. Bruta &lt; 15,0 mg/L","Alc. Bruta &gt; 15 mg/L"))))))</f>
        <v>7,5 ≤ Alc. Bruta &lt; 10,0 mg/L</v>
      </c>
      <c r="BA61" s="136" t="str">
        <f>IF(P61="","",IF(P61&lt;5,"Cor &lt;5 uC",IF(P61&lt;10,"5 ≤ Cor &lt; 10 uC",IF(P61&lt;15,"10 ≤ Cor &lt;15 uC",IF(P61&lt;30,"15 ≤ Cor &lt; 30 uC",IF(P61&lt;50,"30 ≤ Cor &lt; 50 uC","Cor &gt; 50 uC"))))))</f>
        <v>5 ≤ Cor &lt; 10 uC</v>
      </c>
      <c r="BB61" s="137" t="str">
        <f>IF(O61="","",IF(O61&lt;2.5,"Turbidez &lt; 2,5 uT",IF(O61&lt;5,"2,5 ≤ Turb &lt; 5,0 uT",IF(O61&lt;7.5,"5,0 ≤ Turb &lt; 7,5 uT",IF(O61&lt;10,"7,5 ≤ Turb &lt; 10,0 uT",IF(O61&lt;15,"10,0 ≤ Turb &lt; 15,0 uT","Turb &gt; 15 uT"))))))</f>
        <v>Turbidez &lt; 2,5 uT</v>
      </c>
      <c r="BC61" s="138" t="str">
        <f>IF(AND(C61&gt;D61,D61&gt;E61),"TOR &gt; SM &gt; BNN",IF(AND(C61&gt;E61,E61&gt;D61),"TOR &gt; BNN &gt; SM",IF(AND(D61&gt;C61,C61&gt;E61),"SM &gt; TOR &gt; BNN",IF(AND(D61&gt;E61,E61&gt;C61),"SM &gt; BNN &gt; TOR",IF(AND(C61=D61,D61=E61),"TOR = SM = BNN","Comb. diferentes")))))</f>
        <v>SM &gt; TOR &gt; BNN</v>
      </c>
      <c r="BD61" s="137" t="str">
        <f>IF(OR(AE61="",AQ61="-"),"",IF(AE61&lt;=0.25,"Tipo 1 (≤0,25) uT",IF(AE61&lt;=0.5,"Tipo 2 (0,25-0,50) uT",IF(AE61&lt;=0.75,"Tipo 3 (0,50-0,75) uT","Tipo 4 (&gt;0,75) uT"))))</f>
        <v>Tipo 1 (≤0,25) uT</v>
      </c>
      <c r="BE61" s="137" t="str">
        <f t="shared" si="0"/>
        <v>Tipo 1 (≤0,25) uT</v>
      </c>
      <c r="BF61" s="137" t="str">
        <f>IF(OR(AF61="",AQ61="-"),"",IF(AF61&lt;=0.25,"Tipo 1 (≤0,25) uT",IF(AF61&lt;=0.5,"Tipo 2 (0,25-0,50) uT",IF(AF61&lt;=0.75,"Tipo 3 (0,50-0,75) uT","Tipo 4 (&gt;0,75) uT"))))</f>
        <v>Tipo 1 (≤0,25) uT</v>
      </c>
      <c r="BG61" s="137" t="str">
        <f t="shared" si="1"/>
        <v>Tipo 1 (≤0,25) uT</v>
      </c>
      <c r="BH61" s="137" t="str">
        <f>IF(OR(R61="",R61="-"),"",IF(R61&lt;=0.25,"Tipo 1 (≤0,25) uT",IF(R61&lt;=0.5,"Tipo 2 (0,25-0,50) uT",IF(R61&lt;=0.75,"Tipo 3 (0,50-0,75) uT","Tipo 4 (&gt;0,75) uT"))))</f>
        <v>Tipo 1 (≤0,25) uT</v>
      </c>
    </row>
    <row r="62" spans="1:60" x14ac:dyDescent="0.3">
      <c r="A62" s="74">
        <v>46265</v>
      </c>
      <c r="B62" s="139">
        <v>0.39583333333333331</v>
      </c>
      <c r="C62" s="116">
        <v>342</v>
      </c>
      <c r="D62" s="116">
        <v>1535</v>
      </c>
      <c r="E62" s="116">
        <v>250</v>
      </c>
      <c r="F62" s="116">
        <v>2198</v>
      </c>
      <c r="G62" s="144" t="s">
        <v>100</v>
      </c>
      <c r="H62" s="122">
        <v>10.8</v>
      </c>
      <c r="I62" s="116">
        <v>4.68</v>
      </c>
      <c r="J62" s="10">
        <v>90</v>
      </c>
      <c r="K62" s="116">
        <v>90</v>
      </c>
      <c r="L62" s="116">
        <v>90</v>
      </c>
      <c r="M62" s="122">
        <v>25.7</v>
      </c>
      <c r="N62" s="122">
        <v>6.6</v>
      </c>
      <c r="O62" s="79">
        <v>0.8</v>
      </c>
      <c r="P62" s="116">
        <v>5</v>
      </c>
      <c r="Q62" s="122">
        <v>7.8</v>
      </c>
      <c r="R62" s="10">
        <v>7.0000000000000007E-2</v>
      </c>
      <c r="S62" s="79">
        <v>22.36</v>
      </c>
      <c r="T62" s="79">
        <v>0.88</v>
      </c>
      <c r="U62" s="79">
        <v>0.7</v>
      </c>
      <c r="V62" s="85">
        <f t="shared" si="2"/>
        <v>1659.49</v>
      </c>
      <c r="W62" s="85">
        <f t="shared" si="3"/>
        <v>1372.556302</v>
      </c>
      <c r="X62" s="85">
        <f t="shared" si="4"/>
        <v>0.82709525336097234</v>
      </c>
      <c r="Y62" s="116">
        <v>3</v>
      </c>
      <c r="Z62" s="116">
        <v>4</v>
      </c>
      <c r="AA62" s="122">
        <v>6.5</v>
      </c>
      <c r="AB62" s="116">
        <v>17</v>
      </c>
      <c r="AC62" s="122">
        <v>6.5</v>
      </c>
      <c r="AD62" s="122">
        <v>5.3</v>
      </c>
      <c r="AE62" s="79">
        <v>0.16</v>
      </c>
      <c r="AF62" s="79">
        <v>7.0000000000000007E-2</v>
      </c>
      <c r="AG62" s="85">
        <f>(O62+0.3*H62+2)*(F62/2/AK62)</f>
        <v>1659.49</v>
      </c>
      <c r="AH62" s="85">
        <f t="shared" si="5"/>
        <v>1750.3931224</v>
      </c>
      <c r="AI62" s="85">
        <f t="shared" si="6"/>
        <v>1.0547777464160677</v>
      </c>
      <c r="AJ62" s="116">
        <v>3</v>
      </c>
      <c r="AK62" s="116">
        <v>4</v>
      </c>
      <c r="AL62" s="122">
        <v>6.2</v>
      </c>
      <c r="AM62" s="116">
        <v>23</v>
      </c>
      <c r="AN62" s="122">
        <v>6.4</v>
      </c>
      <c r="AO62" s="122">
        <v>6.2</v>
      </c>
      <c r="AP62" s="79">
        <v>0.17</v>
      </c>
      <c r="AQ62" s="79">
        <v>0.27</v>
      </c>
      <c r="AR62" s="132">
        <f>SUM(C62:E62)</f>
        <v>2127</v>
      </c>
      <c r="AS62" s="134">
        <f>C62/AR62</f>
        <v>0.16078984485190409</v>
      </c>
      <c r="AT62" s="134">
        <f>D62/AR62</f>
        <v>0.72167371885284437</v>
      </c>
      <c r="AU62" s="134">
        <f>E62/AR62</f>
        <v>0.11753643629525153</v>
      </c>
      <c r="AV62" s="151">
        <f>IF(AND(F62&lt;&gt;"",Z62&lt;&gt;""),AB62/(F62/2/Z62),"")</f>
        <v>6.1874431301182892E-2</v>
      </c>
      <c r="AW62" s="151">
        <f>IF(AND(F62&lt;&gt;"",AK62&lt;&gt;""),AM62/(F62/2/AK62),"")</f>
        <v>8.3712465878070977E-2</v>
      </c>
      <c r="AX62" s="41">
        <f>IF(AND(AQ62&lt;&gt;"",1-(AQ62/O62)&gt;0),1-(AQ62/O62),"")</f>
        <v>0.66249999999999998</v>
      </c>
      <c r="AY62" s="41">
        <f>IF(AND(AF62&lt;&gt;"",1-(AF62/O62)&gt;0),1-(AF62/O62),"")</f>
        <v>0.91249999999999998</v>
      </c>
      <c r="AZ62" s="136" t="str">
        <f>IF(Q62="","",IF(Q62&lt;2.5,"Alc. Bruta &lt; 2,5 mg/L",IF(Q62&lt;5,"2,5 ≤ Alc. Bruta &lt; 5,0 mg/L",IF(Q62&lt;7.5,"5,0 ≤ Alc. Bruta &lt; 7,5 mg/L",IF(Q62&lt;10,"7,5 ≤ Alc. Bruta &lt; 10,0 mg/L",IF(Q62&lt;15,"10,0 ≤ Alca. Bruta &lt; 15,0 mg/L","Alc. Bruta &gt; 15 mg/L"))))))</f>
        <v>7,5 ≤ Alc. Bruta &lt; 10,0 mg/L</v>
      </c>
      <c r="BA62" s="136" t="str">
        <f>IF(P62="","",IF(P62&lt;5,"Cor &lt;5 uC",IF(P62&lt;10,"5 ≤ Cor &lt; 10 uC",IF(P62&lt;15,"10 ≤ Cor &lt;15 uC",IF(P62&lt;30,"15 ≤ Cor &lt; 30 uC",IF(P62&lt;50,"30 ≤ Cor &lt; 50 uC","Cor &gt; 50 uC"))))))</f>
        <v>5 ≤ Cor &lt; 10 uC</v>
      </c>
      <c r="BB62" s="137" t="str">
        <f>IF(O62="","",IF(O62&lt;2.5,"Turbidez &lt; 2,5 uT",IF(O62&lt;5,"2,5 ≤ Turb &lt; 5,0 uT",IF(O62&lt;7.5,"5,0 ≤ Turb &lt; 7,5 uT",IF(O62&lt;10,"7,5 ≤ Turb &lt; 10,0 uT",IF(O62&lt;15,"10,0 ≤ Turb &lt; 15,0 uT","Turb &gt; 15 uT"))))))</f>
        <v>Turbidez &lt; 2,5 uT</v>
      </c>
      <c r="BC62" s="138" t="str">
        <f>IF(AND(C62&gt;D62,D62&gt;E62),"TOR &gt; SM &gt; BNN",IF(AND(C62&gt;E62,E62&gt;D62),"TOR &gt; BNN &gt; SM",IF(AND(D62&gt;C62,C62&gt;E62),"SM &gt; TOR &gt; BNN",IF(AND(D62&gt;E62,E62&gt;C62),"SM &gt; BNN &gt; TOR",IF(AND(C62=D62,D62=E62),"TOR = SM = BNN","Comb. diferentes")))))</f>
        <v>SM &gt; TOR &gt; BNN</v>
      </c>
      <c r="BD62" s="137" t="str">
        <f>IF(OR(AE62="",AQ62="-"),"",IF(AE62&lt;=0.25,"Tipo 1 (≤0,25) uT",IF(AE62&lt;=0.5,"Tipo 2 (0,25-0,50) uT",IF(AE62&lt;=0.75,"Tipo 3 (0,50-0,75) uT","Tipo 4 (&gt;0,75) uT"))))</f>
        <v>Tipo 1 (≤0,25) uT</v>
      </c>
      <c r="BE62" s="137" t="str">
        <f t="shared" si="0"/>
        <v>Tipo 1 (≤0,25) uT</v>
      </c>
      <c r="BF62" s="137" t="str">
        <f>IF(OR(AF62="",AQ62="-"),"",IF(AF62&lt;=0.25,"Tipo 1 (≤0,25) uT",IF(AF62&lt;=0.5,"Tipo 2 (0,25-0,50) uT",IF(AF62&lt;=0.75,"Tipo 3 (0,50-0,75) uT","Tipo 4 (&gt;0,75) uT"))))</f>
        <v>Tipo 1 (≤0,25) uT</v>
      </c>
      <c r="BG62" s="137" t="str">
        <f t="shared" si="1"/>
        <v>Tipo 2 (0,25-0,50) uT</v>
      </c>
      <c r="BH62" s="137" t="str">
        <f>IF(OR(R62="",R62="-"),"",IF(R62&lt;=0.25,"Tipo 1 (≤0,25) uT",IF(R62&lt;=0.5,"Tipo 2 (0,25-0,50) uT",IF(R62&lt;=0.75,"Tipo 3 (0,50-0,75) uT","Tipo 4 (&gt;0,75) uT"))))</f>
        <v>Tipo 1 (≤0,25) uT</v>
      </c>
    </row>
    <row r="63" spans="1:60" x14ac:dyDescent="0.3">
      <c r="A63" s="74">
        <v>46265</v>
      </c>
      <c r="B63" s="139">
        <v>0.72916666666666663</v>
      </c>
      <c r="C63" s="116">
        <v>363</v>
      </c>
      <c r="D63" s="116">
        <v>1462</v>
      </c>
      <c r="E63" s="116">
        <v>250</v>
      </c>
      <c r="F63" s="116">
        <v>2105</v>
      </c>
      <c r="G63" s="144" t="s">
        <v>100</v>
      </c>
      <c r="H63" s="122">
        <v>10.8</v>
      </c>
      <c r="I63" s="116">
        <v>-4</v>
      </c>
      <c r="J63" s="10">
        <v>90</v>
      </c>
      <c r="K63" s="116">
        <v>90</v>
      </c>
      <c r="L63" s="116">
        <v>90</v>
      </c>
      <c r="M63" s="122">
        <v>25.8</v>
      </c>
      <c r="N63" s="122">
        <v>6.5</v>
      </c>
      <c r="O63" s="79">
        <v>0.91</v>
      </c>
      <c r="P63" s="116">
        <v>6</v>
      </c>
      <c r="Q63" s="122">
        <v>7.6</v>
      </c>
      <c r="R63" s="10">
        <v>0.08</v>
      </c>
      <c r="S63" s="79">
        <v>22.36</v>
      </c>
      <c r="T63" s="79">
        <v>0.88</v>
      </c>
      <c r="U63" s="79">
        <v>0.7</v>
      </c>
      <c r="V63" s="85">
        <f t="shared" si="2"/>
        <v>1618.21875</v>
      </c>
      <c r="W63" s="85">
        <f t="shared" si="3"/>
        <v>1372.556302</v>
      </c>
      <c r="X63" s="85">
        <f t="shared" si="4"/>
        <v>0.84818959241449898</v>
      </c>
      <c r="Y63" s="116">
        <v>3</v>
      </c>
      <c r="Z63" s="116">
        <v>4</v>
      </c>
      <c r="AA63" s="122">
        <v>6.5</v>
      </c>
      <c r="AB63" s="116">
        <v>17</v>
      </c>
      <c r="AC63" s="122">
        <v>5.9</v>
      </c>
      <c r="AD63" s="122">
        <v>5.3</v>
      </c>
      <c r="AE63" s="79">
        <v>0.13</v>
      </c>
      <c r="AF63" s="79">
        <v>0.12</v>
      </c>
      <c r="AG63" s="85">
        <f>(O63+0.3*H63+2)*(F63/2/AK63)</f>
        <v>1618.21875</v>
      </c>
      <c r="AH63" s="85">
        <f t="shared" si="5"/>
        <v>1750.3931224</v>
      </c>
      <c r="AI63" s="85">
        <f t="shared" si="6"/>
        <v>1.0816789277716625</v>
      </c>
      <c r="AJ63" s="116">
        <v>3</v>
      </c>
      <c r="AK63" s="116">
        <v>4</v>
      </c>
      <c r="AL63" s="122">
        <v>6.2</v>
      </c>
      <c r="AM63" s="116">
        <v>23</v>
      </c>
      <c r="AN63" s="122">
        <v>6</v>
      </c>
      <c r="AO63" s="122">
        <v>6.1</v>
      </c>
      <c r="AP63" s="79">
        <v>0.17</v>
      </c>
      <c r="AQ63" s="79">
        <v>0.15</v>
      </c>
      <c r="AR63" s="132">
        <f>SUM(C63:E63)</f>
        <v>2075</v>
      </c>
      <c r="AS63" s="134">
        <f>C63/AR63</f>
        <v>0.17493975903614459</v>
      </c>
      <c r="AT63" s="134">
        <f>D63/AR63</f>
        <v>0.70457831325301201</v>
      </c>
      <c r="AU63" s="134">
        <f>E63/AR63</f>
        <v>0.12048192771084337</v>
      </c>
      <c r="AV63" s="151">
        <f>IF(AND(F63&lt;&gt;"",Z63&lt;&gt;""),AB63/(F63/2/Z63),"")</f>
        <v>6.4608076009501192E-2</v>
      </c>
      <c r="AW63" s="151">
        <f>IF(AND(F63&lt;&gt;"",AK63&lt;&gt;""),AM63/(F63/2/AK63),"")</f>
        <v>8.7410926365795727E-2</v>
      </c>
      <c r="AX63" s="41">
        <f>IF(AND(AQ63&lt;&gt;"",1-(AQ63/O63)&gt;0),1-(AQ63/O63),"")</f>
        <v>0.8351648351648352</v>
      </c>
      <c r="AY63" s="41">
        <f>IF(AND(AF63&lt;&gt;"",1-(AF63/O63)&gt;0),1-(AF63/O63),"")</f>
        <v>0.86813186813186816</v>
      </c>
      <c r="AZ63" s="136" t="str">
        <f>IF(Q63="","",IF(Q63&lt;2.5,"Alc. Bruta &lt; 2,5 mg/L",IF(Q63&lt;5,"2,5 ≤ Alc. Bruta &lt; 5,0 mg/L",IF(Q63&lt;7.5,"5,0 ≤ Alc. Bruta &lt; 7,5 mg/L",IF(Q63&lt;10,"7,5 ≤ Alc. Bruta &lt; 10,0 mg/L",IF(Q63&lt;15,"10,0 ≤ Alca. Bruta &lt; 15,0 mg/L","Alc. Bruta &gt; 15 mg/L"))))))</f>
        <v>7,5 ≤ Alc. Bruta &lt; 10,0 mg/L</v>
      </c>
      <c r="BA63" s="136" t="str">
        <f>IF(P63="","",IF(P63&lt;5,"Cor &lt;5 uC",IF(P63&lt;10,"5 ≤ Cor &lt; 10 uC",IF(P63&lt;15,"10 ≤ Cor &lt;15 uC",IF(P63&lt;30,"15 ≤ Cor &lt; 30 uC",IF(P63&lt;50,"30 ≤ Cor &lt; 50 uC","Cor &gt; 50 uC"))))))</f>
        <v>5 ≤ Cor &lt; 10 uC</v>
      </c>
      <c r="BB63" s="137" t="str">
        <f>IF(O63="","",IF(O63&lt;2.5,"Turbidez &lt; 2,5 uT",IF(O63&lt;5,"2,5 ≤ Turb &lt; 5,0 uT",IF(O63&lt;7.5,"5,0 ≤ Turb &lt; 7,5 uT",IF(O63&lt;10,"7,5 ≤ Turb &lt; 10,0 uT",IF(O63&lt;15,"10,0 ≤ Turb &lt; 15,0 uT","Turb &gt; 15 uT"))))))</f>
        <v>Turbidez &lt; 2,5 uT</v>
      </c>
      <c r="BC63" s="138" t="str">
        <f>IF(AND(C63&gt;D63,D63&gt;E63),"TOR &gt; SM &gt; BNN",IF(AND(C63&gt;E63,E63&gt;D63),"TOR &gt; BNN &gt; SM",IF(AND(D63&gt;C63,C63&gt;E63),"SM &gt; TOR &gt; BNN",IF(AND(D63&gt;E63,E63&gt;C63),"SM &gt; BNN &gt; TOR",IF(AND(C63=D63,D63=E63),"TOR = SM = BNN","Comb. diferentes")))))</f>
        <v>SM &gt; TOR &gt; BNN</v>
      </c>
      <c r="BD63" s="137" t="str">
        <f>IF(OR(AE63="",AQ63="-"),"",IF(AE63&lt;=0.25,"Tipo 1 (≤0,25) uT",IF(AE63&lt;=0.5,"Tipo 2 (0,25-0,50) uT",IF(AE63&lt;=0.75,"Tipo 3 (0,50-0,75) uT","Tipo 4 (&gt;0,75) uT"))))</f>
        <v>Tipo 1 (≤0,25) uT</v>
      </c>
      <c r="BE63" s="137" t="str">
        <f t="shared" si="0"/>
        <v>Tipo 1 (≤0,25) uT</v>
      </c>
      <c r="BF63" s="137" t="str">
        <f>IF(OR(AF63="",AQ63="-"),"",IF(AF63&lt;=0.25,"Tipo 1 (≤0,25) uT",IF(AF63&lt;=0.5,"Tipo 2 (0,25-0,50) uT",IF(AF63&lt;=0.75,"Tipo 3 (0,50-0,75) uT","Tipo 4 (&gt;0,75) uT"))))</f>
        <v>Tipo 1 (≤0,25) uT</v>
      </c>
      <c r="BG63" s="137" t="str">
        <f t="shared" si="1"/>
        <v>Tipo 1 (≤0,25) uT</v>
      </c>
      <c r="BH63" s="137" t="str">
        <f>IF(OR(R63="",R63="-"),"",IF(R63&lt;=0.25,"Tipo 1 (≤0,25) uT",IF(R63&lt;=0.5,"Tipo 2 (0,25-0,50) uT",IF(R63&lt;=0.75,"Tipo 3 (0,50-0,75) uT","Tipo 4 (&gt;0,75) uT"))))</f>
        <v>Tipo 1 (≤0,25) uT</v>
      </c>
    </row>
    <row r="64" spans="1:60" x14ac:dyDescent="0.3">
      <c r="A64" s="74">
        <v>46265</v>
      </c>
      <c r="B64" s="139">
        <v>0.8125</v>
      </c>
      <c r="C64" s="116">
        <v>364</v>
      </c>
      <c r="D64" s="116">
        <v>1512</v>
      </c>
      <c r="E64" s="116">
        <v>250</v>
      </c>
      <c r="F64" s="116">
        <v>2070</v>
      </c>
      <c r="G64" s="144" t="s">
        <v>100</v>
      </c>
      <c r="H64" s="122">
        <v>10.8</v>
      </c>
      <c r="I64" s="116">
        <v>22.8</v>
      </c>
      <c r="J64" s="10">
        <v>90</v>
      </c>
      <c r="K64" s="116">
        <v>90</v>
      </c>
      <c r="L64" s="116">
        <v>90</v>
      </c>
      <c r="M64" s="122">
        <v>25.8</v>
      </c>
      <c r="N64" s="122">
        <v>6.5</v>
      </c>
      <c r="O64" s="79">
        <v>0.87</v>
      </c>
      <c r="P64" s="116">
        <v>6</v>
      </c>
      <c r="Q64" s="122">
        <v>6.3</v>
      </c>
      <c r="R64" s="10">
        <v>0.06</v>
      </c>
      <c r="S64" s="79">
        <v>22.36</v>
      </c>
      <c r="T64" s="79">
        <v>0.88</v>
      </c>
      <c r="U64" s="79">
        <v>0.7</v>
      </c>
      <c r="V64" s="85">
        <f t="shared" si="2"/>
        <v>1580.9625000000001</v>
      </c>
      <c r="W64" s="85">
        <f t="shared" si="3"/>
        <v>1372.556302</v>
      </c>
      <c r="X64" s="85">
        <f t="shared" si="4"/>
        <v>0.86817764621235471</v>
      </c>
      <c r="Y64" s="116">
        <v>3</v>
      </c>
      <c r="Z64" s="116">
        <v>4</v>
      </c>
      <c r="AA64" s="122">
        <v>6.5</v>
      </c>
      <c r="AB64" s="116">
        <v>17</v>
      </c>
      <c r="AC64" s="122">
        <v>6.2</v>
      </c>
      <c r="AD64" s="122">
        <v>4.5999999999999996</v>
      </c>
      <c r="AE64" s="79">
        <v>0.09</v>
      </c>
      <c r="AF64" s="79">
        <v>0.1</v>
      </c>
      <c r="AG64" s="85">
        <f>(O64+0.3*H64+2)*(F64/2/AK64)</f>
        <v>1580.9625000000001</v>
      </c>
      <c r="AH64" s="85">
        <f t="shared" si="5"/>
        <v>1785.9247275999996</v>
      </c>
      <c r="AI64" s="85">
        <f t="shared" si="6"/>
        <v>1.1296439527186759</v>
      </c>
      <c r="AJ64" s="116">
        <v>3</v>
      </c>
      <c r="AK64" s="116">
        <v>4</v>
      </c>
      <c r="AL64" s="122">
        <v>6.3</v>
      </c>
      <c r="AM64" s="116">
        <v>23</v>
      </c>
      <c r="AN64" s="122">
        <v>6.1</v>
      </c>
      <c r="AO64" s="122">
        <v>4.3</v>
      </c>
      <c r="AP64" s="79">
        <v>0.17</v>
      </c>
      <c r="AQ64" s="79">
        <v>0.15</v>
      </c>
      <c r="AR64" s="132">
        <f>SUM(C64:E64)</f>
        <v>2126</v>
      </c>
      <c r="AS64" s="134">
        <f>C64/AR64</f>
        <v>0.17121354656632173</v>
      </c>
      <c r="AT64" s="134">
        <f>D64/AR64</f>
        <v>0.7111947318908749</v>
      </c>
      <c r="AU64" s="134">
        <f>E64/AR64</f>
        <v>0.11759172154280338</v>
      </c>
      <c r="AV64" s="151">
        <f>IF(AND(F64&lt;&gt;"",Z64&lt;&gt;""),AB64/(F64/2/Z64),"")</f>
        <v>6.5700483091787443E-2</v>
      </c>
      <c r="AW64" s="151">
        <f>IF(AND(F64&lt;&gt;"",AK64&lt;&gt;""),AM64/(F64/2/AK64),"")</f>
        <v>8.8888888888888892E-2</v>
      </c>
      <c r="AX64" s="41">
        <f>IF(AND(AQ64&lt;&gt;"",1-(AQ64/O64)&gt;0),1-(AQ64/O64),"")</f>
        <v>0.82758620689655171</v>
      </c>
      <c r="AY64" s="41">
        <f>IF(AND(AF64&lt;&gt;"",1-(AF64/O64)&gt;0),1-(AF64/O64),"")</f>
        <v>0.88505747126436785</v>
      </c>
      <c r="AZ64" s="136" t="str">
        <f>IF(Q64="","",IF(Q64&lt;2.5,"Alc. Bruta &lt; 2,5 mg/L",IF(Q64&lt;5,"2,5 ≤ Alc. Bruta &lt; 5,0 mg/L",IF(Q64&lt;7.5,"5,0 ≤ Alc. Bruta &lt; 7,5 mg/L",IF(Q64&lt;10,"7,5 ≤ Alc. Bruta &lt; 10,0 mg/L",IF(Q64&lt;15,"10,0 ≤ Alca. Bruta &lt; 15,0 mg/L","Alc. Bruta &gt; 15 mg/L"))))))</f>
        <v>5,0 ≤ Alc. Bruta &lt; 7,5 mg/L</v>
      </c>
      <c r="BA64" s="136" t="str">
        <f>IF(P64="","",IF(P64&lt;5,"Cor &lt;5 uC",IF(P64&lt;10,"5 ≤ Cor &lt; 10 uC",IF(P64&lt;15,"10 ≤ Cor &lt;15 uC",IF(P64&lt;30,"15 ≤ Cor &lt; 30 uC",IF(P64&lt;50,"30 ≤ Cor &lt; 50 uC","Cor &gt; 50 uC"))))))</f>
        <v>5 ≤ Cor &lt; 10 uC</v>
      </c>
      <c r="BB64" s="137" t="str">
        <f>IF(O64="","",IF(O64&lt;2.5,"Turbidez &lt; 2,5 uT",IF(O64&lt;5,"2,5 ≤ Turb &lt; 5,0 uT",IF(O64&lt;7.5,"5,0 ≤ Turb &lt; 7,5 uT",IF(O64&lt;10,"7,5 ≤ Turb &lt; 10,0 uT",IF(O64&lt;15,"10,0 ≤ Turb &lt; 15,0 uT","Turb &gt; 15 uT"))))))</f>
        <v>Turbidez &lt; 2,5 uT</v>
      </c>
      <c r="BC64" s="138" t="str">
        <f>IF(AND(C64&gt;D64,D64&gt;E64),"TOR &gt; SM &gt; BNN",IF(AND(C64&gt;E64,E64&gt;D64),"TOR &gt; BNN &gt; SM",IF(AND(D64&gt;C64,C64&gt;E64),"SM &gt; TOR &gt; BNN",IF(AND(D64&gt;E64,E64&gt;C64),"SM &gt; BNN &gt; TOR",IF(AND(C64=D64,D64=E64),"TOR = SM = BNN","Comb. diferentes")))))</f>
        <v>SM &gt; TOR &gt; BNN</v>
      </c>
      <c r="BD64" s="137" t="str">
        <f>IF(OR(AE64="",AQ64="-"),"",IF(AE64&lt;=0.25,"Tipo 1 (≤0,25) uT",IF(AE64&lt;=0.5,"Tipo 2 (0,25-0,50) uT",IF(AE64&lt;=0.75,"Tipo 3 (0,50-0,75) uT","Tipo 4 (&gt;0,75) uT"))))</f>
        <v>Tipo 1 (≤0,25) uT</v>
      </c>
      <c r="BE64" s="137" t="str">
        <f t="shared" si="0"/>
        <v>Tipo 1 (≤0,25) uT</v>
      </c>
      <c r="BF64" s="137" t="str">
        <f>IF(OR(AF64="",AQ64="-"),"",IF(AF64&lt;=0.25,"Tipo 1 (≤0,25) uT",IF(AF64&lt;=0.5,"Tipo 2 (0,25-0,50) uT",IF(AF64&lt;=0.75,"Tipo 3 (0,50-0,75) uT","Tipo 4 (&gt;0,75) uT"))))</f>
        <v>Tipo 1 (≤0,25) uT</v>
      </c>
      <c r="BG64" s="137" t="str">
        <f t="shared" si="1"/>
        <v>Tipo 1 (≤0,25) uT</v>
      </c>
      <c r="BH64" s="137" t="str">
        <f>IF(OR(R64="",R64="-"),"",IF(R64&lt;=0.25,"Tipo 1 (≤0,25) uT",IF(R64&lt;=0.5,"Tipo 2 (0,25-0,50) uT",IF(R64&lt;=0.75,"Tipo 3 (0,50-0,75) uT","Tipo 4 (&gt;0,75) uT"))))</f>
        <v>Tipo 1 (≤0,25) uT</v>
      </c>
    </row>
    <row r="65" spans="1:60" x14ac:dyDescent="0.3">
      <c r="A65" s="74">
        <v>46265</v>
      </c>
      <c r="B65" s="139">
        <v>0.89583333333333337</v>
      </c>
      <c r="C65" s="116">
        <v>361</v>
      </c>
      <c r="D65" s="116">
        <v>1473</v>
      </c>
      <c r="E65" s="116">
        <v>250</v>
      </c>
      <c r="F65" s="116">
        <v>2084</v>
      </c>
      <c r="G65" s="144" t="s">
        <v>100</v>
      </c>
      <c r="H65" s="122">
        <v>10.8</v>
      </c>
      <c r="I65" s="116">
        <v>22.7</v>
      </c>
      <c r="J65" s="10">
        <v>90</v>
      </c>
      <c r="K65" s="116">
        <v>90</v>
      </c>
      <c r="L65" s="116">
        <v>90</v>
      </c>
      <c r="M65" s="122">
        <v>25.5</v>
      </c>
      <c r="N65" s="122">
        <v>6.5</v>
      </c>
      <c r="O65" s="79">
        <v>0.83</v>
      </c>
      <c r="P65" s="116">
        <v>6</v>
      </c>
      <c r="Q65" s="122">
        <v>7.7</v>
      </c>
      <c r="R65" s="10">
        <v>0.06</v>
      </c>
      <c r="S65" s="79">
        <v>22.36</v>
      </c>
      <c r="T65" s="79">
        <v>0.88</v>
      </c>
      <c r="U65" s="79">
        <v>0.7</v>
      </c>
      <c r="V65" s="85">
        <f t="shared" si="2"/>
        <v>1581.2350000000001</v>
      </c>
      <c r="W65" s="85">
        <f t="shared" si="3"/>
        <v>1372.556302</v>
      </c>
      <c r="X65" s="85">
        <f t="shared" si="4"/>
        <v>0.86802802998921724</v>
      </c>
      <c r="Y65" s="116">
        <v>3</v>
      </c>
      <c r="Z65" s="116">
        <v>4</v>
      </c>
      <c r="AA65" s="122">
        <v>6.5</v>
      </c>
      <c r="AB65" s="116">
        <v>17</v>
      </c>
      <c r="AC65" s="122">
        <v>6.1</v>
      </c>
      <c r="AD65" s="122">
        <v>5.2</v>
      </c>
      <c r="AE65" s="79">
        <v>0.14000000000000001</v>
      </c>
      <c r="AF65" s="79">
        <v>0.11</v>
      </c>
      <c r="AG65" s="85">
        <f>(O65+0.3*H65+2)*(F65/2/AK65)</f>
        <v>2108.3133333333335</v>
      </c>
      <c r="AH65" s="85">
        <f t="shared" si="5"/>
        <v>1785.9247275999996</v>
      </c>
      <c r="AI65" s="85">
        <f t="shared" si="6"/>
        <v>0.84708695778932264</v>
      </c>
      <c r="AJ65" s="116">
        <v>3</v>
      </c>
      <c r="AK65" s="116">
        <v>3</v>
      </c>
      <c r="AL65" s="122">
        <v>6.3</v>
      </c>
      <c r="AM65" s="116">
        <v>23</v>
      </c>
      <c r="AN65" s="122">
        <v>6.1</v>
      </c>
      <c r="AO65" s="122">
        <v>4.8</v>
      </c>
      <c r="AP65" s="79">
        <v>0.14000000000000001</v>
      </c>
      <c r="AQ65" s="79">
        <v>0.16</v>
      </c>
      <c r="AR65" s="132">
        <f>SUM(C65:E65)</f>
        <v>2084</v>
      </c>
      <c r="AS65" s="134">
        <f>C65/AR65</f>
        <v>0.17322456813819578</v>
      </c>
      <c r="AT65" s="134">
        <f>D65/AR65</f>
        <v>0.70681381957773515</v>
      </c>
      <c r="AU65" s="134">
        <f>E65/AR65</f>
        <v>0.1199616122840691</v>
      </c>
      <c r="AV65" s="151">
        <f>IF(AND(F65&lt;&gt;"",Z65&lt;&gt;""),AB65/(F65/2/Z65),"")</f>
        <v>6.5259117082533583E-2</v>
      </c>
      <c r="AW65" s="151">
        <f>IF(AND(F65&lt;&gt;"",AK65&lt;&gt;""),AM65/(F65/2/AK65),"")</f>
        <v>6.6218809980806148E-2</v>
      </c>
      <c r="AX65" s="41">
        <f>IF(AND(AQ65&lt;&gt;"",1-(AQ65/O65)&gt;0),1-(AQ65/O65),"")</f>
        <v>0.80722891566265065</v>
      </c>
      <c r="AY65" s="41">
        <f>IF(AND(AF65&lt;&gt;"",1-(AF65/O65)&gt;0),1-(AF65/O65),"")</f>
        <v>0.86746987951807231</v>
      </c>
      <c r="AZ65" s="136" t="str">
        <f>IF(Q65="","",IF(Q65&lt;2.5,"Alc. Bruta &lt; 2,5 mg/L",IF(Q65&lt;5,"2,5 ≤ Alc. Bruta &lt; 5,0 mg/L",IF(Q65&lt;7.5,"5,0 ≤ Alc. Bruta &lt; 7,5 mg/L",IF(Q65&lt;10,"7,5 ≤ Alc. Bruta &lt; 10,0 mg/L",IF(Q65&lt;15,"10,0 ≤ Alca. Bruta &lt; 15,0 mg/L","Alc. Bruta &gt; 15 mg/L"))))))</f>
        <v>7,5 ≤ Alc. Bruta &lt; 10,0 mg/L</v>
      </c>
      <c r="BA65" s="136" t="str">
        <f>IF(P65="","",IF(P65&lt;5,"Cor &lt;5 uC",IF(P65&lt;10,"5 ≤ Cor &lt; 10 uC",IF(P65&lt;15,"10 ≤ Cor &lt;15 uC",IF(P65&lt;30,"15 ≤ Cor &lt; 30 uC",IF(P65&lt;50,"30 ≤ Cor &lt; 50 uC","Cor &gt; 50 uC"))))))</f>
        <v>5 ≤ Cor &lt; 10 uC</v>
      </c>
      <c r="BB65" s="137" t="str">
        <f>IF(O65="","",IF(O65&lt;2.5,"Turbidez &lt; 2,5 uT",IF(O65&lt;5,"2,5 ≤ Turb &lt; 5,0 uT",IF(O65&lt;7.5,"5,0 ≤ Turb &lt; 7,5 uT",IF(O65&lt;10,"7,5 ≤ Turb &lt; 10,0 uT",IF(O65&lt;15,"10,0 ≤ Turb &lt; 15,0 uT","Turb &gt; 15 uT"))))))</f>
        <v>Turbidez &lt; 2,5 uT</v>
      </c>
      <c r="BC65" s="138" t="str">
        <f>IF(AND(C65&gt;D65,D65&gt;E65),"TOR &gt; SM &gt; BNN",IF(AND(C65&gt;E65,E65&gt;D65),"TOR &gt; BNN &gt; SM",IF(AND(D65&gt;C65,C65&gt;E65),"SM &gt; TOR &gt; BNN",IF(AND(D65&gt;E65,E65&gt;C65),"SM &gt; BNN &gt; TOR",IF(AND(C65=D65,D65=E65),"TOR = SM = BNN","Comb. diferentes")))))</f>
        <v>SM &gt; TOR &gt; BNN</v>
      </c>
      <c r="BD65" s="137" t="str">
        <f>IF(OR(AE65="",AQ65="-"),"",IF(AE65&lt;=0.25,"Tipo 1 (≤0,25) uT",IF(AE65&lt;=0.5,"Tipo 2 (0,25-0,50) uT",IF(AE65&lt;=0.75,"Tipo 3 (0,50-0,75) uT","Tipo 4 (&gt;0,75) uT"))))</f>
        <v>Tipo 1 (≤0,25) uT</v>
      </c>
      <c r="BE65" s="137" t="str">
        <f t="shared" si="0"/>
        <v>Tipo 1 (≤0,25) uT</v>
      </c>
      <c r="BF65" s="137" t="str">
        <f>IF(OR(AF65="",AQ65="-"),"",IF(AF65&lt;=0.25,"Tipo 1 (≤0,25) uT",IF(AF65&lt;=0.5,"Tipo 2 (0,25-0,50) uT",IF(AF65&lt;=0.75,"Tipo 3 (0,50-0,75) uT","Tipo 4 (&gt;0,75) uT"))))</f>
        <v>Tipo 1 (≤0,25) uT</v>
      </c>
      <c r="BG65" s="137" t="str">
        <f t="shared" si="1"/>
        <v>Tipo 1 (≤0,25) uT</v>
      </c>
      <c r="BH65" s="137" t="str">
        <f>IF(OR(R65="",R65="-"),"",IF(R65&lt;=0.25,"Tipo 1 (≤0,25) uT",IF(R65&lt;=0.5,"Tipo 2 (0,25-0,50) uT",IF(R65&lt;=0.75,"Tipo 3 (0,50-0,75) uT","Tipo 4 (&gt;0,75) uT"))))</f>
        <v>Tipo 1 (≤0,25) uT</v>
      </c>
    </row>
    <row r="66" spans="1:60" x14ac:dyDescent="0.3">
      <c r="A66" s="74">
        <v>46266</v>
      </c>
      <c r="B66" s="139">
        <v>6.25E-2</v>
      </c>
      <c r="C66" s="116">
        <v>353</v>
      </c>
      <c r="D66" s="116">
        <v>1426</v>
      </c>
      <c r="E66" s="116">
        <v>250</v>
      </c>
      <c r="F66" s="116">
        <v>2062</v>
      </c>
      <c r="G66" s="144" t="s">
        <v>100</v>
      </c>
      <c r="H66" s="122">
        <v>10.8</v>
      </c>
      <c r="I66" s="116">
        <v>22.6</v>
      </c>
      <c r="J66" s="10">
        <v>90</v>
      </c>
      <c r="K66" s="116">
        <v>90</v>
      </c>
      <c r="L66" s="116">
        <v>90</v>
      </c>
      <c r="M66" s="122">
        <v>24.8</v>
      </c>
      <c r="N66" s="122">
        <v>6.5</v>
      </c>
      <c r="O66" s="79">
        <v>0.92</v>
      </c>
      <c r="P66" s="116">
        <v>6</v>
      </c>
      <c r="Q66" s="122">
        <v>6.3</v>
      </c>
      <c r="R66" s="10">
        <v>0.06</v>
      </c>
      <c r="S66" s="79">
        <v>22.36</v>
      </c>
      <c r="T66" s="79">
        <v>0.88</v>
      </c>
      <c r="U66" s="79">
        <v>0.7</v>
      </c>
      <c r="V66" s="85">
        <f t="shared" si="2"/>
        <v>1587.74</v>
      </c>
      <c r="W66" s="85">
        <f t="shared" si="3"/>
        <v>1372.556302</v>
      </c>
      <c r="X66" s="85">
        <f t="shared" si="4"/>
        <v>0.86447170317558286</v>
      </c>
      <c r="Y66" s="116">
        <v>3</v>
      </c>
      <c r="Z66" s="116">
        <v>4</v>
      </c>
      <c r="AA66" s="122">
        <v>6.5</v>
      </c>
      <c r="AB66" s="116">
        <v>17</v>
      </c>
      <c r="AC66" s="122">
        <v>6.1</v>
      </c>
      <c r="AD66" s="122">
        <v>3.8</v>
      </c>
      <c r="AE66" s="79">
        <v>0.11</v>
      </c>
      <c r="AF66" s="79">
        <v>0.12</v>
      </c>
      <c r="AG66" s="85">
        <f>(O66+0.3*H66+2)*(F66/2/AK66)</f>
        <v>1587.74</v>
      </c>
      <c r="AH66" s="85">
        <f t="shared" si="5"/>
        <v>1785.9247275999996</v>
      </c>
      <c r="AI66" s="85">
        <f t="shared" si="6"/>
        <v>1.1248219025785076</v>
      </c>
      <c r="AJ66" s="116">
        <v>3</v>
      </c>
      <c r="AK66" s="116">
        <v>4</v>
      </c>
      <c r="AL66" s="122">
        <v>6.3</v>
      </c>
      <c r="AM66" s="116">
        <v>23</v>
      </c>
      <c r="AN66" s="122">
        <v>6.1</v>
      </c>
      <c r="AO66" s="122">
        <v>5.7</v>
      </c>
      <c r="AP66" s="79">
        <v>0.1</v>
      </c>
      <c r="AQ66" s="79">
        <v>0.17</v>
      </c>
      <c r="AR66" s="132">
        <f>SUM(C66:E66)</f>
        <v>2029</v>
      </c>
      <c r="AS66" s="134">
        <f>C66/AR66</f>
        <v>0.17397732873336619</v>
      </c>
      <c r="AT66" s="134">
        <f>D66/AR66</f>
        <v>0.70280926564810253</v>
      </c>
      <c r="AU66" s="134">
        <f>E66/AR66</f>
        <v>0.12321340561853129</v>
      </c>
      <c r="AV66" s="151">
        <f>IF(AND(F66&lt;&gt;"",Z66&lt;&gt;""),AB66/(F66/2/Z66),"")</f>
        <v>6.5955383123181374E-2</v>
      </c>
      <c r="AW66" s="151">
        <f>IF(AND(F66&lt;&gt;"",AK66&lt;&gt;""),AM66/(F66/2/AK66),"")</f>
        <v>8.9233753637245394E-2</v>
      </c>
      <c r="AX66" s="41">
        <f>IF(AND(AQ66&lt;&gt;"",1-(AQ66/O66)&gt;0),1-(AQ66/O66),"")</f>
        <v>0.81521739130434778</v>
      </c>
      <c r="AY66" s="41">
        <f>IF(AND(AF66&lt;&gt;"",1-(AF66/O66)&gt;0),1-(AF66/O66),"")</f>
        <v>0.86956521739130432</v>
      </c>
      <c r="AZ66" s="136" t="str">
        <f>IF(Q66="","",IF(Q66&lt;2.5,"Alc. Bruta &lt; 2,5 mg/L",IF(Q66&lt;5,"2,5 ≤ Alc. Bruta &lt; 5,0 mg/L",IF(Q66&lt;7.5,"5,0 ≤ Alc. Bruta &lt; 7,5 mg/L",IF(Q66&lt;10,"7,5 ≤ Alc. Bruta &lt; 10,0 mg/L",IF(Q66&lt;15,"10,0 ≤ Alca. Bruta &lt; 15,0 mg/L","Alc. Bruta &gt; 15 mg/L"))))))</f>
        <v>5,0 ≤ Alc. Bruta &lt; 7,5 mg/L</v>
      </c>
      <c r="BA66" s="136" t="str">
        <f>IF(P66="","",IF(P66&lt;5,"Cor &lt;5 uC",IF(P66&lt;10,"5 ≤ Cor &lt; 10 uC",IF(P66&lt;15,"10 ≤ Cor &lt;15 uC",IF(P66&lt;30,"15 ≤ Cor &lt; 30 uC",IF(P66&lt;50,"30 ≤ Cor &lt; 50 uC","Cor &gt; 50 uC"))))))</f>
        <v>5 ≤ Cor &lt; 10 uC</v>
      </c>
      <c r="BB66" s="137" t="str">
        <f>IF(O66="","",IF(O66&lt;2.5,"Turbidez &lt; 2,5 uT",IF(O66&lt;5,"2,5 ≤ Turb &lt; 5,0 uT",IF(O66&lt;7.5,"5,0 ≤ Turb &lt; 7,5 uT",IF(O66&lt;10,"7,5 ≤ Turb &lt; 10,0 uT",IF(O66&lt;15,"10,0 ≤ Turb &lt; 15,0 uT","Turb &gt; 15 uT"))))))</f>
        <v>Turbidez &lt; 2,5 uT</v>
      </c>
      <c r="BC66" s="138" t="str">
        <f>IF(AND(C66&gt;D66,D66&gt;E66),"TOR &gt; SM &gt; BNN",IF(AND(C66&gt;E66,E66&gt;D66),"TOR &gt; BNN &gt; SM",IF(AND(D66&gt;C66,C66&gt;E66),"SM &gt; TOR &gt; BNN",IF(AND(D66&gt;E66,E66&gt;C66),"SM &gt; BNN &gt; TOR",IF(AND(C66=D66,D66=E66),"TOR = SM = BNN","Comb. diferentes")))))</f>
        <v>SM &gt; TOR &gt; BNN</v>
      </c>
      <c r="BD66" s="137" t="str">
        <f>IF(OR(AE66="",AQ66="-"),"",IF(AE66&lt;=0.25,"Tipo 1 (≤0,25) uT",IF(AE66&lt;=0.5,"Tipo 2 (0,25-0,50) uT",IF(AE66&lt;=0.75,"Tipo 3 (0,50-0,75) uT","Tipo 4 (&gt;0,75) uT"))))</f>
        <v>Tipo 1 (≤0,25) uT</v>
      </c>
      <c r="BE66" s="137" t="str">
        <f t="shared" ref="BE66:BE129" si="7">IF(OR(AP66="",AZ66="-"),"",IF(AP66&lt;=0.25,"Tipo 1 (≤0,25) uT",IF(AP66&lt;=0.5,"Tipo 2 (0,25-0,50) uT",IF(AP66&lt;=0.75,"Tipo 3 (0,50-0,75) uT","Tipo 4 (&gt;0,75) uT"))))</f>
        <v>Tipo 1 (≤0,25) uT</v>
      </c>
      <c r="BF66" s="137" t="str">
        <f>IF(OR(AF66="",AQ66="-"),"",IF(AF66&lt;=0.25,"Tipo 1 (≤0,25) uT",IF(AF66&lt;=0.5,"Tipo 2 (0,25-0,50) uT",IF(AF66&lt;=0.75,"Tipo 3 (0,50-0,75) uT","Tipo 4 (&gt;0,75) uT"))))</f>
        <v>Tipo 1 (≤0,25) uT</v>
      </c>
      <c r="BG66" s="137" t="str">
        <f t="shared" ref="BG66:BG129" si="8">IF(OR(AQ66="",AQ66="-"),"",IF(AQ66&lt;=0.25,"Tipo 1 (≤0,25) uT",IF(AQ66&lt;=0.5,"Tipo 2 (0,25-0,50) uT",IF(AQ66&lt;=0.75,"Tipo 3 (0,50-0,75) uT","Tipo 4 (&gt;0,75) uT"))))</f>
        <v>Tipo 1 (≤0,25) uT</v>
      </c>
      <c r="BH66" s="137" t="str">
        <f>IF(OR(R66="",R66="-"),"",IF(R66&lt;=0.25,"Tipo 1 (≤0,25) uT",IF(R66&lt;=0.5,"Tipo 2 (0,25-0,50) uT",IF(R66&lt;=0.75,"Tipo 3 (0,50-0,75) uT","Tipo 4 (&gt;0,75) uT"))))</f>
        <v>Tipo 1 (≤0,25) uT</v>
      </c>
    </row>
    <row r="67" spans="1:60" x14ac:dyDescent="0.3">
      <c r="A67" s="74">
        <v>46266</v>
      </c>
      <c r="B67" s="139">
        <v>0.14583333333333334</v>
      </c>
      <c r="C67" s="116">
        <v>336</v>
      </c>
      <c r="D67" s="116">
        <v>1474</v>
      </c>
      <c r="E67" s="116">
        <v>250</v>
      </c>
      <c r="F67" s="116">
        <v>2145</v>
      </c>
      <c r="G67" s="144" t="s">
        <v>100</v>
      </c>
      <c r="H67" s="122">
        <v>10.8</v>
      </c>
      <c r="I67" s="116">
        <v>11.87</v>
      </c>
      <c r="J67" s="10">
        <v>90</v>
      </c>
      <c r="K67" s="116">
        <v>90</v>
      </c>
      <c r="L67" s="116">
        <v>90</v>
      </c>
      <c r="M67" s="122">
        <v>24.6</v>
      </c>
      <c r="N67" s="122">
        <v>6.4</v>
      </c>
      <c r="O67" s="79">
        <v>0.89</v>
      </c>
      <c r="P67" s="116">
        <v>6</v>
      </c>
      <c r="Q67" s="122">
        <v>6.3</v>
      </c>
      <c r="R67" s="10">
        <v>0.06</v>
      </c>
      <c r="S67" s="79">
        <v>22.36</v>
      </c>
      <c r="T67" s="79">
        <v>0.88</v>
      </c>
      <c r="U67" s="79">
        <v>0.7</v>
      </c>
      <c r="V67" s="85">
        <f t="shared" ref="V67:V130" si="9">(O67+0.3*H67+2)*(F67/2/Z67)</f>
        <v>1643.60625</v>
      </c>
      <c r="W67" s="85">
        <f t="shared" ref="W67:W130" si="10">S67*(U67*AA67*0.987-T67)*AB67</f>
        <v>1372.556302</v>
      </c>
      <c r="X67" s="85">
        <f t="shared" ref="X67:X130" si="11">W67/V67</f>
        <v>0.83508827129368723</v>
      </c>
      <c r="Y67" s="116">
        <v>3</v>
      </c>
      <c r="Z67" s="116">
        <v>4</v>
      </c>
      <c r="AA67" s="122">
        <v>6.5</v>
      </c>
      <c r="AB67" s="116">
        <v>17</v>
      </c>
      <c r="AC67" s="122">
        <v>6.1</v>
      </c>
      <c r="AD67" s="122">
        <v>4.5999999999999996</v>
      </c>
      <c r="AE67" s="79">
        <v>0.1</v>
      </c>
      <c r="AF67" s="79">
        <v>0.13</v>
      </c>
      <c r="AG67" s="85">
        <f>(O67+0.3*H67+2)*(F67/2/AK67)</f>
        <v>2191.4749999999999</v>
      </c>
      <c r="AH67" s="85">
        <f t="shared" ref="AH67:AH130" si="12">S67*(U67*AL67*0.987-T67)*AM67</f>
        <v>1785.9247275999996</v>
      </c>
      <c r="AI67" s="85">
        <f t="shared" ref="AI67:AI130" si="13">AH67/AG67</f>
        <v>0.81494186682485525</v>
      </c>
      <c r="AJ67" s="116">
        <v>4</v>
      </c>
      <c r="AK67" s="116">
        <v>3</v>
      </c>
      <c r="AL67" s="122">
        <v>6.3</v>
      </c>
      <c r="AM67" s="116">
        <v>23</v>
      </c>
      <c r="AN67" s="122">
        <v>6.1</v>
      </c>
      <c r="AO67" s="122">
        <v>4.8</v>
      </c>
      <c r="AP67" s="79">
        <v>0.12</v>
      </c>
      <c r="AQ67" s="79">
        <v>0.15</v>
      </c>
      <c r="AR67" s="132">
        <f>SUM(C67:E67)</f>
        <v>2060</v>
      </c>
      <c r="AS67" s="134">
        <f>C67/AR67</f>
        <v>0.16310679611650486</v>
      </c>
      <c r="AT67" s="134">
        <f>D67/AR67</f>
        <v>0.71553398058252426</v>
      </c>
      <c r="AU67" s="134">
        <f>E67/AR67</f>
        <v>0.12135922330097088</v>
      </c>
      <c r="AV67" s="151">
        <f>IF(AND(F67&lt;&gt;"",Z67&lt;&gt;""),AB67/(F67/2/Z67),"")</f>
        <v>6.340326340326341E-2</v>
      </c>
      <c r="AW67" s="151">
        <f>IF(AND(F67&lt;&gt;"",AK67&lt;&gt;""),AM67/(F67/2/AK67),"")</f>
        <v>6.433566433566433E-2</v>
      </c>
      <c r="AX67" s="41">
        <f>IF(AND(AQ67&lt;&gt;"",1-(AQ67/O67)&gt;0),1-(AQ67/O67),"")</f>
        <v>0.8314606741573034</v>
      </c>
      <c r="AY67" s="41">
        <f>IF(AND(AF67&lt;&gt;"",1-(AF67/O67)&gt;0),1-(AF67/O67),"")</f>
        <v>0.8539325842696629</v>
      </c>
      <c r="AZ67" s="136" t="str">
        <f>IF(Q67="","",IF(Q67&lt;2.5,"Alc. Bruta &lt; 2,5 mg/L",IF(Q67&lt;5,"2,5 ≤ Alc. Bruta &lt; 5,0 mg/L",IF(Q67&lt;7.5,"5,0 ≤ Alc. Bruta &lt; 7,5 mg/L",IF(Q67&lt;10,"7,5 ≤ Alc. Bruta &lt; 10,0 mg/L",IF(Q67&lt;15,"10,0 ≤ Alca. Bruta &lt; 15,0 mg/L","Alc. Bruta &gt; 15 mg/L"))))))</f>
        <v>5,0 ≤ Alc. Bruta &lt; 7,5 mg/L</v>
      </c>
      <c r="BA67" s="136" t="str">
        <f>IF(P67="","",IF(P67&lt;5,"Cor &lt;5 uC",IF(P67&lt;10,"5 ≤ Cor &lt; 10 uC",IF(P67&lt;15,"10 ≤ Cor &lt;15 uC",IF(P67&lt;30,"15 ≤ Cor &lt; 30 uC",IF(P67&lt;50,"30 ≤ Cor &lt; 50 uC","Cor &gt; 50 uC"))))))</f>
        <v>5 ≤ Cor &lt; 10 uC</v>
      </c>
      <c r="BB67" s="137" t="str">
        <f>IF(O67="","",IF(O67&lt;2.5,"Turbidez &lt; 2,5 uT",IF(O67&lt;5,"2,5 ≤ Turb &lt; 5,0 uT",IF(O67&lt;7.5,"5,0 ≤ Turb &lt; 7,5 uT",IF(O67&lt;10,"7,5 ≤ Turb &lt; 10,0 uT",IF(O67&lt;15,"10,0 ≤ Turb &lt; 15,0 uT","Turb &gt; 15 uT"))))))</f>
        <v>Turbidez &lt; 2,5 uT</v>
      </c>
      <c r="BC67" s="138" t="str">
        <f>IF(AND(C67&gt;D67,D67&gt;E67),"TOR &gt; SM &gt; BNN",IF(AND(C67&gt;E67,E67&gt;D67),"TOR &gt; BNN &gt; SM",IF(AND(D67&gt;C67,C67&gt;E67),"SM &gt; TOR &gt; BNN",IF(AND(D67&gt;E67,E67&gt;C67),"SM &gt; BNN &gt; TOR",IF(AND(C67=D67,D67=E67),"TOR = SM = BNN","Comb. diferentes")))))</f>
        <v>SM &gt; TOR &gt; BNN</v>
      </c>
      <c r="BD67" s="137" t="str">
        <f>IF(OR(AE67="",AQ67="-"),"",IF(AE67&lt;=0.25,"Tipo 1 (≤0,25) uT",IF(AE67&lt;=0.5,"Tipo 2 (0,25-0,50) uT",IF(AE67&lt;=0.75,"Tipo 3 (0,50-0,75) uT","Tipo 4 (&gt;0,75) uT"))))</f>
        <v>Tipo 1 (≤0,25) uT</v>
      </c>
      <c r="BE67" s="137" t="str">
        <f t="shared" si="7"/>
        <v>Tipo 1 (≤0,25) uT</v>
      </c>
      <c r="BF67" s="137" t="str">
        <f>IF(OR(AF67="",AQ67="-"),"",IF(AF67&lt;=0.25,"Tipo 1 (≤0,25) uT",IF(AF67&lt;=0.5,"Tipo 2 (0,25-0,50) uT",IF(AF67&lt;=0.75,"Tipo 3 (0,50-0,75) uT","Tipo 4 (&gt;0,75) uT"))))</f>
        <v>Tipo 1 (≤0,25) uT</v>
      </c>
      <c r="BG67" s="137" t="str">
        <f t="shared" si="8"/>
        <v>Tipo 1 (≤0,25) uT</v>
      </c>
      <c r="BH67" s="137" t="str">
        <f>IF(OR(R67="",R67="-"),"",IF(R67&lt;=0.25,"Tipo 1 (≤0,25) uT",IF(R67&lt;=0.5,"Tipo 2 (0,25-0,50) uT",IF(R67&lt;=0.75,"Tipo 3 (0,50-0,75) uT","Tipo 4 (&gt;0,75) uT"))))</f>
        <v>Tipo 1 (≤0,25) uT</v>
      </c>
    </row>
    <row r="68" spans="1:60" ht="15" thickBot="1" x14ac:dyDescent="0.35">
      <c r="A68" s="75">
        <v>46266</v>
      </c>
      <c r="B68" s="140">
        <v>0.22916666666666666</v>
      </c>
      <c r="C68" s="117">
        <v>342</v>
      </c>
      <c r="D68" s="117">
        <v>1518</v>
      </c>
      <c r="E68" s="117">
        <v>250</v>
      </c>
      <c r="F68" s="117">
        <v>2150</v>
      </c>
      <c r="G68" s="145" t="s">
        <v>100</v>
      </c>
      <c r="H68" s="123">
        <v>10.8</v>
      </c>
      <c r="I68" s="117">
        <v>11.24</v>
      </c>
      <c r="J68" s="11">
        <v>90</v>
      </c>
      <c r="K68" s="117">
        <v>90</v>
      </c>
      <c r="L68" s="117">
        <v>90</v>
      </c>
      <c r="M68" s="123">
        <v>24.5</v>
      </c>
      <c r="N68" s="123">
        <v>6.5</v>
      </c>
      <c r="O68" s="80">
        <v>0.89</v>
      </c>
      <c r="P68" s="117">
        <v>6</v>
      </c>
      <c r="Q68" s="123">
        <v>6.6</v>
      </c>
      <c r="R68" s="11">
        <v>0.06</v>
      </c>
      <c r="S68" s="79">
        <v>22.36</v>
      </c>
      <c r="T68" s="79">
        <v>0.88</v>
      </c>
      <c r="U68" s="79">
        <v>0.7</v>
      </c>
      <c r="V68" s="85">
        <f t="shared" si="9"/>
        <v>1647.4375</v>
      </c>
      <c r="W68" s="85">
        <f t="shared" si="10"/>
        <v>1372.556302</v>
      </c>
      <c r="X68" s="85">
        <f t="shared" si="11"/>
        <v>0.83314620554649266</v>
      </c>
      <c r="Y68" s="117">
        <v>3</v>
      </c>
      <c r="Z68" s="117">
        <v>4</v>
      </c>
      <c r="AA68" s="123">
        <v>6.5</v>
      </c>
      <c r="AB68" s="117">
        <v>17</v>
      </c>
      <c r="AC68" s="123">
        <v>6.1</v>
      </c>
      <c r="AD68" s="123">
        <v>5.2</v>
      </c>
      <c r="AE68" s="80">
        <v>0.09</v>
      </c>
      <c r="AF68" s="80">
        <v>0.13</v>
      </c>
      <c r="AG68" s="85">
        <f>(O68+0.3*H68+2)*(F68/2/AK68)</f>
        <v>1647.4375</v>
      </c>
      <c r="AH68" s="85">
        <f t="shared" si="12"/>
        <v>1785.9247275999996</v>
      </c>
      <c r="AI68" s="85">
        <f t="shared" si="13"/>
        <v>1.0840622042414354</v>
      </c>
      <c r="AJ68" s="117">
        <v>4</v>
      </c>
      <c r="AK68" s="117">
        <v>4</v>
      </c>
      <c r="AL68" s="123">
        <v>6.3</v>
      </c>
      <c r="AM68" s="117">
        <v>23</v>
      </c>
      <c r="AN68" s="123">
        <v>6.1</v>
      </c>
      <c r="AO68" s="123">
        <v>6.2</v>
      </c>
      <c r="AP68" s="80">
        <v>0.12</v>
      </c>
      <c r="AQ68" s="80">
        <v>0.16</v>
      </c>
      <c r="AR68" s="132">
        <f>SUM(C68:E68)</f>
        <v>2110</v>
      </c>
      <c r="AS68" s="134">
        <f>C68/AR68</f>
        <v>0.16208530805687205</v>
      </c>
      <c r="AT68" s="134">
        <f>D68/AR68</f>
        <v>0.71943127962085307</v>
      </c>
      <c r="AU68" s="134">
        <f>E68/AR68</f>
        <v>0.11848341232227488</v>
      </c>
      <c r="AV68" s="151">
        <f>IF(AND(F68&lt;&gt;"",Z68&lt;&gt;""),AB68/(F68/2/Z68),"")</f>
        <v>6.3255813953488366E-2</v>
      </c>
      <c r="AW68" s="151">
        <f>IF(AND(F68&lt;&gt;"",AK68&lt;&gt;""),AM68/(F68/2/AK68),"")</f>
        <v>8.5581395348837214E-2</v>
      </c>
      <c r="AX68" s="41">
        <f>IF(AND(AQ68&lt;&gt;"",1-(AQ68/O68)&gt;0),1-(AQ68/O68),"")</f>
        <v>0.8202247191011236</v>
      </c>
      <c r="AY68" s="41">
        <f>IF(AND(AF68&lt;&gt;"",1-(AF68/O68)&gt;0),1-(AF68/O68),"")</f>
        <v>0.8539325842696629</v>
      </c>
      <c r="AZ68" s="136" t="str">
        <f>IF(Q68="","",IF(Q68&lt;2.5,"Alc. Bruta &lt; 2,5 mg/L",IF(Q68&lt;5,"2,5 ≤ Alc. Bruta &lt; 5,0 mg/L",IF(Q68&lt;7.5,"5,0 ≤ Alc. Bruta &lt; 7,5 mg/L",IF(Q68&lt;10,"7,5 ≤ Alc. Bruta &lt; 10,0 mg/L",IF(Q68&lt;15,"10,0 ≤ Alca. Bruta &lt; 15,0 mg/L","Alc. Bruta &gt; 15 mg/L"))))))</f>
        <v>5,0 ≤ Alc. Bruta &lt; 7,5 mg/L</v>
      </c>
      <c r="BA68" s="136" t="str">
        <f>IF(P68="","",IF(P68&lt;5,"Cor &lt;5 uC",IF(P68&lt;10,"5 ≤ Cor &lt; 10 uC",IF(P68&lt;15,"10 ≤ Cor &lt;15 uC",IF(P68&lt;30,"15 ≤ Cor &lt; 30 uC",IF(P68&lt;50,"30 ≤ Cor &lt; 50 uC","Cor &gt; 50 uC"))))))</f>
        <v>5 ≤ Cor &lt; 10 uC</v>
      </c>
      <c r="BB68" s="137" t="str">
        <f>IF(O68="","",IF(O68&lt;2.5,"Turbidez &lt; 2,5 uT",IF(O68&lt;5,"2,5 ≤ Turb &lt; 5,0 uT",IF(O68&lt;7.5,"5,0 ≤ Turb &lt; 7,5 uT",IF(O68&lt;10,"7,5 ≤ Turb &lt; 10,0 uT",IF(O68&lt;15,"10,0 ≤ Turb &lt; 15,0 uT","Turb &gt; 15 uT"))))))</f>
        <v>Turbidez &lt; 2,5 uT</v>
      </c>
      <c r="BC68" s="138" t="str">
        <f>IF(AND(C68&gt;D68,D68&gt;E68),"TOR &gt; SM &gt; BNN",IF(AND(C68&gt;E68,E68&gt;D68),"TOR &gt; BNN &gt; SM",IF(AND(D68&gt;C68,C68&gt;E68),"SM &gt; TOR &gt; BNN",IF(AND(D68&gt;E68,E68&gt;C68),"SM &gt; BNN &gt; TOR",IF(AND(C68=D68,D68=E68),"TOR = SM = BNN","Comb. diferentes")))))</f>
        <v>SM &gt; TOR &gt; BNN</v>
      </c>
      <c r="BD68" s="137" t="str">
        <f>IF(OR(AE68="",AQ68="-"),"",IF(AE68&lt;=0.25,"Tipo 1 (≤0,25) uT",IF(AE68&lt;=0.5,"Tipo 2 (0,25-0,50) uT",IF(AE68&lt;=0.75,"Tipo 3 (0,50-0,75) uT","Tipo 4 (&gt;0,75) uT"))))</f>
        <v>Tipo 1 (≤0,25) uT</v>
      </c>
      <c r="BE68" s="137" t="str">
        <f t="shared" si="7"/>
        <v>Tipo 1 (≤0,25) uT</v>
      </c>
      <c r="BF68" s="137" t="str">
        <f>IF(OR(AF68="",AQ68="-"),"",IF(AF68&lt;=0.25,"Tipo 1 (≤0,25) uT",IF(AF68&lt;=0.5,"Tipo 2 (0,25-0,50) uT",IF(AF68&lt;=0.75,"Tipo 3 (0,50-0,75) uT","Tipo 4 (&gt;0,75) uT"))))</f>
        <v>Tipo 1 (≤0,25) uT</v>
      </c>
      <c r="BG68" s="137" t="str">
        <f t="shared" si="8"/>
        <v>Tipo 1 (≤0,25) uT</v>
      </c>
      <c r="BH68" s="137" t="str">
        <f>IF(OR(R68="",R68="-"),"",IF(R68&lt;=0.25,"Tipo 1 (≤0,25) uT",IF(R68&lt;=0.5,"Tipo 2 (0,25-0,50) uT",IF(R68&lt;=0.75,"Tipo 3 (0,50-0,75) uT","Tipo 4 (&gt;0,75) uT"))))</f>
        <v>Tipo 1 (≤0,25) uT</v>
      </c>
    </row>
    <row r="69" spans="1:60" x14ac:dyDescent="0.3">
      <c r="A69" s="73">
        <v>46266</v>
      </c>
      <c r="B69" s="141">
        <v>0.3125</v>
      </c>
      <c r="C69" s="118">
        <v>326</v>
      </c>
      <c r="D69" s="118">
        <v>1500</v>
      </c>
      <c r="E69" s="118">
        <v>250</v>
      </c>
      <c r="F69" s="118">
        <v>2106</v>
      </c>
      <c r="G69" s="146" t="s">
        <v>100</v>
      </c>
      <c r="H69" s="124">
        <v>10.8</v>
      </c>
      <c r="I69" s="118">
        <v>2.94</v>
      </c>
      <c r="J69" s="9">
        <v>90</v>
      </c>
      <c r="K69" s="118">
        <v>90</v>
      </c>
      <c r="L69" s="118">
        <v>90</v>
      </c>
      <c r="M69" s="124">
        <v>24.3</v>
      </c>
      <c r="N69" s="124">
        <v>6.5</v>
      </c>
      <c r="O69" s="81">
        <v>0.92</v>
      </c>
      <c r="P69" s="118">
        <v>8</v>
      </c>
      <c r="Q69" s="124">
        <v>6.3</v>
      </c>
      <c r="R69" s="9">
        <v>0.14000000000000001</v>
      </c>
      <c r="S69" s="79">
        <v>22.36</v>
      </c>
      <c r="T69" s="79">
        <v>0.88</v>
      </c>
      <c r="U69" s="79">
        <v>0.7</v>
      </c>
      <c r="V69" s="85">
        <f t="shared" si="9"/>
        <v>1621.6200000000001</v>
      </c>
      <c r="W69" s="85">
        <f t="shared" si="10"/>
        <v>1372.556302</v>
      </c>
      <c r="X69" s="85">
        <f t="shared" si="11"/>
        <v>0.84641056597723252</v>
      </c>
      <c r="Y69" s="118">
        <v>3</v>
      </c>
      <c r="Z69" s="118">
        <v>4</v>
      </c>
      <c r="AA69" s="124">
        <v>6.5</v>
      </c>
      <c r="AB69" s="118">
        <v>17</v>
      </c>
      <c r="AC69" s="124">
        <v>6.1</v>
      </c>
      <c r="AD69" s="124">
        <v>5.9</v>
      </c>
      <c r="AE69" s="81">
        <v>0.17</v>
      </c>
      <c r="AF69" s="81">
        <v>0.14000000000000001</v>
      </c>
      <c r="AG69" s="85">
        <f>(O69+0.3*H69+2)*(F69/2/AK69)</f>
        <v>1621.6200000000001</v>
      </c>
      <c r="AH69" s="85">
        <f t="shared" si="12"/>
        <v>1785.9247275999996</v>
      </c>
      <c r="AI69" s="85">
        <f t="shared" si="13"/>
        <v>1.1013213500080163</v>
      </c>
      <c r="AJ69" s="118">
        <v>3</v>
      </c>
      <c r="AK69" s="118">
        <v>4</v>
      </c>
      <c r="AL69" s="124">
        <v>6.3</v>
      </c>
      <c r="AM69" s="118">
        <v>23</v>
      </c>
      <c r="AN69" s="124">
        <v>6.2</v>
      </c>
      <c r="AO69" s="124">
        <v>4.4000000000000004</v>
      </c>
      <c r="AP69" s="81">
        <v>0.12</v>
      </c>
      <c r="AQ69" s="81">
        <v>0.19</v>
      </c>
      <c r="AR69" s="132">
        <f>SUM(C69:E69)</f>
        <v>2076</v>
      </c>
      <c r="AS69" s="134">
        <f>C69/AR69</f>
        <v>0.15703275529865124</v>
      </c>
      <c r="AT69" s="134">
        <f>D69/AR69</f>
        <v>0.7225433526011561</v>
      </c>
      <c r="AU69" s="134">
        <f>E69/AR69</f>
        <v>0.12042389210019268</v>
      </c>
      <c r="AV69" s="151">
        <f>IF(AND(F69&lt;&gt;"",Z69&lt;&gt;""),AB69/(F69/2/Z69),"")</f>
        <v>6.4577397910731249E-2</v>
      </c>
      <c r="AW69" s="151">
        <f>IF(AND(F69&lt;&gt;"",AK69&lt;&gt;""),AM69/(F69/2/AK69),"")</f>
        <v>8.7369420702754039E-2</v>
      </c>
      <c r="AX69" s="41">
        <f>IF(AND(AQ69&lt;&gt;"",1-(AQ69/O69)&gt;0),1-(AQ69/O69),"")</f>
        <v>0.79347826086956519</v>
      </c>
      <c r="AY69" s="41">
        <f>IF(AND(AF69&lt;&gt;"",1-(AF69/O69)&gt;0),1-(AF69/O69),"")</f>
        <v>0.84782608695652173</v>
      </c>
      <c r="AZ69" s="136" t="str">
        <f>IF(Q69="","",IF(Q69&lt;2.5,"Alc. Bruta &lt; 2,5 mg/L",IF(Q69&lt;5,"2,5 ≤ Alc. Bruta &lt; 5,0 mg/L",IF(Q69&lt;7.5,"5,0 ≤ Alc. Bruta &lt; 7,5 mg/L",IF(Q69&lt;10,"7,5 ≤ Alc. Bruta &lt; 10,0 mg/L",IF(Q69&lt;15,"10,0 ≤ Alca. Bruta &lt; 15,0 mg/L","Alc. Bruta &gt; 15 mg/L"))))))</f>
        <v>5,0 ≤ Alc. Bruta &lt; 7,5 mg/L</v>
      </c>
      <c r="BA69" s="136" t="str">
        <f>IF(P69="","",IF(P69&lt;5,"Cor &lt;5 uC",IF(P69&lt;10,"5 ≤ Cor &lt; 10 uC",IF(P69&lt;15,"10 ≤ Cor &lt;15 uC",IF(P69&lt;30,"15 ≤ Cor &lt; 30 uC",IF(P69&lt;50,"30 ≤ Cor &lt; 50 uC","Cor &gt; 50 uC"))))))</f>
        <v>5 ≤ Cor &lt; 10 uC</v>
      </c>
      <c r="BB69" s="137" t="str">
        <f>IF(O69="","",IF(O69&lt;2.5,"Turbidez &lt; 2,5 uT",IF(O69&lt;5,"2,5 ≤ Turb &lt; 5,0 uT",IF(O69&lt;7.5,"5,0 ≤ Turb &lt; 7,5 uT",IF(O69&lt;10,"7,5 ≤ Turb &lt; 10,0 uT",IF(O69&lt;15,"10,0 ≤ Turb &lt; 15,0 uT","Turb &gt; 15 uT"))))))</f>
        <v>Turbidez &lt; 2,5 uT</v>
      </c>
      <c r="BC69" s="138" t="str">
        <f>IF(AND(C69&gt;D69,D69&gt;E69),"TOR &gt; SM &gt; BNN",IF(AND(C69&gt;E69,E69&gt;D69),"TOR &gt; BNN &gt; SM",IF(AND(D69&gt;C69,C69&gt;E69),"SM &gt; TOR &gt; BNN",IF(AND(D69&gt;E69,E69&gt;C69),"SM &gt; BNN &gt; TOR",IF(AND(C69=D69,D69=E69),"TOR = SM = BNN","Comb. diferentes")))))</f>
        <v>SM &gt; TOR &gt; BNN</v>
      </c>
      <c r="BD69" s="137" t="str">
        <f>IF(OR(AE69="",AQ69="-"),"",IF(AE69&lt;=0.25,"Tipo 1 (≤0,25) uT",IF(AE69&lt;=0.5,"Tipo 2 (0,25-0,50) uT",IF(AE69&lt;=0.75,"Tipo 3 (0,50-0,75) uT","Tipo 4 (&gt;0,75) uT"))))</f>
        <v>Tipo 1 (≤0,25) uT</v>
      </c>
      <c r="BE69" s="137" t="str">
        <f t="shared" si="7"/>
        <v>Tipo 1 (≤0,25) uT</v>
      </c>
      <c r="BF69" s="137" t="str">
        <f>IF(OR(AF69="",AQ69="-"),"",IF(AF69&lt;=0.25,"Tipo 1 (≤0,25) uT",IF(AF69&lt;=0.5,"Tipo 2 (0,25-0,50) uT",IF(AF69&lt;=0.75,"Tipo 3 (0,50-0,75) uT","Tipo 4 (&gt;0,75) uT"))))</f>
        <v>Tipo 1 (≤0,25) uT</v>
      </c>
      <c r="BG69" s="137" t="str">
        <f t="shared" si="8"/>
        <v>Tipo 1 (≤0,25) uT</v>
      </c>
      <c r="BH69" s="137" t="str">
        <f>IF(OR(R69="",R69="-"),"",IF(R69&lt;=0.25,"Tipo 1 (≤0,25) uT",IF(R69&lt;=0.5,"Tipo 2 (0,25-0,50) uT",IF(R69&lt;=0.75,"Tipo 3 (0,50-0,75) uT","Tipo 4 (&gt;0,75) uT"))))</f>
        <v>Tipo 1 (≤0,25) uT</v>
      </c>
    </row>
    <row r="70" spans="1:60" x14ac:dyDescent="0.3">
      <c r="A70" s="74">
        <v>46266</v>
      </c>
      <c r="B70" s="139">
        <v>0.39583333333333331</v>
      </c>
      <c r="C70" s="116">
        <v>291</v>
      </c>
      <c r="D70" s="116">
        <v>1530</v>
      </c>
      <c r="E70" s="116">
        <v>250</v>
      </c>
      <c r="F70" s="116">
        <v>2071</v>
      </c>
      <c r="G70" s="144" t="s">
        <v>100</v>
      </c>
      <c r="H70" s="122">
        <v>10.7</v>
      </c>
      <c r="I70" s="116">
        <v>2.86</v>
      </c>
      <c r="J70" s="10">
        <v>90</v>
      </c>
      <c r="K70" s="116">
        <v>90</v>
      </c>
      <c r="L70" s="116">
        <v>90</v>
      </c>
      <c r="M70" s="122">
        <v>24.1</v>
      </c>
      <c r="N70" s="122">
        <v>6.5</v>
      </c>
      <c r="O70" s="79">
        <v>0.95</v>
      </c>
      <c r="P70" s="116">
        <v>8</v>
      </c>
      <c r="Q70" s="122">
        <v>5.9</v>
      </c>
      <c r="R70" s="10">
        <v>0.12</v>
      </c>
      <c r="S70" s="79">
        <v>22.36</v>
      </c>
      <c r="T70" s="79">
        <v>0.88</v>
      </c>
      <c r="U70" s="79">
        <v>0.7</v>
      </c>
      <c r="V70" s="85">
        <f t="shared" si="9"/>
        <v>1594.6699999999998</v>
      </c>
      <c r="W70" s="85">
        <f t="shared" si="10"/>
        <v>1372.556302</v>
      </c>
      <c r="X70" s="85">
        <f t="shared" si="11"/>
        <v>0.86071494541190341</v>
      </c>
      <c r="Y70" s="116">
        <v>3</v>
      </c>
      <c r="Z70" s="116">
        <v>4</v>
      </c>
      <c r="AA70" s="122">
        <v>6.5</v>
      </c>
      <c r="AB70" s="116">
        <v>17</v>
      </c>
      <c r="AC70" s="122">
        <v>6.1</v>
      </c>
      <c r="AD70" s="122">
        <v>4.9000000000000004</v>
      </c>
      <c r="AE70" s="79">
        <v>0.15</v>
      </c>
      <c r="AF70" s="79">
        <v>0.23</v>
      </c>
      <c r="AG70" s="85">
        <f>(O70+0.3*H70+2)*(F70/2/AK70)</f>
        <v>1594.6699999999998</v>
      </c>
      <c r="AH70" s="85">
        <f t="shared" si="12"/>
        <v>1785.9247275999996</v>
      </c>
      <c r="AI70" s="85">
        <f t="shared" si="13"/>
        <v>1.119933734001392</v>
      </c>
      <c r="AJ70" s="116">
        <v>4</v>
      </c>
      <c r="AK70" s="116">
        <v>4</v>
      </c>
      <c r="AL70" s="122">
        <v>6.3</v>
      </c>
      <c r="AM70" s="116">
        <v>23</v>
      </c>
      <c r="AN70" s="122">
        <v>6</v>
      </c>
      <c r="AO70" s="122">
        <v>4.5999999999999996</v>
      </c>
      <c r="AP70" s="79">
        <v>0.18</v>
      </c>
      <c r="AQ70" s="79">
        <v>0.15</v>
      </c>
      <c r="AR70" s="132">
        <f>SUM(C70:E70)</f>
        <v>2071</v>
      </c>
      <c r="AS70" s="134">
        <f>C70/AR70</f>
        <v>0.14051183003380011</v>
      </c>
      <c r="AT70" s="134">
        <f>D70/AR70</f>
        <v>0.73877353935296963</v>
      </c>
      <c r="AU70" s="134">
        <f>E70/AR70</f>
        <v>0.12071463061323032</v>
      </c>
      <c r="AV70" s="151">
        <f>IF(AND(F70&lt;&gt;"",Z70&lt;&gt;""),AB70/(F70/2/Z70),"")</f>
        <v>6.56687590535973E-2</v>
      </c>
      <c r="AW70" s="151">
        <f>IF(AND(F70&lt;&gt;"",AK70&lt;&gt;""),AM70/(F70/2/AK70),"")</f>
        <v>8.8845968131337522E-2</v>
      </c>
      <c r="AX70" s="41">
        <f>IF(AND(AQ70&lt;&gt;"",1-(AQ70/O70)&gt;0),1-(AQ70/O70),"")</f>
        <v>0.84210526315789469</v>
      </c>
      <c r="AY70" s="41">
        <f>IF(AND(AF70&lt;&gt;"",1-(AF70/O70)&gt;0),1-(AF70/O70),"")</f>
        <v>0.75789473684210518</v>
      </c>
      <c r="AZ70" s="136" t="str">
        <f>IF(Q70="","",IF(Q70&lt;2.5,"Alc. Bruta &lt; 2,5 mg/L",IF(Q70&lt;5,"2,5 ≤ Alc. Bruta &lt; 5,0 mg/L",IF(Q70&lt;7.5,"5,0 ≤ Alc. Bruta &lt; 7,5 mg/L",IF(Q70&lt;10,"7,5 ≤ Alc. Bruta &lt; 10,0 mg/L",IF(Q70&lt;15,"10,0 ≤ Alca. Bruta &lt; 15,0 mg/L","Alc. Bruta &gt; 15 mg/L"))))))</f>
        <v>5,0 ≤ Alc. Bruta &lt; 7,5 mg/L</v>
      </c>
      <c r="BA70" s="136" t="str">
        <f>IF(P70="","",IF(P70&lt;5,"Cor &lt;5 uC",IF(P70&lt;10,"5 ≤ Cor &lt; 10 uC",IF(P70&lt;15,"10 ≤ Cor &lt;15 uC",IF(P70&lt;30,"15 ≤ Cor &lt; 30 uC",IF(P70&lt;50,"30 ≤ Cor &lt; 50 uC","Cor &gt; 50 uC"))))))</f>
        <v>5 ≤ Cor &lt; 10 uC</v>
      </c>
      <c r="BB70" s="137" t="str">
        <f>IF(O70="","",IF(O70&lt;2.5,"Turbidez &lt; 2,5 uT",IF(O70&lt;5,"2,5 ≤ Turb &lt; 5,0 uT",IF(O70&lt;7.5,"5,0 ≤ Turb &lt; 7,5 uT",IF(O70&lt;10,"7,5 ≤ Turb &lt; 10,0 uT",IF(O70&lt;15,"10,0 ≤ Turb &lt; 15,0 uT","Turb &gt; 15 uT"))))))</f>
        <v>Turbidez &lt; 2,5 uT</v>
      </c>
      <c r="BC70" s="138" t="str">
        <f>IF(AND(C70&gt;D70,D70&gt;E70),"TOR &gt; SM &gt; BNN",IF(AND(C70&gt;E70,E70&gt;D70),"TOR &gt; BNN &gt; SM",IF(AND(D70&gt;C70,C70&gt;E70),"SM &gt; TOR &gt; BNN",IF(AND(D70&gt;E70,E70&gt;C70),"SM &gt; BNN &gt; TOR",IF(AND(C70=D70,D70=E70),"TOR = SM = BNN","Comb. diferentes")))))</f>
        <v>SM &gt; TOR &gt; BNN</v>
      </c>
      <c r="BD70" s="137" t="str">
        <f>IF(OR(AE70="",AQ70="-"),"",IF(AE70&lt;=0.25,"Tipo 1 (≤0,25) uT",IF(AE70&lt;=0.5,"Tipo 2 (0,25-0,50) uT",IF(AE70&lt;=0.75,"Tipo 3 (0,50-0,75) uT","Tipo 4 (&gt;0,75) uT"))))</f>
        <v>Tipo 1 (≤0,25) uT</v>
      </c>
      <c r="BE70" s="137" t="str">
        <f t="shared" si="7"/>
        <v>Tipo 1 (≤0,25) uT</v>
      </c>
      <c r="BF70" s="137" t="str">
        <f>IF(OR(AF70="",AQ70="-"),"",IF(AF70&lt;=0.25,"Tipo 1 (≤0,25) uT",IF(AF70&lt;=0.5,"Tipo 2 (0,25-0,50) uT",IF(AF70&lt;=0.75,"Tipo 3 (0,50-0,75) uT","Tipo 4 (&gt;0,75) uT"))))</f>
        <v>Tipo 1 (≤0,25) uT</v>
      </c>
      <c r="BG70" s="137" t="str">
        <f t="shared" si="8"/>
        <v>Tipo 1 (≤0,25) uT</v>
      </c>
      <c r="BH70" s="137" t="str">
        <f>IF(OR(R70="",R70="-"),"",IF(R70&lt;=0.25,"Tipo 1 (≤0,25) uT",IF(R70&lt;=0.5,"Tipo 2 (0,25-0,50) uT",IF(R70&lt;=0.75,"Tipo 3 (0,50-0,75) uT","Tipo 4 (&gt;0,75) uT"))))</f>
        <v>Tipo 1 (≤0,25) uT</v>
      </c>
    </row>
    <row r="71" spans="1:60" x14ac:dyDescent="0.3">
      <c r="A71" s="74">
        <v>46266</v>
      </c>
      <c r="B71" s="139">
        <v>0.5625</v>
      </c>
      <c r="C71" s="116">
        <v>284</v>
      </c>
      <c r="D71" s="116">
        <v>1520</v>
      </c>
      <c r="E71" s="116">
        <v>280</v>
      </c>
      <c r="F71" s="116">
        <v>2083</v>
      </c>
      <c r="G71" s="144" t="s">
        <v>100</v>
      </c>
      <c r="H71" s="122">
        <v>10.6</v>
      </c>
      <c r="I71" s="116">
        <v>26.1</v>
      </c>
      <c r="J71" s="10">
        <v>90</v>
      </c>
      <c r="K71" s="116">
        <v>90</v>
      </c>
      <c r="L71" s="116">
        <v>90</v>
      </c>
      <c r="M71" s="122">
        <v>24.5</v>
      </c>
      <c r="N71" s="122">
        <v>6.6</v>
      </c>
      <c r="O71" s="79">
        <v>0.99</v>
      </c>
      <c r="P71" s="116">
        <v>7</v>
      </c>
      <c r="Q71" s="122">
        <v>6.3</v>
      </c>
      <c r="R71" s="10">
        <v>0.13</v>
      </c>
      <c r="S71" s="79">
        <v>22.36</v>
      </c>
      <c r="T71" s="79">
        <v>0.88</v>
      </c>
      <c r="U71" s="79">
        <v>0.7</v>
      </c>
      <c r="V71" s="85">
        <f t="shared" si="9"/>
        <v>1606.5137500000001</v>
      </c>
      <c r="W71" s="85">
        <f t="shared" si="10"/>
        <v>1372.556302</v>
      </c>
      <c r="X71" s="85">
        <f t="shared" si="11"/>
        <v>0.8543694705383007</v>
      </c>
      <c r="Y71" s="116">
        <v>4</v>
      </c>
      <c r="Z71" s="116">
        <v>4</v>
      </c>
      <c r="AA71" s="122">
        <v>6.5</v>
      </c>
      <c r="AB71" s="116">
        <v>17</v>
      </c>
      <c r="AC71" s="122">
        <v>6.2</v>
      </c>
      <c r="AD71" s="122">
        <v>5.4</v>
      </c>
      <c r="AE71" s="79">
        <v>0.17</v>
      </c>
      <c r="AF71" s="79">
        <v>0.1</v>
      </c>
      <c r="AG71" s="85">
        <f>(O71+0.3*H71+2)*(F71/2/AK71)</f>
        <v>1606.5137500000001</v>
      </c>
      <c r="AH71" s="85">
        <f t="shared" si="12"/>
        <v>1785.9247275999996</v>
      </c>
      <c r="AI71" s="85">
        <f t="shared" si="13"/>
        <v>1.1116772125977754</v>
      </c>
      <c r="AJ71" s="116">
        <v>4</v>
      </c>
      <c r="AK71" s="116">
        <v>4</v>
      </c>
      <c r="AL71" s="122">
        <v>6.3</v>
      </c>
      <c r="AM71" s="116">
        <v>23</v>
      </c>
      <c r="AN71" s="122">
        <v>6.1</v>
      </c>
      <c r="AO71" s="122">
        <v>4.5</v>
      </c>
      <c r="AP71" s="79">
        <v>0.2</v>
      </c>
      <c r="AQ71" s="79">
        <v>0.16</v>
      </c>
      <c r="AR71" s="132">
        <f>SUM(C71:E71)</f>
        <v>2084</v>
      </c>
      <c r="AS71" s="134">
        <f>C71/AR71</f>
        <v>0.1362763915547025</v>
      </c>
      <c r="AT71" s="134">
        <f>D71/AR71</f>
        <v>0.72936660268714015</v>
      </c>
      <c r="AU71" s="134">
        <f>E71/AR71</f>
        <v>0.1343570057581574</v>
      </c>
      <c r="AV71" s="151">
        <f>IF(AND(F71&lt;&gt;"",Z71&lt;&gt;""),AB71/(F71/2/Z71),"")</f>
        <v>6.5290446471435434E-2</v>
      </c>
      <c r="AW71" s="151">
        <f>IF(AND(F71&lt;&gt;"",AK71&lt;&gt;""),AM71/(F71/2/AK71),"")</f>
        <v>8.8334133461353812E-2</v>
      </c>
      <c r="AX71" s="41">
        <f>IF(AND(AQ71&lt;&gt;"",1-(AQ71/O71)&gt;0),1-(AQ71/O71),"")</f>
        <v>0.83838383838383834</v>
      </c>
      <c r="AY71" s="41">
        <f>IF(AND(AF71&lt;&gt;"",1-(AF71/O71)&gt;0),1-(AF71/O71),"")</f>
        <v>0.89898989898989901</v>
      </c>
      <c r="AZ71" s="136" t="str">
        <f>IF(Q71="","",IF(Q71&lt;2.5,"Alc. Bruta &lt; 2,5 mg/L",IF(Q71&lt;5,"2,5 ≤ Alc. Bruta &lt; 5,0 mg/L",IF(Q71&lt;7.5,"5,0 ≤ Alc. Bruta &lt; 7,5 mg/L",IF(Q71&lt;10,"7,5 ≤ Alc. Bruta &lt; 10,0 mg/L",IF(Q71&lt;15,"10,0 ≤ Alca. Bruta &lt; 15,0 mg/L","Alc. Bruta &gt; 15 mg/L"))))))</f>
        <v>5,0 ≤ Alc. Bruta &lt; 7,5 mg/L</v>
      </c>
      <c r="BA71" s="136" t="str">
        <f>IF(P71="","",IF(P71&lt;5,"Cor &lt;5 uC",IF(P71&lt;10,"5 ≤ Cor &lt; 10 uC",IF(P71&lt;15,"10 ≤ Cor &lt;15 uC",IF(P71&lt;30,"15 ≤ Cor &lt; 30 uC",IF(P71&lt;50,"30 ≤ Cor &lt; 50 uC","Cor &gt; 50 uC"))))))</f>
        <v>5 ≤ Cor &lt; 10 uC</v>
      </c>
      <c r="BB71" s="137" t="str">
        <f>IF(O71="","",IF(O71&lt;2.5,"Turbidez &lt; 2,5 uT",IF(O71&lt;5,"2,5 ≤ Turb &lt; 5,0 uT",IF(O71&lt;7.5,"5,0 ≤ Turb &lt; 7,5 uT",IF(O71&lt;10,"7,5 ≤ Turb &lt; 10,0 uT",IF(O71&lt;15,"10,0 ≤ Turb &lt; 15,0 uT","Turb &gt; 15 uT"))))))</f>
        <v>Turbidez &lt; 2,5 uT</v>
      </c>
      <c r="BC71" s="138" t="str">
        <f>IF(AND(C71&gt;D71,D71&gt;E71),"TOR &gt; SM &gt; BNN",IF(AND(C71&gt;E71,E71&gt;D71),"TOR &gt; BNN &gt; SM",IF(AND(D71&gt;C71,C71&gt;E71),"SM &gt; TOR &gt; BNN",IF(AND(D71&gt;E71,E71&gt;C71),"SM &gt; BNN &gt; TOR",IF(AND(C71=D71,D71=E71),"TOR = SM = BNN","Comb. diferentes")))))</f>
        <v>SM &gt; TOR &gt; BNN</v>
      </c>
      <c r="BD71" s="137" t="str">
        <f>IF(OR(AE71="",AQ71="-"),"",IF(AE71&lt;=0.25,"Tipo 1 (≤0,25) uT",IF(AE71&lt;=0.5,"Tipo 2 (0,25-0,50) uT",IF(AE71&lt;=0.75,"Tipo 3 (0,50-0,75) uT","Tipo 4 (&gt;0,75) uT"))))</f>
        <v>Tipo 1 (≤0,25) uT</v>
      </c>
      <c r="BE71" s="137" t="str">
        <f t="shared" si="7"/>
        <v>Tipo 1 (≤0,25) uT</v>
      </c>
      <c r="BF71" s="137" t="str">
        <f>IF(OR(AF71="",AQ71="-"),"",IF(AF71&lt;=0.25,"Tipo 1 (≤0,25) uT",IF(AF71&lt;=0.5,"Tipo 2 (0,25-0,50) uT",IF(AF71&lt;=0.75,"Tipo 3 (0,50-0,75) uT","Tipo 4 (&gt;0,75) uT"))))</f>
        <v>Tipo 1 (≤0,25) uT</v>
      </c>
      <c r="BG71" s="137" t="str">
        <f t="shared" si="8"/>
        <v>Tipo 1 (≤0,25) uT</v>
      </c>
      <c r="BH71" s="137" t="str">
        <f>IF(OR(R71="",R71="-"),"",IF(R71&lt;=0.25,"Tipo 1 (≤0,25) uT",IF(R71&lt;=0.5,"Tipo 2 (0,25-0,50) uT",IF(R71&lt;=0.75,"Tipo 3 (0,50-0,75) uT","Tipo 4 (&gt;0,75) uT"))))</f>
        <v>Tipo 1 (≤0,25) uT</v>
      </c>
    </row>
    <row r="72" spans="1:60" x14ac:dyDescent="0.3">
      <c r="A72" s="74">
        <v>46266</v>
      </c>
      <c r="B72" s="139">
        <v>0.72916666666666663</v>
      </c>
      <c r="C72" s="116">
        <v>279</v>
      </c>
      <c r="D72" s="116">
        <v>1500</v>
      </c>
      <c r="E72" s="116">
        <v>250</v>
      </c>
      <c r="F72" s="116">
        <v>2029</v>
      </c>
      <c r="G72" s="144" t="s">
        <v>100</v>
      </c>
      <c r="H72" s="122">
        <v>10.8</v>
      </c>
      <c r="I72" s="116">
        <v>-3.91</v>
      </c>
      <c r="J72" s="10">
        <v>90</v>
      </c>
      <c r="K72" s="116">
        <v>90</v>
      </c>
      <c r="L72" s="116">
        <v>90</v>
      </c>
      <c r="M72" s="122">
        <v>24.3</v>
      </c>
      <c r="N72" s="122">
        <v>6.6</v>
      </c>
      <c r="O72" s="79">
        <v>0.96</v>
      </c>
      <c r="P72" s="116">
        <v>7</v>
      </c>
      <c r="Q72" s="122">
        <v>6.6</v>
      </c>
      <c r="R72" s="10">
        <v>0.11</v>
      </c>
      <c r="S72" s="79">
        <v>22.36</v>
      </c>
      <c r="T72" s="79">
        <v>0.88</v>
      </c>
      <c r="U72" s="79">
        <v>0.7</v>
      </c>
      <c r="V72" s="85">
        <f t="shared" si="9"/>
        <v>1572.4750000000001</v>
      </c>
      <c r="W72" s="85">
        <f t="shared" si="10"/>
        <v>1372.556302</v>
      </c>
      <c r="X72" s="85">
        <f t="shared" si="11"/>
        <v>0.87286367160050227</v>
      </c>
      <c r="Y72" s="116">
        <v>3</v>
      </c>
      <c r="Z72" s="116">
        <v>4</v>
      </c>
      <c r="AA72" s="122">
        <v>6.5</v>
      </c>
      <c r="AB72" s="116">
        <v>17</v>
      </c>
      <c r="AC72" s="122">
        <v>6.1</v>
      </c>
      <c r="AD72" s="122">
        <v>5.5</v>
      </c>
      <c r="AE72" s="79">
        <v>0.23</v>
      </c>
      <c r="AF72" s="79">
        <v>0.09</v>
      </c>
      <c r="AG72" s="85">
        <f>(O72+0.3*H72+2)*(F72/2/AK72)</f>
        <v>1572.4750000000001</v>
      </c>
      <c r="AH72" s="85">
        <f t="shared" si="12"/>
        <v>1785.9247275999996</v>
      </c>
      <c r="AI72" s="85">
        <f t="shared" si="13"/>
        <v>1.1357412535016451</v>
      </c>
      <c r="AJ72" s="116">
        <v>3</v>
      </c>
      <c r="AK72" s="116">
        <v>4</v>
      </c>
      <c r="AL72" s="122">
        <v>6.3</v>
      </c>
      <c r="AM72" s="116">
        <v>23</v>
      </c>
      <c r="AN72" s="122">
        <v>6.1</v>
      </c>
      <c r="AO72" s="122">
        <v>4.9000000000000004</v>
      </c>
      <c r="AP72" s="79">
        <v>0.16</v>
      </c>
      <c r="AQ72" s="79">
        <v>0.15</v>
      </c>
      <c r="AR72" s="132">
        <f>SUM(C72:E72)</f>
        <v>2029</v>
      </c>
      <c r="AS72" s="134">
        <f>C72/AR72</f>
        <v>0.13750616067028093</v>
      </c>
      <c r="AT72" s="134">
        <f>D72/AR72</f>
        <v>0.73928043371118779</v>
      </c>
      <c r="AU72" s="134">
        <f>E72/AR72</f>
        <v>0.12321340561853129</v>
      </c>
      <c r="AV72" s="151">
        <f>IF(AND(F72&lt;&gt;"",Z72&lt;&gt;""),AB72/(F72/2/Z72),"")</f>
        <v>6.702809265648102E-2</v>
      </c>
      <c r="AW72" s="151">
        <f>IF(AND(F72&lt;&gt;"",AK72&lt;&gt;""),AM72/(F72/2/AK72),"")</f>
        <v>9.0685066535239028E-2</v>
      </c>
      <c r="AX72" s="41">
        <f>IF(AND(AQ72&lt;&gt;"",1-(AQ72/O72)&gt;0),1-(AQ72/O72),"")</f>
        <v>0.84375</v>
      </c>
      <c r="AY72" s="41">
        <f>IF(AND(AF72&lt;&gt;"",1-(AF72/O72)&gt;0),1-(AF72/O72),"")</f>
        <v>0.90625</v>
      </c>
      <c r="AZ72" s="136" t="str">
        <f>IF(Q72="","",IF(Q72&lt;2.5,"Alc. Bruta &lt; 2,5 mg/L",IF(Q72&lt;5,"2,5 ≤ Alc. Bruta &lt; 5,0 mg/L",IF(Q72&lt;7.5,"5,0 ≤ Alc. Bruta &lt; 7,5 mg/L",IF(Q72&lt;10,"7,5 ≤ Alc. Bruta &lt; 10,0 mg/L",IF(Q72&lt;15,"10,0 ≤ Alca. Bruta &lt; 15,0 mg/L","Alc. Bruta &gt; 15 mg/L"))))))</f>
        <v>5,0 ≤ Alc. Bruta &lt; 7,5 mg/L</v>
      </c>
      <c r="BA72" s="136" t="str">
        <f>IF(P72="","",IF(P72&lt;5,"Cor &lt;5 uC",IF(P72&lt;10,"5 ≤ Cor &lt; 10 uC",IF(P72&lt;15,"10 ≤ Cor &lt;15 uC",IF(P72&lt;30,"15 ≤ Cor &lt; 30 uC",IF(P72&lt;50,"30 ≤ Cor &lt; 50 uC","Cor &gt; 50 uC"))))))</f>
        <v>5 ≤ Cor &lt; 10 uC</v>
      </c>
      <c r="BB72" s="137" t="str">
        <f>IF(O72="","",IF(O72&lt;2.5,"Turbidez &lt; 2,5 uT",IF(O72&lt;5,"2,5 ≤ Turb &lt; 5,0 uT",IF(O72&lt;7.5,"5,0 ≤ Turb &lt; 7,5 uT",IF(O72&lt;10,"7,5 ≤ Turb &lt; 10,0 uT",IF(O72&lt;15,"10,0 ≤ Turb &lt; 15,0 uT","Turb &gt; 15 uT"))))))</f>
        <v>Turbidez &lt; 2,5 uT</v>
      </c>
      <c r="BC72" s="138" t="str">
        <f>IF(AND(C72&gt;D72,D72&gt;E72),"TOR &gt; SM &gt; BNN",IF(AND(C72&gt;E72,E72&gt;D72),"TOR &gt; BNN &gt; SM",IF(AND(D72&gt;C72,C72&gt;E72),"SM &gt; TOR &gt; BNN",IF(AND(D72&gt;E72,E72&gt;C72),"SM &gt; BNN &gt; TOR",IF(AND(C72=D72,D72=E72),"TOR = SM = BNN","Comb. diferentes")))))</f>
        <v>SM &gt; TOR &gt; BNN</v>
      </c>
      <c r="BD72" s="137" t="str">
        <f>IF(OR(AE72="",AQ72="-"),"",IF(AE72&lt;=0.25,"Tipo 1 (≤0,25) uT",IF(AE72&lt;=0.5,"Tipo 2 (0,25-0,50) uT",IF(AE72&lt;=0.75,"Tipo 3 (0,50-0,75) uT","Tipo 4 (&gt;0,75) uT"))))</f>
        <v>Tipo 1 (≤0,25) uT</v>
      </c>
      <c r="BE72" s="137" t="str">
        <f t="shared" si="7"/>
        <v>Tipo 1 (≤0,25) uT</v>
      </c>
      <c r="BF72" s="137" t="str">
        <f>IF(OR(AF72="",AQ72="-"),"",IF(AF72&lt;=0.25,"Tipo 1 (≤0,25) uT",IF(AF72&lt;=0.5,"Tipo 2 (0,25-0,50) uT",IF(AF72&lt;=0.75,"Tipo 3 (0,50-0,75) uT","Tipo 4 (&gt;0,75) uT"))))</f>
        <v>Tipo 1 (≤0,25) uT</v>
      </c>
      <c r="BG72" s="137" t="str">
        <f t="shared" si="8"/>
        <v>Tipo 1 (≤0,25) uT</v>
      </c>
      <c r="BH72" s="137" t="str">
        <f>IF(OR(R72="",R72="-"),"",IF(R72&lt;=0.25,"Tipo 1 (≤0,25) uT",IF(R72&lt;=0.5,"Tipo 2 (0,25-0,50) uT",IF(R72&lt;=0.75,"Tipo 3 (0,50-0,75) uT","Tipo 4 (&gt;0,75) uT"))))</f>
        <v>Tipo 1 (≤0,25) uT</v>
      </c>
    </row>
    <row r="73" spans="1:60" x14ac:dyDescent="0.3">
      <c r="A73" s="74">
        <v>46266</v>
      </c>
      <c r="B73" s="139">
        <v>0.8125</v>
      </c>
      <c r="C73" s="116">
        <v>271</v>
      </c>
      <c r="D73" s="116">
        <v>1498</v>
      </c>
      <c r="E73" s="116">
        <v>250</v>
      </c>
      <c r="F73" s="116">
        <v>2011</v>
      </c>
      <c r="G73" s="144" t="s">
        <v>100</v>
      </c>
      <c r="H73" s="122">
        <v>10.8</v>
      </c>
      <c r="I73" s="116">
        <v>-53.2</v>
      </c>
      <c r="J73" s="10">
        <v>90</v>
      </c>
      <c r="K73" s="116">
        <v>90</v>
      </c>
      <c r="L73" s="116">
        <v>90</v>
      </c>
      <c r="M73" s="122">
        <v>25.5</v>
      </c>
      <c r="N73" s="122">
        <v>6.6</v>
      </c>
      <c r="O73" s="79">
        <v>1.1000000000000001</v>
      </c>
      <c r="P73" s="116">
        <v>7</v>
      </c>
      <c r="Q73" s="122">
        <v>7.8</v>
      </c>
      <c r="R73" s="10">
        <v>7.0000000000000007E-2</v>
      </c>
      <c r="S73" s="79">
        <v>22.36</v>
      </c>
      <c r="T73" s="79">
        <v>0.88</v>
      </c>
      <c r="U73" s="79">
        <v>0.7</v>
      </c>
      <c r="V73" s="85">
        <f t="shared" si="9"/>
        <v>1593.7175</v>
      </c>
      <c r="W73" s="85">
        <f t="shared" si="10"/>
        <v>1346.2938111999999</v>
      </c>
      <c r="X73" s="85">
        <f t="shared" si="11"/>
        <v>0.84475059802003805</v>
      </c>
      <c r="Y73" s="116">
        <v>3</v>
      </c>
      <c r="Z73" s="116">
        <v>4</v>
      </c>
      <c r="AA73" s="122">
        <v>6.4</v>
      </c>
      <c r="AB73" s="116">
        <v>17</v>
      </c>
      <c r="AC73" s="122">
        <v>6.2</v>
      </c>
      <c r="AD73" s="122">
        <v>5.3</v>
      </c>
      <c r="AE73" s="79">
        <v>0.19</v>
      </c>
      <c r="AF73" s="79">
        <v>0.08</v>
      </c>
      <c r="AG73" s="85">
        <f>(O73+0.3*H73+2)*(F73/2/AK73)</f>
        <v>1593.7175</v>
      </c>
      <c r="AH73" s="85">
        <f t="shared" si="12"/>
        <v>1785.9247275999996</v>
      </c>
      <c r="AI73" s="85">
        <f t="shared" si="13"/>
        <v>1.120603072752856</v>
      </c>
      <c r="AJ73" s="116">
        <v>3</v>
      </c>
      <c r="AK73" s="116">
        <v>4</v>
      </c>
      <c r="AL73" s="122">
        <v>6.3</v>
      </c>
      <c r="AM73" s="116">
        <v>23</v>
      </c>
      <c r="AN73" s="122">
        <v>6.2</v>
      </c>
      <c r="AO73" s="122">
        <v>5.0999999999999996</v>
      </c>
      <c r="AP73" s="79">
        <v>0.13</v>
      </c>
      <c r="AQ73" s="79">
        <v>0.16</v>
      </c>
      <c r="AR73" s="132">
        <f>SUM(C73:E73)</f>
        <v>2019</v>
      </c>
      <c r="AS73" s="134">
        <f>C73/AR73</f>
        <v>0.1342248637939574</v>
      </c>
      <c r="AT73" s="134">
        <f>D73/AR73</f>
        <v>0.74195146111936605</v>
      </c>
      <c r="AU73" s="134">
        <f>E73/AR73</f>
        <v>0.12382367508667658</v>
      </c>
      <c r="AV73" s="151">
        <f>IF(AND(F73&lt;&gt;"",Z73&lt;&gt;""),AB73/(F73/2/Z73),"")</f>
        <v>6.7628045748383894E-2</v>
      </c>
      <c r="AW73" s="151">
        <f>IF(AND(F73&lt;&gt;"",AK73&lt;&gt;""),AM73/(F73/2/AK73),"")</f>
        <v>9.1496767777225263E-2</v>
      </c>
      <c r="AX73" s="41">
        <f>IF(AND(AQ73&lt;&gt;"",1-(AQ73/O73)&gt;0),1-(AQ73/O73),"")</f>
        <v>0.8545454545454545</v>
      </c>
      <c r="AY73" s="41">
        <f>IF(AND(AF73&lt;&gt;"",1-(AF73/O73)&gt;0),1-(AF73/O73),"")</f>
        <v>0.92727272727272725</v>
      </c>
      <c r="AZ73" s="136" t="str">
        <f>IF(Q73="","",IF(Q73&lt;2.5,"Alc. Bruta &lt; 2,5 mg/L",IF(Q73&lt;5,"2,5 ≤ Alc. Bruta &lt; 5,0 mg/L",IF(Q73&lt;7.5,"5,0 ≤ Alc. Bruta &lt; 7,5 mg/L",IF(Q73&lt;10,"7,5 ≤ Alc. Bruta &lt; 10,0 mg/L",IF(Q73&lt;15,"10,0 ≤ Alca. Bruta &lt; 15,0 mg/L","Alc. Bruta &gt; 15 mg/L"))))))</f>
        <v>7,5 ≤ Alc. Bruta &lt; 10,0 mg/L</v>
      </c>
      <c r="BA73" s="136" t="str">
        <f>IF(P73="","",IF(P73&lt;5,"Cor &lt;5 uC",IF(P73&lt;10,"5 ≤ Cor &lt; 10 uC",IF(P73&lt;15,"10 ≤ Cor &lt;15 uC",IF(P73&lt;30,"15 ≤ Cor &lt; 30 uC",IF(P73&lt;50,"30 ≤ Cor &lt; 50 uC","Cor &gt; 50 uC"))))))</f>
        <v>5 ≤ Cor &lt; 10 uC</v>
      </c>
      <c r="BB73" s="137" t="str">
        <f>IF(O73="","",IF(O73&lt;2.5,"Turbidez &lt; 2,5 uT",IF(O73&lt;5,"2,5 ≤ Turb &lt; 5,0 uT",IF(O73&lt;7.5,"5,0 ≤ Turb &lt; 7,5 uT",IF(O73&lt;10,"7,5 ≤ Turb &lt; 10,0 uT",IF(O73&lt;15,"10,0 ≤ Turb &lt; 15,0 uT","Turb &gt; 15 uT"))))))</f>
        <v>Turbidez &lt; 2,5 uT</v>
      </c>
      <c r="BC73" s="138" t="str">
        <f>IF(AND(C73&gt;D73,D73&gt;E73),"TOR &gt; SM &gt; BNN",IF(AND(C73&gt;E73,E73&gt;D73),"TOR &gt; BNN &gt; SM",IF(AND(D73&gt;C73,C73&gt;E73),"SM &gt; TOR &gt; BNN",IF(AND(D73&gt;E73,E73&gt;C73),"SM &gt; BNN &gt; TOR",IF(AND(C73=D73,D73=E73),"TOR = SM = BNN","Comb. diferentes")))))</f>
        <v>SM &gt; TOR &gt; BNN</v>
      </c>
      <c r="BD73" s="137" t="str">
        <f>IF(OR(AE73="",AQ73="-"),"",IF(AE73&lt;=0.25,"Tipo 1 (≤0,25) uT",IF(AE73&lt;=0.5,"Tipo 2 (0,25-0,50) uT",IF(AE73&lt;=0.75,"Tipo 3 (0,50-0,75) uT","Tipo 4 (&gt;0,75) uT"))))</f>
        <v>Tipo 1 (≤0,25) uT</v>
      </c>
      <c r="BE73" s="137" t="str">
        <f t="shared" si="7"/>
        <v>Tipo 1 (≤0,25) uT</v>
      </c>
      <c r="BF73" s="137" t="str">
        <f>IF(OR(AF73="",AQ73="-"),"",IF(AF73&lt;=0.25,"Tipo 1 (≤0,25) uT",IF(AF73&lt;=0.5,"Tipo 2 (0,25-0,50) uT",IF(AF73&lt;=0.75,"Tipo 3 (0,50-0,75) uT","Tipo 4 (&gt;0,75) uT"))))</f>
        <v>Tipo 1 (≤0,25) uT</v>
      </c>
      <c r="BG73" s="137" t="str">
        <f t="shared" si="8"/>
        <v>Tipo 1 (≤0,25) uT</v>
      </c>
      <c r="BH73" s="137" t="str">
        <f>IF(OR(R73="",R73="-"),"",IF(R73&lt;=0.25,"Tipo 1 (≤0,25) uT",IF(R73&lt;=0.5,"Tipo 2 (0,25-0,50) uT",IF(R73&lt;=0.75,"Tipo 3 (0,50-0,75) uT","Tipo 4 (&gt;0,75) uT"))))</f>
        <v>Tipo 1 (≤0,25) uT</v>
      </c>
    </row>
    <row r="74" spans="1:60" x14ac:dyDescent="0.3">
      <c r="A74" s="74">
        <v>46266</v>
      </c>
      <c r="B74" s="139">
        <v>0.89583333333333337</v>
      </c>
      <c r="C74" s="116">
        <v>276</v>
      </c>
      <c r="D74" s="116">
        <v>1501</v>
      </c>
      <c r="E74" s="116">
        <v>249</v>
      </c>
      <c r="F74" s="116">
        <v>2026</v>
      </c>
      <c r="G74" s="144" t="s">
        <v>100</v>
      </c>
      <c r="H74" s="122">
        <v>10.8</v>
      </c>
      <c r="I74" s="116">
        <v>-67</v>
      </c>
      <c r="J74" s="10">
        <v>90</v>
      </c>
      <c r="K74" s="116">
        <v>90</v>
      </c>
      <c r="L74" s="116">
        <v>90</v>
      </c>
      <c r="M74" s="122">
        <v>24.5</v>
      </c>
      <c r="N74" s="122">
        <v>6.7</v>
      </c>
      <c r="O74" s="79">
        <v>1.1000000000000001</v>
      </c>
      <c r="P74" s="116">
        <v>6</v>
      </c>
      <c r="Q74" s="122">
        <v>8.1999999999999993</v>
      </c>
      <c r="R74" s="10">
        <v>0.08</v>
      </c>
      <c r="S74" s="79">
        <v>22.36</v>
      </c>
      <c r="T74" s="79">
        <v>0.88</v>
      </c>
      <c r="U74" s="79">
        <v>0.7</v>
      </c>
      <c r="V74" s="85">
        <f t="shared" si="9"/>
        <v>1605.605</v>
      </c>
      <c r="W74" s="85">
        <f t="shared" si="10"/>
        <v>1346.2938111999999</v>
      </c>
      <c r="X74" s="85">
        <f t="shared" si="11"/>
        <v>0.83849627473755994</v>
      </c>
      <c r="Y74" s="116">
        <v>3</v>
      </c>
      <c r="Z74" s="116">
        <v>4</v>
      </c>
      <c r="AA74" s="122">
        <v>6.4</v>
      </c>
      <c r="AB74" s="116">
        <v>17</v>
      </c>
      <c r="AC74" s="122">
        <v>6.3</v>
      </c>
      <c r="AD74" s="122">
        <v>5.6</v>
      </c>
      <c r="AE74" s="79">
        <v>0.16</v>
      </c>
      <c r="AF74" s="79">
        <v>0.09</v>
      </c>
      <c r="AG74" s="85">
        <f>(O74+0.3*H74+2)*(F74/2/AK74)</f>
        <v>1605.605</v>
      </c>
      <c r="AH74" s="85">
        <f t="shared" si="12"/>
        <v>1750.3931224</v>
      </c>
      <c r="AI74" s="85">
        <f t="shared" si="13"/>
        <v>1.090176676330729</v>
      </c>
      <c r="AJ74" s="116">
        <v>3</v>
      </c>
      <c r="AK74" s="116">
        <v>4</v>
      </c>
      <c r="AL74" s="122">
        <v>6.2</v>
      </c>
      <c r="AM74" s="116">
        <v>23</v>
      </c>
      <c r="AN74" s="122">
        <v>6.3</v>
      </c>
      <c r="AO74" s="122">
        <v>5.5</v>
      </c>
      <c r="AP74" s="79">
        <v>0.13</v>
      </c>
      <c r="AQ74" s="79">
        <v>0.17</v>
      </c>
      <c r="AR74" s="132">
        <f>SUM(C74:E74)</f>
        <v>2026</v>
      </c>
      <c r="AS74" s="134">
        <f>C74/AR74</f>
        <v>0.13622902270483711</v>
      </c>
      <c r="AT74" s="134">
        <f>D74/AR74</f>
        <v>0.74086870681145112</v>
      </c>
      <c r="AU74" s="134">
        <f>E74/AR74</f>
        <v>0.12290227048371175</v>
      </c>
      <c r="AV74" s="151">
        <f>IF(AND(F74&lt;&gt;"",Z74&lt;&gt;""),AB74/(F74/2/Z74),"")</f>
        <v>6.7127344521224083E-2</v>
      </c>
      <c r="AW74" s="151">
        <f>IF(AND(F74&lt;&gt;"",AK74&lt;&gt;""),AM74/(F74/2/AK74),"")</f>
        <v>9.0819348469891412E-2</v>
      </c>
      <c r="AX74" s="41">
        <f>IF(AND(AQ74&lt;&gt;"",1-(AQ74/O74)&gt;0),1-(AQ74/O74),"")</f>
        <v>0.84545454545454546</v>
      </c>
      <c r="AY74" s="41">
        <f>IF(AND(AF74&lt;&gt;"",1-(AF74/O74)&gt;0),1-(AF74/O74),"")</f>
        <v>0.91818181818181821</v>
      </c>
      <c r="AZ74" s="136" t="str">
        <f>IF(Q74="","",IF(Q74&lt;2.5,"Alc. Bruta &lt; 2,5 mg/L",IF(Q74&lt;5,"2,5 ≤ Alc. Bruta &lt; 5,0 mg/L",IF(Q74&lt;7.5,"5,0 ≤ Alc. Bruta &lt; 7,5 mg/L",IF(Q74&lt;10,"7,5 ≤ Alc. Bruta &lt; 10,0 mg/L",IF(Q74&lt;15,"10,0 ≤ Alca. Bruta &lt; 15,0 mg/L","Alc. Bruta &gt; 15 mg/L"))))))</f>
        <v>7,5 ≤ Alc. Bruta &lt; 10,0 mg/L</v>
      </c>
      <c r="BA74" s="136" t="str">
        <f>IF(P74="","",IF(P74&lt;5,"Cor &lt;5 uC",IF(P74&lt;10,"5 ≤ Cor &lt; 10 uC",IF(P74&lt;15,"10 ≤ Cor &lt;15 uC",IF(P74&lt;30,"15 ≤ Cor &lt; 30 uC",IF(P74&lt;50,"30 ≤ Cor &lt; 50 uC","Cor &gt; 50 uC"))))))</f>
        <v>5 ≤ Cor &lt; 10 uC</v>
      </c>
      <c r="BB74" s="137" t="str">
        <f>IF(O74="","",IF(O74&lt;2.5,"Turbidez &lt; 2,5 uT",IF(O74&lt;5,"2,5 ≤ Turb &lt; 5,0 uT",IF(O74&lt;7.5,"5,0 ≤ Turb &lt; 7,5 uT",IF(O74&lt;10,"7,5 ≤ Turb &lt; 10,0 uT",IF(O74&lt;15,"10,0 ≤ Turb &lt; 15,0 uT","Turb &gt; 15 uT"))))))</f>
        <v>Turbidez &lt; 2,5 uT</v>
      </c>
      <c r="BC74" s="138" t="str">
        <f>IF(AND(C74&gt;D74,D74&gt;E74),"TOR &gt; SM &gt; BNN",IF(AND(C74&gt;E74,E74&gt;D74),"TOR &gt; BNN &gt; SM",IF(AND(D74&gt;C74,C74&gt;E74),"SM &gt; TOR &gt; BNN",IF(AND(D74&gt;E74,E74&gt;C74),"SM &gt; BNN &gt; TOR",IF(AND(C74=D74,D74=E74),"TOR = SM = BNN","Comb. diferentes")))))</f>
        <v>SM &gt; TOR &gt; BNN</v>
      </c>
      <c r="BD74" s="137" t="str">
        <f>IF(OR(AE74="",AQ74="-"),"",IF(AE74&lt;=0.25,"Tipo 1 (≤0,25) uT",IF(AE74&lt;=0.5,"Tipo 2 (0,25-0,50) uT",IF(AE74&lt;=0.75,"Tipo 3 (0,50-0,75) uT","Tipo 4 (&gt;0,75) uT"))))</f>
        <v>Tipo 1 (≤0,25) uT</v>
      </c>
      <c r="BE74" s="137" t="str">
        <f t="shared" si="7"/>
        <v>Tipo 1 (≤0,25) uT</v>
      </c>
      <c r="BF74" s="137" t="str">
        <f>IF(OR(AF74="",AQ74="-"),"",IF(AF74&lt;=0.25,"Tipo 1 (≤0,25) uT",IF(AF74&lt;=0.5,"Tipo 2 (0,25-0,50) uT",IF(AF74&lt;=0.75,"Tipo 3 (0,50-0,75) uT","Tipo 4 (&gt;0,75) uT"))))</f>
        <v>Tipo 1 (≤0,25) uT</v>
      </c>
      <c r="BG74" s="137" t="str">
        <f t="shared" si="8"/>
        <v>Tipo 1 (≤0,25) uT</v>
      </c>
      <c r="BH74" s="137" t="str">
        <f>IF(OR(R74="",R74="-"),"",IF(R74&lt;=0.25,"Tipo 1 (≤0,25) uT",IF(R74&lt;=0.5,"Tipo 2 (0,25-0,50) uT",IF(R74&lt;=0.75,"Tipo 3 (0,50-0,75) uT","Tipo 4 (&gt;0,75) uT"))))</f>
        <v>Tipo 1 (≤0,25) uT</v>
      </c>
    </row>
    <row r="75" spans="1:60" x14ac:dyDescent="0.3">
      <c r="A75" s="74">
        <v>46267</v>
      </c>
      <c r="B75" s="139">
        <v>6.25E-2</v>
      </c>
      <c r="C75" s="116">
        <v>291</v>
      </c>
      <c r="D75" s="116">
        <v>1493</v>
      </c>
      <c r="E75" s="116">
        <v>250</v>
      </c>
      <c r="F75" s="116">
        <v>2034</v>
      </c>
      <c r="G75" s="144" t="s">
        <v>100</v>
      </c>
      <c r="H75" s="122">
        <v>10.8</v>
      </c>
      <c r="I75" s="116">
        <v>-78</v>
      </c>
      <c r="J75" s="10">
        <v>90</v>
      </c>
      <c r="K75" s="116">
        <v>90</v>
      </c>
      <c r="L75" s="116">
        <v>90</v>
      </c>
      <c r="M75" s="122">
        <v>24.9</v>
      </c>
      <c r="N75" s="122">
        <v>6.6</v>
      </c>
      <c r="O75" s="79">
        <v>0.95</v>
      </c>
      <c r="P75" s="116">
        <v>6</v>
      </c>
      <c r="Q75" s="122">
        <v>8.6</v>
      </c>
      <c r="R75" s="10">
        <v>0.08</v>
      </c>
      <c r="S75" s="79">
        <v>22.36</v>
      </c>
      <c r="T75" s="79">
        <v>0.88</v>
      </c>
      <c r="U75" s="79">
        <v>0.7</v>
      </c>
      <c r="V75" s="85">
        <f t="shared" si="9"/>
        <v>1573.8075000000001</v>
      </c>
      <c r="W75" s="85">
        <f t="shared" si="10"/>
        <v>1372.556302</v>
      </c>
      <c r="X75" s="85">
        <f t="shared" si="11"/>
        <v>0.87212464167313974</v>
      </c>
      <c r="Y75" s="116">
        <v>3</v>
      </c>
      <c r="Z75" s="116">
        <v>4</v>
      </c>
      <c r="AA75" s="122">
        <v>6.5</v>
      </c>
      <c r="AB75" s="116">
        <v>17</v>
      </c>
      <c r="AC75" s="122">
        <v>6.2</v>
      </c>
      <c r="AD75" s="122">
        <v>5.8</v>
      </c>
      <c r="AE75" s="79">
        <v>0.1</v>
      </c>
      <c r="AF75" s="79">
        <v>0.1</v>
      </c>
      <c r="AG75" s="85">
        <f>(O75+0.3*H75+2)*(F75/2/AK75)</f>
        <v>1573.8075000000001</v>
      </c>
      <c r="AH75" s="85">
        <f t="shared" si="12"/>
        <v>1750.3931224</v>
      </c>
      <c r="AI75" s="85">
        <f t="shared" si="13"/>
        <v>1.1122028090474851</v>
      </c>
      <c r="AJ75" s="116">
        <v>3</v>
      </c>
      <c r="AK75" s="116">
        <v>4</v>
      </c>
      <c r="AL75" s="122">
        <v>6.2</v>
      </c>
      <c r="AM75" s="116">
        <v>23</v>
      </c>
      <c r="AN75" s="122">
        <v>6.1</v>
      </c>
      <c r="AO75" s="122">
        <v>5.9</v>
      </c>
      <c r="AP75" s="79">
        <v>0.12</v>
      </c>
      <c r="AQ75" s="79">
        <v>0.18</v>
      </c>
      <c r="AR75" s="132">
        <f>SUM(C75:E75)</f>
        <v>2034</v>
      </c>
      <c r="AS75" s="134">
        <f>C75/AR75</f>
        <v>0.14306784660766961</v>
      </c>
      <c r="AT75" s="134">
        <f>D75/AR75</f>
        <v>0.73402163225172079</v>
      </c>
      <c r="AU75" s="134">
        <f>E75/AR75</f>
        <v>0.12291052114060963</v>
      </c>
      <c r="AV75" s="151">
        <f>IF(AND(F75&lt;&gt;"",Z75&lt;&gt;""),AB75/(F75/2/Z75),"")</f>
        <v>6.6863323500491637E-2</v>
      </c>
      <c r="AW75" s="151">
        <f>IF(AND(F75&lt;&gt;"",AK75&lt;&gt;""),AM75/(F75/2/AK75),"")</f>
        <v>9.0462143559488686E-2</v>
      </c>
      <c r="AX75" s="41">
        <f>IF(AND(AQ75&lt;&gt;"",1-(AQ75/O75)&gt;0),1-(AQ75/O75),"")</f>
        <v>0.81052631578947365</v>
      </c>
      <c r="AY75" s="41">
        <f>IF(AND(AF75&lt;&gt;"",1-(AF75/O75)&gt;0),1-(AF75/O75),"")</f>
        <v>0.89473684210526316</v>
      </c>
      <c r="AZ75" s="136" t="str">
        <f>IF(Q75="","",IF(Q75&lt;2.5,"Alc. Bruta &lt; 2,5 mg/L",IF(Q75&lt;5,"2,5 ≤ Alc. Bruta &lt; 5,0 mg/L",IF(Q75&lt;7.5,"5,0 ≤ Alc. Bruta &lt; 7,5 mg/L",IF(Q75&lt;10,"7,5 ≤ Alc. Bruta &lt; 10,0 mg/L",IF(Q75&lt;15,"10,0 ≤ Alca. Bruta &lt; 15,0 mg/L","Alc. Bruta &gt; 15 mg/L"))))))</f>
        <v>7,5 ≤ Alc. Bruta &lt; 10,0 mg/L</v>
      </c>
      <c r="BA75" s="136" t="str">
        <f>IF(P75="","",IF(P75&lt;5,"Cor &lt;5 uC",IF(P75&lt;10,"5 ≤ Cor &lt; 10 uC",IF(P75&lt;15,"10 ≤ Cor &lt;15 uC",IF(P75&lt;30,"15 ≤ Cor &lt; 30 uC",IF(P75&lt;50,"30 ≤ Cor &lt; 50 uC","Cor &gt; 50 uC"))))))</f>
        <v>5 ≤ Cor &lt; 10 uC</v>
      </c>
      <c r="BB75" s="137" t="str">
        <f>IF(O75="","",IF(O75&lt;2.5,"Turbidez &lt; 2,5 uT",IF(O75&lt;5,"2,5 ≤ Turb &lt; 5,0 uT",IF(O75&lt;7.5,"5,0 ≤ Turb &lt; 7,5 uT",IF(O75&lt;10,"7,5 ≤ Turb &lt; 10,0 uT",IF(O75&lt;15,"10,0 ≤ Turb &lt; 15,0 uT","Turb &gt; 15 uT"))))))</f>
        <v>Turbidez &lt; 2,5 uT</v>
      </c>
      <c r="BC75" s="138" t="str">
        <f>IF(AND(C75&gt;D75,D75&gt;E75),"TOR &gt; SM &gt; BNN",IF(AND(C75&gt;E75,E75&gt;D75),"TOR &gt; BNN &gt; SM",IF(AND(D75&gt;C75,C75&gt;E75),"SM &gt; TOR &gt; BNN",IF(AND(D75&gt;E75,E75&gt;C75),"SM &gt; BNN &gt; TOR",IF(AND(C75=D75,D75=E75),"TOR = SM = BNN","Comb. diferentes")))))</f>
        <v>SM &gt; TOR &gt; BNN</v>
      </c>
      <c r="BD75" s="137" t="str">
        <f>IF(OR(AE75="",AQ75="-"),"",IF(AE75&lt;=0.25,"Tipo 1 (≤0,25) uT",IF(AE75&lt;=0.5,"Tipo 2 (0,25-0,50) uT",IF(AE75&lt;=0.75,"Tipo 3 (0,50-0,75) uT","Tipo 4 (&gt;0,75) uT"))))</f>
        <v>Tipo 1 (≤0,25) uT</v>
      </c>
      <c r="BE75" s="137" t="str">
        <f t="shared" si="7"/>
        <v>Tipo 1 (≤0,25) uT</v>
      </c>
      <c r="BF75" s="137" t="str">
        <f>IF(OR(AF75="",AQ75="-"),"",IF(AF75&lt;=0.25,"Tipo 1 (≤0,25) uT",IF(AF75&lt;=0.5,"Tipo 2 (0,25-0,50) uT",IF(AF75&lt;=0.75,"Tipo 3 (0,50-0,75) uT","Tipo 4 (&gt;0,75) uT"))))</f>
        <v>Tipo 1 (≤0,25) uT</v>
      </c>
      <c r="BG75" s="137" t="str">
        <f t="shared" si="8"/>
        <v>Tipo 1 (≤0,25) uT</v>
      </c>
      <c r="BH75" s="137" t="str">
        <f>IF(OR(R75="",R75="-"),"",IF(R75&lt;=0.25,"Tipo 1 (≤0,25) uT",IF(R75&lt;=0.5,"Tipo 2 (0,25-0,50) uT",IF(R75&lt;=0.75,"Tipo 3 (0,50-0,75) uT","Tipo 4 (&gt;0,75) uT"))))</f>
        <v>Tipo 1 (≤0,25) uT</v>
      </c>
    </row>
    <row r="76" spans="1:60" x14ac:dyDescent="0.3">
      <c r="A76" s="74">
        <v>46267</v>
      </c>
      <c r="B76" s="139">
        <v>0.14583333333333334</v>
      </c>
      <c r="C76" s="116">
        <v>298</v>
      </c>
      <c r="D76" s="116">
        <v>1485</v>
      </c>
      <c r="E76" s="116">
        <v>250</v>
      </c>
      <c r="F76" s="116">
        <v>2023</v>
      </c>
      <c r="G76" s="144" t="s">
        <v>100</v>
      </c>
      <c r="H76" s="122">
        <v>10.8</v>
      </c>
      <c r="I76" s="116">
        <v>-78.8</v>
      </c>
      <c r="J76" s="10">
        <v>90</v>
      </c>
      <c r="K76" s="116">
        <v>90</v>
      </c>
      <c r="L76" s="116">
        <v>90</v>
      </c>
      <c r="M76" s="122">
        <v>24.4</v>
      </c>
      <c r="N76" s="122">
        <v>6.5</v>
      </c>
      <c r="O76" s="79">
        <v>1</v>
      </c>
      <c r="P76" s="116">
        <v>7</v>
      </c>
      <c r="Q76" s="122">
        <v>8.9</v>
      </c>
      <c r="R76" s="10">
        <v>7.0000000000000007E-2</v>
      </c>
      <c r="S76" s="79">
        <v>22.36</v>
      </c>
      <c r="T76" s="79">
        <v>0.88</v>
      </c>
      <c r="U76" s="79">
        <v>0.7</v>
      </c>
      <c r="V76" s="85">
        <f t="shared" si="9"/>
        <v>1577.94</v>
      </c>
      <c r="W76" s="85">
        <f t="shared" si="10"/>
        <v>1372.556302</v>
      </c>
      <c r="X76" s="85">
        <f t="shared" si="11"/>
        <v>0.86984061624649855</v>
      </c>
      <c r="Y76" s="116">
        <v>3</v>
      </c>
      <c r="Z76" s="116">
        <v>4</v>
      </c>
      <c r="AA76" s="122">
        <v>6.5</v>
      </c>
      <c r="AB76" s="116">
        <v>17</v>
      </c>
      <c r="AC76" s="122">
        <v>6.3</v>
      </c>
      <c r="AD76" s="122">
        <v>6</v>
      </c>
      <c r="AE76" s="79">
        <v>0.19</v>
      </c>
      <c r="AF76" s="79">
        <v>0.1</v>
      </c>
      <c r="AG76" s="85">
        <f>(O76+0.3*H76+2)*(F76/2/AK76)</f>
        <v>1577.94</v>
      </c>
      <c r="AH76" s="85">
        <f t="shared" si="12"/>
        <v>1750.3931224</v>
      </c>
      <c r="AI76" s="85">
        <f t="shared" si="13"/>
        <v>1.1092900378975119</v>
      </c>
      <c r="AJ76" s="116">
        <v>3</v>
      </c>
      <c r="AK76" s="116">
        <v>4</v>
      </c>
      <c r="AL76" s="122">
        <v>6.2</v>
      </c>
      <c r="AM76" s="116">
        <v>23</v>
      </c>
      <c r="AN76" s="122">
        <v>6.2</v>
      </c>
      <c r="AO76" s="122">
        <v>6.2</v>
      </c>
      <c r="AP76" s="79">
        <v>0.21</v>
      </c>
      <c r="AQ76" s="79">
        <v>0.2</v>
      </c>
      <c r="AR76" s="132">
        <f>SUM(C76:E76)</f>
        <v>2033</v>
      </c>
      <c r="AS76" s="134">
        <f>C76/AR76</f>
        <v>0.14658140678799803</v>
      </c>
      <c r="AT76" s="134">
        <f>D76/AR76</f>
        <v>0.73044761436301031</v>
      </c>
      <c r="AU76" s="134">
        <f>E76/AR76</f>
        <v>0.12297097884899164</v>
      </c>
      <c r="AV76" s="151">
        <f>IF(AND(F76&lt;&gt;"",Z76&lt;&gt;""),AB76/(F76/2/Z76),"")</f>
        <v>6.7226890756302518E-2</v>
      </c>
      <c r="AW76" s="151">
        <f>IF(AND(F76&lt;&gt;"",AK76&lt;&gt;""),AM76/(F76/2/AK76),"")</f>
        <v>9.0954028670291648E-2</v>
      </c>
      <c r="AX76" s="41">
        <f>IF(AND(AQ76&lt;&gt;"",1-(AQ76/O76)&gt;0),1-(AQ76/O76),"")</f>
        <v>0.8</v>
      </c>
      <c r="AY76" s="41">
        <f>IF(AND(AF76&lt;&gt;"",1-(AF76/O76)&gt;0),1-(AF76/O76),"")</f>
        <v>0.9</v>
      </c>
      <c r="AZ76" s="136" t="str">
        <f>IF(Q76="","",IF(Q76&lt;2.5,"Alc. Bruta &lt; 2,5 mg/L",IF(Q76&lt;5,"2,5 ≤ Alc. Bruta &lt; 5,0 mg/L",IF(Q76&lt;7.5,"5,0 ≤ Alc. Bruta &lt; 7,5 mg/L",IF(Q76&lt;10,"7,5 ≤ Alc. Bruta &lt; 10,0 mg/L",IF(Q76&lt;15,"10,0 ≤ Alca. Bruta &lt; 15,0 mg/L","Alc. Bruta &gt; 15 mg/L"))))))</f>
        <v>7,5 ≤ Alc. Bruta &lt; 10,0 mg/L</v>
      </c>
      <c r="BA76" s="136" t="str">
        <f>IF(P76="","",IF(P76&lt;5,"Cor &lt;5 uC",IF(P76&lt;10,"5 ≤ Cor &lt; 10 uC",IF(P76&lt;15,"10 ≤ Cor &lt;15 uC",IF(P76&lt;30,"15 ≤ Cor &lt; 30 uC",IF(P76&lt;50,"30 ≤ Cor &lt; 50 uC","Cor &gt; 50 uC"))))))</f>
        <v>5 ≤ Cor &lt; 10 uC</v>
      </c>
      <c r="BB76" s="137" t="str">
        <f>IF(O76="","",IF(O76&lt;2.5,"Turbidez &lt; 2,5 uT",IF(O76&lt;5,"2,5 ≤ Turb &lt; 5,0 uT",IF(O76&lt;7.5,"5,0 ≤ Turb &lt; 7,5 uT",IF(O76&lt;10,"7,5 ≤ Turb &lt; 10,0 uT",IF(O76&lt;15,"10,0 ≤ Turb &lt; 15,0 uT","Turb &gt; 15 uT"))))))</f>
        <v>Turbidez &lt; 2,5 uT</v>
      </c>
      <c r="BC76" s="138" t="str">
        <f>IF(AND(C76&gt;D76,D76&gt;E76),"TOR &gt; SM &gt; BNN",IF(AND(C76&gt;E76,E76&gt;D76),"TOR &gt; BNN &gt; SM",IF(AND(D76&gt;C76,C76&gt;E76),"SM &gt; TOR &gt; BNN",IF(AND(D76&gt;E76,E76&gt;C76),"SM &gt; BNN &gt; TOR",IF(AND(C76=D76,D76=E76),"TOR = SM = BNN","Comb. diferentes")))))</f>
        <v>SM &gt; TOR &gt; BNN</v>
      </c>
      <c r="BD76" s="137" t="str">
        <f>IF(OR(AE76="",AQ76="-"),"",IF(AE76&lt;=0.25,"Tipo 1 (≤0,25) uT",IF(AE76&lt;=0.5,"Tipo 2 (0,25-0,50) uT",IF(AE76&lt;=0.75,"Tipo 3 (0,50-0,75) uT","Tipo 4 (&gt;0,75) uT"))))</f>
        <v>Tipo 1 (≤0,25) uT</v>
      </c>
      <c r="BE76" s="137" t="str">
        <f t="shared" si="7"/>
        <v>Tipo 1 (≤0,25) uT</v>
      </c>
      <c r="BF76" s="137" t="str">
        <f>IF(OR(AF76="",AQ76="-"),"",IF(AF76&lt;=0.25,"Tipo 1 (≤0,25) uT",IF(AF76&lt;=0.5,"Tipo 2 (0,25-0,50) uT",IF(AF76&lt;=0.75,"Tipo 3 (0,50-0,75) uT","Tipo 4 (&gt;0,75) uT"))))</f>
        <v>Tipo 1 (≤0,25) uT</v>
      </c>
      <c r="BG76" s="137" t="str">
        <f t="shared" si="8"/>
        <v>Tipo 1 (≤0,25) uT</v>
      </c>
      <c r="BH76" s="137" t="str">
        <f>IF(OR(R76="",R76="-"),"",IF(R76&lt;=0.25,"Tipo 1 (≤0,25) uT",IF(R76&lt;=0.5,"Tipo 2 (0,25-0,50) uT",IF(R76&lt;=0.75,"Tipo 3 (0,50-0,75) uT","Tipo 4 (&gt;0,75) uT"))))</f>
        <v>Tipo 1 (≤0,25) uT</v>
      </c>
    </row>
    <row r="77" spans="1:60" ht="15" thickBot="1" x14ac:dyDescent="0.35">
      <c r="A77" s="75">
        <v>46267</v>
      </c>
      <c r="B77" s="140">
        <v>0.22916666666666666</v>
      </c>
      <c r="C77" s="117">
        <v>422</v>
      </c>
      <c r="D77" s="117">
        <v>1496</v>
      </c>
      <c r="E77" s="117">
        <v>249</v>
      </c>
      <c r="F77" s="117">
        <v>2231</v>
      </c>
      <c r="G77" s="145" t="s">
        <v>100</v>
      </c>
      <c r="H77" s="123">
        <v>10.8</v>
      </c>
      <c r="I77" s="117">
        <v>-80</v>
      </c>
      <c r="J77" s="11">
        <v>90</v>
      </c>
      <c r="K77" s="117">
        <v>90</v>
      </c>
      <c r="L77" s="117">
        <v>90</v>
      </c>
      <c r="M77" s="123">
        <v>23.7</v>
      </c>
      <c r="N77" s="123">
        <v>6.6</v>
      </c>
      <c r="O77" s="80">
        <v>1.04</v>
      </c>
      <c r="P77" s="117">
        <v>3</v>
      </c>
      <c r="Q77" s="123">
        <v>8.4</v>
      </c>
      <c r="R77" s="11">
        <v>7.0000000000000007E-2</v>
      </c>
      <c r="S77" s="79">
        <v>22.36</v>
      </c>
      <c r="T77" s="79">
        <v>0.88</v>
      </c>
      <c r="U77" s="79">
        <v>0.7</v>
      </c>
      <c r="V77" s="85">
        <f t="shared" si="9"/>
        <v>1751.335</v>
      </c>
      <c r="W77" s="85">
        <f t="shared" si="10"/>
        <v>1372.556302</v>
      </c>
      <c r="X77" s="85">
        <f t="shared" si="11"/>
        <v>0.78372002044154887</v>
      </c>
      <c r="Y77" s="117">
        <v>3</v>
      </c>
      <c r="Z77" s="117">
        <v>4</v>
      </c>
      <c r="AA77" s="123">
        <v>6.5</v>
      </c>
      <c r="AB77" s="117">
        <v>17</v>
      </c>
      <c r="AC77" s="123">
        <v>6.2</v>
      </c>
      <c r="AD77" s="123">
        <v>7.1</v>
      </c>
      <c r="AE77" s="80">
        <v>0.18</v>
      </c>
      <c r="AF77" s="80">
        <v>0.1</v>
      </c>
      <c r="AG77" s="85">
        <f>(O77+0.3*H77+2)*(F77/2/AK77)</f>
        <v>1751.335</v>
      </c>
      <c r="AH77" s="85">
        <f t="shared" si="12"/>
        <v>1963.5827535999999</v>
      </c>
      <c r="AI77" s="85">
        <f t="shared" si="13"/>
        <v>1.1211919784621445</v>
      </c>
      <c r="AJ77" s="117">
        <v>3</v>
      </c>
      <c r="AK77" s="117">
        <v>4</v>
      </c>
      <c r="AL77" s="123">
        <v>6.8</v>
      </c>
      <c r="AM77" s="117">
        <v>23</v>
      </c>
      <c r="AN77" s="123">
        <v>6.2</v>
      </c>
      <c r="AO77" s="123">
        <v>6.5</v>
      </c>
      <c r="AP77" s="80">
        <v>0.14000000000000001</v>
      </c>
      <c r="AQ77" s="80">
        <v>0.18</v>
      </c>
      <c r="AR77" s="132">
        <f>SUM(C77:E77)</f>
        <v>2167</v>
      </c>
      <c r="AS77" s="134">
        <f>C77/AR77</f>
        <v>0.19473927088140286</v>
      </c>
      <c r="AT77" s="134">
        <f>D77/AR77</f>
        <v>0.69035532994923854</v>
      </c>
      <c r="AU77" s="134">
        <f>E77/AR77</f>
        <v>0.11490539916935856</v>
      </c>
      <c r="AV77" s="151">
        <f>IF(AND(F77&lt;&gt;"",Z77&lt;&gt;""),AB77/(F77/2/Z77),"")</f>
        <v>6.0959211116091441E-2</v>
      </c>
      <c r="AW77" s="151">
        <f>IF(AND(F77&lt;&gt;"",AK77&lt;&gt;""),AM77/(F77/2/AK77),"")</f>
        <v>8.247422680412371E-2</v>
      </c>
      <c r="AX77" s="41">
        <f>IF(AND(AQ77&lt;&gt;"",1-(AQ77/O77)&gt;0),1-(AQ77/O77),"")</f>
        <v>0.82692307692307687</v>
      </c>
      <c r="AY77" s="41">
        <f>IF(AND(AF77&lt;&gt;"",1-(AF77/O77)&gt;0),1-(AF77/O77),"")</f>
        <v>0.90384615384615385</v>
      </c>
      <c r="AZ77" s="136" t="str">
        <f>IF(Q77="","",IF(Q77&lt;2.5,"Alc. Bruta &lt; 2,5 mg/L",IF(Q77&lt;5,"2,5 ≤ Alc. Bruta &lt; 5,0 mg/L",IF(Q77&lt;7.5,"5,0 ≤ Alc. Bruta &lt; 7,5 mg/L",IF(Q77&lt;10,"7,5 ≤ Alc. Bruta &lt; 10,0 mg/L",IF(Q77&lt;15,"10,0 ≤ Alca. Bruta &lt; 15,0 mg/L","Alc. Bruta &gt; 15 mg/L"))))))</f>
        <v>7,5 ≤ Alc. Bruta &lt; 10,0 mg/L</v>
      </c>
      <c r="BA77" s="136" t="str">
        <f>IF(P77="","",IF(P77&lt;5,"Cor &lt;5 uC",IF(P77&lt;10,"5 ≤ Cor &lt; 10 uC",IF(P77&lt;15,"10 ≤ Cor &lt;15 uC",IF(P77&lt;30,"15 ≤ Cor &lt; 30 uC",IF(P77&lt;50,"30 ≤ Cor &lt; 50 uC","Cor &gt; 50 uC"))))))</f>
        <v>Cor &lt;5 uC</v>
      </c>
      <c r="BB77" s="137" t="str">
        <f>IF(O77="","",IF(O77&lt;2.5,"Turbidez &lt; 2,5 uT",IF(O77&lt;5,"2,5 ≤ Turb &lt; 5,0 uT",IF(O77&lt;7.5,"5,0 ≤ Turb &lt; 7,5 uT",IF(O77&lt;10,"7,5 ≤ Turb &lt; 10,0 uT",IF(O77&lt;15,"10,0 ≤ Turb &lt; 15,0 uT","Turb &gt; 15 uT"))))))</f>
        <v>Turbidez &lt; 2,5 uT</v>
      </c>
      <c r="BC77" s="138" t="str">
        <f>IF(AND(C77&gt;D77,D77&gt;E77),"TOR &gt; SM &gt; BNN",IF(AND(C77&gt;E77,E77&gt;D77),"TOR &gt; BNN &gt; SM",IF(AND(D77&gt;C77,C77&gt;E77),"SM &gt; TOR &gt; BNN",IF(AND(D77&gt;E77,E77&gt;C77),"SM &gt; BNN &gt; TOR",IF(AND(C77=D77,D77=E77),"TOR = SM = BNN","Comb. diferentes")))))</f>
        <v>SM &gt; TOR &gt; BNN</v>
      </c>
      <c r="BD77" s="137" t="str">
        <f>IF(OR(AE77="",AQ77="-"),"",IF(AE77&lt;=0.25,"Tipo 1 (≤0,25) uT",IF(AE77&lt;=0.5,"Tipo 2 (0,25-0,50) uT",IF(AE77&lt;=0.75,"Tipo 3 (0,50-0,75) uT","Tipo 4 (&gt;0,75) uT"))))</f>
        <v>Tipo 1 (≤0,25) uT</v>
      </c>
      <c r="BE77" s="137" t="str">
        <f t="shared" si="7"/>
        <v>Tipo 1 (≤0,25) uT</v>
      </c>
      <c r="BF77" s="137" t="str">
        <f>IF(OR(AF77="",AQ77="-"),"",IF(AF77&lt;=0.25,"Tipo 1 (≤0,25) uT",IF(AF77&lt;=0.5,"Tipo 2 (0,25-0,50) uT",IF(AF77&lt;=0.75,"Tipo 3 (0,50-0,75) uT","Tipo 4 (&gt;0,75) uT"))))</f>
        <v>Tipo 1 (≤0,25) uT</v>
      </c>
      <c r="BG77" s="137" t="str">
        <f t="shared" si="8"/>
        <v>Tipo 1 (≤0,25) uT</v>
      </c>
      <c r="BH77" s="137" t="str">
        <f>IF(OR(R77="",R77="-"),"",IF(R77&lt;=0.25,"Tipo 1 (≤0,25) uT",IF(R77&lt;=0.5,"Tipo 2 (0,25-0,50) uT",IF(R77&lt;=0.75,"Tipo 3 (0,50-0,75) uT","Tipo 4 (&gt;0,75) uT"))))</f>
        <v>Tipo 1 (≤0,25) uT</v>
      </c>
    </row>
    <row r="78" spans="1:60" x14ac:dyDescent="0.3">
      <c r="A78" s="73">
        <v>46267</v>
      </c>
      <c r="B78" s="141">
        <v>0.3125</v>
      </c>
      <c r="C78" s="118">
        <v>390</v>
      </c>
      <c r="D78" s="118">
        <v>1500</v>
      </c>
      <c r="E78" s="118">
        <v>250</v>
      </c>
      <c r="F78" s="118">
        <v>2231</v>
      </c>
      <c r="G78" s="146" t="s">
        <v>100</v>
      </c>
      <c r="H78" s="124">
        <v>10.8</v>
      </c>
      <c r="I78" s="118">
        <v>-85</v>
      </c>
      <c r="J78" s="9">
        <v>90</v>
      </c>
      <c r="K78" s="118">
        <v>90</v>
      </c>
      <c r="L78" s="118">
        <v>90</v>
      </c>
      <c r="M78" s="124">
        <v>24.1</v>
      </c>
      <c r="N78" s="124">
        <v>6.5</v>
      </c>
      <c r="O78" s="81">
        <v>1.08</v>
      </c>
      <c r="P78" s="118">
        <v>4</v>
      </c>
      <c r="Q78" s="124">
        <v>8.6999999999999993</v>
      </c>
      <c r="R78" s="9">
        <v>7.0000000000000007E-2</v>
      </c>
      <c r="S78" s="79">
        <v>22.36</v>
      </c>
      <c r="T78" s="79">
        <v>0.88</v>
      </c>
      <c r="U78" s="79">
        <v>0.7</v>
      </c>
      <c r="V78" s="85">
        <f t="shared" si="9"/>
        <v>1762.49</v>
      </c>
      <c r="W78" s="85">
        <f t="shared" si="10"/>
        <v>1372.556302</v>
      </c>
      <c r="X78" s="85">
        <f t="shared" si="11"/>
        <v>0.77875976714761497</v>
      </c>
      <c r="Y78" s="118">
        <v>3</v>
      </c>
      <c r="Z78" s="118">
        <v>4</v>
      </c>
      <c r="AA78" s="124">
        <v>6.5</v>
      </c>
      <c r="AB78" s="118">
        <v>17</v>
      </c>
      <c r="AC78" s="124">
        <v>6.2</v>
      </c>
      <c r="AD78" s="124">
        <v>6.6</v>
      </c>
      <c r="AE78" s="81">
        <v>0.15</v>
      </c>
      <c r="AF78" s="81">
        <v>0.12</v>
      </c>
      <c r="AG78" s="85">
        <f>(O78+0.3*H78+2)*(F78/2/AK78)</f>
        <v>1762.49</v>
      </c>
      <c r="AH78" s="85">
        <f t="shared" si="12"/>
        <v>1785.9247275999996</v>
      </c>
      <c r="AI78" s="85">
        <f t="shared" si="13"/>
        <v>1.0132963747879418</v>
      </c>
      <c r="AJ78" s="118">
        <v>3</v>
      </c>
      <c r="AK78" s="118">
        <v>4</v>
      </c>
      <c r="AL78" s="124">
        <v>6.3</v>
      </c>
      <c r="AM78" s="118">
        <v>23</v>
      </c>
      <c r="AN78" s="124">
        <v>6.1</v>
      </c>
      <c r="AO78" s="124">
        <v>5.9</v>
      </c>
      <c r="AP78" s="81">
        <v>0.16</v>
      </c>
      <c r="AQ78" s="81">
        <v>0.19</v>
      </c>
      <c r="AR78" s="132">
        <f>SUM(C78:E78)</f>
        <v>2140</v>
      </c>
      <c r="AS78" s="134">
        <f>C78/AR78</f>
        <v>0.1822429906542056</v>
      </c>
      <c r="AT78" s="134">
        <f>D78/AR78</f>
        <v>0.7009345794392523</v>
      </c>
      <c r="AU78" s="134">
        <f>E78/AR78</f>
        <v>0.11682242990654206</v>
      </c>
      <c r="AV78" s="151">
        <f>IF(AND(F78&lt;&gt;"",Z78&lt;&gt;""),AB78/(F78/2/Z78),"")</f>
        <v>6.0959211116091441E-2</v>
      </c>
      <c r="AW78" s="151">
        <f>IF(AND(F78&lt;&gt;"",AK78&lt;&gt;""),AM78/(F78/2/AK78),"")</f>
        <v>8.247422680412371E-2</v>
      </c>
      <c r="AX78" s="41">
        <f>IF(AND(AQ78&lt;&gt;"",1-(AQ78/O78)&gt;0),1-(AQ78/O78),"")</f>
        <v>0.82407407407407407</v>
      </c>
      <c r="AY78" s="41">
        <f>IF(AND(AF78&lt;&gt;"",1-(AF78/O78)&gt;0),1-(AF78/O78),"")</f>
        <v>0.88888888888888884</v>
      </c>
      <c r="AZ78" s="136" t="str">
        <f>IF(Q78="","",IF(Q78&lt;2.5,"Alc. Bruta &lt; 2,5 mg/L",IF(Q78&lt;5,"2,5 ≤ Alc. Bruta &lt; 5,0 mg/L",IF(Q78&lt;7.5,"5,0 ≤ Alc. Bruta &lt; 7,5 mg/L",IF(Q78&lt;10,"7,5 ≤ Alc. Bruta &lt; 10,0 mg/L",IF(Q78&lt;15,"10,0 ≤ Alca. Bruta &lt; 15,0 mg/L","Alc. Bruta &gt; 15 mg/L"))))))</f>
        <v>7,5 ≤ Alc. Bruta &lt; 10,0 mg/L</v>
      </c>
      <c r="BA78" s="136" t="str">
        <f>IF(P78="","",IF(P78&lt;5,"Cor &lt;5 uC",IF(P78&lt;10,"5 ≤ Cor &lt; 10 uC",IF(P78&lt;15,"10 ≤ Cor &lt;15 uC",IF(P78&lt;30,"15 ≤ Cor &lt; 30 uC",IF(P78&lt;50,"30 ≤ Cor &lt; 50 uC","Cor &gt; 50 uC"))))))</f>
        <v>Cor &lt;5 uC</v>
      </c>
      <c r="BB78" s="137" t="str">
        <f>IF(O78="","",IF(O78&lt;2.5,"Turbidez &lt; 2,5 uT",IF(O78&lt;5,"2,5 ≤ Turb &lt; 5,0 uT",IF(O78&lt;7.5,"5,0 ≤ Turb &lt; 7,5 uT",IF(O78&lt;10,"7,5 ≤ Turb &lt; 10,0 uT",IF(O78&lt;15,"10,0 ≤ Turb &lt; 15,0 uT","Turb &gt; 15 uT"))))))</f>
        <v>Turbidez &lt; 2,5 uT</v>
      </c>
      <c r="BC78" s="138" t="str">
        <f>IF(AND(C78&gt;D78,D78&gt;E78),"TOR &gt; SM &gt; BNN",IF(AND(C78&gt;E78,E78&gt;D78),"TOR &gt; BNN &gt; SM",IF(AND(D78&gt;C78,C78&gt;E78),"SM &gt; TOR &gt; BNN",IF(AND(D78&gt;E78,E78&gt;C78),"SM &gt; BNN &gt; TOR",IF(AND(C78=D78,D78=E78),"TOR = SM = BNN","Comb. diferentes")))))</f>
        <v>SM &gt; TOR &gt; BNN</v>
      </c>
      <c r="BD78" s="137" t="str">
        <f>IF(OR(AE78="",AQ78="-"),"",IF(AE78&lt;=0.25,"Tipo 1 (≤0,25) uT",IF(AE78&lt;=0.5,"Tipo 2 (0,25-0,50) uT",IF(AE78&lt;=0.75,"Tipo 3 (0,50-0,75) uT","Tipo 4 (&gt;0,75) uT"))))</f>
        <v>Tipo 1 (≤0,25) uT</v>
      </c>
      <c r="BE78" s="137" t="str">
        <f t="shared" si="7"/>
        <v>Tipo 1 (≤0,25) uT</v>
      </c>
      <c r="BF78" s="137" t="str">
        <f>IF(OR(AF78="",AQ78="-"),"",IF(AF78&lt;=0.25,"Tipo 1 (≤0,25) uT",IF(AF78&lt;=0.5,"Tipo 2 (0,25-0,50) uT",IF(AF78&lt;=0.75,"Tipo 3 (0,50-0,75) uT","Tipo 4 (&gt;0,75) uT"))))</f>
        <v>Tipo 1 (≤0,25) uT</v>
      </c>
      <c r="BG78" s="137" t="str">
        <f t="shared" si="8"/>
        <v>Tipo 1 (≤0,25) uT</v>
      </c>
      <c r="BH78" s="137" t="str">
        <f>IF(OR(R78="",R78="-"),"",IF(R78&lt;=0.25,"Tipo 1 (≤0,25) uT",IF(R78&lt;=0.5,"Tipo 2 (0,25-0,50) uT",IF(R78&lt;=0.75,"Tipo 3 (0,50-0,75) uT","Tipo 4 (&gt;0,75) uT"))))</f>
        <v>Tipo 1 (≤0,25) uT</v>
      </c>
    </row>
    <row r="79" spans="1:60" x14ac:dyDescent="0.3">
      <c r="A79" s="74">
        <v>46267</v>
      </c>
      <c r="B79" s="139">
        <v>0.39583333333333331</v>
      </c>
      <c r="C79" s="116">
        <v>386</v>
      </c>
      <c r="D79" s="116">
        <v>1635</v>
      </c>
      <c r="E79" s="116">
        <v>250</v>
      </c>
      <c r="F79" s="116">
        <v>2304</v>
      </c>
      <c r="G79" s="144" t="s">
        <v>100</v>
      </c>
      <c r="H79" s="122">
        <v>10.8</v>
      </c>
      <c r="I79" s="116">
        <v>-84</v>
      </c>
      <c r="J79" s="10">
        <v>90</v>
      </c>
      <c r="K79" s="116">
        <v>90</v>
      </c>
      <c r="L79" s="116">
        <v>90</v>
      </c>
      <c r="M79" s="122">
        <v>24.3</v>
      </c>
      <c r="N79" s="122">
        <v>6.4</v>
      </c>
      <c r="O79" s="79">
        <v>1.0900000000000001</v>
      </c>
      <c r="P79" s="116">
        <v>5</v>
      </c>
      <c r="Q79" s="122">
        <v>6</v>
      </c>
      <c r="R79" s="10">
        <v>0.11</v>
      </c>
      <c r="S79" s="79">
        <v>22.36</v>
      </c>
      <c r="T79" s="79">
        <v>0.88</v>
      </c>
      <c r="U79" s="79">
        <v>0.7</v>
      </c>
      <c r="V79" s="85">
        <f t="shared" si="9"/>
        <v>1823.04</v>
      </c>
      <c r="W79" s="85">
        <f t="shared" si="10"/>
        <v>1372.556302</v>
      </c>
      <c r="X79" s="85">
        <f t="shared" si="11"/>
        <v>0.7528942327101984</v>
      </c>
      <c r="Y79" s="116">
        <v>4</v>
      </c>
      <c r="Z79" s="116">
        <v>4</v>
      </c>
      <c r="AA79" s="122">
        <v>6.5</v>
      </c>
      <c r="AB79" s="116">
        <v>17</v>
      </c>
      <c r="AC79" s="122">
        <v>6.1</v>
      </c>
      <c r="AD79" s="122">
        <v>5</v>
      </c>
      <c r="AE79" s="79">
        <v>0.22</v>
      </c>
      <c r="AF79" s="79">
        <v>0.13</v>
      </c>
      <c r="AG79" s="85">
        <f>(O79+0.3*H79+2)*(F79/2/AK79)</f>
        <v>1823.04</v>
      </c>
      <c r="AH79" s="85">
        <f t="shared" si="12"/>
        <v>1785.9247275999996</v>
      </c>
      <c r="AI79" s="85">
        <f t="shared" si="13"/>
        <v>0.9796409994295241</v>
      </c>
      <c r="AJ79" s="116">
        <v>3</v>
      </c>
      <c r="AK79" s="116">
        <v>4</v>
      </c>
      <c r="AL79" s="122">
        <v>6.3</v>
      </c>
      <c r="AM79" s="116">
        <v>23</v>
      </c>
      <c r="AN79" s="122">
        <v>6</v>
      </c>
      <c r="AO79" s="122">
        <v>4.4000000000000004</v>
      </c>
      <c r="AP79" s="79">
        <v>0.22</v>
      </c>
      <c r="AQ79" s="79">
        <v>0.2</v>
      </c>
      <c r="AR79" s="132">
        <f>SUM(C79:E79)</f>
        <v>2271</v>
      </c>
      <c r="AS79" s="134">
        <f>C79/AR79</f>
        <v>0.16996917657419638</v>
      </c>
      <c r="AT79" s="134">
        <f>D79/AR79</f>
        <v>0.7199471598414795</v>
      </c>
      <c r="AU79" s="134">
        <f>E79/AR79</f>
        <v>0.11008366358432409</v>
      </c>
      <c r="AV79" s="151">
        <f>IF(AND(F79&lt;&gt;"",Z79&lt;&gt;""),AB79/(F79/2/Z79),"")</f>
        <v>5.9027777777777776E-2</v>
      </c>
      <c r="AW79" s="151">
        <f>IF(AND(F79&lt;&gt;"",AK79&lt;&gt;""),AM79/(F79/2/AK79),"")</f>
        <v>7.9861111111111105E-2</v>
      </c>
      <c r="AX79" s="41">
        <f>IF(AND(AQ79&lt;&gt;"",1-(AQ79/O79)&gt;0),1-(AQ79/O79),"")</f>
        <v>0.8165137614678899</v>
      </c>
      <c r="AY79" s="41">
        <f>IF(AND(AF79&lt;&gt;"",1-(AF79/O79)&gt;0),1-(AF79/O79),"")</f>
        <v>0.88073394495412849</v>
      </c>
      <c r="AZ79" s="136" t="str">
        <f>IF(Q79="","",IF(Q79&lt;2.5,"Alc. Bruta &lt; 2,5 mg/L",IF(Q79&lt;5,"2,5 ≤ Alc. Bruta &lt; 5,0 mg/L",IF(Q79&lt;7.5,"5,0 ≤ Alc. Bruta &lt; 7,5 mg/L",IF(Q79&lt;10,"7,5 ≤ Alc. Bruta &lt; 10,0 mg/L",IF(Q79&lt;15,"10,0 ≤ Alca. Bruta &lt; 15,0 mg/L","Alc. Bruta &gt; 15 mg/L"))))))</f>
        <v>5,0 ≤ Alc. Bruta &lt; 7,5 mg/L</v>
      </c>
      <c r="BA79" s="136" t="str">
        <f>IF(P79="","",IF(P79&lt;5,"Cor &lt;5 uC",IF(P79&lt;10,"5 ≤ Cor &lt; 10 uC",IF(P79&lt;15,"10 ≤ Cor &lt;15 uC",IF(P79&lt;30,"15 ≤ Cor &lt; 30 uC",IF(P79&lt;50,"30 ≤ Cor &lt; 50 uC","Cor &gt; 50 uC"))))))</f>
        <v>5 ≤ Cor &lt; 10 uC</v>
      </c>
      <c r="BB79" s="137" t="str">
        <f>IF(O79="","",IF(O79&lt;2.5,"Turbidez &lt; 2,5 uT",IF(O79&lt;5,"2,5 ≤ Turb &lt; 5,0 uT",IF(O79&lt;7.5,"5,0 ≤ Turb &lt; 7,5 uT",IF(O79&lt;10,"7,5 ≤ Turb &lt; 10,0 uT",IF(O79&lt;15,"10,0 ≤ Turb &lt; 15,0 uT","Turb &gt; 15 uT"))))))</f>
        <v>Turbidez &lt; 2,5 uT</v>
      </c>
      <c r="BC79" s="138" t="str">
        <f>IF(AND(C79&gt;D79,D79&gt;E79),"TOR &gt; SM &gt; BNN",IF(AND(C79&gt;E79,E79&gt;D79),"TOR &gt; BNN &gt; SM",IF(AND(D79&gt;C79,C79&gt;E79),"SM &gt; TOR &gt; BNN",IF(AND(D79&gt;E79,E79&gt;C79),"SM &gt; BNN &gt; TOR",IF(AND(C79=D79,D79=E79),"TOR = SM = BNN","Comb. diferentes")))))</f>
        <v>SM &gt; TOR &gt; BNN</v>
      </c>
      <c r="BD79" s="137" t="str">
        <f>IF(OR(AE79="",AQ79="-"),"",IF(AE79&lt;=0.25,"Tipo 1 (≤0,25) uT",IF(AE79&lt;=0.5,"Tipo 2 (0,25-0,50) uT",IF(AE79&lt;=0.75,"Tipo 3 (0,50-0,75) uT","Tipo 4 (&gt;0,75) uT"))))</f>
        <v>Tipo 1 (≤0,25) uT</v>
      </c>
      <c r="BE79" s="137" t="str">
        <f t="shared" si="7"/>
        <v>Tipo 1 (≤0,25) uT</v>
      </c>
      <c r="BF79" s="137" t="str">
        <f>IF(OR(AF79="",AQ79="-"),"",IF(AF79&lt;=0.25,"Tipo 1 (≤0,25) uT",IF(AF79&lt;=0.5,"Tipo 2 (0,25-0,50) uT",IF(AF79&lt;=0.75,"Tipo 3 (0,50-0,75) uT","Tipo 4 (&gt;0,75) uT"))))</f>
        <v>Tipo 1 (≤0,25) uT</v>
      </c>
      <c r="BG79" s="137" t="str">
        <f t="shared" si="8"/>
        <v>Tipo 1 (≤0,25) uT</v>
      </c>
      <c r="BH79" s="137" t="str">
        <f>IF(OR(R79="",R79="-"),"",IF(R79&lt;=0.25,"Tipo 1 (≤0,25) uT",IF(R79&lt;=0.5,"Tipo 2 (0,25-0,50) uT",IF(R79&lt;=0.75,"Tipo 3 (0,50-0,75) uT","Tipo 4 (&gt;0,75) uT"))))</f>
        <v>Tipo 1 (≤0,25) uT</v>
      </c>
    </row>
    <row r="80" spans="1:60" x14ac:dyDescent="0.3">
      <c r="A80" s="74">
        <v>46267</v>
      </c>
      <c r="B80" s="139">
        <v>0.47916666666666669</v>
      </c>
      <c r="C80" s="116">
        <v>376</v>
      </c>
      <c r="D80" s="116">
        <v>1650</v>
      </c>
      <c r="E80" s="116">
        <v>249</v>
      </c>
      <c r="F80" s="116">
        <v>2237</v>
      </c>
      <c r="G80" s="144" t="s">
        <v>100</v>
      </c>
      <c r="H80" s="122">
        <v>10.8</v>
      </c>
      <c r="I80" s="116">
        <v>-83</v>
      </c>
      <c r="J80" s="10">
        <v>90</v>
      </c>
      <c r="K80" s="116">
        <v>90</v>
      </c>
      <c r="L80" s="116">
        <v>90</v>
      </c>
      <c r="M80" s="122">
        <v>24.2</v>
      </c>
      <c r="N80" s="122">
        <v>6.4</v>
      </c>
      <c r="O80" s="79">
        <v>1.02</v>
      </c>
      <c r="P80" s="116">
        <v>5</v>
      </c>
      <c r="Q80" s="122">
        <v>5.7</v>
      </c>
      <c r="R80" s="10">
        <v>0.14000000000000001</v>
      </c>
      <c r="S80" s="79">
        <v>22.36</v>
      </c>
      <c r="T80" s="79">
        <v>0.88</v>
      </c>
      <c r="U80" s="79">
        <v>0.7</v>
      </c>
      <c r="V80" s="85">
        <f t="shared" si="9"/>
        <v>1750.4524999999999</v>
      </c>
      <c r="W80" s="85">
        <f t="shared" si="10"/>
        <v>1372.556302</v>
      </c>
      <c r="X80" s="85">
        <f t="shared" si="11"/>
        <v>0.78411513708598213</v>
      </c>
      <c r="Y80" s="116">
        <v>3</v>
      </c>
      <c r="Z80" s="116">
        <v>4</v>
      </c>
      <c r="AA80" s="122">
        <v>6.5</v>
      </c>
      <c r="AB80" s="116">
        <v>17</v>
      </c>
      <c r="AC80" s="122">
        <v>6.2</v>
      </c>
      <c r="AD80" s="122">
        <v>4.5</v>
      </c>
      <c r="AE80" s="79">
        <v>0.2</v>
      </c>
      <c r="AF80" s="79">
        <v>0.13</v>
      </c>
      <c r="AG80" s="85">
        <f>(O80+0.3*H80+2)*(F80/2/AK80)</f>
        <v>1750.4524999999999</v>
      </c>
      <c r="AH80" s="85">
        <f t="shared" si="12"/>
        <v>1785.9247275999996</v>
      </c>
      <c r="AI80" s="85">
        <f t="shared" si="13"/>
        <v>1.0202646044951234</v>
      </c>
      <c r="AJ80" s="116">
        <v>3</v>
      </c>
      <c r="AK80" s="116">
        <v>4</v>
      </c>
      <c r="AL80" s="122">
        <v>6.3</v>
      </c>
      <c r="AM80" s="116">
        <v>23</v>
      </c>
      <c r="AN80" s="122">
        <v>5.9</v>
      </c>
      <c r="AO80" s="122">
        <v>4.5</v>
      </c>
      <c r="AP80" s="79">
        <v>0.23</v>
      </c>
      <c r="AQ80" s="79">
        <v>0.2</v>
      </c>
      <c r="AR80" s="132">
        <f>SUM(C80:E80)</f>
        <v>2275</v>
      </c>
      <c r="AS80" s="134">
        <f>C80/AR80</f>
        <v>0.16527472527472528</v>
      </c>
      <c r="AT80" s="134">
        <f>D80/AR80</f>
        <v>0.72527472527472525</v>
      </c>
      <c r="AU80" s="134">
        <f>E80/AR80</f>
        <v>0.10945054945054945</v>
      </c>
      <c r="AV80" s="151">
        <f>IF(AND(F80&lt;&gt;"",Z80&lt;&gt;""),AB80/(F80/2/Z80),"")</f>
        <v>6.0795708538220833E-2</v>
      </c>
      <c r="AW80" s="151">
        <f>IF(AND(F80&lt;&gt;"",AK80&lt;&gt;""),AM80/(F80/2/AK80),"")</f>
        <v>8.2253017434063477E-2</v>
      </c>
      <c r="AX80" s="41">
        <f>IF(AND(AQ80&lt;&gt;"",1-(AQ80/O80)&gt;0),1-(AQ80/O80),"")</f>
        <v>0.80392156862745101</v>
      </c>
      <c r="AY80" s="41">
        <f>IF(AND(AF80&lt;&gt;"",1-(AF80/O80)&gt;0),1-(AF80/O80),"")</f>
        <v>0.87254901960784315</v>
      </c>
      <c r="AZ80" s="136" t="str">
        <f>IF(Q80="","",IF(Q80&lt;2.5,"Alc. Bruta &lt; 2,5 mg/L",IF(Q80&lt;5,"2,5 ≤ Alc. Bruta &lt; 5,0 mg/L",IF(Q80&lt;7.5,"5,0 ≤ Alc. Bruta &lt; 7,5 mg/L",IF(Q80&lt;10,"7,5 ≤ Alc. Bruta &lt; 10,0 mg/L",IF(Q80&lt;15,"10,0 ≤ Alca. Bruta &lt; 15,0 mg/L","Alc. Bruta &gt; 15 mg/L"))))))</f>
        <v>5,0 ≤ Alc. Bruta &lt; 7,5 mg/L</v>
      </c>
      <c r="BA80" s="136" t="str">
        <f>IF(P80="","",IF(P80&lt;5,"Cor &lt;5 uC",IF(P80&lt;10,"5 ≤ Cor &lt; 10 uC",IF(P80&lt;15,"10 ≤ Cor &lt;15 uC",IF(P80&lt;30,"15 ≤ Cor &lt; 30 uC",IF(P80&lt;50,"30 ≤ Cor &lt; 50 uC","Cor &gt; 50 uC"))))))</f>
        <v>5 ≤ Cor &lt; 10 uC</v>
      </c>
      <c r="BB80" s="137" t="str">
        <f>IF(O80="","",IF(O80&lt;2.5,"Turbidez &lt; 2,5 uT",IF(O80&lt;5,"2,5 ≤ Turb &lt; 5,0 uT",IF(O80&lt;7.5,"5,0 ≤ Turb &lt; 7,5 uT",IF(O80&lt;10,"7,5 ≤ Turb &lt; 10,0 uT",IF(O80&lt;15,"10,0 ≤ Turb &lt; 15,0 uT","Turb &gt; 15 uT"))))))</f>
        <v>Turbidez &lt; 2,5 uT</v>
      </c>
      <c r="BC80" s="138" t="str">
        <f>IF(AND(C80&gt;D80,D80&gt;E80),"TOR &gt; SM &gt; BNN",IF(AND(C80&gt;E80,E80&gt;D80),"TOR &gt; BNN &gt; SM",IF(AND(D80&gt;C80,C80&gt;E80),"SM &gt; TOR &gt; BNN",IF(AND(D80&gt;E80,E80&gt;C80),"SM &gt; BNN &gt; TOR",IF(AND(C80=D80,D80=E80),"TOR = SM = BNN","Comb. diferentes")))))</f>
        <v>SM &gt; TOR &gt; BNN</v>
      </c>
      <c r="BD80" s="137" t="str">
        <f>IF(OR(AE80="",AQ80="-"),"",IF(AE80&lt;=0.25,"Tipo 1 (≤0,25) uT",IF(AE80&lt;=0.5,"Tipo 2 (0,25-0,50) uT",IF(AE80&lt;=0.75,"Tipo 3 (0,50-0,75) uT","Tipo 4 (&gt;0,75) uT"))))</f>
        <v>Tipo 1 (≤0,25) uT</v>
      </c>
      <c r="BE80" s="137" t="str">
        <f t="shared" si="7"/>
        <v>Tipo 1 (≤0,25) uT</v>
      </c>
      <c r="BF80" s="137" t="str">
        <f>IF(OR(AF80="",AQ80="-"),"",IF(AF80&lt;=0.25,"Tipo 1 (≤0,25) uT",IF(AF80&lt;=0.5,"Tipo 2 (0,25-0,50) uT",IF(AF80&lt;=0.75,"Tipo 3 (0,50-0,75) uT","Tipo 4 (&gt;0,75) uT"))))</f>
        <v>Tipo 1 (≤0,25) uT</v>
      </c>
      <c r="BG80" s="137" t="str">
        <f t="shared" si="8"/>
        <v>Tipo 1 (≤0,25) uT</v>
      </c>
      <c r="BH80" s="137" t="str">
        <f>IF(OR(R80="",R80="-"),"",IF(R80&lt;=0.25,"Tipo 1 (≤0,25) uT",IF(R80&lt;=0.5,"Tipo 2 (0,25-0,50) uT",IF(R80&lt;=0.75,"Tipo 3 (0,50-0,75) uT","Tipo 4 (&gt;0,75) uT"))))</f>
        <v>Tipo 1 (≤0,25) uT</v>
      </c>
    </row>
    <row r="81" spans="1:60" x14ac:dyDescent="0.3">
      <c r="A81" s="74">
        <v>46267</v>
      </c>
      <c r="B81" s="139">
        <v>0.64583333333333337</v>
      </c>
      <c r="C81" s="116">
        <v>291</v>
      </c>
      <c r="D81" s="116">
        <v>1650</v>
      </c>
      <c r="E81" s="116">
        <v>250</v>
      </c>
      <c r="F81" s="116">
        <v>2241</v>
      </c>
      <c r="G81" s="144" t="s">
        <v>100</v>
      </c>
      <c r="H81" s="122">
        <v>10.8</v>
      </c>
      <c r="I81" s="116">
        <v>-80</v>
      </c>
      <c r="J81" s="10">
        <v>90</v>
      </c>
      <c r="K81" s="116">
        <v>90</v>
      </c>
      <c r="L81" s="116">
        <v>90</v>
      </c>
      <c r="M81" s="122">
        <v>25.2</v>
      </c>
      <c r="N81" s="122">
        <v>6.3</v>
      </c>
      <c r="O81" s="79">
        <v>1.04</v>
      </c>
      <c r="P81" s="116">
        <v>5</v>
      </c>
      <c r="Q81" s="122">
        <v>5.8</v>
      </c>
      <c r="R81" s="10">
        <v>7.0000000000000007E-2</v>
      </c>
      <c r="S81" s="79">
        <v>22.36</v>
      </c>
      <c r="T81" s="79">
        <v>0.88</v>
      </c>
      <c r="U81" s="79">
        <v>0.7</v>
      </c>
      <c r="V81" s="85">
        <f t="shared" si="9"/>
        <v>1759.1850000000002</v>
      </c>
      <c r="W81" s="85">
        <f t="shared" si="10"/>
        <v>1372.556302</v>
      </c>
      <c r="X81" s="85">
        <f t="shared" si="11"/>
        <v>0.78022283159531247</v>
      </c>
      <c r="Y81" s="116">
        <v>3</v>
      </c>
      <c r="Z81" s="116">
        <v>4</v>
      </c>
      <c r="AA81" s="122">
        <v>6.5</v>
      </c>
      <c r="AB81" s="116">
        <v>17</v>
      </c>
      <c r="AC81" s="122">
        <v>6.2</v>
      </c>
      <c r="AD81" s="122">
        <v>4.5</v>
      </c>
      <c r="AE81" s="79">
        <v>0.13</v>
      </c>
      <c r="AF81" s="79">
        <v>0.12</v>
      </c>
      <c r="AG81" s="85">
        <f>(O81+0.3*H81+2)*(F81/2/AK81)</f>
        <v>1759.1850000000002</v>
      </c>
      <c r="AH81" s="85">
        <f t="shared" si="12"/>
        <v>1785.9247275999996</v>
      </c>
      <c r="AI81" s="85">
        <f t="shared" si="13"/>
        <v>1.0152000657122471</v>
      </c>
      <c r="AJ81" s="116">
        <v>3</v>
      </c>
      <c r="AK81" s="116">
        <v>4</v>
      </c>
      <c r="AL81" s="122">
        <v>6.3</v>
      </c>
      <c r="AM81" s="116">
        <v>23</v>
      </c>
      <c r="AN81" s="122">
        <v>5.8</v>
      </c>
      <c r="AO81" s="122">
        <v>3.8</v>
      </c>
      <c r="AP81" s="79">
        <v>0.1</v>
      </c>
      <c r="AQ81" s="79">
        <v>0.18</v>
      </c>
      <c r="AR81" s="132">
        <f>SUM(C81:E81)</f>
        <v>2191</v>
      </c>
      <c r="AS81" s="134">
        <f>C81/AR81</f>
        <v>0.13281606572341398</v>
      </c>
      <c r="AT81" s="134">
        <f>D81/AR81</f>
        <v>0.7530807850296668</v>
      </c>
      <c r="AU81" s="134">
        <f>E81/AR81</f>
        <v>0.11410314924691921</v>
      </c>
      <c r="AV81" s="151">
        <f>IF(AND(F81&lt;&gt;"",Z81&lt;&gt;""),AB81/(F81/2/Z81),"")</f>
        <v>6.0687193217313702E-2</v>
      </c>
      <c r="AW81" s="151">
        <f>IF(AND(F81&lt;&gt;"",AK81&lt;&gt;""),AM81/(F81/2/AK81),"")</f>
        <v>8.2106202588130298E-2</v>
      </c>
      <c r="AX81" s="41">
        <f>IF(AND(AQ81&lt;&gt;"",1-(AQ81/O81)&gt;0),1-(AQ81/O81),"")</f>
        <v>0.82692307692307687</v>
      </c>
      <c r="AY81" s="41">
        <f>IF(AND(AF81&lt;&gt;"",1-(AF81/O81)&gt;0),1-(AF81/O81),"")</f>
        <v>0.88461538461538458</v>
      </c>
      <c r="AZ81" s="136" t="str">
        <f>IF(Q81="","",IF(Q81&lt;2.5,"Alc. Bruta &lt; 2,5 mg/L",IF(Q81&lt;5,"2,5 ≤ Alc. Bruta &lt; 5,0 mg/L",IF(Q81&lt;7.5,"5,0 ≤ Alc. Bruta &lt; 7,5 mg/L",IF(Q81&lt;10,"7,5 ≤ Alc. Bruta &lt; 10,0 mg/L",IF(Q81&lt;15,"10,0 ≤ Alca. Bruta &lt; 15,0 mg/L","Alc. Bruta &gt; 15 mg/L"))))))</f>
        <v>5,0 ≤ Alc. Bruta &lt; 7,5 mg/L</v>
      </c>
      <c r="BA81" s="136" t="str">
        <f>IF(P81="","",IF(P81&lt;5,"Cor &lt;5 uC",IF(P81&lt;10,"5 ≤ Cor &lt; 10 uC",IF(P81&lt;15,"10 ≤ Cor &lt;15 uC",IF(P81&lt;30,"15 ≤ Cor &lt; 30 uC",IF(P81&lt;50,"30 ≤ Cor &lt; 50 uC","Cor &gt; 50 uC"))))))</f>
        <v>5 ≤ Cor &lt; 10 uC</v>
      </c>
      <c r="BB81" s="137" t="str">
        <f>IF(O81="","",IF(O81&lt;2.5,"Turbidez &lt; 2,5 uT",IF(O81&lt;5,"2,5 ≤ Turb &lt; 5,0 uT",IF(O81&lt;7.5,"5,0 ≤ Turb &lt; 7,5 uT",IF(O81&lt;10,"7,5 ≤ Turb &lt; 10,0 uT",IF(O81&lt;15,"10,0 ≤ Turb &lt; 15,0 uT","Turb &gt; 15 uT"))))))</f>
        <v>Turbidez &lt; 2,5 uT</v>
      </c>
      <c r="BC81" s="138" t="str">
        <f>IF(AND(C81&gt;D81,D81&gt;E81),"TOR &gt; SM &gt; BNN",IF(AND(C81&gt;E81,E81&gt;D81),"TOR &gt; BNN &gt; SM",IF(AND(D81&gt;C81,C81&gt;E81),"SM &gt; TOR &gt; BNN",IF(AND(D81&gt;E81,E81&gt;C81),"SM &gt; BNN &gt; TOR",IF(AND(C81=D81,D81=E81),"TOR = SM = BNN","Comb. diferentes")))))</f>
        <v>SM &gt; TOR &gt; BNN</v>
      </c>
      <c r="BD81" s="137" t="str">
        <f>IF(OR(AE81="",AQ81="-"),"",IF(AE81&lt;=0.25,"Tipo 1 (≤0,25) uT",IF(AE81&lt;=0.5,"Tipo 2 (0,25-0,50) uT",IF(AE81&lt;=0.75,"Tipo 3 (0,50-0,75) uT","Tipo 4 (&gt;0,75) uT"))))</f>
        <v>Tipo 1 (≤0,25) uT</v>
      </c>
      <c r="BE81" s="137" t="str">
        <f t="shared" si="7"/>
        <v>Tipo 1 (≤0,25) uT</v>
      </c>
      <c r="BF81" s="137" t="str">
        <f>IF(OR(AF81="",AQ81="-"),"",IF(AF81&lt;=0.25,"Tipo 1 (≤0,25) uT",IF(AF81&lt;=0.5,"Tipo 2 (0,25-0,50) uT",IF(AF81&lt;=0.75,"Tipo 3 (0,50-0,75) uT","Tipo 4 (&gt;0,75) uT"))))</f>
        <v>Tipo 1 (≤0,25) uT</v>
      </c>
      <c r="BG81" s="137" t="str">
        <f t="shared" si="8"/>
        <v>Tipo 1 (≤0,25) uT</v>
      </c>
      <c r="BH81" s="137" t="str">
        <f>IF(OR(R81="",R81="-"),"",IF(R81&lt;=0.25,"Tipo 1 (≤0,25) uT",IF(R81&lt;=0.5,"Tipo 2 (0,25-0,50) uT",IF(R81&lt;=0.75,"Tipo 3 (0,50-0,75) uT","Tipo 4 (&gt;0,75) uT"))))</f>
        <v>Tipo 1 (≤0,25) uT</v>
      </c>
    </row>
    <row r="82" spans="1:60" x14ac:dyDescent="0.3">
      <c r="A82" s="74">
        <v>46267</v>
      </c>
      <c r="B82" s="139">
        <v>0.72916666666666663</v>
      </c>
      <c r="C82" s="116">
        <v>292</v>
      </c>
      <c r="D82" s="116">
        <v>1690</v>
      </c>
      <c r="E82" s="116">
        <v>250</v>
      </c>
      <c r="F82" s="116">
        <v>2211</v>
      </c>
      <c r="G82" s="144" t="s">
        <v>100</v>
      </c>
      <c r="H82" s="122">
        <v>10.8</v>
      </c>
      <c r="I82" s="116">
        <v>-80</v>
      </c>
      <c r="J82" s="10">
        <v>90</v>
      </c>
      <c r="K82" s="116">
        <v>90</v>
      </c>
      <c r="L82" s="116">
        <v>90</v>
      </c>
      <c r="M82" s="122">
        <v>24.6</v>
      </c>
      <c r="N82" s="122">
        <v>6.3</v>
      </c>
      <c r="O82" s="79">
        <v>1.1100000000000001</v>
      </c>
      <c r="P82" s="116">
        <v>5</v>
      </c>
      <c r="Q82" s="122">
        <v>6</v>
      </c>
      <c r="R82" s="10">
        <v>7.0000000000000007E-2</v>
      </c>
      <c r="S82" s="79">
        <v>22.36</v>
      </c>
      <c r="T82" s="79">
        <v>0.88</v>
      </c>
      <c r="U82" s="79">
        <v>0.7</v>
      </c>
      <c r="V82" s="85">
        <f t="shared" si="9"/>
        <v>1754.98125</v>
      </c>
      <c r="W82" s="85">
        <f t="shared" si="10"/>
        <v>1372.556302</v>
      </c>
      <c r="X82" s="85">
        <f t="shared" si="11"/>
        <v>0.78209171864371763</v>
      </c>
      <c r="Y82" s="116">
        <v>3</v>
      </c>
      <c r="Z82" s="116">
        <v>4</v>
      </c>
      <c r="AA82" s="122">
        <v>6.5</v>
      </c>
      <c r="AB82" s="116">
        <v>17</v>
      </c>
      <c r="AC82" s="122">
        <v>6.1</v>
      </c>
      <c r="AD82" s="122">
        <v>4.3</v>
      </c>
      <c r="AE82" s="79">
        <v>0.15</v>
      </c>
      <c r="AF82" s="79">
        <v>0.13</v>
      </c>
      <c r="AG82" s="85">
        <f>(O82+0.3*H82+2)*(F82/2/AK82)</f>
        <v>1754.98125</v>
      </c>
      <c r="AH82" s="85">
        <f t="shared" si="12"/>
        <v>1785.9247275999996</v>
      </c>
      <c r="AI82" s="85">
        <f t="shared" si="13"/>
        <v>1.0176317995420177</v>
      </c>
      <c r="AJ82" s="116">
        <v>3</v>
      </c>
      <c r="AK82" s="116">
        <v>4</v>
      </c>
      <c r="AL82" s="122">
        <v>6.3</v>
      </c>
      <c r="AM82" s="116">
        <v>23</v>
      </c>
      <c r="AN82" s="122">
        <v>5.9</v>
      </c>
      <c r="AO82" s="122">
        <v>4</v>
      </c>
      <c r="AP82" s="79">
        <v>0.14000000000000001</v>
      </c>
      <c r="AQ82" s="79">
        <v>0.2</v>
      </c>
      <c r="AR82" s="132">
        <f>SUM(C82:E82)</f>
        <v>2232</v>
      </c>
      <c r="AS82" s="134">
        <f>C82/AR82</f>
        <v>0.13082437275985664</v>
      </c>
      <c r="AT82" s="134">
        <f>D82/AR82</f>
        <v>0.75716845878136196</v>
      </c>
      <c r="AU82" s="134">
        <f>E82/AR82</f>
        <v>0.11200716845878136</v>
      </c>
      <c r="AV82" s="151">
        <f>IF(AND(F82&lt;&gt;"",Z82&lt;&gt;""),AB82/(F82/2/Z82),"")</f>
        <v>6.1510628674807777E-2</v>
      </c>
      <c r="AW82" s="151">
        <f>IF(AND(F82&lt;&gt;"",AK82&lt;&gt;""),AM82/(F82/2/AK82),"")</f>
        <v>8.3220262324739933E-2</v>
      </c>
      <c r="AX82" s="41">
        <f>IF(AND(AQ82&lt;&gt;"",1-(AQ82/O82)&gt;0),1-(AQ82/O82),"")</f>
        <v>0.81981981981981988</v>
      </c>
      <c r="AY82" s="41">
        <f>IF(AND(AF82&lt;&gt;"",1-(AF82/O82)&gt;0),1-(AF82/O82),"")</f>
        <v>0.88288288288288286</v>
      </c>
      <c r="AZ82" s="136" t="str">
        <f>IF(Q82="","",IF(Q82&lt;2.5,"Alc. Bruta &lt; 2,5 mg/L",IF(Q82&lt;5,"2,5 ≤ Alc. Bruta &lt; 5,0 mg/L",IF(Q82&lt;7.5,"5,0 ≤ Alc. Bruta &lt; 7,5 mg/L",IF(Q82&lt;10,"7,5 ≤ Alc. Bruta &lt; 10,0 mg/L",IF(Q82&lt;15,"10,0 ≤ Alca. Bruta &lt; 15,0 mg/L","Alc. Bruta &gt; 15 mg/L"))))))</f>
        <v>5,0 ≤ Alc. Bruta &lt; 7,5 mg/L</v>
      </c>
      <c r="BA82" s="136" t="str">
        <f>IF(P82="","",IF(P82&lt;5,"Cor &lt;5 uC",IF(P82&lt;10,"5 ≤ Cor &lt; 10 uC",IF(P82&lt;15,"10 ≤ Cor &lt;15 uC",IF(P82&lt;30,"15 ≤ Cor &lt; 30 uC",IF(P82&lt;50,"30 ≤ Cor &lt; 50 uC","Cor &gt; 50 uC"))))))</f>
        <v>5 ≤ Cor &lt; 10 uC</v>
      </c>
      <c r="BB82" s="137" t="str">
        <f>IF(O82="","",IF(O82&lt;2.5,"Turbidez &lt; 2,5 uT",IF(O82&lt;5,"2,5 ≤ Turb &lt; 5,0 uT",IF(O82&lt;7.5,"5,0 ≤ Turb &lt; 7,5 uT",IF(O82&lt;10,"7,5 ≤ Turb &lt; 10,0 uT",IF(O82&lt;15,"10,0 ≤ Turb &lt; 15,0 uT","Turb &gt; 15 uT"))))))</f>
        <v>Turbidez &lt; 2,5 uT</v>
      </c>
      <c r="BC82" s="138" t="str">
        <f>IF(AND(C82&gt;D82,D82&gt;E82),"TOR &gt; SM &gt; BNN",IF(AND(C82&gt;E82,E82&gt;D82),"TOR &gt; BNN &gt; SM",IF(AND(D82&gt;C82,C82&gt;E82),"SM &gt; TOR &gt; BNN",IF(AND(D82&gt;E82,E82&gt;C82),"SM &gt; BNN &gt; TOR",IF(AND(C82=D82,D82=E82),"TOR = SM = BNN","Comb. diferentes")))))</f>
        <v>SM &gt; TOR &gt; BNN</v>
      </c>
      <c r="BD82" s="137" t="str">
        <f>IF(OR(AE82="",AQ82="-"),"",IF(AE82&lt;=0.25,"Tipo 1 (≤0,25) uT",IF(AE82&lt;=0.5,"Tipo 2 (0,25-0,50) uT",IF(AE82&lt;=0.75,"Tipo 3 (0,50-0,75) uT","Tipo 4 (&gt;0,75) uT"))))</f>
        <v>Tipo 1 (≤0,25) uT</v>
      </c>
      <c r="BE82" s="137" t="str">
        <f t="shared" si="7"/>
        <v>Tipo 1 (≤0,25) uT</v>
      </c>
      <c r="BF82" s="137" t="str">
        <f>IF(OR(AF82="",AQ82="-"),"",IF(AF82&lt;=0.25,"Tipo 1 (≤0,25) uT",IF(AF82&lt;=0.5,"Tipo 2 (0,25-0,50) uT",IF(AF82&lt;=0.75,"Tipo 3 (0,50-0,75) uT","Tipo 4 (&gt;0,75) uT"))))</f>
        <v>Tipo 1 (≤0,25) uT</v>
      </c>
      <c r="BG82" s="137" t="str">
        <f t="shared" si="8"/>
        <v>Tipo 1 (≤0,25) uT</v>
      </c>
      <c r="BH82" s="137" t="str">
        <f>IF(OR(R82="",R82="-"),"",IF(R82&lt;=0.25,"Tipo 1 (≤0,25) uT",IF(R82&lt;=0.5,"Tipo 2 (0,25-0,50) uT",IF(R82&lt;=0.75,"Tipo 3 (0,50-0,75) uT","Tipo 4 (&gt;0,75) uT"))))</f>
        <v>Tipo 1 (≤0,25) uT</v>
      </c>
    </row>
    <row r="83" spans="1:60" x14ac:dyDescent="0.3">
      <c r="A83" s="74">
        <v>46267</v>
      </c>
      <c r="B83" s="139">
        <v>0.8125</v>
      </c>
      <c r="C83" s="116">
        <v>283</v>
      </c>
      <c r="D83" s="116">
        <v>1691</v>
      </c>
      <c r="E83" s="116">
        <v>250</v>
      </c>
      <c r="F83" s="116">
        <v>2291</v>
      </c>
      <c r="G83" s="144" t="s">
        <v>100</v>
      </c>
      <c r="H83" s="122">
        <v>10.8</v>
      </c>
      <c r="I83" s="116">
        <v>-88</v>
      </c>
      <c r="J83" s="10">
        <v>90</v>
      </c>
      <c r="K83" s="116">
        <v>90</v>
      </c>
      <c r="L83" s="116">
        <v>90</v>
      </c>
      <c r="M83" s="122">
        <v>25</v>
      </c>
      <c r="N83" s="122">
        <v>6.5</v>
      </c>
      <c r="O83" s="79">
        <v>1.08</v>
      </c>
      <c r="P83" s="116">
        <v>6</v>
      </c>
      <c r="Q83" s="122">
        <v>6.3</v>
      </c>
      <c r="R83" s="10">
        <v>7.0000000000000007E-2</v>
      </c>
      <c r="S83" s="79">
        <v>22.36</v>
      </c>
      <c r="T83" s="79">
        <v>0.88</v>
      </c>
      <c r="U83" s="79">
        <v>0.7</v>
      </c>
      <c r="V83" s="85">
        <f t="shared" si="9"/>
        <v>1809.89</v>
      </c>
      <c r="W83" s="85">
        <f t="shared" si="10"/>
        <v>1372.556302</v>
      </c>
      <c r="X83" s="85">
        <f t="shared" si="11"/>
        <v>0.75836448734453465</v>
      </c>
      <c r="Y83" s="116">
        <v>3</v>
      </c>
      <c r="Z83" s="116">
        <v>4</v>
      </c>
      <c r="AA83" s="122">
        <v>6.5</v>
      </c>
      <c r="AB83" s="116">
        <v>17</v>
      </c>
      <c r="AC83" s="122">
        <v>6.1</v>
      </c>
      <c r="AD83" s="122">
        <v>4.0999999999999996</v>
      </c>
      <c r="AE83" s="79">
        <v>0.13</v>
      </c>
      <c r="AF83" s="79">
        <v>0.13</v>
      </c>
      <c r="AG83" s="85">
        <f>(O83+0.3*H83+2)*(F83/2/AK83)</f>
        <v>1809.89</v>
      </c>
      <c r="AH83" s="85">
        <f t="shared" si="12"/>
        <v>1785.9247275999996</v>
      </c>
      <c r="AI83" s="85">
        <f t="shared" si="13"/>
        <v>0.98675871329196774</v>
      </c>
      <c r="AJ83" s="116">
        <v>3</v>
      </c>
      <c r="AK83" s="116">
        <v>4</v>
      </c>
      <c r="AL83" s="122">
        <v>6.3</v>
      </c>
      <c r="AM83" s="116">
        <v>23</v>
      </c>
      <c r="AN83" s="122">
        <v>6.1</v>
      </c>
      <c r="AO83" s="122">
        <v>4.2</v>
      </c>
      <c r="AP83" s="79">
        <v>0.11</v>
      </c>
      <c r="AQ83" s="79">
        <v>0.2</v>
      </c>
      <c r="AR83" s="132">
        <f>SUM(C83:E83)</f>
        <v>2224</v>
      </c>
      <c r="AS83" s="134">
        <f>C83/AR83</f>
        <v>0.12724820143884893</v>
      </c>
      <c r="AT83" s="134">
        <f>D83/AR83</f>
        <v>0.76034172661870503</v>
      </c>
      <c r="AU83" s="134">
        <f>E83/AR83</f>
        <v>0.11241007194244604</v>
      </c>
      <c r="AV83" s="151">
        <f>IF(AND(F83&lt;&gt;"",Z83&lt;&gt;""),AB83/(F83/2/Z83),"")</f>
        <v>5.9362723701440419E-2</v>
      </c>
      <c r="AW83" s="151">
        <f>IF(AND(F83&lt;&gt;"",AK83&lt;&gt;""),AM83/(F83/2/AK83),"")</f>
        <v>8.0314273243125275E-2</v>
      </c>
      <c r="AX83" s="41">
        <f>IF(AND(AQ83&lt;&gt;"",1-(AQ83/O83)&gt;0),1-(AQ83/O83),"")</f>
        <v>0.81481481481481488</v>
      </c>
      <c r="AY83" s="41">
        <f>IF(AND(AF83&lt;&gt;"",1-(AF83/O83)&gt;0),1-(AF83/O83),"")</f>
        <v>0.87962962962962965</v>
      </c>
      <c r="AZ83" s="136" t="str">
        <f>IF(Q83="","",IF(Q83&lt;2.5,"Alc. Bruta &lt; 2,5 mg/L",IF(Q83&lt;5,"2,5 ≤ Alc. Bruta &lt; 5,0 mg/L",IF(Q83&lt;7.5,"5,0 ≤ Alc. Bruta &lt; 7,5 mg/L",IF(Q83&lt;10,"7,5 ≤ Alc. Bruta &lt; 10,0 mg/L",IF(Q83&lt;15,"10,0 ≤ Alca. Bruta &lt; 15,0 mg/L","Alc. Bruta &gt; 15 mg/L"))))))</f>
        <v>5,0 ≤ Alc. Bruta &lt; 7,5 mg/L</v>
      </c>
      <c r="BA83" s="136" t="str">
        <f>IF(P83="","",IF(P83&lt;5,"Cor &lt;5 uC",IF(P83&lt;10,"5 ≤ Cor &lt; 10 uC",IF(P83&lt;15,"10 ≤ Cor &lt;15 uC",IF(P83&lt;30,"15 ≤ Cor &lt; 30 uC",IF(P83&lt;50,"30 ≤ Cor &lt; 50 uC","Cor &gt; 50 uC"))))))</f>
        <v>5 ≤ Cor &lt; 10 uC</v>
      </c>
      <c r="BB83" s="137" t="str">
        <f>IF(O83="","",IF(O83&lt;2.5,"Turbidez &lt; 2,5 uT",IF(O83&lt;5,"2,5 ≤ Turb &lt; 5,0 uT",IF(O83&lt;7.5,"5,0 ≤ Turb &lt; 7,5 uT",IF(O83&lt;10,"7,5 ≤ Turb &lt; 10,0 uT",IF(O83&lt;15,"10,0 ≤ Turb &lt; 15,0 uT","Turb &gt; 15 uT"))))))</f>
        <v>Turbidez &lt; 2,5 uT</v>
      </c>
      <c r="BC83" s="138" t="str">
        <f>IF(AND(C83&gt;D83,D83&gt;E83),"TOR &gt; SM &gt; BNN",IF(AND(C83&gt;E83,E83&gt;D83),"TOR &gt; BNN &gt; SM",IF(AND(D83&gt;C83,C83&gt;E83),"SM &gt; TOR &gt; BNN",IF(AND(D83&gt;E83,E83&gt;C83),"SM &gt; BNN &gt; TOR",IF(AND(C83=D83,D83=E83),"TOR = SM = BNN","Comb. diferentes")))))</f>
        <v>SM &gt; TOR &gt; BNN</v>
      </c>
      <c r="BD83" s="137" t="str">
        <f>IF(OR(AE83="",AQ83="-"),"",IF(AE83&lt;=0.25,"Tipo 1 (≤0,25) uT",IF(AE83&lt;=0.5,"Tipo 2 (0,25-0,50) uT",IF(AE83&lt;=0.75,"Tipo 3 (0,50-0,75) uT","Tipo 4 (&gt;0,75) uT"))))</f>
        <v>Tipo 1 (≤0,25) uT</v>
      </c>
      <c r="BE83" s="137" t="str">
        <f t="shared" si="7"/>
        <v>Tipo 1 (≤0,25) uT</v>
      </c>
      <c r="BF83" s="137" t="str">
        <f>IF(OR(AF83="",AQ83="-"),"",IF(AF83&lt;=0.25,"Tipo 1 (≤0,25) uT",IF(AF83&lt;=0.5,"Tipo 2 (0,25-0,50) uT",IF(AF83&lt;=0.75,"Tipo 3 (0,50-0,75) uT","Tipo 4 (&gt;0,75) uT"))))</f>
        <v>Tipo 1 (≤0,25) uT</v>
      </c>
      <c r="BG83" s="137" t="str">
        <f t="shared" si="8"/>
        <v>Tipo 1 (≤0,25) uT</v>
      </c>
      <c r="BH83" s="137" t="str">
        <f>IF(OR(R83="",R83="-"),"",IF(R83&lt;=0.25,"Tipo 1 (≤0,25) uT",IF(R83&lt;=0.5,"Tipo 2 (0,25-0,50) uT",IF(R83&lt;=0.75,"Tipo 3 (0,50-0,75) uT","Tipo 4 (&gt;0,75) uT"))))</f>
        <v>Tipo 1 (≤0,25) uT</v>
      </c>
    </row>
    <row r="84" spans="1:60" x14ac:dyDescent="0.3">
      <c r="A84" s="74">
        <v>46267</v>
      </c>
      <c r="B84" s="139">
        <v>0.89583333333333337</v>
      </c>
      <c r="C84" s="116">
        <v>285</v>
      </c>
      <c r="D84" s="116">
        <v>1645</v>
      </c>
      <c r="E84" s="116">
        <v>250</v>
      </c>
      <c r="F84" s="116">
        <v>2206</v>
      </c>
      <c r="G84" s="144" t="s">
        <v>100</v>
      </c>
      <c r="H84" s="122">
        <v>10.8</v>
      </c>
      <c r="I84" s="116">
        <v>-101</v>
      </c>
      <c r="J84" s="10">
        <v>90</v>
      </c>
      <c r="K84" s="116">
        <v>90</v>
      </c>
      <c r="L84" s="116">
        <v>90</v>
      </c>
      <c r="M84" s="122">
        <v>24.5</v>
      </c>
      <c r="N84" s="122">
        <v>6.6</v>
      </c>
      <c r="O84" s="79">
        <v>1.03</v>
      </c>
      <c r="P84" s="116">
        <v>6</v>
      </c>
      <c r="Q84" s="122">
        <v>6.4</v>
      </c>
      <c r="R84" s="10">
        <v>7.0000000000000007E-2</v>
      </c>
      <c r="S84" s="79">
        <v>22.36</v>
      </c>
      <c r="T84" s="79">
        <v>0.88</v>
      </c>
      <c r="U84" s="79">
        <v>0.7</v>
      </c>
      <c r="V84" s="85">
        <f t="shared" si="9"/>
        <v>1728.9525000000001</v>
      </c>
      <c r="W84" s="85">
        <f t="shared" si="10"/>
        <v>1372.556302</v>
      </c>
      <c r="X84" s="85">
        <f t="shared" si="11"/>
        <v>0.79386582453826804</v>
      </c>
      <c r="Y84" s="116">
        <v>3</v>
      </c>
      <c r="Z84" s="116">
        <v>4</v>
      </c>
      <c r="AA84" s="122">
        <v>6.5</v>
      </c>
      <c r="AB84" s="116">
        <v>17</v>
      </c>
      <c r="AC84" s="122">
        <v>6.1</v>
      </c>
      <c r="AD84" s="122">
        <v>4.5</v>
      </c>
      <c r="AE84" s="79">
        <v>0.26</v>
      </c>
      <c r="AF84" s="79">
        <v>0.14000000000000001</v>
      </c>
      <c r="AG84" s="85">
        <f>(O84+0.3*H84+2)*(F84/2/AK84)</f>
        <v>1728.9525000000001</v>
      </c>
      <c r="AH84" s="85">
        <f t="shared" si="12"/>
        <v>1785.9247275999996</v>
      </c>
      <c r="AI84" s="85">
        <f t="shared" si="13"/>
        <v>1.0329518755431393</v>
      </c>
      <c r="AJ84" s="116">
        <v>3</v>
      </c>
      <c r="AK84" s="116">
        <v>4</v>
      </c>
      <c r="AL84" s="122">
        <v>6.3</v>
      </c>
      <c r="AM84" s="116">
        <v>23</v>
      </c>
      <c r="AN84" s="122">
        <v>5.9</v>
      </c>
      <c r="AO84" s="122">
        <v>5.0999999999999996</v>
      </c>
      <c r="AP84" s="79">
        <v>0.17</v>
      </c>
      <c r="AQ84" s="79">
        <v>0.19</v>
      </c>
      <c r="AR84" s="132">
        <f>SUM(C84:E84)</f>
        <v>2180</v>
      </c>
      <c r="AS84" s="134">
        <f>C84/AR84</f>
        <v>0.13073394495412843</v>
      </c>
      <c r="AT84" s="134">
        <f>D84/AR84</f>
        <v>0.75458715596330272</v>
      </c>
      <c r="AU84" s="134">
        <f>E84/AR84</f>
        <v>0.11467889908256881</v>
      </c>
      <c r="AV84" s="151">
        <f>IF(AND(F84&lt;&gt;"",Z84&lt;&gt;""),AB84/(F84/2/Z84),"")</f>
        <v>6.1650045330915684E-2</v>
      </c>
      <c r="AW84" s="151">
        <f>IF(AND(F84&lt;&gt;"",AK84&lt;&gt;""),AM84/(F84/2/AK84),"")</f>
        <v>8.3408884859474161E-2</v>
      </c>
      <c r="AX84" s="41">
        <f>IF(AND(AQ84&lt;&gt;"",1-(AQ84/O84)&gt;0),1-(AQ84/O84),"")</f>
        <v>0.81553398058252424</v>
      </c>
      <c r="AY84" s="41">
        <f>IF(AND(AF84&lt;&gt;"",1-(AF84/O84)&gt;0),1-(AF84/O84),"")</f>
        <v>0.86407766990291257</v>
      </c>
      <c r="AZ84" s="136" t="str">
        <f>IF(Q84="","",IF(Q84&lt;2.5,"Alc. Bruta &lt; 2,5 mg/L",IF(Q84&lt;5,"2,5 ≤ Alc. Bruta &lt; 5,0 mg/L",IF(Q84&lt;7.5,"5,0 ≤ Alc. Bruta &lt; 7,5 mg/L",IF(Q84&lt;10,"7,5 ≤ Alc. Bruta &lt; 10,0 mg/L",IF(Q84&lt;15,"10,0 ≤ Alca. Bruta &lt; 15,0 mg/L","Alc. Bruta &gt; 15 mg/L"))))))</f>
        <v>5,0 ≤ Alc. Bruta &lt; 7,5 mg/L</v>
      </c>
      <c r="BA84" s="136" t="str">
        <f>IF(P84="","",IF(P84&lt;5,"Cor &lt;5 uC",IF(P84&lt;10,"5 ≤ Cor &lt; 10 uC",IF(P84&lt;15,"10 ≤ Cor &lt;15 uC",IF(P84&lt;30,"15 ≤ Cor &lt; 30 uC",IF(P84&lt;50,"30 ≤ Cor &lt; 50 uC","Cor &gt; 50 uC"))))))</f>
        <v>5 ≤ Cor &lt; 10 uC</v>
      </c>
      <c r="BB84" s="137" t="str">
        <f>IF(O84="","",IF(O84&lt;2.5,"Turbidez &lt; 2,5 uT",IF(O84&lt;5,"2,5 ≤ Turb &lt; 5,0 uT",IF(O84&lt;7.5,"5,0 ≤ Turb &lt; 7,5 uT",IF(O84&lt;10,"7,5 ≤ Turb &lt; 10,0 uT",IF(O84&lt;15,"10,0 ≤ Turb &lt; 15,0 uT","Turb &gt; 15 uT"))))))</f>
        <v>Turbidez &lt; 2,5 uT</v>
      </c>
      <c r="BC84" s="138" t="str">
        <f>IF(AND(C84&gt;D84,D84&gt;E84),"TOR &gt; SM &gt; BNN",IF(AND(C84&gt;E84,E84&gt;D84),"TOR &gt; BNN &gt; SM",IF(AND(D84&gt;C84,C84&gt;E84),"SM &gt; TOR &gt; BNN",IF(AND(D84&gt;E84,E84&gt;C84),"SM &gt; BNN &gt; TOR",IF(AND(C84=D84,D84=E84),"TOR = SM = BNN","Comb. diferentes")))))</f>
        <v>SM &gt; TOR &gt; BNN</v>
      </c>
      <c r="BD84" s="137" t="str">
        <f>IF(OR(AE84="",AQ84="-"),"",IF(AE84&lt;=0.25,"Tipo 1 (≤0,25) uT",IF(AE84&lt;=0.5,"Tipo 2 (0,25-0,50) uT",IF(AE84&lt;=0.75,"Tipo 3 (0,50-0,75) uT","Tipo 4 (&gt;0,75) uT"))))</f>
        <v>Tipo 2 (0,25-0,50) uT</v>
      </c>
      <c r="BE84" s="137" t="str">
        <f t="shared" si="7"/>
        <v>Tipo 1 (≤0,25) uT</v>
      </c>
      <c r="BF84" s="137" t="str">
        <f>IF(OR(AF84="",AQ84="-"),"",IF(AF84&lt;=0.25,"Tipo 1 (≤0,25) uT",IF(AF84&lt;=0.5,"Tipo 2 (0,25-0,50) uT",IF(AF84&lt;=0.75,"Tipo 3 (0,50-0,75) uT","Tipo 4 (&gt;0,75) uT"))))</f>
        <v>Tipo 1 (≤0,25) uT</v>
      </c>
      <c r="BG84" s="137" t="str">
        <f t="shared" si="8"/>
        <v>Tipo 1 (≤0,25) uT</v>
      </c>
      <c r="BH84" s="137" t="str">
        <f>IF(OR(R84="",R84="-"),"",IF(R84&lt;=0.25,"Tipo 1 (≤0,25) uT",IF(R84&lt;=0.5,"Tipo 2 (0,25-0,50) uT",IF(R84&lt;=0.75,"Tipo 3 (0,50-0,75) uT","Tipo 4 (&gt;0,75) uT"))))</f>
        <v>Tipo 1 (≤0,25) uT</v>
      </c>
    </row>
    <row r="85" spans="1:60" x14ac:dyDescent="0.3">
      <c r="A85" s="74">
        <v>46268</v>
      </c>
      <c r="B85" s="139">
        <v>6.25E-2</v>
      </c>
      <c r="C85" s="116">
        <v>396</v>
      </c>
      <c r="D85" s="116">
        <v>1568</v>
      </c>
      <c r="E85" s="116">
        <v>275</v>
      </c>
      <c r="F85" s="116">
        <v>2310</v>
      </c>
      <c r="G85" s="144" t="s">
        <v>100</v>
      </c>
      <c r="H85" s="122">
        <v>10</v>
      </c>
      <c r="I85" s="116">
        <v>-90</v>
      </c>
      <c r="J85" s="10">
        <v>90</v>
      </c>
      <c r="K85" s="116">
        <v>90</v>
      </c>
      <c r="L85" s="116">
        <v>90</v>
      </c>
      <c r="M85" s="122">
        <v>23.7</v>
      </c>
      <c r="N85" s="122">
        <v>6.4</v>
      </c>
      <c r="O85" s="79">
        <v>0.89</v>
      </c>
      <c r="P85" s="116">
        <v>5</v>
      </c>
      <c r="Q85" s="122">
        <v>5.6</v>
      </c>
      <c r="R85" s="10">
        <v>7.0000000000000007E-2</v>
      </c>
      <c r="S85" s="79">
        <v>22.36</v>
      </c>
      <c r="T85" s="79">
        <v>0.88</v>
      </c>
      <c r="U85" s="79">
        <v>0.7</v>
      </c>
      <c r="V85" s="85">
        <f t="shared" si="9"/>
        <v>1700.7375000000002</v>
      </c>
      <c r="W85" s="85">
        <f t="shared" si="10"/>
        <v>1372.556302</v>
      </c>
      <c r="X85" s="85">
        <f t="shared" si="11"/>
        <v>0.80703594881632224</v>
      </c>
      <c r="Y85" s="116">
        <v>3</v>
      </c>
      <c r="Z85" s="116">
        <v>4</v>
      </c>
      <c r="AA85" s="122">
        <v>6.5</v>
      </c>
      <c r="AB85" s="116">
        <v>17</v>
      </c>
      <c r="AC85" s="122">
        <v>6</v>
      </c>
      <c r="AD85" s="122">
        <v>4.4000000000000004</v>
      </c>
      <c r="AE85" s="79">
        <v>0.15</v>
      </c>
      <c r="AF85" s="79">
        <v>0.13</v>
      </c>
      <c r="AG85" s="85">
        <f>(O85+0.3*H85+2)*(F85/2/AK85)</f>
        <v>1700.7375000000002</v>
      </c>
      <c r="AH85" s="85">
        <f t="shared" si="12"/>
        <v>1785.9247275999996</v>
      </c>
      <c r="AI85" s="85">
        <f t="shared" si="13"/>
        <v>1.0500884043539931</v>
      </c>
      <c r="AJ85" s="116">
        <v>3</v>
      </c>
      <c r="AK85" s="116">
        <v>4</v>
      </c>
      <c r="AL85" s="122">
        <v>6.3</v>
      </c>
      <c r="AM85" s="116">
        <v>23</v>
      </c>
      <c r="AN85" s="122">
        <v>5.9</v>
      </c>
      <c r="AO85" s="122">
        <v>4</v>
      </c>
      <c r="AP85" s="79">
        <v>0.14000000000000001</v>
      </c>
      <c r="AQ85" s="79">
        <v>0.2</v>
      </c>
      <c r="AR85" s="132">
        <f>SUM(C85:E85)</f>
        <v>2239</v>
      </c>
      <c r="AS85" s="134">
        <f>C85/AR85</f>
        <v>0.17686467172845019</v>
      </c>
      <c r="AT85" s="134">
        <f>D85/AR85</f>
        <v>0.70031263957123713</v>
      </c>
      <c r="AU85" s="134">
        <f>E85/AR85</f>
        <v>0.12282268870031264</v>
      </c>
      <c r="AV85" s="151">
        <f>IF(AND(F85&lt;&gt;"",Z85&lt;&gt;""),AB85/(F85/2/Z85),"")</f>
        <v>5.8874458874458878E-2</v>
      </c>
      <c r="AW85" s="151">
        <f>IF(AND(F85&lt;&gt;"",AK85&lt;&gt;""),AM85/(F85/2/AK85),"")</f>
        <v>7.9653679653679657E-2</v>
      </c>
      <c r="AX85" s="41">
        <f>IF(AND(AQ85&lt;&gt;"",1-(AQ85/O85)&gt;0),1-(AQ85/O85),"")</f>
        <v>0.7752808988764045</v>
      </c>
      <c r="AY85" s="41">
        <f>IF(AND(AF85&lt;&gt;"",1-(AF85/O85)&gt;0),1-(AF85/O85),"")</f>
        <v>0.8539325842696629</v>
      </c>
      <c r="AZ85" s="136" t="str">
        <f>IF(Q85="","",IF(Q85&lt;2.5,"Alc. Bruta &lt; 2,5 mg/L",IF(Q85&lt;5,"2,5 ≤ Alc. Bruta &lt; 5,0 mg/L",IF(Q85&lt;7.5,"5,0 ≤ Alc. Bruta &lt; 7,5 mg/L",IF(Q85&lt;10,"7,5 ≤ Alc. Bruta &lt; 10,0 mg/L",IF(Q85&lt;15,"10,0 ≤ Alca. Bruta &lt; 15,0 mg/L","Alc. Bruta &gt; 15 mg/L"))))))</f>
        <v>5,0 ≤ Alc. Bruta &lt; 7,5 mg/L</v>
      </c>
      <c r="BA85" s="136" t="str">
        <f>IF(P85="","",IF(P85&lt;5,"Cor &lt;5 uC",IF(P85&lt;10,"5 ≤ Cor &lt; 10 uC",IF(P85&lt;15,"10 ≤ Cor &lt;15 uC",IF(P85&lt;30,"15 ≤ Cor &lt; 30 uC",IF(P85&lt;50,"30 ≤ Cor &lt; 50 uC","Cor &gt; 50 uC"))))))</f>
        <v>5 ≤ Cor &lt; 10 uC</v>
      </c>
      <c r="BB85" s="137" t="str">
        <f>IF(O85="","",IF(O85&lt;2.5,"Turbidez &lt; 2,5 uT",IF(O85&lt;5,"2,5 ≤ Turb &lt; 5,0 uT",IF(O85&lt;7.5,"5,0 ≤ Turb &lt; 7,5 uT",IF(O85&lt;10,"7,5 ≤ Turb &lt; 10,0 uT",IF(O85&lt;15,"10,0 ≤ Turb &lt; 15,0 uT","Turb &gt; 15 uT"))))))</f>
        <v>Turbidez &lt; 2,5 uT</v>
      </c>
      <c r="BC85" s="138" t="str">
        <f>IF(AND(C85&gt;D85,D85&gt;E85),"TOR &gt; SM &gt; BNN",IF(AND(C85&gt;E85,E85&gt;D85),"TOR &gt; BNN &gt; SM",IF(AND(D85&gt;C85,C85&gt;E85),"SM &gt; TOR &gt; BNN",IF(AND(D85&gt;E85,E85&gt;C85),"SM &gt; BNN &gt; TOR",IF(AND(C85=D85,D85=E85),"TOR = SM = BNN","Comb. diferentes")))))</f>
        <v>SM &gt; TOR &gt; BNN</v>
      </c>
      <c r="BD85" s="137" t="str">
        <f>IF(OR(AE85="",AQ85="-"),"",IF(AE85&lt;=0.25,"Tipo 1 (≤0,25) uT",IF(AE85&lt;=0.5,"Tipo 2 (0,25-0,50) uT",IF(AE85&lt;=0.75,"Tipo 3 (0,50-0,75) uT","Tipo 4 (&gt;0,75) uT"))))</f>
        <v>Tipo 1 (≤0,25) uT</v>
      </c>
      <c r="BE85" s="137" t="str">
        <f t="shared" si="7"/>
        <v>Tipo 1 (≤0,25) uT</v>
      </c>
      <c r="BF85" s="137" t="str">
        <f>IF(OR(AF85="",AQ85="-"),"",IF(AF85&lt;=0.25,"Tipo 1 (≤0,25) uT",IF(AF85&lt;=0.5,"Tipo 2 (0,25-0,50) uT",IF(AF85&lt;=0.75,"Tipo 3 (0,50-0,75) uT","Tipo 4 (&gt;0,75) uT"))))</f>
        <v>Tipo 1 (≤0,25) uT</v>
      </c>
      <c r="BG85" s="137" t="str">
        <f t="shared" si="8"/>
        <v>Tipo 1 (≤0,25) uT</v>
      </c>
      <c r="BH85" s="137" t="str">
        <f>IF(OR(R85="",R85="-"),"",IF(R85&lt;=0.25,"Tipo 1 (≤0,25) uT",IF(R85&lt;=0.5,"Tipo 2 (0,25-0,50) uT",IF(R85&lt;=0.75,"Tipo 3 (0,50-0,75) uT","Tipo 4 (&gt;0,75) uT"))))</f>
        <v>Tipo 1 (≤0,25) uT</v>
      </c>
    </row>
    <row r="86" spans="1:60" x14ac:dyDescent="0.3">
      <c r="A86" s="74">
        <v>46268</v>
      </c>
      <c r="B86" s="139">
        <v>0.14583333333333334</v>
      </c>
      <c r="C86" s="116">
        <v>387</v>
      </c>
      <c r="D86" s="116">
        <v>1601</v>
      </c>
      <c r="E86" s="116">
        <v>272</v>
      </c>
      <c r="F86" s="116">
        <v>2250</v>
      </c>
      <c r="G86" s="144" t="s">
        <v>100</v>
      </c>
      <c r="H86" s="122">
        <v>10</v>
      </c>
      <c r="I86" s="116">
        <v>-93</v>
      </c>
      <c r="J86" s="10">
        <v>90</v>
      </c>
      <c r="K86" s="116">
        <v>90</v>
      </c>
      <c r="L86" s="116">
        <v>90</v>
      </c>
      <c r="M86" s="122">
        <v>23.3</v>
      </c>
      <c r="N86" s="122">
        <v>6.4</v>
      </c>
      <c r="O86" s="79">
        <v>0.93</v>
      </c>
      <c r="P86" s="116">
        <v>5</v>
      </c>
      <c r="Q86" s="122">
        <v>5.7</v>
      </c>
      <c r="R86" s="10">
        <v>7.0000000000000007E-2</v>
      </c>
      <c r="S86" s="79">
        <v>22.36</v>
      </c>
      <c r="T86" s="79">
        <v>0.88</v>
      </c>
      <c r="U86" s="79">
        <v>0.7</v>
      </c>
      <c r="V86" s="85">
        <f t="shared" si="9"/>
        <v>1667.8125</v>
      </c>
      <c r="W86" s="85">
        <f t="shared" si="10"/>
        <v>1372.556302</v>
      </c>
      <c r="X86" s="85">
        <f t="shared" si="11"/>
        <v>0.82296799070638937</v>
      </c>
      <c r="Y86" s="116">
        <v>4</v>
      </c>
      <c r="Z86" s="116">
        <v>4</v>
      </c>
      <c r="AA86" s="122">
        <v>6.5</v>
      </c>
      <c r="AB86" s="116">
        <v>17</v>
      </c>
      <c r="AC86" s="122">
        <v>6.1</v>
      </c>
      <c r="AD86" s="122">
        <v>4.5</v>
      </c>
      <c r="AE86" s="79">
        <v>0.15</v>
      </c>
      <c r="AF86" s="79">
        <v>0.15</v>
      </c>
      <c r="AG86" s="85">
        <f>(O86+0.3*H86+2)*(F86/2/AK86)</f>
        <v>1667.8125</v>
      </c>
      <c r="AH86" s="85">
        <f t="shared" si="12"/>
        <v>1785.9247275999996</v>
      </c>
      <c r="AI86" s="85">
        <f t="shared" si="13"/>
        <v>1.0708186487389917</v>
      </c>
      <c r="AJ86" s="116">
        <v>3</v>
      </c>
      <c r="AK86" s="116">
        <v>4</v>
      </c>
      <c r="AL86" s="122">
        <v>6.3</v>
      </c>
      <c r="AM86" s="116">
        <v>23</v>
      </c>
      <c r="AN86" s="122">
        <v>5.9</v>
      </c>
      <c r="AO86" s="122">
        <v>4.5999999999999996</v>
      </c>
      <c r="AP86" s="79">
        <v>0.18</v>
      </c>
      <c r="AQ86" s="79">
        <v>0.21</v>
      </c>
      <c r="AR86" s="132">
        <f>SUM(C86:E86)</f>
        <v>2260</v>
      </c>
      <c r="AS86" s="134">
        <f>C86/AR86</f>
        <v>0.17123893805309734</v>
      </c>
      <c r="AT86" s="134">
        <f>D86/AR86</f>
        <v>0.70840707964601768</v>
      </c>
      <c r="AU86" s="134">
        <f>E86/AR86</f>
        <v>0.12035398230088495</v>
      </c>
      <c r="AV86" s="151">
        <f>IF(AND(F86&lt;&gt;"",Z86&lt;&gt;""),AB86/(F86/2/Z86),"")</f>
        <v>6.0444444444444446E-2</v>
      </c>
      <c r="AW86" s="151">
        <f>IF(AND(F86&lt;&gt;"",AK86&lt;&gt;""),AM86/(F86/2/AK86),"")</f>
        <v>8.1777777777777783E-2</v>
      </c>
      <c r="AX86" s="41">
        <f>IF(AND(AQ86&lt;&gt;"",1-(AQ86/O86)&gt;0),1-(AQ86/O86),"")</f>
        <v>0.77419354838709675</v>
      </c>
      <c r="AY86" s="41">
        <f>IF(AND(AF86&lt;&gt;"",1-(AF86/O86)&gt;0),1-(AF86/O86),"")</f>
        <v>0.83870967741935487</v>
      </c>
      <c r="AZ86" s="136" t="str">
        <f>IF(Q86="","",IF(Q86&lt;2.5,"Alc. Bruta &lt; 2,5 mg/L",IF(Q86&lt;5,"2,5 ≤ Alc. Bruta &lt; 5,0 mg/L",IF(Q86&lt;7.5,"5,0 ≤ Alc. Bruta &lt; 7,5 mg/L",IF(Q86&lt;10,"7,5 ≤ Alc. Bruta &lt; 10,0 mg/L",IF(Q86&lt;15,"10,0 ≤ Alca. Bruta &lt; 15,0 mg/L","Alc. Bruta &gt; 15 mg/L"))))))</f>
        <v>5,0 ≤ Alc. Bruta &lt; 7,5 mg/L</v>
      </c>
      <c r="BA86" s="136" t="str">
        <f>IF(P86="","",IF(P86&lt;5,"Cor &lt;5 uC",IF(P86&lt;10,"5 ≤ Cor &lt; 10 uC",IF(P86&lt;15,"10 ≤ Cor &lt;15 uC",IF(P86&lt;30,"15 ≤ Cor &lt; 30 uC",IF(P86&lt;50,"30 ≤ Cor &lt; 50 uC","Cor &gt; 50 uC"))))))</f>
        <v>5 ≤ Cor &lt; 10 uC</v>
      </c>
      <c r="BB86" s="137" t="str">
        <f>IF(O86="","",IF(O86&lt;2.5,"Turbidez &lt; 2,5 uT",IF(O86&lt;5,"2,5 ≤ Turb &lt; 5,0 uT",IF(O86&lt;7.5,"5,0 ≤ Turb &lt; 7,5 uT",IF(O86&lt;10,"7,5 ≤ Turb &lt; 10,0 uT",IF(O86&lt;15,"10,0 ≤ Turb &lt; 15,0 uT","Turb &gt; 15 uT"))))))</f>
        <v>Turbidez &lt; 2,5 uT</v>
      </c>
      <c r="BC86" s="138" t="str">
        <f>IF(AND(C86&gt;D86,D86&gt;E86),"TOR &gt; SM &gt; BNN",IF(AND(C86&gt;E86,E86&gt;D86),"TOR &gt; BNN &gt; SM",IF(AND(D86&gt;C86,C86&gt;E86),"SM &gt; TOR &gt; BNN",IF(AND(D86&gt;E86,E86&gt;C86),"SM &gt; BNN &gt; TOR",IF(AND(C86=D86,D86=E86),"TOR = SM = BNN","Comb. diferentes")))))</f>
        <v>SM &gt; TOR &gt; BNN</v>
      </c>
      <c r="BD86" s="137" t="str">
        <f>IF(OR(AE86="",AQ86="-"),"",IF(AE86&lt;=0.25,"Tipo 1 (≤0,25) uT",IF(AE86&lt;=0.5,"Tipo 2 (0,25-0,50) uT",IF(AE86&lt;=0.75,"Tipo 3 (0,50-0,75) uT","Tipo 4 (&gt;0,75) uT"))))</f>
        <v>Tipo 1 (≤0,25) uT</v>
      </c>
      <c r="BE86" s="137" t="str">
        <f t="shared" si="7"/>
        <v>Tipo 1 (≤0,25) uT</v>
      </c>
      <c r="BF86" s="137" t="str">
        <f>IF(OR(AF86="",AQ86="-"),"",IF(AF86&lt;=0.25,"Tipo 1 (≤0,25) uT",IF(AF86&lt;=0.5,"Tipo 2 (0,25-0,50) uT",IF(AF86&lt;=0.75,"Tipo 3 (0,50-0,75) uT","Tipo 4 (&gt;0,75) uT"))))</f>
        <v>Tipo 1 (≤0,25) uT</v>
      </c>
      <c r="BG86" s="137" t="str">
        <f t="shared" si="8"/>
        <v>Tipo 1 (≤0,25) uT</v>
      </c>
      <c r="BH86" s="137" t="str">
        <f>IF(OR(R86="",R86="-"),"",IF(R86&lt;=0.25,"Tipo 1 (≤0,25) uT",IF(R86&lt;=0.5,"Tipo 2 (0,25-0,50) uT",IF(R86&lt;=0.75,"Tipo 3 (0,50-0,75) uT","Tipo 4 (&gt;0,75) uT"))))</f>
        <v>Tipo 1 (≤0,25) uT</v>
      </c>
    </row>
    <row r="87" spans="1:60" ht="15" thickBot="1" x14ac:dyDescent="0.35">
      <c r="A87" s="75">
        <v>46268</v>
      </c>
      <c r="B87" s="140">
        <v>0.22916666666666666</v>
      </c>
      <c r="C87" s="117">
        <v>393</v>
      </c>
      <c r="D87" s="117">
        <v>1579</v>
      </c>
      <c r="E87" s="117">
        <v>272</v>
      </c>
      <c r="F87" s="117">
        <v>2259</v>
      </c>
      <c r="G87" s="145" t="s">
        <v>100</v>
      </c>
      <c r="H87" s="123">
        <v>10</v>
      </c>
      <c r="I87" s="117">
        <v>-89</v>
      </c>
      <c r="J87" s="11">
        <v>90</v>
      </c>
      <c r="K87" s="117">
        <v>90</v>
      </c>
      <c r="L87" s="117">
        <v>90</v>
      </c>
      <c r="M87" s="123">
        <v>23.5</v>
      </c>
      <c r="N87" s="123">
        <v>6.3</v>
      </c>
      <c r="O87" s="80">
        <v>0.97</v>
      </c>
      <c r="P87" s="117">
        <v>6</v>
      </c>
      <c r="Q87" s="123">
        <v>5.5</v>
      </c>
      <c r="R87" s="11">
        <v>7.0000000000000007E-2</v>
      </c>
      <c r="S87" s="79">
        <v>22.36</v>
      </c>
      <c r="T87" s="79">
        <v>0.88</v>
      </c>
      <c r="U87" s="79">
        <v>0.7</v>
      </c>
      <c r="V87" s="85">
        <f t="shared" si="9"/>
        <v>1685.7787499999999</v>
      </c>
      <c r="W87" s="85">
        <f t="shared" si="10"/>
        <v>1372.556302</v>
      </c>
      <c r="X87" s="85">
        <f t="shared" si="11"/>
        <v>0.81419717860365726</v>
      </c>
      <c r="Y87" s="117">
        <v>4</v>
      </c>
      <c r="Z87" s="117">
        <v>4</v>
      </c>
      <c r="AA87" s="123">
        <v>6.5</v>
      </c>
      <c r="AB87" s="117">
        <v>17</v>
      </c>
      <c r="AC87" s="123">
        <v>6</v>
      </c>
      <c r="AD87" s="123">
        <v>4.9000000000000004</v>
      </c>
      <c r="AE87" s="80">
        <v>0.15</v>
      </c>
      <c r="AF87" s="80">
        <v>0.14000000000000001</v>
      </c>
      <c r="AG87" s="85">
        <f>(O87+0.3*H87+2)*(F87/2/AK87)</f>
        <v>1685.7787499999999</v>
      </c>
      <c r="AH87" s="85">
        <f t="shared" si="12"/>
        <v>1785.9247275999996</v>
      </c>
      <c r="AI87" s="85">
        <f t="shared" si="13"/>
        <v>1.0594063589898732</v>
      </c>
      <c r="AJ87" s="117">
        <v>3</v>
      </c>
      <c r="AK87" s="117">
        <v>4</v>
      </c>
      <c r="AL87" s="123">
        <v>6.3</v>
      </c>
      <c r="AM87" s="117">
        <v>23</v>
      </c>
      <c r="AN87" s="123">
        <v>5.8</v>
      </c>
      <c r="AO87" s="123">
        <v>4.8</v>
      </c>
      <c r="AP87" s="80">
        <v>0.16</v>
      </c>
      <c r="AQ87" s="80">
        <v>0.21</v>
      </c>
      <c r="AR87" s="132">
        <f>SUM(C87:E87)</f>
        <v>2244</v>
      </c>
      <c r="AS87" s="134">
        <f>C87/AR87</f>
        <v>0.1751336898395722</v>
      </c>
      <c r="AT87" s="134">
        <f>D87/AR87</f>
        <v>0.70365418894830656</v>
      </c>
      <c r="AU87" s="134">
        <f>E87/AR87</f>
        <v>0.12121212121212122</v>
      </c>
      <c r="AV87" s="151">
        <f>IF(AND(F87&lt;&gt;"",Z87&lt;&gt;""),AB87/(F87/2/Z87),"")</f>
        <v>6.0203629924745462E-2</v>
      </c>
      <c r="AW87" s="151">
        <f>IF(AND(F87&lt;&gt;"",AK87&lt;&gt;""),AM87/(F87/2/AK87),"")</f>
        <v>8.1451969898185039E-2</v>
      </c>
      <c r="AX87" s="41">
        <f>IF(AND(AQ87&lt;&gt;"",1-(AQ87/O87)&gt;0),1-(AQ87/O87),"")</f>
        <v>0.78350515463917525</v>
      </c>
      <c r="AY87" s="41">
        <f>IF(AND(AF87&lt;&gt;"",1-(AF87/O87)&gt;0),1-(AF87/O87),"")</f>
        <v>0.85567010309278346</v>
      </c>
      <c r="AZ87" s="136" t="str">
        <f>IF(Q87="","",IF(Q87&lt;2.5,"Alc. Bruta &lt; 2,5 mg/L",IF(Q87&lt;5,"2,5 ≤ Alc. Bruta &lt; 5,0 mg/L",IF(Q87&lt;7.5,"5,0 ≤ Alc. Bruta &lt; 7,5 mg/L",IF(Q87&lt;10,"7,5 ≤ Alc. Bruta &lt; 10,0 mg/L",IF(Q87&lt;15,"10,0 ≤ Alca. Bruta &lt; 15,0 mg/L","Alc. Bruta &gt; 15 mg/L"))))))</f>
        <v>5,0 ≤ Alc. Bruta &lt; 7,5 mg/L</v>
      </c>
      <c r="BA87" s="136" t="str">
        <f>IF(P87="","",IF(P87&lt;5,"Cor &lt;5 uC",IF(P87&lt;10,"5 ≤ Cor &lt; 10 uC",IF(P87&lt;15,"10 ≤ Cor &lt;15 uC",IF(P87&lt;30,"15 ≤ Cor &lt; 30 uC",IF(P87&lt;50,"30 ≤ Cor &lt; 50 uC","Cor &gt; 50 uC"))))))</f>
        <v>5 ≤ Cor &lt; 10 uC</v>
      </c>
      <c r="BB87" s="137" t="str">
        <f>IF(O87="","",IF(O87&lt;2.5,"Turbidez &lt; 2,5 uT",IF(O87&lt;5,"2,5 ≤ Turb &lt; 5,0 uT",IF(O87&lt;7.5,"5,0 ≤ Turb &lt; 7,5 uT",IF(O87&lt;10,"7,5 ≤ Turb &lt; 10,0 uT",IF(O87&lt;15,"10,0 ≤ Turb &lt; 15,0 uT","Turb &gt; 15 uT"))))))</f>
        <v>Turbidez &lt; 2,5 uT</v>
      </c>
      <c r="BC87" s="138" t="str">
        <f>IF(AND(C87&gt;D87,D87&gt;E87),"TOR &gt; SM &gt; BNN",IF(AND(C87&gt;E87,E87&gt;D87),"TOR &gt; BNN &gt; SM",IF(AND(D87&gt;C87,C87&gt;E87),"SM &gt; TOR &gt; BNN",IF(AND(D87&gt;E87,E87&gt;C87),"SM &gt; BNN &gt; TOR",IF(AND(C87=D87,D87=E87),"TOR = SM = BNN","Comb. diferentes")))))</f>
        <v>SM &gt; TOR &gt; BNN</v>
      </c>
      <c r="BD87" s="137" t="str">
        <f>IF(OR(AE87="",AQ87="-"),"",IF(AE87&lt;=0.25,"Tipo 1 (≤0,25) uT",IF(AE87&lt;=0.5,"Tipo 2 (0,25-0,50) uT",IF(AE87&lt;=0.75,"Tipo 3 (0,50-0,75) uT","Tipo 4 (&gt;0,75) uT"))))</f>
        <v>Tipo 1 (≤0,25) uT</v>
      </c>
      <c r="BE87" s="137" t="str">
        <f t="shared" si="7"/>
        <v>Tipo 1 (≤0,25) uT</v>
      </c>
      <c r="BF87" s="137" t="str">
        <f>IF(OR(AF87="",AQ87="-"),"",IF(AF87&lt;=0.25,"Tipo 1 (≤0,25) uT",IF(AF87&lt;=0.5,"Tipo 2 (0,25-0,50) uT",IF(AF87&lt;=0.75,"Tipo 3 (0,50-0,75) uT","Tipo 4 (&gt;0,75) uT"))))</f>
        <v>Tipo 1 (≤0,25) uT</v>
      </c>
      <c r="BG87" s="137" t="str">
        <f t="shared" si="8"/>
        <v>Tipo 1 (≤0,25) uT</v>
      </c>
      <c r="BH87" s="137" t="str">
        <f>IF(OR(R87="",R87="-"),"",IF(R87&lt;=0.25,"Tipo 1 (≤0,25) uT",IF(R87&lt;=0.5,"Tipo 2 (0,25-0,50) uT",IF(R87&lt;=0.75,"Tipo 3 (0,50-0,75) uT","Tipo 4 (&gt;0,75) uT"))))</f>
        <v>Tipo 1 (≤0,25) uT</v>
      </c>
    </row>
    <row r="88" spans="1:60" x14ac:dyDescent="0.3">
      <c r="A88" s="73">
        <v>46268</v>
      </c>
      <c r="B88" s="141">
        <v>0.3125</v>
      </c>
      <c r="C88" s="118">
        <v>377</v>
      </c>
      <c r="D88" s="118">
        <v>1592</v>
      </c>
      <c r="E88" s="118">
        <v>272</v>
      </c>
      <c r="F88" s="118">
        <v>2226</v>
      </c>
      <c r="G88" s="146" t="s">
        <v>100</v>
      </c>
      <c r="H88" s="124">
        <v>10</v>
      </c>
      <c r="I88" s="118">
        <v>-80</v>
      </c>
      <c r="J88" s="9">
        <v>90</v>
      </c>
      <c r="K88" s="118">
        <v>90</v>
      </c>
      <c r="L88" s="118">
        <v>90</v>
      </c>
      <c r="M88" s="124">
        <v>24.1</v>
      </c>
      <c r="N88" s="124">
        <v>6.5</v>
      </c>
      <c r="O88" s="81">
        <v>0.93</v>
      </c>
      <c r="P88" s="118">
        <v>9</v>
      </c>
      <c r="Q88" s="124">
        <v>6.8</v>
      </c>
      <c r="R88" s="9">
        <v>7.0000000000000007E-2</v>
      </c>
      <c r="S88" s="79">
        <v>22.36</v>
      </c>
      <c r="T88" s="79">
        <v>0.88</v>
      </c>
      <c r="U88" s="79">
        <v>0.7</v>
      </c>
      <c r="V88" s="85">
        <f t="shared" si="9"/>
        <v>1650.0224999999998</v>
      </c>
      <c r="W88" s="85">
        <f t="shared" si="10"/>
        <v>1372.556302</v>
      </c>
      <c r="X88" s="85">
        <f t="shared" si="11"/>
        <v>0.8318409609565931</v>
      </c>
      <c r="Y88" s="118">
        <v>3</v>
      </c>
      <c r="Z88" s="118">
        <v>4</v>
      </c>
      <c r="AA88" s="124">
        <v>6.5</v>
      </c>
      <c r="AB88" s="118">
        <v>17</v>
      </c>
      <c r="AC88" s="124">
        <v>6</v>
      </c>
      <c r="AD88" s="124">
        <v>6.7</v>
      </c>
      <c r="AE88" s="81">
        <v>0.18</v>
      </c>
      <c r="AF88" s="81">
        <v>0.15</v>
      </c>
      <c r="AG88" s="85">
        <f>(O88+0.3*H88+2)*(F88/2/AK88)</f>
        <v>1650.0224999999998</v>
      </c>
      <c r="AH88" s="85">
        <f t="shared" si="12"/>
        <v>1785.9247275999996</v>
      </c>
      <c r="AI88" s="85">
        <f t="shared" si="13"/>
        <v>1.082363863280652</v>
      </c>
      <c r="AJ88" s="118">
        <v>3</v>
      </c>
      <c r="AK88" s="118">
        <v>4</v>
      </c>
      <c r="AL88" s="124">
        <v>6.3</v>
      </c>
      <c r="AM88" s="118">
        <v>23</v>
      </c>
      <c r="AN88" s="124">
        <v>6.1</v>
      </c>
      <c r="AO88" s="124">
        <v>6.2</v>
      </c>
      <c r="AP88" s="81">
        <v>0.13</v>
      </c>
      <c r="AQ88" s="81">
        <v>0.21</v>
      </c>
      <c r="AR88" s="132">
        <f>SUM(C88:E88)</f>
        <v>2241</v>
      </c>
      <c r="AS88" s="134">
        <f>C88/AR88</f>
        <v>0.1682284694332887</v>
      </c>
      <c r="AT88" s="134">
        <f>D88/AR88</f>
        <v>0.71039714413208388</v>
      </c>
      <c r="AU88" s="134">
        <f>E88/AR88</f>
        <v>0.1213743864346274</v>
      </c>
      <c r="AV88" s="151">
        <f>IF(AND(F88&lt;&gt;"",Z88&lt;&gt;""),AB88/(F88/2/Z88),"")</f>
        <v>6.1096136567834684E-2</v>
      </c>
      <c r="AW88" s="151">
        <f>IF(AND(F88&lt;&gt;"",AK88&lt;&gt;""),AM88/(F88/2/AK88),"")</f>
        <v>8.2659478885893978E-2</v>
      </c>
      <c r="AX88" s="41">
        <f>IF(AND(AQ88&lt;&gt;"",1-(AQ88/O88)&gt;0),1-(AQ88/O88),"")</f>
        <v>0.77419354838709675</v>
      </c>
      <c r="AY88" s="41">
        <f>IF(AND(AF88&lt;&gt;"",1-(AF88/O88)&gt;0),1-(AF88/O88),"")</f>
        <v>0.83870967741935487</v>
      </c>
      <c r="AZ88" s="136" t="str">
        <f>IF(Q88="","",IF(Q88&lt;2.5,"Alc. Bruta &lt; 2,5 mg/L",IF(Q88&lt;5,"2,5 ≤ Alc. Bruta &lt; 5,0 mg/L",IF(Q88&lt;7.5,"5,0 ≤ Alc. Bruta &lt; 7,5 mg/L",IF(Q88&lt;10,"7,5 ≤ Alc. Bruta &lt; 10,0 mg/L",IF(Q88&lt;15,"10,0 ≤ Alca. Bruta &lt; 15,0 mg/L","Alc. Bruta &gt; 15 mg/L"))))))</f>
        <v>5,0 ≤ Alc. Bruta &lt; 7,5 mg/L</v>
      </c>
      <c r="BA88" s="136" t="str">
        <f>IF(P88="","",IF(P88&lt;5,"Cor &lt;5 uC",IF(P88&lt;10,"5 ≤ Cor &lt; 10 uC",IF(P88&lt;15,"10 ≤ Cor &lt;15 uC",IF(P88&lt;30,"15 ≤ Cor &lt; 30 uC",IF(P88&lt;50,"30 ≤ Cor &lt; 50 uC","Cor &gt; 50 uC"))))))</f>
        <v>5 ≤ Cor &lt; 10 uC</v>
      </c>
      <c r="BB88" s="137" t="str">
        <f>IF(O88="","",IF(O88&lt;2.5,"Turbidez &lt; 2,5 uT",IF(O88&lt;5,"2,5 ≤ Turb &lt; 5,0 uT",IF(O88&lt;7.5,"5,0 ≤ Turb &lt; 7,5 uT",IF(O88&lt;10,"7,5 ≤ Turb &lt; 10,0 uT",IF(O88&lt;15,"10,0 ≤ Turb &lt; 15,0 uT","Turb &gt; 15 uT"))))))</f>
        <v>Turbidez &lt; 2,5 uT</v>
      </c>
      <c r="BC88" s="138" t="str">
        <f>IF(AND(C88&gt;D88,D88&gt;E88),"TOR &gt; SM &gt; BNN",IF(AND(C88&gt;E88,E88&gt;D88),"TOR &gt; BNN &gt; SM",IF(AND(D88&gt;C88,C88&gt;E88),"SM &gt; TOR &gt; BNN",IF(AND(D88&gt;E88,E88&gt;C88),"SM &gt; BNN &gt; TOR",IF(AND(C88=D88,D88=E88),"TOR = SM = BNN","Comb. diferentes")))))</f>
        <v>SM &gt; TOR &gt; BNN</v>
      </c>
      <c r="BD88" s="137" t="str">
        <f>IF(OR(AE88="",AQ88="-"),"",IF(AE88&lt;=0.25,"Tipo 1 (≤0,25) uT",IF(AE88&lt;=0.5,"Tipo 2 (0,25-0,50) uT",IF(AE88&lt;=0.75,"Tipo 3 (0,50-0,75) uT","Tipo 4 (&gt;0,75) uT"))))</f>
        <v>Tipo 1 (≤0,25) uT</v>
      </c>
      <c r="BE88" s="137" t="str">
        <f t="shared" si="7"/>
        <v>Tipo 1 (≤0,25) uT</v>
      </c>
      <c r="BF88" s="137" t="str">
        <f>IF(OR(AF88="",AQ88="-"),"",IF(AF88&lt;=0.25,"Tipo 1 (≤0,25) uT",IF(AF88&lt;=0.5,"Tipo 2 (0,25-0,50) uT",IF(AF88&lt;=0.75,"Tipo 3 (0,50-0,75) uT","Tipo 4 (&gt;0,75) uT"))))</f>
        <v>Tipo 1 (≤0,25) uT</v>
      </c>
      <c r="BG88" s="137" t="str">
        <f t="shared" si="8"/>
        <v>Tipo 1 (≤0,25) uT</v>
      </c>
      <c r="BH88" s="137" t="str">
        <f>IF(OR(R88="",R88="-"),"",IF(R88&lt;=0.25,"Tipo 1 (≤0,25) uT",IF(R88&lt;=0.5,"Tipo 2 (0,25-0,50) uT",IF(R88&lt;=0.75,"Tipo 3 (0,50-0,75) uT","Tipo 4 (&gt;0,75) uT"))))</f>
        <v>Tipo 1 (≤0,25) uT</v>
      </c>
    </row>
    <row r="89" spans="1:60" x14ac:dyDescent="0.3">
      <c r="A89" s="74">
        <v>46268</v>
      </c>
      <c r="B89" s="139">
        <v>0.39583333333333331</v>
      </c>
      <c r="C89" s="116">
        <v>372</v>
      </c>
      <c r="D89" s="116">
        <v>1606</v>
      </c>
      <c r="E89" s="116">
        <v>261</v>
      </c>
      <c r="F89" s="116">
        <v>2211</v>
      </c>
      <c r="G89" s="144" t="s">
        <v>100</v>
      </c>
      <c r="H89" s="122">
        <v>10</v>
      </c>
      <c r="I89" s="116">
        <v>-84</v>
      </c>
      <c r="J89" s="10">
        <v>90</v>
      </c>
      <c r="K89" s="116">
        <v>90</v>
      </c>
      <c r="L89" s="116">
        <v>90</v>
      </c>
      <c r="M89" s="122">
        <v>23.3</v>
      </c>
      <c r="N89" s="122">
        <v>6.5</v>
      </c>
      <c r="O89" s="79">
        <v>1.0900000000000001</v>
      </c>
      <c r="P89" s="116">
        <v>6</v>
      </c>
      <c r="Q89" s="122">
        <v>6.8</v>
      </c>
      <c r="R89" s="10">
        <v>0.06</v>
      </c>
      <c r="S89" s="79">
        <v>22.36</v>
      </c>
      <c r="T89" s="79">
        <v>0.88</v>
      </c>
      <c r="U89" s="79">
        <v>0.7</v>
      </c>
      <c r="V89" s="85">
        <f t="shared" si="9"/>
        <v>1683.12375</v>
      </c>
      <c r="W89" s="85">
        <f t="shared" si="10"/>
        <v>1398.8187927999998</v>
      </c>
      <c r="X89" s="85">
        <f t="shared" si="11"/>
        <v>0.83108493525802829</v>
      </c>
      <c r="Y89" s="116">
        <v>3</v>
      </c>
      <c r="Z89" s="116">
        <v>4</v>
      </c>
      <c r="AA89" s="122">
        <v>6.6</v>
      </c>
      <c r="AB89" s="116">
        <v>17</v>
      </c>
      <c r="AC89" s="122">
        <v>6</v>
      </c>
      <c r="AD89" s="122">
        <v>6.4</v>
      </c>
      <c r="AE89" s="79">
        <v>0.11</v>
      </c>
      <c r="AF89" s="79">
        <v>0.41</v>
      </c>
      <c r="AG89" s="85">
        <f>(O89+0.3*H89+2)*(F89/2/AK89)</f>
        <v>1683.12375</v>
      </c>
      <c r="AH89" s="85">
        <f t="shared" si="12"/>
        <v>1750.3931224</v>
      </c>
      <c r="AI89" s="85">
        <f t="shared" si="13"/>
        <v>1.0399669794927437</v>
      </c>
      <c r="AJ89" s="116">
        <v>3</v>
      </c>
      <c r="AK89" s="116">
        <v>4</v>
      </c>
      <c r="AL89" s="122">
        <v>6.2</v>
      </c>
      <c r="AM89" s="116">
        <v>23</v>
      </c>
      <c r="AN89" s="122">
        <v>5.9</v>
      </c>
      <c r="AO89" s="122">
        <v>6.4</v>
      </c>
      <c r="AP89" s="79">
        <v>0.21</v>
      </c>
      <c r="AQ89" s="79">
        <v>0.25</v>
      </c>
      <c r="AR89" s="132">
        <f>SUM(C89:E89)</f>
        <v>2239</v>
      </c>
      <c r="AS89" s="134">
        <f>C89/AR89</f>
        <v>0.16614560071460474</v>
      </c>
      <c r="AT89" s="134">
        <f>D89/AR89</f>
        <v>0.71728450200982585</v>
      </c>
      <c r="AU89" s="134">
        <f>E89/AR89</f>
        <v>0.11656989727556945</v>
      </c>
      <c r="AV89" s="151">
        <f>IF(AND(F89&lt;&gt;"",Z89&lt;&gt;""),AB89/(F89/2/Z89),"")</f>
        <v>6.1510628674807777E-2</v>
      </c>
      <c r="AW89" s="151">
        <f>IF(AND(F89&lt;&gt;"",AK89&lt;&gt;""),AM89/(F89/2/AK89),"")</f>
        <v>8.3220262324739933E-2</v>
      </c>
      <c r="AX89" s="41">
        <f>IF(AND(AQ89&lt;&gt;"",1-(AQ89/O89)&gt;0),1-(AQ89/O89),"")</f>
        <v>0.77064220183486243</v>
      </c>
      <c r="AY89" s="41">
        <f>IF(AND(AF89&lt;&gt;"",1-(AF89/O89)&gt;0),1-(AF89/O89),"")</f>
        <v>0.62385321100917435</v>
      </c>
      <c r="AZ89" s="136" t="str">
        <f>IF(Q89="","",IF(Q89&lt;2.5,"Alc. Bruta &lt; 2,5 mg/L",IF(Q89&lt;5,"2,5 ≤ Alc. Bruta &lt; 5,0 mg/L",IF(Q89&lt;7.5,"5,0 ≤ Alc. Bruta &lt; 7,5 mg/L",IF(Q89&lt;10,"7,5 ≤ Alc. Bruta &lt; 10,0 mg/L",IF(Q89&lt;15,"10,0 ≤ Alca. Bruta &lt; 15,0 mg/L","Alc. Bruta &gt; 15 mg/L"))))))</f>
        <v>5,0 ≤ Alc. Bruta &lt; 7,5 mg/L</v>
      </c>
      <c r="BA89" s="136" t="str">
        <f>IF(P89="","",IF(P89&lt;5,"Cor &lt;5 uC",IF(P89&lt;10,"5 ≤ Cor &lt; 10 uC",IF(P89&lt;15,"10 ≤ Cor &lt;15 uC",IF(P89&lt;30,"15 ≤ Cor &lt; 30 uC",IF(P89&lt;50,"30 ≤ Cor &lt; 50 uC","Cor &gt; 50 uC"))))))</f>
        <v>5 ≤ Cor &lt; 10 uC</v>
      </c>
      <c r="BB89" s="137" t="str">
        <f>IF(O89="","",IF(O89&lt;2.5,"Turbidez &lt; 2,5 uT",IF(O89&lt;5,"2,5 ≤ Turb &lt; 5,0 uT",IF(O89&lt;7.5,"5,0 ≤ Turb &lt; 7,5 uT",IF(O89&lt;10,"7,5 ≤ Turb &lt; 10,0 uT",IF(O89&lt;15,"10,0 ≤ Turb &lt; 15,0 uT","Turb &gt; 15 uT"))))))</f>
        <v>Turbidez &lt; 2,5 uT</v>
      </c>
      <c r="BC89" s="138" t="str">
        <f>IF(AND(C89&gt;D89,D89&gt;E89),"TOR &gt; SM &gt; BNN",IF(AND(C89&gt;E89,E89&gt;D89),"TOR &gt; BNN &gt; SM",IF(AND(D89&gt;C89,C89&gt;E89),"SM &gt; TOR &gt; BNN",IF(AND(D89&gt;E89,E89&gt;C89),"SM &gt; BNN &gt; TOR",IF(AND(C89=D89,D89=E89),"TOR = SM = BNN","Comb. diferentes")))))</f>
        <v>SM &gt; TOR &gt; BNN</v>
      </c>
      <c r="BD89" s="137" t="str">
        <f>IF(OR(AE89="",AQ89="-"),"",IF(AE89&lt;=0.25,"Tipo 1 (≤0,25) uT",IF(AE89&lt;=0.5,"Tipo 2 (0,25-0,50) uT",IF(AE89&lt;=0.75,"Tipo 3 (0,50-0,75) uT","Tipo 4 (&gt;0,75) uT"))))</f>
        <v>Tipo 1 (≤0,25) uT</v>
      </c>
      <c r="BE89" s="137" t="str">
        <f t="shared" si="7"/>
        <v>Tipo 1 (≤0,25) uT</v>
      </c>
      <c r="BF89" s="137" t="str">
        <f>IF(OR(AF89="",AQ89="-"),"",IF(AF89&lt;=0.25,"Tipo 1 (≤0,25) uT",IF(AF89&lt;=0.5,"Tipo 2 (0,25-0,50) uT",IF(AF89&lt;=0.75,"Tipo 3 (0,50-0,75) uT","Tipo 4 (&gt;0,75) uT"))))</f>
        <v>Tipo 2 (0,25-0,50) uT</v>
      </c>
      <c r="BG89" s="137" t="str">
        <f t="shared" si="8"/>
        <v>Tipo 1 (≤0,25) uT</v>
      </c>
      <c r="BH89" s="137" t="str">
        <f>IF(OR(R89="",R89="-"),"",IF(R89&lt;=0.25,"Tipo 1 (≤0,25) uT",IF(R89&lt;=0.5,"Tipo 2 (0,25-0,50) uT",IF(R89&lt;=0.75,"Tipo 3 (0,50-0,75) uT","Tipo 4 (&gt;0,75) uT"))))</f>
        <v>Tipo 1 (≤0,25) uT</v>
      </c>
    </row>
    <row r="90" spans="1:60" x14ac:dyDescent="0.3">
      <c r="A90" s="74">
        <v>46268</v>
      </c>
      <c r="B90" s="139">
        <v>0.47916666666666669</v>
      </c>
      <c r="C90" s="116">
        <v>377</v>
      </c>
      <c r="D90" s="116">
        <v>1543</v>
      </c>
      <c r="E90" s="116">
        <v>261</v>
      </c>
      <c r="F90" s="116">
        <v>2200</v>
      </c>
      <c r="G90" s="144" t="s">
        <v>100</v>
      </c>
      <c r="H90" s="122">
        <v>10</v>
      </c>
      <c r="I90" s="116">
        <v>-84</v>
      </c>
      <c r="J90" s="10">
        <v>90</v>
      </c>
      <c r="K90" s="116">
        <v>90</v>
      </c>
      <c r="L90" s="116">
        <v>90</v>
      </c>
      <c r="M90" s="122">
        <v>25.9</v>
      </c>
      <c r="N90" s="122">
        <v>6.5</v>
      </c>
      <c r="O90" s="79">
        <v>0.96</v>
      </c>
      <c r="P90" s="116">
        <v>7</v>
      </c>
      <c r="Q90" s="122">
        <v>7.2</v>
      </c>
      <c r="R90" s="10">
        <v>0.06</v>
      </c>
      <c r="S90" s="79">
        <v>22.36</v>
      </c>
      <c r="T90" s="79">
        <v>0.88</v>
      </c>
      <c r="U90" s="79">
        <v>0.7</v>
      </c>
      <c r="V90" s="85">
        <f t="shared" si="9"/>
        <v>1639</v>
      </c>
      <c r="W90" s="85">
        <f t="shared" si="10"/>
        <v>1398.8187927999998</v>
      </c>
      <c r="X90" s="85">
        <f t="shared" si="11"/>
        <v>0.85345868993288576</v>
      </c>
      <c r="Y90" s="116">
        <v>3</v>
      </c>
      <c r="Z90" s="116">
        <v>4</v>
      </c>
      <c r="AA90" s="122">
        <v>6.6</v>
      </c>
      <c r="AB90" s="116">
        <v>17</v>
      </c>
      <c r="AC90" s="122">
        <v>5.7</v>
      </c>
      <c r="AD90" s="122">
        <v>5.7</v>
      </c>
      <c r="AE90" s="79">
        <v>0.24</v>
      </c>
      <c r="AF90" s="79">
        <v>0.15</v>
      </c>
      <c r="AG90" s="85">
        <f>(O90+0.3*H90+2)*(F90/2/AK90)</f>
        <v>1639</v>
      </c>
      <c r="AH90" s="85">
        <f t="shared" si="12"/>
        <v>1750.3931224</v>
      </c>
      <c r="AI90" s="85">
        <f t="shared" si="13"/>
        <v>1.0679640771201953</v>
      </c>
      <c r="AJ90" s="116">
        <v>3</v>
      </c>
      <c r="AK90" s="116">
        <v>4</v>
      </c>
      <c r="AL90" s="122">
        <v>6.2</v>
      </c>
      <c r="AM90" s="116">
        <v>23</v>
      </c>
      <c r="AN90" s="122">
        <v>5.9</v>
      </c>
      <c r="AO90" s="122">
        <v>6.6</v>
      </c>
      <c r="AP90" s="79">
        <v>0.15</v>
      </c>
      <c r="AQ90" s="79">
        <v>0.21</v>
      </c>
      <c r="AR90" s="132">
        <f>SUM(C90:E90)</f>
        <v>2181</v>
      </c>
      <c r="AS90" s="134">
        <f>C90/AR90</f>
        <v>0.17285648784961027</v>
      </c>
      <c r="AT90" s="134">
        <f>D90/AR90</f>
        <v>0.70747363594681334</v>
      </c>
      <c r="AU90" s="134">
        <f>E90/AR90</f>
        <v>0.11966987620357634</v>
      </c>
      <c r="AV90" s="151">
        <f>IF(AND(F90&lt;&gt;"",Z90&lt;&gt;""),AB90/(F90/2/Z90),"")</f>
        <v>6.1818181818181821E-2</v>
      </c>
      <c r="AW90" s="151">
        <f>IF(AND(F90&lt;&gt;"",AK90&lt;&gt;""),AM90/(F90/2/AK90),"")</f>
        <v>8.3636363636363634E-2</v>
      </c>
      <c r="AX90" s="41">
        <f>IF(AND(AQ90&lt;&gt;"",1-(AQ90/O90)&gt;0),1-(AQ90/O90),"")</f>
        <v>0.78125</v>
      </c>
      <c r="AY90" s="41">
        <f>IF(AND(AF90&lt;&gt;"",1-(AF90/O90)&gt;0),1-(AF90/O90),"")</f>
        <v>0.84375</v>
      </c>
      <c r="AZ90" s="136" t="str">
        <f>IF(Q90="","",IF(Q90&lt;2.5,"Alc. Bruta &lt; 2,5 mg/L",IF(Q90&lt;5,"2,5 ≤ Alc. Bruta &lt; 5,0 mg/L",IF(Q90&lt;7.5,"5,0 ≤ Alc. Bruta &lt; 7,5 mg/L",IF(Q90&lt;10,"7,5 ≤ Alc. Bruta &lt; 10,0 mg/L",IF(Q90&lt;15,"10,0 ≤ Alca. Bruta &lt; 15,0 mg/L","Alc. Bruta &gt; 15 mg/L"))))))</f>
        <v>5,0 ≤ Alc. Bruta &lt; 7,5 mg/L</v>
      </c>
      <c r="BA90" s="136" t="str">
        <f>IF(P90="","",IF(P90&lt;5,"Cor &lt;5 uC",IF(P90&lt;10,"5 ≤ Cor &lt; 10 uC",IF(P90&lt;15,"10 ≤ Cor &lt;15 uC",IF(P90&lt;30,"15 ≤ Cor &lt; 30 uC",IF(P90&lt;50,"30 ≤ Cor &lt; 50 uC","Cor &gt; 50 uC"))))))</f>
        <v>5 ≤ Cor &lt; 10 uC</v>
      </c>
      <c r="BB90" s="137" t="str">
        <f>IF(O90="","",IF(O90&lt;2.5,"Turbidez &lt; 2,5 uT",IF(O90&lt;5,"2,5 ≤ Turb &lt; 5,0 uT",IF(O90&lt;7.5,"5,0 ≤ Turb &lt; 7,5 uT",IF(O90&lt;10,"7,5 ≤ Turb &lt; 10,0 uT",IF(O90&lt;15,"10,0 ≤ Turb &lt; 15,0 uT","Turb &gt; 15 uT"))))))</f>
        <v>Turbidez &lt; 2,5 uT</v>
      </c>
      <c r="BC90" s="138" t="str">
        <f>IF(AND(C90&gt;D90,D90&gt;E90),"TOR &gt; SM &gt; BNN",IF(AND(C90&gt;E90,E90&gt;D90),"TOR &gt; BNN &gt; SM",IF(AND(D90&gt;C90,C90&gt;E90),"SM &gt; TOR &gt; BNN",IF(AND(D90&gt;E90,E90&gt;C90),"SM &gt; BNN &gt; TOR",IF(AND(C90=D90,D90=E90),"TOR = SM = BNN","Comb. diferentes")))))</f>
        <v>SM &gt; TOR &gt; BNN</v>
      </c>
      <c r="BD90" s="137" t="str">
        <f>IF(OR(AE90="",AQ90="-"),"",IF(AE90&lt;=0.25,"Tipo 1 (≤0,25) uT",IF(AE90&lt;=0.5,"Tipo 2 (0,25-0,50) uT",IF(AE90&lt;=0.75,"Tipo 3 (0,50-0,75) uT","Tipo 4 (&gt;0,75) uT"))))</f>
        <v>Tipo 1 (≤0,25) uT</v>
      </c>
      <c r="BE90" s="137" t="str">
        <f t="shared" si="7"/>
        <v>Tipo 1 (≤0,25) uT</v>
      </c>
      <c r="BF90" s="137" t="str">
        <f>IF(OR(AF90="",AQ90="-"),"",IF(AF90&lt;=0.25,"Tipo 1 (≤0,25) uT",IF(AF90&lt;=0.5,"Tipo 2 (0,25-0,50) uT",IF(AF90&lt;=0.75,"Tipo 3 (0,50-0,75) uT","Tipo 4 (&gt;0,75) uT"))))</f>
        <v>Tipo 1 (≤0,25) uT</v>
      </c>
      <c r="BG90" s="137" t="str">
        <f t="shared" si="8"/>
        <v>Tipo 1 (≤0,25) uT</v>
      </c>
      <c r="BH90" s="137" t="str">
        <f>IF(OR(R90="",R90="-"),"",IF(R90&lt;=0.25,"Tipo 1 (≤0,25) uT",IF(R90&lt;=0.5,"Tipo 2 (0,25-0,50) uT",IF(R90&lt;=0.75,"Tipo 3 (0,50-0,75) uT","Tipo 4 (&gt;0,75) uT"))))</f>
        <v>Tipo 1 (≤0,25) uT</v>
      </c>
    </row>
    <row r="91" spans="1:60" x14ac:dyDescent="0.3">
      <c r="A91" s="74">
        <v>46268</v>
      </c>
      <c r="B91" s="139">
        <v>0.64583333333333337</v>
      </c>
      <c r="C91" s="116">
        <v>361</v>
      </c>
      <c r="D91" s="116">
        <v>1647</v>
      </c>
      <c r="E91" s="116">
        <v>276</v>
      </c>
      <c r="F91" s="116">
        <v>2253</v>
      </c>
      <c r="G91" s="144" t="s">
        <v>100</v>
      </c>
      <c r="H91" s="122">
        <v>11.6</v>
      </c>
      <c r="I91" s="116">
        <v>-74</v>
      </c>
      <c r="J91" s="10">
        <v>90</v>
      </c>
      <c r="K91" s="116">
        <v>90</v>
      </c>
      <c r="L91" s="116">
        <v>90</v>
      </c>
      <c r="M91" s="122">
        <v>25.4</v>
      </c>
      <c r="N91" s="122">
        <v>6.4</v>
      </c>
      <c r="O91" s="79">
        <v>1.01</v>
      </c>
      <c r="P91" s="116">
        <v>15</v>
      </c>
      <c r="Q91" s="122">
        <v>7.7</v>
      </c>
      <c r="R91" s="10">
        <v>0.06</v>
      </c>
      <c r="S91" s="79">
        <v>22.36</v>
      </c>
      <c r="T91" s="79">
        <v>0.88</v>
      </c>
      <c r="U91" s="79">
        <v>0.7</v>
      </c>
      <c r="V91" s="85">
        <f t="shared" si="9"/>
        <v>1827.7462500000001</v>
      </c>
      <c r="W91" s="85">
        <f t="shared" si="10"/>
        <v>1372.556302</v>
      </c>
      <c r="X91" s="85">
        <f t="shared" si="11"/>
        <v>0.75095561104283481</v>
      </c>
      <c r="Y91" s="116">
        <v>3</v>
      </c>
      <c r="Z91" s="116">
        <v>4</v>
      </c>
      <c r="AA91" s="122">
        <v>6.5</v>
      </c>
      <c r="AB91" s="116">
        <v>17</v>
      </c>
      <c r="AC91" s="122">
        <v>5.9</v>
      </c>
      <c r="AD91" s="122">
        <v>6.7</v>
      </c>
      <c r="AE91" s="79">
        <v>0.13</v>
      </c>
      <c r="AF91" s="79">
        <v>0.27</v>
      </c>
      <c r="AG91" s="85">
        <f>(O91+0.3*H91+2)*(F91/2/AK91)</f>
        <v>1827.7462500000001</v>
      </c>
      <c r="AH91" s="85">
        <f t="shared" si="12"/>
        <v>1750.3931224</v>
      </c>
      <c r="AI91" s="85">
        <f t="shared" si="13"/>
        <v>0.95767840989962361</v>
      </c>
      <c r="AJ91" s="116">
        <v>3</v>
      </c>
      <c r="AK91" s="116">
        <v>4</v>
      </c>
      <c r="AL91" s="122">
        <v>6.2</v>
      </c>
      <c r="AM91" s="116">
        <v>23</v>
      </c>
      <c r="AN91" s="122">
        <v>5.8</v>
      </c>
      <c r="AO91" s="122">
        <v>5.8</v>
      </c>
      <c r="AP91" s="79">
        <v>0.15</v>
      </c>
      <c r="AQ91" s="79">
        <v>0.13</v>
      </c>
      <c r="AR91" s="132">
        <f>SUM(C91:E91)</f>
        <v>2284</v>
      </c>
      <c r="AS91" s="134">
        <f>C91/AR91</f>
        <v>0.15805604203152365</v>
      </c>
      <c r="AT91" s="134">
        <f>D91/AR91</f>
        <v>0.72110332749562167</v>
      </c>
      <c r="AU91" s="134">
        <f>E91/AR91</f>
        <v>0.12084063047285463</v>
      </c>
      <c r="AV91" s="151">
        <f>IF(AND(F91&lt;&gt;"",Z91&lt;&gt;""),AB91/(F91/2/Z91),"")</f>
        <v>6.0363959165557035E-2</v>
      </c>
      <c r="AW91" s="151">
        <f>IF(AND(F91&lt;&gt;"",AK91&lt;&gt;""),AM91/(F91/2/AK91),"")</f>
        <v>8.1668885929871288E-2</v>
      </c>
      <c r="AX91" s="41">
        <f>IF(AND(AQ91&lt;&gt;"",1-(AQ91/O91)&gt;0),1-(AQ91/O91),"")</f>
        <v>0.87128712871287128</v>
      </c>
      <c r="AY91" s="41">
        <f>IF(AND(AF91&lt;&gt;"",1-(AF91/O91)&gt;0),1-(AF91/O91),"")</f>
        <v>0.73267326732673266</v>
      </c>
      <c r="AZ91" s="136" t="str">
        <f>IF(Q91="","",IF(Q91&lt;2.5,"Alc. Bruta &lt; 2,5 mg/L",IF(Q91&lt;5,"2,5 ≤ Alc. Bruta &lt; 5,0 mg/L",IF(Q91&lt;7.5,"5,0 ≤ Alc. Bruta &lt; 7,5 mg/L",IF(Q91&lt;10,"7,5 ≤ Alc. Bruta &lt; 10,0 mg/L",IF(Q91&lt;15,"10,0 ≤ Alca. Bruta &lt; 15,0 mg/L","Alc. Bruta &gt; 15 mg/L"))))))</f>
        <v>7,5 ≤ Alc. Bruta &lt; 10,0 mg/L</v>
      </c>
      <c r="BA91" s="136" t="str">
        <f>IF(P91="","",IF(P91&lt;5,"Cor &lt;5 uC",IF(P91&lt;10,"5 ≤ Cor &lt; 10 uC",IF(P91&lt;15,"10 ≤ Cor &lt;15 uC",IF(P91&lt;30,"15 ≤ Cor &lt; 30 uC",IF(P91&lt;50,"30 ≤ Cor &lt; 50 uC","Cor &gt; 50 uC"))))))</f>
        <v>15 ≤ Cor &lt; 30 uC</v>
      </c>
      <c r="BB91" s="137" t="str">
        <f>IF(O91="","",IF(O91&lt;2.5,"Turbidez &lt; 2,5 uT",IF(O91&lt;5,"2,5 ≤ Turb &lt; 5,0 uT",IF(O91&lt;7.5,"5,0 ≤ Turb &lt; 7,5 uT",IF(O91&lt;10,"7,5 ≤ Turb &lt; 10,0 uT",IF(O91&lt;15,"10,0 ≤ Turb &lt; 15,0 uT","Turb &gt; 15 uT"))))))</f>
        <v>Turbidez &lt; 2,5 uT</v>
      </c>
      <c r="BC91" s="138" t="str">
        <f>IF(AND(C91&gt;D91,D91&gt;E91),"TOR &gt; SM &gt; BNN",IF(AND(C91&gt;E91,E91&gt;D91),"TOR &gt; BNN &gt; SM",IF(AND(D91&gt;C91,C91&gt;E91),"SM &gt; TOR &gt; BNN",IF(AND(D91&gt;E91,E91&gt;C91),"SM &gt; BNN &gt; TOR",IF(AND(C91=D91,D91=E91),"TOR = SM = BNN","Comb. diferentes")))))</f>
        <v>SM &gt; TOR &gt; BNN</v>
      </c>
      <c r="BD91" s="137" t="str">
        <f>IF(OR(AE91="",AQ91="-"),"",IF(AE91&lt;=0.25,"Tipo 1 (≤0,25) uT",IF(AE91&lt;=0.5,"Tipo 2 (0,25-0,50) uT",IF(AE91&lt;=0.75,"Tipo 3 (0,50-0,75) uT","Tipo 4 (&gt;0,75) uT"))))</f>
        <v>Tipo 1 (≤0,25) uT</v>
      </c>
      <c r="BE91" s="137" t="str">
        <f t="shared" si="7"/>
        <v>Tipo 1 (≤0,25) uT</v>
      </c>
      <c r="BF91" s="137" t="str">
        <f>IF(OR(AF91="",AQ91="-"),"",IF(AF91&lt;=0.25,"Tipo 1 (≤0,25) uT",IF(AF91&lt;=0.5,"Tipo 2 (0,25-0,50) uT",IF(AF91&lt;=0.75,"Tipo 3 (0,50-0,75) uT","Tipo 4 (&gt;0,75) uT"))))</f>
        <v>Tipo 2 (0,25-0,50) uT</v>
      </c>
      <c r="BG91" s="137" t="str">
        <f t="shared" si="8"/>
        <v>Tipo 1 (≤0,25) uT</v>
      </c>
      <c r="BH91" s="137" t="str">
        <f>IF(OR(R91="",R91="-"),"",IF(R91&lt;=0.25,"Tipo 1 (≤0,25) uT",IF(R91&lt;=0.5,"Tipo 2 (0,25-0,50) uT",IF(R91&lt;=0.75,"Tipo 3 (0,50-0,75) uT","Tipo 4 (&gt;0,75) uT"))))</f>
        <v>Tipo 1 (≤0,25) uT</v>
      </c>
    </row>
    <row r="92" spans="1:60" x14ac:dyDescent="0.3">
      <c r="A92" s="74">
        <v>46268</v>
      </c>
      <c r="B92" s="139">
        <v>0.72916666666666663</v>
      </c>
      <c r="C92" s="116">
        <v>361</v>
      </c>
      <c r="D92" s="116">
        <v>1576</v>
      </c>
      <c r="E92" s="116">
        <v>278</v>
      </c>
      <c r="F92" s="116">
        <v>2231</v>
      </c>
      <c r="G92" s="144" t="s">
        <v>100</v>
      </c>
      <c r="H92" s="122">
        <v>11</v>
      </c>
      <c r="I92" s="116">
        <v>-70</v>
      </c>
      <c r="J92" s="10">
        <v>90</v>
      </c>
      <c r="K92" s="116">
        <v>90</v>
      </c>
      <c r="L92" s="116">
        <v>90</v>
      </c>
      <c r="M92" s="122">
        <v>26</v>
      </c>
      <c r="N92" s="122">
        <v>6.5</v>
      </c>
      <c r="O92" s="79">
        <v>1.04</v>
      </c>
      <c r="P92" s="116">
        <v>5</v>
      </c>
      <c r="Q92" s="122">
        <v>7.8</v>
      </c>
      <c r="R92" s="10">
        <v>0.06</v>
      </c>
      <c r="S92" s="79">
        <v>22.36</v>
      </c>
      <c r="T92" s="79">
        <v>0.88</v>
      </c>
      <c r="U92" s="79">
        <v>0.7</v>
      </c>
      <c r="V92" s="85">
        <f t="shared" si="9"/>
        <v>1768.0674999999999</v>
      </c>
      <c r="W92" s="85">
        <f t="shared" si="10"/>
        <v>1398.8187927999998</v>
      </c>
      <c r="X92" s="85">
        <f t="shared" si="11"/>
        <v>0.79115689463213357</v>
      </c>
      <c r="Y92" s="116">
        <v>3</v>
      </c>
      <c r="Z92" s="116">
        <v>4</v>
      </c>
      <c r="AA92" s="122">
        <v>6.6</v>
      </c>
      <c r="AB92" s="116">
        <v>17</v>
      </c>
      <c r="AC92" s="122">
        <v>6.2</v>
      </c>
      <c r="AD92" s="122">
        <v>7.7</v>
      </c>
      <c r="AE92" s="79">
        <v>0.15</v>
      </c>
      <c r="AF92" s="79">
        <v>7.0000000000000007E-2</v>
      </c>
      <c r="AG92" s="85">
        <f>(O92+0.3*H92+2)*(F92/2/AK92)</f>
        <v>1768.0674999999999</v>
      </c>
      <c r="AH92" s="85">
        <f t="shared" si="12"/>
        <v>1750.3931224</v>
      </c>
      <c r="AI92" s="85">
        <f t="shared" si="13"/>
        <v>0.99000356174184534</v>
      </c>
      <c r="AJ92" s="116">
        <v>3</v>
      </c>
      <c r="AK92" s="116">
        <v>4</v>
      </c>
      <c r="AL92" s="122">
        <v>6.2</v>
      </c>
      <c r="AM92" s="116">
        <v>23</v>
      </c>
      <c r="AN92" s="122">
        <v>6.1</v>
      </c>
      <c r="AO92" s="122">
        <v>6.5</v>
      </c>
      <c r="AP92" s="79">
        <v>0.14000000000000001</v>
      </c>
      <c r="AQ92" s="79">
        <v>0.2</v>
      </c>
      <c r="AR92" s="132">
        <f>SUM(C92:E92)</f>
        <v>2215</v>
      </c>
      <c r="AS92" s="134">
        <f>C92/AR92</f>
        <v>0.16297968397291196</v>
      </c>
      <c r="AT92" s="134">
        <f>D92/AR92</f>
        <v>0.71151241534988718</v>
      </c>
      <c r="AU92" s="134">
        <f>E92/AR92</f>
        <v>0.12550790067720091</v>
      </c>
      <c r="AV92" s="151">
        <f>IF(AND(F92&lt;&gt;"",Z92&lt;&gt;""),AB92/(F92/2/Z92),"")</f>
        <v>6.0959211116091441E-2</v>
      </c>
      <c r="AW92" s="151">
        <f>IF(AND(F92&lt;&gt;"",AK92&lt;&gt;""),AM92/(F92/2/AK92),"")</f>
        <v>8.247422680412371E-2</v>
      </c>
      <c r="AX92" s="41">
        <f>IF(AND(AQ92&lt;&gt;"",1-(AQ92/O92)&gt;0),1-(AQ92/O92),"")</f>
        <v>0.80769230769230771</v>
      </c>
      <c r="AY92" s="41">
        <f>IF(AND(AF92&lt;&gt;"",1-(AF92/O92)&gt;0),1-(AF92/O92),"")</f>
        <v>0.93269230769230771</v>
      </c>
      <c r="AZ92" s="136" t="str">
        <f>IF(Q92="","",IF(Q92&lt;2.5,"Alc. Bruta &lt; 2,5 mg/L",IF(Q92&lt;5,"2,5 ≤ Alc. Bruta &lt; 5,0 mg/L",IF(Q92&lt;7.5,"5,0 ≤ Alc. Bruta &lt; 7,5 mg/L",IF(Q92&lt;10,"7,5 ≤ Alc. Bruta &lt; 10,0 mg/L",IF(Q92&lt;15,"10,0 ≤ Alca. Bruta &lt; 15,0 mg/L","Alc. Bruta &gt; 15 mg/L"))))))</f>
        <v>7,5 ≤ Alc. Bruta &lt; 10,0 mg/L</v>
      </c>
      <c r="BA92" s="136" t="str">
        <f>IF(P92="","",IF(P92&lt;5,"Cor &lt;5 uC",IF(P92&lt;10,"5 ≤ Cor &lt; 10 uC",IF(P92&lt;15,"10 ≤ Cor &lt;15 uC",IF(P92&lt;30,"15 ≤ Cor &lt; 30 uC",IF(P92&lt;50,"30 ≤ Cor &lt; 50 uC","Cor &gt; 50 uC"))))))</f>
        <v>5 ≤ Cor &lt; 10 uC</v>
      </c>
      <c r="BB92" s="137" t="str">
        <f>IF(O92="","",IF(O92&lt;2.5,"Turbidez &lt; 2,5 uT",IF(O92&lt;5,"2,5 ≤ Turb &lt; 5,0 uT",IF(O92&lt;7.5,"5,0 ≤ Turb &lt; 7,5 uT",IF(O92&lt;10,"7,5 ≤ Turb &lt; 10,0 uT",IF(O92&lt;15,"10,0 ≤ Turb &lt; 15,0 uT","Turb &gt; 15 uT"))))))</f>
        <v>Turbidez &lt; 2,5 uT</v>
      </c>
      <c r="BC92" s="138" t="str">
        <f>IF(AND(C92&gt;D92,D92&gt;E92),"TOR &gt; SM &gt; BNN",IF(AND(C92&gt;E92,E92&gt;D92),"TOR &gt; BNN &gt; SM",IF(AND(D92&gt;C92,C92&gt;E92),"SM &gt; TOR &gt; BNN",IF(AND(D92&gt;E92,E92&gt;C92),"SM &gt; BNN &gt; TOR",IF(AND(C92=D92,D92=E92),"TOR = SM = BNN","Comb. diferentes")))))</f>
        <v>SM &gt; TOR &gt; BNN</v>
      </c>
      <c r="BD92" s="137" t="str">
        <f>IF(OR(AE92="",AQ92="-"),"",IF(AE92&lt;=0.25,"Tipo 1 (≤0,25) uT",IF(AE92&lt;=0.5,"Tipo 2 (0,25-0,50) uT",IF(AE92&lt;=0.75,"Tipo 3 (0,50-0,75) uT","Tipo 4 (&gt;0,75) uT"))))</f>
        <v>Tipo 1 (≤0,25) uT</v>
      </c>
      <c r="BE92" s="137" t="str">
        <f t="shared" si="7"/>
        <v>Tipo 1 (≤0,25) uT</v>
      </c>
      <c r="BF92" s="137" t="str">
        <f>IF(OR(AF92="",AQ92="-"),"",IF(AF92&lt;=0.25,"Tipo 1 (≤0,25) uT",IF(AF92&lt;=0.5,"Tipo 2 (0,25-0,50) uT",IF(AF92&lt;=0.75,"Tipo 3 (0,50-0,75) uT","Tipo 4 (&gt;0,75) uT"))))</f>
        <v>Tipo 1 (≤0,25) uT</v>
      </c>
      <c r="BG92" s="137" t="str">
        <f t="shared" si="8"/>
        <v>Tipo 1 (≤0,25) uT</v>
      </c>
      <c r="BH92" s="137" t="str">
        <f>IF(OR(R92="",R92="-"),"",IF(R92&lt;=0.25,"Tipo 1 (≤0,25) uT",IF(R92&lt;=0.5,"Tipo 2 (0,25-0,50) uT",IF(R92&lt;=0.75,"Tipo 3 (0,50-0,75) uT","Tipo 4 (&gt;0,75) uT"))))</f>
        <v>Tipo 1 (≤0,25) uT</v>
      </c>
    </row>
    <row r="93" spans="1:60" x14ac:dyDescent="0.3">
      <c r="A93" s="74">
        <v>46268</v>
      </c>
      <c r="B93" s="139">
        <v>0.8125</v>
      </c>
      <c r="C93" s="116">
        <v>362</v>
      </c>
      <c r="D93" s="116">
        <v>1625</v>
      </c>
      <c r="E93" s="116">
        <v>275</v>
      </c>
      <c r="F93" s="116">
        <v>2250</v>
      </c>
      <c r="G93" s="144" t="s">
        <v>100</v>
      </c>
      <c r="H93" s="122">
        <v>11</v>
      </c>
      <c r="I93" s="116">
        <v>-64</v>
      </c>
      <c r="J93" s="10">
        <v>90</v>
      </c>
      <c r="K93" s="116">
        <v>90</v>
      </c>
      <c r="L93" s="116">
        <v>90</v>
      </c>
      <c r="M93" s="122">
        <v>26.1</v>
      </c>
      <c r="N93" s="122">
        <v>6.5</v>
      </c>
      <c r="O93" s="79">
        <v>1.07</v>
      </c>
      <c r="P93" s="116">
        <v>6</v>
      </c>
      <c r="Q93" s="122">
        <v>7.4</v>
      </c>
      <c r="R93" s="10">
        <v>7.0000000000000007E-2</v>
      </c>
      <c r="S93" s="79">
        <v>22.36</v>
      </c>
      <c r="T93" s="79">
        <v>0.88</v>
      </c>
      <c r="U93" s="79">
        <v>0.7</v>
      </c>
      <c r="V93" s="85">
        <f t="shared" si="9"/>
        <v>1791.5625</v>
      </c>
      <c r="W93" s="85">
        <f t="shared" si="10"/>
        <v>1398.8187927999998</v>
      </c>
      <c r="X93" s="85">
        <f t="shared" si="11"/>
        <v>0.78078146467120169</v>
      </c>
      <c r="Y93" s="116">
        <v>3</v>
      </c>
      <c r="Z93" s="116">
        <v>4</v>
      </c>
      <c r="AA93" s="122">
        <v>6.6</v>
      </c>
      <c r="AB93" s="116">
        <v>17</v>
      </c>
      <c r="AC93" s="122">
        <v>6.1</v>
      </c>
      <c r="AD93" s="122">
        <v>5.8</v>
      </c>
      <c r="AE93" s="79">
        <v>0.14000000000000001</v>
      </c>
      <c r="AF93" s="79">
        <v>0.09</v>
      </c>
      <c r="AG93" s="85">
        <f>(O93+0.3*H93+2)*(F93/2/AK93)</f>
        <v>1791.5625</v>
      </c>
      <c r="AH93" s="85">
        <f t="shared" si="12"/>
        <v>1714.8615171999998</v>
      </c>
      <c r="AI93" s="85">
        <f t="shared" si="13"/>
        <v>0.95718766004535139</v>
      </c>
      <c r="AJ93" s="116">
        <v>3</v>
      </c>
      <c r="AK93" s="116">
        <v>4</v>
      </c>
      <c r="AL93" s="122">
        <v>6.1</v>
      </c>
      <c r="AM93" s="116">
        <v>23</v>
      </c>
      <c r="AN93" s="122">
        <v>6</v>
      </c>
      <c r="AO93" s="122">
        <v>5.3</v>
      </c>
      <c r="AP93" s="79">
        <v>0.13</v>
      </c>
      <c r="AQ93" s="79">
        <v>0.16</v>
      </c>
      <c r="AR93" s="132">
        <f>SUM(C93:E93)</f>
        <v>2262</v>
      </c>
      <c r="AS93" s="134">
        <f>C93/AR93</f>
        <v>0.16003536693191867</v>
      </c>
      <c r="AT93" s="134">
        <f>D93/AR93</f>
        <v>0.7183908045977011</v>
      </c>
      <c r="AU93" s="134">
        <f>E93/AR93</f>
        <v>0.12157382847038019</v>
      </c>
      <c r="AV93" s="151">
        <f>IF(AND(F93&lt;&gt;"",Z93&lt;&gt;""),AB93/(F93/2/Z93),"")</f>
        <v>6.0444444444444446E-2</v>
      </c>
      <c r="AW93" s="151">
        <f>IF(AND(F93&lt;&gt;"",AK93&lt;&gt;""),AM93/(F93/2/AK93),"")</f>
        <v>8.1777777777777783E-2</v>
      </c>
      <c r="AX93" s="41">
        <f>IF(AND(AQ93&lt;&gt;"",1-(AQ93/O93)&gt;0),1-(AQ93/O93),"")</f>
        <v>0.85046728971962615</v>
      </c>
      <c r="AY93" s="41">
        <f>IF(AND(AF93&lt;&gt;"",1-(AF93/O93)&gt;0),1-(AF93/O93),"")</f>
        <v>0.91588785046728971</v>
      </c>
      <c r="AZ93" s="136" t="str">
        <f>IF(Q93="","",IF(Q93&lt;2.5,"Alc. Bruta &lt; 2,5 mg/L",IF(Q93&lt;5,"2,5 ≤ Alc. Bruta &lt; 5,0 mg/L",IF(Q93&lt;7.5,"5,0 ≤ Alc. Bruta &lt; 7,5 mg/L",IF(Q93&lt;10,"7,5 ≤ Alc. Bruta &lt; 10,0 mg/L",IF(Q93&lt;15,"10,0 ≤ Alca. Bruta &lt; 15,0 mg/L","Alc. Bruta &gt; 15 mg/L"))))))</f>
        <v>5,0 ≤ Alc. Bruta &lt; 7,5 mg/L</v>
      </c>
      <c r="BA93" s="136" t="str">
        <f>IF(P93="","",IF(P93&lt;5,"Cor &lt;5 uC",IF(P93&lt;10,"5 ≤ Cor &lt; 10 uC",IF(P93&lt;15,"10 ≤ Cor &lt;15 uC",IF(P93&lt;30,"15 ≤ Cor &lt; 30 uC",IF(P93&lt;50,"30 ≤ Cor &lt; 50 uC","Cor &gt; 50 uC"))))))</f>
        <v>5 ≤ Cor &lt; 10 uC</v>
      </c>
      <c r="BB93" s="137" t="str">
        <f>IF(O93="","",IF(O93&lt;2.5,"Turbidez &lt; 2,5 uT",IF(O93&lt;5,"2,5 ≤ Turb &lt; 5,0 uT",IF(O93&lt;7.5,"5,0 ≤ Turb &lt; 7,5 uT",IF(O93&lt;10,"7,5 ≤ Turb &lt; 10,0 uT",IF(O93&lt;15,"10,0 ≤ Turb &lt; 15,0 uT","Turb &gt; 15 uT"))))))</f>
        <v>Turbidez &lt; 2,5 uT</v>
      </c>
      <c r="BC93" s="138" t="str">
        <f>IF(AND(C93&gt;D93,D93&gt;E93),"TOR &gt; SM &gt; BNN",IF(AND(C93&gt;E93,E93&gt;D93),"TOR &gt; BNN &gt; SM",IF(AND(D93&gt;C93,C93&gt;E93),"SM &gt; TOR &gt; BNN",IF(AND(D93&gt;E93,E93&gt;C93),"SM &gt; BNN &gt; TOR",IF(AND(C93=D93,D93=E93),"TOR = SM = BNN","Comb. diferentes")))))</f>
        <v>SM &gt; TOR &gt; BNN</v>
      </c>
      <c r="BD93" s="137" t="str">
        <f>IF(OR(AE93="",AQ93="-"),"",IF(AE93&lt;=0.25,"Tipo 1 (≤0,25) uT",IF(AE93&lt;=0.5,"Tipo 2 (0,25-0,50) uT",IF(AE93&lt;=0.75,"Tipo 3 (0,50-0,75) uT","Tipo 4 (&gt;0,75) uT"))))</f>
        <v>Tipo 1 (≤0,25) uT</v>
      </c>
      <c r="BE93" s="137" t="str">
        <f t="shared" si="7"/>
        <v>Tipo 1 (≤0,25) uT</v>
      </c>
      <c r="BF93" s="137" t="str">
        <f>IF(OR(AF93="",AQ93="-"),"",IF(AF93&lt;=0.25,"Tipo 1 (≤0,25) uT",IF(AF93&lt;=0.5,"Tipo 2 (0,25-0,50) uT",IF(AF93&lt;=0.75,"Tipo 3 (0,50-0,75) uT","Tipo 4 (&gt;0,75) uT"))))</f>
        <v>Tipo 1 (≤0,25) uT</v>
      </c>
      <c r="BG93" s="137" t="str">
        <f t="shared" si="8"/>
        <v>Tipo 1 (≤0,25) uT</v>
      </c>
      <c r="BH93" s="137" t="str">
        <f>IF(OR(R93="",R93="-"),"",IF(R93&lt;=0.25,"Tipo 1 (≤0,25) uT",IF(R93&lt;=0.5,"Tipo 2 (0,25-0,50) uT",IF(R93&lt;=0.75,"Tipo 3 (0,50-0,75) uT","Tipo 4 (&gt;0,75) uT"))))</f>
        <v>Tipo 1 (≤0,25) uT</v>
      </c>
    </row>
    <row r="94" spans="1:60" x14ac:dyDescent="0.3">
      <c r="A94" s="74">
        <v>46268</v>
      </c>
      <c r="B94" s="139">
        <v>0.89583333333333337</v>
      </c>
      <c r="C94" s="116">
        <v>366</v>
      </c>
      <c r="D94" s="116">
        <v>1581</v>
      </c>
      <c r="E94" s="116">
        <v>271</v>
      </c>
      <c r="F94" s="116">
        <v>2245</v>
      </c>
      <c r="G94" s="144" t="s">
        <v>100</v>
      </c>
      <c r="H94" s="122">
        <v>11</v>
      </c>
      <c r="I94" s="116">
        <v>-50</v>
      </c>
      <c r="J94" s="10">
        <v>90</v>
      </c>
      <c r="K94" s="116">
        <v>90</v>
      </c>
      <c r="L94" s="116">
        <v>90</v>
      </c>
      <c r="M94" s="122">
        <v>25.6</v>
      </c>
      <c r="N94" s="122">
        <v>6.6</v>
      </c>
      <c r="O94" s="79">
        <v>1.1399999999999999</v>
      </c>
      <c r="P94" s="116">
        <v>7</v>
      </c>
      <c r="Q94" s="122">
        <v>6.2</v>
      </c>
      <c r="R94" s="10">
        <v>7.0000000000000007E-2</v>
      </c>
      <c r="S94" s="79">
        <v>22.36</v>
      </c>
      <c r="T94" s="79">
        <v>0.88</v>
      </c>
      <c r="U94" s="79">
        <v>0.7</v>
      </c>
      <c r="V94" s="85">
        <f t="shared" si="9"/>
        <v>1807.2249999999999</v>
      </c>
      <c r="W94" s="85">
        <f t="shared" si="10"/>
        <v>1398.8187927999998</v>
      </c>
      <c r="X94" s="85">
        <f t="shared" si="11"/>
        <v>0.7740147423812751</v>
      </c>
      <c r="Y94" s="116">
        <v>3</v>
      </c>
      <c r="Z94" s="116">
        <v>4</v>
      </c>
      <c r="AA94" s="122">
        <v>6.6</v>
      </c>
      <c r="AB94" s="116">
        <v>17</v>
      </c>
      <c r="AC94" s="122">
        <v>6.2</v>
      </c>
      <c r="AD94" s="122">
        <v>4.9000000000000004</v>
      </c>
      <c r="AE94" s="79">
        <v>0.11</v>
      </c>
      <c r="AF94" s="79">
        <v>0.09</v>
      </c>
      <c r="AG94" s="85">
        <f>(O94+0.3*H94+2)*(F94/2/AK94)</f>
        <v>1807.2249999999999</v>
      </c>
      <c r="AH94" s="85">
        <f t="shared" si="12"/>
        <v>1714.8615171999998</v>
      </c>
      <c r="AI94" s="85">
        <f t="shared" si="13"/>
        <v>0.9488920954502067</v>
      </c>
      <c r="AJ94" s="116">
        <v>3</v>
      </c>
      <c r="AK94" s="116">
        <v>4</v>
      </c>
      <c r="AL94" s="122">
        <v>6.1</v>
      </c>
      <c r="AM94" s="116">
        <v>23</v>
      </c>
      <c r="AN94" s="122">
        <v>6.1</v>
      </c>
      <c r="AO94" s="122">
        <v>5.0999999999999996</v>
      </c>
      <c r="AP94" s="79">
        <v>0.12</v>
      </c>
      <c r="AQ94" s="79">
        <v>0.16</v>
      </c>
      <c r="AR94" s="132">
        <f>SUM(C94:E94)</f>
        <v>2218</v>
      </c>
      <c r="AS94" s="134">
        <f>C94/AR94</f>
        <v>0.16501352569882777</v>
      </c>
      <c r="AT94" s="134">
        <f>D94/AR94</f>
        <v>0.71280432822362494</v>
      </c>
      <c r="AU94" s="134">
        <f>E94/AR94</f>
        <v>0.12218214607754734</v>
      </c>
      <c r="AV94" s="151">
        <f>IF(AND(F94&lt;&gt;"",Z94&lt;&gt;""),AB94/(F94/2/Z94),"")</f>
        <v>6.0579064587973276E-2</v>
      </c>
      <c r="AW94" s="151">
        <f>IF(AND(F94&lt;&gt;"",AK94&lt;&gt;""),AM94/(F94/2/AK94),"")</f>
        <v>8.195991091314031E-2</v>
      </c>
      <c r="AX94" s="41">
        <f>IF(AND(AQ94&lt;&gt;"",1-(AQ94/O94)&gt;0),1-(AQ94/O94),"")</f>
        <v>0.85964912280701755</v>
      </c>
      <c r="AY94" s="41">
        <f>IF(AND(AF94&lt;&gt;"",1-(AF94/O94)&gt;0),1-(AF94/O94),"")</f>
        <v>0.92105263157894735</v>
      </c>
      <c r="AZ94" s="136" t="str">
        <f>IF(Q94="","",IF(Q94&lt;2.5,"Alc. Bruta &lt; 2,5 mg/L",IF(Q94&lt;5,"2,5 ≤ Alc. Bruta &lt; 5,0 mg/L",IF(Q94&lt;7.5,"5,0 ≤ Alc. Bruta &lt; 7,5 mg/L",IF(Q94&lt;10,"7,5 ≤ Alc. Bruta &lt; 10,0 mg/L",IF(Q94&lt;15,"10,0 ≤ Alca. Bruta &lt; 15,0 mg/L","Alc. Bruta &gt; 15 mg/L"))))))</f>
        <v>5,0 ≤ Alc. Bruta &lt; 7,5 mg/L</v>
      </c>
      <c r="BA94" s="136" t="str">
        <f>IF(P94="","",IF(P94&lt;5,"Cor &lt;5 uC",IF(P94&lt;10,"5 ≤ Cor &lt; 10 uC",IF(P94&lt;15,"10 ≤ Cor &lt;15 uC",IF(P94&lt;30,"15 ≤ Cor &lt; 30 uC",IF(P94&lt;50,"30 ≤ Cor &lt; 50 uC","Cor &gt; 50 uC"))))))</f>
        <v>5 ≤ Cor &lt; 10 uC</v>
      </c>
      <c r="BB94" s="137" t="str">
        <f>IF(O94="","",IF(O94&lt;2.5,"Turbidez &lt; 2,5 uT",IF(O94&lt;5,"2,5 ≤ Turb &lt; 5,0 uT",IF(O94&lt;7.5,"5,0 ≤ Turb &lt; 7,5 uT",IF(O94&lt;10,"7,5 ≤ Turb &lt; 10,0 uT",IF(O94&lt;15,"10,0 ≤ Turb &lt; 15,0 uT","Turb &gt; 15 uT"))))))</f>
        <v>Turbidez &lt; 2,5 uT</v>
      </c>
      <c r="BC94" s="138" t="str">
        <f>IF(AND(C94&gt;D94,D94&gt;E94),"TOR &gt; SM &gt; BNN",IF(AND(C94&gt;E94,E94&gt;D94),"TOR &gt; BNN &gt; SM",IF(AND(D94&gt;C94,C94&gt;E94),"SM &gt; TOR &gt; BNN",IF(AND(D94&gt;E94,E94&gt;C94),"SM &gt; BNN &gt; TOR",IF(AND(C94=D94,D94=E94),"TOR = SM = BNN","Comb. diferentes")))))</f>
        <v>SM &gt; TOR &gt; BNN</v>
      </c>
      <c r="BD94" s="137" t="str">
        <f>IF(OR(AE94="",AQ94="-"),"",IF(AE94&lt;=0.25,"Tipo 1 (≤0,25) uT",IF(AE94&lt;=0.5,"Tipo 2 (0,25-0,50) uT",IF(AE94&lt;=0.75,"Tipo 3 (0,50-0,75) uT","Tipo 4 (&gt;0,75) uT"))))</f>
        <v>Tipo 1 (≤0,25) uT</v>
      </c>
      <c r="BE94" s="137" t="str">
        <f t="shared" si="7"/>
        <v>Tipo 1 (≤0,25) uT</v>
      </c>
      <c r="BF94" s="137" t="str">
        <f>IF(OR(AF94="",AQ94="-"),"",IF(AF94&lt;=0.25,"Tipo 1 (≤0,25) uT",IF(AF94&lt;=0.5,"Tipo 2 (0,25-0,50) uT",IF(AF94&lt;=0.75,"Tipo 3 (0,50-0,75) uT","Tipo 4 (&gt;0,75) uT"))))</f>
        <v>Tipo 1 (≤0,25) uT</v>
      </c>
      <c r="BG94" s="137" t="str">
        <f t="shared" si="8"/>
        <v>Tipo 1 (≤0,25) uT</v>
      </c>
      <c r="BH94" s="137" t="str">
        <f>IF(OR(R94="",R94="-"),"",IF(R94&lt;=0.25,"Tipo 1 (≤0,25) uT",IF(R94&lt;=0.5,"Tipo 2 (0,25-0,50) uT",IF(R94&lt;=0.75,"Tipo 3 (0,50-0,75) uT","Tipo 4 (&gt;0,75) uT"))))</f>
        <v>Tipo 1 (≤0,25) uT</v>
      </c>
    </row>
    <row r="95" spans="1:60" x14ac:dyDescent="0.3">
      <c r="A95" s="74">
        <v>46268</v>
      </c>
      <c r="B95" s="139">
        <v>0.97916666666666663</v>
      </c>
      <c r="C95" s="116">
        <v>358</v>
      </c>
      <c r="D95" s="116">
        <v>1581</v>
      </c>
      <c r="E95" s="116">
        <v>277</v>
      </c>
      <c r="F95" s="116">
        <v>2235</v>
      </c>
      <c r="G95" s="144" t="s">
        <v>100</v>
      </c>
      <c r="H95" s="122">
        <v>11</v>
      </c>
      <c r="I95" s="116">
        <v>-48</v>
      </c>
      <c r="J95" s="10">
        <v>90</v>
      </c>
      <c r="K95" s="116">
        <v>90</v>
      </c>
      <c r="L95" s="116">
        <v>90</v>
      </c>
      <c r="M95" s="122">
        <v>25.4</v>
      </c>
      <c r="N95" s="122">
        <v>6.5</v>
      </c>
      <c r="O95" s="79">
        <v>1.1000000000000001</v>
      </c>
      <c r="P95" s="116">
        <v>6</v>
      </c>
      <c r="Q95" s="122">
        <v>5.9</v>
      </c>
      <c r="R95" s="10">
        <v>0.08</v>
      </c>
      <c r="S95" s="79">
        <v>22.36</v>
      </c>
      <c r="T95" s="79">
        <v>0.88</v>
      </c>
      <c r="U95" s="79">
        <v>0.7</v>
      </c>
      <c r="V95" s="85">
        <f t="shared" si="9"/>
        <v>1788</v>
      </c>
      <c r="W95" s="85">
        <f t="shared" si="10"/>
        <v>1398.8187927999998</v>
      </c>
      <c r="X95" s="85">
        <f t="shared" si="11"/>
        <v>0.78233713243847858</v>
      </c>
      <c r="Y95" s="116">
        <v>3</v>
      </c>
      <c r="Z95" s="116">
        <v>4</v>
      </c>
      <c r="AA95" s="122">
        <v>6.6</v>
      </c>
      <c r="AB95" s="116">
        <v>17</v>
      </c>
      <c r="AC95" s="122">
        <v>6.2</v>
      </c>
      <c r="AD95" s="122">
        <v>5.4</v>
      </c>
      <c r="AE95" s="79">
        <v>0.12</v>
      </c>
      <c r="AF95" s="79">
        <v>0.11</v>
      </c>
      <c r="AG95" s="85">
        <f>(O95+0.3*H95+2)*(F95/2/AK95)</f>
        <v>1788</v>
      </c>
      <c r="AH95" s="85">
        <f t="shared" si="12"/>
        <v>1714.8615171999998</v>
      </c>
      <c r="AI95" s="85">
        <f t="shared" si="13"/>
        <v>0.95909480827740479</v>
      </c>
      <c r="AJ95" s="116">
        <v>3</v>
      </c>
      <c r="AK95" s="116">
        <v>4</v>
      </c>
      <c r="AL95" s="122">
        <v>6.1</v>
      </c>
      <c r="AM95" s="116">
        <v>23</v>
      </c>
      <c r="AN95" s="122">
        <v>6.1</v>
      </c>
      <c r="AO95" s="122">
        <v>5.3</v>
      </c>
      <c r="AP95" s="79">
        <v>0.15</v>
      </c>
      <c r="AQ95" s="79">
        <v>0.16</v>
      </c>
      <c r="AR95" s="132">
        <f>SUM(C95:E95)</f>
        <v>2216</v>
      </c>
      <c r="AS95" s="134">
        <f>C95/AR95</f>
        <v>0.1615523465703971</v>
      </c>
      <c r="AT95" s="134">
        <f>D95/AR95</f>
        <v>0.71344765342960292</v>
      </c>
      <c r="AU95" s="134">
        <f>E95/AR95</f>
        <v>0.125</v>
      </c>
      <c r="AV95" s="151">
        <f>IF(AND(F95&lt;&gt;"",Z95&lt;&gt;""),AB95/(F95/2/Z95),"")</f>
        <v>6.0850111856823264E-2</v>
      </c>
      <c r="AW95" s="151">
        <f>IF(AND(F95&lt;&gt;"",AK95&lt;&gt;""),AM95/(F95/2/AK95),"")</f>
        <v>8.232662192393736E-2</v>
      </c>
      <c r="AX95" s="41">
        <f>IF(AND(AQ95&lt;&gt;"",1-(AQ95/O95)&gt;0),1-(AQ95/O95),"")</f>
        <v>0.8545454545454545</v>
      </c>
      <c r="AY95" s="41">
        <f>IF(AND(AF95&lt;&gt;"",1-(AF95/O95)&gt;0),1-(AF95/O95),"")</f>
        <v>0.9</v>
      </c>
      <c r="AZ95" s="136" t="str">
        <f>IF(Q95="","",IF(Q95&lt;2.5,"Alc. Bruta &lt; 2,5 mg/L",IF(Q95&lt;5,"2,5 ≤ Alc. Bruta &lt; 5,0 mg/L",IF(Q95&lt;7.5,"5,0 ≤ Alc. Bruta &lt; 7,5 mg/L",IF(Q95&lt;10,"7,5 ≤ Alc. Bruta &lt; 10,0 mg/L",IF(Q95&lt;15,"10,0 ≤ Alca. Bruta &lt; 15,0 mg/L","Alc. Bruta &gt; 15 mg/L"))))))</f>
        <v>5,0 ≤ Alc. Bruta &lt; 7,5 mg/L</v>
      </c>
      <c r="BA95" s="136" t="str">
        <f>IF(P95="","",IF(P95&lt;5,"Cor &lt;5 uC",IF(P95&lt;10,"5 ≤ Cor &lt; 10 uC",IF(P95&lt;15,"10 ≤ Cor &lt;15 uC",IF(P95&lt;30,"15 ≤ Cor &lt; 30 uC",IF(P95&lt;50,"30 ≤ Cor &lt; 50 uC","Cor &gt; 50 uC"))))))</f>
        <v>5 ≤ Cor &lt; 10 uC</v>
      </c>
      <c r="BB95" s="137" t="str">
        <f>IF(O95="","",IF(O95&lt;2.5,"Turbidez &lt; 2,5 uT",IF(O95&lt;5,"2,5 ≤ Turb &lt; 5,0 uT",IF(O95&lt;7.5,"5,0 ≤ Turb &lt; 7,5 uT",IF(O95&lt;10,"7,5 ≤ Turb &lt; 10,0 uT",IF(O95&lt;15,"10,0 ≤ Turb &lt; 15,0 uT","Turb &gt; 15 uT"))))))</f>
        <v>Turbidez &lt; 2,5 uT</v>
      </c>
      <c r="BC95" s="138" t="str">
        <f>IF(AND(C95&gt;D95,D95&gt;E95),"TOR &gt; SM &gt; BNN",IF(AND(C95&gt;E95,E95&gt;D95),"TOR &gt; BNN &gt; SM",IF(AND(D95&gt;C95,C95&gt;E95),"SM &gt; TOR &gt; BNN",IF(AND(D95&gt;E95,E95&gt;C95),"SM &gt; BNN &gt; TOR",IF(AND(C95=D95,D95=E95),"TOR = SM = BNN","Comb. diferentes")))))</f>
        <v>SM &gt; TOR &gt; BNN</v>
      </c>
      <c r="BD95" s="137" t="str">
        <f>IF(OR(AE95="",AQ95="-"),"",IF(AE95&lt;=0.25,"Tipo 1 (≤0,25) uT",IF(AE95&lt;=0.5,"Tipo 2 (0,25-0,50) uT",IF(AE95&lt;=0.75,"Tipo 3 (0,50-0,75) uT","Tipo 4 (&gt;0,75) uT"))))</f>
        <v>Tipo 1 (≤0,25) uT</v>
      </c>
      <c r="BE95" s="137" t="str">
        <f t="shared" si="7"/>
        <v>Tipo 1 (≤0,25) uT</v>
      </c>
      <c r="BF95" s="137" t="str">
        <f>IF(OR(AF95="",AQ95="-"),"",IF(AF95&lt;=0.25,"Tipo 1 (≤0,25) uT",IF(AF95&lt;=0.5,"Tipo 2 (0,25-0,50) uT",IF(AF95&lt;=0.75,"Tipo 3 (0,50-0,75) uT","Tipo 4 (&gt;0,75) uT"))))</f>
        <v>Tipo 1 (≤0,25) uT</v>
      </c>
      <c r="BG95" s="137" t="str">
        <f t="shared" si="8"/>
        <v>Tipo 1 (≤0,25) uT</v>
      </c>
      <c r="BH95" s="137" t="str">
        <f>IF(OR(R95="",R95="-"),"",IF(R95&lt;=0.25,"Tipo 1 (≤0,25) uT",IF(R95&lt;=0.5,"Tipo 2 (0,25-0,50) uT",IF(R95&lt;=0.75,"Tipo 3 (0,50-0,75) uT","Tipo 4 (&gt;0,75) uT"))))</f>
        <v>Tipo 1 (≤0,25) uT</v>
      </c>
    </row>
    <row r="96" spans="1:60" x14ac:dyDescent="0.3">
      <c r="A96" s="74">
        <v>46269</v>
      </c>
      <c r="B96" s="139">
        <v>6.25E-2</v>
      </c>
      <c r="C96" s="116">
        <v>455</v>
      </c>
      <c r="D96" s="116">
        <v>1506</v>
      </c>
      <c r="E96" s="116">
        <v>241</v>
      </c>
      <c r="F96" s="116">
        <v>2265</v>
      </c>
      <c r="G96" s="144" t="s">
        <v>100</v>
      </c>
      <c r="H96" s="122">
        <v>11</v>
      </c>
      <c r="I96" s="116">
        <v>-40</v>
      </c>
      <c r="J96" s="10">
        <v>90</v>
      </c>
      <c r="K96" s="116">
        <v>90</v>
      </c>
      <c r="L96" s="116">
        <v>90</v>
      </c>
      <c r="M96" s="122">
        <v>25.3</v>
      </c>
      <c r="N96" s="122">
        <v>6.6</v>
      </c>
      <c r="O96" s="79">
        <v>1.1200000000000001</v>
      </c>
      <c r="P96" s="116">
        <v>6</v>
      </c>
      <c r="Q96" s="122">
        <v>6.6</v>
      </c>
      <c r="R96" s="10">
        <v>7.0000000000000007E-2</v>
      </c>
      <c r="S96" s="79">
        <v>22.36</v>
      </c>
      <c r="T96" s="79">
        <v>0.88</v>
      </c>
      <c r="U96" s="79">
        <v>0.7</v>
      </c>
      <c r="V96" s="85">
        <f t="shared" si="9"/>
        <v>1817.6624999999999</v>
      </c>
      <c r="W96" s="85">
        <f t="shared" si="10"/>
        <v>1372.556302</v>
      </c>
      <c r="X96" s="85">
        <f t="shared" si="11"/>
        <v>0.75512164772063017</v>
      </c>
      <c r="Y96" s="116">
        <v>3</v>
      </c>
      <c r="Z96" s="116">
        <v>4</v>
      </c>
      <c r="AA96" s="122">
        <v>6.5</v>
      </c>
      <c r="AB96" s="116">
        <v>17</v>
      </c>
      <c r="AC96" s="122">
        <v>6.1</v>
      </c>
      <c r="AD96" s="122">
        <v>5.7</v>
      </c>
      <c r="AE96" s="79">
        <v>0.24</v>
      </c>
      <c r="AF96" s="79">
        <v>0.14000000000000001</v>
      </c>
      <c r="AG96" s="85">
        <f>(O96+0.3*H96+2)*(F96/2/AK96)</f>
        <v>1817.6624999999999</v>
      </c>
      <c r="AH96" s="85">
        <f t="shared" si="12"/>
        <v>1714.8615171999998</v>
      </c>
      <c r="AI96" s="85">
        <f t="shared" si="13"/>
        <v>0.94344330545412025</v>
      </c>
      <c r="AJ96" s="116">
        <v>3</v>
      </c>
      <c r="AK96" s="116">
        <v>4</v>
      </c>
      <c r="AL96" s="122">
        <v>6.1</v>
      </c>
      <c r="AM96" s="116">
        <v>23</v>
      </c>
      <c r="AN96" s="122">
        <v>6.1</v>
      </c>
      <c r="AO96" s="122">
        <v>4.5</v>
      </c>
      <c r="AP96" s="79">
        <v>0.11</v>
      </c>
      <c r="AQ96" s="79">
        <v>0.16</v>
      </c>
      <c r="AR96" s="132">
        <f>SUM(C96:E96)</f>
        <v>2202</v>
      </c>
      <c r="AS96" s="134">
        <f>C96/AR96</f>
        <v>0.20663033605812897</v>
      </c>
      <c r="AT96" s="134">
        <f>D96/AR96</f>
        <v>0.68392370572207084</v>
      </c>
      <c r="AU96" s="134">
        <f>E96/AR96</f>
        <v>0.10944595821980019</v>
      </c>
      <c r="AV96" s="151">
        <f>IF(AND(F96&lt;&gt;"",Z96&lt;&gt;""),AB96/(F96/2/Z96),"")</f>
        <v>6.0044150110375276E-2</v>
      </c>
      <c r="AW96" s="151">
        <f>IF(AND(F96&lt;&gt;"",AK96&lt;&gt;""),AM96/(F96/2/AK96),"")</f>
        <v>8.1236203090507733E-2</v>
      </c>
      <c r="AX96" s="41">
        <f>IF(AND(AQ96&lt;&gt;"",1-(AQ96/O96)&gt;0),1-(AQ96/O96),"")</f>
        <v>0.85714285714285721</v>
      </c>
      <c r="AY96" s="41">
        <f>IF(AND(AF96&lt;&gt;"",1-(AF96/O96)&gt;0),1-(AF96/O96),"")</f>
        <v>0.875</v>
      </c>
      <c r="AZ96" s="136" t="str">
        <f>IF(Q96="","",IF(Q96&lt;2.5,"Alc. Bruta &lt; 2,5 mg/L",IF(Q96&lt;5,"2,5 ≤ Alc. Bruta &lt; 5,0 mg/L",IF(Q96&lt;7.5,"5,0 ≤ Alc. Bruta &lt; 7,5 mg/L",IF(Q96&lt;10,"7,5 ≤ Alc. Bruta &lt; 10,0 mg/L",IF(Q96&lt;15,"10,0 ≤ Alca. Bruta &lt; 15,0 mg/L","Alc. Bruta &gt; 15 mg/L"))))))</f>
        <v>5,0 ≤ Alc. Bruta &lt; 7,5 mg/L</v>
      </c>
      <c r="BA96" s="136" t="str">
        <f>IF(P96="","",IF(P96&lt;5,"Cor &lt;5 uC",IF(P96&lt;10,"5 ≤ Cor &lt; 10 uC",IF(P96&lt;15,"10 ≤ Cor &lt;15 uC",IF(P96&lt;30,"15 ≤ Cor &lt; 30 uC",IF(P96&lt;50,"30 ≤ Cor &lt; 50 uC","Cor &gt; 50 uC"))))))</f>
        <v>5 ≤ Cor &lt; 10 uC</v>
      </c>
      <c r="BB96" s="137" t="str">
        <f>IF(O96="","",IF(O96&lt;2.5,"Turbidez &lt; 2,5 uT",IF(O96&lt;5,"2,5 ≤ Turb &lt; 5,0 uT",IF(O96&lt;7.5,"5,0 ≤ Turb &lt; 7,5 uT",IF(O96&lt;10,"7,5 ≤ Turb &lt; 10,0 uT",IF(O96&lt;15,"10,0 ≤ Turb &lt; 15,0 uT","Turb &gt; 15 uT"))))))</f>
        <v>Turbidez &lt; 2,5 uT</v>
      </c>
      <c r="BC96" s="138" t="str">
        <f>IF(AND(C96&gt;D96,D96&gt;E96),"TOR &gt; SM &gt; BNN",IF(AND(C96&gt;E96,E96&gt;D96),"TOR &gt; BNN &gt; SM",IF(AND(D96&gt;C96,C96&gt;E96),"SM &gt; TOR &gt; BNN",IF(AND(D96&gt;E96,E96&gt;C96),"SM &gt; BNN &gt; TOR",IF(AND(C96=D96,D96=E96),"TOR = SM = BNN","Comb. diferentes")))))</f>
        <v>SM &gt; TOR &gt; BNN</v>
      </c>
      <c r="BD96" s="137" t="str">
        <f>IF(OR(AE96="",AQ96="-"),"",IF(AE96&lt;=0.25,"Tipo 1 (≤0,25) uT",IF(AE96&lt;=0.5,"Tipo 2 (0,25-0,50) uT",IF(AE96&lt;=0.75,"Tipo 3 (0,50-0,75) uT","Tipo 4 (&gt;0,75) uT"))))</f>
        <v>Tipo 1 (≤0,25) uT</v>
      </c>
      <c r="BE96" s="137" t="str">
        <f t="shared" si="7"/>
        <v>Tipo 1 (≤0,25) uT</v>
      </c>
      <c r="BF96" s="137" t="str">
        <f>IF(OR(AF96="",AQ96="-"),"",IF(AF96&lt;=0.25,"Tipo 1 (≤0,25) uT",IF(AF96&lt;=0.5,"Tipo 2 (0,25-0,50) uT",IF(AF96&lt;=0.75,"Tipo 3 (0,50-0,75) uT","Tipo 4 (&gt;0,75) uT"))))</f>
        <v>Tipo 1 (≤0,25) uT</v>
      </c>
      <c r="BG96" s="137" t="str">
        <f t="shared" si="8"/>
        <v>Tipo 1 (≤0,25) uT</v>
      </c>
      <c r="BH96" s="137" t="str">
        <f>IF(OR(R96="",R96="-"),"",IF(R96&lt;=0.25,"Tipo 1 (≤0,25) uT",IF(R96&lt;=0.5,"Tipo 2 (0,25-0,50) uT",IF(R96&lt;=0.75,"Tipo 3 (0,50-0,75) uT","Tipo 4 (&gt;0,75) uT"))))</f>
        <v>Tipo 1 (≤0,25) uT</v>
      </c>
    </row>
    <row r="97" spans="1:60" x14ac:dyDescent="0.3">
      <c r="A97" s="74">
        <v>46269</v>
      </c>
      <c r="B97" s="139">
        <v>0.14583333333333334</v>
      </c>
      <c r="C97" s="116">
        <v>481</v>
      </c>
      <c r="D97" s="116">
        <v>1490</v>
      </c>
      <c r="E97" s="116">
        <v>270</v>
      </c>
      <c r="F97" s="116">
        <v>2277</v>
      </c>
      <c r="G97" s="144" t="s">
        <v>100</v>
      </c>
      <c r="H97" s="122">
        <v>11</v>
      </c>
      <c r="I97" s="116">
        <v>-40</v>
      </c>
      <c r="J97" s="10">
        <v>90</v>
      </c>
      <c r="K97" s="116">
        <v>90</v>
      </c>
      <c r="L97" s="116">
        <v>90</v>
      </c>
      <c r="M97" s="122">
        <v>25</v>
      </c>
      <c r="N97" s="122">
        <v>6.5</v>
      </c>
      <c r="O97" s="79">
        <v>1</v>
      </c>
      <c r="P97" s="116">
        <v>7</v>
      </c>
      <c r="Q97" s="122">
        <v>6.5</v>
      </c>
      <c r="R97" s="10">
        <v>0.08</v>
      </c>
      <c r="S97" s="79">
        <v>22.36</v>
      </c>
      <c r="T97" s="79">
        <v>0.88</v>
      </c>
      <c r="U97" s="79">
        <v>0.7</v>
      </c>
      <c r="V97" s="85">
        <f t="shared" si="9"/>
        <v>1793.1375</v>
      </c>
      <c r="W97" s="85">
        <f t="shared" si="10"/>
        <v>1372.556302</v>
      </c>
      <c r="X97" s="85">
        <f t="shared" si="11"/>
        <v>0.76544955531854075</v>
      </c>
      <c r="Y97" s="116">
        <v>3</v>
      </c>
      <c r="Z97" s="116">
        <v>4</v>
      </c>
      <c r="AA97" s="122">
        <v>6.5</v>
      </c>
      <c r="AB97" s="116">
        <v>17</v>
      </c>
      <c r="AC97" s="122">
        <v>6.2</v>
      </c>
      <c r="AD97" s="122">
        <v>5.4</v>
      </c>
      <c r="AE97" s="79">
        <v>0.13</v>
      </c>
      <c r="AF97" s="79">
        <v>0.12</v>
      </c>
      <c r="AG97" s="85">
        <f>(O97+0.3*H97+2)*(F97/2/AK97)</f>
        <v>1793.1375</v>
      </c>
      <c r="AH97" s="85">
        <f t="shared" si="12"/>
        <v>1750.3931224</v>
      </c>
      <c r="AI97" s="85">
        <f t="shared" si="13"/>
        <v>0.97616224210357538</v>
      </c>
      <c r="AJ97" s="116">
        <v>3</v>
      </c>
      <c r="AK97" s="116">
        <v>4</v>
      </c>
      <c r="AL97" s="122">
        <v>6.2</v>
      </c>
      <c r="AM97" s="116">
        <v>23</v>
      </c>
      <c r="AN97" s="122">
        <v>6</v>
      </c>
      <c r="AO97" s="122">
        <v>4.0999999999999996</v>
      </c>
      <c r="AP97" s="79">
        <v>0.14000000000000001</v>
      </c>
      <c r="AQ97" s="79">
        <v>0.17</v>
      </c>
      <c r="AR97" s="132">
        <f>SUM(C97:E97)</f>
        <v>2241</v>
      </c>
      <c r="AS97" s="134">
        <f>C97/AR97</f>
        <v>0.214636323070058</v>
      </c>
      <c r="AT97" s="134">
        <f>D97/AR97</f>
        <v>0.66488174921909859</v>
      </c>
      <c r="AU97" s="134">
        <f>E97/AR97</f>
        <v>0.12048192771084337</v>
      </c>
      <c r="AV97" s="151">
        <f>IF(AND(F97&lt;&gt;"",Z97&lt;&gt;""),AB97/(F97/2/Z97),"")</f>
        <v>5.9727711901624944E-2</v>
      </c>
      <c r="AW97" s="151">
        <f>IF(AND(F97&lt;&gt;"",AK97&lt;&gt;""),AM97/(F97/2/AK97),"")</f>
        <v>8.0808080808080815E-2</v>
      </c>
      <c r="AX97" s="41">
        <f>IF(AND(AQ97&lt;&gt;"",1-(AQ97/O97)&gt;0),1-(AQ97/O97),"")</f>
        <v>0.83</v>
      </c>
      <c r="AY97" s="41">
        <f>IF(AND(AF97&lt;&gt;"",1-(AF97/O97)&gt;0),1-(AF97/O97),"")</f>
        <v>0.88</v>
      </c>
      <c r="AZ97" s="136" t="str">
        <f>IF(Q97="","",IF(Q97&lt;2.5,"Alc. Bruta &lt; 2,5 mg/L",IF(Q97&lt;5,"2,5 ≤ Alc. Bruta &lt; 5,0 mg/L",IF(Q97&lt;7.5,"5,0 ≤ Alc. Bruta &lt; 7,5 mg/L",IF(Q97&lt;10,"7,5 ≤ Alc. Bruta &lt; 10,0 mg/L",IF(Q97&lt;15,"10,0 ≤ Alca. Bruta &lt; 15,0 mg/L","Alc. Bruta &gt; 15 mg/L"))))))</f>
        <v>5,0 ≤ Alc. Bruta &lt; 7,5 mg/L</v>
      </c>
      <c r="BA97" s="136" t="str">
        <f>IF(P97="","",IF(P97&lt;5,"Cor &lt;5 uC",IF(P97&lt;10,"5 ≤ Cor &lt; 10 uC",IF(P97&lt;15,"10 ≤ Cor &lt;15 uC",IF(P97&lt;30,"15 ≤ Cor &lt; 30 uC",IF(P97&lt;50,"30 ≤ Cor &lt; 50 uC","Cor &gt; 50 uC"))))))</f>
        <v>5 ≤ Cor &lt; 10 uC</v>
      </c>
      <c r="BB97" s="137" t="str">
        <f>IF(O97="","",IF(O97&lt;2.5,"Turbidez &lt; 2,5 uT",IF(O97&lt;5,"2,5 ≤ Turb &lt; 5,0 uT",IF(O97&lt;7.5,"5,0 ≤ Turb &lt; 7,5 uT",IF(O97&lt;10,"7,5 ≤ Turb &lt; 10,0 uT",IF(O97&lt;15,"10,0 ≤ Turb &lt; 15,0 uT","Turb &gt; 15 uT"))))))</f>
        <v>Turbidez &lt; 2,5 uT</v>
      </c>
      <c r="BC97" s="138" t="str">
        <f>IF(AND(C97&gt;D97,D97&gt;E97),"TOR &gt; SM &gt; BNN",IF(AND(C97&gt;E97,E97&gt;D97),"TOR &gt; BNN &gt; SM",IF(AND(D97&gt;C97,C97&gt;E97),"SM &gt; TOR &gt; BNN",IF(AND(D97&gt;E97,E97&gt;C97),"SM &gt; BNN &gt; TOR",IF(AND(C97=D97,D97=E97),"TOR = SM = BNN","Comb. diferentes")))))</f>
        <v>SM &gt; TOR &gt; BNN</v>
      </c>
      <c r="BD97" s="137" t="str">
        <f>IF(OR(AE97="",AQ97="-"),"",IF(AE97&lt;=0.25,"Tipo 1 (≤0,25) uT",IF(AE97&lt;=0.5,"Tipo 2 (0,25-0,50) uT",IF(AE97&lt;=0.75,"Tipo 3 (0,50-0,75) uT","Tipo 4 (&gt;0,75) uT"))))</f>
        <v>Tipo 1 (≤0,25) uT</v>
      </c>
      <c r="BE97" s="137" t="str">
        <f t="shared" si="7"/>
        <v>Tipo 1 (≤0,25) uT</v>
      </c>
      <c r="BF97" s="137" t="str">
        <f>IF(OR(AF97="",AQ97="-"),"",IF(AF97&lt;=0.25,"Tipo 1 (≤0,25) uT",IF(AF97&lt;=0.5,"Tipo 2 (0,25-0,50) uT",IF(AF97&lt;=0.75,"Tipo 3 (0,50-0,75) uT","Tipo 4 (&gt;0,75) uT"))))</f>
        <v>Tipo 1 (≤0,25) uT</v>
      </c>
      <c r="BG97" s="137" t="str">
        <f t="shared" si="8"/>
        <v>Tipo 1 (≤0,25) uT</v>
      </c>
      <c r="BH97" s="137" t="str">
        <f>IF(OR(R97="",R97="-"),"",IF(R97&lt;=0.25,"Tipo 1 (≤0,25) uT",IF(R97&lt;=0.5,"Tipo 2 (0,25-0,50) uT",IF(R97&lt;=0.75,"Tipo 3 (0,50-0,75) uT","Tipo 4 (&gt;0,75) uT"))))</f>
        <v>Tipo 1 (≤0,25) uT</v>
      </c>
    </row>
    <row r="98" spans="1:60" ht="15" thickBot="1" x14ac:dyDescent="0.35">
      <c r="A98" s="75">
        <v>46269</v>
      </c>
      <c r="B98" s="140">
        <v>0.22916666666666666</v>
      </c>
      <c r="C98" s="117">
        <v>485</v>
      </c>
      <c r="D98" s="117">
        <v>1467</v>
      </c>
      <c r="E98" s="117">
        <v>271</v>
      </c>
      <c r="F98" s="117">
        <v>2256</v>
      </c>
      <c r="G98" s="145" t="s">
        <v>100</v>
      </c>
      <c r="H98" s="123">
        <v>11</v>
      </c>
      <c r="I98" s="117">
        <v>-36</v>
      </c>
      <c r="J98" s="11">
        <v>90</v>
      </c>
      <c r="K98" s="117">
        <v>90</v>
      </c>
      <c r="L98" s="117">
        <v>90</v>
      </c>
      <c r="M98" s="123">
        <v>24.9</v>
      </c>
      <c r="N98" s="123">
        <v>6.6</v>
      </c>
      <c r="O98" s="80">
        <v>1.08</v>
      </c>
      <c r="P98" s="117">
        <v>6</v>
      </c>
      <c r="Q98" s="123">
        <v>6.2</v>
      </c>
      <c r="R98" s="11">
        <v>7.0000000000000007E-2</v>
      </c>
      <c r="S98" s="79">
        <v>22.36</v>
      </c>
      <c r="T98" s="79">
        <v>0.88</v>
      </c>
      <c r="U98" s="79">
        <v>0.7</v>
      </c>
      <c r="V98" s="85">
        <f t="shared" si="9"/>
        <v>1799.16</v>
      </c>
      <c r="W98" s="85">
        <f t="shared" si="10"/>
        <v>1372.556302</v>
      </c>
      <c r="X98" s="85">
        <f t="shared" si="11"/>
        <v>0.76288729295893631</v>
      </c>
      <c r="Y98" s="117">
        <v>3</v>
      </c>
      <c r="Z98" s="117">
        <v>4</v>
      </c>
      <c r="AA98" s="123">
        <v>6.5</v>
      </c>
      <c r="AB98" s="117">
        <v>17</v>
      </c>
      <c r="AC98" s="123">
        <v>6.2</v>
      </c>
      <c r="AD98" s="123">
        <v>5.3</v>
      </c>
      <c r="AE98" s="80">
        <v>0.12</v>
      </c>
      <c r="AF98" s="80">
        <v>0.12</v>
      </c>
      <c r="AG98" s="85">
        <f>(O98+0.3*H98+2)*(F98/2/AK98)</f>
        <v>1799.16</v>
      </c>
      <c r="AH98" s="85">
        <f t="shared" si="12"/>
        <v>1750.3931224</v>
      </c>
      <c r="AI98" s="85">
        <f t="shared" si="13"/>
        <v>0.97289464105471435</v>
      </c>
      <c r="AJ98" s="117">
        <v>3</v>
      </c>
      <c r="AK98" s="117">
        <v>4</v>
      </c>
      <c r="AL98" s="123">
        <v>6.2</v>
      </c>
      <c r="AM98" s="117">
        <v>23</v>
      </c>
      <c r="AN98" s="123">
        <v>6.1</v>
      </c>
      <c r="AO98" s="123">
        <v>4</v>
      </c>
      <c r="AP98" s="80">
        <v>0.13</v>
      </c>
      <c r="AQ98" s="80">
        <v>0.19</v>
      </c>
      <c r="AR98" s="132">
        <f>SUM(C98:E98)</f>
        <v>2223</v>
      </c>
      <c r="AS98" s="134">
        <f>C98/AR98</f>
        <v>0.21817363922627081</v>
      </c>
      <c r="AT98" s="134">
        <f>D98/AR98</f>
        <v>0.65991902834008098</v>
      </c>
      <c r="AU98" s="134">
        <f>E98/AR98</f>
        <v>0.12190733243364822</v>
      </c>
      <c r="AV98" s="151">
        <f>IF(AND(F98&lt;&gt;"",Z98&lt;&gt;""),AB98/(F98/2/Z98),"")</f>
        <v>6.0283687943262408E-2</v>
      </c>
      <c r="AW98" s="151">
        <f>IF(AND(F98&lt;&gt;"",AK98&lt;&gt;""),AM98/(F98/2/AK98),"")</f>
        <v>8.1560283687943269E-2</v>
      </c>
      <c r="AX98" s="41">
        <f>IF(AND(AQ98&lt;&gt;"",1-(AQ98/O98)&gt;0),1-(AQ98/O98),"")</f>
        <v>0.82407407407407407</v>
      </c>
      <c r="AY98" s="41">
        <f>IF(AND(AF98&lt;&gt;"",1-(AF98/O98)&gt;0),1-(AF98/O98),"")</f>
        <v>0.88888888888888884</v>
      </c>
      <c r="AZ98" s="136" t="str">
        <f>IF(Q98="","",IF(Q98&lt;2.5,"Alc. Bruta &lt; 2,5 mg/L",IF(Q98&lt;5,"2,5 ≤ Alc. Bruta &lt; 5,0 mg/L",IF(Q98&lt;7.5,"5,0 ≤ Alc. Bruta &lt; 7,5 mg/L",IF(Q98&lt;10,"7,5 ≤ Alc. Bruta &lt; 10,0 mg/L",IF(Q98&lt;15,"10,0 ≤ Alca. Bruta &lt; 15,0 mg/L","Alc. Bruta &gt; 15 mg/L"))))))</f>
        <v>5,0 ≤ Alc. Bruta &lt; 7,5 mg/L</v>
      </c>
      <c r="BA98" s="136" t="str">
        <f>IF(P98="","",IF(P98&lt;5,"Cor &lt;5 uC",IF(P98&lt;10,"5 ≤ Cor &lt; 10 uC",IF(P98&lt;15,"10 ≤ Cor &lt;15 uC",IF(P98&lt;30,"15 ≤ Cor &lt; 30 uC",IF(P98&lt;50,"30 ≤ Cor &lt; 50 uC","Cor &gt; 50 uC"))))))</f>
        <v>5 ≤ Cor &lt; 10 uC</v>
      </c>
      <c r="BB98" s="137" t="str">
        <f>IF(O98="","",IF(O98&lt;2.5,"Turbidez &lt; 2,5 uT",IF(O98&lt;5,"2,5 ≤ Turb &lt; 5,0 uT",IF(O98&lt;7.5,"5,0 ≤ Turb &lt; 7,5 uT",IF(O98&lt;10,"7,5 ≤ Turb &lt; 10,0 uT",IF(O98&lt;15,"10,0 ≤ Turb &lt; 15,0 uT","Turb &gt; 15 uT"))))))</f>
        <v>Turbidez &lt; 2,5 uT</v>
      </c>
      <c r="BC98" s="138" t="str">
        <f>IF(AND(C98&gt;D98,D98&gt;E98),"TOR &gt; SM &gt; BNN",IF(AND(C98&gt;E98,E98&gt;D98),"TOR &gt; BNN &gt; SM",IF(AND(D98&gt;C98,C98&gt;E98),"SM &gt; TOR &gt; BNN",IF(AND(D98&gt;E98,E98&gt;C98),"SM &gt; BNN &gt; TOR",IF(AND(C98=D98,D98=E98),"TOR = SM = BNN","Comb. diferentes")))))</f>
        <v>SM &gt; TOR &gt; BNN</v>
      </c>
      <c r="BD98" s="137" t="str">
        <f>IF(OR(AE98="",AQ98="-"),"",IF(AE98&lt;=0.25,"Tipo 1 (≤0,25) uT",IF(AE98&lt;=0.5,"Tipo 2 (0,25-0,50) uT",IF(AE98&lt;=0.75,"Tipo 3 (0,50-0,75) uT","Tipo 4 (&gt;0,75) uT"))))</f>
        <v>Tipo 1 (≤0,25) uT</v>
      </c>
      <c r="BE98" s="137" t="str">
        <f t="shared" si="7"/>
        <v>Tipo 1 (≤0,25) uT</v>
      </c>
      <c r="BF98" s="137" t="str">
        <f>IF(OR(AF98="",AQ98="-"),"",IF(AF98&lt;=0.25,"Tipo 1 (≤0,25) uT",IF(AF98&lt;=0.5,"Tipo 2 (0,25-0,50) uT",IF(AF98&lt;=0.75,"Tipo 3 (0,50-0,75) uT","Tipo 4 (&gt;0,75) uT"))))</f>
        <v>Tipo 1 (≤0,25) uT</v>
      </c>
      <c r="BG98" s="137" t="str">
        <f t="shared" si="8"/>
        <v>Tipo 1 (≤0,25) uT</v>
      </c>
      <c r="BH98" s="137" t="str">
        <f>IF(OR(R98="",R98="-"),"",IF(R98&lt;=0.25,"Tipo 1 (≤0,25) uT",IF(R98&lt;=0.5,"Tipo 2 (0,25-0,50) uT",IF(R98&lt;=0.75,"Tipo 3 (0,50-0,75) uT","Tipo 4 (&gt;0,75) uT"))))</f>
        <v>Tipo 1 (≤0,25) uT</v>
      </c>
    </row>
    <row r="99" spans="1:60" x14ac:dyDescent="0.3">
      <c r="A99" s="73">
        <v>46269</v>
      </c>
      <c r="B99" s="141">
        <v>0.3125</v>
      </c>
      <c r="C99" s="118">
        <v>465</v>
      </c>
      <c r="D99" s="118">
        <v>1550</v>
      </c>
      <c r="E99" s="118">
        <v>270</v>
      </c>
      <c r="F99" s="118">
        <v>2314</v>
      </c>
      <c r="G99" s="146" t="s">
        <v>100</v>
      </c>
      <c r="H99" s="124">
        <v>10.5</v>
      </c>
      <c r="I99" s="118">
        <v>-33</v>
      </c>
      <c r="J99" s="9">
        <v>90</v>
      </c>
      <c r="K99" s="118">
        <v>90</v>
      </c>
      <c r="L99" s="118">
        <v>90</v>
      </c>
      <c r="M99" s="124">
        <v>25</v>
      </c>
      <c r="N99" s="124">
        <v>6.6</v>
      </c>
      <c r="O99" s="81">
        <v>1.27</v>
      </c>
      <c r="P99" s="118">
        <v>7</v>
      </c>
      <c r="Q99" s="124">
        <v>6.3</v>
      </c>
      <c r="R99" s="9">
        <v>0.08</v>
      </c>
      <c r="S99" s="79">
        <v>22.36</v>
      </c>
      <c r="T99" s="79">
        <v>0.88</v>
      </c>
      <c r="U99" s="79">
        <v>0.7</v>
      </c>
      <c r="V99" s="85">
        <f t="shared" si="9"/>
        <v>1856.9849999999999</v>
      </c>
      <c r="W99" s="85">
        <f t="shared" si="10"/>
        <v>1372.556302</v>
      </c>
      <c r="X99" s="85">
        <f t="shared" si="11"/>
        <v>0.73913160418635582</v>
      </c>
      <c r="Y99" s="118">
        <v>3</v>
      </c>
      <c r="Z99" s="118">
        <v>4</v>
      </c>
      <c r="AA99" s="124">
        <v>6.5</v>
      </c>
      <c r="AB99" s="118">
        <v>17</v>
      </c>
      <c r="AC99" s="124">
        <v>6.1</v>
      </c>
      <c r="AD99" s="124">
        <v>4.5</v>
      </c>
      <c r="AE99" s="81">
        <v>0.15</v>
      </c>
      <c r="AF99" s="81">
        <v>0.12</v>
      </c>
      <c r="AG99" s="85">
        <f>(O99+0.3*H99+2)*(F99/2/AK99)</f>
        <v>1856.9849999999999</v>
      </c>
      <c r="AH99" s="85">
        <f t="shared" si="12"/>
        <v>1785.9247275999996</v>
      </c>
      <c r="AI99" s="85">
        <f t="shared" si="13"/>
        <v>0.96173352374951859</v>
      </c>
      <c r="AJ99" s="118">
        <v>3</v>
      </c>
      <c r="AK99" s="118">
        <v>4</v>
      </c>
      <c r="AL99" s="124">
        <v>6.3</v>
      </c>
      <c r="AM99" s="118">
        <v>23</v>
      </c>
      <c r="AN99" s="124">
        <v>6</v>
      </c>
      <c r="AO99" s="124">
        <v>3.7</v>
      </c>
      <c r="AP99" s="81">
        <v>0.12</v>
      </c>
      <c r="AQ99" s="81">
        <v>0.18</v>
      </c>
      <c r="AR99" s="132">
        <f>SUM(C99:E99)</f>
        <v>2285</v>
      </c>
      <c r="AS99" s="134">
        <f>C99/AR99</f>
        <v>0.20350109409190373</v>
      </c>
      <c r="AT99" s="134">
        <f>D99/AR99</f>
        <v>0.6783369803063457</v>
      </c>
      <c r="AU99" s="134">
        <f>E99/AR99</f>
        <v>0.11816192560175055</v>
      </c>
      <c r="AV99" s="151">
        <f>IF(AND(F99&lt;&gt;"",Z99&lt;&gt;""),AB99/(F99/2/Z99),"")</f>
        <v>5.8772687986171135E-2</v>
      </c>
      <c r="AW99" s="151">
        <f>IF(AND(F99&lt;&gt;"",AK99&lt;&gt;""),AM99/(F99/2/AK99),"")</f>
        <v>7.9515989628349174E-2</v>
      </c>
      <c r="AX99" s="41">
        <f>IF(AND(AQ99&lt;&gt;"",1-(AQ99/O99)&gt;0),1-(AQ99/O99),"")</f>
        <v>0.8582677165354331</v>
      </c>
      <c r="AY99" s="41">
        <f>IF(AND(AF99&lt;&gt;"",1-(AF99/O99)&gt;0),1-(AF99/O99),"")</f>
        <v>0.90551181102362199</v>
      </c>
      <c r="AZ99" s="136" t="str">
        <f>IF(Q99="","",IF(Q99&lt;2.5,"Alc. Bruta &lt; 2,5 mg/L",IF(Q99&lt;5,"2,5 ≤ Alc. Bruta &lt; 5,0 mg/L",IF(Q99&lt;7.5,"5,0 ≤ Alc. Bruta &lt; 7,5 mg/L",IF(Q99&lt;10,"7,5 ≤ Alc. Bruta &lt; 10,0 mg/L",IF(Q99&lt;15,"10,0 ≤ Alca. Bruta &lt; 15,0 mg/L","Alc. Bruta &gt; 15 mg/L"))))))</f>
        <v>5,0 ≤ Alc. Bruta &lt; 7,5 mg/L</v>
      </c>
      <c r="BA99" s="136" t="str">
        <f>IF(P99="","",IF(P99&lt;5,"Cor &lt;5 uC",IF(P99&lt;10,"5 ≤ Cor &lt; 10 uC",IF(P99&lt;15,"10 ≤ Cor &lt;15 uC",IF(P99&lt;30,"15 ≤ Cor &lt; 30 uC",IF(P99&lt;50,"30 ≤ Cor &lt; 50 uC","Cor &gt; 50 uC"))))))</f>
        <v>5 ≤ Cor &lt; 10 uC</v>
      </c>
      <c r="BB99" s="137" t="str">
        <f>IF(O99="","",IF(O99&lt;2.5,"Turbidez &lt; 2,5 uT",IF(O99&lt;5,"2,5 ≤ Turb &lt; 5,0 uT",IF(O99&lt;7.5,"5,0 ≤ Turb &lt; 7,5 uT",IF(O99&lt;10,"7,5 ≤ Turb &lt; 10,0 uT",IF(O99&lt;15,"10,0 ≤ Turb &lt; 15,0 uT","Turb &gt; 15 uT"))))))</f>
        <v>Turbidez &lt; 2,5 uT</v>
      </c>
      <c r="BC99" s="138" t="str">
        <f>IF(AND(C99&gt;D99,D99&gt;E99),"TOR &gt; SM &gt; BNN",IF(AND(C99&gt;E99,E99&gt;D99),"TOR &gt; BNN &gt; SM",IF(AND(D99&gt;C99,C99&gt;E99),"SM &gt; TOR &gt; BNN",IF(AND(D99&gt;E99,E99&gt;C99),"SM &gt; BNN &gt; TOR",IF(AND(C99=D99,D99=E99),"TOR = SM = BNN","Comb. diferentes")))))</f>
        <v>SM &gt; TOR &gt; BNN</v>
      </c>
      <c r="BD99" s="137" t="str">
        <f>IF(OR(AE99="",AQ99="-"),"",IF(AE99&lt;=0.25,"Tipo 1 (≤0,25) uT",IF(AE99&lt;=0.5,"Tipo 2 (0,25-0,50) uT",IF(AE99&lt;=0.75,"Tipo 3 (0,50-0,75) uT","Tipo 4 (&gt;0,75) uT"))))</f>
        <v>Tipo 1 (≤0,25) uT</v>
      </c>
      <c r="BE99" s="137" t="str">
        <f t="shared" si="7"/>
        <v>Tipo 1 (≤0,25) uT</v>
      </c>
      <c r="BF99" s="137" t="str">
        <f>IF(OR(AF99="",AQ99="-"),"",IF(AF99&lt;=0.25,"Tipo 1 (≤0,25) uT",IF(AF99&lt;=0.5,"Tipo 2 (0,25-0,50) uT",IF(AF99&lt;=0.75,"Tipo 3 (0,50-0,75) uT","Tipo 4 (&gt;0,75) uT"))))</f>
        <v>Tipo 1 (≤0,25) uT</v>
      </c>
      <c r="BG99" s="137" t="str">
        <f t="shared" si="8"/>
        <v>Tipo 1 (≤0,25) uT</v>
      </c>
      <c r="BH99" s="137" t="str">
        <f>IF(OR(R99="",R99="-"),"",IF(R99&lt;=0.25,"Tipo 1 (≤0,25) uT",IF(R99&lt;=0.5,"Tipo 2 (0,25-0,50) uT",IF(R99&lt;=0.75,"Tipo 3 (0,50-0,75) uT","Tipo 4 (&gt;0,75) uT"))))</f>
        <v>Tipo 1 (≤0,25) uT</v>
      </c>
    </row>
    <row r="100" spans="1:60" x14ac:dyDescent="0.3">
      <c r="A100" s="74">
        <v>46269</v>
      </c>
      <c r="B100" s="139">
        <v>0.39583333333333331</v>
      </c>
      <c r="C100" s="116">
        <v>463</v>
      </c>
      <c r="D100" s="116">
        <v>1473</v>
      </c>
      <c r="E100" s="116">
        <v>275</v>
      </c>
      <c r="F100" s="116">
        <v>2280</v>
      </c>
      <c r="G100" s="144" t="s">
        <v>100</v>
      </c>
      <c r="H100" s="122">
        <v>10.5</v>
      </c>
      <c r="I100" s="116">
        <v>-25</v>
      </c>
      <c r="J100" s="10">
        <v>90</v>
      </c>
      <c r="K100" s="116">
        <v>90</v>
      </c>
      <c r="L100" s="116">
        <v>90</v>
      </c>
      <c r="M100" s="122">
        <v>25.6</v>
      </c>
      <c r="N100" s="122">
        <v>6.5</v>
      </c>
      <c r="O100" s="79">
        <v>1.02</v>
      </c>
      <c r="P100" s="116">
        <v>5</v>
      </c>
      <c r="Q100" s="122">
        <v>6.1</v>
      </c>
      <c r="R100" s="10">
        <v>0.14000000000000001</v>
      </c>
      <c r="S100" s="79">
        <v>22.36</v>
      </c>
      <c r="T100" s="79">
        <v>0.88</v>
      </c>
      <c r="U100" s="79">
        <v>0.7</v>
      </c>
      <c r="V100" s="85">
        <f t="shared" si="9"/>
        <v>1758.45</v>
      </c>
      <c r="W100" s="85">
        <f t="shared" si="10"/>
        <v>1372.556302</v>
      </c>
      <c r="X100" s="85">
        <f t="shared" si="11"/>
        <v>0.78054895049617556</v>
      </c>
      <c r="Y100" s="116">
        <v>3</v>
      </c>
      <c r="Z100" s="116">
        <v>4</v>
      </c>
      <c r="AA100" s="122">
        <v>6.5</v>
      </c>
      <c r="AB100" s="116">
        <v>17</v>
      </c>
      <c r="AC100" s="122">
        <v>6.1</v>
      </c>
      <c r="AD100" s="122">
        <v>3.8</v>
      </c>
      <c r="AE100" s="79">
        <v>0.13</v>
      </c>
      <c r="AF100" s="79">
        <v>0.22</v>
      </c>
      <c r="AG100" s="85">
        <f>(O100+0.3*H100+2)*(F100/2/AK100)</f>
        <v>1758.45</v>
      </c>
      <c r="AH100" s="85">
        <f t="shared" si="12"/>
        <v>1785.9247275999996</v>
      </c>
      <c r="AI100" s="85">
        <f t="shared" si="13"/>
        <v>1.015624400807529</v>
      </c>
      <c r="AJ100" s="116">
        <v>3</v>
      </c>
      <c r="AK100" s="116">
        <v>4</v>
      </c>
      <c r="AL100" s="122">
        <v>6.3</v>
      </c>
      <c r="AM100" s="116">
        <v>23</v>
      </c>
      <c r="AN100" s="122">
        <v>6</v>
      </c>
      <c r="AO100" s="122">
        <v>4</v>
      </c>
      <c r="AP100" s="79">
        <v>0.15</v>
      </c>
      <c r="AQ100" s="79">
        <v>0.32</v>
      </c>
      <c r="AR100" s="132">
        <f>SUM(C100:E100)</f>
        <v>2211</v>
      </c>
      <c r="AS100" s="134">
        <f>C100/AR100</f>
        <v>0.20940750791497059</v>
      </c>
      <c r="AT100" s="134">
        <f>D100/AR100</f>
        <v>0.66621438263229305</v>
      </c>
      <c r="AU100" s="134">
        <f>E100/AR100</f>
        <v>0.12437810945273632</v>
      </c>
      <c r="AV100" s="151">
        <f>IF(AND(F100&lt;&gt;"",Z100&lt;&gt;""),AB100/(F100/2/Z100),"")</f>
        <v>5.9649122807017542E-2</v>
      </c>
      <c r="AW100" s="151">
        <f>IF(AND(F100&lt;&gt;"",AK100&lt;&gt;""),AM100/(F100/2/AK100),"")</f>
        <v>8.0701754385964913E-2</v>
      </c>
      <c r="AX100" s="41">
        <f>IF(AND(AQ100&lt;&gt;"",1-(AQ100/O100)&gt;0),1-(AQ100/O100),"")</f>
        <v>0.68627450980392157</v>
      </c>
      <c r="AY100" s="41">
        <f>IF(AND(AF100&lt;&gt;"",1-(AF100/O100)&gt;0),1-(AF100/O100),"")</f>
        <v>0.78431372549019607</v>
      </c>
      <c r="AZ100" s="136" t="str">
        <f>IF(Q100="","",IF(Q100&lt;2.5,"Alc. Bruta &lt; 2,5 mg/L",IF(Q100&lt;5,"2,5 ≤ Alc. Bruta &lt; 5,0 mg/L",IF(Q100&lt;7.5,"5,0 ≤ Alc. Bruta &lt; 7,5 mg/L",IF(Q100&lt;10,"7,5 ≤ Alc. Bruta &lt; 10,0 mg/L",IF(Q100&lt;15,"10,0 ≤ Alca. Bruta &lt; 15,0 mg/L","Alc. Bruta &gt; 15 mg/L"))))))</f>
        <v>5,0 ≤ Alc. Bruta &lt; 7,5 mg/L</v>
      </c>
      <c r="BA100" s="136" t="str">
        <f>IF(P100="","",IF(P100&lt;5,"Cor &lt;5 uC",IF(P100&lt;10,"5 ≤ Cor &lt; 10 uC",IF(P100&lt;15,"10 ≤ Cor &lt;15 uC",IF(P100&lt;30,"15 ≤ Cor &lt; 30 uC",IF(P100&lt;50,"30 ≤ Cor &lt; 50 uC","Cor &gt; 50 uC"))))))</f>
        <v>5 ≤ Cor &lt; 10 uC</v>
      </c>
      <c r="BB100" s="137" t="str">
        <f>IF(O100="","",IF(O100&lt;2.5,"Turbidez &lt; 2,5 uT",IF(O100&lt;5,"2,5 ≤ Turb &lt; 5,0 uT",IF(O100&lt;7.5,"5,0 ≤ Turb &lt; 7,5 uT",IF(O100&lt;10,"7,5 ≤ Turb &lt; 10,0 uT",IF(O100&lt;15,"10,0 ≤ Turb &lt; 15,0 uT","Turb &gt; 15 uT"))))))</f>
        <v>Turbidez &lt; 2,5 uT</v>
      </c>
      <c r="BC100" s="138" t="str">
        <f>IF(AND(C100&gt;D100,D100&gt;E100),"TOR &gt; SM &gt; BNN",IF(AND(C100&gt;E100,E100&gt;D100),"TOR &gt; BNN &gt; SM",IF(AND(D100&gt;C100,C100&gt;E100),"SM &gt; TOR &gt; BNN",IF(AND(D100&gt;E100,E100&gt;C100),"SM &gt; BNN &gt; TOR",IF(AND(C100=D100,D100=E100),"TOR = SM = BNN","Comb. diferentes")))))</f>
        <v>SM &gt; TOR &gt; BNN</v>
      </c>
      <c r="BD100" s="137" t="str">
        <f>IF(OR(AE100="",AQ100="-"),"",IF(AE100&lt;=0.25,"Tipo 1 (≤0,25) uT",IF(AE100&lt;=0.5,"Tipo 2 (0,25-0,50) uT",IF(AE100&lt;=0.75,"Tipo 3 (0,50-0,75) uT","Tipo 4 (&gt;0,75) uT"))))</f>
        <v>Tipo 1 (≤0,25) uT</v>
      </c>
      <c r="BE100" s="137" t="str">
        <f t="shared" si="7"/>
        <v>Tipo 1 (≤0,25) uT</v>
      </c>
      <c r="BF100" s="137" t="str">
        <f>IF(OR(AF100="",AQ100="-"),"",IF(AF100&lt;=0.25,"Tipo 1 (≤0,25) uT",IF(AF100&lt;=0.5,"Tipo 2 (0,25-0,50) uT",IF(AF100&lt;=0.75,"Tipo 3 (0,50-0,75) uT","Tipo 4 (&gt;0,75) uT"))))</f>
        <v>Tipo 1 (≤0,25) uT</v>
      </c>
      <c r="BG100" s="137" t="str">
        <f t="shared" si="8"/>
        <v>Tipo 2 (0,25-0,50) uT</v>
      </c>
      <c r="BH100" s="137" t="str">
        <f>IF(OR(R100="",R100="-"),"",IF(R100&lt;=0.25,"Tipo 1 (≤0,25) uT",IF(R100&lt;=0.5,"Tipo 2 (0,25-0,50) uT",IF(R100&lt;=0.75,"Tipo 3 (0,50-0,75) uT","Tipo 4 (&gt;0,75) uT"))))</f>
        <v>Tipo 1 (≤0,25) uT</v>
      </c>
    </row>
    <row r="101" spans="1:60" x14ac:dyDescent="0.3">
      <c r="A101" s="74">
        <v>46269</v>
      </c>
      <c r="B101" s="139">
        <v>0.47916666666666669</v>
      </c>
      <c r="C101" s="116">
        <v>409</v>
      </c>
      <c r="D101" s="116">
        <v>1582</v>
      </c>
      <c r="E101" s="116">
        <v>260</v>
      </c>
      <c r="F101" s="116">
        <v>2210</v>
      </c>
      <c r="G101" s="144" t="s">
        <v>100</v>
      </c>
      <c r="H101" s="122">
        <v>10.5</v>
      </c>
      <c r="I101" s="116">
        <v>-24</v>
      </c>
      <c r="J101" s="10">
        <v>90</v>
      </c>
      <c r="K101" s="116">
        <v>90</v>
      </c>
      <c r="L101" s="116">
        <v>90</v>
      </c>
      <c r="M101" s="122">
        <v>26.4</v>
      </c>
      <c r="N101" s="122">
        <v>6.5</v>
      </c>
      <c r="O101" s="79">
        <v>1.1299999999999999</v>
      </c>
      <c r="P101" s="116">
        <v>7</v>
      </c>
      <c r="Q101" s="122">
        <v>6.3</v>
      </c>
      <c r="R101" s="10">
        <v>7.0000000000000007E-2</v>
      </c>
      <c r="S101" s="79">
        <v>22.36</v>
      </c>
      <c r="T101" s="79">
        <v>0.88</v>
      </c>
      <c r="U101" s="79">
        <v>0.7</v>
      </c>
      <c r="V101" s="85">
        <f t="shared" si="9"/>
        <v>1734.85</v>
      </c>
      <c r="W101" s="85">
        <f t="shared" si="10"/>
        <v>1372.556302</v>
      </c>
      <c r="X101" s="85">
        <f t="shared" si="11"/>
        <v>0.79116713375796177</v>
      </c>
      <c r="Y101" s="116">
        <v>3</v>
      </c>
      <c r="Z101" s="116">
        <v>4</v>
      </c>
      <c r="AA101" s="122">
        <v>6.5</v>
      </c>
      <c r="AB101" s="116">
        <v>17</v>
      </c>
      <c r="AC101" s="122">
        <v>6.1</v>
      </c>
      <c r="AD101" s="122">
        <v>4.4000000000000004</v>
      </c>
      <c r="AE101" s="79">
        <v>0.11</v>
      </c>
      <c r="AF101" s="79">
        <v>0.17</v>
      </c>
      <c r="AG101" s="85">
        <f>(O101+0.3*H101+2)*(F101/2/AK101)</f>
        <v>1734.85</v>
      </c>
      <c r="AH101" s="85">
        <f t="shared" si="12"/>
        <v>1785.9247275999996</v>
      </c>
      <c r="AI101" s="85">
        <f t="shared" si="13"/>
        <v>1.029440428624953</v>
      </c>
      <c r="AJ101" s="116">
        <v>3</v>
      </c>
      <c r="AK101" s="116">
        <v>4</v>
      </c>
      <c r="AL101" s="122">
        <v>6.3</v>
      </c>
      <c r="AM101" s="116">
        <v>23</v>
      </c>
      <c r="AN101" s="122">
        <v>6</v>
      </c>
      <c r="AO101" s="122">
        <v>3.4</v>
      </c>
      <c r="AP101" s="79">
        <v>0.11</v>
      </c>
      <c r="AQ101" s="79">
        <v>0.21</v>
      </c>
      <c r="AR101" s="132">
        <f>SUM(C101:E101)</f>
        <v>2251</v>
      </c>
      <c r="AS101" s="134">
        <f>C101/AR101</f>
        <v>0.18169702354509107</v>
      </c>
      <c r="AT101" s="134">
        <f>D101/AR101</f>
        <v>0.70279875610839626</v>
      </c>
      <c r="AU101" s="134">
        <f>E101/AR101</f>
        <v>0.11550422034651266</v>
      </c>
      <c r="AV101" s="151">
        <f>IF(AND(F101&lt;&gt;"",Z101&lt;&gt;""),AB101/(F101/2/Z101),"")</f>
        <v>6.1538461538461542E-2</v>
      </c>
      <c r="AW101" s="151">
        <f>IF(AND(F101&lt;&gt;"",AK101&lt;&gt;""),AM101/(F101/2/AK101),"")</f>
        <v>8.3257918552036195E-2</v>
      </c>
      <c r="AX101" s="41">
        <f>IF(AND(AQ101&lt;&gt;"",1-(AQ101/O101)&gt;0),1-(AQ101/O101),"")</f>
        <v>0.81415929203539816</v>
      </c>
      <c r="AY101" s="41">
        <f>IF(AND(AF101&lt;&gt;"",1-(AF101/O101)&gt;0),1-(AF101/O101),"")</f>
        <v>0.84955752212389379</v>
      </c>
      <c r="AZ101" s="136" t="str">
        <f>IF(Q101="","",IF(Q101&lt;2.5,"Alc. Bruta &lt; 2,5 mg/L",IF(Q101&lt;5,"2,5 ≤ Alc. Bruta &lt; 5,0 mg/L",IF(Q101&lt;7.5,"5,0 ≤ Alc. Bruta &lt; 7,5 mg/L",IF(Q101&lt;10,"7,5 ≤ Alc. Bruta &lt; 10,0 mg/L",IF(Q101&lt;15,"10,0 ≤ Alca. Bruta &lt; 15,0 mg/L","Alc. Bruta &gt; 15 mg/L"))))))</f>
        <v>5,0 ≤ Alc. Bruta &lt; 7,5 mg/L</v>
      </c>
      <c r="BA101" s="136" t="str">
        <f>IF(P101="","",IF(P101&lt;5,"Cor &lt;5 uC",IF(P101&lt;10,"5 ≤ Cor &lt; 10 uC",IF(P101&lt;15,"10 ≤ Cor &lt;15 uC",IF(P101&lt;30,"15 ≤ Cor &lt; 30 uC",IF(P101&lt;50,"30 ≤ Cor &lt; 50 uC","Cor &gt; 50 uC"))))))</f>
        <v>5 ≤ Cor &lt; 10 uC</v>
      </c>
      <c r="BB101" s="137" t="str">
        <f>IF(O101="","",IF(O101&lt;2.5,"Turbidez &lt; 2,5 uT",IF(O101&lt;5,"2,5 ≤ Turb &lt; 5,0 uT",IF(O101&lt;7.5,"5,0 ≤ Turb &lt; 7,5 uT",IF(O101&lt;10,"7,5 ≤ Turb &lt; 10,0 uT",IF(O101&lt;15,"10,0 ≤ Turb &lt; 15,0 uT","Turb &gt; 15 uT"))))))</f>
        <v>Turbidez &lt; 2,5 uT</v>
      </c>
      <c r="BC101" s="138" t="str">
        <f>IF(AND(C101&gt;D101,D101&gt;E101),"TOR &gt; SM &gt; BNN",IF(AND(C101&gt;E101,E101&gt;D101),"TOR &gt; BNN &gt; SM",IF(AND(D101&gt;C101,C101&gt;E101),"SM &gt; TOR &gt; BNN",IF(AND(D101&gt;E101,E101&gt;C101),"SM &gt; BNN &gt; TOR",IF(AND(C101=D101,D101=E101),"TOR = SM = BNN","Comb. diferentes")))))</f>
        <v>SM &gt; TOR &gt; BNN</v>
      </c>
      <c r="BD101" s="137" t="str">
        <f>IF(OR(AE101="",AQ101="-"),"",IF(AE101&lt;=0.25,"Tipo 1 (≤0,25) uT",IF(AE101&lt;=0.5,"Tipo 2 (0,25-0,50) uT",IF(AE101&lt;=0.75,"Tipo 3 (0,50-0,75) uT","Tipo 4 (&gt;0,75) uT"))))</f>
        <v>Tipo 1 (≤0,25) uT</v>
      </c>
      <c r="BE101" s="137" t="str">
        <f t="shared" si="7"/>
        <v>Tipo 1 (≤0,25) uT</v>
      </c>
      <c r="BF101" s="137" t="str">
        <f>IF(OR(AF101="",AQ101="-"),"",IF(AF101&lt;=0.25,"Tipo 1 (≤0,25) uT",IF(AF101&lt;=0.5,"Tipo 2 (0,25-0,50) uT",IF(AF101&lt;=0.75,"Tipo 3 (0,50-0,75) uT","Tipo 4 (&gt;0,75) uT"))))</f>
        <v>Tipo 1 (≤0,25) uT</v>
      </c>
      <c r="BG101" s="137" t="str">
        <f t="shared" si="8"/>
        <v>Tipo 1 (≤0,25) uT</v>
      </c>
      <c r="BH101" s="137" t="str">
        <f>IF(OR(R101="",R101="-"),"",IF(R101&lt;=0.25,"Tipo 1 (≤0,25) uT",IF(R101&lt;=0.5,"Tipo 2 (0,25-0,50) uT",IF(R101&lt;=0.75,"Tipo 3 (0,50-0,75) uT","Tipo 4 (&gt;0,75) uT"))))</f>
        <v>Tipo 1 (≤0,25) uT</v>
      </c>
    </row>
    <row r="102" spans="1:60" x14ac:dyDescent="0.3">
      <c r="A102" s="74">
        <v>46269</v>
      </c>
      <c r="B102" s="139">
        <v>0.64583333333333337</v>
      </c>
      <c r="C102" s="116">
        <v>401</v>
      </c>
      <c r="D102" s="116">
        <v>1494</v>
      </c>
      <c r="E102" s="116">
        <v>260</v>
      </c>
      <c r="F102" s="116">
        <v>2309</v>
      </c>
      <c r="G102" s="144" t="s">
        <v>100</v>
      </c>
      <c r="H102" s="122">
        <v>10.5</v>
      </c>
      <c r="I102" s="116">
        <v>0.04</v>
      </c>
      <c r="J102" s="10">
        <v>90</v>
      </c>
      <c r="K102" s="116">
        <v>90</v>
      </c>
      <c r="L102" s="116">
        <v>90</v>
      </c>
      <c r="M102" s="122">
        <v>26.1</v>
      </c>
      <c r="N102" s="122">
        <v>6.5</v>
      </c>
      <c r="O102" s="79">
        <v>1.01</v>
      </c>
      <c r="P102" s="116">
        <v>7</v>
      </c>
      <c r="Q102" s="122">
        <v>6.5</v>
      </c>
      <c r="R102" s="10">
        <v>7.0000000000000007E-2</v>
      </c>
      <c r="S102" s="79">
        <v>22.36</v>
      </c>
      <c r="T102" s="79">
        <v>0.88</v>
      </c>
      <c r="U102" s="79">
        <v>0.7</v>
      </c>
      <c r="V102" s="85">
        <f t="shared" si="9"/>
        <v>1777.93</v>
      </c>
      <c r="W102" s="85">
        <f t="shared" si="10"/>
        <v>1372.556302</v>
      </c>
      <c r="X102" s="85">
        <f t="shared" si="11"/>
        <v>0.77199681764748884</v>
      </c>
      <c r="Y102" s="116">
        <v>3</v>
      </c>
      <c r="Z102" s="116">
        <v>4</v>
      </c>
      <c r="AA102" s="122">
        <v>6.5</v>
      </c>
      <c r="AB102" s="116">
        <v>17</v>
      </c>
      <c r="AC102" s="122">
        <v>6.1</v>
      </c>
      <c r="AD102" s="122">
        <v>5.4</v>
      </c>
      <c r="AE102" s="79">
        <v>0.14000000000000001</v>
      </c>
      <c r="AF102" s="79">
        <v>0.11</v>
      </c>
      <c r="AG102" s="85">
        <f>(O102+0.3*H102+2)*(F102/2/AK102)</f>
        <v>1777.93</v>
      </c>
      <c r="AH102" s="85">
        <f t="shared" si="12"/>
        <v>1785.9247275999996</v>
      </c>
      <c r="AI102" s="85">
        <f t="shared" si="13"/>
        <v>1.0044966492494078</v>
      </c>
      <c r="AJ102" s="116">
        <v>3</v>
      </c>
      <c r="AK102" s="116">
        <v>4</v>
      </c>
      <c r="AL102" s="122">
        <v>6.3</v>
      </c>
      <c r="AM102" s="116">
        <v>23</v>
      </c>
      <c r="AN102" s="122">
        <v>6.1</v>
      </c>
      <c r="AO102" s="122">
        <v>5.7</v>
      </c>
      <c r="AP102" s="79">
        <v>0.18</v>
      </c>
      <c r="AQ102" s="79">
        <v>0.15</v>
      </c>
      <c r="AR102" s="132">
        <f>SUM(C102:E102)</f>
        <v>2155</v>
      </c>
      <c r="AS102" s="134">
        <f>C102/AR102</f>
        <v>0.18607888631090488</v>
      </c>
      <c r="AT102" s="134">
        <f>D102/AR102</f>
        <v>0.69327146171693732</v>
      </c>
      <c r="AU102" s="134">
        <f>E102/AR102</f>
        <v>0.12064965197215777</v>
      </c>
      <c r="AV102" s="151">
        <f>IF(AND(F102&lt;&gt;"",Z102&lt;&gt;""),AB102/(F102/2/Z102),"")</f>
        <v>5.8899956691208316E-2</v>
      </c>
      <c r="AW102" s="151">
        <f>IF(AND(F102&lt;&gt;"",AK102&lt;&gt;""),AM102/(F102/2/AK102),"")</f>
        <v>7.9688176699870078E-2</v>
      </c>
      <c r="AX102" s="41">
        <f>IF(AND(AQ102&lt;&gt;"",1-(AQ102/O102)&gt;0),1-(AQ102/O102),"")</f>
        <v>0.85148514851485146</v>
      </c>
      <c r="AY102" s="41">
        <f>IF(AND(AF102&lt;&gt;"",1-(AF102/O102)&gt;0),1-(AF102/O102),"")</f>
        <v>0.8910891089108911</v>
      </c>
      <c r="AZ102" s="136" t="str">
        <f>IF(Q102="","",IF(Q102&lt;2.5,"Alc. Bruta &lt; 2,5 mg/L",IF(Q102&lt;5,"2,5 ≤ Alc. Bruta &lt; 5,0 mg/L",IF(Q102&lt;7.5,"5,0 ≤ Alc. Bruta &lt; 7,5 mg/L",IF(Q102&lt;10,"7,5 ≤ Alc. Bruta &lt; 10,0 mg/L",IF(Q102&lt;15,"10,0 ≤ Alca. Bruta &lt; 15,0 mg/L","Alc. Bruta &gt; 15 mg/L"))))))</f>
        <v>5,0 ≤ Alc. Bruta &lt; 7,5 mg/L</v>
      </c>
      <c r="BA102" s="136" t="str">
        <f>IF(P102="","",IF(P102&lt;5,"Cor &lt;5 uC",IF(P102&lt;10,"5 ≤ Cor &lt; 10 uC",IF(P102&lt;15,"10 ≤ Cor &lt;15 uC",IF(P102&lt;30,"15 ≤ Cor &lt; 30 uC",IF(P102&lt;50,"30 ≤ Cor &lt; 50 uC","Cor &gt; 50 uC"))))))</f>
        <v>5 ≤ Cor &lt; 10 uC</v>
      </c>
      <c r="BB102" s="137" t="str">
        <f>IF(O102="","",IF(O102&lt;2.5,"Turbidez &lt; 2,5 uT",IF(O102&lt;5,"2,5 ≤ Turb &lt; 5,0 uT",IF(O102&lt;7.5,"5,0 ≤ Turb &lt; 7,5 uT",IF(O102&lt;10,"7,5 ≤ Turb &lt; 10,0 uT",IF(O102&lt;15,"10,0 ≤ Turb &lt; 15,0 uT","Turb &gt; 15 uT"))))))</f>
        <v>Turbidez &lt; 2,5 uT</v>
      </c>
      <c r="BC102" s="138" t="str">
        <f>IF(AND(C102&gt;D102,D102&gt;E102),"TOR &gt; SM &gt; BNN",IF(AND(C102&gt;E102,E102&gt;D102),"TOR &gt; BNN &gt; SM",IF(AND(D102&gt;C102,C102&gt;E102),"SM &gt; TOR &gt; BNN",IF(AND(D102&gt;E102,E102&gt;C102),"SM &gt; BNN &gt; TOR",IF(AND(C102=D102,D102=E102),"TOR = SM = BNN","Comb. diferentes")))))</f>
        <v>SM &gt; TOR &gt; BNN</v>
      </c>
      <c r="BD102" s="137" t="str">
        <f>IF(OR(AE102="",AQ102="-"),"",IF(AE102&lt;=0.25,"Tipo 1 (≤0,25) uT",IF(AE102&lt;=0.5,"Tipo 2 (0,25-0,50) uT",IF(AE102&lt;=0.75,"Tipo 3 (0,50-0,75) uT","Tipo 4 (&gt;0,75) uT"))))</f>
        <v>Tipo 1 (≤0,25) uT</v>
      </c>
      <c r="BE102" s="137" t="str">
        <f t="shared" si="7"/>
        <v>Tipo 1 (≤0,25) uT</v>
      </c>
      <c r="BF102" s="137" t="str">
        <f>IF(OR(AF102="",AQ102="-"),"",IF(AF102&lt;=0.25,"Tipo 1 (≤0,25) uT",IF(AF102&lt;=0.5,"Tipo 2 (0,25-0,50) uT",IF(AF102&lt;=0.75,"Tipo 3 (0,50-0,75) uT","Tipo 4 (&gt;0,75) uT"))))</f>
        <v>Tipo 1 (≤0,25) uT</v>
      </c>
      <c r="BG102" s="137" t="str">
        <f t="shared" si="8"/>
        <v>Tipo 1 (≤0,25) uT</v>
      </c>
      <c r="BH102" s="137" t="str">
        <f>IF(OR(R102="",R102="-"),"",IF(R102&lt;=0.25,"Tipo 1 (≤0,25) uT",IF(R102&lt;=0.5,"Tipo 2 (0,25-0,50) uT",IF(R102&lt;=0.75,"Tipo 3 (0,50-0,75) uT","Tipo 4 (&gt;0,75) uT"))))</f>
        <v>Tipo 1 (≤0,25) uT</v>
      </c>
    </row>
    <row r="103" spans="1:60" x14ac:dyDescent="0.3">
      <c r="A103" s="74">
        <v>46269</v>
      </c>
      <c r="B103" s="139">
        <v>0.72916666666666663</v>
      </c>
      <c r="C103" s="116">
        <v>335</v>
      </c>
      <c r="D103" s="116">
        <v>1633</v>
      </c>
      <c r="E103" s="116">
        <v>260</v>
      </c>
      <c r="F103" s="116">
        <v>2308</v>
      </c>
      <c r="G103" s="144" t="s">
        <v>100</v>
      </c>
      <c r="H103" s="122">
        <v>10.5</v>
      </c>
      <c r="I103" s="116">
        <v>1.87</v>
      </c>
      <c r="J103" s="10">
        <v>90</v>
      </c>
      <c r="K103" s="116">
        <v>90</v>
      </c>
      <c r="L103" s="116">
        <v>90</v>
      </c>
      <c r="M103" s="122">
        <v>25.8</v>
      </c>
      <c r="N103" s="122">
        <v>6.5</v>
      </c>
      <c r="O103" s="79">
        <v>0.96</v>
      </c>
      <c r="P103" s="116">
        <v>7</v>
      </c>
      <c r="Q103" s="122">
        <v>6.5</v>
      </c>
      <c r="R103" s="10">
        <v>7.0000000000000007E-2</v>
      </c>
      <c r="S103" s="79">
        <v>22.36</v>
      </c>
      <c r="T103" s="79">
        <v>0.88</v>
      </c>
      <c r="U103" s="79">
        <v>0.7</v>
      </c>
      <c r="V103" s="85">
        <f t="shared" si="9"/>
        <v>1762.7349999999999</v>
      </c>
      <c r="W103" s="85">
        <f t="shared" si="10"/>
        <v>1372.556302</v>
      </c>
      <c r="X103" s="85">
        <f t="shared" si="11"/>
        <v>0.77865152844868912</v>
      </c>
      <c r="Y103" s="116">
        <v>3</v>
      </c>
      <c r="Z103" s="116">
        <v>4</v>
      </c>
      <c r="AA103" s="122">
        <v>6.5</v>
      </c>
      <c r="AB103" s="116">
        <v>17</v>
      </c>
      <c r="AC103" s="122">
        <v>6.1</v>
      </c>
      <c r="AD103" s="122">
        <v>4.7</v>
      </c>
      <c r="AE103" s="79">
        <v>0.14000000000000001</v>
      </c>
      <c r="AF103" s="79">
        <v>0.11</v>
      </c>
      <c r="AG103" s="85">
        <f>(O103+0.3*H103+2)*(F103/2/AK103)</f>
        <v>1762.7349999999999</v>
      </c>
      <c r="AH103" s="85">
        <f t="shared" si="12"/>
        <v>1785.9247275999996</v>
      </c>
      <c r="AI103" s="85">
        <f t="shared" si="13"/>
        <v>1.0131555381835613</v>
      </c>
      <c r="AJ103" s="116">
        <v>3</v>
      </c>
      <c r="AK103" s="116">
        <v>4</v>
      </c>
      <c r="AL103" s="122">
        <v>6.3</v>
      </c>
      <c r="AM103" s="116">
        <v>23</v>
      </c>
      <c r="AN103" s="122">
        <v>6.1</v>
      </c>
      <c r="AO103" s="122">
        <v>4.0999999999999996</v>
      </c>
      <c r="AP103" s="79">
        <v>0.14000000000000001</v>
      </c>
      <c r="AQ103" s="79">
        <v>0.15</v>
      </c>
      <c r="AR103" s="132">
        <f>SUM(C103:E103)</f>
        <v>2228</v>
      </c>
      <c r="AS103" s="134">
        <f>C103/AR103</f>
        <v>0.15035906642728905</v>
      </c>
      <c r="AT103" s="134">
        <f>D103/AR103</f>
        <v>0.73294434470377023</v>
      </c>
      <c r="AU103" s="134">
        <f>E103/AR103</f>
        <v>0.11669658886894076</v>
      </c>
      <c r="AV103" s="151">
        <f>IF(AND(F103&lt;&gt;"",Z103&lt;&gt;""),AB103/(F103/2/Z103),"")</f>
        <v>5.8925476603119586E-2</v>
      </c>
      <c r="AW103" s="151">
        <f>IF(AND(F103&lt;&gt;"",AK103&lt;&gt;""),AM103/(F103/2/AK103),"")</f>
        <v>7.9722703639514725E-2</v>
      </c>
      <c r="AX103" s="41">
        <f>IF(AND(AQ103&lt;&gt;"",1-(AQ103/O103)&gt;0),1-(AQ103/O103),"")</f>
        <v>0.84375</v>
      </c>
      <c r="AY103" s="41">
        <f>IF(AND(AF103&lt;&gt;"",1-(AF103/O103)&gt;0),1-(AF103/O103),"")</f>
        <v>0.88541666666666663</v>
      </c>
      <c r="AZ103" s="136" t="str">
        <f>IF(Q103="","",IF(Q103&lt;2.5,"Alc. Bruta &lt; 2,5 mg/L",IF(Q103&lt;5,"2,5 ≤ Alc. Bruta &lt; 5,0 mg/L",IF(Q103&lt;7.5,"5,0 ≤ Alc. Bruta &lt; 7,5 mg/L",IF(Q103&lt;10,"7,5 ≤ Alc. Bruta &lt; 10,0 mg/L",IF(Q103&lt;15,"10,0 ≤ Alca. Bruta &lt; 15,0 mg/L","Alc. Bruta &gt; 15 mg/L"))))))</f>
        <v>5,0 ≤ Alc. Bruta &lt; 7,5 mg/L</v>
      </c>
      <c r="BA103" s="136" t="str">
        <f>IF(P103="","",IF(P103&lt;5,"Cor &lt;5 uC",IF(P103&lt;10,"5 ≤ Cor &lt; 10 uC",IF(P103&lt;15,"10 ≤ Cor &lt;15 uC",IF(P103&lt;30,"15 ≤ Cor &lt; 30 uC",IF(P103&lt;50,"30 ≤ Cor &lt; 50 uC","Cor &gt; 50 uC"))))))</f>
        <v>5 ≤ Cor &lt; 10 uC</v>
      </c>
      <c r="BB103" s="137" t="str">
        <f>IF(O103="","",IF(O103&lt;2.5,"Turbidez &lt; 2,5 uT",IF(O103&lt;5,"2,5 ≤ Turb &lt; 5,0 uT",IF(O103&lt;7.5,"5,0 ≤ Turb &lt; 7,5 uT",IF(O103&lt;10,"7,5 ≤ Turb &lt; 10,0 uT",IF(O103&lt;15,"10,0 ≤ Turb &lt; 15,0 uT","Turb &gt; 15 uT"))))))</f>
        <v>Turbidez &lt; 2,5 uT</v>
      </c>
      <c r="BC103" s="138" t="str">
        <f>IF(AND(C103&gt;D103,D103&gt;E103),"TOR &gt; SM &gt; BNN",IF(AND(C103&gt;E103,E103&gt;D103),"TOR &gt; BNN &gt; SM",IF(AND(D103&gt;C103,C103&gt;E103),"SM &gt; TOR &gt; BNN",IF(AND(D103&gt;E103,E103&gt;C103),"SM &gt; BNN &gt; TOR",IF(AND(C103=D103,D103=E103),"TOR = SM = BNN","Comb. diferentes")))))</f>
        <v>SM &gt; TOR &gt; BNN</v>
      </c>
      <c r="BD103" s="137" t="str">
        <f>IF(OR(AE103="",AQ103="-"),"",IF(AE103&lt;=0.25,"Tipo 1 (≤0,25) uT",IF(AE103&lt;=0.5,"Tipo 2 (0,25-0,50) uT",IF(AE103&lt;=0.75,"Tipo 3 (0,50-0,75) uT","Tipo 4 (&gt;0,75) uT"))))</f>
        <v>Tipo 1 (≤0,25) uT</v>
      </c>
      <c r="BE103" s="137" t="str">
        <f t="shared" si="7"/>
        <v>Tipo 1 (≤0,25) uT</v>
      </c>
      <c r="BF103" s="137" t="str">
        <f>IF(OR(AF103="",AQ103="-"),"",IF(AF103&lt;=0.25,"Tipo 1 (≤0,25) uT",IF(AF103&lt;=0.5,"Tipo 2 (0,25-0,50) uT",IF(AF103&lt;=0.75,"Tipo 3 (0,50-0,75) uT","Tipo 4 (&gt;0,75) uT"))))</f>
        <v>Tipo 1 (≤0,25) uT</v>
      </c>
      <c r="BG103" s="137" t="str">
        <f t="shared" si="8"/>
        <v>Tipo 1 (≤0,25) uT</v>
      </c>
      <c r="BH103" s="137" t="str">
        <f>IF(OR(R103="",R103="-"),"",IF(R103&lt;=0.25,"Tipo 1 (≤0,25) uT",IF(R103&lt;=0.5,"Tipo 2 (0,25-0,50) uT",IF(R103&lt;=0.75,"Tipo 3 (0,50-0,75) uT","Tipo 4 (&gt;0,75) uT"))))</f>
        <v>Tipo 1 (≤0,25) uT</v>
      </c>
    </row>
    <row r="104" spans="1:60" x14ac:dyDescent="0.3">
      <c r="A104" s="74">
        <v>46269</v>
      </c>
      <c r="B104" s="139">
        <v>0.8125</v>
      </c>
      <c r="C104" s="116">
        <v>398</v>
      </c>
      <c r="D104" s="116">
        <v>1582</v>
      </c>
      <c r="E104" s="116">
        <v>259</v>
      </c>
      <c r="F104" s="116">
        <v>2262</v>
      </c>
      <c r="G104" s="144" t="s">
        <v>100</v>
      </c>
      <c r="H104" s="122">
        <v>10.5</v>
      </c>
      <c r="I104" s="116">
        <v>2</v>
      </c>
      <c r="J104" s="10">
        <v>90</v>
      </c>
      <c r="K104" s="116">
        <v>90</v>
      </c>
      <c r="L104" s="116">
        <v>90</v>
      </c>
      <c r="M104" s="122">
        <v>25.2</v>
      </c>
      <c r="N104" s="122">
        <v>6.6</v>
      </c>
      <c r="O104" s="79">
        <v>0.94</v>
      </c>
      <c r="P104" s="116">
        <v>7</v>
      </c>
      <c r="Q104" s="122">
        <v>6.9</v>
      </c>
      <c r="R104" s="10">
        <v>7.0000000000000007E-2</v>
      </c>
      <c r="S104" s="79">
        <v>22.36</v>
      </c>
      <c r="T104" s="79">
        <v>0.88</v>
      </c>
      <c r="U104" s="79">
        <v>0.7</v>
      </c>
      <c r="V104" s="85">
        <f t="shared" si="9"/>
        <v>1721.9475</v>
      </c>
      <c r="W104" s="85">
        <f t="shared" si="10"/>
        <v>1372.556302</v>
      </c>
      <c r="X104" s="85">
        <f t="shared" si="11"/>
        <v>0.79709532491553892</v>
      </c>
      <c r="Y104" s="116">
        <v>3</v>
      </c>
      <c r="Z104" s="116">
        <v>4</v>
      </c>
      <c r="AA104" s="122">
        <v>6.5</v>
      </c>
      <c r="AB104" s="116">
        <v>17</v>
      </c>
      <c r="AC104" s="122">
        <v>6.1</v>
      </c>
      <c r="AD104" s="122">
        <v>6.2</v>
      </c>
      <c r="AE104" s="79">
        <v>0.27</v>
      </c>
      <c r="AF104" s="79">
        <v>0.11</v>
      </c>
      <c r="AG104" s="85">
        <f>(O104+0.3*H104+2)*(F104/2/AK104)</f>
        <v>1721.9475</v>
      </c>
      <c r="AH104" s="85">
        <f t="shared" si="12"/>
        <v>1785.9247275999996</v>
      </c>
      <c r="AI104" s="85">
        <f t="shared" si="13"/>
        <v>1.0371539943000583</v>
      </c>
      <c r="AJ104" s="116">
        <v>3</v>
      </c>
      <c r="AK104" s="116">
        <v>4</v>
      </c>
      <c r="AL104" s="122">
        <v>6.3</v>
      </c>
      <c r="AM104" s="116">
        <v>23</v>
      </c>
      <c r="AN104" s="122">
        <v>6</v>
      </c>
      <c r="AO104" s="122">
        <v>6.2</v>
      </c>
      <c r="AP104" s="79">
        <v>0.21</v>
      </c>
      <c r="AQ104" s="79">
        <v>0.18</v>
      </c>
      <c r="AR104" s="132">
        <f>SUM(C104:E104)</f>
        <v>2239</v>
      </c>
      <c r="AS104" s="134">
        <f>C104/AR104</f>
        <v>0.17775792764627066</v>
      </c>
      <c r="AT104" s="134">
        <f>D104/AR104</f>
        <v>0.70656543099598035</v>
      </c>
      <c r="AU104" s="134">
        <f>E104/AR104</f>
        <v>0.11567664135774899</v>
      </c>
      <c r="AV104" s="151">
        <f>IF(AND(F104&lt;&gt;"",Z104&lt;&gt;""),AB104/(F104/2/Z104),"")</f>
        <v>6.0123784261715295E-2</v>
      </c>
      <c r="AW104" s="151">
        <f>IF(AND(F104&lt;&gt;"",AK104&lt;&gt;""),AM104/(F104/2/AK104),"")</f>
        <v>8.1343943412908931E-2</v>
      </c>
      <c r="AX104" s="41">
        <f>IF(AND(AQ104&lt;&gt;"",1-(AQ104/O104)&gt;0),1-(AQ104/O104),"")</f>
        <v>0.8085106382978724</v>
      </c>
      <c r="AY104" s="41">
        <f>IF(AND(AF104&lt;&gt;"",1-(AF104/O104)&gt;0),1-(AF104/O104),"")</f>
        <v>0.88297872340425532</v>
      </c>
      <c r="AZ104" s="136" t="str">
        <f>IF(Q104="","",IF(Q104&lt;2.5,"Alc. Bruta &lt; 2,5 mg/L",IF(Q104&lt;5,"2,5 ≤ Alc. Bruta &lt; 5,0 mg/L",IF(Q104&lt;7.5,"5,0 ≤ Alc. Bruta &lt; 7,5 mg/L",IF(Q104&lt;10,"7,5 ≤ Alc. Bruta &lt; 10,0 mg/L",IF(Q104&lt;15,"10,0 ≤ Alca. Bruta &lt; 15,0 mg/L","Alc. Bruta &gt; 15 mg/L"))))))</f>
        <v>5,0 ≤ Alc. Bruta &lt; 7,5 mg/L</v>
      </c>
      <c r="BA104" s="136" t="str">
        <f>IF(P104="","",IF(P104&lt;5,"Cor &lt;5 uC",IF(P104&lt;10,"5 ≤ Cor &lt; 10 uC",IF(P104&lt;15,"10 ≤ Cor &lt;15 uC",IF(P104&lt;30,"15 ≤ Cor &lt; 30 uC",IF(P104&lt;50,"30 ≤ Cor &lt; 50 uC","Cor &gt; 50 uC"))))))</f>
        <v>5 ≤ Cor &lt; 10 uC</v>
      </c>
      <c r="BB104" s="137" t="str">
        <f>IF(O104="","",IF(O104&lt;2.5,"Turbidez &lt; 2,5 uT",IF(O104&lt;5,"2,5 ≤ Turb &lt; 5,0 uT",IF(O104&lt;7.5,"5,0 ≤ Turb &lt; 7,5 uT",IF(O104&lt;10,"7,5 ≤ Turb &lt; 10,0 uT",IF(O104&lt;15,"10,0 ≤ Turb &lt; 15,0 uT","Turb &gt; 15 uT"))))))</f>
        <v>Turbidez &lt; 2,5 uT</v>
      </c>
      <c r="BC104" s="138" t="str">
        <f>IF(AND(C104&gt;D104,D104&gt;E104),"TOR &gt; SM &gt; BNN",IF(AND(C104&gt;E104,E104&gt;D104),"TOR &gt; BNN &gt; SM",IF(AND(D104&gt;C104,C104&gt;E104),"SM &gt; TOR &gt; BNN",IF(AND(D104&gt;E104,E104&gt;C104),"SM &gt; BNN &gt; TOR",IF(AND(C104=D104,D104=E104),"TOR = SM = BNN","Comb. diferentes")))))</f>
        <v>SM &gt; TOR &gt; BNN</v>
      </c>
      <c r="BD104" s="137" t="str">
        <f>IF(OR(AE104="",AQ104="-"),"",IF(AE104&lt;=0.25,"Tipo 1 (≤0,25) uT",IF(AE104&lt;=0.5,"Tipo 2 (0,25-0,50) uT",IF(AE104&lt;=0.75,"Tipo 3 (0,50-0,75) uT","Tipo 4 (&gt;0,75) uT"))))</f>
        <v>Tipo 2 (0,25-0,50) uT</v>
      </c>
      <c r="BE104" s="137" t="str">
        <f t="shared" si="7"/>
        <v>Tipo 1 (≤0,25) uT</v>
      </c>
      <c r="BF104" s="137" t="str">
        <f>IF(OR(AF104="",AQ104="-"),"",IF(AF104&lt;=0.25,"Tipo 1 (≤0,25) uT",IF(AF104&lt;=0.5,"Tipo 2 (0,25-0,50) uT",IF(AF104&lt;=0.75,"Tipo 3 (0,50-0,75) uT","Tipo 4 (&gt;0,75) uT"))))</f>
        <v>Tipo 1 (≤0,25) uT</v>
      </c>
      <c r="BG104" s="137" t="str">
        <f t="shared" si="8"/>
        <v>Tipo 1 (≤0,25) uT</v>
      </c>
      <c r="BH104" s="137" t="str">
        <f>IF(OR(R104="",R104="-"),"",IF(R104&lt;=0.25,"Tipo 1 (≤0,25) uT",IF(R104&lt;=0.5,"Tipo 2 (0,25-0,50) uT",IF(R104&lt;=0.75,"Tipo 3 (0,50-0,75) uT","Tipo 4 (&gt;0,75) uT"))))</f>
        <v>Tipo 1 (≤0,25) uT</v>
      </c>
    </row>
    <row r="105" spans="1:60" x14ac:dyDescent="0.3">
      <c r="A105" s="74">
        <v>46269</v>
      </c>
      <c r="B105" s="139">
        <v>0.89583333333333337</v>
      </c>
      <c r="C105" s="116">
        <v>401</v>
      </c>
      <c r="D105" s="116">
        <v>1505</v>
      </c>
      <c r="E105" s="116">
        <v>259</v>
      </c>
      <c r="F105" s="116">
        <v>2257</v>
      </c>
      <c r="G105" s="144" t="s">
        <v>100</v>
      </c>
      <c r="H105" s="122">
        <v>10.5</v>
      </c>
      <c r="I105" s="116">
        <v>7.87</v>
      </c>
      <c r="J105" s="10">
        <v>90</v>
      </c>
      <c r="K105" s="116">
        <v>90</v>
      </c>
      <c r="L105" s="116">
        <v>90</v>
      </c>
      <c r="M105" s="122">
        <v>25.1</v>
      </c>
      <c r="N105" s="122">
        <v>6.5</v>
      </c>
      <c r="O105" s="79">
        <v>1.07</v>
      </c>
      <c r="P105" s="116">
        <v>7</v>
      </c>
      <c r="Q105" s="122">
        <v>6.2</v>
      </c>
      <c r="R105" s="10">
        <v>7.0000000000000007E-2</v>
      </c>
      <c r="S105" s="79">
        <v>22.36</v>
      </c>
      <c r="T105" s="79">
        <v>0.88</v>
      </c>
      <c r="U105" s="79">
        <v>0.7</v>
      </c>
      <c r="V105" s="85">
        <f t="shared" si="9"/>
        <v>1754.8174999999999</v>
      </c>
      <c r="W105" s="85">
        <f t="shared" si="10"/>
        <v>1372.556302</v>
      </c>
      <c r="X105" s="85">
        <f t="shared" si="11"/>
        <v>0.7821646991781197</v>
      </c>
      <c r="Y105" s="116">
        <v>3</v>
      </c>
      <c r="Z105" s="116">
        <v>4</v>
      </c>
      <c r="AA105" s="122">
        <v>6.5</v>
      </c>
      <c r="AB105" s="116">
        <v>17</v>
      </c>
      <c r="AC105" s="122">
        <v>6</v>
      </c>
      <c r="AD105" s="122">
        <v>4.2</v>
      </c>
      <c r="AE105" s="79">
        <v>0.18</v>
      </c>
      <c r="AF105" s="79">
        <v>0.1</v>
      </c>
      <c r="AG105" s="85">
        <f>(O105+0.3*H105+2)*(F105/2/AK105)</f>
        <v>1754.8174999999999</v>
      </c>
      <c r="AH105" s="85">
        <f t="shared" si="12"/>
        <v>1785.9247275999996</v>
      </c>
      <c r="AI105" s="85">
        <f t="shared" si="13"/>
        <v>1.0177267593923582</v>
      </c>
      <c r="AJ105" s="116">
        <v>3</v>
      </c>
      <c r="AK105" s="116">
        <v>4</v>
      </c>
      <c r="AL105" s="122">
        <v>6.3</v>
      </c>
      <c r="AM105" s="116">
        <v>23</v>
      </c>
      <c r="AN105" s="122">
        <v>5.7</v>
      </c>
      <c r="AO105" s="122">
        <v>3.8</v>
      </c>
      <c r="AP105" s="79">
        <v>0.2</v>
      </c>
      <c r="AQ105" s="79">
        <v>0.15</v>
      </c>
      <c r="AR105" s="132">
        <f>SUM(C105:E105)</f>
        <v>2165</v>
      </c>
      <c r="AS105" s="134">
        <f>C105/AR105</f>
        <v>0.18521939953810623</v>
      </c>
      <c r="AT105" s="134">
        <f>D105/AR105</f>
        <v>0.69515011547344108</v>
      </c>
      <c r="AU105" s="134">
        <f>E105/AR105</f>
        <v>0.11963048498845266</v>
      </c>
      <c r="AV105" s="151">
        <f>IF(AND(F105&lt;&gt;"",Z105&lt;&gt;""),AB105/(F105/2/Z105),"")</f>
        <v>6.0256978289765173E-2</v>
      </c>
      <c r="AW105" s="151">
        <f>IF(AND(F105&lt;&gt;"",AK105&lt;&gt;""),AM105/(F105/2/AK105),"")</f>
        <v>8.1524147097917596E-2</v>
      </c>
      <c r="AX105" s="41">
        <f>IF(AND(AQ105&lt;&gt;"",1-(AQ105/O105)&gt;0),1-(AQ105/O105),"")</f>
        <v>0.85981308411214952</v>
      </c>
      <c r="AY105" s="41">
        <f>IF(AND(AF105&lt;&gt;"",1-(AF105/O105)&gt;0),1-(AF105/O105),"")</f>
        <v>0.90654205607476634</v>
      </c>
      <c r="AZ105" s="136" t="str">
        <f>IF(Q105="","",IF(Q105&lt;2.5,"Alc. Bruta &lt; 2,5 mg/L",IF(Q105&lt;5,"2,5 ≤ Alc. Bruta &lt; 5,0 mg/L",IF(Q105&lt;7.5,"5,0 ≤ Alc. Bruta &lt; 7,5 mg/L",IF(Q105&lt;10,"7,5 ≤ Alc. Bruta &lt; 10,0 mg/L",IF(Q105&lt;15,"10,0 ≤ Alca. Bruta &lt; 15,0 mg/L","Alc. Bruta &gt; 15 mg/L"))))))</f>
        <v>5,0 ≤ Alc. Bruta &lt; 7,5 mg/L</v>
      </c>
      <c r="BA105" s="136" t="str">
        <f>IF(P105="","",IF(P105&lt;5,"Cor &lt;5 uC",IF(P105&lt;10,"5 ≤ Cor &lt; 10 uC",IF(P105&lt;15,"10 ≤ Cor &lt;15 uC",IF(P105&lt;30,"15 ≤ Cor &lt; 30 uC",IF(P105&lt;50,"30 ≤ Cor &lt; 50 uC","Cor &gt; 50 uC"))))))</f>
        <v>5 ≤ Cor &lt; 10 uC</v>
      </c>
      <c r="BB105" s="137" t="str">
        <f>IF(O105="","",IF(O105&lt;2.5,"Turbidez &lt; 2,5 uT",IF(O105&lt;5,"2,5 ≤ Turb &lt; 5,0 uT",IF(O105&lt;7.5,"5,0 ≤ Turb &lt; 7,5 uT",IF(O105&lt;10,"7,5 ≤ Turb &lt; 10,0 uT",IF(O105&lt;15,"10,0 ≤ Turb &lt; 15,0 uT","Turb &gt; 15 uT"))))))</f>
        <v>Turbidez &lt; 2,5 uT</v>
      </c>
      <c r="BC105" s="138" t="str">
        <f>IF(AND(C105&gt;D105,D105&gt;E105),"TOR &gt; SM &gt; BNN",IF(AND(C105&gt;E105,E105&gt;D105),"TOR &gt; BNN &gt; SM",IF(AND(D105&gt;C105,C105&gt;E105),"SM &gt; TOR &gt; BNN",IF(AND(D105&gt;E105,E105&gt;C105),"SM &gt; BNN &gt; TOR",IF(AND(C105=D105,D105=E105),"TOR = SM = BNN","Comb. diferentes")))))</f>
        <v>SM &gt; TOR &gt; BNN</v>
      </c>
      <c r="BD105" s="137" t="str">
        <f>IF(OR(AE105="",AQ105="-"),"",IF(AE105&lt;=0.25,"Tipo 1 (≤0,25) uT",IF(AE105&lt;=0.5,"Tipo 2 (0,25-0,50) uT",IF(AE105&lt;=0.75,"Tipo 3 (0,50-0,75) uT","Tipo 4 (&gt;0,75) uT"))))</f>
        <v>Tipo 1 (≤0,25) uT</v>
      </c>
      <c r="BE105" s="137" t="str">
        <f t="shared" si="7"/>
        <v>Tipo 1 (≤0,25) uT</v>
      </c>
      <c r="BF105" s="137" t="str">
        <f>IF(OR(AF105="",AQ105="-"),"",IF(AF105&lt;=0.25,"Tipo 1 (≤0,25) uT",IF(AF105&lt;=0.5,"Tipo 2 (0,25-0,50) uT",IF(AF105&lt;=0.75,"Tipo 3 (0,50-0,75) uT","Tipo 4 (&gt;0,75) uT"))))</f>
        <v>Tipo 1 (≤0,25) uT</v>
      </c>
      <c r="BG105" s="137" t="str">
        <f t="shared" si="8"/>
        <v>Tipo 1 (≤0,25) uT</v>
      </c>
      <c r="BH105" s="137" t="str">
        <f>IF(OR(R105="",R105="-"),"",IF(R105&lt;=0.25,"Tipo 1 (≤0,25) uT",IF(R105&lt;=0.5,"Tipo 2 (0,25-0,50) uT",IF(R105&lt;=0.75,"Tipo 3 (0,50-0,75) uT","Tipo 4 (&gt;0,75) uT"))))</f>
        <v>Tipo 1 (≤0,25) uT</v>
      </c>
    </row>
    <row r="106" spans="1:60" x14ac:dyDescent="0.3">
      <c r="A106" s="74">
        <v>46270</v>
      </c>
      <c r="B106" s="139">
        <v>6.25E-2</v>
      </c>
      <c r="C106" s="116">
        <v>392</v>
      </c>
      <c r="D106" s="116">
        <v>1629</v>
      </c>
      <c r="E106" s="116">
        <v>258</v>
      </c>
      <c r="F106" s="116">
        <v>2322</v>
      </c>
      <c r="G106" s="144" t="s">
        <v>100</v>
      </c>
      <c r="H106" s="122">
        <v>10.5</v>
      </c>
      <c r="I106" s="116">
        <v>13.9</v>
      </c>
      <c r="J106" s="10">
        <v>90</v>
      </c>
      <c r="K106" s="116">
        <v>90</v>
      </c>
      <c r="L106" s="116">
        <v>90</v>
      </c>
      <c r="M106" s="122">
        <v>24.7</v>
      </c>
      <c r="N106" s="122">
        <v>6.5</v>
      </c>
      <c r="O106" s="79">
        <v>1.1100000000000001</v>
      </c>
      <c r="P106" s="116">
        <v>6</v>
      </c>
      <c r="Q106" s="122">
        <v>6.8</v>
      </c>
      <c r="R106" s="10">
        <v>7.0000000000000007E-2</v>
      </c>
      <c r="S106" s="79">
        <v>22.36</v>
      </c>
      <c r="T106" s="79">
        <v>0.88</v>
      </c>
      <c r="U106" s="79">
        <v>0.7</v>
      </c>
      <c r="V106" s="85">
        <f t="shared" si="9"/>
        <v>1816.9649999999999</v>
      </c>
      <c r="W106" s="85">
        <f t="shared" si="10"/>
        <v>1372.556302</v>
      </c>
      <c r="X106" s="85">
        <f t="shared" si="11"/>
        <v>0.75541152526328248</v>
      </c>
      <c r="Y106" s="116">
        <v>3</v>
      </c>
      <c r="Z106" s="116">
        <v>4</v>
      </c>
      <c r="AA106" s="122">
        <v>6.5</v>
      </c>
      <c r="AB106" s="116">
        <v>17</v>
      </c>
      <c r="AC106" s="122">
        <v>6</v>
      </c>
      <c r="AD106" s="122">
        <v>6.1</v>
      </c>
      <c r="AE106" s="79">
        <v>0.33</v>
      </c>
      <c r="AF106" s="79">
        <v>0.1</v>
      </c>
      <c r="AG106" s="85">
        <f>(O106+0.3*H106+2)*(F106/2/AK106)</f>
        <v>1816.9649999999999</v>
      </c>
      <c r="AH106" s="85">
        <f t="shared" si="12"/>
        <v>1785.9247275999996</v>
      </c>
      <c r="AI106" s="85">
        <f t="shared" si="13"/>
        <v>0.98291641699207177</v>
      </c>
      <c r="AJ106" s="116">
        <v>3</v>
      </c>
      <c r="AK106" s="116">
        <v>4</v>
      </c>
      <c r="AL106" s="122">
        <v>6.3</v>
      </c>
      <c r="AM106" s="116">
        <v>23</v>
      </c>
      <c r="AN106" s="122">
        <v>6.1</v>
      </c>
      <c r="AO106" s="122">
        <v>6.3</v>
      </c>
      <c r="AP106" s="79">
        <v>0.36</v>
      </c>
      <c r="AQ106" s="79">
        <v>0.15</v>
      </c>
      <c r="AR106" s="132">
        <f>SUM(C106:E106)</f>
        <v>2279</v>
      </c>
      <c r="AS106" s="134">
        <f>C106/AR106</f>
        <v>0.17200526546731024</v>
      </c>
      <c r="AT106" s="134">
        <f>D106/AR106</f>
        <v>0.7147871873628785</v>
      </c>
      <c r="AU106" s="134">
        <f>E106/AR106</f>
        <v>0.11320754716981132</v>
      </c>
      <c r="AV106" s="151">
        <f>IF(AND(F106&lt;&gt;"",Z106&lt;&gt;""),AB106/(F106/2/Z106),"")</f>
        <v>5.8570198105081829E-2</v>
      </c>
      <c r="AW106" s="151">
        <f>IF(AND(F106&lt;&gt;"",AK106&lt;&gt;""),AM106/(F106/2/AK106),"")</f>
        <v>7.9242032730404824E-2</v>
      </c>
      <c r="AX106" s="41">
        <f>IF(AND(AQ106&lt;&gt;"",1-(AQ106/O106)&gt;0),1-(AQ106/O106),"")</f>
        <v>0.86486486486486491</v>
      </c>
      <c r="AY106" s="41">
        <f>IF(AND(AF106&lt;&gt;"",1-(AF106/O106)&gt;0),1-(AF106/O106),"")</f>
        <v>0.90990990990990994</v>
      </c>
      <c r="AZ106" s="136" t="str">
        <f>IF(Q106="","",IF(Q106&lt;2.5,"Alc. Bruta &lt; 2,5 mg/L",IF(Q106&lt;5,"2,5 ≤ Alc. Bruta &lt; 5,0 mg/L",IF(Q106&lt;7.5,"5,0 ≤ Alc. Bruta &lt; 7,5 mg/L",IF(Q106&lt;10,"7,5 ≤ Alc. Bruta &lt; 10,0 mg/L",IF(Q106&lt;15,"10,0 ≤ Alca. Bruta &lt; 15,0 mg/L","Alc. Bruta &gt; 15 mg/L"))))))</f>
        <v>5,0 ≤ Alc. Bruta &lt; 7,5 mg/L</v>
      </c>
      <c r="BA106" s="136" t="str">
        <f>IF(P106="","",IF(P106&lt;5,"Cor &lt;5 uC",IF(P106&lt;10,"5 ≤ Cor &lt; 10 uC",IF(P106&lt;15,"10 ≤ Cor &lt;15 uC",IF(P106&lt;30,"15 ≤ Cor &lt; 30 uC",IF(P106&lt;50,"30 ≤ Cor &lt; 50 uC","Cor &gt; 50 uC"))))))</f>
        <v>5 ≤ Cor &lt; 10 uC</v>
      </c>
      <c r="BB106" s="137" t="str">
        <f>IF(O106="","",IF(O106&lt;2.5,"Turbidez &lt; 2,5 uT",IF(O106&lt;5,"2,5 ≤ Turb &lt; 5,0 uT",IF(O106&lt;7.5,"5,0 ≤ Turb &lt; 7,5 uT",IF(O106&lt;10,"7,5 ≤ Turb &lt; 10,0 uT",IF(O106&lt;15,"10,0 ≤ Turb &lt; 15,0 uT","Turb &gt; 15 uT"))))))</f>
        <v>Turbidez &lt; 2,5 uT</v>
      </c>
      <c r="BC106" s="138" t="str">
        <f>IF(AND(C106&gt;D106,D106&gt;E106),"TOR &gt; SM &gt; BNN",IF(AND(C106&gt;E106,E106&gt;D106),"TOR &gt; BNN &gt; SM",IF(AND(D106&gt;C106,C106&gt;E106),"SM &gt; TOR &gt; BNN",IF(AND(D106&gt;E106,E106&gt;C106),"SM &gt; BNN &gt; TOR",IF(AND(C106=D106,D106=E106),"TOR = SM = BNN","Comb. diferentes")))))</f>
        <v>SM &gt; TOR &gt; BNN</v>
      </c>
      <c r="BD106" s="137" t="str">
        <f>IF(OR(AE106="",AQ106="-"),"",IF(AE106&lt;=0.25,"Tipo 1 (≤0,25) uT",IF(AE106&lt;=0.5,"Tipo 2 (0,25-0,50) uT",IF(AE106&lt;=0.75,"Tipo 3 (0,50-0,75) uT","Tipo 4 (&gt;0,75) uT"))))</f>
        <v>Tipo 2 (0,25-0,50) uT</v>
      </c>
      <c r="BE106" s="137" t="str">
        <f t="shared" si="7"/>
        <v>Tipo 2 (0,25-0,50) uT</v>
      </c>
      <c r="BF106" s="137" t="str">
        <f>IF(OR(AF106="",AQ106="-"),"",IF(AF106&lt;=0.25,"Tipo 1 (≤0,25) uT",IF(AF106&lt;=0.5,"Tipo 2 (0,25-0,50) uT",IF(AF106&lt;=0.75,"Tipo 3 (0,50-0,75) uT","Tipo 4 (&gt;0,75) uT"))))</f>
        <v>Tipo 1 (≤0,25) uT</v>
      </c>
      <c r="BG106" s="137" t="str">
        <f t="shared" si="8"/>
        <v>Tipo 1 (≤0,25) uT</v>
      </c>
      <c r="BH106" s="137" t="str">
        <f>IF(OR(R106="",R106="-"),"",IF(R106&lt;=0.25,"Tipo 1 (≤0,25) uT",IF(R106&lt;=0.5,"Tipo 2 (0,25-0,50) uT",IF(R106&lt;=0.75,"Tipo 3 (0,50-0,75) uT","Tipo 4 (&gt;0,75) uT"))))</f>
        <v>Tipo 1 (≤0,25) uT</v>
      </c>
    </row>
    <row r="107" spans="1:60" x14ac:dyDescent="0.3">
      <c r="A107" s="74">
        <v>46270</v>
      </c>
      <c r="B107" s="139">
        <v>0.14583333333333334</v>
      </c>
      <c r="C107" s="116">
        <v>397</v>
      </c>
      <c r="D107" s="116">
        <v>1546</v>
      </c>
      <c r="E107" s="116">
        <v>259</v>
      </c>
      <c r="F107" s="116">
        <v>2263</v>
      </c>
      <c r="G107" s="144" t="s">
        <v>100</v>
      </c>
      <c r="H107" s="122">
        <v>10.5</v>
      </c>
      <c r="I107" s="116">
        <v>17.93</v>
      </c>
      <c r="J107" s="10">
        <v>90</v>
      </c>
      <c r="K107" s="116">
        <v>90</v>
      </c>
      <c r="L107" s="116">
        <v>90</v>
      </c>
      <c r="M107" s="122">
        <v>24.7</v>
      </c>
      <c r="N107" s="122">
        <v>6.5</v>
      </c>
      <c r="O107" s="79">
        <v>1.0900000000000001</v>
      </c>
      <c r="P107" s="116">
        <v>7</v>
      </c>
      <c r="Q107" s="122">
        <v>6</v>
      </c>
      <c r="R107" s="10">
        <v>7.0000000000000007E-2</v>
      </c>
      <c r="S107" s="79">
        <v>22.36</v>
      </c>
      <c r="T107" s="79">
        <v>0.88</v>
      </c>
      <c r="U107" s="79">
        <v>0.7</v>
      </c>
      <c r="V107" s="85">
        <f t="shared" si="9"/>
        <v>1765.14</v>
      </c>
      <c r="W107" s="85">
        <f t="shared" si="10"/>
        <v>1372.556302</v>
      </c>
      <c r="X107" s="85">
        <f t="shared" si="11"/>
        <v>0.77759061717484157</v>
      </c>
      <c r="Y107" s="116">
        <v>3</v>
      </c>
      <c r="Z107" s="116">
        <v>4</v>
      </c>
      <c r="AA107" s="122">
        <v>6.5</v>
      </c>
      <c r="AB107" s="116">
        <v>17</v>
      </c>
      <c r="AC107" s="122">
        <v>6</v>
      </c>
      <c r="AD107" s="122">
        <v>4.5</v>
      </c>
      <c r="AE107" s="79">
        <v>0.22</v>
      </c>
      <c r="AF107" s="79">
        <v>0.1</v>
      </c>
      <c r="AG107" s="85">
        <f>(O107+0.3*H107+2)*(F107/2/AK107)</f>
        <v>1765.14</v>
      </c>
      <c r="AH107" s="85">
        <f t="shared" si="12"/>
        <v>1785.9247275999996</v>
      </c>
      <c r="AI107" s="85">
        <f t="shared" si="13"/>
        <v>1.0117751156282218</v>
      </c>
      <c r="AJ107" s="116">
        <v>3</v>
      </c>
      <c r="AK107" s="116">
        <v>4</v>
      </c>
      <c r="AL107" s="122">
        <v>6.3</v>
      </c>
      <c r="AM107" s="116">
        <v>23</v>
      </c>
      <c r="AN107" s="122">
        <v>6</v>
      </c>
      <c r="AO107" s="122">
        <v>4.4000000000000004</v>
      </c>
      <c r="AP107" s="79">
        <v>0.3</v>
      </c>
      <c r="AQ107" s="79">
        <v>0.15</v>
      </c>
      <c r="AR107" s="132">
        <f>SUM(C107:E107)</f>
        <v>2202</v>
      </c>
      <c r="AS107" s="134">
        <f>C107/AR107</f>
        <v>0.18029064486830154</v>
      </c>
      <c r="AT107" s="134">
        <f>D107/AR107</f>
        <v>0.70208900999091739</v>
      </c>
      <c r="AU107" s="134">
        <f>E107/AR107</f>
        <v>0.11762034514078111</v>
      </c>
      <c r="AV107" s="151">
        <f>IF(AND(F107&lt;&gt;"",Z107&lt;&gt;""),AB107/(F107/2/Z107),"")</f>
        <v>6.0097216084843127E-2</v>
      </c>
      <c r="AW107" s="151">
        <f>IF(AND(F107&lt;&gt;"",AK107&lt;&gt;""),AM107/(F107/2/AK107),"")</f>
        <v>8.1307998232434828E-2</v>
      </c>
      <c r="AX107" s="41">
        <f>IF(AND(AQ107&lt;&gt;"",1-(AQ107/O107)&gt;0),1-(AQ107/O107),"")</f>
        <v>0.86238532110091748</v>
      </c>
      <c r="AY107" s="41">
        <f>IF(AND(AF107&lt;&gt;"",1-(AF107/O107)&gt;0),1-(AF107/O107),"")</f>
        <v>0.90825688073394495</v>
      </c>
      <c r="AZ107" s="136" t="str">
        <f>IF(Q107="","",IF(Q107&lt;2.5,"Alc. Bruta &lt; 2,5 mg/L",IF(Q107&lt;5,"2,5 ≤ Alc. Bruta &lt; 5,0 mg/L",IF(Q107&lt;7.5,"5,0 ≤ Alc. Bruta &lt; 7,5 mg/L",IF(Q107&lt;10,"7,5 ≤ Alc. Bruta &lt; 10,0 mg/L",IF(Q107&lt;15,"10,0 ≤ Alca. Bruta &lt; 15,0 mg/L","Alc. Bruta &gt; 15 mg/L"))))))</f>
        <v>5,0 ≤ Alc. Bruta &lt; 7,5 mg/L</v>
      </c>
      <c r="BA107" s="136" t="str">
        <f>IF(P107="","",IF(P107&lt;5,"Cor &lt;5 uC",IF(P107&lt;10,"5 ≤ Cor &lt; 10 uC",IF(P107&lt;15,"10 ≤ Cor &lt;15 uC",IF(P107&lt;30,"15 ≤ Cor &lt; 30 uC",IF(P107&lt;50,"30 ≤ Cor &lt; 50 uC","Cor &gt; 50 uC"))))))</f>
        <v>5 ≤ Cor &lt; 10 uC</v>
      </c>
      <c r="BB107" s="137" t="str">
        <f>IF(O107="","",IF(O107&lt;2.5,"Turbidez &lt; 2,5 uT",IF(O107&lt;5,"2,5 ≤ Turb &lt; 5,0 uT",IF(O107&lt;7.5,"5,0 ≤ Turb &lt; 7,5 uT",IF(O107&lt;10,"7,5 ≤ Turb &lt; 10,0 uT",IF(O107&lt;15,"10,0 ≤ Turb &lt; 15,0 uT","Turb &gt; 15 uT"))))))</f>
        <v>Turbidez &lt; 2,5 uT</v>
      </c>
      <c r="BC107" s="138" t="str">
        <f>IF(AND(C107&gt;D107,D107&gt;E107),"TOR &gt; SM &gt; BNN",IF(AND(C107&gt;E107,E107&gt;D107),"TOR &gt; BNN &gt; SM",IF(AND(D107&gt;C107,C107&gt;E107),"SM &gt; TOR &gt; BNN",IF(AND(D107&gt;E107,E107&gt;C107),"SM &gt; BNN &gt; TOR",IF(AND(C107=D107,D107=E107),"TOR = SM = BNN","Comb. diferentes")))))</f>
        <v>SM &gt; TOR &gt; BNN</v>
      </c>
      <c r="BD107" s="137" t="str">
        <f>IF(OR(AE107="",AQ107="-"),"",IF(AE107&lt;=0.25,"Tipo 1 (≤0,25) uT",IF(AE107&lt;=0.5,"Tipo 2 (0,25-0,50) uT",IF(AE107&lt;=0.75,"Tipo 3 (0,50-0,75) uT","Tipo 4 (&gt;0,75) uT"))))</f>
        <v>Tipo 1 (≤0,25) uT</v>
      </c>
      <c r="BE107" s="137" t="str">
        <f t="shared" si="7"/>
        <v>Tipo 2 (0,25-0,50) uT</v>
      </c>
      <c r="BF107" s="137" t="str">
        <f>IF(OR(AF107="",AQ107="-"),"",IF(AF107&lt;=0.25,"Tipo 1 (≤0,25) uT",IF(AF107&lt;=0.5,"Tipo 2 (0,25-0,50) uT",IF(AF107&lt;=0.75,"Tipo 3 (0,50-0,75) uT","Tipo 4 (&gt;0,75) uT"))))</f>
        <v>Tipo 1 (≤0,25) uT</v>
      </c>
      <c r="BG107" s="137" t="str">
        <f t="shared" si="8"/>
        <v>Tipo 1 (≤0,25) uT</v>
      </c>
      <c r="BH107" s="137" t="str">
        <f>IF(OR(R107="",R107="-"),"",IF(R107&lt;=0.25,"Tipo 1 (≤0,25) uT",IF(R107&lt;=0.5,"Tipo 2 (0,25-0,50) uT",IF(R107&lt;=0.75,"Tipo 3 (0,50-0,75) uT","Tipo 4 (&gt;0,75) uT"))))</f>
        <v>Tipo 1 (≤0,25) uT</v>
      </c>
    </row>
    <row r="108" spans="1:60" ht="15" thickBot="1" x14ac:dyDescent="0.35">
      <c r="A108" s="75">
        <v>46270</v>
      </c>
      <c r="B108" s="140">
        <v>0.22916666666666666</v>
      </c>
      <c r="C108" s="117">
        <v>403</v>
      </c>
      <c r="D108" s="117">
        <v>1559</v>
      </c>
      <c r="E108" s="117">
        <v>259</v>
      </c>
      <c r="F108" s="117">
        <v>2324</v>
      </c>
      <c r="G108" s="145" t="s">
        <v>100</v>
      </c>
      <c r="H108" s="123">
        <v>10.5</v>
      </c>
      <c r="I108" s="117">
        <v>21.05</v>
      </c>
      <c r="J108" s="11">
        <v>90</v>
      </c>
      <c r="K108" s="117">
        <v>90</v>
      </c>
      <c r="L108" s="117">
        <v>90</v>
      </c>
      <c r="M108" s="123">
        <v>24.5</v>
      </c>
      <c r="N108" s="123">
        <v>6.4</v>
      </c>
      <c r="O108" s="80">
        <v>1.1399999999999999</v>
      </c>
      <c r="P108" s="117">
        <v>6</v>
      </c>
      <c r="Q108" s="123">
        <v>6.3</v>
      </c>
      <c r="R108" s="11">
        <v>7.0000000000000007E-2</v>
      </c>
      <c r="S108" s="79">
        <v>22.36</v>
      </c>
      <c r="T108" s="79">
        <v>0.88</v>
      </c>
      <c r="U108" s="79">
        <v>0.7</v>
      </c>
      <c r="V108" s="85">
        <f t="shared" si="9"/>
        <v>1827.2450000000001</v>
      </c>
      <c r="W108" s="85">
        <f t="shared" si="10"/>
        <v>1372.556302</v>
      </c>
      <c r="X108" s="85">
        <f t="shared" si="11"/>
        <v>0.75116161324836017</v>
      </c>
      <c r="Y108" s="117">
        <v>3</v>
      </c>
      <c r="Z108" s="117">
        <v>4</v>
      </c>
      <c r="AA108" s="123">
        <v>6.5</v>
      </c>
      <c r="AB108" s="117">
        <v>17</v>
      </c>
      <c r="AC108" s="123">
        <v>6</v>
      </c>
      <c r="AD108" s="123">
        <v>4</v>
      </c>
      <c r="AE108" s="80">
        <v>0.17</v>
      </c>
      <c r="AF108" s="80">
        <v>0.11</v>
      </c>
      <c r="AG108" s="85">
        <f>(O108+0.3*H108+2)*(F108/2/AK108)</f>
        <v>1827.2450000000001</v>
      </c>
      <c r="AH108" s="85">
        <f t="shared" si="12"/>
        <v>1785.9247275999996</v>
      </c>
      <c r="AI108" s="85">
        <f t="shared" si="13"/>
        <v>0.97738657246291527</v>
      </c>
      <c r="AJ108" s="117">
        <v>3</v>
      </c>
      <c r="AK108" s="117">
        <v>4</v>
      </c>
      <c r="AL108" s="123">
        <v>6.3</v>
      </c>
      <c r="AM108" s="117">
        <v>23</v>
      </c>
      <c r="AN108" s="123">
        <v>5.9</v>
      </c>
      <c r="AO108" s="123">
        <v>4.5</v>
      </c>
      <c r="AP108" s="80">
        <v>0.28000000000000003</v>
      </c>
      <c r="AQ108" s="80">
        <v>0.15</v>
      </c>
      <c r="AR108" s="132">
        <f>SUM(C108:E108)</f>
        <v>2221</v>
      </c>
      <c r="AS108" s="134">
        <f>C108/AR108</f>
        <v>0.1814497973885637</v>
      </c>
      <c r="AT108" s="134">
        <f>D108/AR108</f>
        <v>0.70193606483565962</v>
      </c>
      <c r="AU108" s="134">
        <f>E108/AR108</f>
        <v>0.11661413777577667</v>
      </c>
      <c r="AV108" s="151">
        <f>IF(AND(F108&lt;&gt;"",Z108&lt;&gt;""),AB108/(F108/2/Z108),"")</f>
        <v>5.8519793459552494E-2</v>
      </c>
      <c r="AW108" s="151">
        <f>IF(AND(F108&lt;&gt;"",AK108&lt;&gt;""),AM108/(F108/2/AK108),"")</f>
        <v>7.9173838209982791E-2</v>
      </c>
      <c r="AX108" s="41">
        <f>IF(AND(AQ108&lt;&gt;"",1-(AQ108/O108)&gt;0),1-(AQ108/O108),"")</f>
        <v>0.86842105263157898</v>
      </c>
      <c r="AY108" s="41">
        <f>IF(AND(AF108&lt;&gt;"",1-(AF108/O108)&gt;0),1-(AF108/O108),"")</f>
        <v>0.90350877192982459</v>
      </c>
      <c r="AZ108" s="136" t="str">
        <f>IF(Q108="","",IF(Q108&lt;2.5,"Alc. Bruta &lt; 2,5 mg/L",IF(Q108&lt;5,"2,5 ≤ Alc. Bruta &lt; 5,0 mg/L",IF(Q108&lt;7.5,"5,0 ≤ Alc. Bruta &lt; 7,5 mg/L",IF(Q108&lt;10,"7,5 ≤ Alc. Bruta &lt; 10,0 mg/L",IF(Q108&lt;15,"10,0 ≤ Alca. Bruta &lt; 15,0 mg/L","Alc. Bruta &gt; 15 mg/L"))))))</f>
        <v>5,0 ≤ Alc. Bruta &lt; 7,5 mg/L</v>
      </c>
      <c r="BA108" s="136" t="str">
        <f>IF(P108="","",IF(P108&lt;5,"Cor &lt;5 uC",IF(P108&lt;10,"5 ≤ Cor &lt; 10 uC",IF(P108&lt;15,"10 ≤ Cor &lt;15 uC",IF(P108&lt;30,"15 ≤ Cor &lt; 30 uC",IF(P108&lt;50,"30 ≤ Cor &lt; 50 uC","Cor &gt; 50 uC"))))))</f>
        <v>5 ≤ Cor &lt; 10 uC</v>
      </c>
      <c r="BB108" s="137" t="str">
        <f>IF(O108="","",IF(O108&lt;2.5,"Turbidez &lt; 2,5 uT",IF(O108&lt;5,"2,5 ≤ Turb &lt; 5,0 uT",IF(O108&lt;7.5,"5,0 ≤ Turb &lt; 7,5 uT",IF(O108&lt;10,"7,5 ≤ Turb &lt; 10,0 uT",IF(O108&lt;15,"10,0 ≤ Turb &lt; 15,0 uT","Turb &gt; 15 uT"))))))</f>
        <v>Turbidez &lt; 2,5 uT</v>
      </c>
      <c r="BC108" s="138" t="str">
        <f>IF(AND(C108&gt;D108,D108&gt;E108),"TOR &gt; SM &gt; BNN",IF(AND(C108&gt;E108,E108&gt;D108),"TOR &gt; BNN &gt; SM",IF(AND(D108&gt;C108,C108&gt;E108),"SM &gt; TOR &gt; BNN",IF(AND(D108&gt;E108,E108&gt;C108),"SM &gt; BNN &gt; TOR",IF(AND(C108=D108,D108=E108),"TOR = SM = BNN","Comb. diferentes")))))</f>
        <v>SM &gt; TOR &gt; BNN</v>
      </c>
      <c r="BD108" s="137" t="str">
        <f>IF(OR(AE108="",AQ108="-"),"",IF(AE108&lt;=0.25,"Tipo 1 (≤0,25) uT",IF(AE108&lt;=0.5,"Tipo 2 (0,25-0,50) uT",IF(AE108&lt;=0.75,"Tipo 3 (0,50-0,75) uT","Tipo 4 (&gt;0,75) uT"))))</f>
        <v>Tipo 1 (≤0,25) uT</v>
      </c>
      <c r="BE108" s="137" t="str">
        <f t="shared" si="7"/>
        <v>Tipo 2 (0,25-0,50) uT</v>
      </c>
      <c r="BF108" s="137" t="str">
        <f>IF(OR(AF108="",AQ108="-"),"",IF(AF108&lt;=0.25,"Tipo 1 (≤0,25) uT",IF(AF108&lt;=0.5,"Tipo 2 (0,25-0,50) uT",IF(AF108&lt;=0.75,"Tipo 3 (0,50-0,75) uT","Tipo 4 (&gt;0,75) uT"))))</f>
        <v>Tipo 1 (≤0,25) uT</v>
      </c>
      <c r="BG108" s="137" t="str">
        <f t="shared" si="8"/>
        <v>Tipo 1 (≤0,25) uT</v>
      </c>
      <c r="BH108" s="137" t="str">
        <f>IF(OR(R108="",R108="-"),"",IF(R108&lt;=0.25,"Tipo 1 (≤0,25) uT",IF(R108&lt;=0.5,"Tipo 2 (0,25-0,50) uT",IF(R108&lt;=0.75,"Tipo 3 (0,50-0,75) uT","Tipo 4 (&gt;0,75) uT"))))</f>
        <v>Tipo 1 (≤0,25) uT</v>
      </c>
    </row>
    <row r="109" spans="1:60" x14ac:dyDescent="0.3">
      <c r="A109" s="73">
        <v>46270</v>
      </c>
      <c r="B109" s="141">
        <v>0.3125</v>
      </c>
      <c r="C109" s="118">
        <v>366</v>
      </c>
      <c r="D109" s="118">
        <v>1692</v>
      </c>
      <c r="E109" s="118">
        <v>260</v>
      </c>
      <c r="F109" s="118">
        <v>2302</v>
      </c>
      <c r="G109" s="146" t="s">
        <v>100</v>
      </c>
      <c r="H109" s="124">
        <v>10.5</v>
      </c>
      <c r="I109" s="118">
        <v>24.8</v>
      </c>
      <c r="J109" s="9">
        <v>90</v>
      </c>
      <c r="K109" s="118">
        <v>90</v>
      </c>
      <c r="L109" s="118">
        <v>90</v>
      </c>
      <c r="M109" s="124">
        <v>24.1</v>
      </c>
      <c r="N109" s="124">
        <v>6.5</v>
      </c>
      <c r="O109" s="81">
        <v>0.98</v>
      </c>
      <c r="P109" s="118">
        <v>7</v>
      </c>
      <c r="Q109" s="124">
        <v>8.6999999999999993</v>
      </c>
      <c r="R109" s="9">
        <v>0.08</v>
      </c>
      <c r="S109" s="79">
        <v>22.36</v>
      </c>
      <c r="T109" s="79">
        <v>0.88</v>
      </c>
      <c r="U109" s="79">
        <v>0.7</v>
      </c>
      <c r="V109" s="85">
        <f t="shared" si="9"/>
        <v>1763.9075</v>
      </c>
      <c r="W109" s="85">
        <f t="shared" si="10"/>
        <v>1372.556302</v>
      </c>
      <c r="X109" s="85">
        <f t="shared" si="11"/>
        <v>0.77813394523238888</v>
      </c>
      <c r="Y109" s="118">
        <v>3</v>
      </c>
      <c r="Z109" s="118">
        <v>4</v>
      </c>
      <c r="AA109" s="124">
        <v>6.5</v>
      </c>
      <c r="AB109" s="118">
        <v>17</v>
      </c>
      <c r="AC109" s="124">
        <v>6.1</v>
      </c>
      <c r="AD109" s="124">
        <v>5.6</v>
      </c>
      <c r="AE109" s="81">
        <v>0.16</v>
      </c>
      <c r="AF109" s="81">
        <v>0.11</v>
      </c>
      <c r="AG109" s="85">
        <f>(O109+0.3*H109+2)*(F109/2/AK109)</f>
        <v>1763.9075</v>
      </c>
      <c r="AH109" s="85">
        <f t="shared" si="12"/>
        <v>1785.9247275999996</v>
      </c>
      <c r="AI109" s="85">
        <f t="shared" si="13"/>
        <v>1.012482076072583</v>
      </c>
      <c r="AJ109" s="118">
        <v>3</v>
      </c>
      <c r="AK109" s="118">
        <v>4</v>
      </c>
      <c r="AL109" s="124">
        <v>6.3</v>
      </c>
      <c r="AM109" s="118">
        <v>23</v>
      </c>
      <c r="AN109" s="124">
        <v>6.1</v>
      </c>
      <c r="AO109" s="124">
        <v>5.6</v>
      </c>
      <c r="AP109" s="81">
        <v>0.31</v>
      </c>
      <c r="AQ109" s="81">
        <v>0.17</v>
      </c>
      <c r="AR109" s="132">
        <f>SUM(C109:E109)</f>
        <v>2318</v>
      </c>
      <c r="AS109" s="134">
        <f>C109/AR109</f>
        <v>0.15789473684210525</v>
      </c>
      <c r="AT109" s="134">
        <f>D109/AR109</f>
        <v>0.72993960310612593</v>
      </c>
      <c r="AU109" s="134">
        <f>E109/AR109</f>
        <v>0.11216566005176877</v>
      </c>
      <c r="AV109" s="151">
        <f>IF(AND(F109&lt;&gt;"",Z109&lt;&gt;""),AB109/(F109/2/Z109),"")</f>
        <v>5.9079061685490875E-2</v>
      </c>
      <c r="AW109" s="151">
        <f>IF(AND(F109&lt;&gt;"",AK109&lt;&gt;""),AM109/(F109/2/AK109),"")</f>
        <v>7.993049522154648E-2</v>
      </c>
      <c r="AX109" s="41">
        <f>IF(AND(AQ109&lt;&gt;"",1-(AQ109/O109)&gt;0),1-(AQ109/O109),"")</f>
        <v>0.82653061224489788</v>
      </c>
      <c r="AY109" s="41">
        <f>IF(AND(AF109&lt;&gt;"",1-(AF109/O109)&gt;0),1-(AF109/O109),"")</f>
        <v>0.88775510204081631</v>
      </c>
      <c r="AZ109" s="136" t="str">
        <f>IF(Q109="","",IF(Q109&lt;2.5,"Alc. Bruta &lt; 2,5 mg/L",IF(Q109&lt;5,"2,5 ≤ Alc. Bruta &lt; 5,0 mg/L",IF(Q109&lt;7.5,"5,0 ≤ Alc. Bruta &lt; 7,5 mg/L",IF(Q109&lt;10,"7,5 ≤ Alc. Bruta &lt; 10,0 mg/L",IF(Q109&lt;15,"10,0 ≤ Alca. Bruta &lt; 15,0 mg/L","Alc. Bruta &gt; 15 mg/L"))))))</f>
        <v>7,5 ≤ Alc. Bruta &lt; 10,0 mg/L</v>
      </c>
      <c r="BA109" s="136" t="str">
        <f>IF(P109="","",IF(P109&lt;5,"Cor &lt;5 uC",IF(P109&lt;10,"5 ≤ Cor &lt; 10 uC",IF(P109&lt;15,"10 ≤ Cor &lt;15 uC",IF(P109&lt;30,"15 ≤ Cor &lt; 30 uC",IF(P109&lt;50,"30 ≤ Cor &lt; 50 uC","Cor &gt; 50 uC"))))))</f>
        <v>5 ≤ Cor &lt; 10 uC</v>
      </c>
      <c r="BB109" s="137" t="str">
        <f>IF(O109="","",IF(O109&lt;2.5,"Turbidez &lt; 2,5 uT",IF(O109&lt;5,"2,5 ≤ Turb &lt; 5,0 uT",IF(O109&lt;7.5,"5,0 ≤ Turb &lt; 7,5 uT",IF(O109&lt;10,"7,5 ≤ Turb &lt; 10,0 uT",IF(O109&lt;15,"10,0 ≤ Turb &lt; 15,0 uT","Turb &gt; 15 uT"))))))</f>
        <v>Turbidez &lt; 2,5 uT</v>
      </c>
      <c r="BC109" s="138" t="str">
        <f>IF(AND(C109&gt;D109,D109&gt;E109),"TOR &gt; SM &gt; BNN",IF(AND(C109&gt;E109,E109&gt;D109),"TOR &gt; BNN &gt; SM",IF(AND(D109&gt;C109,C109&gt;E109),"SM &gt; TOR &gt; BNN",IF(AND(D109&gt;E109,E109&gt;C109),"SM &gt; BNN &gt; TOR",IF(AND(C109=D109,D109=E109),"TOR = SM = BNN","Comb. diferentes")))))</f>
        <v>SM &gt; TOR &gt; BNN</v>
      </c>
      <c r="BD109" s="137" t="str">
        <f>IF(OR(AE109="",AQ109="-"),"",IF(AE109&lt;=0.25,"Tipo 1 (≤0,25) uT",IF(AE109&lt;=0.5,"Tipo 2 (0,25-0,50) uT",IF(AE109&lt;=0.75,"Tipo 3 (0,50-0,75) uT","Tipo 4 (&gt;0,75) uT"))))</f>
        <v>Tipo 1 (≤0,25) uT</v>
      </c>
      <c r="BE109" s="137" t="str">
        <f t="shared" si="7"/>
        <v>Tipo 2 (0,25-0,50) uT</v>
      </c>
      <c r="BF109" s="137" t="str">
        <f>IF(OR(AF109="",AQ109="-"),"",IF(AF109&lt;=0.25,"Tipo 1 (≤0,25) uT",IF(AF109&lt;=0.5,"Tipo 2 (0,25-0,50) uT",IF(AF109&lt;=0.75,"Tipo 3 (0,50-0,75) uT","Tipo 4 (&gt;0,75) uT"))))</f>
        <v>Tipo 1 (≤0,25) uT</v>
      </c>
      <c r="BG109" s="137" t="str">
        <f t="shared" si="8"/>
        <v>Tipo 1 (≤0,25) uT</v>
      </c>
      <c r="BH109" s="137" t="str">
        <f>IF(OR(R109="",R109="-"),"",IF(R109&lt;=0.25,"Tipo 1 (≤0,25) uT",IF(R109&lt;=0.5,"Tipo 2 (0,25-0,50) uT",IF(R109&lt;=0.75,"Tipo 3 (0,50-0,75) uT","Tipo 4 (&gt;0,75) uT"))))</f>
        <v>Tipo 1 (≤0,25) uT</v>
      </c>
    </row>
    <row r="110" spans="1:60" x14ac:dyDescent="0.3">
      <c r="A110" s="74">
        <v>46270</v>
      </c>
      <c r="B110" s="139">
        <v>0.39583333333333331</v>
      </c>
      <c r="C110" s="116">
        <v>381</v>
      </c>
      <c r="D110" s="116">
        <v>1099</v>
      </c>
      <c r="E110" s="116">
        <v>295</v>
      </c>
      <c r="F110" s="116">
        <v>1833</v>
      </c>
      <c r="G110" s="144" t="s">
        <v>100</v>
      </c>
      <c r="H110" s="122">
        <v>10.5</v>
      </c>
      <c r="I110" s="116">
        <v>29.4</v>
      </c>
      <c r="J110" s="10">
        <v>90</v>
      </c>
      <c r="K110" s="116">
        <v>90</v>
      </c>
      <c r="L110" s="116">
        <v>90</v>
      </c>
      <c r="M110" s="122">
        <v>24.1</v>
      </c>
      <c r="N110" s="122">
        <v>6.5</v>
      </c>
      <c r="O110" s="79">
        <v>2.99</v>
      </c>
      <c r="P110" s="116">
        <v>7</v>
      </c>
      <c r="Q110" s="122">
        <v>8.1999999999999993</v>
      </c>
      <c r="R110" s="10">
        <v>0.06</v>
      </c>
      <c r="S110" s="79">
        <v>22.36</v>
      </c>
      <c r="T110" s="79">
        <v>0.88</v>
      </c>
      <c r="U110" s="79">
        <v>0.7</v>
      </c>
      <c r="V110" s="85">
        <f t="shared" si="9"/>
        <v>1865.0775000000001</v>
      </c>
      <c r="W110" s="85">
        <f t="shared" si="10"/>
        <v>1372.556302</v>
      </c>
      <c r="X110" s="85">
        <f t="shared" si="11"/>
        <v>0.73592454040113608</v>
      </c>
      <c r="Y110" s="116">
        <v>2</v>
      </c>
      <c r="Z110" s="116">
        <v>4</v>
      </c>
      <c r="AA110" s="122">
        <v>6.5</v>
      </c>
      <c r="AB110" s="116">
        <v>17</v>
      </c>
      <c r="AC110" s="122">
        <v>6.2</v>
      </c>
      <c r="AD110" s="122">
        <v>5.5</v>
      </c>
      <c r="AE110" s="79">
        <v>2.29</v>
      </c>
      <c r="AF110" s="79">
        <v>2.1</v>
      </c>
      <c r="AG110" s="85">
        <f>(O110+0.3*H110+2)*(F110/2/AK110)</f>
        <v>2486.77</v>
      </c>
      <c r="AH110" s="85">
        <f t="shared" si="12"/>
        <v>1674.2890735999999</v>
      </c>
      <c r="AI110" s="85">
        <f t="shared" si="13"/>
        <v>0.67327861989649218</v>
      </c>
      <c r="AJ110" s="116">
        <v>2</v>
      </c>
      <c r="AK110" s="116">
        <v>3</v>
      </c>
      <c r="AL110" s="122">
        <v>6.2</v>
      </c>
      <c r="AM110" s="116">
        <v>22</v>
      </c>
      <c r="AN110" s="122">
        <v>6.1</v>
      </c>
      <c r="AO110" s="122">
        <v>5.2</v>
      </c>
      <c r="AP110" s="79">
        <v>0.16</v>
      </c>
      <c r="AQ110" s="79">
        <v>2.16</v>
      </c>
      <c r="AR110" s="132">
        <f>SUM(C110:E110)</f>
        <v>1775</v>
      </c>
      <c r="AS110" s="134">
        <f>C110/AR110</f>
        <v>0.21464788732394366</v>
      </c>
      <c r="AT110" s="134">
        <f>D110/AR110</f>
        <v>0.61915492957746476</v>
      </c>
      <c r="AU110" s="134">
        <f>E110/AR110</f>
        <v>0.16619718309859155</v>
      </c>
      <c r="AV110" s="151">
        <f>IF(AND(F110&lt;&gt;"",Z110&lt;&gt;""),AB110/(F110/2/Z110),"")</f>
        <v>7.4195308237861426E-2</v>
      </c>
      <c r="AW110" s="151">
        <f>IF(AND(F110&lt;&gt;"",AK110&lt;&gt;""),AM110/(F110/2/AK110),"")</f>
        <v>7.2013093289689037E-2</v>
      </c>
      <c r="AX110" s="41">
        <f>IF(AND(AQ110&lt;&gt;"",1-(AQ110/O110)&gt;0),1-(AQ110/O110),"")</f>
        <v>0.27759197324414719</v>
      </c>
      <c r="AY110" s="41">
        <f>IF(AND(AF110&lt;&gt;"",1-(AF110/O110)&gt;0),1-(AF110/O110),"")</f>
        <v>0.2976588628762542</v>
      </c>
      <c r="AZ110" s="136" t="str">
        <f>IF(Q110="","",IF(Q110&lt;2.5,"Alc. Bruta &lt; 2,5 mg/L",IF(Q110&lt;5,"2,5 ≤ Alc. Bruta &lt; 5,0 mg/L",IF(Q110&lt;7.5,"5,0 ≤ Alc. Bruta &lt; 7,5 mg/L",IF(Q110&lt;10,"7,5 ≤ Alc. Bruta &lt; 10,0 mg/L",IF(Q110&lt;15,"10,0 ≤ Alca. Bruta &lt; 15,0 mg/L","Alc. Bruta &gt; 15 mg/L"))))))</f>
        <v>7,5 ≤ Alc. Bruta &lt; 10,0 mg/L</v>
      </c>
      <c r="BA110" s="136" t="str">
        <f>IF(P110="","",IF(P110&lt;5,"Cor &lt;5 uC",IF(P110&lt;10,"5 ≤ Cor &lt; 10 uC",IF(P110&lt;15,"10 ≤ Cor &lt;15 uC",IF(P110&lt;30,"15 ≤ Cor &lt; 30 uC",IF(P110&lt;50,"30 ≤ Cor &lt; 50 uC","Cor &gt; 50 uC"))))))</f>
        <v>5 ≤ Cor &lt; 10 uC</v>
      </c>
      <c r="BB110" s="137" t="str">
        <f>IF(O110="","",IF(O110&lt;2.5,"Turbidez &lt; 2,5 uT",IF(O110&lt;5,"2,5 ≤ Turb &lt; 5,0 uT",IF(O110&lt;7.5,"5,0 ≤ Turb &lt; 7,5 uT",IF(O110&lt;10,"7,5 ≤ Turb &lt; 10,0 uT",IF(O110&lt;15,"10,0 ≤ Turb &lt; 15,0 uT","Turb &gt; 15 uT"))))))</f>
        <v>2,5 ≤ Turb &lt; 5,0 uT</v>
      </c>
      <c r="BC110" s="138" t="str">
        <f>IF(AND(C110&gt;D110,D110&gt;E110),"TOR &gt; SM &gt; BNN",IF(AND(C110&gt;E110,E110&gt;D110),"TOR &gt; BNN &gt; SM",IF(AND(D110&gt;C110,C110&gt;E110),"SM &gt; TOR &gt; BNN",IF(AND(D110&gt;E110,E110&gt;C110),"SM &gt; BNN &gt; TOR",IF(AND(C110=D110,D110=E110),"TOR = SM = BNN","Comb. diferentes")))))</f>
        <v>SM &gt; TOR &gt; BNN</v>
      </c>
      <c r="BD110" s="137" t="str">
        <f>IF(OR(AE110="",AQ110="-"),"",IF(AE110&lt;=0.25,"Tipo 1 (≤0,25) uT",IF(AE110&lt;=0.5,"Tipo 2 (0,25-0,50) uT",IF(AE110&lt;=0.75,"Tipo 3 (0,50-0,75) uT","Tipo 4 (&gt;0,75) uT"))))</f>
        <v>Tipo 4 (&gt;0,75) uT</v>
      </c>
      <c r="BE110" s="137" t="str">
        <f t="shared" si="7"/>
        <v>Tipo 1 (≤0,25) uT</v>
      </c>
      <c r="BF110" s="137" t="str">
        <f>IF(OR(AF110="",AQ110="-"),"",IF(AF110&lt;=0.25,"Tipo 1 (≤0,25) uT",IF(AF110&lt;=0.5,"Tipo 2 (0,25-0,50) uT",IF(AF110&lt;=0.75,"Tipo 3 (0,50-0,75) uT","Tipo 4 (&gt;0,75) uT"))))</f>
        <v>Tipo 4 (&gt;0,75) uT</v>
      </c>
      <c r="BG110" s="137" t="str">
        <f t="shared" si="8"/>
        <v>Tipo 4 (&gt;0,75) uT</v>
      </c>
      <c r="BH110" s="137" t="str">
        <f>IF(OR(R110="",R110="-"),"",IF(R110&lt;=0.25,"Tipo 1 (≤0,25) uT",IF(R110&lt;=0.5,"Tipo 2 (0,25-0,50) uT",IF(R110&lt;=0.75,"Tipo 3 (0,50-0,75) uT","Tipo 4 (&gt;0,75) uT"))))</f>
        <v>Tipo 1 (≤0,25) uT</v>
      </c>
    </row>
    <row r="111" spans="1:60" x14ac:dyDescent="0.3">
      <c r="A111" s="74">
        <v>46270</v>
      </c>
      <c r="B111" s="139">
        <v>0.47916666666666669</v>
      </c>
      <c r="C111" s="116">
        <v>370</v>
      </c>
      <c r="D111" s="116">
        <v>1109</v>
      </c>
      <c r="E111" s="116">
        <v>295</v>
      </c>
      <c r="F111" s="116">
        <v>1799</v>
      </c>
      <c r="G111" s="144" t="s">
        <v>100</v>
      </c>
      <c r="H111" s="122">
        <v>10.5</v>
      </c>
      <c r="I111" s="116">
        <v>36.5</v>
      </c>
      <c r="J111" s="10">
        <v>90</v>
      </c>
      <c r="K111" s="116">
        <v>90</v>
      </c>
      <c r="L111" s="116">
        <v>90</v>
      </c>
      <c r="M111" s="122">
        <v>24.3</v>
      </c>
      <c r="N111" s="122">
        <v>6.6</v>
      </c>
      <c r="O111" s="79">
        <v>1.19</v>
      </c>
      <c r="P111" s="116">
        <v>7</v>
      </c>
      <c r="Q111" s="122">
        <v>8</v>
      </c>
      <c r="R111" s="10">
        <v>0.08</v>
      </c>
      <c r="S111" s="79">
        <v>22.36</v>
      </c>
      <c r="T111" s="79">
        <v>0.88</v>
      </c>
      <c r="U111" s="79">
        <v>0.7</v>
      </c>
      <c r="V111" s="85">
        <f t="shared" si="9"/>
        <v>1425.7075</v>
      </c>
      <c r="W111" s="85">
        <f t="shared" si="10"/>
        <v>1372.556302</v>
      </c>
      <c r="X111" s="85">
        <f t="shared" si="11"/>
        <v>0.96271942316358716</v>
      </c>
      <c r="Y111" s="116">
        <v>2</v>
      </c>
      <c r="Z111" s="116">
        <v>4</v>
      </c>
      <c r="AA111" s="122">
        <v>6.5</v>
      </c>
      <c r="AB111" s="116">
        <v>17</v>
      </c>
      <c r="AC111" s="122">
        <v>6.3</v>
      </c>
      <c r="AD111" s="122">
        <v>5.7</v>
      </c>
      <c r="AE111" s="79">
        <v>2.21</v>
      </c>
      <c r="AF111" s="79">
        <v>0.13</v>
      </c>
      <c r="AG111" s="85">
        <f>(O111+0.3*H111+2)*(F111/2/AK111)</f>
        <v>1900.9433333333332</v>
      </c>
      <c r="AH111" s="85">
        <f t="shared" si="12"/>
        <v>1674.2890735999999</v>
      </c>
      <c r="AI111" s="85">
        <f t="shared" si="13"/>
        <v>0.88076748225004087</v>
      </c>
      <c r="AJ111" s="116">
        <v>2</v>
      </c>
      <c r="AK111" s="116">
        <v>3</v>
      </c>
      <c r="AL111" s="122">
        <v>6.2</v>
      </c>
      <c r="AM111" s="116">
        <v>22</v>
      </c>
      <c r="AN111" s="122">
        <v>6.3</v>
      </c>
      <c r="AO111" s="122">
        <v>5.5</v>
      </c>
      <c r="AP111" s="79">
        <v>1.1200000000000001</v>
      </c>
      <c r="AQ111" s="79">
        <v>0.2</v>
      </c>
      <c r="AR111" s="132">
        <f>SUM(C111:E111)</f>
        <v>1774</v>
      </c>
      <c r="AS111" s="134">
        <f>C111/AR111</f>
        <v>0.20856820744081173</v>
      </c>
      <c r="AT111" s="134">
        <f>D111/AR111</f>
        <v>0.62514092446448699</v>
      </c>
      <c r="AU111" s="134">
        <f>E111/AR111</f>
        <v>0.16629086809470123</v>
      </c>
      <c r="AV111" s="151">
        <f>IF(AND(F111&lt;&gt;"",Z111&lt;&gt;""),AB111/(F111/2/Z111),"")</f>
        <v>7.5597554196775982E-2</v>
      </c>
      <c r="AW111" s="151">
        <f>IF(AND(F111&lt;&gt;"",AK111&lt;&gt;""),AM111/(F111/2/AK111),"")</f>
        <v>7.3374096720400225E-2</v>
      </c>
      <c r="AX111" s="41">
        <f>IF(AND(AQ111&lt;&gt;"",1-(AQ111/O111)&gt;0),1-(AQ111/O111),"")</f>
        <v>0.83193277310924363</v>
      </c>
      <c r="AY111" s="41">
        <f>IF(AND(AF111&lt;&gt;"",1-(AF111/O111)&gt;0),1-(AF111/O111),"")</f>
        <v>0.89075630252100835</v>
      </c>
      <c r="AZ111" s="136" t="str">
        <f>IF(Q111="","",IF(Q111&lt;2.5,"Alc. Bruta &lt; 2,5 mg/L",IF(Q111&lt;5,"2,5 ≤ Alc. Bruta &lt; 5,0 mg/L",IF(Q111&lt;7.5,"5,0 ≤ Alc. Bruta &lt; 7,5 mg/L",IF(Q111&lt;10,"7,5 ≤ Alc. Bruta &lt; 10,0 mg/L",IF(Q111&lt;15,"10,0 ≤ Alca. Bruta &lt; 15,0 mg/L","Alc. Bruta &gt; 15 mg/L"))))))</f>
        <v>7,5 ≤ Alc. Bruta &lt; 10,0 mg/L</v>
      </c>
      <c r="BA111" s="136" t="str">
        <f>IF(P111="","",IF(P111&lt;5,"Cor &lt;5 uC",IF(P111&lt;10,"5 ≤ Cor &lt; 10 uC",IF(P111&lt;15,"10 ≤ Cor &lt;15 uC",IF(P111&lt;30,"15 ≤ Cor &lt; 30 uC",IF(P111&lt;50,"30 ≤ Cor &lt; 50 uC","Cor &gt; 50 uC"))))))</f>
        <v>5 ≤ Cor &lt; 10 uC</v>
      </c>
      <c r="BB111" s="137" t="str">
        <f>IF(O111="","",IF(O111&lt;2.5,"Turbidez &lt; 2,5 uT",IF(O111&lt;5,"2,5 ≤ Turb &lt; 5,0 uT",IF(O111&lt;7.5,"5,0 ≤ Turb &lt; 7,5 uT",IF(O111&lt;10,"7,5 ≤ Turb &lt; 10,0 uT",IF(O111&lt;15,"10,0 ≤ Turb &lt; 15,0 uT","Turb &gt; 15 uT"))))))</f>
        <v>Turbidez &lt; 2,5 uT</v>
      </c>
      <c r="BC111" s="138" t="str">
        <f>IF(AND(C111&gt;D111,D111&gt;E111),"TOR &gt; SM &gt; BNN",IF(AND(C111&gt;E111,E111&gt;D111),"TOR &gt; BNN &gt; SM",IF(AND(D111&gt;C111,C111&gt;E111),"SM &gt; TOR &gt; BNN",IF(AND(D111&gt;E111,E111&gt;C111),"SM &gt; BNN &gt; TOR",IF(AND(C111=D111,D111=E111),"TOR = SM = BNN","Comb. diferentes")))))</f>
        <v>SM &gt; TOR &gt; BNN</v>
      </c>
      <c r="BD111" s="137" t="str">
        <f>IF(OR(AE111="",AQ111="-"),"",IF(AE111&lt;=0.25,"Tipo 1 (≤0,25) uT",IF(AE111&lt;=0.5,"Tipo 2 (0,25-0,50) uT",IF(AE111&lt;=0.75,"Tipo 3 (0,50-0,75) uT","Tipo 4 (&gt;0,75) uT"))))</f>
        <v>Tipo 4 (&gt;0,75) uT</v>
      </c>
      <c r="BE111" s="137" t="str">
        <f t="shared" si="7"/>
        <v>Tipo 4 (&gt;0,75) uT</v>
      </c>
      <c r="BF111" s="137" t="str">
        <f>IF(OR(AF111="",AQ111="-"),"",IF(AF111&lt;=0.25,"Tipo 1 (≤0,25) uT",IF(AF111&lt;=0.5,"Tipo 2 (0,25-0,50) uT",IF(AF111&lt;=0.75,"Tipo 3 (0,50-0,75) uT","Tipo 4 (&gt;0,75) uT"))))</f>
        <v>Tipo 1 (≤0,25) uT</v>
      </c>
      <c r="BG111" s="137" t="str">
        <f t="shared" si="8"/>
        <v>Tipo 1 (≤0,25) uT</v>
      </c>
      <c r="BH111" s="137" t="str">
        <f>IF(OR(R111="",R111="-"),"",IF(R111&lt;=0.25,"Tipo 1 (≤0,25) uT",IF(R111&lt;=0.5,"Tipo 2 (0,25-0,50) uT",IF(R111&lt;=0.75,"Tipo 3 (0,50-0,75) uT","Tipo 4 (&gt;0,75) uT"))))</f>
        <v>Tipo 1 (≤0,25) uT</v>
      </c>
    </row>
    <row r="112" spans="1:60" x14ac:dyDescent="0.3">
      <c r="A112" s="74">
        <v>46270</v>
      </c>
      <c r="B112" s="139">
        <v>0.64583333333333337</v>
      </c>
      <c r="C112" s="116">
        <v>418</v>
      </c>
      <c r="D112" s="116">
        <v>1044</v>
      </c>
      <c r="E112" s="116">
        <v>295</v>
      </c>
      <c r="F112" s="116">
        <v>1719</v>
      </c>
      <c r="G112" s="144" t="s">
        <v>100</v>
      </c>
      <c r="H112" s="122">
        <v>10.5</v>
      </c>
      <c r="I112" s="116">
        <v>57.5</v>
      </c>
      <c r="J112" s="10">
        <v>90</v>
      </c>
      <c r="K112" s="116">
        <v>90</v>
      </c>
      <c r="L112" s="116">
        <v>90</v>
      </c>
      <c r="M112" s="122">
        <v>24.5</v>
      </c>
      <c r="N112" s="122">
        <v>6.5</v>
      </c>
      <c r="O112" s="79">
        <v>1.1100000000000001</v>
      </c>
      <c r="P112" s="116">
        <v>7</v>
      </c>
      <c r="Q112" s="122">
        <v>8.8000000000000007</v>
      </c>
      <c r="R112" s="10">
        <v>2.0699999999999998</v>
      </c>
      <c r="S112" s="79">
        <v>22.36</v>
      </c>
      <c r="T112" s="79">
        <v>0.88</v>
      </c>
      <c r="U112" s="79">
        <v>0.7</v>
      </c>
      <c r="V112" s="85">
        <f t="shared" si="9"/>
        <v>1345.1175000000001</v>
      </c>
      <c r="W112" s="85">
        <f t="shared" si="10"/>
        <v>1372.556302</v>
      </c>
      <c r="X112" s="85">
        <f t="shared" si="11"/>
        <v>1.0203988142299836</v>
      </c>
      <c r="Y112" s="116">
        <v>2</v>
      </c>
      <c r="Z112" s="116">
        <v>4</v>
      </c>
      <c r="AA112" s="122">
        <v>6.5</v>
      </c>
      <c r="AB112" s="116">
        <v>17</v>
      </c>
      <c r="AC112" s="122">
        <v>6.3</v>
      </c>
      <c r="AD112" s="122">
        <v>6.4</v>
      </c>
      <c r="AE112" s="79">
        <v>0.28999999999999998</v>
      </c>
      <c r="AF112" s="79">
        <v>0.1</v>
      </c>
      <c r="AG112" s="85">
        <f>(O112+0.3*H112+2)*(F112/2/AK112)</f>
        <v>1793.49</v>
      </c>
      <c r="AH112" s="85">
        <f t="shared" si="12"/>
        <v>1674.2890735999999</v>
      </c>
      <c r="AI112" s="85">
        <f t="shared" si="13"/>
        <v>0.93353688819006519</v>
      </c>
      <c r="AJ112" s="116">
        <v>2</v>
      </c>
      <c r="AK112" s="116">
        <v>3</v>
      </c>
      <c r="AL112" s="122">
        <v>6.2</v>
      </c>
      <c r="AM112" s="116">
        <v>22</v>
      </c>
      <c r="AN112" s="122">
        <v>6.2</v>
      </c>
      <c r="AO112" s="122">
        <v>6.5</v>
      </c>
      <c r="AP112" s="79">
        <v>0.12</v>
      </c>
      <c r="AQ112" s="79">
        <v>0.19</v>
      </c>
      <c r="AR112" s="132">
        <f>SUM(C112:E112)</f>
        <v>1757</v>
      </c>
      <c r="AS112" s="134">
        <f>C112/AR112</f>
        <v>0.23790552077404667</v>
      </c>
      <c r="AT112" s="134">
        <f>D112/AR112</f>
        <v>0.59419464997154237</v>
      </c>
      <c r="AU112" s="134">
        <f>E112/AR112</f>
        <v>0.16789982925441094</v>
      </c>
      <c r="AV112" s="151">
        <f>IF(AND(F112&lt;&gt;"",Z112&lt;&gt;""),AB112/(F112/2/Z112),"")</f>
        <v>7.9115764979639319E-2</v>
      </c>
      <c r="AW112" s="151">
        <f>IF(AND(F112&lt;&gt;"",AK112&lt;&gt;""),AM112/(F112/2/AK112),"")</f>
        <v>7.6788830715532289E-2</v>
      </c>
      <c r="AX112" s="41">
        <f>IF(AND(AQ112&lt;&gt;"",1-(AQ112/O112)&gt;0),1-(AQ112/O112),"")</f>
        <v>0.8288288288288288</v>
      </c>
      <c r="AY112" s="41">
        <f>IF(AND(AF112&lt;&gt;"",1-(AF112/O112)&gt;0),1-(AF112/O112),"")</f>
        <v>0.90990990990990994</v>
      </c>
      <c r="AZ112" s="136" t="str">
        <f>IF(Q112="","",IF(Q112&lt;2.5,"Alc. Bruta &lt; 2,5 mg/L",IF(Q112&lt;5,"2,5 ≤ Alc. Bruta &lt; 5,0 mg/L",IF(Q112&lt;7.5,"5,0 ≤ Alc. Bruta &lt; 7,5 mg/L",IF(Q112&lt;10,"7,5 ≤ Alc. Bruta &lt; 10,0 mg/L",IF(Q112&lt;15,"10,0 ≤ Alca. Bruta &lt; 15,0 mg/L","Alc. Bruta &gt; 15 mg/L"))))))</f>
        <v>7,5 ≤ Alc. Bruta &lt; 10,0 mg/L</v>
      </c>
      <c r="BA112" s="136" t="str">
        <f>IF(P112="","",IF(P112&lt;5,"Cor &lt;5 uC",IF(P112&lt;10,"5 ≤ Cor &lt; 10 uC",IF(P112&lt;15,"10 ≤ Cor &lt;15 uC",IF(P112&lt;30,"15 ≤ Cor &lt; 30 uC",IF(P112&lt;50,"30 ≤ Cor &lt; 50 uC","Cor &gt; 50 uC"))))))</f>
        <v>5 ≤ Cor &lt; 10 uC</v>
      </c>
      <c r="BB112" s="137" t="str">
        <f>IF(O112="","",IF(O112&lt;2.5,"Turbidez &lt; 2,5 uT",IF(O112&lt;5,"2,5 ≤ Turb &lt; 5,0 uT",IF(O112&lt;7.5,"5,0 ≤ Turb &lt; 7,5 uT",IF(O112&lt;10,"7,5 ≤ Turb &lt; 10,0 uT",IF(O112&lt;15,"10,0 ≤ Turb &lt; 15,0 uT","Turb &gt; 15 uT"))))))</f>
        <v>Turbidez &lt; 2,5 uT</v>
      </c>
      <c r="BC112" s="138" t="str">
        <f>IF(AND(C112&gt;D112,D112&gt;E112),"TOR &gt; SM &gt; BNN",IF(AND(C112&gt;E112,E112&gt;D112),"TOR &gt; BNN &gt; SM",IF(AND(D112&gt;C112,C112&gt;E112),"SM &gt; TOR &gt; BNN",IF(AND(D112&gt;E112,E112&gt;C112),"SM &gt; BNN &gt; TOR",IF(AND(C112=D112,D112=E112),"TOR = SM = BNN","Comb. diferentes")))))</f>
        <v>SM &gt; TOR &gt; BNN</v>
      </c>
      <c r="BD112" s="137" t="str">
        <f>IF(OR(AE112="",AQ112="-"),"",IF(AE112&lt;=0.25,"Tipo 1 (≤0,25) uT",IF(AE112&lt;=0.5,"Tipo 2 (0,25-0,50) uT",IF(AE112&lt;=0.75,"Tipo 3 (0,50-0,75) uT","Tipo 4 (&gt;0,75) uT"))))</f>
        <v>Tipo 2 (0,25-0,50) uT</v>
      </c>
      <c r="BE112" s="137" t="str">
        <f t="shared" si="7"/>
        <v>Tipo 1 (≤0,25) uT</v>
      </c>
      <c r="BF112" s="137" t="str">
        <f>IF(OR(AF112="",AQ112="-"),"",IF(AF112&lt;=0.25,"Tipo 1 (≤0,25) uT",IF(AF112&lt;=0.5,"Tipo 2 (0,25-0,50) uT",IF(AF112&lt;=0.75,"Tipo 3 (0,50-0,75) uT","Tipo 4 (&gt;0,75) uT"))))</f>
        <v>Tipo 1 (≤0,25) uT</v>
      </c>
      <c r="BG112" s="137" t="str">
        <f t="shared" si="8"/>
        <v>Tipo 1 (≤0,25) uT</v>
      </c>
      <c r="BH112" s="137" t="str">
        <f>IF(OR(R112="",R112="-"),"",IF(R112&lt;=0.25,"Tipo 1 (≤0,25) uT",IF(R112&lt;=0.5,"Tipo 2 (0,25-0,50) uT",IF(R112&lt;=0.75,"Tipo 3 (0,50-0,75) uT","Tipo 4 (&gt;0,75) uT"))))</f>
        <v>Tipo 4 (&gt;0,75) uT</v>
      </c>
    </row>
    <row r="113" spans="1:60" x14ac:dyDescent="0.3">
      <c r="A113" s="74">
        <v>46270</v>
      </c>
      <c r="B113" s="139">
        <v>0.72916666666666663</v>
      </c>
      <c r="C113" s="116">
        <v>410</v>
      </c>
      <c r="D113" s="116">
        <v>1018</v>
      </c>
      <c r="E113" s="116">
        <v>296</v>
      </c>
      <c r="F113" s="116">
        <v>1776</v>
      </c>
      <c r="G113" s="144" t="s">
        <v>100</v>
      </c>
      <c r="H113" s="122">
        <v>10.5</v>
      </c>
      <c r="I113" s="116">
        <v>63.7</v>
      </c>
      <c r="J113" s="10">
        <v>90</v>
      </c>
      <c r="K113" s="116">
        <v>90</v>
      </c>
      <c r="L113" s="116">
        <v>90</v>
      </c>
      <c r="M113" s="122">
        <v>24.4</v>
      </c>
      <c r="N113" s="122">
        <v>6.5</v>
      </c>
      <c r="O113" s="79">
        <v>1.93</v>
      </c>
      <c r="P113" s="116">
        <v>8</v>
      </c>
      <c r="Q113" s="122">
        <v>8.5</v>
      </c>
      <c r="R113" s="10">
        <v>0.06</v>
      </c>
      <c r="S113" s="79">
        <v>22.36</v>
      </c>
      <c r="T113" s="79">
        <v>0.88</v>
      </c>
      <c r="U113" s="79">
        <v>0.7</v>
      </c>
      <c r="V113" s="85">
        <f t="shared" si="9"/>
        <v>1571.76</v>
      </c>
      <c r="W113" s="85">
        <f t="shared" si="10"/>
        <v>1372.556302</v>
      </c>
      <c r="X113" s="85">
        <f t="shared" si="11"/>
        <v>0.87326074082557137</v>
      </c>
      <c r="Y113" s="116">
        <v>2</v>
      </c>
      <c r="Z113" s="116">
        <v>4</v>
      </c>
      <c r="AA113" s="122">
        <v>6.5</v>
      </c>
      <c r="AB113" s="116">
        <v>17</v>
      </c>
      <c r="AC113" s="122">
        <v>6.2</v>
      </c>
      <c r="AD113" s="122">
        <v>6.2</v>
      </c>
      <c r="AE113" s="79">
        <v>0.24</v>
      </c>
      <c r="AF113" s="79">
        <v>0.1</v>
      </c>
      <c r="AG113" s="85">
        <f>(O113+0.3*H113+2)*(F113/2/AK113)</f>
        <v>2095.6799999999998</v>
      </c>
      <c r="AH113" s="85">
        <f t="shared" si="12"/>
        <v>1674.2890735999999</v>
      </c>
      <c r="AI113" s="85">
        <f t="shared" si="13"/>
        <v>0.79892401206291042</v>
      </c>
      <c r="AJ113" s="116">
        <v>2</v>
      </c>
      <c r="AK113" s="116">
        <v>3</v>
      </c>
      <c r="AL113" s="122">
        <v>6.2</v>
      </c>
      <c r="AM113" s="116">
        <v>22</v>
      </c>
      <c r="AN113" s="122">
        <v>6.2</v>
      </c>
      <c r="AO113" s="122">
        <v>6.3</v>
      </c>
      <c r="AP113" s="79">
        <v>2.16</v>
      </c>
      <c r="AQ113" s="79">
        <v>2.21</v>
      </c>
      <c r="AR113" s="132">
        <f>SUM(C113:E113)</f>
        <v>1724</v>
      </c>
      <c r="AS113" s="134">
        <f>C113/AR113</f>
        <v>0.23781902552204176</v>
      </c>
      <c r="AT113" s="134">
        <f>D113/AR113</f>
        <v>0.59048723897911837</v>
      </c>
      <c r="AU113" s="134">
        <f>E113/AR113</f>
        <v>0.1716937354988399</v>
      </c>
      <c r="AV113" s="151">
        <f>IF(AND(F113&lt;&gt;"",Z113&lt;&gt;""),AB113/(F113/2/Z113),"")</f>
        <v>7.6576576576576572E-2</v>
      </c>
      <c r="AW113" s="151">
        <f>IF(AND(F113&lt;&gt;"",AK113&lt;&gt;""),AM113/(F113/2/AK113),"")</f>
        <v>7.4324324324324328E-2</v>
      </c>
      <c r="AX113" s="41" t="str">
        <f>IF(AND(AQ113&lt;&gt;"",1-(AQ113/O113)&gt;0),1-(AQ113/O113),"")</f>
        <v/>
      </c>
      <c r="AY113" s="41">
        <f>IF(AND(AF113&lt;&gt;"",1-(AF113/O113)&gt;0),1-(AF113/O113),"")</f>
        <v>0.94818652849740936</v>
      </c>
      <c r="AZ113" s="136" t="str">
        <f>IF(Q113="","",IF(Q113&lt;2.5,"Alc. Bruta &lt; 2,5 mg/L",IF(Q113&lt;5,"2,5 ≤ Alc. Bruta &lt; 5,0 mg/L",IF(Q113&lt;7.5,"5,0 ≤ Alc. Bruta &lt; 7,5 mg/L",IF(Q113&lt;10,"7,5 ≤ Alc. Bruta &lt; 10,0 mg/L",IF(Q113&lt;15,"10,0 ≤ Alca. Bruta &lt; 15,0 mg/L","Alc. Bruta &gt; 15 mg/L"))))))</f>
        <v>7,5 ≤ Alc. Bruta &lt; 10,0 mg/L</v>
      </c>
      <c r="BA113" s="136" t="str">
        <f>IF(P113="","",IF(P113&lt;5,"Cor &lt;5 uC",IF(P113&lt;10,"5 ≤ Cor &lt; 10 uC",IF(P113&lt;15,"10 ≤ Cor &lt;15 uC",IF(P113&lt;30,"15 ≤ Cor &lt; 30 uC",IF(P113&lt;50,"30 ≤ Cor &lt; 50 uC","Cor &gt; 50 uC"))))))</f>
        <v>5 ≤ Cor &lt; 10 uC</v>
      </c>
      <c r="BB113" s="137" t="str">
        <f>IF(O113="","",IF(O113&lt;2.5,"Turbidez &lt; 2,5 uT",IF(O113&lt;5,"2,5 ≤ Turb &lt; 5,0 uT",IF(O113&lt;7.5,"5,0 ≤ Turb &lt; 7,5 uT",IF(O113&lt;10,"7,5 ≤ Turb &lt; 10,0 uT",IF(O113&lt;15,"10,0 ≤ Turb &lt; 15,0 uT","Turb &gt; 15 uT"))))))</f>
        <v>Turbidez &lt; 2,5 uT</v>
      </c>
      <c r="BC113" s="138" t="str">
        <f>IF(AND(C113&gt;D113,D113&gt;E113),"TOR &gt; SM &gt; BNN",IF(AND(C113&gt;E113,E113&gt;D113),"TOR &gt; BNN &gt; SM",IF(AND(D113&gt;C113,C113&gt;E113),"SM &gt; TOR &gt; BNN",IF(AND(D113&gt;E113,E113&gt;C113),"SM &gt; BNN &gt; TOR",IF(AND(C113=D113,D113=E113),"TOR = SM = BNN","Comb. diferentes")))))</f>
        <v>SM &gt; TOR &gt; BNN</v>
      </c>
      <c r="BD113" s="137" t="str">
        <f>IF(OR(AE113="",AQ113="-"),"",IF(AE113&lt;=0.25,"Tipo 1 (≤0,25) uT",IF(AE113&lt;=0.5,"Tipo 2 (0,25-0,50) uT",IF(AE113&lt;=0.75,"Tipo 3 (0,50-0,75) uT","Tipo 4 (&gt;0,75) uT"))))</f>
        <v>Tipo 1 (≤0,25) uT</v>
      </c>
      <c r="BE113" s="137" t="str">
        <f t="shared" si="7"/>
        <v>Tipo 4 (&gt;0,75) uT</v>
      </c>
      <c r="BF113" s="137" t="str">
        <f>IF(OR(AF113="",AQ113="-"),"",IF(AF113&lt;=0.25,"Tipo 1 (≤0,25) uT",IF(AF113&lt;=0.5,"Tipo 2 (0,25-0,50) uT",IF(AF113&lt;=0.75,"Tipo 3 (0,50-0,75) uT","Tipo 4 (&gt;0,75) uT"))))</f>
        <v>Tipo 1 (≤0,25) uT</v>
      </c>
      <c r="BG113" s="137" t="str">
        <f t="shared" si="8"/>
        <v>Tipo 4 (&gt;0,75) uT</v>
      </c>
      <c r="BH113" s="137" t="str">
        <f>IF(OR(R113="",R113="-"),"",IF(R113&lt;=0.25,"Tipo 1 (≤0,25) uT",IF(R113&lt;=0.5,"Tipo 2 (0,25-0,50) uT",IF(R113&lt;=0.75,"Tipo 3 (0,50-0,75) uT","Tipo 4 (&gt;0,75) uT"))))</f>
        <v>Tipo 1 (≤0,25) uT</v>
      </c>
    </row>
    <row r="114" spans="1:60" x14ac:dyDescent="0.3">
      <c r="A114" s="74">
        <v>46270</v>
      </c>
      <c r="B114" s="139">
        <v>0.8125</v>
      </c>
      <c r="C114" s="116">
        <v>388</v>
      </c>
      <c r="D114" s="116">
        <v>1061</v>
      </c>
      <c r="E114" s="116">
        <v>296</v>
      </c>
      <c r="F114" s="116">
        <v>1756</v>
      </c>
      <c r="G114" s="144" t="s">
        <v>100</v>
      </c>
      <c r="H114" s="122">
        <v>10.5</v>
      </c>
      <c r="I114" s="116">
        <v>70.77</v>
      </c>
      <c r="J114" s="10">
        <v>90</v>
      </c>
      <c r="K114" s="116">
        <v>90</v>
      </c>
      <c r="L114" s="116">
        <v>90</v>
      </c>
      <c r="M114" s="122">
        <v>25.6</v>
      </c>
      <c r="N114" s="122">
        <v>6.6</v>
      </c>
      <c r="O114" s="79">
        <v>1.51</v>
      </c>
      <c r="P114" s="116">
        <v>8</v>
      </c>
      <c r="Q114" s="122">
        <v>5.7</v>
      </c>
      <c r="R114" s="10">
        <v>0.06</v>
      </c>
      <c r="S114" s="79">
        <v>22.36</v>
      </c>
      <c r="T114" s="79">
        <v>0.88</v>
      </c>
      <c r="U114" s="79">
        <v>0.7</v>
      </c>
      <c r="V114" s="85">
        <f t="shared" si="9"/>
        <v>1461.8700000000001</v>
      </c>
      <c r="W114" s="85">
        <f t="shared" si="10"/>
        <v>1372.556302</v>
      </c>
      <c r="X114" s="85">
        <f t="shared" si="11"/>
        <v>0.93890448671906523</v>
      </c>
      <c r="Y114" s="116">
        <v>2</v>
      </c>
      <c r="Z114" s="116">
        <v>4</v>
      </c>
      <c r="AA114" s="122">
        <v>6.5</v>
      </c>
      <c r="AB114" s="116">
        <v>17</v>
      </c>
      <c r="AC114" s="122">
        <v>6.2</v>
      </c>
      <c r="AD114" s="122">
        <v>4.2</v>
      </c>
      <c r="AE114" s="79">
        <v>0.23</v>
      </c>
      <c r="AF114" s="79">
        <v>0.11</v>
      </c>
      <c r="AG114" s="85">
        <f>(O114+0.3*H114+2)*(F114/2/AK114)</f>
        <v>1949.16</v>
      </c>
      <c r="AH114" s="85">
        <f t="shared" si="12"/>
        <v>1674.2890735999999</v>
      </c>
      <c r="AI114" s="85">
        <f t="shared" si="13"/>
        <v>0.85897980340249125</v>
      </c>
      <c r="AJ114" s="116">
        <v>2</v>
      </c>
      <c r="AK114" s="116">
        <v>3</v>
      </c>
      <c r="AL114" s="122">
        <v>6.2</v>
      </c>
      <c r="AM114" s="116">
        <v>22</v>
      </c>
      <c r="AN114" s="122">
        <v>6.2</v>
      </c>
      <c r="AO114" s="122">
        <v>4.4000000000000004</v>
      </c>
      <c r="AP114" s="79">
        <v>0.7</v>
      </c>
      <c r="AQ114" s="79">
        <v>0.15</v>
      </c>
      <c r="AR114" s="132">
        <f>SUM(C114:E114)</f>
        <v>1745</v>
      </c>
      <c r="AS114" s="134">
        <f>C114/AR114</f>
        <v>0.22234957020057305</v>
      </c>
      <c r="AT114" s="134">
        <f>D114/AR114</f>
        <v>0.60802292263610314</v>
      </c>
      <c r="AU114" s="134">
        <f>E114/AR114</f>
        <v>0.16962750716332378</v>
      </c>
      <c r="AV114" s="151">
        <f>IF(AND(F114&lt;&gt;"",Z114&lt;&gt;""),AB114/(F114/2/Z114),"")</f>
        <v>7.7448747152619596E-2</v>
      </c>
      <c r="AW114" s="151">
        <f>IF(AND(F114&lt;&gt;"",AK114&lt;&gt;""),AM114/(F114/2/AK114),"")</f>
        <v>7.5170842824601361E-2</v>
      </c>
      <c r="AX114" s="41">
        <f>IF(AND(AQ114&lt;&gt;"",1-(AQ114/O114)&gt;0),1-(AQ114/O114),"")</f>
        <v>0.90066225165562919</v>
      </c>
      <c r="AY114" s="41">
        <f>IF(AND(AF114&lt;&gt;"",1-(AF114/O114)&gt;0),1-(AF114/O114),"")</f>
        <v>0.92715231788079466</v>
      </c>
      <c r="AZ114" s="136" t="str">
        <f>IF(Q114="","",IF(Q114&lt;2.5,"Alc. Bruta &lt; 2,5 mg/L",IF(Q114&lt;5,"2,5 ≤ Alc. Bruta &lt; 5,0 mg/L",IF(Q114&lt;7.5,"5,0 ≤ Alc. Bruta &lt; 7,5 mg/L",IF(Q114&lt;10,"7,5 ≤ Alc. Bruta &lt; 10,0 mg/L",IF(Q114&lt;15,"10,0 ≤ Alca. Bruta &lt; 15,0 mg/L","Alc. Bruta &gt; 15 mg/L"))))))</f>
        <v>5,0 ≤ Alc. Bruta &lt; 7,5 mg/L</v>
      </c>
      <c r="BA114" s="136" t="str">
        <f>IF(P114="","",IF(P114&lt;5,"Cor &lt;5 uC",IF(P114&lt;10,"5 ≤ Cor &lt; 10 uC",IF(P114&lt;15,"10 ≤ Cor &lt;15 uC",IF(P114&lt;30,"15 ≤ Cor &lt; 30 uC",IF(P114&lt;50,"30 ≤ Cor &lt; 50 uC","Cor &gt; 50 uC"))))))</f>
        <v>5 ≤ Cor &lt; 10 uC</v>
      </c>
      <c r="BB114" s="137" t="str">
        <f>IF(O114="","",IF(O114&lt;2.5,"Turbidez &lt; 2,5 uT",IF(O114&lt;5,"2,5 ≤ Turb &lt; 5,0 uT",IF(O114&lt;7.5,"5,0 ≤ Turb &lt; 7,5 uT",IF(O114&lt;10,"7,5 ≤ Turb &lt; 10,0 uT",IF(O114&lt;15,"10,0 ≤ Turb &lt; 15,0 uT","Turb &gt; 15 uT"))))))</f>
        <v>Turbidez &lt; 2,5 uT</v>
      </c>
      <c r="BC114" s="138" t="str">
        <f>IF(AND(C114&gt;D114,D114&gt;E114),"TOR &gt; SM &gt; BNN",IF(AND(C114&gt;E114,E114&gt;D114),"TOR &gt; BNN &gt; SM",IF(AND(D114&gt;C114,C114&gt;E114),"SM &gt; TOR &gt; BNN",IF(AND(D114&gt;E114,E114&gt;C114),"SM &gt; BNN &gt; TOR",IF(AND(C114=D114,D114=E114),"TOR = SM = BNN","Comb. diferentes")))))</f>
        <v>SM &gt; TOR &gt; BNN</v>
      </c>
      <c r="BD114" s="137" t="str">
        <f>IF(OR(AE114="",AQ114="-"),"",IF(AE114&lt;=0.25,"Tipo 1 (≤0,25) uT",IF(AE114&lt;=0.5,"Tipo 2 (0,25-0,50) uT",IF(AE114&lt;=0.75,"Tipo 3 (0,50-0,75) uT","Tipo 4 (&gt;0,75) uT"))))</f>
        <v>Tipo 1 (≤0,25) uT</v>
      </c>
      <c r="BE114" s="137" t="str">
        <f t="shared" si="7"/>
        <v>Tipo 3 (0,50-0,75) uT</v>
      </c>
      <c r="BF114" s="137" t="str">
        <f>IF(OR(AF114="",AQ114="-"),"",IF(AF114&lt;=0.25,"Tipo 1 (≤0,25) uT",IF(AF114&lt;=0.5,"Tipo 2 (0,25-0,50) uT",IF(AF114&lt;=0.75,"Tipo 3 (0,50-0,75) uT","Tipo 4 (&gt;0,75) uT"))))</f>
        <v>Tipo 1 (≤0,25) uT</v>
      </c>
      <c r="BG114" s="137" t="str">
        <f t="shared" si="8"/>
        <v>Tipo 1 (≤0,25) uT</v>
      </c>
      <c r="BH114" s="137" t="str">
        <f>IF(OR(R114="",R114="-"),"",IF(R114&lt;=0.25,"Tipo 1 (≤0,25) uT",IF(R114&lt;=0.5,"Tipo 2 (0,25-0,50) uT",IF(R114&lt;=0.75,"Tipo 3 (0,50-0,75) uT","Tipo 4 (&gt;0,75) uT"))))</f>
        <v>Tipo 1 (≤0,25) uT</v>
      </c>
    </row>
    <row r="115" spans="1:60" x14ac:dyDescent="0.3">
      <c r="A115" s="74">
        <v>46270</v>
      </c>
      <c r="B115" s="139">
        <v>0.89583333333333337</v>
      </c>
      <c r="C115" s="116">
        <v>520</v>
      </c>
      <c r="D115" s="116">
        <v>936</v>
      </c>
      <c r="E115" s="116">
        <v>300</v>
      </c>
      <c r="F115" s="116">
        <v>1760</v>
      </c>
      <c r="G115" s="144" t="s">
        <v>100</v>
      </c>
      <c r="H115" s="122">
        <v>10.5</v>
      </c>
      <c r="I115" s="116">
        <v>72.900000000000006</v>
      </c>
      <c r="J115" s="10">
        <v>90</v>
      </c>
      <c r="K115" s="116">
        <v>90</v>
      </c>
      <c r="L115" s="116">
        <v>90</v>
      </c>
      <c r="M115" s="122">
        <v>25.6</v>
      </c>
      <c r="N115" s="122">
        <v>6.6</v>
      </c>
      <c r="O115" s="79">
        <v>1.54</v>
      </c>
      <c r="P115" s="116">
        <v>9</v>
      </c>
      <c r="Q115" s="122">
        <v>6.3</v>
      </c>
      <c r="R115" s="10">
        <v>0.06</v>
      </c>
      <c r="S115" s="79">
        <v>22.36</v>
      </c>
      <c r="T115" s="79">
        <v>0.88</v>
      </c>
      <c r="U115" s="79">
        <v>0.7</v>
      </c>
      <c r="V115" s="85">
        <f t="shared" si="9"/>
        <v>1471.8</v>
      </c>
      <c r="W115" s="85">
        <f t="shared" si="10"/>
        <v>1372.556302</v>
      </c>
      <c r="X115" s="85">
        <f t="shared" si="11"/>
        <v>0.9325698478054083</v>
      </c>
      <c r="Y115" s="116">
        <v>2</v>
      </c>
      <c r="Z115" s="116">
        <v>4</v>
      </c>
      <c r="AA115" s="122">
        <v>6.5</v>
      </c>
      <c r="AB115" s="116">
        <v>17</v>
      </c>
      <c r="AC115" s="122">
        <v>6.2</v>
      </c>
      <c r="AD115" s="122">
        <v>4.7</v>
      </c>
      <c r="AE115" s="79">
        <v>0.4</v>
      </c>
      <c r="AF115" s="79">
        <v>0.1</v>
      </c>
      <c r="AG115" s="85">
        <f>(O115+0.3*H115+2)*(F115/2/AK115)</f>
        <v>1962.3999999999996</v>
      </c>
      <c r="AH115" s="85">
        <f t="shared" si="12"/>
        <v>1674.2890735999999</v>
      </c>
      <c r="AI115" s="85">
        <f t="shared" si="13"/>
        <v>0.85318440358744407</v>
      </c>
      <c r="AJ115" s="116">
        <v>2</v>
      </c>
      <c r="AK115" s="116">
        <v>3</v>
      </c>
      <c r="AL115" s="122">
        <v>6.2</v>
      </c>
      <c r="AM115" s="116">
        <v>22</v>
      </c>
      <c r="AN115" s="122">
        <v>6.2</v>
      </c>
      <c r="AO115" s="122">
        <v>4.9000000000000004</v>
      </c>
      <c r="AP115" s="79">
        <v>0.11</v>
      </c>
      <c r="AQ115" s="79">
        <v>0.15</v>
      </c>
      <c r="AR115" s="132">
        <f>SUM(C115:E115)</f>
        <v>1756</v>
      </c>
      <c r="AS115" s="134">
        <f>C115/AR115</f>
        <v>0.296127562642369</v>
      </c>
      <c r="AT115" s="134">
        <f>D115/AR115</f>
        <v>0.53302961275626426</v>
      </c>
      <c r="AU115" s="134">
        <f>E115/AR115</f>
        <v>0.17084282460136674</v>
      </c>
      <c r="AV115" s="151">
        <f>IF(AND(F115&lt;&gt;"",Z115&lt;&gt;""),AB115/(F115/2/Z115),"")</f>
        <v>7.7272727272727271E-2</v>
      </c>
      <c r="AW115" s="151">
        <f>IF(AND(F115&lt;&gt;"",AK115&lt;&gt;""),AM115/(F115/2/AK115),"")</f>
        <v>7.5000000000000011E-2</v>
      </c>
      <c r="AX115" s="41">
        <f>IF(AND(AQ115&lt;&gt;"",1-(AQ115/O115)&gt;0),1-(AQ115/O115),"")</f>
        <v>0.90259740259740262</v>
      </c>
      <c r="AY115" s="41">
        <f>IF(AND(AF115&lt;&gt;"",1-(AF115/O115)&gt;0),1-(AF115/O115),"")</f>
        <v>0.93506493506493504</v>
      </c>
      <c r="AZ115" s="136" t="str">
        <f>IF(Q115="","",IF(Q115&lt;2.5,"Alc. Bruta &lt; 2,5 mg/L",IF(Q115&lt;5,"2,5 ≤ Alc. Bruta &lt; 5,0 mg/L",IF(Q115&lt;7.5,"5,0 ≤ Alc. Bruta &lt; 7,5 mg/L",IF(Q115&lt;10,"7,5 ≤ Alc. Bruta &lt; 10,0 mg/L",IF(Q115&lt;15,"10,0 ≤ Alca. Bruta &lt; 15,0 mg/L","Alc. Bruta &gt; 15 mg/L"))))))</f>
        <v>5,0 ≤ Alc. Bruta &lt; 7,5 mg/L</v>
      </c>
      <c r="BA115" s="136" t="str">
        <f>IF(P115="","",IF(P115&lt;5,"Cor &lt;5 uC",IF(P115&lt;10,"5 ≤ Cor &lt; 10 uC",IF(P115&lt;15,"10 ≤ Cor &lt;15 uC",IF(P115&lt;30,"15 ≤ Cor &lt; 30 uC",IF(P115&lt;50,"30 ≤ Cor &lt; 50 uC","Cor &gt; 50 uC"))))))</f>
        <v>5 ≤ Cor &lt; 10 uC</v>
      </c>
      <c r="BB115" s="137" t="str">
        <f>IF(O115="","",IF(O115&lt;2.5,"Turbidez &lt; 2,5 uT",IF(O115&lt;5,"2,5 ≤ Turb &lt; 5,0 uT",IF(O115&lt;7.5,"5,0 ≤ Turb &lt; 7,5 uT",IF(O115&lt;10,"7,5 ≤ Turb &lt; 10,0 uT",IF(O115&lt;15,"10,0 ≤ Turb &lt; 15,0 uT","Turb &gt; 15 uT"))))))</f>
        <v>Turbidez &lt; 2,5 uT</v>
      </c>
      <c r="BC115" s="138" t="str">
        <f>IF(AND(C115&gt;D115,D115&gt;E115),"TOR &gt; SM &gt; BNN",IF(AND(C115&gt;E115,E115&gt;D115),"TOR &gt; BNN &gt; SM",IF(AND(D115&gt;C115,C115&gt;E115),"SM &gt; TOR &gt; BNN",IF(AND(D115&gt;E115,E115&gt;C115),"SM &gt; BNN &gt; TOR",IF(AND(C115=D115,D115=E115),"TOR = SM = BNN","Comb. diferentes")))))</f>
        <v>SM &gt; TOR &gt; BNN</v>
      </c>
      <c r="BD115" s="137" t="str">
        <f>IF(OR(AE115="",AQ115="-"),"",IF(AE115&lt;=0.25,"Tipo 1 (≤0,25) uT",IF(AE115&lt;=0.5,"Tipo 2 (0,25-0,50) uT",IF(AE115&lt;=0.75,"Tipo 3 (0,50-0,75) uT","Tipo 4 (&gt;0,75) uT"))))</f>
        <v>Tipo 2 (0,25-0,50) uT</v>
      </c>
      <c r="BE115" s="137" t="str">
        <f t="shared" si="7"/>
        <v>Tipo 1 (≤0,25) uT</v>
      </c>
      <c r="BF115" s="137" t="str">
        <f>IF(OR(AF115="",AQ115="-"),"",IF(AF115&lt;=0.25,"Tipo 1 (≤0,25) uT",IF(AF115&lt;=0.5,"Tipo 2 (0,25-0,50) uT",IF(AF115&lt;=0.75,"Tipo 3 (0,50-0,75) uT","Tipo 4 (&gt;0,75) uT"))))</f>
        <v>Tipo 1 (≤0,25) uT</v>
      </c>
      <c r="BG115" s="137" t="str">
        <f t="shared" si="8"/>
        <v>Tipo 1 (≤0,25) uT</v>
      </c>
      <c r="BH115" s="137" t="str">
        <f>IF(OR(R115="",R115="-"),"",IF(R115&lt;=0.25,"Tipo 1 (≤0,25) uT",IF(R115&lt;=0.5,"Tipo 2 (0,25-0,50) uT",IF(R115&lt;=0.75,"Tipo 3 (0,50-0,75) uT","Tipo 4 (&gt;0,75) uT"))))</f>
        <v>Tipo 1 (≤0,25) uT</v>
      </c>
    </row>
    <row r="116" spans="1:60" x14ac:dyDescent="0.3">
      <c r="A116" s="74">
        <v>46271</v>
      </c>
      <c r="B116" s="139">
        <v>6.25E-2</v>
      </c>
      <c r="C116" s="116">
        <v>543</v>
      </c>
      <c r="D116" s="116">
        <v>258</v>
      </c>
      <c r="E116" s="116">
        <v>296</v>
      </c>
      <c r="F116" s="116">
        <v>1803</v>
      </c>
      <c r="G116" s="144" t="s">
        <v>100</v>
      </c>
      <c r="H116" s="122">
        <v>10.5</v>
      </c>
      <c r="I116" s="116">
        <v>81.45</v>
      </c>
      <c r="J116" s="10">
        <v>90</v>
      </c>
      <c r="K116" s="116">
        <v>90</v>
      </c>
      <c r="L116" s="116">
        <v>90</v>
      </c>
      <c r="M116" s="122">
        <v>24.7</v>
      </c>
      <c r="N116" s="122">
        <v>6.5</v>
      </c>
      <c r="O116" s="79">
        <v>1.76</v>
      </c>
      <c r="P116" s="116">
        <v>9</v>
      </c>
      <c r="Q116" s="122">
        <v>7.1</v>
      </c>
      <c r="R116" s="10">
        <v>0.06</v>
      </c>
      <c r="S116" s="79">
        <v>22.36</v>
      </c>
      <c r="T116" s="79">
        <v>0.88</v>
      </c>
      <c r="U116" s="79">
        <v>0.7</v>
      </c>
      <c r="V116" s="85">
        <f t="shared" si="9"/>
        <v>1557.3412499999999</v>
      </c>
      <c r="W116" s="85">
        <f t="shared" si="10"/>
        <v>1372.556302</v>
      </c>
      <c r="X116" s="85">
        <f t="shared" si="11"/>
        <v>0.88134588485343213</v>
      </c>
      <c r="Y116" s="116">
        <v>2</v>
      </c>
      <c r="Z116" s="116">
        <v>4</v>
      </c>
      <c r="AA116" s="122">
        <v>6.5</v>
      </c>
      <c r="AB116" s="116">
        <v>17</v>
      </c>
      <c r="AC116" s="122">
        <v>6.1</v>
      </c>
      <c r="AD116" s="122">
        <v>4.5</v>
      </c>
      <c r="AE116" s="79">
        <v>0.36</v>
      </c>
      <c r="AF116" s="79">
        <v>0.1</v>
      </c>
      <c r="AG116" s="85">
        <f>(O116+0.3*H116+2)*(F116/2/AK116)</f>
        <v>2076.4549999999999</v>
      </c>
      <c r="AH116" s="85">
        <f t="shared" si="12"/>
        <v>1674.2890735999999</v>
      </c>
      <c r="AI116" s="85">
        <f t="shared" si="13"/>
        <v>0.80632090442605309</v>
      </c>
      <c r="AJ116" s="116">
        <v>2</v>
      </c>
      <c r="AK116" s="116">
        <v>3</v>
      </c>
      <c r="AL116" s="122">
        <v>6.2</v>
      </c>
      <c r="AM116" s="116">
        <v>22</v>
      </c>
      <c r="AN116" s="122">
        <v>6.1</v>
      </c>
      <c r="AO116" s="122">
        <v>4.7</v>
      </c>
      <c r="AP116" s="79">
        <v>0.21</v>
      </c>
      <c r="AQ116" s="79">
        <v>0.2</v>
      </c>
      <c r="AR116" s="132">
        <f>SUM(C116:E116)</f>
        <v>1097</v>
      </c>
      <c r="AS116" s="134">
        <f>C116/AR116</f>
        <v>0.49498632634457612</v>
      </c>
      <c r="AT116" s="134">
        <f>D116/AR116</f>
        <v>0.23518687329079307</v>
      </c>
      <c r="AU116" s="134">
        <f>E116/AR116</f>
        <v>0.2698268003646308</v>
      </c>
      <c r="AV116" s="151">
        <f>IF(AND(F116&lt;&gt;"",Z116&lt;&gt;""),AB116/(F116/2/Z116),"")</f>
        <v>7.5429839156960624E-2</v>
      </c>
      <c r="AW116" s="151">
        <f>IF(AND(F116&lt;&gt;"",AK116&lt;&gt;""),AM116/(F116/2/AK116),"")</f>
        <v>7.3211314475873548E-2</v>
      </c>
      <c r="AX116" s="41">
        <f>IF(AND(AQ116&lt;&gt;"",1-(AQ116/O116)&gt;0),1-(AQ116/O116),"")</f>
        <v>0.88636363636363635</v>
      </c>
      <c r="AY116" s="41">
        <f>IF(AND(AF116&lt;&gt;"",1-(AF116/O116)&gt;0),1-(AF116/O116),"")</f>
        <v>0.94318181818181812</v>
      </c>
      <c r="AZ116" s="136" t="str">
        <f>IF(Q116="","",IF(Q116&lt;2.5,"Alc. Bruta &lt; 2,5 mg/L",IF(Q116&lt;5,"2,5 ≤ Alc. Bruta &lt; 5,0 mg/L",IF(Q116&lt;7.5,"5,0 ≤ Alc. Bruta &lt; 7,5 mg/L",IF(Q116&lt;10,"7,5 ≤ Alc. Bruta &lt; 10,0 mg/L",IF(Q116&lt;15,"10,0 ≤ Alca. Bruta &lt; 15,0 mg/L","Alc. Bruta &gt; 15 mg/L"))))))</f>
        <v>5,0 ≤ Alc. Bruta &lt; 7,5 mg/L</v>
      </c>
      <c r="BA116" s="136" t="str">
        <f>IF(P116="","",IF(P116&lt;5,"Cor &lt;5 uC",IF(P116&lt;10,"5 ≤ Cor &lt; 10 uC",IF(P116&lt;15,"10 ≤ Cor &lt;15 uC",IF(P116&lt;30,"15 ≤ Cor &lt; 30 uC",IF(P116&lt;50,"30 ≤ Cor &lt; 50 uC","Cor &gt; 50 uC"))))))</f>
        <v>5 ≤ Cor &lt; 10 uC</v>
      </c>
      <c r="BB116" s="137" t="str">
        <f>IF(O116="","",IF(O116&lt;2.5,"Turbidez &lt; 2,5 uT",IF(O116&lt;5,"2,5 ≤ Turb &lt; 5,0 uT",IF(O116&lt;7.5,"5,0 ≤ Turb &lt; 7,5 uT",IF(O116&lt;10,"7,5 ≤ Turb &lt; 10,0 uT",IF(O116&lt;15,"10,0 ≤ Turb &lt; 15,0 uT","Turb &gt; 15 uT"))))))</f>
        <v>Turbidez &lt; 2,5 uT</v>
      </c>
      <c r="BC116" s="138" t="str">
        <f>IF(AND(C116&gt;D116,D116&gt;E116),"TOR &gt; SM &gt; BNN",IF(AND(C116&gt;E116,E116&gt;D116),"TOR &gt; BNN &gt; SM",IF(AND(D116&gt;C116,C116&gt;E116),"SM &gt; TOR &gt; BNN",IF(AND(D116&gt;E116,E116&gt;C116),"SM &gt; BNN &gt; TOR",IF(AND(C116=D116,D116=E116),"TOR = SM = BNN","Comb. diferentes")))))</f>
        <v>TOR &gt; BNN &gt; SM</v>
      </c>
      <c r="BD116" s="137" t="str">
        <f>IF(OR(AE116="",AQ116="-"),"",IF(AE116&lt;=0.25,"Tipo 1 (≤0,25) uT",IF(AE116&lt;=0.5,"Tipo 2 (0,25-0,50) uT",IF(AE116&lt;=0.75,"Tipo 3 (0,50-0,75) uT","Tipo 4 (&gt;0,75) uT"))))</f>
        <v>Tipo 2 (0,25-0,50) uT</v>
      </c>
      <c r="BE116" s="137" t="str">
        <f t="shared" si="7"/>
        <v>Tipo 1 (≤0,25) uT</v>
      </c>
      <c r="BF116" s="137" t="str">
        <f>IF(OR(AF116="",AQ116="-"),"",IF(AF116&lt;=0.25,"Tipo 1 (≤0,25) uT",IF(AF116&lt;=0.5,"Tipo 2 (0,25-0,50) uT",IF(AF116&lt;=0.75,"Tipo 3 (0,50-0,75) uT","Tipo 4 (&gt;0,75) uT"))))</f>
        <v>Tipo 1 (≤0,25) uT</v>
      </c>
      <c r="BG116" s="137" t="str">
        <f t="shared" si="8"/>
        <v>Tipo 1 (≤0,25) uT</v>
      </c>
      <c r="BH116" s="137" t="str">
        <f>IF(OR(R116="",R116="-"),"",IF(R116&lt;=0.25,"Tipo 1 (≤0,25) uT",IF(R116&lt;=0.5,"Tipo 2 (0,25-0,50) uT",IF(R116&lt;=0.75,"Tipo 3 (0,50-0,75) uT","Tipo 4 (&gt;0,75) uT"))))</f>
        <v>Tipo 1 (≤0,25) uT</v>
      </c>
    </row>
    <row r="117" spans="1:60" x14ac:dyDescent="0.3">
      <c r="A117" s="74">
        <v>46271</v>
      </c>
      <c r="B117" s="139">
        <v>0.14583333333333334</v>
      </c>
      <c r="C117" s="116">
        <v>590</v>
      </c>
      <c r="D117" s="116">
        <v>930</v>
      </c>
      <c r="E117" s="116">
        <v>292</v>
      </c>
      <c r="F117" s="116">
        <v>1828</v>
      </c>
      <c r="G117" s="144" t="s">
        <v>100</v>
      </c>
      <c r="H117" s="122">
        <v>10.5</v>
      </c>
      <c r="I117" s="116">
        <v>84.38</v>
      </c>
      <c r="J117" s="10">
        <v>90</v>
      </c>
      <c r="K117" s="116">
        <v>90</v>
      </c>
      <c r="L117" s="116">
        <v>90</v>
      </c>
      <c r="M117" s="122">
        <v>24.7</v>
      </c>
      <c r="N117" s="122">
        <v>6.5</v>
      </c>
      <c r="O117" s="79">
        <v>2.0099999999999998</v>
      </c>
      <c r="P117" s="116">
        <v>10</v>
      </c>
      <c r="Q117" s="122">
        <v>7.1</v>
      </c>
      <c r="R117" s="10">
        <v>7.0000000000000007E-2</v>
      </c>
      <c r="S117" s="79">
        <v>22.36</v>
      </c>
      <c r="T117" s="79">
        <v>0.88</v>
      </c>
      <c r="U117" s="79">
        <v>0.7</v>
      </c>
      <c r="V117" s="85">
        <f t="shared" si="9"/>
        <v>1636.06</v>
      </c>
      <c r="W117" s="85">
        <f t="shared" si="10"/>
        <v>1372.556302</v>
      </c>
      <c r="X117" s="85">
        <f t="shared" si="11"/>
        <v>0.83894007676980065</v>
      </c>
      <c r="Y117" s="116">
        <v>2</v>
      </c>
      <c r="Z117" s="116">
        <v>4</v>
      </c>
      <c r="AA117" s="122">
        <v>6.5</v>
      </c>
      <c r="AB117" s="116">
        <v>17</v>
      </c>
      <c r="AC117" s="122">
        <v>6.2</v>
      </c>
      <c r="AD117" s="122">
        <v>4.8</v>
      </c>
      <c r="AE117" s="79">
        <v>0.2</v>
      </c>
      <c r="AF117" s="79">
        <v>0.11</v>
      </c>
      <c r="AG117" s="85">
        <f>(O117+0.3*H117+2)*(F117/2/AK117)</f>
        <v>2181.4133333333334</v>
      </c>
      <c r="AH117" s="85">
        <f t="shared" si="12"/>
        <v>1674.2890735999999</v>
      </c>
      <c r="AI117" s="85">
        <f t="shared" si="13"/>
        <v>0.76752491057785166</v>
      </c>
      <c r="AJ117" s="116">
        <v>3</v>
      </c>
      <c r="AK117" s="116">
        <v>3</v>
      </c>
      <c r="AL117" s="122">
        <v>6.2</v>
      </c>
      <c r="AM117" s="116">
        <v>22</v>
      </c>
      <c r="AN117" s="122">
        <v>6.2</v>
      </c>
      <c r="AO117" s="122">
        <v>4.8</v>
      </c>
      <c r="AP117" s="79">
        <v>0.18</v>
      </c>
      <c r="AQ117" s="79">
        <v>0.25</v>
      </c>
      <c r="AR117" s="132">
        <f>SUM(C117:E117)</f>
        <v>1812</v>
      </c>
      <c r="AS117" s="134">
        <f>C117/AR117</f>
        <v>0.32560706401766004</v>
      </c>
      <c r="AT117" s="134">
        <f>D117/AR117</f>
        <v>0.51324503311258274</v>
      </c>
      <c r="AU117" s="134">
        <f>E117/AR117</f>
        <v>0.16114790286975716</v>
      </c>
      <c r="AV117" s="151">
        <f>IF(AND(F117&lt;&gt;"",Z117&lt;&gt;""),AB117/(F117/2/Z117),"")</f>
        <v>7.4398249452954049E-2</v>
      </c>
      <c r="AW117" s="151">
        <f>IF(AND(F117&lt;&gt;"",AK117&lt;&gt;""),AM117/(F117/2/AK117),"")</f>
        <v>7.2210065645514215E-2</v>
      </c>
      <c r="AX117" s="41">
        <f>IF(AND(AQ117&lt;&gt;"",1-(AQ117/O117)&gt;0),1-(AQ117/O117),"")</f>
        <v>0.87562189054726369</v>
      </c>
      <c r="AY117" s="41">
        <f>IF(AND(AF117&lt;&gt;"",1-(AF117/O117)&gt;0),1-(AF117/O117),"")</f>
        <v>0.94527363184079605</v>
      </c>
      <c r="AZ117" s="136" t="str">
        <f>IF(Q117="","",IF(Q117&lt;2.5,"Alc. Bruta &lt; 2,5 mg/L",IF(Q117&lt;5,"2,5 ≤ Alc. Bruta &lt; 5,0 mg/L",IF(Q117&lt;7.5,"5,0 ≤ Alc. Bruta &lt; 7,5 mg/L",IF(Q117&lt;10,"7,5 ≤ Alc. Bruta &lt; 10,0 mg/L",IF(Q117&lt;15,"10,0 ≤ Alca. Bruta &lt; 15,0 mg/L","Alc. Bruta &gt; 15 mg/L"))))))</f>
        <v>5,0 ≤ Alc. Bruta &lt; 7,5 mg/L</v>
      </c>
      <c r="BA117" s="136" t="str">
        <f>IF(P117="","",IF(P117&lt;5,"Cor &lt;5 uC",IF(P117&lt;10,"5 ≤ Cor &lt; 10 uC",IF(P117&lt;15,"10 ≤ Cor &lt;15 uC",IF(P117&lt;30,"15 ≤ Cor &lt; 30 uC",IF(P117&lt;50,"30 ≤ Cor &lt; 50 uC","Cor &gt; 50 uC"))))))</f>
        <v>10 ≤ Cor &lt;15 uC</v>
      </c>
      <c r="BB117" s="137" t="str">
        <f>IF(O117="","",IF(O117&lt;2.5,"Turbidez &lt; 2,5 uT",IF(O117&lt;5,"2,5 ≤ Turb &lt; 5,0 uT",IF(O117&lt;7.5,"5,0 ≤ Turb &lt; 7,5 uT",IF(O117&lt;10,"7,5 ≤ Turb &lt; 10,0 uT",IF(O117&lt;15,"10,0 ≤ Turb &lt; 15,0 uT","Turb &gt; 15 uT"))))))</f>
        <v>Turbidez &lt; 2,5 uT</v>
      </c>
      <c r="BC117" s="138" t="str">
        <f>IF(AND(C117&gt;D117,D117&gt;E117),"TOR &gt; SM &gt; BNN",IF(AND(C117&gt;E117,E117&gt;D117),"TOR &gt; BNN &gt; SM",IF(AND(D117&gt;C117,C117&gt;E117),"SM &gt; TOR &gt; BNN",IF(AND(D117&gt;E117,E117&gt;C117),"SM &gt; BNN &gt; TOR",IF(AND(C117=D117,D117=E117),"TOR = SM = BNN","Comb. diferentes")))))</f>
        <v>SM &gt; TOR &gt; BNN</v>
      </c>
      <c r="BD117" s="137" t="str">
        <f>IF(OR(AE117="",AQ117="-"),"",IF(AE117&lt;=0.25,"Tipo 1 (≤0,25) uT",IF(AE117&lt;=0.5,"Tipo 2 (0,25-0,50) uT",IF(AE117&lt;=0.75,"Tipo 3 (0,50-0,75) uT","Tipo 4 (&gt;0,75) uT"))))</f>
        <v>Tipo 1 (≤0,25) uT</v>
      </c>
      <c r="BE117" s="137" t="str">
        <f t="shared" si="7"/>
        <v>Tipo 1 (≤0,25) uT</v>
      </c>
      <c r="BF117" s="137" t="str">
        <f>IF(OR(AF117="",AQ117="-"),"",IF(AF117&lt;=0.25,"Tipo 1 (≤0,25) uT",IF(AF117&lt;=0.5,"Tipo 2 (0,25-0,50) uT",IF(AF117&lt;=0.75,"Tipo 3 (0,50-0,75) uT","Tipo 4 (&gt;0,75) uT"))))</f>
        <v>Tipo 1 (≤0,25) uT</v>
      </c>
      <c r="BG117" s="137" t="str">
        <f t="shared" si="8"/>
        <v>Tipo 1 (≤0,25) uT</v>
      </c>
      <c r="BH117" s="137" t="str">
        <f>IF(OR(R117="",R117="-"),"",IF(R117&lt;=0.25,"Tipo 1 (≤0,25) uT",IF(R117&lt;=0.5,"Tipo 2 (0,25-0,50) uT",IF(R117&lt;=0.75,"Tipo 3 (0,50-0,75) uT","Tipo 4 (&gt;0,75) uT"))))</f>
        <v>Tipo 1 (≤0,25) uT</v>
      </c>
    </row>
    <row r="118" spans="1:60" ht="15" thickBot="1" x14ac:dyDescent="0.35">
      <c r="A118" s="75">
        <v>46271</v>
      </c>
      <c r="B118" s="140">
        <v>0.22916666666666666</v>
      </c>
      <c r="C118" s="117">
        <v>607</v>
      </c>
      <c r="D118" s="117">
        <v>940</v>
      </c>
      <c r="E118" s="117">
        <v>296</v>
      </c>
      <c r="F118" s="117">
        <v>1824</v>
      </c>
      <c r="G118" s="145" t="s">
        <v>100</v>
      </c>
      <c r="H118" s="123">
        <v>10.5</v>
      </c>
      <c r="I118" s="117">
        <v>15.47</v>
      </c>
      <c r="J118" s="11">
        <v>90</v>
      </c>
      <c r="K118" s="117">
        <v>90</v>
      </c>
      <c r="L118" s="117">
        <v>90</v>
      </c>
      <c r="M118" s="123">
        <v>24.5</v>
      </c>
      <c r="N118" s="123">
        <v>6.5</v>
      </c>
      <c r="O118" s="80">
        <v>3.98</v>
      </c>
      <c r="P118" s="117">
        <v>19</v>
      </c>
      <c r="Q118" s="123">
        <v>6</v>
      </c>
      <c r="R118" s="11">
        <v>0.06</v>
      </c>
      <c r="S118" s="79">
        <v>22.36</v>
      </c>
      <c r="T118" s="79">
        <v>0.88</v>
      </c>
      <c r="U118" s="79">
        <v>0.7</v>
      </c>
      <c r="V118" s="85">
        <f t="shared" si="9"/>
        <v>2081.64</v>
      </c>
      <c r="W118" s="85">
        <f t="shared" si="10"/>
        <v>1372.556302</v>
      </c>
      <c r="X118" s="85">
        <f t="shared" si="11"/>
        <v>0.65936295516996213</v>
      </c>
      <c r="Y118" s="117">
        <v>2</v>
      </c>
      <c r="Z118" s="117">
        <v>4</v>
      </c>
      <c r="AA118" s="123">
        <v>6.5</v>
      </c>
      <c r="AB118" s="117">
        <v>17</v>
      </c>
      <c r="AC118" s="123">
        <v>6.1</v>
      </c>
      <c r="AD118" s="123">
        <v>3.8</v>
      </c>
      <c r="AE118" s="80">
        <v>0.19</v>
      </c>
      <c r="AF118" s="80">
        <v>0.12</v>
      </c>
      <c r="AG118" s="85">
        <f>(O118+0.3*H118+2)*(F118/2/AK118)</f>
        <v>2775.5199999999995</v>
      </c>
      <c r="AH118" s="85">
        <f t="shared" si="12"/>
        <v>1674.2890735999999</v>
      </c>
      <c r="AI118" s="85">
        <f t="shared" si="13"/>
        <v>0.60323437539632219</v>
      </c>
      <c r="AJ118" s="117">
        <v>2</v>
      </c>
      <c r="AK118" s="117">
        <v>3</v>
      </c>
      <c r="AL118" s="123">
        <v>6.2</v>
      </c>
      <c r="AM118" s="117">
        <v>22</v>
      </c>
      <c r="AN118" s="123">
        <v>6.1</v>
      </c>
      <c r="AO118" s="123">
        <v>3.9</v>
      </c>
      <c r="AP118" s="80">
        <v>0.14000000000000001</v>
      </c>
      <c r="AQ118" s="80">
        <v>0.2</v>
      </c>
      <c r="AR118" s="132">
        <f>SUM(C118:E118)</f>
        <v>1843</v>
      </c>
      <c r="AS118" s="134">
        <f>C118/AR118</f>
        <v>0.32935431361909928</v>
      </c>
      <c r="AT118" s="134">
        <f>D118/AR118</f>
        <v>0.51003798155181768</v>
      </c>
      <c r="AU118" s="134">
        <f>E118/AR118</f>
        <v>0.16060770482908301</v>
      </c>
      <c r="AV118" s="151">
        <f>IF(AND(F118&lt;&gt;"",Z118&lt;&gt;""),AB118/(F118/2/Z118),"")</f>
        <v>7.4561403508771926E-2</v>
      </c>
      <c r="AW118" s="151">
        <f>IF(AND(F118&lt;&gt;"",AK118&lt;&gt;""),AM118/(F118/2/AK118),"")</f>
        <v>7.2368421052631582E-2</v>
      </c>
      <c r="AX118" s="41">
        <f>IF(AND(AQ118&lt;&gt;"",1-(AQ118/O118)&gt;0),1-(AQ118/O118),"")</f>
        <v>0.94974874371859297</v>
      </c>
      <c r="AY118" s="41">
        <f>IF(AND(AF118&lt;&gt;"",1-(AF118/O118)&gt;0),1-(AF118/O118),"")</f>
        <v>0.96984924623115576</v>
      </c>
      <c r="AZ118" s="136" t="str">
        <f>IF(Q118="","",IF(Q118&lt;2.5,"Alc. Bruta &lt; 2,5 mg/L",IF(Q118&lt;5,"2,5 ≤ Alc. Bruta &lt; 5,0 mg/L",IF(Q118&lt;7.5,"5,0 ≤ Alc. Bruta &lt; 7,5 mg/L",IF(Q118&lt;10,"7,5 ≤ Alc. Bruta &lt; 10,0 mg/L",IF(Q118&lt;15,"10,0 ≤ Alca. Bruta &lt; 15,0 mg/L","Alc. Bruta &gt; 15 mg/L"))))))</f>
        <v>5,0 ≤ Alc. Bruta &lt; 7,5 mg/L</v>
      </c>
      <c r="BA118" s="136" t="str">
        <f>IF(P118="","",IF(P118&lt;5,"Cor &lt;5 uC",IF(P118&lt;10,"5 ≤ Cor &lt; 10 uC",IF(P118&lt;15,"10 ≤ Cor &lt;15 uC",IF(P118&lt;30,"15 ≤ Cor &lt; 30 uC",IF(P118&lt;50,"30 ≤ Cor &lt; 50 uC","Cor &gt; 50 uC"))))))</f>
        <v>15 ≤ Cor &lt; 30 uC</v>
      </c>
      <c r="BB118" s="137" t="str">
        <f>IF(O118="","",IF(O118&lt;2.5,"Turbidez &lt; 2,5 uT",IF(O118&lt;5,"2,5 ≤ Turb &lt; 5,0 uT",IF(O118&lt;7.5,"5,0 ≤ Turb &lt; 7,5 uT",IF(O118&lt;10,"7,5 ≤ Turb &lt; 10,0 uT",IF(O118&lt;15,"10,0 ≤ Turb &lt; 15,0 uT","Turb &gt; 15 uT"))))))</f>
        <v>2,5 ≤ Turb &lt; 5,0 uT</v>
      </c>
      <c r="BC118" s="138" t="str">
        <f>IF(AND(C118&gt;D118,D118&gt;E118),"TOR &gt; SM &gt; BNN",IF(AND(C118&gt;E118,E118&gt;D118),"TOR &gt; BNN &gt; SM",IF(AND(D118&gt;C118,C118&gt;E118),"SM &gt; TOR &gt; BNN",IF(AND(D118&gt;E118,E118&gt;C118),"SM &gt; BNN &gt; TOR",IF(AND(C118=D118,D118=E118),"TOR = SM = BNN","Comb. diferentes")))))</f>
        <v>SM &gt; TOR &gt; BNN</v>
      </c>
      <c r="BD118" s="137" t="str">
        <f>IF(OR(AE118="",AQ118="-"),"",IF(AE118&lt;=0.25,"Tipo 1 (≤0,25) uT",IF(AE118&lt;=0.5,"Tipo 2 (0,25-0,50) uT",IF(AE118&lt;=0.75,"Tipo 3 (0,50-0,75) uT","Tipo 4 (&gt;0,75) uT"))))</f>
        <v>Tipo 1 (≤0,25) uT</v>
      </c>
      <c r="BE118" s="137" t="str">
        <f t="shared" si="7"/>
        <v>Tipo 1 (≤0,25) uT</v>
      </c>
      <c r="BF118" s="137" t="str">
        <f>IF(OR(AF118="",AQ118="-"),"",IF(AF118&lt;=0.25,"Tipo 1 (≤0,25) uT",IF(AF118&lt;=0.5,"Tipo 2 (0,25-0,50) uT",IF(AF118&lt;=0.75,"Tipo 3 (0,50-0,75) uT","Tipo 4 (&gt;0,75) uT"))))</f>
        <v>Tipo 1 (≤0,25) uT</v>
      </c>
      <c r="BG118" s="137" t="str">
        <f t="shared" si="8"/>
        <v>Tipo 1 (≤0,25) uT</v>
      </c>
      <c r="BH118" s="137" t="str">
        <f>IF(OR(R118="",R118="-"),"",IF(R118&lt;=0.25,"Tipo 1 (≤0,25) uT",IF(R118&lt;=0.5,"Tipo 2 (0,25-0,50) uT",IF(R118&lt;=0.75,"Tipo 3 (0,50-0,75) uT","Tipo 4 (&gt;0,75) uT"))))</f>
        <v>Tipo 1 (≤0,25) uT</v>
      </c>
    </row>
    <row r="119" spans="1:60" x14ac:dyDescent="0.3">
      <c r="A119" s="73">
        <v>46271</v>
      </c>
      <c r="B119" s="141">
        <v>0.3125</v>
      </c>
      <c r="C119" s="118">
        <v>591</v>
      </c>
      <c r="D119" s="118">
        <v>922</v>
      </c>
      <c r="E119" s="118">
        <v>296</v>
      </c>
      <c r="F119" s="118">
        <v>1872</v>
      </c>
      <c r="G119" s="146" t="s">
        <v>100</v>
      </c>
      <c r="H119" s="124">
        <v>10.5</v>
      </c>
      <c r="I119" s="118">
        <v>91.13</v>
      </c>
      <c r="J119" s="9">
        <v>90</v>
      </c>
      <c r="K119" s="118">
        <v>90</v>
      </c>
      <c r="L119" s="118">
        <v>90</v>
      </c>
      <c r="M119" s="124">
        <v>24.3</v>
      </c>
      <c r="N119" s="124">
        <v>6.4</v>
      </c>
      <c r="O119" s="81">
        <v>4.76</v>
      </c>
      <c r="P119" s="118">
        <v>21</v>
      </c>
      <c r="Q119" s="124">
        <v>7.3</v>
      </c>
      <c r="R119" s="9">
        <v>7.0000000000000007E-2</v>
      </c>
      <c r="S119" s="79">
        <v>22.36</v>
      </c>
      <c r="T119" s="79">
        <v>0.88</v>
      </c>
      <c r="U119" s="79">
        <v>0.7</v>
      </c>
      <c r="V119" s="85">
        <f t="shared" si="9"/>
        <v>2318.94</v>
      </c>
      <c r="W119" s="85">
        <f t="shared" si="10"/>
        <v>1372.556302</v>
      </c>
      <c r="X119" s="85">
        <f t="shared" si="11"/>
        <v>0.59188952797398808</v>
      </c>
      <c r="Y119" s="118">
        <v>2</v>
      </c>
      <c r="Z119" s="118">
        <v>4</v>
      </c>
      <c r="AA119" s="124">
        <v>6.5</v>
      </c>
      <c r="AB119" s="118">
        <v>17</v>
      </c>
      <c r="AC119" s="124">
        <v>6.2</v>
      </c>
      <c r="AD119" s="124">
        <v>5.5</v>
      </c>
      <c r="AE119" s="81">
        <v>0.17</v>
      </c>
      <c r="AF119" s="81">
        <v>0.12</v>
      </c>
      <c r="AG119" s="85">
        <f>(O119+0.3*H119+2)*(F119/2/AK119)</f>
        <v>3091.92</v>
      </c>
      <c r="AH119" s="85">
        <f t="shared" si="12"/>
        <v>1750.3931224</v>
      </c>
      <c r="AI119" s="85">
        <f t="shared" si="13"/>
        <v>0.56611850319542545</v>
      </c>
      <c r="AJ119" s="118">
        <v>2</v>
      </c>
      <c r="AK119" s="118">
        <v>3</v>
      </c>
      <c r="AL119" s="124">
        <v>6.2</v>
      </c>
      <c r="AM119" s="118">
        <v>23</v>
      </c>
      <c r="AN119" s="124">
        <v>6.2</v>
      </c>
      <c r="AO119" s="124">
        <v>5.4</v>
      </c>
      <c r="AP119" s="81">
        <v>0.26</v>
      </c>
      <c r="AQ119" s="81">
        <v>0.28000000000000003</v>
      </c>
      <c r="AR119" s="132">
        <f>SUM(C119:E119)</f>
        <v>1809</v>
      </c>
      <c r="AS119" s="134">
        <f>C119/AR119</f>
        <v>0.32669983416252074</v>
      </c>
      <c r="AT119" s="134">
        <f>D119/AR119</f>
        <v>0.50967385295743506</v>
      </c>
      <c r="AU119" s="134">
        <f>E119/AR119</f>
        <v>0.16362631288004423</v>
      </c>
      <c r="AV119" s="151">
        <f>IF(AND(F119&lt;&gt;"",Z119&lt;&gt;""),AB119/(F119/2/Z119),"")</f>
        <v>7.2649572649572655E-2</v>
      </c>
      <c r="AW119" s="151">
        <f>IF(AND(F119&lt;&gt;"",AK119&lt;&gt;""),AM119/(F119/2/AK119),"")</f>
        <v>7.371794871794872E-2</v>
      </c>
      <c r="AX119" s="41">
        <f>IF(AND(AQ119&lt;&gt;"",1-(AQ119/O119)&gt;0),1-(AQ119/O119),"")</f>
        <v>0.94117647058823528</v>
      </c>
      <c r="AY119" s="41">
        <f>IF(AND(AF119&lt;&gt;"",1-(AF119/O119)&gt;0),1-(AF119/O119),"")</f>
        <v>0.97478991596638653</v>
      </c>
      <c r="AZ119" s="136" t="str">
        <f>IF(Q119="","",IF(Q119&lt;2.5,"Alc. Bruta &lt; 2,5 mg/L",IF(Q119&lt;5,"2,5 ≤ Alc. Bruta &lt; 5,0 mg/L",IF(Q119&lt;7.5,"5,0 ≤ Alc. Bruta &lt; 7,5 mg/L",IF(Q119&lt;10,"7,5 ≤ Alc. Bruta &lt; 10,0 mg/L",IF(Q119&lt;15,"10,0 ≤ Alca. Bruta &lt; 15,0 mg/L","Alc. Bruta &gt; 15 mg/L"))))))</f>
        <v>5,0 ≤ Alc. Bruta &lt; 7,5 mg/L</v>
      </c>
      <c r="BA119" s="136" t="str">
        <f>IF(P119="","",IF(P119&lt;5,"Cor &lt;5 uC",IF(P119&lt;10,"5 ≤ Cor &lt; 10 uC",IF(P119&lt;15,"10 ≤ Cor &lt;15 uC",IF(P119&lt;30,"15 ≤ Cor &lt; 30 uC",IF(P119&lt;50,"30 ≤ Cor &lt; 50 uC","Cor &gt; 50 uC"))))))</f>
        <v>15 ≤ Cor &lt; 30 uC</v>
      </c>
      <c r="BB119" s="137" t="str">
        <f>IF(O119="","",IF(O119&lt;2.5,"Turbidez &lt; 2,5 uT",IF(O119&lt;5,"2,5 ≤ Turb &lt; 5,0 uT",IF(O119&lt;7.5,"5,0 ≤ Turb &lt; 7,5 uT",IF(O119&lt;10,"7,5 ≤ Turb &lt; 10,0 uT",IF(O119&lt;15,"10,0 ≤ Turb &lt; 15,0 uT","Turb &gt; 15 uT"))))))</f>
        <v>2,5 ≤ Turb &lt; 5,0 uT</v>
      </c>
      <c r="BC119" s="138" t="str">
        <f>IF(AND(C119&gt;D119,D119&gt;E119),"TOR &gt; SM &gt; BNN",IF(AND(C119&gt;E119,E119&gt;D119),"TOR &gt; BNN &gt; SM",IF(AND(D119&gt;C119,C119&gt;E119),"SM &gt; TOR &gt; BNN",IF(AND(D119&gt;E119,E119&gt;C119),"SM &gt; BNN &gt; TOR",IF(AND(C119=D119,D119=E119),"TOR = SM = BNN","Comb. diferentes")))))</f>
        <v>SM &gt; TOR &gt; BNN</v>
      </c>
      <c r="BD119" s="137" t="str">
        <f>IF(OR(AE119="",AQ119="-"),"",IF(AE119&lt;=0.25,"Tipo 1 (≤0,25) uT",IF(AE119&lt;=0.5,"Tipo 2 (0,25-0,50) uT",IF(AE119&lt;=0.75,"Tipo 3 (0,50-0,75) uT","Tipo 4 (&gt;0,75) uT"))))</f>
        <v>Tipo 1 (≤0,25) uT</v>
      </c>
      <c r="BE119" s="137" t="str">
        <f t="shared" si="7"/>
        <v>Tipo 2 (0,25-0,50) uT</v>
      </c>
      <c r="BF119" s="137" t="str">
        <f>IF(OR(AF119="",AQ119="-"),"",IF(AF119&lt;=0.25,"Tipo 1 (≤0,25) uT",IF(AF119&lt;=0.5,"Tipo 2 (0,25-0,50) uT",IF(AF119&lt;=0.75,"Tipo 3 (0,50-0,75) uT","Tipo 4 (&gt;0,75) uT"))))</f>
        <v>Tipo 1 (≤0,25) uT</v>
      </c>
      <c r="BG119" s="137" t="str">
        <f t="shared" si="8"/>
        <v>Tipo 2 (0,25-0,50) uT</v>
      </c>
      <c r="BH119" s="137" t="str">
        <f>IF(OR(R119="",R119="-"),"",IF(R119&lt;=0.25,"Tipo 1 (≤0,25) uT",IF(R119&lt;=0.5,"Tipo 2 (0,25-0,50) uT",IF(R119&lt;=0.75,"Tipo 3 (0,50-0,75) uT","Tipo 4 (&gt;0,75) uT"))))</f>
        <v>Tipo 1 (≤0,25) uT</v>
      </c>
    </row>
    <row r="120" spans="1:60" x14ac:dyDescent="0.3">
      <c r="A120" s="74">
        <v>46271</v>
      </c>
      <c r="B120" s="139">
        <v>0.39583333333333331</v>
      </c>
      <c r="C120" s="116">
        <v>599</v>
      </c>
      <c r="D120" s="116">
        <v>926</v>
      </c>
      <c r="E120" s="116">
        <v>296</v>
      </c>
      <c r="F120" s="116">
        <v>1884</v>
      </c>
      <c r="G120" s="144" t="s">
        <v>100</v>
      </c>
      <c r="H120" s="122">
        <v>10.5</v>
      </c>
      <c r="I120" s="116">
        <v>92.38</v>
      </c>
      <c r="J120" s="10">
        <v>90</v>
      </c>
      <c r="K120" s="116">
        <v>90</v>
      </c>
      <c r="L120" s="116">
        <v>90</v>
      </c>
      <c r="M120" s="122">
        <v>24.4</v>
      </c>
      <c r="N120" s="122">
        <v>6.4</v>
      </c>
      <c r="O120" s="79">
        <v>3.9</v>
      </c>
      <c r="P120" s="116">
        <v>15</v>
      </c>
      <c r="Q120" s="122">
        <v>6.7</v>
      </c>
      <c r="R120" s="10">
        <v>7.0000000000000007E-2</v>
      </c>
      <c r="S120" s="79">
        <v>22.36</v>
      </c>
      <c r="T120" s="79">
        <v>0.88</v>
      </c>
      <c r="U120" s="79">
        <v>0.7</v>
      </c>
      <c r="V120" s="85">
        <f t="shared" si="9"/>
        <v>2131.2750000000001</v>
      </c>
      <c r="W120" s="85">
        <f t="shared" si="10"/>
        <v>1372.556302</v>
      </c>
      <c r="X120" s="85">
        <f t="shared" si="11"/>
        <v>0.64400713281955635</v>
      </c>
      <c r="Y120" s="116">
        <v>2</v>
      </c>
      <c r="Z120" s="116">
        <v>4</v>
      </c>
      <c r="AA120" s="122">
        <v>6.5</v>
      </c>
      <c r="AB120" s="116">
        <v>17</v>
      </c>
      <c r="AC120" s="122">
        <v>6.1</v>
      </c>
      <c r="AD120" s="122">
        <v>6.1</v>
      </c>
      <c r="AE120" s="79">
        <v>0.15</v>
      </c>
      <c r="AF120" s="79">
        <v>0.14000000000000001</v>
      </c>
      <c r="AG120" s="85">
        <f>(O120+0.3*H120+2)*(F120/2/AK120)</f>
        <v>2841.7000000000003</v>
      </c>
      <c r="AH120" s="85">
        <f t="shared" si="12"/>
        <v>1785.9247275999996</v>
      </c>
      <c r="AI120" s="85">
        <f t="shared" si="13"/>
        <v>0.62847053791744356</v>
      </c>
      <c r="AJ120" s="116">
        <v>2</v>
      </c>
      <c r="AK120" s="116">
        <v>3</v>
      </c>
      <c r="AL120" s="122">
        <v>6.3</v>
      </c>
      <c r="AM120" s="116">
        <v>23</v>
      </c>
      <c r="AN120" s="122">
        <v>6.1</v>
      </c>
      <c r="AO120" s="122">
        <v>6.9</v>
      </c>
      <c r="AP120" s="79">
        <v>0.15</v>
      </c>
      <c r="AQ120" s="79">
        <v>0.4</v>
      </c>
      <c r="AR120" s="132">
        <f>SUM(C120:E120)</f>
        <v>1821</v>
      </c>
      <c r="AS120" s="134">
        <f>C120/AR120</f>
        <v>0.32894014277869305</v>
      </c>
      <c r="AT120" s="134">
        <f>D120/AR120</f>
        <v>0.5085118066996156</v>
      </c>
      <c r="AU120" s="134">
        <f>E120/AR120</f>
        <v>0.16254805052169138</v>
      </c>
      <c r="AV120" s="151">
        <f>IF(AND(F120&lt;&gt;"",Z120&lt;&gt;""),AB120/(F120/2/Z120),"")</f>
        <v>7.2186836518046707E-2</v>
      </c>
      <c r="AW120" s="151">
        <f>IF(AND(F120&lt;&gt;"",AK120&lt;&gt;""),AM120/(F120/2/AK120),"")</f>
        <v>7.32484076433121E-2</v>
      </c>
      <c r="AX120" s="41">
        <f>IF(AND(AQ120&lt;&gt;"",1-(AQ120/O120)&gt;0),1-(AQ120/O120),"")</f>
        <v>0.89743589743589747</v>
      </c>
      <c r="AY120" s="41">
        <f>IF(AND(AF120&lt;&gt;"",1-(AF120/O120)&gt;0),1-(AF120/O120),"")</f>
        <v>0.96410256410256412</v>
      </c>
      <c r="AZ120" s="136" t="str">
        <f>IF(Q120="","",IF(Q120&lt;2.5,"Alc. Bruta &lt; 2,5 mg/L",IF(Q120&lt;5,"2,5 ≤ Alc. Bruta &lt; 5,0 mg/L",IF(Q120&lt;7.5,"5,0 ≤ Alc. Bruta &lt; 7,5 mg/L",IF(Q120&lt;10,"7,5 ≤ Alc. Bruta &lt; 10,0 mg/L",IF(Q120&lt;15,"10,0 ≤ Alca. Bruta &lt; 15,0 mg/L","Alc. Bruta &gt; 15 mg/L"))))))</f>
        <v>5,0 ≤ Alc. Bruta &lt; 7,5 mg/L</v>
      </c>
      <c r="BA120" s="136" t="str">
        <f>IF(P120="","",IF(P120&lt;5,"Cor &lt;5 uC",IF(P120&lt;10,"5 ≤ Cor &lt; 10 uC",IF(P120&lt;15,"10 ≤ Cor &lt;15 uC",IF(P120&lt;30,"15 ≤ Cor &lt; 30 uC",IF(P120&lt;50,"30 ≤ Cor &lt; 50 uC","Cor &gt; 50 uC"))))))</f>
        <v>15 ≤ Cor &lt; 30 uC</v>
      </c>
      <c r="BB120" s="137" t="str">
        <f>IF(O120="","",IF(O120&lt;2.5,"Turbidez &lt; 2,5 uT",IF(O120&lt;5,"2,5 ≤ Turb &lt; 5,0 uT",IF(O120&lt;7.5,"5,0 ≤ Turb &lt; 7,5 uT",IF(O120&lt;10,"7,5 ≤ Turb &lt; 10,0 uT",IF(O120&lt;15,"10,0 ≤ Turb &lt; 15,0 uT","Turb &gt; 15 uT"))))))</f>
        <v>2,5 ≤ Turb &lt; 5,0 uT</v>
      </c>
      <c r="BC120" s="138" t="str">
        <f>IF(AND(C120&gt;D120,D120&gt;E120),"TOR &gt; SM &gt; BNN",IF(AND(C120&gt;E120,E120&gt;D120),"TOR &gt; BNN &gt; SM",IF(AND(D120&gt;C120,C120&gt;E120),"SM &gt; TOR &gt; BNN",IF(AND(D120&gt;E120,E120&gt;C120),"SM &gt; BNN &gt; TOR",IF(AND(C120=D120,D120=E120),"TOR = SM = BNN","Comb. diferentes")))))</f>
        <v>SM &gt; TOR &gt; BNN</v>
      </c>
      <c r="BD120" s="137" t="str">
        <f>IF(OR(AE120="",AQ120="-"),"",IF(AE120&lt;=0.25,"Tipo 1 (≤0,25) uT",IF(AE120&lt;=0.5,"Tipo 2 (0,25-0,50) uT",IF(AE120&lt;=0.75,"Tipo 3 (0,50-0,75) uT","Tipo 4 (&gt;0,75) uT"))))</f>
        <v>Tipo 1 (≤0,25) uT</v>
      </c>
      <c r="BE120" s="137" t="str">
        <f t="shared" si="7"/>
        <v>Tipo 1 (≤0,25) uT</v>
      </c>
      <c r="BF120" s="137" t="str">
        <f>IF(OR(AF120="",AQ120="-"),"",IF(AF120&lt;=0.25,"Tipo 1 (≤0,25) uT",IF(AF120&lt;=0.5,"Tipo 2 (0,25-0,50) uT",IF(AF120&lt;=0.75,"Tipo 3 (0,50-0,75) uT","Tipo 4 (&gt;0,75) uT"))))</f>
        <v>Tipo 1 (≤0,25) uT</v>
      </c>
      <c r="BG120" s="137" t="str">
        <f t="shared" si="8"/>
        <v>Tipo 2 (0,25-0,50) uT</v>
      </c>
      <c r="BH120" s="137" t="str">
        <f>IF(OR(R120="",R120="-"),"",IF(R120&lt;=0.25,"Tipo 1 (≤0,25) uT",IF(R120&lt;=0.5,"Tipo 2 (0,25-0,50) uT",IF(R120&lt;=0.75,"Tipo 3 (0,50-0,75) uT","Tipo 4 (&gt;0,75) uT"))))</f>
        <v>Tipo 1 (≤0,25) uT</v>
      </c>
    </row>
    <row r="121" spans="1:60" x14ac:dyDescent="0.3">
      <c r="A121" s="74">
        <v>46271</v>
      </c>
      <c r="B121" s="139">
        <v>0.47916666666666669</v>
      </c>
      <c r="C121" s="116">
        <v>562</v>
      </c>
      <c r="D121" s="116">
        <v>931</v>
      </c>
      <c r="E121" s="116">
        <v>297</v>
      </c>
      <c r="F121" s="116">
        <v>1782</v>
      </c>
      <c r="G121" s="144" t="s">
        <v>100</v>
      </c>
      <c r="H121" s="122">
        <v>10.5</v>
      </c>
      <c r="I121" s="116">
        <v>23.07</v>
      </c>
      <c r="J121" s="10">
        <v>90</v>
      </c>
      <c r="K121" s="116">
        <v>90</v>
      </c>
      <c r="L121" s="116">
        <v>90</v>
      </c>
      <c r="M121" s="122">
        <v>25.5</v>
      </c>
      <c r="N121" s="122">
        <v>6.4</v>
      </c>
      <c r="O121" s="79">
        <v>3.44</v>
      </c>
      <c r="P121" s="116">
        <v>13</v>
      </c>
      <c r="Q121" s="122">
        <v>7.2</v>
      </c>
      <c r="R121" s="10">
        <v>7.0000000000000007E-2</v>
      </c>
      <c r="S121" s="79">
        <v>22.36</v>
      </c>
      <c r="T121" s="79">
        <v>0.88</v>
      </c>
      <c r="U121" s="79">
        <v>0.7</v>
      </c>
      <c r="V121" s="85">
        <f t="shared" si="9"/>
        <v>1913.4224999999999</v>
      </c>
      <c r="W121" s="85">
        <f t="shared" si="10"/>
        <v>1372.556302</v>
      </c>
      <c r="X121" s="85">
        <f t="shared" si="11"/>
        <v>0.71733049130550097</v>
      </c>
      <c r="Y121" s="116">
        <v>2</v>
      </c>
      <c r="Z121" s="116">
        <v>4</v>
      </c>
      <c r="AA121" s="122">
        <v>6.5</v>
      </c>
      <c r="AB121" s="116">
        <v>17</v>
      </c>
      <c r="AC121" s="122">
        <v>6.1</v>
      </c>
      <c r="AD121" s="122">
        <v>9</v>
      </c>
      <c r="AE121" s="79">
        <v>0.23</v>
      </c>
      <c r="AF121" s="79">
        <v>0.16</v>
      </c>
      <c r="AG121" s="85">
        <f>(O121+0.3*H121+2)*(F121/2/AK121)</f>
        <v>2551.23</v>
      </c>
      <c r="AH121" s="85">
        <f t="shared" si="12"/>
        <v>1785.9247275999996</v>
      </c>
      <c r="AI121" s="85">
        <f t="shared" si="13"/>
        <v>0.70002497916691153</v>
      </c>
      <c r="AJ121" s="116">
        <v>2</v>
      </c>
      <c r="AK121" s="116">
        <v>3</v>
      </c>
      <c r="AL121" s="122">
        <v>6.3</v>
      </c>
      <c r="AM121" s="116">
        <v>23</v>
      </c>
      <c r="AN121" s="122">
        <v>6</v>
      </c>
      <c r="AO121" s="122">
        <v>7.5</v>
      </c>
      <c r="AP121" s="79">
        <v>0.21</v>
      </c>
      <c r="AQ121" s="79">
        <v>0.42</v>
      </c>
      <c r="AR121" s="132">
        <f>SUM(C121:E121)</f>
        <v>1790</v>
      </c>
      <c r="AS121" s="134">
        <f>C121/AR121</f>
        <v>0.31396648044692738</v>
      </c>
      <c r="AT121" s="134">
        <f>D121/AR121</f>
        <v>0.5201117318435754</v>
      </c>
      <c r="AU121" s="134">
        <f>E121/AR121</f>
        <v>0.1659217877094972</v>
      </c>
      <c r="AV121" s="151">
        <f>IF(AND(F121&lt;&gt;"",Z121&lt;&gt;""),AB121/(F121/2/Z121),"")</f>
        <v>7.6318742985409652E-2</v>
      </c>
      <c r="AW121" s="151">
        <f>IF(AND(F121&lt;&gt;"",AK121&lt;&gt;""),AM121/(F121/2/AK121),"")</f>
        <v>7.7441077441077436E-2</v>
      </c>
      <c r="AX121" s="41">
        <f>IF(AND(AQ121&lt;&gt;"",1-(AQ121/O121)&gt;0),1-(AQ121/O121),"")</f>
        <v>0.87790697674418605</v>
      </c>
      <c r="AY121" s="41">
        <f>IF(AND(AF121&lt;&gt;"",1-(AF121/O121)&gt;0),1-(AF121/O121),"")</f>
        <v>0.95348837209302328</v>
      </c>
      <c r="AZ121" s="136" t="str">
        <f>IF(Q121="","",IF(Q121&lt;2.5,"Alc. Bruta &lt; 2,5 mg/L",IF(Q121&lt;5,"2,5 ≤ Alc. Bruta &lt; 5,0 mg/L",IF(Q121&lt;7.5,"5,0 ≤ Alc. Bruta &lt; 7,5 mg/L",IF(Q121&lt;10,"7,5 ≤ Alc. Bruta &lt; 10,0 mg/L",IF(Q121&lt;15,"10,0 ≤ Alca. Bruta &lt; 15,0 mg/L","Alc. Bruta &gt; 15 mg/L"))))))</f>
        <v>5,0 ≤ Alc. Bruta &lt; 7,5 mg/L</v>
      </c>
      <c r="BA121" s="136" t="str">
        <f>IF(P121="","",IF(P121&lt;5,"Cor &lt;5 uC",IF(P121&lt;10,"5 ≤ Cor &lt; 10 uC",IF(P121&lt;15,"10 ≤ Cor &lt;15 uC",IF(P121&lt;30,"15 ≤ Cor &lt; 30 uC",IF(P121&lt;50,"30 ≤ Cor &lt; 50 uC","Cor &gt; 50 uC"))))))</f>
        <v>10 ≤ Cor &lt;15 uC</v>
      </c>
      <c r="BB121" s="137" t="str">
        <f>IF(O121="","",IF(O121&lt;2.5,"Turbidez &lt; 2,5 uT",IF(O121&lt;5,"2,5 ≤ Turb &lt; 5,0 uT",IF(O121&lt;7.5,"5,0 ≤ Turb &lt; 7,5 uT",IF(O121&lt;10,"7,5 ≤ Turb &lt; 10,0 uT",IF(O121&lt;15,"10,0 ≤ Turb &lt; 15,0 uT","Turb &gt; 15 uT"))))))</f>
        <v>2,5 ≤ Turb &lt; 5,0 uT</v>
      </c>
      <c r="BC121" s="138" t="str">
        <f>IF(AND(C121&gt;D121,D121&gt;E121),"TOR &gt; SM &gt; BNN",IF(AND(C121&gt;E121,E121&gt;D121),"TOR &gt; BNN &gt; SM",IF(AND(D121&gt;C121,C121&gt;E121),"SM &gt; TOR &gt; BNN",IF(AND(D121&gt;E121,E121&gt;C121),"SM &gt; BNN &gt; TOR",IF(AND(C121=D121,D121=E121),"TOR = SM = BNN","Comb. diferentes")))))</f>
        <v>SM &gt; TOR &gt; BNN</v>
      </c>
      <c r="BD121" s="137" t="str">
        <f>IF(OR(AE121="",AQ121="-"),"",IF(AE121&lt;=0.25,"Tipo 1 (≤0,25) uT",IF(AE121&lt;=0.5,"Tipo 2 (0,25-0,50) uT",IF(AE121&lt;=0.75,"Tipo 3 (0,50-0,75) uT","Tipo 4 (&gt;0,75) uT"))))</f>
        <v>Tipo 1 (≤0,25) uT</v>
      </c>
      <c r="BE121" s="137" t="str">
        <f t="shared" si="7"/>
        <v>Tipo 1 (≤0,25) uT</v>
      </c>
      <c r="BF121" s="137" t="str">
        <f>IF(OR(AF121="",AQ121="-"),"",IF(AF121&lt;=0.25,"Tipo 1 (≤0,25) uT",IF(AF121&lt;=0.5,"Tipo 2 (0,25-0,50) uT",IF(AF121&lt;=0.75,"Tipo 3 (0,50-0,75) uT","Tipo 4 (&gt;0,75) uT"))))</f>
        <v>Tipo 1 (≤0,25) uT</v>
      </c>
      <c r="BG121" s="137" t="str">
        <f t="shared" si="8"/>
        <v>Tipo 2 (0,25-0,50) uT</v>
      </c>
      <c r="BH121" s="137" t="str">
        <f>IF(OR(R121="",R121="-"),"",IF(R121&lt;=0.25,"Tipo 1 (≤0,25) uT",IF(R121&lt;=0.5,"Tipo 2 (0,25-0,50) uT",IF(R121&lt;=0.75,"Tipo 3 (0,50-0,75) uT","Tipo 4 (&gt;0,75) uT"))))</f>
        <v>Tipo 1 (≤0,25) uT</v>
      </c>
    </row>
    <row r="122" spans="1:60" x14ac:dyDescent="0.3">
      <c r="A122" s="74">
        <v>46272</v>
      </c>
      <c r="B122" s="139">
        <v>6.25E-2</v>
      </c>
      <c r="C122" s="116">
        <v>500</v>
      </c>
      <c r="D122" s="116">
        <v>1026</v>
      </c>
      <c r="E122" s="116">
        <v>250</v>
      </c>
      <c r="F122" s="116">
        <v>1839</v>
      </c>
      <c r="G122" s="144" t="s">
        <v>100</v>
      </c>
      <c r="H122" s="122">
        <v>11</v>
      </c>
      <c r="I122" s="116">
        <v>103.6</v>
      </c>
      <c r="J122" s="10">
        <v>90</v>
      </c>
      <c r="K122" s="116">
        <v>90</v>
      </c>
      <c r="L122" s="116">
        <v>90</v>
      </c>
      <c r="M122" s="122">
        <v>22.7</v>
      </c>
      <c r="N122" s="122">
        <v>6.5</v>
      </c>
      <c r="O122" s="79">
        <v>1.5</v>
      </c>
      <c r="P122" s="116">
        <v>7</v>
      </c>
      <c r="Q122" s="122">
        <v>7.4</v>
      </c>
      <c r="R122" s="10">
        <v>0.35</v>
      </c>
      <c r="S122" s="79">
        <v>22.36</v>
      </c>
      <c r="T122" s="79">
        <v>0.88</v>
      </c>
      <c r="U122" s="79">
        <v>0.7</v>
      </c>
      <c r="V122" s="85">
        <f t="shared" si="9"/>
        <v>2084.1999999999998</v>
      </c>
      <c r="W122" s="85">
        <f t="shared" si="10"/>
        <v>1398.8187927999998</v>
      </c>
      <c r="X122" s="85">
        <f t="shared" si="11"/>
        <v>0.67115382055464923</v>
      </c>
      <c r="Y122" s="116">
        <v>2</v>
      </c>
      <c r="Z122" s="116">
        <v>3</v>
      </c>
      <c r="AA122" s="122">
        <v>6.6</v>
      </c>
      <c r="AB122" s="116">
        <v>17</v>
      </c>
      <c r="AC122" s="122">
        <v>6.1</v>
      </c>
      <c r="AD122" s="122">
        <v>5.7</v>
      </c>
      <c r="AE122" s="79">
        <v>0.25</v>
      </c>
      <c r="AF122" s="79">
        <v>0.27</v>
      </c>
      <c r="AG122" s="85">
        <f>(O122+0.3*H122+2)*(F122/2/AK122)</f>
        <v>1563.1499999999999</v>
      </c>
      <c r="AH122" s="85">
        <f t="shared" si="12"/>
        <v>1928.0511483999996</v>
      </c>
      <c r="AI122" s="85">
        <f t="shared" si="13"/>
        <v>1.2334396240923775</v>
      </c>
      <c r="AJ122" s="116">
        <v>2</v>
      </c>
      <c r="AK122" s="116">
        <v>4</v>
      </c>
      <c r="AL122" s="122">
        <v>6.7</v>
      </c>
      <c r="AM122" s="116">
        <v>23</v>
      </c>
      <c r="AN122" s="122">
        <v>6</v>
      </c>
      <c r="AO122" s="122">
        <v>5.3</v>
      </c>
      <c r="AP122" s="79">
        <v>0.24</v>
      </c>
      <c r="AQ122" s="79">
        <v>0.15</v>
      </c>
      <c r="AR122" s="132">
        <f>SUM(C122:E122)</f>
        <v>1776</v>
      </c>
      <c r="AS122" s="134">
        <f>C122/AR122</f>
        <v>0.28153153153153154</v>
      </c>
      <c r="AT122" s="134">
        <f>D122/AR122</f>
        <v>0.57770270270270274</v>
      </c>
      <c r="AU122" s="134">
        <f>E122/AR122</f>
        <v>0.14076576576576577</v>
      </c>
      <c r="AV122" s="151">
        <f>IF(AND(F122&lt;&gt;"",Z122&lt;&gt;""),AB122/(F122/2/Z122),"")</f>
        <v>5.5464926590538338E-2</v>
      </c>
      <c r="AW122" s="151">
        <f>IF(AND(F122&lt;&gt;"",AK122&lt;&gt;""),AM122/(F122/2/AK122),"")</f>
        <v>0.10005437737901034</v>
      </c>
      <c r="AX122" s="41">
        <f>IF(AND(AQ122&lt;&gt;"",1-(AQ122/O122)&gt;0),1-(AQ122/O122),"")</f>
        <v>0.9</v>
      </c>
      <c r="AY122" s="41">
        <f>IF(AND(AF122&lt;&gt;"",1-(AF122/O122)&gt;0),1-(AF122/O122),"")</f>
        <v>0.82</v>
      </c>
      <c r="AZ122" s="136" t="str">
        <f>IF(Q122="","",IF(Q122&lt;2.5,"Alc. Bruta &lt; 2,5 mg/L",IF(Q122&lt;5,"2,5 ≤ Alc. Bruta &lt; 5,0 mg/L",IF(Q122&lt;7.5,"5,0 ≤ Alc. Bruta &lt; 7,5 mg/L",IF(Q122&lt;10,"7,5 ≤ Alc. Bruta &lt; 10,0 mg/L",IF(Q122&lt;15,"10,0 ≤ Alca. Bruta &lt; 15,0 mg/L","Alc. Bruta &gt; 15 mg/L"))))))</f>
        <v>5,0 ≤ Alc. Bruta &lt; 7,5 mg/L</v>
      </c>
      <c r="BA122" s="136" t="str">
        <f>IF(P122="","",IF(P122&lt;5,"Cor &lt;5 uC",IF(P122&lt;10,"5 ≤ Cor &lt; 10 uC",IF(P122&lt;15,"10 ≤ Cor &lt;15 uC",IF(P122&lt;30,"15 ≤ Cor &lt; 30 uC",IF(P122&lt;50,"30 ≤ Cor &lt; 50 uC","Cor &gt; 50 uC"))))))</f>
        <v>5 ≤ Cor &lt; 10 uC</v>
      </c>
      <c r="BB122" s="137" t="str">
        <f>IF(O122="","",IF(O122&lt;2.5,"Turbidez &lt; 2,5 uT",IF(O122&lt;5,"2,5 ≤ Turb &lt; 5,0 uT",IF(O122&lt;7.5,"5,0 ≤ Turb &lt; 7,5 uT",IF(O122&lt;10,"7,5 ≤ Turb &lt; 10,0 uT",IF(O122&lt;15,"10,0 ≤ Turb &lt; 15,0 uT","Turb &gt; 15 uT"))))))</f>
        <v>Turbidez &lt; 2,5 uT</v>
      </c>
      <c r="BC122" s="138" t="str">
        <f>IF(AND(C122&gt;D122,D122&gt;E122),"TOR &gt; SM &gt; BNN",IF(AND(C122&gt;E122,E122&gt;D122),"TOR &gt; BNN &gt; SM",IF(AND(D122&gt;C122,C122&gt;E122),"SM &gt; TOR &gt; BNN",IF(AND(D122&gt;E122,E122&gt;C122),"SM &gt; BNN &gt; TOR",IF(AND(C122=D122,D122=E122),"TOR = SM = BNN","Comb. diferentes")))))</f>
        <v>SM &gt; TOR &gt; BNN</v>
      </c>
      <c r="BD122" s="137" t="str">
        <f>IF(OR(AE122="",AQ122="-"),"",IF(AE122&lt;=0.25,"Tipo 1 (≤0,25) uT",IF(AE122&lt;=0.5,"Tipo 2 (0,25-0,50) uT",IF(AE122&lt;=0.75,"Tipo 3 (0,50-0,75) uT","Tipo 4 (&gt;0,75) uT"))))</f>
        <v>Tipo 1 (≤0,25) uT</v>
      </c>
      <c r="BE122" s="137" t="str">
        <f t="shared" si="7"/>
        <v>Tipo 1 (≤0,25) uT</v>
      </c>
      <c r="BF122" s="137" t="str">
        <f>IF(OR(AF122="",AQ122="-"),"",IF(AF122&lt;=0.25,"Tipo 1 (≤0,25) uT",IF(AF122&lt;=0.5,"Tipo 2 (0,25-0,50) uT",IF(AF122&lt;=0.75,"Tipo 3 (0,50-0,75) uT","Tipo 4 (&gt;0,75) uT"))))</f>
        <v>Tipo 2 (0,25-0,50) uT</v>
      </c>
      <c r="BG122" s="137" t="str">
        <f t="shared" si="8"/>
        <v>Tipo 1 (≤0,25) uT</v>
      </c>
      <c r="BH122" s="137" t="str">
        <f>IF(OR(R122="",R122="-"),"",IF(R122&lt;=0.25,"Tipo 1 (≤0,25) uT",IF(R122&lt;=0.5,"Tipo 2 (0,25-0,50) uT",IF(R122&lt;=0.75,"Tipo 3 (0,50-0,75) uT","Tipo 4 (&gt;0,75) uT"))))</f>
        <v>Tipo 2 (0,25-0,50) uT</v>
      </c>
    </row>
    <row r="123" spans="1:60" x14ac:dyDescent="0.3">
      <c r="A123" s="74">
        <v>46272</v>
      </c>
      <c r="B123" s="139">
        <v>0.14583333333333334</v>
      </c>
      <c r="C123" s="116">
        <v>505</v>
      </c>
      <c r="D123" s="116">
        <v>1024</v>
      </c>
      <c r="E123" s="116">
        <v>249</v>
      </c>
      <c r="F123" s="116">
        <v>1851</v>
      </c>
      <c r="G123" s="144" t="s">
        <v>100</v>
      </c>
      <c r="H123" s="122">
        <v>11</v>
      </c>
      <c r="I123" s="116">
        <v>105</v>
      </c>
      <c r="J123" s="10">
        <v>90</v>
      </c>
      <c r="K123" s="116">
        <v>90</v>
      </c>
      <c r="L123" s="116">
        <v>90</v>
      </c>
      <c r="M123" s="122">
        <v>22.9</v>
      </c>
      <c r="N123" s="122">
        <v>6.5</v>
      </c>
      <c r="O123" s="79">
        <v>1.38</v>
      </c>
      <c r="P123" s="116">
        <v>7</v>
      </c>
      <c r="Q123" s="122">
        <v>6.8</v>
      </c>
      <c r="R123" s="10">
        <v>0.26</v>
      </c>
      <c r="S123" s="79">
        <v>22.36</v>
      </c>
      <c r="T123" s="79">
        <v>0.88</v>
      </c>
      <c r="U123" s="79">
        <v>0.7</v>
      </c>
      <c r="V123" s="85">
        <f t="shared" si="9"/>
        <v>2060.7799999999997</v>
      </c>
      <c r="W123" s="85">
        <f t="shared" si="10"/>
        <v>1267.1000575999999</v>
      </c>
      <c r="X123" s="85">
        <f t="shared" si="11"/>
        <v>0.61486430264268876</v>
      </c>
      <c r="Y123" s="116">
        <v>2</v>
      </c>
      <c r="Z123" s="116">
        <v>3</v>
      </c>
      <c r="AA123" s="122">
        <v>6.4</v>
      </c>
      <c r="AB123" s="116">
        <v>16</v>
      </c>
      <c r="AC123" s="122">
        <v>6.1</v>
      </c>
      <c r="AD123" s="122">
        <v>5.4</v>
      </c>
      <c r="AE123" s="79">
        <v>0.16</v>
      </c>
      <c r="AF123" s="79">
        <v>0.24</v>
      </c>
      <c r="AG123" s="85">
        <f>(O123+0.3*H123+2)*(F123/2/AK123)</f>
        <v>1545.585</v>
      </c>
      <c r="AH123" s="85">
        <f t="shared" si="12"/>
        <v>1785.9247275999996</v>
      </c>
      <c r="AI123" s="85">
        <f t="shared" si="13"/>
        <v>1.1555008152900033</v>
      </c>
      <c r="AJ123" s="116">
        <v>2</v>
      </c>
      <c r="AK123" s="116">
        <v>4</v>
      </c>
      <c r="AL123" s="122">
        <v>6.3</v>
      </c>
      <c r="AM123" s="116">
        <v>23</v>
      </c>
      <c r="AN123" s="122">
        <v>6.1</v>
      </c>
      <c r="AO123" s="122">
        <v>5.0999999999999996</v>
      </c>
      <c r="AP123" s="79">
        <v>0.2</v>
      </c>
      <c r="AQ123" s="79">
        <v>0.22</v>
      </c>
      <c r="AR123" s="132">
        <f>SUM(C123:E123)</f>
        <v>1778</v>
      </c>
      <c r="AS123" s="134">
        <f>C123/AR123</f>
        <v>0.2840269966254218</v>
      </c>
      <c r="AT123" s="134">
        <f>D123/AR123</f>
        <v>0.5759280089988752</v>
      </c>
      <c r="AU123" s="134">
        <f>E123/AR123</f>
        <v>0.14004499437570303</v>
      </c>
      <c r="AV123" s="151">
        <f>IF(AND(F123&lt;&gt;"",Z123&lt;&gt;""),AB123/(F123/2/Z123),"")</f>
        <v>5.1863857374392218E-2</v>
      </c>
      <c r="AW123" s="151">
        <f>IF(AND(F123&lt;&gt;"",AK123&lt;&gt;""),AM123/(F123/2/AK123),"")</f>
        <v>9.9405726634251762E-2</v>
      </c>
      <c r="AX123" s="41">
        <f>IF(AND(AQ123&lt;&gt;"",1-(AQ123/O123)&gt;0),1-(AQ123/O123),"")</f>
        <v>0.84057971014492749</v>
      </c>
      <c r="AY123" s="41">
        <f>IF(AND(AF123&lt;&gt;"",1-(AF123/O123)&gt;0),1-(AF123/O123),"")</f>
        <v>0.82608695652173914</v>
      </c>
      <c r="AZ123" s="136" t="str">
        <f>IF(Q123="","",IF(Q123&lt;2.5,"Alc. Bruta &lt; 2,5 mg/L",IF(Q123&lt;5,"2,5 ≤ Alc. Bruta &lt; 5,0 mg/L",IF(Q123&lt;7.5,"5,0 ≤ Alc. Bruta &lt; 7,5 mg/L",IF(Q123&lt;10,"7,5 ≤ Alc. Bruta &lt; 10,0 mg/L",IF(Q123&lt;15,"10,0 ≤ Alca. Bruta &lt; 15,0 mg/L","Alc. Bruta &gt; 15 mg/L"))))))</f>
        <v>5,0 ≤ Alc. Bruta &lt; 7,5 mg/L</v>
      </c>
      <c r="BA123" s="136" t="str">
        <f>IF(P123="","",IF(P123&lt;5,"Cor &lt;5 uC",IF(P123&lt;10,"5 ≤ Cor &lt; 10 uC",IF(P123&lt;15,"10 ≤ Cor &lt;15 uC",IF(P123&lt;30,"15 ≤ Cor &lt; 30 uC",IF(P123&lt;50,"30 ≤ Cor &lt; 50 uC","Cor &gt; 50 uC"))))))</f>
        <v>5 ≤ Cor &lt; 10 uC</v>
      </c>
      <c r="BB123" s="137" t="str">
        <f>IF(O123="","",IF(O123&lt;2.5,"Turbidez &lt; 2,5 uT",IF(O123&lt;5,"2,5 ≤ Turb &lt; 5,0 uT",IF(O123&lt;7.5,"5,0 ≤ Turb &lt; 7,5 uT",IF(O123&lt;10,"7,5 ≤ Turb &lt; 10,0 uT",IF(O123&lt;15,"10,0 ≤ Turb &lt; 15,0 uT","Turb &gt; 15 uT"))))))</f>
        <v>Turbidez &lt; 2,5 uT</v>
      </c>
      <c r="BC123" s="138" t="str">
        <f>IF(AND(C123&gt;D123,D123&gt;E123),"TOR &gt; SM &gt; BNN",IF(AND(C123&gt;E123,E123&gt;D123),"TOR &gt; BNN &gt; SM",IF(AND(D123&gt;C123,C123&gt;E123),"SM &gt; TOR &gt; BNN",IF(AND(D123&gt;E123,E123&gt;C123),"SM &gt; BNN &gt; TOR",IF(AND(C123=D123,D123=E123),"TOR = SM = BNN","Comb. diferentes")))))</f>
        <v>SM &gt; TOR &gt; BNN</v>
      </c>
      <c r="BD123" s="137" t="str">
        <f>IF(OR(AE123="",AQ123="-"),"",IF(AE123&lt;=0.25,"Tipo 1 (≤0,25) uT",IF(AE123&lt;=0.5,"Tipo 2 (0,25-0,50) uT",IF(AE123&lt;=0.75,"Tipo 3 (0,50-0,75) uT","Tipo 4 (&gt;0,75) uT"))))</f>
        <v>Tipo 1 (≤0,25) uT</v>
      </c>
      <c r="BE123" s="137" t="str">
        <f t="shared" si="7"/>
        <v>Tipo 1 (≤0,25) uT</v>
      </c>
      <c r="BF123" s="137" t="str">
        <f>IF(OR(AF123="",AQ123="-"),"",IF(AF123&lt;=0.25,"Tipo 1 (≤0,25) uT",IF(AF123&lt;=0.5,"Tipo 2 (0,25-0,50) uT",IF(AF123&lt;=0.75,"Tipo 3 (0,50-0,75) uT","Tipo 4 (&gt;0,75) uT"))))</f>
        <v>Tipo 1 (≤0,25) uT</v>
      </c>
      <c r="BG123" s="137" t="str">
        <f t="shared" si="8"/>
        <v>Tipo 1 (≤0,25) uT</v>
      </c>
      <c r="BH123" s="137" t="str">
        <f>IF(OR(R123="",R123="-"),"",IF(R123&lt;=0.25,"Tipo 1 (≤0,25) uT",IF(R123&lt;=0.5,"Tipo 2 (0,25-0,50) uT",IF(R123&lt;=0.75,"Tipo 3 (0,50-0,75) uT","Tipo 4 (&gt;0,75) uT"))))</f>
        <v>Tipo 2 (0,25-0,50) uT</v>
      </c>
    </row>
    <row r="124" spans="1:60" ht="15" thickBot="1" x14ac:dyDescent="0.35">
      <c r="A124" s="75">
        <v>46272</v>
      </c>
      <c r="B124" s="140">
        <v>0.22916666666666666</v>
      </c>
      <c r="C124" s="117">
        <v>504</v>
      </c>
      <c r="D124" s="117">
        <v>1009</v>
      </c>
      <c r="E124" s="117">
        <v>249</v>
      </c>
      <c r="F124" s="117">
        <v>1840</v>
      </c>
      <c r="G124" s="145" t="s">
        <v>100</v>
      </c>
      <c r="H124" s="123">
        <v>11</v>
      </c>
      <c r="I124" s="117">
        <v>105</v>
      </c>
      <c r="J124" s="11">
        <v>90</v>
      </c>
      <c r="K124" s="117">
        <v>90</v>
      </c>
      <c r="L124" s="117">
        <v>90</v>
      </c>
      <c r="M124" s="123">
        <v>22.8</v>
      </c>
      <c r="N124" s="123">
        <v>6.4</v>
      </c>
      <c r="O124" s="80">
        <v>1.45</v>
      </c>
      <c r="P124" s="117">
        <v>8</v>
      </c>
      <c r="Q124" s="123">
        <v>7.3</v>
      </c>
      <c r="R124" s="11">
        <v>0.31</v>
      </c>
      <c r="S124" s="79">
        <v>22.36</v>
      </c>
      <c r="T124" s="79">
        <v>0.88</v>
      </c>
      <c r="U124" s="79">
        <v>0.7</v>
      </c>
      <c r="V124" s="85">
        <f t="shared" si="9"/>
        <v>2070</v>
      </c>
      <c r="W124" s="85">
        <f t="shared" si="10"/>
        <v>1291.8176960000001</v>
      </c>
      <c r="X124" s="85">
        <f t="shared" si="11"/>
        <v>0.62406651980676331</v>
      </c>
      <c r="Y124" s="117">
        <v>2</v>
      </c>
      <c r="Z124" s="117">
        <v>3</v>
      </c>
      <c r="AA124" s="123">
        <v>6.5</v>
      </c>
      <c r="AB124" s="117">
        <v>16</v>
      </c>
      <c r="AC124" s="123">
        <v>6</v>
      </c>
      <c r="AD124" s="123">
        <v>4.2</v>
      </c>
      <c r="AE124" s="80">
        <v>0.17</v>
      </c>
      <c r="AF124" s="80">
        <v>0.23</v>
      </c>
      <c r="AG124" s="85">
        <f>(O124+0.3*H124+2)*(F124/2/AK124)</f>
        <v>1552.5</v>
      </c>
      <c r="AH124" s="85">
        <f t="shared" si="12"/>
        <v>1785.9247275999996</v>
      </c>
      <c r="AI124" s="85">
        <f t="shared" si="13"/>
        <v>1.1503540918518516</v>
      </c>
      <c r="AJ124" s="117">
        <v>2</v>
      </c>
      <c r="AK124" s="117">
        <v>4</v>
      </c>
      <c r="AL124" s="123">
        <v>6.3</v>
      </c>
      <c r="AM124" s="117">
        <v>23</v>
      </c>
      <c r="AN124" s="123">
        <v>6</v>
      </c>
      <c r="AO124" s="123">
        <v>5.3</v>
      </c>
      <c r="AP124" s="80">
        <v>0.17</v>
      </c>
      <c r="AQ124" s="80">
        <v>0.25</v>
      </c>
      <c r="AR124" s="132">
        <f>SUM(C124:E124)</f>
        <v>1762</v>
      </c>
      <c r="AS124" s="134">
        <f>C124/AR124</f>
        <v>0.28603859250851305</v>
      </c>
      <c r="AT124" s="134">
        <f>D124/AR124</f>
        <v>0.57264472190692395</v>
      </c>
      <c r="AU124" s="134">
        <f>E124/AR124</f>
        <v>0.14131668558456301</v>
      </c>
      <c r="AV124" s="151">
        <f>IF(AND(F124&lt;&gt;"",Z124&lt;&gt;""),AB124/(F124/2/Z124),"")</f>
        <v>5.2173913043478258E-2</v>
      </c>
      <c r="AW124" s="151">
        <f>IF(AND(F124&lt;&gt;"",AK124&lt;&gt;""),AM124/(F124/2/AK124),"")</f>
        <v>0.1</v>
      </c>
      <c r="AX124" s="41">
        <f>IF(AND(AQ124&lt;&gt;"",1-(AQ124/O124)&gt;0),1-(AQ124/O124),"")</f>
        <v>0.82758620689655171</v>
      </c>
      <c r="AY124" s="41">
        <f>IF(AND(AF124&lt;&gt;"",1-(AF124/O124)&gt;0),1-(AF124/O124),"")</f>
        <v>0.8413793103448276</v>
      </c>
      <c r="AZ124" s="136" t="str">
        <f>IF(Q124="","",IF(Q124&lt;2.5,"Alc. Bruta &lt; 2,5 mg/L",IF(Q124&lt;5,"2,5 ≤ Alc. Bruta &lt; 5,0 mg/L",IF(Q124&lt;7.5,"5,0 ≤ Alc. Bruta &lt; 7,5 mg/L",IF(Q124&lt;10,"7,5 ≤ Alc. Bruta &lt; 10,0 mg/L",IF(Q124&lt;15,"10,0 ≤ Alca. Bruta &lt; 15,0 mg/L","Alc. Bruta &gt; 15 mg/L"))))))</f>
        <v>5,0 ≤ Alc. Bruta &lt; 7,5 mg/L</v>
      </c>
      <c r="BA124" s="136" t="str">
        <f>IF(P124="","",IF(P124&lt;5,"Cor &lt;5 uC",IF(P124&lt;10,"5 ≤ Cor &lt; 10 uC",IF(P124&lt;15,"10 ≤ Cor &lt;15 uC",IF(P124&lt;30,"15 ≤ Cor &lt; 30 uC",IF(P124&lt;50,"30 ≤ Cor &lt; 50 uC","Cor &gt; 50 uC"))))))</f>
        <v>5 ≤ Cor &lt; 10 uC</v>
      </c>
      <c r="BB124" s="137" t="str">
        <f>IF(O124="","",IF(O124&lt;2.5,"Turbidez &lt; 2,5 uT",IF(O124&lt;5,"2,5 ≤ Turb &lt; 5,0 uT",IF(O124&lt;7.5,"5,0 ≤ Turb &lt; 7,5 uT",IF(O124&lt;10,"7,5 ≤ Turb &lt; 10,0 uT",IF(O124&lt;15,"10,0 ≤ Turb &lt; 15,0 uT","Turb &gt; 15 uT"))))))</f>
        <v>Turbidez &lt; 2,5 uT</v>
      </c>
      <c r="BC124" s="138" t="str">
        <f>IF(AND(C124&gt;D124,D124&gt;E124),"TOR &gt; SM &gt; BNN",IF(AND(C124&gt;E124,E124&gt;D124),"TOR &gt; BNN &gt; SM",IF(AND(D124&gt;C124,C124&gt;E124),"SM &gt; TOR &gt; BNN",IF(AND(D124&gt;E124,E124&gt;C124),"SM &gt; BNN &gt; TOR",IF(AND(C124=D124,D124=E124),"TOR = SM = BNN","Comb. diferentes")))))</f>
        <v>SM &gt; TOR &gt; BNN</v>
      </c>
      <c r="BD124" s="137" t="str">
        <f>IF(OR(AE124="",AQ124="-"),"",IF(AE124&lt;=0.25,"Tipo 1 (≤0,25) uT",IF(AE124&lt;=0.5,"Tipo 2 (0,25-0,50) uT",IF(AE124&lt;=0.75,"Tipo 3 (0,50-0,75) uT","Tipo 4 (&gt;0,75) uT"))))</f>
        <v>Tipo 1 (≤0,25) uT</v>
      </c>
      <c r="BE124" s="137" t="str">
        <f t="shared" si="7"/>
        <v>Tipo 1 (≤0,25) uT</v>
      </c>
      <c r="BF124" s="137" t="str">
        <f>IF(OR(AF124="",AQ124="-"),"",IF(AF124&lt;=0.25,"Tipo 1 (≤0,25) uT",IF(AF124&lt;=0.5,"Tipo 2 (0,25-0,50) uT",IF(AF124&lt;=0.75,"Tipo 3 (0,50-0,75) uT","Tipo 4 (&gt;0,75) uT"))))</f>
        <v>Tipo 1 (≤0,25) uT</v>
      </c>
      <c r="BG124" s="137" t="str">
        <f t="shared" si="8"/>
        <v>Tipo 1 (≤0,25) uT</v>
      </c>
      <c r="BH124" s="137" t="str">
        <f>IF(OR(R124="",R124="-"),"",IF(R124&lt;=0.25,"Tipo 1 (≤0,25) uT",IF(R124&lt;=0.5,"Tipo 2 (0,25-0,50) uT",IF(R124&lt;=0.75,"Tipo 3 (0,50-0,75) uT","Tipo 4 (&gt;0,75) uT"))))</f>
        <v>Tipo 2 (0,25-0,50) uT</v>
      </c>
    </row>
    <row r="125" spans="1:60" x14ac:dyDescent="0.3">
      <c r="A125" s="74">
        <v>46272</v>
      </c>
      <c r="B125" s="139">
        <v>0.39583333333333331</v>
      </c>
      <c r="C125" s="116">
        <v>514</v>
      </c>
      <c r="D125" s="116">
        <v>1024</v>
      </c>
      <c r="E125" s="116">
        <v>250</v>
      </c>
      <c r="F125" s="116">
        <v>1838</v>
      </c>
      <c r="G125" s="144" t="s">
        <v>100</v>
      </c>
      <c r="H125" s="122">
        <v>11</v>
      </c>
      <c r="I125" s="116">
        <v>108</v>
      </c>
      <c r="J125" s="10">
        <v>90</v>
      </c>
      <c r="K125" s="116">
        <v>90</v>
      </c>
      <c r="L125" s="116">
        <v>90</v>
      </c>
      <c r="M125" s="122">
        <v>24.1</v>
      </c>
      <c r="N125" s="122">
        <v>6.6</v>
      </c>
      <c r="O125" s="79">
        <v>1.66</v>
      </c>
      <c r="P125" s="116">
        <v>10</v>
      </c>
      <c r="Q125" s="122">
        <v>7.8</v>
      </c>
      <c r="R125" s="10">
        <v>0.22</v>
      </c>
      <c r="S125" s="79">
        <v>22.36</v>
      </c>
      <c r="T125" s="79">
        <v>0.88</v>
      </c>
      <c r="U125" s="79">
        <v>0.7</v>
      </c>
      <c r="V125" s="85">
        <f t="shared" si="9"/>
        <v>1599.06</v>
      </c>
      <c r="W125" s="85">
        <f t="shared" si="10"/>
        <v>1291.8176960000001</v>
      </c>
      <c r="X125" s="85">
        <f t="shared" si="11"/>
        <v>0.80786067814841223</v>
      </c>
      <c r="Y125" s="116">
        <v>2</v>
      </c>
      <c r="Z125" s="116">
        <v>4</v>
      </c>
      <c r="AA125" s="122">
        <v>6.5</v>
      </c>
      <c r="AB125" s="116">
        <v>16</v>
      </c>
      <c r="AC125" s="122">
        <v>6</v>
      </c>
      <c r="AD125" s="122">
        <v>5.9</v>
      </c>
      <c r="AE125" s="79">
        <v>0.16</v>
      </c>
      <c r="AF125" s="79">
        <v>0.31</v>
      </c>
      <c r="AG125" s="85">
        <f>(O125+0.3*H125+2)*(F125/2/AK125)</f>
        <v>2132.08</v>
      </c>
      <c r="AH125" s="85">
        <f t="shared" si="12"/>
        <v>1785.9247275999996</v>
      </c>
      <c r="AI125" s="85">
        <f t="shared" si="13"/>
        <v>0.83764433210761313</v>
      </c>
      <c r="AJ125" s="116">
        <v>2</v>
      </c>
      <c r="AK125" s="116">
        <v>3</v>
      </c>
      <c r="AL125" s="122">
        <v>6.3</v>
      </c>
      <c r="AM125" s="116">
        <v>23</v>
      </c>
      <c r="AN125" s="122">
        <v>6.1</v>
      </c>
      <c r="AO125" s="122">
        <v>5.7</v>
      </c>
      <c r="AP125" s="79">
        <v>0.15</v>
      </c>
      <c r="AQ125" s="79">
        <v>0.34</v>
      </c>
      <c r="AR125" s="132">
        <f>SUM(C125:E125)</f>
        <v>1788</v>
      </c>
      <c r="AS125" s="134">
        <f>C125/AR125</f>
        <v>0.28747203579418346</v>
      </c>
      <c r="AT125" s="134">
        <f>D125/AR125</f>
        <v>0.57270693512304249</v>
      </c>
      <c r="AU125" s="134">
        <f>E125/AR125</f>
        <v>0.13982102908277405</v>
      </c>
      <c r="AV125" s="151">
        <f>IF(AND(F125&lt;&gt;"",Z125&lt;&gt;""),AB125/(F125/2/Z125),"")</f>
        <v>6.9640914036996737E-2</v>
      </c>
      <c r="AW125" s="151">
        <f>IF(AND(F125&lt;&gt;"",AK125&lt;&gt;""),AM125/(F125/2/AK125),"")</f>
        <v>7.5081610446137106E-2</v>
      </c>
      <c r="AX125" s="41">
        <f>IF(AND(AQ125&lt;&gt;"",1-(AQ125/O125)&gt;0),1-(AQ125/O125),"")</f>
        <v>0.79518072289156627</v>
      </c>
      <c r="AY125" s="41">
        <f>IF(AND(AF125&lt;&gt;"",1-(AF125/O125)&gt;0),1-(AF125/O125),"")</f>
        <v>0.81325301204819278</v>
      </c>
      <c r="AZ125" s="136" t="str">
        <f>IF(Q125="","",IF(Q125&lt;2.5,"Alc. Bruta &lt; 2,5 mg/L",IF(Q125&lt;5,"2,5 ≤ Alc. Bruta &lt; 5,0 mg/L",IF(Q125&lt;7.5,"5,0 ≤ Alc. Bruta &lt; 7,5 mg/L",IF(Q125&lt;10,"7,5 ≤ Alc. Bruta &lt; 10,0 mg/L",IF(Q125&lt;15,"10,0 ≤ Alca. Bruta &lt; 15,0 mg/L","Alc. Bruta &gt; 15 mg/L"))))))</f>
        <v>7,5 ≤ Alc. Bruta &lt; 10,0 mg/L</v>
      </c>
      <c r="BA125" s="136" t="str">
        <f>IF(P125="","",IF(P125&lt;5,"Cor &lt;5 uC",IF(P125&lt;10,"5 ≤ Cor &lt; 10 uC",IF(P125&lt;15,"10 ≤ Cor &lt;15 uC",IF(P125&lt;30,"15 ≤ Cor &lt; 30 uC",IF(P125&lt;50,"30 ≤ Cor &lt; 50 uC","Cor &gt; 50 uC"))))))</f>
        <v>10 ≤ Cor &lt;15 uC</v>
      </c>
      <c r="BB125" s="137" t="str">
        <f>IF(O125="","",IF(O125&lt;2.5,"Turbidez &lt; 2,5 uT",IF(O125&lt;5,"2,5 ≤ Turb &lt; 5,0 uT",IF(O125&lt;7.5,"5,0 ≤ Turb &lt; 7,5 uT",IF(O125&lt;10,"7,5 ≤ Turb &lt; 10,0 uT",IF(O125&lt;15,"10,0 ≤ Turb &lt; 15,0 uT","Turb &gt; 15 uT"))))))</f>
        <v>Turbidez &lt; 2,5 uT</v>
      </c>
      <c r="BC125" s="138" t="str">
        <f>IF(AND(C125&gt;D125,D125&gt;E125),"TOR &gt; SM &gt; BNN",IF(AND(C125&gt;E125,E125&gt;D125),"TOR &gt; BNN &gt; SM",IF(AND(D125&gt;C125,C125&gt;E125),"SM &gt; TOR &gt; BNN",IF(AND(D125&gt;E125,E125&gt;C125),"SM &gt; BNN &gt; TOR",IF(AND(C125=D125,D125=E125),"TOR = SM = BNN","Comb. diferentes")))))</f>
        <v>SM &gt; TOR &gt; BNN</v>
      </c>
      <c r="BD125" s="137" t="str">
        <f>IF(OR(AE125="",AQ125="-"),"",IF(AE125&lt;=0.25,"Tipo 1 (≤0,25) uT",IF(AE125&lt;=0.5,"Tipo 2 (0,25-0,50) uT",IF(AE125&lt;=0.75,"Tipo 3 (0,50-0,75) uT","Tipo 4 (&gt;0,75) uT"))))</f>
        <v>Tipo 1 (≤0,25) uT</v>
      </c>
      <c r="BE125" s="137" t="str">
        <f t="shared" si="7"/>
        <v>Tipo 1 (≤0,25) uT</v>
      </c>
      <c r="BF125" s="137" t="str">
        <f>IF(OR(AF125="",AQ125="-"),"",IF(AF125&lt;=0.25,"Tipo 1 (≤0,25) uT",IF(AF125&lt;=0.5,"Tipo 2 (0,25-0,50) uT",IF(AF125&lt;=0.75,"Tipo 3 (0,50-0,75) uT","Tipo 4 (&gt;0,75) uT"))))</f>
        <v>Tipo 2 (0,25-0,50) uT</v>
      </c>
      <c r="BG125" s="137" t="str">
        <f t="shared" si="8"/>
        <v>Tipo 2 (0,25-0,50) uT</v>
      </c>
      <c r="BH125" s="137" t="str">
        <f>IF(OR(R125="",R125="-"),"",IF(R125&lt;=0.25,"Tipo 1 (≤0,25) uT",IF(R125&lt;=0.5,"Tipo 2 (0,25-0,50) uT",IF(R125&lt;=0.75,"Tipo 3 (0,50-0,75) uT","Tipo 4 (&gt;0,75) uT"))))</f>
        <v>Tipo 1 (≤0,25) uT</v>
      </c>
    </row>
    <row r="126" spans="1:60" x14ac:dyDescent="0.3">
      <c r="A126" s="74">
        <v>46272</v>
      </c>
      <c r="B126" s="139">
        <v>0.47916666666666669</v>
      </c>
      <c r="C126" s="116">
        <v>513</v>
      </c>
      <c r="D126" s="116">
        <v>1041</v>
      </c>
      <c r="E126" s="116">
        <v>250</v>
      </c>
      <c r="F126" s="116">
        <v>1834</v>
      </c>
      <c r="G126" s="144" t="s">
        <v>100</v>
      </c>
      <c r="H126" s="122">
        <v>11</v>
      </c>
      <c r="I126" s="116">
        <v>111</v>
      </c>
      <c r="J126" s="10">
        <v>90</v>
      </c>
      <c r="K126" s="116">
        <v>90</v>
      </c>
      <c r="L126" s="116">
        <v>90</v>
      </c>
      <c r="M126" s="122">
        <v>24.4</v>
      </c>
      <c r="N126" s="122">
        <v>6.6</v>
      </c>
      <c r="O126" s="79">
        <v>1.74</v>
      </c>
      <c r="P126" s="116">
        <v>9</v>
      </c>
      <c r="Q126" s="122">
        <v>8.6999999999999993</v>
      </c>
      <c r="R126" s="10">
        <v>0.17</v>
      </c>
      <c r="S126" s="79">
        <v>22.36</v>
      </c>
      <c r="T126" s="79">
        <v>0.88</v>
      </c>
      <c r="U126" s="79">
        <v>0.7</v>
      </c>
      <c r="V126" s="85">
        <f t="shared" si="9"/>
        <v>1613.92</v>
      </c>
      <c r="W126" s="85">
        <f t="shared" si="10"/>
        <v>1291.8176960000001</v>
      </c>
      <c r="X126" s="85">
        <f t="shared" si="11"/>
        <v>0.80042238524833942</v>
      </c>
      <c r="Y126" s="116">
        <v>2</v>
      </c>
      <c r="Z126" s="116">
        <v>4</v>
      </c>
      <c r="AA126" s="122">
        <v>6.5</v>
      </c>
      <c r="AB126" s="116">
        <v>16</v>
      </c>
      <c r="AC126" s="122">
        <v>6.2</v>
      </c>
      <c r="AD126" s="122">
        <v>6</v>
      </c>
      <c r="AE126" s="79">
        <v>0.13</v>
      </c>
      <c r="AF126" s="79">
        <v>0.26</v>
      </c>
      <c r="AG126" s="85">
        <f>(O126+0.3*H126+2)*(F126/2/AK126)</f>
        <v>2151.8933333333334</v>
      </c>
      <c r="AH126" s="85">
        <f t="shared" si="12"/>
        <v>1785.9247275999996</v>
      </c>
      <c r="AI126" s="85">
        <f t="shared" si="13"/>
        <v>0.82993180932140354</v>
      </c>
      <c r="AJ126" s="116">
        <v>2</v>
      </c>
      <c r="AK126" s="116">
        <v>3</v>
      </c>
      <c r="AL126" s="122">
        <v>6.3</v>
      </c>
      <c r="AM126" s="116">
        <v>23</v>
      </c>
      <c r="AN126" s="122">
        <v>6.2</v>
      </c>
      <c r="AO126" s="122">
        <v>5.6</v>
      </c>
      <c r="AP126" s="79">
        <v>0.12</v>
      </c>
      <c r="AQ126" s="79">
        <v>0.28000000000000003</v>
      </c>
      <c r="AR126" s="132">
        <f>SUM(C126:E126)</f>
        <v>1804</v>
      </c>
      <c r="AS126" s="134">
        <f>C126/AR126</f>
        <v>0.2843680709534368</v>
      </c>
      <c r="AT126" s="134">
        <f>D126/AR126</f>
        <v>0.57705099778270508</v>
      </c>
      <c r="AU126" s="134">
        <f>E126/AR126</f>
        <v>0.13858093126385809</v>
      </c>
      <c r="AV126" s="151">
        <f>IF(AND(F126&lt;&gt;"",Z126&lt;&gt;""),AB126/(F126/2/Z126),"")</f>
        <v>6.9792802617230101E-2</v>
      </c>
      <c r="AW126" s="151">
        <f>IF(AND(F126&lt;&gt;"",AK126&lt;&gt;""),AM126/(F126/2/AK126),"")</f>
        <v>7.5245365321701188E-2</v>
      </c>
      <c r="AX126" s="41">
        <f>IF(AND(AQ126&lt;&gt;"",1-(AQ126/O126)&gt;0),1-(AQ126/O126),"")</f>
        <v>0.83908045977011492</v>
      </c>
      <c r="AY126" s="41">
        <f>IF(AND(AF126&lt;&gt;"",1-(AF126/O126)&gt;0),1-(AF126/O126),"")</f>
        <v>0.85057471264367812</v>
      </c>
      <c r="AZ126" s="136" t="str">
        <f>IF(Q126="","",IF(Q126&lt;2.5,"Alc. Bruta &lt; 2,5 mg/L",IF(Q126&lt;5,"2,5 ≤ Alc. Bruta &lt; 5,0 mg/L",IF(Q126&lt;7.5,"5,0 ≤ Alc. Bruta &lt; 7,5 mg/L",IF(Q126&lt;10,"7,5 ≤ Alc. Bruta &lt; 10,0 mg/L",IF(Q126&lt;15,"10,0 ≤ Alca. Bruta &lt; 15,0 mg/L","Alc. Bruta &gt; 15 mg/L"))))))</f>
        <v>7,5 ≤ Alc. Bruta &lt; 10,0 mg/L</v>
      </c>
      <c r="BA126" s="136" t="str">
        <f>IF(P126="","",IF(P126&lt;5,"Cor &lt;5 uC",IF(P126&lt;10,"5 ≤ Cor &lt; 10 uC",IF(P126&lt;15,"10 ≤ Cor &lt;15 uC",IF(P126&lt;30,"15 ≤ Cor &lt; 30 uC",IF(P126&lt;50,"30 ≤ Cor &lt; 50 uC","Cor &gt; 50 uC"))))))</f>
        <v>5 ≤ Cor &lt; 10 uC</v>
      </c>
      <c r="BB126" s="137" t="str">
        <f>IF(O126="","",IF(O126&lt;2.5,"Turbidez &lt; 2,5 uT",IF(O126&lt;5,"2,5 ≤ Turb &lt; 5,0 uT",IF(O126&lt;7.5,"5,0 ≤ Turb &lt; 7,5 uT",IF(O126&lt;10,"7,5 ≤ Turb &lt; 10,0 uT",IF(O126&lt;15,"10,0 ≤ Turb &lt; 15,0 uT","Turb &gt; 15 uT"))))))</f>
        <v>Turbidez &lt; 2,5 uT</v>
      </c>
      <c r="BC126" s="138" t="str">
        <f>IF(AND(C126&gt;D126,D126&gt;E126),"TOR &gt; SM &gt; BNN",IF(AND(C126&gt;E126,E126&gt;D126),"TOR &gt; BNN &gt; SM",IF(AND(D126&gt;C126,C126&gt;E126),"SM &gt; TOR &gt; BNN",IF(AND(D126&gt;E126,E126&gt;C126),"SM &gt; BNN &gt; TOR",IF(AND(C126=D126,D126=E126),"TOR = SM = BNN","Comb. diferentes")))))</f>
        <v>SM &gt; TOR &gt; BNN</v>
      </c>
      <c r="BD126" s="137" t="str">
        <f>IF(OR(AE126="",AQ126="-"),"",IF(AE126&lt;=0.25,"Tipo 1 (≤0,25) uT",IF(AE126&lt;=0.5,"Tipo 2 (0,25-0,50) uT",IF(AE126&lt;=0.75,"Tipo 3 (0,50-0,75) uT","Tipo 4 (&gt;0,75) uT"))))</f>
        <v>Tipo 1 (≤0,25) uT</v>
      </c>
      <c r="BE126" s="137" t="str">
        <f t="shared" si="7"/>
        <v>Tipo 1 (≤0,25) uT</v>
      </c>
      <c r="BF126" s="137" t="str">
        <f>IF(OR(AF126="",AQ126="-"),"",IF(AF126&lt;=0.25,"Tipo 1 (≤0,25) uT",IF(AF126&lt;=0.5,"Tipo 2 (0,25-0,50) uT",IF(AF126&lt;=0.75,"Tipo 3 (0,50-0,75) uT","Tipo 4 (&gt;0,75) uT"))))</f>
        <v>Tipo 2 (0,25-0,50) uT</v>
      </c>
      <c r="BG126" s="137" t="str">
        <f t="shared" si="8"/>
        <v>Tipo 2 (0,25-0,50) uT</v>
      </c>
      <c r="BH126" s="137" t="str">
        <f>IF(OR(R126="",R126="-"),"",IF(R126&lt;=0.25,"Tipo 1 (≤0,25) uT",IF(R126&lt;=0.5,"Tipo 2 (0,25-0,50) uT",IF(R126&lt;=0.75,"Tipo 3 (0,50-0,75) uT","Tipo 4 (&gt;0,75) uT"))))</f>
        <v>Tipo 1 (≤0,25) uT</v>
      </c>
    </row>
    <row r="127" spans="1:60" x14ac:dyDescent="0.3">
      <c r="A127" s="74">
        <v>46272</v>
      </c>
      <c r="B127" s="139">
        <v>0.64583333333333337</v>
      </c>
      <c r="C127" s="116">
        <v>539</v>
      </c>
      <c r="D127" s="116">
        <v>67</v>
      </c>
      <c r="E127" s="116">
        <v>311</v>
      </c>
      <c r="F127" s="116">
        <v>994</v>
      </c>
      <c r="G127" s="144" t="s">
        <v>100</v>
      </c>
      <c r="H127" s="122">
        <v>11</v>
      </c>
      <c r="I127" s="116">
        <v>113</v>
      </c>
      <c r="J127" s="10">
        <v>90</v>
      </c>
      <c r="K127" s="116">
        <v>90</v>
      </c>
      <c r="L127" s="116">
        <v>90</v>
      </c>
      <c r="M127" s="122">
        <v>24.3</v>
      </c>
      <c r="N127" s="122">
        <v>6.5</v>
      </c>
      <c r="O127" s="79">
        <v>2.12</v>
      </c>
      <c r="P127" s="116">
        <v>12</v>
      </c>
      <c r="Q127" s="122">
        <v>8.1</v>
      </c>
      <c r="R127" s="10">
        <v>0.09</v>
      </c>
      <c r="S127" s="79">
        <v>22.36</v>
      </c>
      <c r="T127" s="79">
        <v>0.88</v>
      </c>
      <c r="U127" s="79">
        <v>0.7</v>
      </c>
      <c r="V127" s="85">
        <f t="shared" si="9"/>
        <v>1229.2466666666667</v>
      </c>
      <c r="W127" s="85">
        <f t="shared" si="10"/>
        <v>1291.8176960000001</v>
      </c>
      <c r="X127" s="85">
        <f t="shared" si="11"/>
        <v>1.0509019312641348</v>
      </c>
      <c r="Y127" s="116">
        <v>1</v>
      </c>
      <c r="Z127" s="116">
        <v>3</v>
      </c>
      <c r="AA127" s="122">
        <v>6.5</v>
      </c>
      <c r="AB127" s="116">
        <v>16</v>
      </c>
      <c r="AC127" s="122">
        <v>5.9</v>
      </c>
      <c r="AD127" s="122">
        <v>4.5999999999999996</v>
      </c>
      <c r="AE127" s="79">
        <v>0.22</v>
      </c>
      <c r="AF127" s="79">
        <v>0.23</v>
      </c>
      <c r="AG127" s="85">
        <f>(O127+0.3*H127+2)*(F127/2/AK127)</f>
        <v>1229.2466666666667</v>
      </c>
      <c r="AH127" s="85">
        <f t="shared" si="12"/>
        <v>1863.9799099999998</v>
      </c>
      <c r="AI127" s="85">
        <f t="shared" si="13"/>
        <v>1.5163595399892615</v>
      </c>
      <c r="AJ127" s="116">
        <v>2</v>
      </c>
      <c r="AK127" s="116">
        <v>3</v>
      </c>
      <c r="AL127" s="122">
        <v>6.1</v>
      </c>
      <c r="AM127" s="116">
        <v>25</v>
      </c>
      <c r="AN127" s="122">
        <v>6</v>
      </c>
      <c r="AO127" s="122">
        <v>4.8</v>
      </c>
      <c r="AP127" s="79">
        <v>0.19</v>
      </c>
      <c r="AQ127" s="79">
        <v>0.26</v>
      </c>
      <c r="AR127" s="132">
        <f>SUM(C127:E127)</f>
        <v>917</v>
      </c>
      <c r="AS127" s="134">
        <f>C127/AR127</f>
        <v>0.58778625954198471</v>
      </c>
      <c r="AT127" s="134">
        <f>D127/AR127</f>
        <v>7.3064340239912762E-2</v>
      </c>
      <c r="AU127" s="134">
        <f>E127/AR127</f>
        <v>0.33914940021810253</v>
      </c>
      <c r="AV127" s="151">
        <f>IF(AND(F127&lt;&gt;"",Z127&lt;&gt;""),AB127/(F127/2/Z127),"")</f>
        <v>9.657947686116701E-2</v>
      </c>
      <c r="AW127" s="151">
        <f>IF(AND(F127&lt;&gt;"",AK127&lt;&gt;""),AM127/(F127/2/AK127),"")</f>
        <v>0.15090543259557346</v>
      </c>
      <c r="AX127" s="41">
        <f>IF(AND(AQ127&lt;&gt;"",1-(AQ127/O127)&gt;0),1-(AQ127/O127),"")</f>
        <v>0.87735849056603776</v>
      </c>
      <c r="AY127" s="41">
        <f>IF(AND(AF127&lt;&gt;"",1-(AF127/O127)&gt;0),1-(AF127/O127),"")</f>
        <v>0.89150943396226412</v>
      </c>
      <c r="AZ127" s="136" t="str">
        <f>IF(Q127="","",IF(Q127&lt;2.5,"Alc. Bruta &lt; 2,5 mg/L",IF(Q127&lt;5,"2,5 ≤ Alc. Bruta &lt; 5,0 mg/L",IF(Q127&lt;7.5,"5,0 ≤ Alc. Bruta &lt; 7,5 mg/L",IF(Q127&lt;10,"7,5 ≤ Alc. Bruta &lt; 10,0 mg/L",IF(Q127&lt;15,"10,0 ≤ Alca. Bruta &lt; 15,0 mg/L","Alc. Bruta &gt; 15 mg/L"))))))</f>
        <v>7,5 ≤ Alc. Bruta &lt; 10,0 mg/L</v>
      </c>
      <c r="BA127" s="136" t="str">
        <f>IF(P127="","",IF(P127&lt;5,"Cor &lt;5 uC",IF(P127&lt;10,"5 ≤ Cor &lt; 10 uC",IF(P127&lt;15,"10 ≤ Cor &lt;15 uC",IF(P127&lt;30,"15 ≤ Cor &lt; 30 uC",IF(P127&lt;50,"30 ≤ Cor &lt; 50 uC","Cor &gt; 50 uC"))))))</f>
        <v>10 ≤ Cor &lt;15 uC</v>
      </c>
      <c r="BB127" s="137" t="str">
        <f>IF(O127="","",IF(O127&lt;2.5,"Turbidez &lt; 2,5 uT",IF(O127&lt;5,"2,5 ≤ Turb &lt; 5,0 uT",IF(O127&lt;7.5,"5,0 ≤ Turb &lt; 7,5 uT",IF(O127&lt;10,"7,5 ≤ Turb &lt; 10,0 uT",IF(O127&lt;15,"10,0 ≤ Turb &lt; 15,0 uT","Turb &gt; 15 uT"))))))</f>
        <v>Turbidez &lt; 2,5 uT</v>
      </c>
      <c r="BC127" s="138" t="str">
        <f>IF(AND(C127&gt;D127,D127&gt;E127),"TOR &gt; SM &gt; BNN",IF(AND(C127&gt;E127,E127&gt;D127),"TOR &gt; BNN &gt; SM",IF(AND(D127&gt;C127,C127&gt;E127),"SM &gt; TOR &gt; BNN",IF(AND(D127&gt;E127,E127&gt;C127),"SM &gt; BNN &gt; TOR",IF(AND(C127=D127,D127=E127),"TOR = SM = BNN","Comb. diferentes")))))</f>
        <v>TOR &gt; BNN &gt; SM</v>
      </c>
      <c r="BD127" s="137" t="str">
        <f>IF(OR(AE127="",AQ127="-"),"",IF(AE127&lt;=0.25,"Tipo 1 (≤0,25) uT",IF(AE127&lt;=0.5,"Tipo 2 (0,25-0,50) uT",IF(AE127&lt;=0.75,"Tipo 3 (0,50-0,75) uT","Tipo 4 (&gt;0,75) uT"))))</f>
        <v>Tipo 1 (≤0,25) uT</v>
      </c>
      <c r="BE127" s="137" t="str">
        <f t="shared" si="7"/>
        <v>Tipo 1 (≤0,25) uT</v>
      </c>
      <c r="BF127" s="137" t="str">
        <f>IF(OR(AF127="",AQ127="-"),"",IF(AF127&lt;=0.25,"Tipo 1 (≤0,25) uT",IF(AF127&lt;=0.5,"Tipo 2 (0,25-0,50) uT",IF(AF127&lt;=0.75,"Tipo 3 (0,50-0,75) uT","Tipo 4 (&gt;0,75) uT"))))</f>
        <v>Tipo 1 (≤0,25) uT</v>
      </c>
      <c r="BG127" s="137" t="str">
        <f t="shared" si="8"/>
        <v>Tipo 2 (0,25-0,50) uT</v>
      </c>
      <c r="BH127" s="137" t="str">
        <f>IF(OR(R127="",R127="-"),"",IF(R127&lt;=0.25,"Tipo 1 (≤0,25) uT",IF(R127&lt;=0.5,"Tipo 2 (0,25-0,50) uT",IF(R127&lt;=0.75,"Tipo 3 (0,50-0,75) uT","Tipo 4 (&gt;0,75) uT"))))</f>
        <v>Tipo 1 (≤0,25) uT</v>
      </c>
    </row>
    <row r="128" spans="1:60" x14ac:dyDescent="0.3">
      <c r="A128" s="74">
        <v>46272</v>
      </c>
      <c r="B128" s="139">
        <v>0.72916666666666663</v>
      </c>
      <c r="C128" s="116">
        <v>537</v>
      </c>
      <c r="D128" s="116">
        <v>776</v>
      </c>
      <c r="E128" s="116">
        <v>0</v>
      </c>
      <c r="F128" s="116">
        <v>1376</v>
      </c>
      <c r="G128" s="144" t="s">
        <v>100</v>
      </c>
      <c r="H128" s="122">
        <v>11</v>
      </c>
      <c r="I128" s="116">
        <v>112</v>
      </c>
      <c r="J128" s="10">
        <v>90</v>
      </c>
      <c r="K128" s="116">
        <v>90</v>
      </c>
      <c r="L128" s="116">
        <v>90</v>
      </c>
      <c r="M128" s="122">
        <v>24</v>
      </c>
      <c r="N128" s="122">
        <v>6.5</v>
      </c>
      <c r="O128" s="79">
        <v>3.23</v>
      </c>
      <c r="P128" s="116">
        <v>16</v>
      </c>
      <c r="Q128" s="122">
        <v>7.9</v>
      </c>
      <c r="R128" s="10">
        <v>0.16</v>
      </c>
      <c r="S128" s="79">
        <v>22.36</v>
      </c>
      <c r="T128" s="79">
        <v>0.88</v>
      </c>
      <c r="U128" s="79">
        <v>0.7</v>
      </c>
      <c r="V128" s="85">
        <f t="shared" si="9"/>
        <v>1956.2133333333334</v>
      </c>
      <c r="W128" s="85">
        <f t="shared" si="10"/>
        <v>1291.8176960000001</v>
      </c>
      <c r="X128" s="85">
        <f t="shared" si="11"/>
        <v>0.66036647127784298</v>
      </c>
      <c r="Y128" s="116">
        <v>1</v>
      </c>
      <c r="Z128" s="116">
        <v>3</v>
      </c>
      <c r="AA128" s="122">
        <v>6.5</v>
      </c>
      <c r="AB128" s="116">
        <v>16</v>
      </c>
      <c r="AC128" s="122">
        <v>6.2</v>
      </c>
      <c r="AD128" s="122">
        <v>5.2</v>
      </c>
      <c r="AE128" s="79">
        <v>0.14000000000000001</v>
      </c>
      <c r="AF128" s="79">
        <v>0.3</v>
      </c>
      <c r="AG128" s="85">
        <f>(O128+0.3*H128+2)*(F128/2/AK128)</f>
        <v>1956.2133333333334</v>
      </c>
      <c r="AH128" s="85">
        <f t="shared" si="12"/>
        <v>1863.9799099999998</v>
      </c>
      <c r="AI128" s="85">
        <f t="shared" si="13"/>
        <v>0.95285104044548641</v>
      </c>
      <c r="AJ128" s="116">
        <v>2</v>
      </c>
      <c r="AK128" s="116">
        <v>3</v>
      </c>
      <c r="AL128" s="122">
        <v>6.1</v>
      </c>
      <c r="AM128" s="116">
        <v>25</v>
      </c>
      <c r="AN128" s="122">
        <v>6.2</v>
      </c>
      <c r="AO128" s="122">
        <v>5.9</v>
      </c>
      <c r="AP128" s="79">
        <v>0.11</v>
      </c>
      <c r="AQ128" s="79">
        <v>0.23</v>
      </c>
      <c r="AR128" s="132">
        <f>SUM(C128:E128)</f>
        <v>1313</v>
      </c>
      <c r="AS128" s="134">
        <f>C128/AR128</f>
        <v>0.40898705255140899</v>
      </c>
      <c r="AT128" s="134">
        <f>D128/AR128</f>
        <v>0.59101294744859101</v>
      </c>
      <c r="AU128" s="134">
        <f>E128/AR128</f>
        <v>0</v>
      </c>
      <c r="AV128" s="151">
        <f>IF(AND(F128&lt;&gt;"",Z128&lt;&gt;""),AB128/(F128/2/Z128),"")</f>
        <v>6.9767441860465115E-2</v>
      </c>
      <c r="AW128" s="151">
        <f>IF(AND(F128&lt;&gt;"",AK128&lt;&gt;""),AM128/(F128/2/AK128),"")</f>
        <v>0.10901162790697674</v>
      </c>
      <c r="AX128" s="41">
        <f>IF(AND(AQ128&lt;&gt;"",1-(AQ128/O128)&gt;0),1-(AQ128/O128),"")</f>
        <v>0.92879256965944268</v>
      </c>
      <c r="AY128" s="41">
        <f>IF(AND(AF128&lt;&gt;"",1-(AF128/O128)&gt;0),1-(AF128/O128),"")</f>
        <v>0.90712074303405577</v>
      </c>
      <c r="AZ128" s="136" t="str">
        <f>IF(Q128="","",IF(Q128&lt;2.5,"Alc. Bruta &lt; 2,5 mg/L",IF(Q128&lt;5,"2,5 ≤ Alc. Bruta &lt; 5,0 mg/L",IF(Q128&lt;7.5,"5,0 ≤ Alc. Bruta &lt; 7,5 mg/L",IF(Q128&lt;10,"7,5 ≤ Alc. Bruta &lt; 10,0 mg/L",IF(Q128&lt;15,"10,0 ≤ Alca. Bruta &lt; 15,0 mg/L","Alc. Bruta &gt; 15 mg/L"))))))</f>
        <v>7,5 ≤ Alc. Bruta &lt; 10,0 mg/L</v>
      </c>
      <c r="BA128" s="136" t="str">
        <f>IF(P128="","",IF(P128&lt;5,"Cor &lt;5 uC",IF(P128&lt;10,"5 ≤ Cor &lt; 10 uC",IF(P128&lt;15,"10 ≤ Cor &lt;15 uC",IF(P128&lt;30,"15 ≤ Cor &lt; 30 uC",IF(P128&lt;50,"30 ≤ Cor &lt; 50 uC","Cor &gt; 50 uC"))))))</f>
        <v>15 ≤ Cor &lt; 30 uC</v>
      </c>
      <c r="BB128" s="137" t="str">
        <f>IF(O128="","",IF(O128&lt;2.5,"Turbidez &lt; 2,5 uT",IF(O128&lt;5,"2,5 ≤ Turb &lt; 5,0 uT",IF(O128&lt;7.5,"5,0 ≤ Turb &lt; 7,5 uT",IF(O128&lt;10,"7,5 ≤ Turb &lt; 10,0 uT",IF(O128&lt;15,"10,0 ≤ Turb &lt; 15,0 uT","Turb &gt; 15 uT"))))))</f>
        <v>2,5 ≤ Turb &lt; 5,0 uT</v>
      </c>
      <c r="BC128" s="138" t="str">
        <f>IF(AND(C128&gt;D128,D128&gt;E128),"TOR &gt; SM &gt; BNN",IF(AND(C128&gt;E128,E128&gt;D128),"TOR &gt; BNN &gt; SM",IF(AND(D128&gt;C128,C128&gt;E128),"SM &gt; TOR &gt; BNN",IF(AND(D128&gt;E128,E128&gt;C128),"SM &gt; BNN &gt; TOR",IF(AND(C128=D128,D128=E128),"TOR = SM = BNN","Comb. diferentes")))))</f>
        <v>SM &gt; TOR &gt; BNN</v>
      </c>
      <c r="BD128" s="137" t="str">
        <f>IF(OR(AE128="",AQ128="-"),"",IF(AE128&lt;=0.25,"Tipo 1 (≤0,25) uT",IF(AE128&lt;=0.5,"Tipo 2 (0,25-0,50) uT",IF(AE128&lt;=0.75,"Tipo 3 (0,50-0,75) uT","Tipo 4 (&gt;0,75) uT"))))</f>
        <v>Tipo 1 (≤0,25) uT</v>
      </c>
      <c r="BE128" s="137" t="str">
        <f t="shared" si="7"/>
        <v>Tipo 1 (≤0,25) uT</v>
      </c>
      <c r="BF128" s="137" t="str">
        <f>IF(OR(AF128="",AQ128="-"),"",IF(AF128&lt;=0.25,"Tipo 1 (≤0,25) uT",IF(AF128&lt;=0.5,"Tipo 2 (0,25-0,50) uT",IF(AF128&lt;=0.75,"Tipo 3 (0,50-0,75) uT","Tipo 4 (&gt;0,75) uT"))))</f>
        <v>Tipo 2 (0,25-0,50) uT</v>
      </c>
      <c r="BG128" s="137" t="str">
        <f t="shared" si="8"/>
        <v>Tipo 1 (≤0,25) uT</v>
      </c>
      <c r="BH128" s="137" t="str">
        <f>IF(OR(R128="",R128="-"),"",IF(R128&lt;=0.25,"Tipo 1 (≤0,25) uT",IF(R128&lt;=0.5,"Tipo 2 (0,25-0,50) uT",IF(R128&lt;=0.75,"Tipo 3 (0,50-0,75) uT","Tipo 4 (&gt;0,75) uT"))))</f>
        <v>Tipo 1 (≤0,25) uT</v>
      </c>
    </row>
    <row r="129" spans="1:60" x14ac:dyDescent="0.3">
      <c r="A129" s="74">
        <v>46272</v>
      </c>
      <c r="B129" s="139">
        <v>0.8125</v>
      </c>
      <c r="C129" s="116">
        <v>532</v>
      </c>
      <c r="D129" s="116">
        <v>774</v>
      </c>
      <c r="E129" s="116">
        <v>0</v>
      </c>
      <c r="F129" s="116">
        <v>1284</v>
      </c>
      <c r="G129" s="144" t="s">
        <v>100</v>
      </c>
      <c r="H129" s="122">
        <v>11</v>
      </c>
      <c r="I129" s="116">
        <v>113</v>
      </c>
      <c r="J129" s="10">
        <v>90</v>
      </c>
      <c r="K129" s="116">
        <v>90</v>
      </c>
      <c r="L129" s="116">
        <v>90</v>
      </c>
      <c r="M129" s="122">
        <v>23.8</v>
      </c>
      <c r="N129" s="122">
        <v>6.4</v>
      </c>
      <c r="O129" s="79">
        <v>1.51</v>
      </c>
      <c r="P129" s="116">
        <v>9</v>
      </c>
      <c r="Q129" s="122">
        <v>5.8</v>
      </c>
      <c r="R129" s="10">
        <v>0.36</v>
      </c>
      <c r="S129" s="79">
        <v>22.36</v>
      </c>
      <c r="T129" s="79">
        <v>0.88</v>
      </c>
      <c r="U129" s="79">
        <v>0.7</v>
      </c>
      <c r="V129" s="85">
        <f t="shared" si="9"/>
        <v>1457.34</v>
      </c>
      <c r="W129" s="85">
        <f t="shared" si="10"/>
        <v>1291.8176960000001</v>
      </c>
      <c r="X129" s="85">
        <f t="shared" si="11"/>
        <v>0.88642162844634753</v>
      </c>
      <c r="Y129" s="116">
        <v>1</v>
      </c>
      <c r="Z129" s="116">
        <v>3</v>
      </c>
      <c r="AA129" s="122">
        <v>6.5</v>
      </c>
      <c r="AB129" s="116">
        <v>16</v>
      </c>
      <c r="AC129" s="122">
        <v>5.4</v>
      </c>
      <c r="AD129" s="122">
        <v>2.1</v>
      </c>
      <c r="AE129" s="79">
        <v>0.9</v>
      </c>
      <c r="AF129" s="79">
        <v>0.45</v>
      </c>
      <c r="AG129" s="85">
        <f>(O129+0.3*H129+2)*(F129/2/AK129)</f>
        <v>2186.0099999999998</v>
      </c>
      <c r="AH129" s="85">
        <f t="shared" si="12"/>
        <v>1863.9799099999998</v>
      </c>
      <c r="AI129" s="85">
        <f t="shared" si="13"/>
        <v>0.852685902626246</v>
      </c>
      <c r="AJ129" s="116">
        <v>2</v>
      </c>
      <c r="AK129" s="116">
        <v>2</v>
      </c>
      <c r="AL129" s="122">
        <v>6.1</v>
      </c>
      <c r="AM129" s="116">
        <v>25</v>
      </c>
      <c r="AN129" s="122">
        <v>5.4</v>
      </c>
      <c r="AO129" s="122">
        <v>2.5</v>
      </c>
      <c r="AP129" s="79">
        <v>0.17</v>
      </c>
      <c r="AQ129" s="79">
        <v>1.21</v>
      </c>
      <c r="AR129" s="132">
        <f>SUM(C129:E129)</f>
        <v>1306</v>
      </c>
      <c r="AS129" s="134">
        <f>C129/AR129</f>
        <v>0.40735068912710565</v>
      </c>
      <c r="AT129" s="134">
        <f>D129/AR129</f>
        <v>0.5926493108728943</v>
      </c>
      <c r="AU129" s="134">
        <f>E129/AR129</f>
        <v>0</v>
      </c>
      <c r="AV129" s="151">
        <f>IF(AND(F129&lt;&gt;"",Z129&lt;&gt;""),AB129/(F129/2/Z129),"")</f>
        <v>7.476635514018691E-2</v>
      </c>
      <c r="AW129" s="151">
        <f>IF(AND(F129&lt;&gt;"",AK129&lt;&gt;""),AM129/(F129/2/AK129),"")</f>
        <v>7.7881619937694699E-2</v>
      </c>
      <c r="AX129" s="41">
        <f>IF(AND(AQ129&lt;&gt;"",1-(AQ129/O129)&gt;0),1-(AQ129/O129),"")</f>
        <v>0.19867549668874174</v>
      </c>
      <c r="AY129" s="41">
        <f>IF(AND(AF129&lt;&gt;"",1-(AF129/O129)&gt;0),1-(AF129/O129),"")</f>
        <v>0.70198675496688745</v>
      </c>
      <c r="AZ129" s="136" t="str">
        <f>IF(Q129="","",IF(Q129&lt;2.5,"Alc. Bruta &lt; 2,5 mg/L",IF(Q129&lt;5,"2,5 ≤ Alc. Bruta &lt; 5,0 mg/L",IF(Q129&lt;7.5,"5,0 ≤ Alc. Bruta &lt; 7,5 mg/L",IF(Q129&lt;10,"7,5 ≤ Alc. Bruta &lt; 10,0 mg/L",IF(Q129&lt;15,"10,0 ≤ Alca. Bruta &lt; 15,0 mg/L","Alc. Bruta &gt; 15 mg/L"))))))</f>
        <v>5,0 ≤ Alc. Bruta &lt; 7,5 mg/L</v>
      </c>
      <c r="BA129" s="136" t="str">
        <f>IF(P129="","",IF(P129&lt;5,"Cor &lt;5 uC",IF(P129&lt;10,"5 ≤ Cor &lt; 10 uC",IF(P129&lt;15,"10 ≤ Cor &lt;15 uC",IF(P129&lt;30,"15 ≤ Cor &lt; 30 uC",IF(P129&lt;50,"30 ≤ Cor &lt; 50 uC","Cor &gt; 50 uC"))))))</f>
        <v>5 ≤ Cor &lt; 10 uC</v>
      </c>
      <c r="BB129" s="137" t="str">
        <f>IF(O129="","",IF(O129&lt;2.5,"Turbidez &lt; 2,5 uT",IF(O129&lt;5,"2,5 ≤ Turb &lt; 5,0 uT",IF(O129&lt;7.5,"5,0 ≤ Turb &lt; 7,5 uT",IF(O129&lt;10,"7,5 ≤ Turb &lt; 10,0 uT",IF(O129&lt;15,"10,0 ≤ Turb &lt; 15,0 uT","Turb &gt; 15 uT"))))))</f>
        <v>Turbidez &lt; 2,5 uT</v>
      </c>
      <c r="BC129" s="138" t="str">
        <f>IF(AND(C129&gt;D129,D129&gt;E129),"TOR &gt; SM &gt; BNN",IF(AND(C129&gt;E129,E129&gt;D129),"TOR &gt; BNN &gt; SM",IF(AND(D129&gt;C129,C129&gt;E129),"SM &gt; TOR &gt; BNN",IF(AND(D129&gt;E129,E129&gt;C129),"SM &gt; BNN &gt; TOR",IF(AND(C129=D129,D129=E129),"TOR = SM = BNN","Comb. diferentes")))))</f>
        <v>SM &gt; TOR &gt; BNN</v>
      </c>
      <c r="BD129" s="137" t="str">
        <f>IF(OR(AE129="",AQ129="-"),"",IF(AE129&lt;=0.25,"Tipo 1 (≤0,25) uT",IF(AE129&lt;=0.5,"Tipo 2 (0,25-0,50) uT",IF(AE129&lt;=0.75,"Tipo 3 (0,50-0,75) uT","Tipo 4 (&gt;0,75) uT"))))</f>
        <v>Tipo 4 (&gt;0,75) uT</v>
      </c>
      <c r="BE129" s="137" t="str">
        <f t="shared" si="7"/>
        <v>Tipo 1 (≤0,25) uT</v>
      </c>
      <c r="BF129" s="137" t="str">
        <f>IF(OR(AF129="",AQ129="-"),"",IF(AF129&lt;=0.25,"Tipo 1 (≤0,25) uT",IF(AF129&lt;=0.5,"Tipo 2 (0,25-0,50) uT",IF(AF129&lt;=0.75,"Tipo 3 (0,50-0,75) uT","Tipo 4 (&gt;0,75) uT"))))</f>
        <v>Tipo 2 (0,25-0,50) uT</v>
      </c>
      <c r="BG129" s="137" t="str">
        <f t="shared" si="8"/>
        <v>Tipo 4 (&gt;0,75) uT</v>
      </c>
      <c r="BH129" s="137" t="str">
        <f>IF(OR(R129="",R129="-"),"",IF(R129&lt;=0.25,"Tipo 1 (≤0,25) uT",IF(R129&lt;=0.5,"Tipo 2 (0,25-0,50) uT",IF(R129&lt;=0.75,"Tipo 3 (0,50-0,75) uT","Tipo 4 (&gt;0,75) uT"))))</f>
        <v>Tipo 2 (0,25-0,50) uT</v>
      </c>
    </row>
    <row r="130" spans="1:60" x14ac:dyDescent="0.3">
      <c r="A130" s="74">
        <v>46272</v>
      </c>
      <c r="B130" s="139">
        <v>0.89583333333333337</v>
      </c>
      <c r="C130" s="116">
        <v>540</v>
      </c>
      <c r="D130" s="116">
        <v>760</v>
      </c>
      <c r="E130" s="116">
        <v>0</v>
      </c>
      <c r="F130" s="116">
        <v>1330</v>
      </c>
      <c r="G130" s="144" t="s">
        <v>100</v>
      </c>
      <c r="H130" s="122">
        <v>11</v>
      </c>
      <c r="I130" s="116">
        <v>113</v>
      </c>
      <c r="J130" s="10">
        <v>90</v>
      </c>
      <c r="K130" s="116">
        <v>90</v>
      </c>
      <c r="L130" s="116">
        <v>90</v>
      </c>
      <c r="M130" s="122">
        <v>23.6</v>
      </c>
      <c r="N130" s="122">
        <v>6.5</v>
      </c>
      <c r="O130" s="79">
        <v>1.3</v>
      </c>
      <c r="P130" s="116">
        <v>8</v>
      </c>
      <c r="Q130" s="122">
        <v>4.9000000000000004</v>
      </c>
      <c r="R130" s="10">
        <v>0.6</v>
      </c>
      <c r="S130" s="79">
        <v>22.36</v>
      </c>
      <c r="T130" s="79">
        <v>0.88</v>
      </c>
      <c r="U130" s="79">
        <v>0.7</v>
      </c>
      <c r="V130" s="85">
        <f t="shared" si="9"/>
        <v>1462.9999999999998</v>
      </c>
      <c r="W130" s="85">
        <f t="shared" si="10"/>
        <v>1291.8176960000001</v>
      </c>
      <c r="X130" s="85">
        <f t="shared" si="11"/>
        <v>0.88299227341079989</v>
      </c>
      <c r="Y130" s="116">
        <v>1</v>
      </c>
      <c r="Z130" s="116">
        <v>3</v>
      </c>
      <c r="AA130" s="122">
        <v>6.5</v>
      </c>
      <c r="AB130" s="116">
        <v>16</v>
      </c>
      <c r="AC130" s="122">
        <v>5.9</v>
      </c>
      <c r="AD130" s="122">
        <v>2.6</v>
      </c>
      <c r="AE130" s="79">
        <v>0.13</v>
      </c>
      <c r="AF130" s="79">
        <v>0.7</v>
      </c>
      <c r="AG130" s="85">
        <f>(O130+0.3*H130+2)*(F130/2/AK130)</f>
        <v>2194.5</v>
      </c>
      <c r="AH130" s="85">
        <f t="shared" si="12"/>
        <v>1863.9799099999998</v>
      </c>
      <c r="AI130" s="85">
        <f t="shared" si="13"/>
        <v>0.84938706311232615</v>
      </c>
      <c r="AJ130" s="116">
        <v>2</v>
      </c>
      <c r="AK130" s="116">
        <v>2</v>
      </c>
      <c r="AL130" s="122">
        <v>6.1</v>
      </c>
      <c r="AM130" s="116">
        <v>25</v>
      </c>
      <c r="AN130" s="122">
        <v>5.9</v>
      </c>
      <c r="AO130" s="122">
        <v>3.1</v>
      </c>
      <c r="AP130" s="79">
        <v>0.11</v>
      </c>
      <c r="AQ130" s="79">
        <v>0.6</v>
      </c>
      <c r="AR130" s="132">
        <f>SUM(C130:E130)</f>
        <v>1300</v>
      </c>
      <c r="AS130" s="134">
        <f>C130/AR130</f>
        <v>0.41538461538461541</v>
      </c>
      <c r="AT130" s="134">
        <f>D130/AR130</f>
        <v>0.58461538461538465</v>
      </c>
      <c r="AU130" s="134">
        <f>E130/AR130</f>
        <v>0</v>
      </c>
      <c r="AV130" s="151">
        <f>IF(AND(F130&lt;&gt;"",Z130&lt;&gt;""),AB130/(F130/2/Z130),"")</f>
        <v>7.2180451127819553E-2</v>
      </c>
      <c r="AW130" s="151">
        <f>IF(AND(F130&lt;&gt;"",AK130&lt;&gt;""),AM130/(F130/2/AK130),"")</f>
        <v>7.5187969924812026E-2</v>
      </c>
      <c r="AX130" s="41">
        <f>IF(AND(AQ130&lt;&gt;"",1-(AQ130/O130)&gt;0),1-(AQ130/O130),"")</f>
        <v>0.53846153846153855</v>
      </c>
      <c r="AY130" s="41">
        <f>IF(AND(AF130&lt;&gt;"",1-(AF130/O130)&gt;0),1-(AF130/O130),"")</f>
        <v>0.46153846153846156</v>
      </c>
      <c r="AZ130" s="136" t="str">
        <f>IF(Q130="","",IF(Q130&lt;2.5,"Alc. Bruta &lt; 2,5 mg/L",IF(Q130&lt;5,"2,5 ≤ Alc. Bruta &lt; 5,0 mg/L",IF(Q130&lt;7.5,"5,0 ≤ Alc. Bruta &lt; 7,5 mg/L",IF(Q130&lt;10,"7,5 ≤ Alc. Bruta &lt; 10,0 mg/L",IF(Q130&lt;15,"10,0 ≤ Alca. Bruta &lt; 15,0 mg/L","Alc. Bruta &gt; 15 mg/L"))))))</f>
        <v>2,5 ≤ Alc. Bruta &lt; 5,0 mg/L</v>
      </c>
      <c r="BA130" s="136" t="str">
        <f>IF(P130="","",IF(P130&lt;5,"Cor &lt;5 uC",IF(P130&lt;10,"5 ≤ Cor &lt; 10 uC",IF(P130&lt;15,"10 ≤ Cor &lt;15 uC",IF(P130&lt;30,"15 ≤ Cor &lt; 30 uC",IF(P130&lt;50,"30 ≤ Cor &lt; 50 uC","Cor &gt; 50 uC"))))))</f>
        <v>5 ≤ Cor &lt; 10 uC</v>
      </c>
      <c r="BB130" s="137" t="str">
        <f>IF(O130="","",IF(O130&lt;2.5,"Turbidez &lt; 2,5 uT",IF(O130&lt;5,"2,5 ≤ Turb &lt; 5,0 uT",IF(O130&lt;7.5,"5,0 ≤ Turb &lt; 7,5 uT",IF(O130&lt;10,"7,5 ≤ Turb &lt; 10,0 uT",IF(O130&lt;15,"10,0 ≤ Turb &lt; 15,0 uT","Turb &gt; 15 uT"))))))</f>
        <v>Turbidez &lt; 2,5 uT</v>
      </c>
      <c r="BC130" s="138" t="str">
        <f>IF(AND(C130&gt;D130,D130&gt;E130),"TOR &gt; SM &gt; BNN",IF(AND(C130&gt;E130,E130&gt;D130),"TOR &gt; BNN &gt; SM",IF(AND(D130&gt;C130,C130&gt;E130),"SM &gt; TOR &gt; BNN",IF(AND(D130&gt;E130,E130&gt;C130),"SM &gt; BNN &gt; TOR",IF(AND(C130=D130,D130=E130),"TOR = SM = BNN","Comb. diferentes")))))</f>
        <v>SM &gt; TOR &gt; BNN</v>
      </c>
      <c r="BD130" s="137" t="str">
        <f>IF(OR(AE130="",AQ130="-"),"",IF(AE130&lt;=0.25,"Tipo 1 (≤0,25) uT",IF(AE130&lt;=0.5,"Tipo 2 (0,25-0,50) uT",IF(AE130&lt;=0.75,"Tipo 3 (0,50-0,75) uT","Tipo 4 (&gt;0,75) uT"))))</f>
        <v>Tipo 1 (≤0,25) uT</v>
      </c>
      <c r="BE130" s="137" t="str">
        <f t="shared" ref="BE130:BE193" si="14">IF(OR(AP130="",AZ130="-"),"",IF(AP130&lt;=0.25,"Tipo 1 (≤0,25) uT",IF(AP130&lt;=0.5,"Tipo 2 (0,25-0,50) uT",IF(AP130&lt;=0.75,"Tipo 3 (0,50-0,75) uT","Tipo 4 (&gt;0,75) uT"))))</f>
        <v>Tipo 1 (≤0,25) uT</v>
      </c>
      <c r="BF130" s="137" t="str">
        <f>IF(OR(AF130="",AQ130="-"),"",IF(AF130&lt;=0.25,"Tipo 1 (≤0,25) uT",IF(AF130&lt;=0.5,"Tipo 2 (0,25-0,50) uT",IF(AF130&lt;=0.75,"Tipo 3 (0,50-0,75) uT","Tipo 4 (&gt;0,75) uT"))))</f>
        <v>Tipo 3 (0,50-0,75) uT</v>
      </c>
      <c r="BG130" s="137" t="str">
        <f t="shared" ref="BG130:BG193" si="15">IF(OR(AQ130="",AQ130="-"),"",IF(AQ130&lt;=0.25,"Tipo 1 (≤0,25) uT",IF(AQ130&lt;=0.5,"Tipo 2 (0,25-0,50) uT",IF(AQ130&lt;=0.75,"Tipo 3 (0,50-0,75) uT","Tipo 4 (&gt;0,75) uT"))))</f>
        <v>Tipo 3 (0,50-0,75) uT</v>
      </c>
      <c r="BH130" s="137" t="str">
        <f>IF(OR(R130="",R130="-"),"",IF(R130&lt;=0.25,"Tipo 1 (≤0,25) uT",IF(R130&lt;=0.5,"Tipo 2 (0,25-0,50) uT",IF(R130&lt;=0.75,"Tipo 3 (0,50-0,75) uT","Tipo 4 (&gt;0,75) uT"))))</f>
        <v>Tipo 3 (0,50-0,75) uT</v>
      </c>
    </row>
    <row r="131" spans="1:60" x14ac:dyDescent="0.3">
      <c r="A131" s="74">
        <v>46272</v>
      </c>
      <c r="B131" s="139">
        <v>0.97916666666666663</v>
      </c>
      <c r="C131" s="116">
        <v>510</v>
      </c>
      <c r="D131" s="116">
        <v>1400</v>
      </c>
      <c r="E131" s="116">
        <v>0</v>
      </c>
      <c r="F131" s="116">
        <v>1949</v>
      </c>
      <c r="G131" s="144" t="s">
        <v>100</v>
      </c>
      <c r="H131" s="122">
        <v>10.8</v>
      </c>
      <c r="I131" s="116">
        <v>113</v>
      </c>
      <c r="J131" s="10">
        <v>90</v>
      </c>
      <c r="K131" s="116">
        <v>90</v>
      </c>
      <c r="L131" s="116">
        <v>90</v>
      </c>
      <c r="M131" s="122">
        <v>23.5</v>
      </c>
      <c r="N131" s="122">
        <v>6.5</v>
      </c>
      <c r="O131" s="79">
        <v>1.39</v>
      </c>
      <c r="P131" s="116">
        <v>8</v>
      </c>
      <c r="Q131" s="122">
        <v>5.2</v>
      </c>
      <c r="R131" s="10">
        <v>0.28999999999999998</v>
      </c>
      <c r="S131" s="79">
        <v>22.36</v>
      </c>
      <c r="T131" s="79">
        <v>0.88</v>
      </c>
      <c r="U131" s="79">
        <v>0.7</v>
      </c>
      <c r="V131" s="85">
        <f t="shared" ref="V131:V194" si="16">(O131+0.3*H131+2)*(F131/2/Z131)</f>
        <v>1615.2337499999999</v>
      </c>
      <c r="W131" s="85">
        <f t="shared" ref="W131:W194" si="17">S131*(U131*AA131*0.987-T131)*AB131</f>
        <v>1372.556302</v>
      </c>
      <c r="X131" s="85">
        <f t="shared" ref="X131:X194" si="18">W131/V131</f>
        <v>0.84975707200273654</v>
      </c>
      <c r="Y131" s="116">
        <v>3</v>
      </c>
      <c r="Z131" s="116">
        <v>4</v>
      </c>
      <c r="AA131" s="122">
        <v>6.5</v>
      </c>
      <c r="AB131" s="116">
        <v>17</v>
      </c>
      <c r="AC131" s="122">
        <v>5.7</v>
      </c>
      <c r="AD131" s="122">
        <v>3.1</v>
      </c>
      <c r="AE131" s="79">
        <v>0.12</v>
      </c>
      <c r="AF131" s="79">
        <v>0.41</v>
      </c>
      <c r="AG131" s="85">
        <f>(O131+0.3*H131+2)*(F131/2/AK131)</f>
        <v>2153.645</v>
      </c>
      <c r="AH131" s="85">
        <f t="shared" ref="AH131:AH194" si="19">S131*(U131*AL131*0.987-T131)*AM131</f>
        <v>1785.9247275999996</v>
      </c>
      <c r="AI131" s="85">
        <f t="shared" ref="AI131:AI194" si="20">AH131/AG131</f>
        <v>0.82925678447469275</v>
      </c>
      <c r="AJ131" s="116">
        <v>2</v>
      </c>
      <c r="AK131" s="116">
        <v>3</v>
      </c>
      <c r="AL131" s="122">
        <v>6.3</v>
      </c>
      <c r="AM131" s="116">
        <v>23</v>
      </c>
      <c r="AN131" s="122">
        <v>5.6</v>
      </c>
      <c r="AO131" s="122">
        <v>3.3</v>
      </c>
      <c r="AP131" s="79">
        <v>0.1</v>
      </c>
      <c r="AQ131" s="79">
        <v>0.43</v>
      </c>
      <c r="AR131" s="132">
        <f>SUM(C131:E131)</f>
        <v>1910</v>
      </c>
      <c r="AS131" s="134">
        <f>C131/AR131</f>
        <v>0.26701570680628273</v>
      </c>
      <c r="AT131" s="134">
        <f>D131/AR131</f>
        <v>0.73298429319371727</v>
      </c>
      <c r="AU131" s="134">
        <f>E131/AR131</f>
        <v>0</v>
      </c>
      <c r="AV131" s="151">
        <f>IF(AND(F131&lt;&gt;"",Z131&lt;&gt;""),AB131/(F131/2/Z131),"")</f>
        <v>6.9779374037968189E-2</v>
      </c>
      <c r="AW131" s="151">
        <f>IF(AND(F131&lt;&gt;"",AK131&lt;&gt;""),AM131/(F131/2/AK131),"")</f>
        <v>7.0805541303232425E-2</v>
      </c>
      <c r="AX131" s="41">
        <f>IF(AND(AQ131&lt;&gt;"",1-(AQ131/O131)&gt;0),1-(AQ131/O131),"")</f>
        <v>0.69064748201438841</v>
      </c>
      <c r="AY131" s="41">
        <f>IF(AND(AF131&lt;&gt;"",1-(AF131/O131)&gt;0),1-(AF131/O131),"")</f>
        <v>0.70503597122302164</v>
      </c>
      <c r="AZ131" s="136" t="str">
        <f>IF(Q131="","",IF(Q131&lt;2.5,"Alc. Bruta &lt; 2,5 mg/L",IF(Q131&lt;5,"2,5 ≤ Alc. Bruta &lt; 5,0 mg/L",IF(Q131&lt;7.5,"5,0 ≤ Alc. Bruta &lt; 7,5 mg/L",IF(Q131&lt;10,"7,5 ≤ Alc. Bruta &lt; 10,0 mg/L",IF(Q131&lt;15,"10,0 ≤ Alca. Bruta &lt; 15,0 mg/L","Alc. Bruta &gt; 15 mg/L"))))))</f>
        <v>5,0 ≤ Alc. Bruta &lt; 7,5 mg/L</v>
      </c>
      <c r="BA131" s="136" t="str">
        <f>IF(P131="","",IF(P131&lt;5,"Cor &lt;5 uC",IF(P131&lt;10,"5 ≤ Cor &lt; 10 uC",IF(P131&lt;15,"10 ≤ Cor &lt;15 uC",IF(P131&lt;30,"15 ≤ Cor &lt; 30 uC",IF(P131&lt;50,"30 ≤ Cor &lt; 50 uC","Cor &gt; 50 uC"))))))</f>
        <v>5 ≤ Cor &lt; 10 uC</v>
      </c>
      <c r="BB131" s="137" t="str">
        <f>IF(O131="","",IF(O131&lt;2.5,"Turbidez &lt; 2,5 uT",IF(O131&lt;5,"2,5 ≤ Turb &lt; 5,0 uT",IF(O131&lt;7.5,"5,0 ≤ Turb &lt; 7,5 uT",IF(O131&lt;10,"7,5 ≤ Turb &lt; 10,0 uT",IF(O131&lt;15,"10,0 ≤ Turb &lt; 15,0 uT","Turb &gt; 15 uT"))))))</f>
        <v>Turbidez &lt; 2,5 uT</v>
      </c>
      <c r="BC131" s="138" t="str">
        <f>IF(AND(C131&gt;D131,D131&gt;E131),"TOR &gt; SM &gt; BNN",IF(AND(C131&gt;E131,E131&gt;D131),"TOR &gt; BNN &gt; SM",IF(AND(D131&gt;C131,C131&gt;E131),"SM &gt; TOR &gt; BNN",IF(AND(D131&gt;E131,E131&gt;C131),"SM &gt; BNN &gt; TOR",IF(AND(C131=D131,D131=E131),"TOR = SM = BNN","Comb. diferentes")))))</f>
        <v>SM &gt; TOR &gt; BNN</v>
      </c>
      <c r="BD131" s="137" t="str">
        <f>IF(OR(AE131="",AQ131="-"),"",IF(AE131&lt;=0.25,"Tipo 1 (≤0,25) uT",IF(AE131&lt;=0.5,"Tipo 2 (0,25-0,50) uT",IF(AE131&lt;=0.75,"Tipo 3 (0,50-0,75) uT","Tipo 4 (&gt;0,75) uT"))))</f>
        <v>Tipo 1 (≤0,25) uT</v>
      </c>
      <c r="BE131" s="137" t="str">
        <f t="shared" si="14"/>
        <v>Tipo 1 (≤0,25) uT</v>
      </c>
      <c r="BF131" s="137" t="str">
        <f>IF(OR(AF131="",AQ131="-"),"",IF(AF131&lt;=0.25,"Tipo 1 (≤0,25) uT",IF(AF131&lt;=0.5,"Tipo 2 (0,25-0,50) uT",IF(AF131&lt;=0.75,"Tipo 3 (0,50-0,75) uT","Tipo 4 (&gt;0,75) uT"))))</f>
        <v>Tipo 2 (0,25-0,50) uT</v>
      </c>
      <c r="BG131" s="137" t="str">
        <f t="shared" si="15"/>
        <v>Tipo 2 (0,25-0,50) uT</v>
      </c>
      <c r="BH131" s="137" t="str">
        <f>IF(OR(R131="",R131="-"),"",IF(R131&lt;=0.25,"Tipo 1 (≤0,25) uT",IF(R131&lt;=0.5,"Tipo 2 (0,25-0,50) uT",IF(R131&lt;=0.75,"Tipo 3 (0,50-0,75) uT","Tipo 4 (&gt;0,75) uT"))))</f>
        <v>Tipo 2 (0,25-0,50) uT</v>
      </c>
    </row>
    <row r="132" spans="1:60" x14ac:dyDescent="0.3">
      <c r="A132" s="74">
        <v>46273</v>
      </c>
      <c r="B132" s="139">
        <v>0.14583333333333334</v>
      </c>
      <c r="C132" s="116">
        <v>490</v>
      </c>
      <c r="D132" s="116">
        <v>1526</v>
      </c>
      <c r="E132" s="116">
        <v>0</v>
      </c>
      <c r="F132" s="116">
        <v>2100</v>
      </c>
      <c r="G132" s="144" t="s">
        <v>100</v>
      </c>
      <c r="H132" s="122">
        <v>10.8</v>
      </c>
      <c r="I132" s="116">
        <v>114</v>
      </c>
      <c r="J132" s="10">
        <v>90</v>
      </c>
      <c r="K132" s="116">
        <v>90</v>
      </c>
      <c r="L132" s="116">
        <v>90</v>
      </c>
      <c r="M132" s="122">
        <v>23</v>
      </c>
      <c r="N132" s="122">
        <v>6.2</v>
      </c>
      <c r="O132" s="79">
        <v>1.08</v>
      </c>
      <c r="P132" s="116">
        <v>7</v>
      </c>
      <c r="Q132" s="122">
        <v>4.0999999999999996</v>
      </c>
      <c r="R132" s="10">
        <v>0.1</v>
      </c>
      <c r="S132" s="79">
        <v>22.36</v>
      </c>
      <c r="T132" s="79">
        <v>0.88</v>
      </c>
      <c r="U132" s="79">
        <v>0.7</v>
      </c>
      <c r="V132" s="85">
        <f t="shared" si="16"/>
        <v>1659</v>
      </c>
      <c r="W132" s="85">
        <f t="shared" si="17"/>
        <v>1372.556302</v>
      </c>
      <c r="X132" s="85">
        <f t="shared" si="18"/>
        <v>0.82733954309825197</v>
      </c>
      <c r="Y132" s="116">
        <v>3</v>
      </c>
      <c r="Z132" s="116">
        <v>4</v>
      </c>
      <c r="AA132" s="122">
        <v>6.5</v>
      </c>
      <c r="AB132" s="116">
        <v>17</v>
      </c>
      <c r="AC132" s="122">
        <v>5.4</v>
      </c>
      <c r="AD132" s="122">
        <v>2</v>
      </c>
      <c r="AE132" s="79">
        <v>0.13</v>
      </c>
      <c r="AF132" s="79">
        <v>0.28000000000000003</v>
      </c>
      <c r="AG132" s="85">
        <f>(O132+0.3*H132+2)*(F132/2/AK132)</f>
        <v>1659</v>
      </c>
      <c r="AH132" s="85">
        <f t="shared" si="19"/>
        <v>1785.9247275999996</v>
      </c>
      <c r="AI132" s="85">
        <f t="shared" si="20"/>
        <v>1.0765067676913802</v>
      </c>
      <c r="AJ132" s="116">
        <v>3</v>
      </c>
      <c r="AK132" s="116">
        <v>4</v>
      </c>
      <c r="AL132" s="122">
        <v>6.3</v>
      </c>
      <c r="AM132" s="116">
        <v>23</v>
      </c>
      <c r="AN132" s="122">
        <v>5.4</v>
      </c>
      <c r="AO132" s="122">
        <v>2.2999999999999998</v>
      </c>
      <c r="AP132" s="79">
        <v>0.12</v>
      </c>
      <c r="AQ132" s="79">
        <v>0.2</v>
      </c>
      <c r="AR132" s="132">
        <f>SUM(C132:E132)</f>
        <v>2016</v>
      </c>
      <c r="AS132" s="134">
        <f>C132/AR132</f>
        <v>0.24305555555555555</v>
      </c>
      <c r="AT132" s="134">
        <f>D132/AR132</f>
        <v>0.75694444444444442</v>
      </c>
      <c r="AU132" s="134">
        <f>E132/AR132</f>
        <v>0</v>
      </c>
      <c r="AV132" s="151">
        <f>IF(AND(F132&lt;&gt;"",Z132&lt;&gt;""),AB132/(F132/2/Z132),"")</f>
        <v>6.4761904761904757E-2</v>
      </c>
      <c r="AW132" s="151">
        <f>IF(AND(F132&lt;&gt;"",AK132&lt;&gt;""),AM132/(F132/2/AK132),"")</f>
        <v>8.7619047619047624E-2</v>
      </c>
      <c r="AX132" s="41">
        <f>IF(AND(AQ132&lt;&gt;"",1-(AQ132/O132)&gt;0),1-(AQ132/O132),"")</f>
        <v>0.81481481481481488</v>
      </c>
      <c r="AY132" s="41">
        <f>IF(AND(AF132&lt;&gt;"",1-(AF132/O132)&gt;0),1-(AF132/O132),"")</f>
        <v>0.7407407407407407</v>
      </c>
      <c r="AZ132" s="136" t="str">
        <f>IF(Q132="","",IF(Q132&lt;2.5,"Alc. Bruta &lt; 2,5 mg/L",IF(Q132&lt;5,"2,5 ≤ Alc. Bruta &lt; 5,0 mg/L",IF(Q132&lt;7.5,"5,0 ≤ Alc. Bruta &lt; 7,5 mg/L",IF(Q132&lt;10,"7,5 ≤ Alc. Bruta &lt; 10,0 mg/L",IF(Q132&lt;15,"10,0 ≤ Alca. Bruta &lt; 15,0 mg/L","Alc. Bruta &gt; 15 mg/L"))))))</f>
        <v>2,5 ≤ Alc. Bruta &lt; 5,0 mg/L</v>
      </c>
      <c r="BA132" s="136" t="str">
        <f>IF(P132="","",IF(P132&lt;5,"Cor &lt;5 uC",IF(P132&lt;10,"5 ≤ Cor &lt; 10 uC",IF(P132&lt;15,"10 ≤ Cor &lt;15 uC",IF(P132&lt;30,"15 ≤ Cor &lt; 30 uC",IF(P132&lt;50,"30 ≤ Cor &lt; 50 uC","Cor &gt; 50 uC"))))))</f>
        <v>5 ≤ Cor &lt; 10 uC</v>
      </c>
      <c r="BB132" s="137" t="str">
        <f>IF(O132="","",IF(O132&lt;2.5,"Turbidez &lt; 2,5 uT",IF(O132&lt;5,"2,5 ≤ Turb &lt; 5,0 uT",IF(O132&lt;7.5,"5,0 ≤ Turb &lt; 7,5 uT",IF(O132&lt;10,"7,5 ≤ Turb &lt; 10,0 uT",IF(O132&lt;15,"10,0 ≤ Turb &lt; 15,0 uT","Turb &gt; 15 uT"))))))</f>
        <v>Turbidez &lt; 2,5 uT</v>
      </c>
      <c r="BC132" s="138" t="str">
        <f>IF(AND(C132&gt;D132,D132&gt;E132),"TOR &gt; SM &gt; BNN",IF(AND(C132&gt;E132,E132&gt;D132),"TOR &gt; BNN &gt; SM",IF(AND(D132&gt;C132,C132&gt;E132),"SM &gt; TOR &gt; BNN",IF(AND(D132&gt;E132,E132&gt;C132),"SM &gt; BNN &gt; TOR",IF(AND(C132=D132,D132=E132),"TOR = SM = BNN","Comb. diferentes")))))</f>
        <v>SM &gt; TOR &gt; BNN</v>
      </c>
      <c r="BD132" s="137" t="str">
        <f>IF(OR(AE132="",AQ132="-"),"",IF(AE132&lt;=0.25,"Tipo 1 (≤0,25) uT",IF(AE132&lt;=0.5,"Tipo 2 (0,25-0,50) uT",IF(AE132&lt;=0.75,"Tipo 3 (0,50-0,75) uT","Tipo 4 (&gt;0,75) uT"))))</f>
        <v>Tipo 1 (≤0,25) uT</v>
      </c>
      <c r="BE132" s="137" t="str">
        <f t="shared" si="14"/>
        <v>Tipo 1 (≤0,25) uT</v>
      </c>
      <c r="BF132" s="137" t="str">
        <f>IF(OR(AF132="",AQ132="-"),"",IF(AF132&lt;=0.25,"Tipo 1 (≤0,25) uT",IF(AF132&lt;=0.5,"Tipo 2 (0,25-0,50) uT",IF(AF132&lt;=0.75,"Tipo 3 (0,50-0,75) uT","Tipo 4 (&gt;0,75) uT"))))</f>
        <v>Tipo 2 (0,25-0,50) uT</v>
      </c>
      <c r="BG132" s="137" t="str">
        <f t="shared" si="15"/>
        <v>Tipo 1 (≤0,25) uT</v>
      </c>
      <c r="BH132" s="137" t="str">
        <f>IF(OR(R132="",R132="-"),"",IF(R132&lt;=0.25,"Tipo 1 (≤0,25) uT",IF(R132&lt;=0.5,"Tipo 2 (0,25-0,50) uT",IF(R132&lt;=0.75,"Tipo 3 (0,50-0,75) uT","Tipo 4 (&gt;0,75) uT"))))</f>
        <v>Tipo 1 (≤0,25) uT</v>
      </c>
    </row>
    <row r="133" spans="1:60" ht="15" thickBot="1" x14ac:dyDescent="0.35">
      <c r="A133" s="75">
        <v>46273</v>
      </c>
      <c r="B133" s="140">
        <v>0.22916666666666666</v>
      </c>
      <c r="C133" s="117">
        <v>503</v>
      </c>
      <c r="D133" s="117">
        <v>1630</v>
      </c>
      <c r="E133" s="117">
        <v>0</v>
      </c>
      <c r="F133" s="117">
        <v>2070</v>
      </c>
      <c r="G133" s="145" t="s">
        <v>100</v>
      </c>
      <c r="H133" s="123">
        <v>10.8</v>
      </c>
      <c r="I133" s="117">
        <v>115</v>
      </c>
      <c r="J133" s="11">
        <v>90</v>
      </c>
      <c r="K133" s="117">
        <v>90</v>
      </c>
      <c r="L133" s="117">
        <v>90</v>
      </c>
      <c r="M133" s="123">
        <v>22.7</v>
      </c>
      <c r="N133" s="123">
        <v>6.3</v>
      </c>
      <c r="O133" s="80">
        <v>1.04</v>
      </c>
      <c r="P133" s="117">
        <v>6</v>
      </c>
      <c r="Q133" s="123">
        <v>4.0999999999999996</v>
      </c>
      <c r="R133" s="11">
        <v>0.32</v>
      </c>
      <c r="S133" s="79">
        <v>22.36</v>
      </c>
      <c r="T133" s="79">
        <v>0.88</v>
      </c>
      <c r="U133" s="79">
        <v>0.7</v>
      </c>
      <c r="V133" s="85">
        <f t="shared" si="16"/>
        <v>1624.95</v>
      </c>
      <c r="W133" s="85">
        <f t="shared" si="17"/>
        <v>1372.556302</v>
      </c>
      <c r="X133" s="85">
        <f t="shared" si="18"/>
        <v>0.84467602203144709</v>
      </c>
      <c r="Y133" s="117">
        <v>3</v>
      </c>
      <c r="Z133" s="117">
        <v>4</v>
      </c>
      <c r="AA133" s="123">
        <v>6.5</v>
      </c>
      <c r="AB133" s="117">
        <v>17</v>
      </c>
      <c r="AC133" s="123">
        <v>5.4</v>
      </c>
      <c r="AD133" s="123">
        <v>2.6</v>
      </c>
      <c r="AE133" s="80">
        <v>0.1</v>
      </c>
      <c r="AF133" s="80">
        <v>0.27</v>
      </c>
      <c r="AG133" s="85">
        <f>(O133+0.3*H133+2)*(F133/2/AK133)</f>
        <v>1624.95</v>
      </c>
      <c r="AH133" s="85">
        <f t="shared" si="19"/>
        <v>1785.9247275999996</v>
      </c>
      <c r="AI133" s="85">
        <f t="shared" si="20"/>
        <v>1.0990644189667371</v>
      </c>
      <c r="AJ133" s="117">
        <v>3</v>
      </c>
      <c r="AK133" s="117">
        <v>4</v>
      </c>
      <c r="AL133" s="123">
        <v>6.3</v>
      </c>
      <c r="AM133" s="117">
        <v>23</v>
      </c>
      <c r="AN133" s="123">
        <v>5.5</v>
      </c>
      <c r="AO133" s="123">
        <v>2.2999999999999998</v>
      </c>
      <c r="AP133" s="80">
        <v>0.09</v>
      </c>
      <c r="AQ133" s="80">
        <v>0.3</v>
      </c>
      <c r="AR133" s="132">
        <f>SUM(C133:E133)</f>
        <v>2133</v>
      </c>
      <c r="AS133" s="134">
        <f>C133/AR133</f>
        <v>0.23581809657759026</v>
      </c>
      <c r="AT133" s="134">
        <f>D133/AR133</f>
        <v>0.76418190342240977</v>
      </c>
      <c r="AU133" s="134">
        <f>E133/AR133</f>
        <v>0</v>
      </c>
      <c r="AV133" s="151">
        <f>IF(AND(F133&lt;&gt;"",Z133&lt;&gt;""),AB133/(F133/2/Z133),"")</f>
        <v>6.5700483091787443E-2</v>
      </c>
      <c r="AW133" s="151">
        <f>IF(AND(F133&lt;&gt;"",AK133&lt;&gt;""),AM133/(F133/2/AK133),"")</f>
        <v>8.8888888888888892E-2</v>
      </c>
      <c r="AX133" s="41">
        <f>IF(AND(AQ133&lt;&gt;"",1-(AQ133/O133)&gt;0),1-(AQ133/O133),"")</f>
        <v>0.71153846153846156</v>
      </c>
      <c r="AY133" s="41">
        <f>IF(AND(AF133&lt;&gt;"",1-(AF133/O133)&gt;0),1-(AF133/O133),"")</f>
        <v>0.74038461538461542</v>
      </c>
      <c r="AZ133" s="136" t="str">
        <f>IF(Q133="","",IF(Q133&lt;2.5,"Alc. Bruta &lt; 2,5 mg/L",IF(Q133&lt;5,"2,5 ≤ Alc. Bruta &lt; 5,0 mg/L",IF(Q133&lt;7.5,"5,0 ≤ Alc. Bruta &lt; 7,5 mg/L",IF(Q133&lt;10,"7,5 ≤ Alc. Bruta &lt; 10,0 mg/L",IF(Q133&lt;15,"10,0 ≤ Alca. Bruta &lt; 15,0 mg/L","Alc. Bruta &gt; 15 mg/L"))))))</f>
        <v>2,5 ≤ Alc. Bruta &lt; 5,0 mg/L</v>
      </c>
      <c r="BA133" s="136" t="str">
        <f>IF(P133="","",IF(P133&lt;5,"Cor &lt;5 uC",IF(P133&lt;10,"5 ≤ Cor &lt; 10 uC",IF(P133&lt;15,"10 ≤ Cor &lt;15 uC",IF(P133&lt;30,"15 ≤ Cor &lt; 30 uC",IF(P133&lt;50,"30 ≤ Cor &lt; 50 uC","Cor &gt; 50 uC"))))))</f>
        <v>5 ≤ Cor &lt; 10 uC</v>
      </c>
      <c r="BB133" s="137" t="str">
        <f>IF(O133="","",IF(O133&lt;2.5,"Turbidez &lt; 2,5 uT",IF(O133&lt;5,"2,5 ≤ Turb &lt; 5,0 uT",IF(O133&lt;7.5,"5,0 ≤ Turb &lt; 7,5 uT",IF(O133&lt;10,"7,5 ≤ Turb &lt; 10,0 uT",IF(O133&lt;15,"10,0 ≤ Turb &lt; 15,0 uT","Turb &gt; 15 uT"))))))</f>
        <v>Turbidez &lt; 2,5 uT</v>
      </c>
      <c r="BC133" s="138" t="str">
        <f>IF(AND(C133&gt;D133,D133&gt;E133),"TOR &gt; SM &gt; BNN",IF(AND(C133&gt;E133,E133&gt;D133),"TOR &gt; BNN &gt; SM",IF(AND(D133&gt;C133,C133&gt;E133),"SM &gt; TOR &gt; BNN",IF(AND(D133&gt;E133,E133&gt;C133),"SM &gt; BNN &gt; TOR",IF(AND(C133=D133,D133=E133),"TOR = SM = BNN","Comb. diferentes")))))</f>
        <v>SM &gt; TOR &gt; BNN</v>
      </c>
      <c r="BD133" s="137" t="str">
        <f>IF(OR(AE133="",AQ133="-"),"",IF(AE133&lt;=0.25,"Tipo 1 (≤0,25) uT",IF(AE133&lt;=0.5,"Tipo 2 (0,25-0,50) uT",IF(AE133&lt;=0.75,"Tipo 3 (0,50-0,75) uT","Tipo 4 (&gt;0,75) uT"))))</f>
        <v>Tipo 1 (≤0,25) uT</v>
      </c>
      <c r="BE133" s="137" t="str">
        <f t="shared" si="14"/>
        <v>Tipo 1 (≤0,25) uT</v>
      </c>
      <c r="BF133" s="137" t="str">
        <f>IF(OR(AF133="",AQ133="-"),"",IF(AF133&lt;=0.25,"Tipo 1 (≤0,25) uT",IF(AF133&lt;=0.5,"Tipo 2 (0,25-0,50) uT",IF(AF133&lt;=0.75,"Tipo 3 (0,50-0,75) uT","Tipo 4 (&gt;0,75) uT"))))</f>
        <v>Tipo 2 (0,25-0,50) uT</v>
      </c>
      <c r="BG133" s="137" t="str">
        <f t="shared" si="15"/>
        <v>Tipo 2 (0,25-0,50) uT</v>
      </c>
      <c r="BH133" s="137" t="str">
        <f>IF(OR(R133="",R133="-"),"",IF(R133&lt;=0.25,"Tipo 1 (≤0,25) uT",IF(R133&lt;=0.5,"Tipo 2 (0,25-0,50) uT",IF(R133&lt;=0.75,"Tipo 3 (0,50-0,75) uT","Tipo 4 (&gt;0,75) uT"))))</f>
        <v>Tipo 2 (0,25-0,50) uT</v>
      </c>
    </row>
    <row r="134" spans="1:60" x14ac:dyDescent="0.3">
      <c r="A134" s="73">
        <v>46273</v>
      </c>
      <c r="B134" s="141">
        <v>0.3125</v>
      </c>
      <c r="C134" s="118">
        <v>524</v>
      </c>
      <c r="D134" s="118">
        <v>1520</v>
      </c>
      <c r="E134" s="118">
        <v>0</v>
      </c>
      <c r="F134" s="118">
        <v>2072</v>
      </c>
      <c r="G134" s="146" t="s">
        <v>100</v>
      </c>
      <c r="H134" s="124">
        <v>11</v>
      </c>
      <c r="I134" s="118">
        <v>104</v>
      </c>
      <c r="J134" s="9">
        <v>90</v>
      </c>
      <c r="K134" s="118">
        <v>90</v>
      </c>
      <c r="L134" s="118">
        <v>90</v>
      </c>
      <c r="M134" s="124">
        <v>22.5</v>
      </c>
      <c r="N134" s="124">
        <v>6.1</v>
      </c>
      <c r="O134" s="81">
        <v>1.0900000000000001</v>
      </c>
      <c r="P134" s="118">
        <v>7</v>
      </c>
      <c r="Q134" s="124">
        <v>4.5999999999999996</v>
      </c>
      <c r="R134" s="9">
        <v>0.14000000000000001</v>
      </c>
      <c r="S134" s="79">
        <v>22.36</v>
      </c>
      <c r="T134" s="79">
        <v>0.88</v>
      </c>
      <c r="U134" s="79">
        <v>0.7</v>
      </c>
      <c r="V134" s="85">
        <f t="shared" si="16"/>
        <v>1655.01</v>
      </c>
      <c r="W134" s="85">
        <f t="shared" si="17"/>
        <v>1377.8088001599995</v>
      </c>
      <c r="X134" s="85">
        <f t="shared" si="18"/>
        <v>0.83250783992845934</v>
      </c>
      <c r="Y134" s="118">
        <v>3</v>
      </c>
      <c r="Z134" s="118">
        <v>4</v>
      </c>
      <c r="AA134" s="124">
        <v>6.52</v>
      </c>
      <c r="AB134" s="118">
        <v>17</v>
      </c>
      <c r="AC134" s="124">
        <v>5.4</v>
      </c>
      <c r="AD134" s="124">
        <v>2.2000000000000002</v>
      </c>
      <c r="AE134" s="81">
        <v>0.18</v>
      </c>
      <c r="AF134" s="81">
        <v>0.24</v>
      </c>
      <c r="AG134" s="85">
        <f>(O134+0.3*H134+2)*(F134/2/AK134)</f>
        <v>1655.01</v>
      </c>
      <c r="AH134" s="85">
        <f t="shared" si="19"/>
        <v>1711.67450168</v>
      </c>
      <c r="AI134" s="85">
        <f t="shared" si="20"/>
        <v>1.0342381627180501</v>
      </c>
      <c r="AJ134" s="118">
        <v>3</v>
      </c>
      <c r="AK134" s="118">
        <v>4</v>
      </c>
      <c r="AL134" s="124">
        <v>6.31</v>
      </c>
      <c r="AM134" s="118">
        <v>22</v>
      </c>
      <c r="AN134" s="124">
        <v>5.4</v>
      </c>
      <c r="AO134" s="124">
        <v>2.7</v>
      </c>
      <c r="AP134" s="81">
        <v>0.22</v>
      </c>
      <c r="AQ134" s="81">
        <v>0.2</v>
      </c>
      <c r="AR134" s="132">
        <f>SUM(C134:E134)</f>
        <v>2044</v>
      </c>
      <c r="AS134" s="134">
        <f>C134/AR134</f>
        <v>0.25636007827788648</v>
      </c>
      <c r="AT134" s="134">
        <f>D134/AR134</f>
        <v>0.74363992172211346</v>
      </c>
      <c r="AU134" s="134">
        <f>E134/AR134</f>
        <v>0</v>
      </c>
      <c r="AV134" s="151">
        <f>IF(AND(F134&lt;&gt;"",Z134&lt;&gt;""),AB134/(F134/2/Z134),"")</f>
        <v>6.5637065637065631E-2</v>
      </c>
      <c r="AW134" s="151">
        <f>IF(AND(F134&lt;&gt;"",AK134&lt;&gt;""),AM134/(F134/2/AK134),"")</f>
        <v>8.4942084942084939E-2</v>
      </c>
      <c r="AX134" s="41">
        <f>IF(AND(AQ134&lt;&gt;"",1-(AQ134/O134)&gt;0),1-(AQ134/O134),"")</f>
        <v>0.8165137614678899</v>
      </c>
      <c r="AY134" s="41">
        <f>IF(AND(AF134&lt;&gt;"",1-(AF134/O134)&gt;0),1-(AF134/O134),"")</f>
        <v>0.77981651376146788</v>
      </c>
      <c r="AZ134" s="136" t="str">
        <f>IF(Q134="","",IF(Q134&lt;2.5,"Alc. Bruta &lt; 2,5 mg/L",IF(Q134&lt;5,"2,5 ≤ Alc. Bruta &lt; 5,0 mg/L",IF(Q134&lt;7.5,"5,0 ≤ Alc. Bruta &lt; 7,5 mg/L",IF(Q134&lt;10,"7,5 ≤ Alc. Bruta &lt; 10,0 mg/L",IF(Q134&lt;15,"10,0 ≤ Alca. Bruta &lt; 15,0 mg/L","Alc. Bruta &gt; 15 mg/L"))))))</f>
        <v>2,5 ≤ Alc. Bruta &lt; 5,0 mg/L</v>
      </c>
      <c r="BA134" s="136" t="str">
        <f>IF(P134="","",IF(P134&lt;5,"Cor &lt;5 uC",IF(P134&lt;10,"5 ≤ Cor &lt; 10 uC",IF(P134&lt;15,"10 ≤ Cor &lt;15 uC",IF(P134&lt;30,"15 ≤ Cor &lt; 30 uC",IF(P134&lt;50,"30 ≤ Cor &lt; 50 uC","Cor &gt; 50 uC"))))))</f>
        <v>5 ≤ Cor &lt; 10 uC</v>
      </c>
      <c r="BB134" s="137" t="str">
        <f>IF(O134="","",IF(O134&lt;2.5,"Turbidez &lt; 2,5 uT",IF(O134&lt;5,"2,5 ≤ Turb &lt; 5,0 uT",IF(O134&lt;7.5,"5,0 ≤ Turb &lt; 7,5 uT",IF(O134&lt;10,"7,5 ≤ Turb &lt; 10,0 uT",IF(O134&lt;15,"10,0 ≤ Turb &lt; 15,0 uT","Turb &gt; 15 uT"))))))</f>
        <v>Turbidez &lt; 2,5 uT</v>
      </c>
      <c r="BC134" s="138" t="str">
        <f>IF(AND(C134&gt;D134,D134&gt;E134),"TOR &gt; SM &gt; BNN",IF(AND(C134&gt;E134,E134&gt;D134),"TOR &gt; BNN &gt; SM",IF(AND(D134&gt;C134,C134&gt;E134),"SM &gt; TOR &gt; BNN",IF(AND(D134&gt;E134,E134&gt;C134),"SM &gt; BNN &gt; TOR",IF(AND(C134=D134,D134=E134),"TOR = SM = BNN","Comb. diferentes")))))</f>
        <v>SM &gt; TOR &gt; BNN</v>
      </c>
      <c r="BD134" s="137" t="str">
        <f>IF(OR(AE134="",AQ134="-"),"",IF(AE134&lt;=0.25,"Tipo 1 (≤0,25) uT",IF(AE134&lt;=0.5,"Tipo 2 (0,25-0,50) uT",IF(AE134&lt;=0.75,"Tipo 3 (0,50-0,75) uT","Tipo 4 (&gt;0,75) uT"))))</f>
        <v>Tipo 1 (≤0,25) uT</v>
      </c>
      <c r="BE134" s="137" t="str">
        <f t="shared" si="14"/>
        <v>Tipo 1 (≤0,25) uT</v>
      </c>
      <c r="BF134" s="137" t="str">
        <f>IF(OR(AF134="",AQ134="-"),"",IF(AF134&lt;=0.25,"Tipo 1 (≤0,25) uT",IF(AF134&lt;=0.5,"Tipo 2 (0,25-0,50) uT",IF(AF134&lt;=0.75,"Tipo 3 (0,50-0,75) uT","Tipo 4 (&gt;0,75) uT"))))</f>
        <v>Tipo 1 (≤0,25) uT</v>
      </c>
      <c r="BG134" s="137" t="str">
        <f t="shared" si="15"/>
        <v>Tipo 1 (≤0,25) uT</v>
      </c>
      <c r="BH134" s="137" t="str">
        <f>IF(OR(R134="",R134="-"),"",IF(R134&lt;=0.25,"Tipo 1 (≤0,25) uT",IF(R134&lt;=0.5,"Tipo 2 (0,25-0,50) uT",IF(R134&lt;=0.75,"Tipo 3 (0,50-0,75) uT","Tipo 4 (&gt;0,75) uT"))))</f>
        <v>Tipo 1 (≤0,25) uT</v>
      </c>
    </row>
    <row r="135" spans="1:60" x14ac:dyDescent="0.3">
      <c r="A135" s="74">
        <v>46273</v>
      </c>
      <c r="B135" s="139">
        <v>0.39583333333333331</v>
      </c>
      <c r="C135" s="116">
        <v>420</v>
      </c>
      <c r="D135" s="116">
        <v>1567</v>
      </c>
      <c r="E135" s="116">
        <v>0</v>
      </c>
      <c r="F135" s="116">
        <v>2072</v>
      </c>
      <c r="G135" s="144" t="s">
        <v>100</v>
      </c>
      <c r="H135" s="122">
        <v>11</v>
      </c>
      <c r="I135" s="116">
        <v>104</v>
      </c>
      <c r="J135" s="10">
        <v>90</v>
      </c>
      <c r="K135" s="116">
        <v>90</v>
      </c>
      <c r="L135" s="116">
        <v>90</v>
      </c>
      <c r="M135" s="122">
        <v>22.8</v>
      </c>
      <c r="N135" s="122">
        <v>6.2</v>
      </c>
      <c r="O135" s="79">
        <v>1.1599999999999999</v>
      </c>
      <c r="P135" s="116">
        <v>7</v>
      </c>
      <c r="Q135" s="122">
        <v>4.3</v>
      </c>
      <c r="R135" s="10">
        <v>0.12</v>
      </c>
      <c r="S135" s="79">
        <v>22.36</v>
      </c>
      <c r="T135" s="79">
        <v>0.88</v>
      </c>
      <c r="U135" s="79">
        <v>0.7</v>
      </c>
      <c r="V135" s="85">
        <f t="shared" si="16"/>
        <v>1673.14</v>
      </c>
      <c r="W135" s="85">
        <f t="shared" si="17"/>
        <v>1367.3038038399998</v>
      </c>
      <c r="X135" s="85">
        <f t="shared" si="18"/>
        <v>0.81720824547856108</v>
      </c>
      <c r="Y135" s="116">
        <v>3</v>
      </c>
      <c r="Z135" s="116">
        <v>4</v>
      </c>
      <c r="AA135" s="122">
        <v>6.48</v>
      </c>
      <c r="AB135" s="116">
        <v>17</v>
      </c>
      <c r="AC135" s="122">
        <v>5.6</v>
      </c>
      <c r="AD135" s="122">
        <v>3.1</v>
      </c>
      <c r="AE135" s="79">
        <v>0.19</v>
      </c>
      <c r="AF135" s="79">
        <v>0.24</v>
      </c>
      <c r="AG135" s="85">
        <f>(O135+0.3*H135+2)*(F135/2/AK135)</f>
        <v>1673.14</v>
      </c>
      <c r="AH135" s="85">
        <f t="shared" si="19"/>
        <v>1800.1373696799999</v>
      </c>
      <c r="AI135" s="85">
        <f t="shared" si="20"/>
        <v>1.0759036121782994</v>
      </c>
      <c r="AJ135" s="116">
        <v>3</v>
      </c>
      <c r="AK135" s="116">
        <v>4</v>
      </c>
      <c r="AL135" s="122">
        <v>6.34</v>
      </c>
      <c r="AM135" s="116">
        <v>23</v>
      </c>
      <c r="AN135" s="122">
        <v>5.5</v>
      </c>
      <c r="AO135" s="122">
        <v>2.4</v>
      </c>
      <c r="AP135" s="79">
        <v>0.19</v>
      </c>
      <c r="AQ135" s="79">
        <v>0.24</v>
      </c>
      <c r="AR135" s="132">
        <f>SUM(C135:E135)</f>
        <v>1987</v>
      </c>
      <c r="AS135" s="134">
        <f>C135/AR135</f>
        <v>0.21137393054856568</v>
      </c>
      <c r="AT135" s="134">
        <f>D135/AR135</f>
        <v>0.78862606945143432</v>
      </c>
      <c r="AU135" s="134">
        <f>E135/AR135</f>
        <v>0</v>
      </c>
      <c r="AV135" s="151">
        <f>IF(AND(F135&lt;&gt;"",Z135&lt;&gt;""),AB135/(F135/2/Z135),"")</f>
        <v>6.5637065637065631E-2</v>
      </c>
      <c r="AW135" s="151">
        <f>IF(AND(F135&lt;&gt;"",AK135&lt;&gt;""),AM135/(F135/2/AK135),"")</f>
        <v>8.8803088803088806E-2</v>
      </c>
      <c r="AX135" s="41">
        <f>IF(AND(AQ135&lt;&gt;"",1-(AQ135/O135)&gt;0),1-(AQ135/O135),"")</f>
        <v>0.7931034482758621</v>
      </c>
      <c r="AY135" s="41">
        <f>IF(AND(AF135&lt;&gt;"",1-(AF135/O135)&gt;0),1-(AF135/O135),"")</f>
        <v>0.7931034482758621</v>
      </c>
      <c r="AZ135" s="136" t="str">
        <f>IF(Q135="","",IF(Q135&lt;2.5,"Alc. Bruta &lt; 2,5 mg/L",IF(Q135&lt;5,"2,5 ≤ Alc. Bruta &lt; 5,0 mg/L",IF(Q135&lt;7.5,"5,0 ≤ Alc. Bruta &lt; 7,5 mg/L",IF(Q135&lt;10,"7,5 ≤ Alc. Bruta &lt; 10,0 mg/L",IF(Q135&lt;15,"10,0 ≤ Alca. Bruta &lt; 15,0 mg/L","Alc. Bruta &gt; 15 mg/L"))))))</f>
        <v>2,5 ≤ Alc. Bruta &lt; 5,0 mg/L</v>
      </c>
      <c r="BA135" s="136" t="str">
        <f>IF(P135="","",IF(P135&lt;5,"Cor &lt;5 uC",IF(P135&lt;10,"5 ≤ Cor &lt; 10 uC",IF(P135&lt;15,"10 ≤ Cor &lt;15 uC",IF(P135&lt;30,"15 ≤ Cor &lt; 30 uC",IF(P135&lt;50,"30 ≤ Cor &lt; 50 uC","Cor &gt; 50 uC"))))))</f>
        <v>5 ≤ Cor &lt; 10 uC</v>
      </c>
      <c r="BB135" s="137" t="str">
        <f>IF(O135="","",IF(O135&lt;2.5,"Turbidez &lt; 2,5 uT",IF(O135&lt;5,"2,5 ≤ Turb &lt; 5,0 uT",IF(O135&lt;7.5,"5,0 ≤ Turb &lt; 7,5 uT",IF(O135&lt;10,"7,5 ≤ Turb &lt; 10,0 uT",IF(O135&lt;15,"10,0 ≤ Turb &lt; 15,0 uT","Turb &gt; 15 uT"))))))</f>
        <v>Turbidez &lt; 2,5 uT</v>
      </c>
      <c r="BC135" s="138" t="str">
        <f>IF(AND(C135&gt;D135,D135&gt;E135),"TOR &gt; SM &gt; BNN",IF(AND(C135&gt;E135,E135&gt;D135),"TOR &gt; BNN &gt; SM",IF(AND(D135&gt;C135,C135&gt;E135),"SM &gt; TOR &gt; BNN",IF(AND(D135&gt;E135,E135&gt;C135),"SM &gt; BNN &gt; TOR",IF(AND(C135=D135,D135=E135),"TOR = SM = BNN","Comb. diferentes")))))</f>
        <v>SM &gt; TOR &gt; BNN</v>
      </c>
      <c r="BD135" s="137" t="str">
        <f>IF(OR(AE135="",AQ135="-"),"",IF(AE135&lt;=0.25,"Tipo 1 (≤0,25) uT",IF(AE135&lt;=0.5,"Tipo 2 (0,25-0,50) uT",IF(AE135&lt;=0.75,"Tipo 3 (0,50-0,75) uT","Tipo 4 (&gt;0,75) uT"))))</f>
        <v>Tipo 1 (≤0,25) uT</v>
      </c>
      <c r="BE135" s="137" t="str">
        <f t="shared" si="14"/>
        <v>Tipo 1 (≤0,25) uT</v>
      </c>
      <c r="BF135" s="137" t="str">
        <f>IF(OR(AF135="",AQ135="-"),"",IF(AF135&lt;=0.25,"Tipo 1 (≤0,25) uT",IF(AF135&lt;=0.5,"Tipo 2 (0,25-0,50) uT",IF(AF135&lt;=0.75,"Tipo 3 (0,50-0,75) uT","Tipo 4 (&gt;0,75) uT"))))</f>
        <v>Tipo 1 (≤0,25) uT</v>
      </c>
      <c r="BG135" s="137" t="str">
        <f t="shared" si="15"/>
        <v>Tipo 1 (≤0,25) uT</v>
      </c>
      <c r="BH135" s="137" t="str">
        <f>IF(OR(R135="",R135="-"),"",IF(R135&lt;=0.25,"Tipo 1 (≤0,25) uT",IF(R135&lt;=0.5,"Tipo 2 (0,25-0,50) uT",IF(R135&lt;=0.75,"Tipo 3 (0,50-0,75) uT","Tipo 4 (&gt;0,75) uT"))))</f>
        <v>Tipo 1 (≤0,25) uT</v>
      </c>
    </row>
    <row r="136" spans="1:60" x14ac:dyDescent="0.3">
      <c r="A136" s="74">
        <v>46273</v>
      </c>
      <c r="B136" s="139">
        <v>0.47916666666666669</v>
      </c>
      <c r="C136" s="116">
        <v>402</v>
      </c>
      <c r="D136" s="116">
        <v>1658</v>
      </c>
      <c r="E136" s="116">
        <v>0</v>
      </c>
      <c r="F136" s="116">
        <v>2044</v>
      </c>
      <c r="G136" s="144" t="s">
        <v>100</v>
      </c>
      <c r="H136" s="122">
        <v>11</v>
      </c>
      <c r="I136" s="116">
        <v>118</v>
      </c>
      <c r="J136" s="10">
        <v>90</v>
      </c>
      <c r="K136" s="116">
        <v>90</v>
      </c>
      <c r="L136" s="116">
        <v>90</v>
      </c>
      <c r="M136" s="122">
        <v>23.7</v>
      </c>
      <c r="N136" s="122">
        <v>6.2</v>
      </c>
      <c r="O136" s="79">
        <v>3.19</v>
      </c>
      <c r="P136" s="116">
        <v>15</v>
      </c>
      <c r="Q136" s="122">
        <v>4.9000000000000004</v>
      </c>
      <c r="R136" s="10">
        <v>0.1</v>
      </c>
      <c r="S136" s="79">
        <v>22.36</v>
      </c>
      <c r="T136" s="79">
        <v>0.88</v>
      </c>
      <c r="U136" s="79">
        <v>0.7</v>
      </c>
      <c r="V136" s="85">
        <f t="shared" si="16"/>
        <v>2169.1950000000002</v>
      </c>
      <c r="W136" s="85">
        <f t="shared" si="17"/>
        <v>1372.556302</v>
      </c>
      <c r="X136" s="85">
        <f t="shared" si="18"/>
        <v>0.63274915440981561</v>
      </c>
      <c r="Y136" s="116">
        <v>3</v>
      </c>
      <c r="Z136" s="116">
        <v>4</v>
      </c>
      <c r="AA136" s="122">
        <v>6.5</v>
      </c>
      <c r="AB136" s="116">
        <v>17</v>
      </c>
      <c r="AC136" s="122">
        <v>5.3</v>
      </c>
      <c r="AD136" s="122">
        <v>3.9</v>
      </c>
      <c r="AE136" s="79">
        <v>0.2</v>
      </c>
      <c r="AF136" s="79">
        <v>0.25</v>
      </c>
      <c r="AG136" s="85">
        <f>(O136+0.3*H136+2)*(F136/2/AK136)</f>
        <v>2169.1950000000002</v>
      </c>
      <c r="AH136" s="85">
        <f t="shared" si="19"/>
        <v>1800.1373696799999</v>
      </c>
      <c r="AI136" s="85">
        <f t="shared" si="20"/>
        <v>0.82986424442246998</v>
      </c>
      <c r="AJ136" s="116">
        <v>3</v>
      </c>
      <c r="AK136" s="116">
        <v>4</v>
      </c>
      <c r="AL136" s="122">
        <v>6.34</v>
      </c>
      <c r="AM136" s="116">
        <v>23</v>
      </c>
      <c r="AN136" s="122">
        <v>5.5</v>
      </c>
      <c r="AO136" s="122">
        <v>2.5</v>
      </c>
      <c r="AP136" s="79">
        <v>0.12</v>
      </c>
      <c r="AQ136" s="79">
        <v>0.21</v>
      </c>
      <c r="AR136" s="132">
        <f>SUM(C136:E136)</f>
        <v>2060</v>
      </c>
      <c r="AS136" s="134">
        <f>C136/AR136</f>
        <v>0.19514563106796118</v>
      </c>
      <c r="AT136" s="134">
        <f>D136/AR136</f>
        <v>0.80485436893203888</v>
      </c>
      <c r="AU136" s="134">
        <f>E136/AR136</f>
        <v>0</v>
      </c>
      <c r="AV136" s="151">
        <f>IF(AND(F136&lt;&gt;"",Z136&lt;&gt;""),AB136/(F136/2/Z136),"")</f>
        <v>6.6536203522504889E-2</v>
      </c>
      <c r="AW136" s="151">
        <f>IF(AND(F136&lt;&gt;"",AK136&lt;&gt;""),AM136/(F136/2/AK136),"")</f>
        <v>9.0019569471624261E-2</v>
      </c>
      <c r="AX136" s="41">
        <f>IF(AND(AQ136&lt;&gt;"",1-(AQ136/O136)&gt;0),1-(AQ136/O136),"")</f>
        <v>0.93416927899686519</v>
      </c>
      <c r="AY136" s="41">
        <f>IF(AND(AF136&lt;&gt;"",1-(AF136/O136)&gt;0),1-(AF136/O136),"")</f>
        <v>0.92163009404388718</v>
      </c>
      <c r="AZ136" s="136" t="str">
        <f>IF(Q136="","",IF(Q136&lt;2.5,"Alc. Bruta &lt; 2,5 mg/L",IF(Q136&lt;5,"2,5 ≤ Alc. Bruta &lt; 5,0 mg/L",IF(Q136&lt;7.5,"5,0 ≤ Alc. Bruta &lt; 7,5 mg/L",IF(Q136&lt;10,"7,5 ≤ Alc. Bruta &lt; 10,0 mg/L",IF(Q136&lt;15,"10,0 ≤ Alca. Bruta &lt; 15,0 mg/L","Alc. Bruta &gt; 15 mg/L"))))))</f>
        <v>2,5 ≤ Alc. Bruta &lt; 5,0 mg/L</v>
      </c>
      <c r="BA136" s="136" t="str">
        <f>IF(P136="","",IF(P136&lt;5,"Cor &lt;5 uC",IF(P136&lt;10,"5 ≤ Cor &lt; 10 uC",IF(P136&lt;15,"10 ≤ Cor &lt;15 uC",IF(P136&lt;30,"15 ≤ Cor &lt; 30 uC",IF(P136&lt;50,"30 ≤ Cor &lt; 50 uC","Cor &gt; 50 uC"))))))</f>
        <v>15 ≤ Cor &lt; 30 uC</v>
      </c>
      <c r="BB136" s="137" t="str">
        <f>IF(O136="","",IF(O136&lt;2.5,"Turbidez &lt; 2,5 uT",IF(O136&lt;5,"2,5 ≤ Turb &lt; 5,0 uT",IF(O136&lt;7.5,"5,0 ≤ Turb &lt; 7,5 uT",IF(O136&lt;10,"7,5 ≤ Turb &lt; 10,0 uT",IF(O136&lt;15,"10,0 ≤ Turb &lt; 15,0 uT","Turb &gt; 15 uT"))))))</f>
        <v>2,5 ≤ Turb &lt; 5,0 uT</v>
      </c>
      <c r="BC136" s="138" t="str">
        <f>IF(AND(C136&gt;D136,D136&gt;E136),"TOR &gt; SM &gt; BNN",IF(AND(C136&gt;E136,E136&gt;D136),"TOR &gt; BNN &gt; SM",IF(AND(D136&gt;C136,C136&gt;E136),"SM &gt; TOR &gt; BNN",IF(AND(D136&gt;E136,E136&gt;C136),"SM &gt; BNN &gt; TOR",IF(AND(C136=D136,D136=E136),"TOR = SM = BNN","Comb. diferentes")))))</f>
        <v>SM &gt; TOR &gt; BNN</v>
      </c>
      <c r="BD136" s="137" t="str">
        <f>IF(OR(AE136="",AQ136="-"),"",IF(AE136&lt;=0.25,"Tipo 1 (≤0,25) uT",IF(AE136&lt;=0.5,"Tipo 2 (0,25-0,50) uT",IF(AE136&lt;=0.75,"Tipo 3 (0,50-0,75) uT","Tipo 4 (&gt;0,75) uT"))))</f>
        <v>Tipo 1 (≤0,25) uT</v>
      </c>
      <c r="BE136" s="137" t="str">
        <f t="shared" si="14"/>
        <v>Tipo 1 (≤0,25) uT</v>
      </c>
      <c r="BF136" s="137" t="str">
        <f>IF(OR(AF136="",AQ136="-"),"",IF(AF136&lt;=0.25,"Tipo 1 (≤0,25) uT",IF(AF136&lt;=0.5,"Tipo 2 (0,25-0,50) uT",IF(AF136&lt;=0.75,"Tipo 3 (0,50-0,75) uT","Tipo 4 (&gt;0,75) uT"))))</f>
        <v>Tipo 1 (≤0,25) uT</v>
      </c>
      <c r="BG136" s="137" t="str">
        <f t="shared" si="15"/>
        <v>Tipo 1 (≤0,25) uT</v>
      </c>
      <c r="BH136" s="137" t="str">
        <f>IF(OR(R136="",R136="-"),"",IF(R136&lt;=0.25,"Tipo 1 (≤0,25) uT",IF(R136&lt;=0.5,"Tipo 2 (0,25-0,50) uT",IF(R136&lt;=0.75,"Tipo 3 (0,50-0,75) uT","Tipo 4 (&gt;0,75) uT"))))</f>
        <v>Tipo 1 (≤0,25) uT</v>
      </c>
    </row>
    <row r="137" spans="1:60" x14ac:dyDescent="0.3">
      <c r="A137" s="74">
        <v>46273</v>
      </c>
      <c r="B137" s="139">
        <v>0.72916666666666663</v>
      </c>
      <c r="C137" s="116">
        <v>406</v>
      </c>
      <c r="D137" s="116">
        <v>1494</v>
      </c>
      <c r="E137" s="116">
        <v>0</v>
      </c>
      <c r="F137" s="116">
        <v>1963</v>
      </c>
      <c r="G137" s="144" t="s">
        <v>100</v>
      </c>
      <c r="H137" s="122">
        <v>11</v>
      </c>
      <c r="I137" s="116">
        <v>54</v>
      </c>
      <c r="J137" s="10">
        <v>90</v>
      </c>
      <c r="K137" s="116">
        <v>90</v>
      </c>
      <c r="L137" s="116">
        <v>90</v>
      </c>
      <c r="M137" s="122">
        <v>25.1</v>
      </c>
      <c r="N137" s="122">
        <v>6.3</v>
      </c>
      <c r="O137" s="79">
        <v>1.19</v>
      </c>
      <c r="P137" s="116">
        <v>7</v>
      </c>
      <c r="Q137" s="122">
        <v>4.9000000000000004</v>
      </c>
      <c r="R137" s="10">
        <v>0.1</v>
      </c>
      <c r="S137" s="79">
        <v>22.36</v>
      </c>
      <c r="T137" s="79">
        <v>0.88</v>
      </c>
      <c r="U137" s="79">
        <v>0.7</v>
      </c>
      <c r="V137" s="85">
        <f t="shared" si="16"/>
        <v>1592.4837500000001</v>
      </c>
      <c r="W137" s="85">
        <f t="shared" si="17"/>
        <v>1377.8088001599995</v>
      </c>
      <c r="X137" s="85">
        <f t="shared" si="18"/>
        <v>0.86519488827436974</v>
      </c>
      <c r="Y137" s="116">
        <v>3</v>
      </c>
      <c r="Z137" s="116">
        <v>4</v>
      </c>
      <c r="AA137" s="122">
        <v>6.52</v>
      </c>
      <c r="AB137" s="116">
        <v>17</v>
      </c>
      <c r="AC137" s="122">
        <v>5.5</v>
      </c>
      <c r="AD137" s="122">
        <v>2.5</v>
      </c>
      <c r="AE137" s="79">
        <v>0.13</v>
      </c>
      <c r="AF137" s="79">
        <v>0.21</v>
      </c>
      <c r="AG137" s="85">
        <f>(O137+0.3*H137+2)*(F137/2/AK137)</f>
        <v>1592.4837500000001</v>
      </c>
      <c r="AH137" s="85">
        <f t="shared" si="19"/>
        <v>1796.58420916</v>
      </c>
      <c r="AI137" s="85">
        <f t="shared" si="20"/>
        <v>1.1281648614373616</v>
      </c>
      <c r="AJ137" s="116">
        <v>3</v>
      </c>
      <c r="AK137" s="116">
        <v>4</v>
      </c>
      <c r="AL137" s="122">
        <v>6.33</v>
      </c>
      <c r="AM137" s="116">
        <v>23</v>
      </c>
      <c r="AN137" s="122">
        <v>5.5</v>
      </c>
      <c r="AO137" s="122">
        <v>2.7</v>
      </c>
      <c r="AP137" s="79">
        <v>0.12</v>
      </c>
      <c r="AQ137" s="79">
        <v>0.21</v>
      </c>
      <c r="AR137" s="132">
        <f>SUM(C137:E137)</f>
        <v>1900</v>
      </c>
      <c r="AS137" s="134">
        <f>C137/AR137</f>
        <v>0.21368421052631578</v>
      </c>
      <c r="AT137" s="134">
        <f>D137/AR137</f>
        <v>0.78631578947368419</v>
      </c>
      <c r="AU137" s="134">
        <f>E137/AR137</f>
        <v>0</v>
      </c>
      <c r="AV137" s="151">
        <f>IF(AND(F137&lt;&gt;"",Z137&lt;&gt;""),AB137/(F137/2/Z137),"")</f>
        <v>6.9281711665817633E-2</v>
      </c>
      <c r="AW137" s="151">
        <f>IF(AND(F137&lt;&gt;"",AK137&lt;&gt;""),AM137/(F137/2/AK137),"")</f>
        <v>9.3734080489047383E-2</v>
      </c>
      <c r="AX137" s="41">
        <f>IF(AND(AQ137&lt;&gt;"",1-(AQ137/O137)&gt;0),1-(AQ137/O137),"")</f>
        <v>0.82352941176470584</v>
      </c>
      <c r="AY137" s="41">
        <f>IF(AND(AF137&lt;&gt;"",1-(AF137/O137)&gt;0),1-(AF137/O137),"")</f>
        <v>0.82352941176470584</v>
      </c>
      <c r="AZ137" s="136" t="str">
        <f>IF(Q137="","",IF(Q137&lt;2.5,"Alc. Bruta &lt; 2,5 mg/L",IF(Q137&lt;5,"2,5 ≤ Alc. Bruta &lt; 5,0 mg/L",IF(Q137&lt;7.5,"5,0 ≤ Alc. Bruta &lt; 7,5 mg/L",IF(Q137&lt;10,"7,5 ≤ Alc. Bruta &lt; 10,0 mg/L",IF(Q137&lt;15,"10,0 ≤ Alca. Bruta &lt; 15,0 mg/L","Alc. Bruta &gt; 15 mg/L"))))))</f>
        <v>2,5 ≤ Alc. Bruta &lt; 5,0 mg/L</v>
      </c>
      <c r="BA137" s="136" t="str">
        <f>IF(P137="","",IF(P137&lt;5,"Cor &lt;5 uC",IF(P137&lt;10,"5 ≤ Cor &lt; 10 uC",IF(P137&lt;15,"10 ≤ Cor &lt;15 uC",IF(P137&lt;30,"15 ≤ Cor &lt; 30 uC",IF(P137&lt;50,"30 ≤ Cor &lt; 50 uC","Cor &gt; 50 uC"))))))</f>
        <v>5 ≤ Cor &lt; 10 uC</v>
      </c>
      <c r="BB137" s="137" t="str">
        <f>IF(O137="","",IF(O137&lt;2.5,"Turbidez &lt; 2,5 uT",IF(O137&lt;5,"2,5 ≤ Turb &lt; 5,0 uT",IF(O137&lt;7.5,"5,0 ≤ Turb &lt; 7,5 uT",IF(O137&lt;10,"7,5 ≤ Turb &lt; 10,0 uT",IF(O137&lt;15,"10,0 ≤ Turb &lt; 15,0 uT","Turb &gt; 15 uT"))))))</f>
        <v>Turbidez &lt; 2,5 uT</v>
      </c>
      <c r="BC137" s="138" t="str">
        <f>IF(AND(C137&gt;D137,D137&gt;E137),"TOR &gt; SM &gt; BNN",IF(AND(C137&gt;E137,E137&gt;D137),"TOR &gt; BNN &gt; SM",IF(AND(D137&gt;C137,C137&gt;E137),"SM &gt; TOR &gt; BNN",IF(AND(D137&gt;E137,E137&gt;C137),"SM &gt; BNN &gt; TOR",IF(AND(C137=D137,D137=E137),"TOR = SM = BNN","Comb. diferentes")))))</f>
        <v>SM &gt; TOR &gt; BNN</v>
      </c>
      <c r="BD137" s="137" t="str">
        <f>IF(OR(AE137="",AQ137="-"),"",IF(AE137&lt;=0.25,"Tipo 1 (≤0,25) uT",IF(AE137&lt;=0.5,"Tipo 2 (0,25-0,50) uT",IF(AE137&lt;=0.75,"Tipo 3 (0,50-0,75) uT","Tipo 4 (&gt;0,75) uT"))))</f>
        <v>Tipo 1 (≤0,25) uT</v>
      </c>
      <c r="BE137" s="137" t="str">
        <f t="shared" si="14"/>
        <v>Tipo 1 (≤0,25) uT</v>
      </c>
      <c r="BF137" s="137" t="str">
        <f>IF(OR(AF137="",AQ137="-"),"",IF(AF137&lt;=0.25,"Tipo 1 (≤0,25) uT",IF(AF137&lt;=0.5,"Tipo 2 (0,25-0,50) uT",IF(AF137&lt;=0.75,"Tipo 3 (0,50-0,75) uT","Tipo 4 (&gt;0,75) uT"))))</f>
        <v>Tipo 1 (≤0,25) uT</v>
      </c>
      <c r="BG137" s="137" t="str">
        <f t="shared" si="15"/>
        <v>Tipo 1 (≤0,25) uT</v>
      </c>
      <c r="BH137" s="137" t="str">
        <f>IF(OR(R137="",R137="-"),"",IF(R137&lt;=0.25,"Tipo 1 (≤0,25) uT",IF(R137&lt;=0.5,"Tipo 2 (0,25-0,50) uT",IF(R137&lt;=0.75,"Tipo 3 (0,50-0,75) uT","Tipo 4 (&gt;0,75) uT"))))</f>
        <v>Tipo 1 (≤0,25) uT</v>
      </c>
    </row>
    <row r="138" spans="1:60" x14ac:dyDescent="0.3">
      <c r="A138" s="74">
        <v>46273</v>
      </c>
      <c r="B138" s="139">
        <v>0.8125</v>
      </c>
      <c r="C138" s="116">
        <v>419</v>
      </c>
      <c r="D138" s="116">
        <v>1514</v>
      </c>
      <c r="E138" s="116">
        <v>0</v>
      </c>
      <c r="F138" s="116">
        <v>2004</v>
      </c>
      <c r="G138" s="144" t="s">
        <v>100</v>
      </c>
      <c r="H138" s="122">
        <v>11</v>
      </c>
      <c r="I138" s="116">
        <v>48</v>
      </c>
      <c r="J138" s="10">
        <v>90</v>
      </c>
      <c r="K138" s="116">
        <v>90</v>
      </c>
      <c r="L138" s="116">
        <v>90</v>
      </c>
      <c r="M138" s="122">
        <v>25.4</v>
      </c>
      <c r="N138" s="122">
        <v>6.2</v>
      </c>
      <c r="O138" s="79">
        <v>1</v>
      </c>
      <c r="P138" s="116">
        <v>7</v>
      </c>
      <c r="Q138" s="122">
        <v>4.5999999999999996</v>
      </c>
      <c r="R138" s="10">
        <v>0.09</v>
      </c>
      <c r="S138" s="79">
        <v>22.36</v>
      </c>
      <c r="T138" s="79">
        <v>0.88</v>
      </c>
      <c r="U138" s="79">
        <v>0.7</v>
      </c>
      <c r="V138" s="85">
        <f t="shared" si="16"/>
        <v>1578.1499999999999</v>
      </c>
      <c r="W138" s="85">
        <f t="shared" si="17"/>
        <v>1372.556302</v>
      </c>
      <c r="X138" s="85">
        <f t="shared" si="18"/>
        <v>0.86972486899217438</v>
      </c>
      <c r="Y138" s="116">
        <v>3</v>
      </c>
      <c r="Z138" s="116">
        <v>4</v>
      </c>
      <c r="AA138" s="122">
        <v>6.5</v>
      </c>
      <c r="AB138" s="116">
        <v>17</v>
      </c>
      <c r="AC138" s="122">
        <v>5.5</v>
      </c>
      <c r="AD138" s="122">
        <v>2.8</v>
      </c>
      <c r="AE138" s="79">
        <v>0.1</v>
      </c>
      <c r="AF138" s="79">
        <v>0.15</v>
      </c>
      <c r="AG138" s="85">
        <f>(O138+0.3*H138+2)*(F138/2/AK138)</f>
        <v>1578.1499999999999</v>
      </c>
      <c r="AH138" s="85">
        <f t="shared" si="19"/>
        <v>1821.4563327999999</v>
      </c>
      <c r="AI138" s="85">
        <f t="shared" si="20"/>
        <v>1.1541718675664545</v>
      </c>
      <c r="AJ138" s="116">
        <v>3</v>
      </c>
      <c r="AK138" s="116">
        <v>4</v>
      </c>
      <c r="AL138" s="122">
        <v>6.4</v>
      </c>
      <c r="AM138" s="116">
        <v>23</v>
      </c>
      <c r="AN138" s="122">
        <v>5.3</v>
      </c>
      <c r="AO138" s="122">
        <v>2.6</v>
      </c>
      <c r="AP138" s="79">
        <v>0.15</v>
      </c>
      <c r="AQ138" s="79">
        <v>0.21</v>
      </c>
      <c r="AR138" s="132">
        <f>SUM(C138:E138)</f>
        <v>1933</v>
      </c>
      <c r="AS138" s="134">
        <f>C138/AR138</f>
        <v>0.21676151060527676</v>
      </c>
      <c r="AT138" s="134">
        <f>D138/AR138</f>
        <v>0.78323848939472318</v>
      </c>
      <c r="AU138" s="134">
        <f>E138/AR138</f>
        <v>0</v>
      </c>
      <c r="AV138" s="151">
        <f>IF(AND(F138&lt;&gt;"",Z138&lt;&gt;""),AB138/(F138/2/Z138),"")</f>
        <v>6.7864271457085831E-2</v>
      </c>
      <c r="AW138" s="151">
        <f>IF(AND(F138&lt;&gt;"",AK138&lt;&gt;""),AM138/(F138/2/AK138),"")</f>
        <v>9.1816367265469059E-2</v>
      </c>
      <c r="AX138" s="41">
        <f>IF(AND(AQ138&lt;&gt;"",1-(AQ138/O138)&gt;0),1-(AQ138/O138),"")</f>
        <v>0.79</v>
      </c>
      <c r="AY138" s="41">
        <f>IF(AND(AF138&lt;&gt;"",1-(AF138/O138)&gt;0),1-(AF138/O138),"")</f>
        <v>0.85</v>
      </c>
      <c r="AZ138" s="136" t="str">
        <f>IF(Q138="","",IF(Q138&lt;2.5,"Alc. Bruta &lt; 2,5 mg/L",IF(Q138&lt;5,"2,5 ≤ Alc. Bruta &lt; 5,0 mg/L",IF(Q138&lt;7.5,"5,0 ≤ Alc. Bruta &lt; 7,5 mg/L",IF(Q138&lt;10,"7,5 ≤ Alc. Bruta &lt; 10,0 mg/L",IF(Q138&lt;15,"10,0 ≤ Alca. Bruta &lt; 15,0 mg/L","Alc. Bruta &gt; 15 mg/L"))))))</f>
        <v>2,5 ≤ Alc. Bruta &lt; 5,0 mg/L</v>
      </c>
      <c r="BA138" s="136" t="str">
        <f>IF(P138="","",IF(P138&lt;5,"Cor &lt;5 uC",IF(P138&lt;10,"5 ≤ Cor &lt; 10 uC",IF(P138&lt;15,"10 ≤ Cor &lt;15 uC",IF(P138&lt;30,"15 ≤ Cor &lt; 30 uC",IF(P138&lt;50,"30 ≤ Cor &lt; 50 uC","Cor &gt; 50 uC"))))))</f>
        <v>5 ≤ Cor &lt; 10 uC</v>
      </c>
      <c r="BB138" s="137" t="str">
        <f>IF(O138="","",IF(O138&lt;2.5,"Turbidez &lt; 2,5 uT",IF(O138&lt;5,"2,5 ≤ Turb &lt; 5,0 uT",IF(O138&lt;7.5,"5,0 ≤ Turb &lt; 7,5 uT",IF(O138&lt;10,"7,5 ≤ Turb &lt; 10,0 uT",IF(O138&lt;15,"10,0 ≤ Turb &lt; 15,0 uT","Turb &gt; 15 uT"))))))</f>
        <v>Turbidez &lt; 2,5 uT</v>
      </c>
      <c r="BC138" s="138" t="str">
        <f>IF(AND(C138&gt;D138,D138&gt;E138),"TOR &gt; SM &gt; BNN",IF(AND(C138&gt;E138,E138&gt;D138),"TOR &gt; BNN &gt; SM",IF(AND(D138&gt;C138,C138&gt;E138),"SM &gt; TOR &gt; BNN",IF(AND(D138&gt;E138,E138&gt;C138),"SM &gt; BNN &gt; TOR",IF(AND(C138=D138,D138=E138),"TOR = SM = BNN","Comb. diferentes")))))</f>
        <v>SM &gt; TOR &gt; BNN</v>
      </c>
      <c r="BD138" s="137" t="str">
        <f>IF(OR(AE138="",AQ138="-"),"",IF(AE138&lt;=0.25,"Tipo 1 (≤0,25) uT",IF(AE138&lt;=0.5,"Tipo 2 (0,25-0,50) uT",IF(AE138&lt;=0.75,"Tipo 3 (0,50-0,75) uT","Tipo 4 (&gt;0,75) uT"))))</f>
        <v>Tipo 1 (≤0,25) uT</v>
      </c>
      <c r="BE138" s="137" t="str">
        <f t="shared" si="14"/>
        <v>Tipo 1 (≤0,25) uT</v>
      </c>
      <c r="BF138" s="137" t="str">
        <f>IF(OR(AF138="",AQ138="-"),"",IF(AF138&lt;=0.25,"Tipo 1 (≤0,25) uT",IF(AF138&lt;=0.5,"Tipo 2 (0,25-0,50) uT",IF(AF138&lt;=0.75,"Tipo 3 (0,50-0,75) uT","Tipo 4 (&gt;0,75) uT"))))</f>
        <v>Tipo 1 (≤0,25) uT</v>
      </c>
      <c r="BG138" s="137" t="str">
        <f t="shared" si="15"/>
        <v>Tipo 1 (≤0,25) uT</v>
      </c>
      <c r="BH138" s="137" t="str">
        <f>IF(OR(R138="",R138="-"),"",IF(R138&lt;=0.25,"Tipo 1 (≤0,25) uT",IF(R138&lt;=0.5,"Tipo 2 (0,25-0,50) uT",IF(R138&lt;=0.75,"Tipo 3 (0,50-0,75) uT","Tipo 4 (&gt;0,75) uT"))))</f>
        <v>Tipo 1 (≤0,25) uT</v>
      </c>
    </row>
    <row r="139" spans="1:60" x14ac:dyDescent="0.3">
      <c r="A139" s="74">
        <v>46273</v>
      </c>
      <c r="B139" s="139">
        <v>0.89583333333333337</v>
      </c>
      <c r="C139" s="116">
        <v>419</v>
      </c>
      <c r="D139" s="116">
        <v>1514</v>
      </c>
      <c r="E139" s="116">
        <v>0</v>
      </c>
      <c r="F139" s="116">
        <v>2004</v>
      </c>
      <c r="G139" s="144" t="s">
        <v>100</v>
      </c>
      <c r="H139" s="122">
        <v>11</v>
      </c>
      <c r="I139" s="116">
        <v>45</v>
      </c>
      <c r="J139" s="10">
        <v>90</v>
      </c>
      <c r="K139" s="116">
        <v>90</v>
      </c>
      <c r="L139" s="116">
        <v>90</v>
      </c>
      <c r="M139" s="122">
        <v>24.8</v>
      </c>
      <c r="N139" s="122">
        <v>6.3</v>
      </c>
      <c r="O139" s="79">
        <v>1.03</v>
      </c>
      <c r="P139" s="116">
        <v>7</v>
      </c>
      <c r="Q139" s="122">
        <v>5.0999999999999996</v>
      </c>
      <c r="R139" s="10">
        <v>0.1</v>
      </c>
      <c r="S139" s="79">
        <v>22.36</v>
      </c>
      <c r="T139" s="79">
        <v>0.88</v>
      </c>
      <c r="U139" s="79">
        <v>0.7</v>
      </c>
      <c r="V139" s="85">
        <f t="shared" si="16"/>
        <v>1585.665</v>
      </c>
      <c r="W139" s="85">
        <f t="shared" si="17"/>
        <v>1372.556302</v>
      </c>
      <c r="X139" s="85">
        <f t="shared" si="18"/>
        <v>0.8656029501817849</v>
      </c>
      <c r="Y139" s="116">
        <v>3</v>
      </c>
      <c r="Z139" s="116">
        <v>4</v>
      </c>
      <c r="AA139" s="122">
        <v>6.5</v>
      </c>
      <c r="AB139" s="116">
        <v>17</v>
      </c>
      <c r="AC139" s="122">
        <v>5.6</v>
      </c>
      <c r="AD139" s="122">
        <v>3.3</v>
      </c>
      <c r="AE139" s="79">
        <v>0.2</v>
      </c>
      <c r="AF139" s="79">
        <v>0.14000000000000001</v>
      </c>
      <c r="AG139" s="85">
        <f>(O139+0.3*H139+2)*(F139/2/AK139)</f>
        <v>1585.665</v>
      </c>
      <c r="AH139" s="85">
        <f t="shared" si="19"/>
        <v>1821.4563327999999</v>
      </c>
      <c r="AI139" s="85">
        <f t="shared" si="20"/>
        <v>1.1487018587154285</v>
      </c>
      <c r="AJ139" s="116">
        <v>3</v>
      </c>
      <c r="AK139" s="116">
        <v>4</v>
      </c>
      <c r="AL139" s="122">
        <v>6.4</v>
      </c>
      <c r="AM139" s="116">
        <v>23</v>
      </c>
      <c r="AN139" s="122">
        <v>5.5</v>
      </c>
      <c r="AO139" s="122">
        <v>4.9000000000000004</v>
      </c>
      <c r="AP139" s="79">
        <v>0.17</v>
      </c>
      <c r="AQ139" s="79">
        <v>0.19</v>
      </c>
      <c r="AR139" s="132">
        <f>SUM(C139:E139)</f>
        <v>1933</v>
      </c>
      <c r="AS139" s="134">
        <f>C139/AR139</f>
        <v>0.21676151060527676</v>
      </c>
      <c r="AT139" s="134">
        <f>D139/AR139</f>
        <v>0.78323848939472318</v>
      </c>
      <c r="AU139" s="134">
        <f>E139/AR139</f>
        <v>0</v>
      </c>
      <c r="AV139" s="151">
        <f>IF(AND(F139&lt;&gt;"",Z139&lt;&gt;""),AB139/(F139/2/Z139),"")</f>
        <v>6.7864271457085831E-2</v>
      </c>
      <c r="AW139" s="151">
        <f>IF(AND(F139&lt;&gt;"",AK139&lt;&gt;""),AM139/(F139/2/AK139),"")</f>
        <v>9.1816367265469059E-2</v>
      </c>
      <c r="AX139" s="41">
        <f>IF(AND(AQ139&lt;&gt;"",1-(AQ139/O139)&gt;0),1-(AQ139/O139),"")</f>
        <v>0.81553398058252424</v>
      </c>
      <c r="AY139" s="41">
        <f>IF(AND(AF139&lt;&gt;"",1-(AF139/O139)&gt;0),1-(AF139/O139),"")</f>
        <v>0.86407766990291257</v>
      </c>
      <c r="AZ139" s="136" t="str">
        <f>IF(Q139="","",IF(Q139&lt;2.5,"Alc. Bruta &lt; 2,5 mg/L",IF(Q139&lt;5,"2,5 ≤ Alc. Bruta &lt; 5,0 mg/L",IF(Q139&lt;7.5,"5,0 ≤ Alc. Bruta &lt; 7,5 mg/L",IF(Q139&lt;10,"7,5 ≤ Alc. Bruta &lt; 10,0 mg/L",IF(Q139&lt;15,"10,0 ≤ Alca. Bruta &lt; 15,0 mg/L","Alc. Bruta &gt; 15 mg/L"))))))</f>
        <v>5,0 ≤ Alc. Bruta &lt; 7,5 mg/L</v>
      </c>
      <c r="BA139" s="136" t="str">
        <f>IF(P139="","",IF(P139&lt;5,"Cor &lt;5 uC",IF(P139&lt;10,"5 ≤ Cor &lt; 10 uC",IF(P139&lt;15,"10 ≤ Cor &lt;15 uC",IF(P139&lt;30,"15 ≤ Cor &lt; 30 uC",IF(P139&lt;50,"30 ≤ Cor &lt; 50 uC","Cor &gt; 50 uC"))))))</f>
        <v>5 ≤ Cor &lt; 10 uC</v>
      </c>
      <c r="BB139" s="137" t="str">
        <f>IF(O139="","",IF(O139&lt;2.5,"Turbidez &lt; 2,5 uT",IF(O139&lt;5,"2,5 ≤ Turb &lt; 5,0 uT",IF(O139&lt;7.5,"5,0 ≤ Turb &lt; 7,5 uT",IF(O139&lt;10,"7,5 ≤ Turb &lt; 10,0 uT",IF(O139&lt;15,"10,0 ≤ Turb &lt; 15,0 uT","Turb &gt; 15 uT"))))))</f>
        <v>Turbidez &lt; 2,5 uT</v>
      </c>
      <c r="BC139" s="138" t="str">
        <f>IF(AND(C139&gt;D139,D139&gt;E139),"TOR &gt; SM &gt; BNN",IF(AND(C139&gt;E139,E139&gt;D139),"TOR &gt; BNN &gt; SM",IF(AND(D139&gt;C139,C139&gt;E139),"SM &gt; TOR &gt; BNN",IF(AND(D139&gt;E139,E139&gt;C139),"SM &gt; BNN &gt; TOR",IF(AND(C139=D139,D139=E139),"TOR = SM = BNN","Comb. diferentes")))))</f>
        <v>SM &gt; TOR &gt; BNN</v>
      </c>
      <c r="BD139" s="137" t="str">
        <f>IF(OR(AE139="",AQ139="-"),"",IF(AE139&lt;=0.25,"Tipo 1 (≤0,25) uT",IF(AE139&lt;=0.5,"Tipo 2 (0,25-0,50) uT",IF(AE139&lt;=0.75,"Tipo 3 (0,50-0,75) uT","Tipo 4 (&gt;0,75) uT"))))</f>
        <v>Tipo 1 (≤0,25) uT</v>
      </c>
      <c r="BE139" s="137" t="str">
        <f t="shared" si="14"/>
        <v>Tipo 1 (≤0,25) uT</v>
      </c>
      <c r="BF139" s="137" t="str">
        <f>IF(OR(AF139="",AQ139="-"),"",IF(AF139&lt;=0.25,"Tipo 1 (≤0,25) uT",IF(AF139&lt;=0.5,"Tipo 2 (0,25-0,50) uT",IF(AF139&lt;=0.75,"Tipo 3 (0,50-0,75) uT","Tipo 4 (&gt;0,75) uT"))))</f>
        <v>Tipo 1 (≤0,25) uT</v>
      </c>
      <c r="BG139" s="137" t="str">
        <f t="shared" si="15"/>
        <v>Tipo 1 (≤0,25) uT</v>
      </c>
      <c r="BH139" s="137" t="str">
        <f>IF(OR(R139="",R139="-"),"",IF(R139&lt;=0.25,"Tipo 1 (≤0,25) uT",IF(R139&lt;=0.5,"Tipo 2 (0,25-0,50) uT",IF(R139&lt;=0.75,"Tipo 3 (0,50-0,75) uT","Tipo 4 (&gt;0,75) uT"))))</f>
        <v>Tipo 1 (≤0,25) uT</v>
      </c>
    </row>
    <row r="140" spans="1:60" x14ac:dyDescent="0.3">
      <c r="A140" s="74">
        <v>46273</v>
      </c>
      <c r="B140" s="139">
        <v>0.97916666666666663</v>
      </c>
      <c r="C140" s="116">
        <v>350</v>
      </c>
      <c r="D140" s="116">
        <v>1647</v>
      </c>
      <c r="E140" s="116">
        <v>200</v>
      </c>
      <c r="F140" s="116">
        <v>2216</v>
      </c>
      <c r="G140" s="144" t="s">
        <v>100</v>
      </c>
      <c r="H140" s="122">
        <v>11</v>
      </c>
      <c r="I140" s="116">
        <v>5.25</v>
      </c>
      <c r="J140" s="10">
        <v>90</v>
      </c>
      <c r="K140" s="116">
        <v>90</v>
      </c>
      <c r="L140" s="116">
        <v>90</v>
      </c>
      <c r="M140" s="122">
        <v>24.6</v>
      </c>
      <c r="N140" s="122">
        <v>6.3</v>
      </c>
      <c r="O140" s="79">
        <v>1.01</v>
      </c>
      <c r="P140" s="116">
        <v>5.2</v>
      </c>
      <c r="Q140" s="122">
        <v>10</v>
      </c>
      <c r="R140" s="10">
        <v>0.1</v>
      </c>
      <c r="S140" s="79">
        <v>22.36</v>
      </c>
      <c r="T140" s="79">
        <v>0.88</v>
      </c>
      <c r="U140" s="79">
        <v>0.7</v>
      </c>
      <c r="V140" s="85">
        <f t="shared" si="16"/>
        <v>1747.87</v>
      </c>
      <c r="W140" s="85">
        <f t="shared" si="17"/>
        <v>1372.556302</v>
      </c>
      <c r="X140" s="85">
        <f t="shared" si="18"/>
        <v>0.78527367710413254</v>
      </c>
      <c r="Y140" s="116">
        <v>3</v>
      </c>
      <c r="Z140" s="116">
        <v>4</v>
      </c>
      <c r="AA140" s="122">
        <v>6.5</v>
      </c>
      <c r="AB140" s="116">
        <v>17</v>
      </c>
      <c r="AC140" s="122">
        <v>5.5</v>
      </c>
      <c r="AD140" s="122">
        <v>3.8</v>
      </c>
      <c r="AE140" s="79">
        <v>0.18</v>
      </c>
      <c r="AF140" s="79">
        <v>0.14000000000000001</v>
      </c>
      <c r="AG140" s="85">
        <f>(O140+0.3*H140+2)*(F140/2/AK140)</f>
        <v>1747.87</v>
      </c>
      <c r="AH140" s="85">
        <f t="shared" si="19"/>
        <v>1821.4563327999999</v>
      </c>
      <c r="AI140" s="85">
        <f t="shared" si="20"/>
        <v>1.0421005754432537</v>
      </c>
      <c r="AJ140" s="116">
        <v>3</v>
      </c>
      <c r="AK140" s="116">
        <v>4</v>
      </c>
      <c r="AL140" s="122">
        <v>6.4</v>
      </c>
      <c r="AM140" s="116">
        <v>23</v>
      </c>
      <c r="AN140" s="122">
        <v>5.4</v>
      </c>
      <c r="AO140" s="122">
        <v>5.5</v>
      </c>
      <c r="AP140" s="79">
        <v>0.17</v>
      </c>
      <c r="AQ140" s="79">
        <v>0.22</v>
      </c>
      <c r="AR140" s="132">
        <f>SUM(C140:E140)</f>
        <v>2197</v>
      </c>
      <c r="AS140" s="134">
        <f>C140/AR140</f>
        <v>0.15930814747382796</v>
      </c>
      <c r="AT140" s="134">
        <f>D140/AR140</f>
        <v>0.74965862539827033</v>
      </c>
      <c r="AU140" s="134">
        <f>E140/AR140</f>
        <v>9.1033227127901684E-2</v>
      </c>
      <c r="AV140" s="151">
        <f>IF(AND(F140&lt;&gt;"",Z140&lt;&gt;""),AB140/(F140/2/Z140),"")</f>
        <v>6.1371841155234655E-2</v>
      </c>
      <c r="AW140" s="151">
        <f>IF(AND(F140&lt;&gt;"",AK140&lt;&gt;""),AM140/(F140/2/AK140),"")</f>
        <v>8.3032490974729242E-2</v>
      </c>
      <c r="AX140" s="41">
        <f>IF(AND(AQ140&lt;&gt;"",1-(AQ140/O140)&gt;0),1-(AQ140/O140),"")</f>
        <v>0.78217821782178221</v>
      </c>
      <c r="AY140" s="41">
        <f>IF(AND(AF140&lt;&gt;"",1-(AF140/O140)&gt;0),1-(AF140/O140),"")</f>
        <v>0.86138613861386137</v>
      </c>
      <c r="AZ140" s="136" t="str">
        <f>IF(Q140="","",IF(Q140&lt;2.5,"Alc. Bruta &lt; 2,5 mg/L",IF(Q140&lt;5,"2,5 ≤ Alc. Bruta &lt; 5,0 mg/L",IF(Q140&lt;7.5,"5,0 ≤ Alc. Bruta &lt; 7,5 mg/L",IF(Q140&lt;10,"7,5 ≤ Alc. Bruta &lt; 10,0 mg/L",IF(Q140&lt;15,"10,0 ≤ Alca. Bruta &lt; 15,0 mg/L","Alc. Bruta &gt; 15 mg/L"))))))</f>
        <v>10,0 ≤ Alca. Bruta &lt; 15,0 mg/L</v>
      </c>
      <c r="BA140" s="136" t="str">
        <f>IF(P140="","",IF(P140&lt;5,"Cor &lt;5 uC",IF(P140&lt;10,"5 ≤ Cor &lt; 10 uC",IF(P140&lt;15,"10 ≤ Cor &lt;15 uC",IF(P140&lt;30,"15 ≤ Cor &lt; 30 uC",IF(P140&lt;50,"30 ≤ Cor &lt; 50 uC","Cor &gt; 50 uC"))))))</f>
        <v>5 ≤ Cor &lt; 10 uC</v>
      </c>
      <c r="BB140" s="137" t="str">
        <f>IF(O140="","",IF(O140&lt;2.5,"Turbidez &lt; 2,5 uT",IF(O140&lt;5,"2,5 ≤ Turb &lt; 5,0 uT",IF(O140&lt;7.5,"5,0 ≤ Turb &lt; 7,5 uT",IF(O140&lt;10,"7,5 ≤ Turb &lt; 10,0 uT",IF(O140&lt;15,"10,0 ≤ Turb &lt; 15,0 uT","Turb &gt; 15 uT"))))))</f>
        <v>Turbidez &lt; 2,5 uT</v>
      </c>
      <c r="BC140" s="138" t="str">
        <f>IF(AND(C140&gt;D140,D140&gt;E140),"TOR &gt; SM &gt; BNN",IF(AND(C140&gt;E140,E140&gt;D140),"TOR &gt; BNN &gt; SM",IF(AND(D140&gt;C140,C140&gt;E140),"SM &gt; TOR &gt; BNN",IF(AND(D140&gt;E140,E140&gt;C140),"SM &gt; BNN &gt; TOR",IF(AND(C140=D140,D140=E140),"TOR = SM = BNN","Comb. diferentes")))))</f>
        <v>SM &gt; TOR &gt; BNN</v>
      </c>
      <c r="BD140" s="137" t="str">
        <f>IF(OR(AE140="",AQ140="-"),"",IF(AE140&lt;=0.25,"Tipo 1 (≤0,25) uT",IF(AE140&lt;=0.5,"Tipo 2 (0,25-0,50) uT",IF(AE140&lt;=0.75,"Tipo 3 (0,50-0,75) uT","Tipo 4 (&gt;0,75) uT"))))</f>
        <v>Tipo 1 (≤0,25) uT</v>
      </c>
      <c r="BE140" s="137" t="str">
        <f t="shared" si="14"/>
        <v>Tipo 1 (≤0,25) uT</v>
      </c>
      <c r="BF140" s="137" t="str">
        <f>IF(OR(AF140="",AQ140="-"),"",IF(AF140&lt;=0.25,"Tipo 1 (≤0,25) uT",IF(AF140&lt;=0.5,"Tipo 2 (0,25-0,50) uT",IF(AF140&lt;=0.75,"Tipo 3 (0,50-0,75) uT","Tipo 4 (&gt;0,75) uT"))))</f>
        <v>Tipo 1 (≤0,25) uT</v>
      </c>
      <c r="BG140" s="137" t="str">
        <f t="shared" si="15"/>
        <v>Tipo 1 (≤0,25) uT</v>
      </c>
      <c r="BH140" s="137" t="str">
        <f>IF(OR(R140="",R140="-"),"",IF(R140&lt;=0.25,"Tipo 1 (≤0,25) uT",IF(R140&lt;=0.5,"Tipo 2 (0,25-0,50) uT",IF(R140&lt;=0.75,"Tipo 3 (0,50-0,75) uT","Tipo 4 (&gt;0,75) uT"))))</f>
        <v>Tipo 1 (≤0,25) uT</v>
      </c>
    </row>
    <row r="141" spans="1:60" x14ac:dyDescent="0.3">
      <c r="A141" s="74">
        <v>46274</v>
      </c>
      <c r="B141" s="139">
        <v>6.25E-2</v>
      </c>
      <c r="C141" s="116">
        <v>342</v>
      </c>
      <c r="D141" s="116">
        <v>1621</v>
      </c>
      <c r="E141" s="116">
        <v>199</v>
      </c>
      <c r="F141" s="116">
        <v>2216</v>
      </c>
      <c r="G141" s="144" t="s">
        <v>100</v>
      </c>
      <c r="H141" s="122">
        <v>11</v>
      </c>
      <c r="I141" s="116">
        <v>3.12</v>
      </c>
      <c r="J141" s="10">
        <v>90</v>
      </c>
      <c r="K141" s="116">
        <v>90</v>
      </c>
      <c r="L141" s="116">
        <v>90</v>
      </c>
      <c r="M141" s="122">
        <v>24.1</v>
      </c>
      <c r="N141" s="122">
        <v>6.5</v>
      </c>
      <c r="O141" s="79">
        <v>1.1200000000000001</v>
      </c>
      <c r="P141" s="116">
        <v>6</v>
      </c>
      <c r="Q141" s="122">
        <v>5.8</v>
      </c>
      <c r="R141" s="10">
        <v>0.1</v>
      </c>
      <c r="S141" s="79">
        <v>22.36</v>
      </c>
      <c r="T141" s="79">
        <v>0.88</v>
      </c>
      <c r="U141" s="79">
        <v>0.7</v>
      </c>
      <c r="V141" s="85">
        <f t="shared" si="16"/>
        <v>1778.34</v>
      </c>
      <c r="W141" s="85">
        <f t="shared" si="17"/>
        <v>1372.556302</v>
      </c>
      <c r="X141" s="85">
        <f t="shared" si="18"/>
        <v>0.77181883216932645</v>
      </c>
      <c r="Y141" s="116">
        <v>3</v>
      </c>
      <c r="Z141" s="116">
        <v>4</v>
      </c>
      <c r="AA141" s="122">
        <v>6.5</v>
      </c>
      <c r="AB141" s="116">
        <v>17</v>
      </c>
      <c r="AC141" s="122">
        <v>5.9</v>
      </c>
      <c r="AD141" s="122">
        <v>4.5999999999999996</v>
      </c>
      <c r="AE141" s="79">
        <v>0.22</v>
      </c>
      <c r="AF141" s="79">
        <v>0.15</v>
      </c>
      <c r="AG141" s="85">
        <f>(O141+0.3*H141+2)*(F141/2/AK141)</f>
        <v>1778.34</v>
      </c>
      <c r="AH141" s="85">
        <f t="shared" si="19"/>
        <v>1821.4563327999999</v>
      </c>
      <c r="AI141" s="85">
        <f t="shared" si="20"/>
        <v>1.0242452696334785</v>
      </c>
      <c r="AJ141" s="116">
        <v>3</v>
      </c>
      <c r="AK141" s="116">
        <v>4</v>
      </c>
      <c r="AL141" s="122">
        <v>6.4</v>
      </c>
      <c r="AM141" s="116">
        <v>23</v>
      </c>
      <c r="AN141" s="122">
        <v>5.9</v>
      </c>
      <c r="AO141" s="122">
        <v>5.6</v>
      </c>
      <c r="AP141" s="79">
        <v>0.18</v>
      </c>
      <c r="AQ141" s="79">
        <v>0.21</v>
      </c>
      <c r="AR141" s="132">
        <f>SUM(C141:E141)</f>
        <v>2162</v>
      </c>
      <c r="AS141" s="134">
        <f>C141/AR141</f>
        <v>0.15818686401480112</v>
      </c>
      <c r="AT141" s="134">
        <f>D141/AR141</f>
        <v>0.74976873265494914</v>
      </c>
      <c r="AU141" s="134">
        <f>E141/AR141</f>
        <v>9.2044403330249769E-2</v>
      </c>
      <c r="AV141" s="151">
        <f>IF(AND(F141&lt;&gt;"",Z141&lt;&gt;""),AB141/(F141/2/Z141),"")</f>
        <v>6.1371841155234655E-2</v>
      </c>
      <c r="AW141" s="151">
        <f>IF(AND(F141&lt;&gt;"",AK141&lt;&gt;""),AM141/(F141/2/AK141),"")</f>
        <v>8.3032490974729242E-2</v>
      </c>
      <c r="AX141" s="41">
        <f>IF(AND(AQ141&lt;&gt;"",1-(AQ141/O141)&gt;0),1-(AQ141/O141),"")</f>
        <v>0.8125</v>
      </c>
      <c r="AY141" s="41">
        <f>IF(AND(AF141&lt;&gt;"",1-(AF141/O141)&gt;0),1-(AF141/O141),"")</f>
        <v>0.8660714285714286</v>
      </c>
      <c r="AZ141" s="136" t="str">
        <f>IF(Q141="","",IF(Q141&lt;2.5,"Alc. Bruta &lt; 2,5 mg/L",IF(Q141&lt;5,"2,5 ≤ Alc. Bruta &lt; 5,0 mg/L",IF(Q141&lt;7.5,"5,0 ≤ Alc. Bruta &lt; 7,5 mg/L",IF(Q141&lt;10,"7,5 ≤ Alc. Bruta &lt; 10,0 mg/L",IF(Q141&lt;15,"10,0 ≤ Alca. Bruta &lt; 15,0 mg/L","Alc. Bruta &gt; 15 mg/L"))))))</f>
        <v>5,0 ≤ Alc. Bruta &lt; 7,5 mg/L</v>
      </c>
      <c r="BA141" s="136" t="str">
        <f>IF(P141="","",IF(P141&lt;5,"Cor &lt;5 uC",IF(P141&lt;10,"5 ≤ Cor &lt; 10 uC",IF(P141&lt;15,"10 ≤ Cor &lt;15 uC",IF(P141&lt;30,"15 ≤ Cor &lt; 30 uC",IF(P141&lt;50,"30 ≤ Cor &lt; 50 uC","Cor &gt; 50 uC"))))))</f>
        <v>5 ≤ Cor &lt; 10 uC</v>
      </c>
      <c r="BB141" s="137" t="str">
        <f>IF(O141="","",IF(O141&lt;2.5,"Turbidez &lt; 2,5 uT",IF(O141&lt;5,"2,5 ≤ Turb &lt; 5,0 uT",IF(O141&lt;7.5,"5,0 ≤ Turb &lt; 7,5 uT",IF(O141&lt;10,"7,5 ≤ Turb &lt; 10,0 uT",IF(O141&lt;15,"10,0 ≤ Turb &lt; 15,0 uT","Turb &gt; 15 uT"))))))</f>
        <v>Turbidez &lt; 2,5 uT</v>
      </c>
      <c r="BC141" s="138" t="str">
        <f>IF(AND(C141&gt;D141,D141&gt;E141),"TOR &gt; SM &gt; BNN",IF(AND(C141&gt;E141,E141&gt;D141),"TOR &gt; BNN &gt; SM",IF(AND(D141&gt;C141,C141&gt;E141),"SM &gt; TOR &gt; BNN",IF(AND(D141&gt;E141,E141&gt;C141),"SM &gt; BNN &gt; TOR",IF(AND(C141=D141,D141=E141),"TOR = SM = BNN","Comb. diferentes")))))</f>
        <v>SM &gt; TOR &gt; BNN</v>
      </c>
      <c r="BD141" s="137" t="str">
        <f>IF(OR(AE141="",AQ141="-"),"",IF(AE141&lt;=0.25,"Tipo 1 (≤0,25) uT",IF(AE141&lt;=0.5,"Tipo 2 (0,25-0,50) uT",IF(AE141&lt;=0.75,"Tipo 3 (0,50-0,75) uT","Tipo 4 (&gt;0,75) uT"))))</f>
        <v>Tipo 1 (≤0,25) uT</v>
      </c>
      <c r="BE141" s="137" t="str">
        <f t="shared" si="14"/>
        <v>Tipo 1 (≤0,25) uT</v>
      </c>
      <c r="BF141" s="137" t="str">
        <f>IF(OR(AF141="",AQ141="-"),"",IF(AF141&lt;=0.25,"Tipo 1 (≤0,25) uT",IF(AF141&lt;=0.5,"Tipo 2 (0,25-0,50) uT",IF(AF141&lt;=0.75,"Tipo 3 (0,50-0,75) uT","Tipo 4 (&gt;0,75) uT"))))</f>
        <v>Tipo 1 (≤0,25) uT</v>
      </c>
      <c r="BG141" s="137" t="str">
        <f t="shared" si="15"/>
        <v>Tipo 1 (≤0,25) uT</v>
      </c>
      <c r="BH141" s="137" t="str">
        <f>IF(OR(R141="",R141="-"),"",IF(R141&lt;=0.25,"Tipo 1 (≤0,25) uT",IF(R141&lt;=0.5,"Tipo 2 (0,25-0,50) uT",IF(R141&lt;=0.75,"Tipo 3 (0,50-0,75) uT","Tipo 4 (&gt;0,75) uT"))))</f>
        <v>Tipo 1 (≤0,25) uT</v>
      </c>
    </row>
    <row r="142" spans="1:60" x14ac:dyDescent="0.3">
      <c r="A142" s="74">
        <v>46274</v>
      </c>
      <c r="B142" s="139">
        <v>0.14583333333333334</v>
      </c>
      <c r="C142" s="116">
        <v>362</v>
      </c>
      <c r="D142" s="116">
        <v>1639</v>
      </c>
      <c r="E142" s="116">
        <v>0</v>
      </c>
      <c r="F142" s="116">
        <v>2061</v>
      </c>
      <c r="G142" s="144" t="s">
        <v>100</v>
      </c>
      <c r="H142" s="122">
        <v>11</v>
      </c>
      <c r="I142" s="116">
        <v>30</v>
      </c>
      <c r="J142" s="10">
        <v>90</v>
      </c>
      <c r="K142" s="116">
        <v>90</v>
      </c>
      <c r="L142" s="116">
        <v>90</v>
      </c>
      <c r="M142" s="122">
        <v>23.8</v>
      </c>
      <c r="N142" s="122">
        <v>6.6</v>
      </c>
      <c r="O142" s="79">
        <v>1.06</v>
      </c>
      <c r="P142" s="116">
        <v>6</v>
      </c>
      <c r="Q142" s="122">
        <v>5.6</v>
      </c>
      <c r="R142" s="10">
        <v>0.11</v>
      </c>
      <c r="S142" s="79">
        <v>22.36</v>
      </c>
      <c r="T142" s="79">
        <v>0.88</v>
      </c>
      <c r="U142" s="79">
        <v>0.7</v>
      </c>
      <c r="V142" s="85">
        <f t="shared" si="16"/>
        <v>1638.4949999999999</v>
      </c>
      <c r="W142" s="85">
        <f t="shared" si="17"/>
        <v>1372.556302</v>
      </c>
      <c r="X142" s="85">
        <f t="shared" si="18"/>
        <v>0.83769331123988788</v>
      </c>
      <c r="Y142" s="116">
        <v>4</v>
      </c>
      <c r="Z142" s="116">
        <v>4</v>
      </c>
      <c r="AA142" s="122">
        <v>6.5</v>
      </c>
      <c r="AB142" s="116">
        <v>17</v>
      </c>
      <c r="AC142" s="122">
        <v>5.7</v>
      </c>
      <c r="AD142" s="122">
        <v>5.0999999999999996</v>
      </c>
      <c r="AE142" s="79">
        <v>0.17</v>
      </c>
      <c r="AF142" s="79">
        <v>0.15</v>
      </c>
      <c r="AG142" s="85">
        <f>(O142+0.3*H142+2)*(F142/2/AK142)</f>
        <v>1638.4949999999999</v>
      </c>
      <c r="AH142" s="85">
        <f t="shared" si="19"/>
        <v>1821.4563327999999</v>
      </c>
      <c r="AI142" s="85">
        <f t="shared" si="20"/>
        <v>1.1116642606782443</v>
      </c>
      <c r="AJ142" s="116">
        <v>4</v>
      </c>
      <c r="AK142" s="116">
        <v>4</v>
      </c>
      <c r="AL142" s="122">
        <v>6.4</v>
      </c>
      <c r="AM142" s="116">
        <v>23</v>
      </c>
      <c r="AN142" s="122">
        <v>6</v>
      </c>
      <c r="AO142" s="122">
        <v>5.0999999999999996</v>
      </c>
      <c r="AP142" s="79">
        <v>0.15</v>
      </c>
      <c r="AQ142" s="79">
        <v>0.1</v>
      </c>
      <c r="AR142" s="132">
        <f>SUM(C142:E142)</f>
        <v>2001</v>
      </c>
      <c r="AS142" s="134">
        <f>C142/AR142</f>
        <v>0.18090954522738631</v>
      </c>
      <c r="AT142" s="134">
        <f>D142/AR142</f>
        <v>0.81909045477261366</v>
      </c>
      <c r="AU142" s="134">
        <f>E142/AR142</f>
        <v>0</v>
      </c>
      <c r="AV142" s="151">
        <f>IF(AND(F142&lt;&gt;"",Z142&lt;&gt;""),AB142/(F142/2/Z142),"")</f>
        <v>6.5987384764677345E-2</v>
      </c>
      <c r="AW142" s="151">
        <f>IF(AND(F142&lt;&gt;"",AK142&lt;&gt;""),AM142/(F142/2/AK142),"")</f>
        <v>8.9277049975739931E-2</v>
      </c>
      <c r="AX142" s="41">
        <f>IF(AND(AQ142&lt;&gt;"",1-(AQ142/O142)&gt;0),1-(AQ142/O142),"")</f>
        <v>0.90566037735849059</v>
      </c>
      <c r="AY142" s="41">
        <f>IF(AND(AF142&lt;&gt;"",1-(AF142/O142)&gt;0),1-(AF142/O142),"")</f>
        <v>0.85849056603773588</v>
      </c>
      <c r="AZ142" s="136" t="str">
        <f>IF(Q142="","",IF(Q142&lt;2.5,"Alc. Bruta &lt; 2,5 mg/L",IF(Q142&lt;5,"2,5 ≤ Alc. Bruta &lt; 5,0 mg/L",IF(Q142&lt;7.5,"5,0 ≤ Alc. Bruta &lt; 7,5 mg/L",IF(Q142&lt;10,"7,5 ≤ Alc. Bruta &lt; 10,0 mg/L",IF(Q142&lt;15,"10,0 ≤ Alca. Bruta &lt; 15,0 mg/L","Alc. Bruta &gt; 15 mg/L"))))))</f>
        <v>5,0 ≤ Alc. Bruta &lt; 7,5 mg/L</v>
      </c>
      <c r="BA142" s="136" t="str">
        <f>IF(P142="","",IF(P142&lt;5,"Cor &lt;5 uC",IF(P142&lt;10,"5 ≤ Cor &lt; 10 uC",IF(P142&lt;15,"10 ≤ Cor &lt;15 uC",IF(P142&lt;30,"15 ≤ Cor &lt; 30 uC",IF(P142&lt;50,"30 ≤ Cor &lt; 50 uC","Cor &gt; 50 uC"))))))</f>
        <v>5 ≤ Cor &lt; 10 uC</v>
      </c>
      <c r="BB142" s="137" t="str">
        <f>IF(O142="","",IF(O142&lt;2.5,"Turbidez &lt; 2,5 uT",IF(O142&lt;5,"2,5 ≤ Turb &lt; 5,0 uT",IF(O142&lt;7.5,"5,0 ≤ Turb &lt; 7,5 uT",IF(O142&lt;10,"7,5 ≤ Turb &lt; 10,0 uT",IF(O142&lt;15,"10,0 ≤ Turb &lt; 15,0 uT","Turb &gt; 15 uT"))))))</f>
        <v>Turbidez &lt; 2,5 uT</v>
      </c>
      <c r="BC142" s="138" t="str">
        <f>IF(AND(C142&gt;D142,D142&gt;E142),"TOR &gt; SM &gt; BNN",IF(AND(C142&gt;E142,E142&gt;D142),"TOR &gt; BNN &gt; SM",IF(AND(D142&gt;C142,C142&gt;E142),"SM &gt; TOR &gt; BNN",IF(AND(D142&gt;E142,E142&gt;C142),"SM &gt; BNN &gt; TOR",IF(AND(C142=D142,D142=E142),"TOR = SM = BNN","Comb. diferentes")))))</f>
        <v>SM &gt; TOR &gt; BNN</v>
      </c>
      <c r="BD142" s="137" t="str">
        <f>IF(OR(AE142="",AQ142="-"),"",IF(AE142&lt;=0.25,"Tipo 1 (≤0,25) uT",IF(AE142&lt;=0.5,"Tipo 2 (0,25-0,50) uT",IF(AE142&lt;=0.75,"Tipo 3 (0,50-0,75) uT","Tipo 4 (&gt;0,75) uT"))))</f>
        <v>Tipo 1 (≤0,25) uT</v>
      </c>
      <c r="BE142" s="137" t="str">
        <f t="shared" si="14"/>
        <v>Tipo 1 (≤0,25) uT</v>
      </c>
      <c r="BF142" s="137" t="str">
        <f>IF(OR(AF142="",AQ142="-"),"",IF(AF142&lt;=0.25,"Tipo 1 (≤0,25) uT",IF(AF142&lt;=0.5,"Tipo 2 (0,25-0,50) uT",IF(AF142&lt;=0.75,"Tipo 3 (0,50-0,75) uT","Tipo 4 (&gt;0,75) uT"))))</f>
        <v>Tipo 1 (≤0,25) uT</v>
      </c>
      <c r="BG142" s="137" t="str">
        <f t="shared" si="15"/>
        <v>Tipo 1 (≤0,25) uT</v>
      </c>
      <c r="BH142" s="137" t="str">
        <f>IF(OR(R142="",R142="-"),"",IF(R142&lt;=0.25,"Tipo 1 (≤0,25) uT",IF(R142&lt;=0.5,"Tipo 2 (0,25-0,50) uT",IF(R142&lt;=0.75,"Tipo 3 (0,50-0,75) uT","Tipo 4 (&gt;0,75) uT"))))</f>
        <v>Tipo 1 (≤0,25) uT</v>
      </c>
    </row>
    <row r="143" spans="1:60" ht="15" thickBot="1" x14ac:dyDescent="0.35">
      <c r="A143" s="75">
        <v>46274</v>
      </c>
      <c r="B143" s="140">
        <v>0.22916666666666666</v>
      </c>
      <c r="C143" s="117">
        <v>344</v>
      </c>
      <c r="D143" s="117">
        <v>1800</v>
      </c>
      <c r="E143" s="117">
        <v>0</v>
      </c>
      <c r="F143" s="117">
        <v>2061</v>
      </c>
      <c r="G143" s="145" t="s">
        <v>100</v>
      </c>
      <c r="H143" s="123">
        <v>11</v>
      </c>
      <c r="I143" s="117">
        <v>51</v>
      </c>
      <c r="J143" s="11">
        <v>90</v>
      </c>
      <c r="K143" s="117">
        <v>90</v>
      </c>
      <c r="L143" s="117">
        <v>90</v>
      </c>
      <c r="M143" s="123">
        <v>23.8</v>
      </c>
      <c r="N143" s="123">
        <v>6.5</v>
      </c>
      <c r="O143" s="80">
        <v>1.03</v>
      </c>
      <c r="P143" s="117">
        <v>6</v>
      </c>
      <c r="Q143" s="123">
        <v>5.6</v>
      </c>
      <c r="R143" s="11">
        <v>0.1</v>
      </c>
      <c r="S143" s="79">
        <v>22.36</v>
      </c>
      <c r="T143" s="79">
        <v>0.88</v>
      </c>
      <c r="U143" s="79">
        <v>0.7</v>
      </c>
      <c r="V143" s="85">
        <f t="shared" si="16"/>
        <v>1630.7662500000001</v>
      </c>
      <c r="W143" s="85">
        <f t="shared" si="17"/>
        <v>1398.8187927999998</v>
      </c>
      <c r="X143" s="85">
        <f t="shared" si="18"/>
        <v>0.85776780872182001</v>
      </c>
      <c r="Y143" s="117">
        <v>4</v>
      </c>
      <c r="Z143" s="117">
        <v>4</v>
      </c>
      <c r="AA143" s="123">
        <v>6.6</v>
      </c>
      <c r="AB143" s="117">
        <v>17</v>
      </c>
      <c r="AC143" s="123">
        <v>5.6</v>
      </c>
      <c r="AD143" s="123">
        <v>5.2</v>
      </c>
      <c r="AE143" s="80">
        <v>0.16</v>
      </c>
      <c r="AF143" s="80">
        <v>0.13</v>
      </c>
      <c r="AG143" s="85">
        <f>(O143+0.3*H143+2)*(F143/2/AK143)</f>
        <v>1630.7662500000001</v>
      </c>
      <c r="AH143" s="85">
        <f t="shared" si="19"/>
        <v>1856.9879380000002</v>
      </c>
      <c r="AI143" s="85">
        <f t="shared" si="20"/>
        <v>1.1387210999737087</v>
      </c>
      <c r="AJ143" s="117">
        <v>4</v>
      </c>
      <c r="AK143" s="117">
        <v>4</v>
      </c>
      <c r="AL143" s="123">
        <v>6.5</v>
      </c>
      <c r="AM143" s="117">
        <v>23</v>
      </c>
      <c r="AN143" s="123">
        <v>5.9</v>
      </c>
      <c r="AO143" s="123">
        <v>5.6</v>
      </c>
      <c r="AP143" s="80">
        <v>0.18</v>
      </c>
      <c r="AQ143" s="80">
        <v>0.18</v>
      </c>
      <c r="AR143" s="132">
        <f>SUM(C143:E143)</f>
        <v>2144</v>
      </c>
      <c r="AS143" s="134">
        <f>C143/AR143</f>
        <v>0.16044776119402984</v>
      </c>
      <c r="AT143" s="134">
        <f>D143/AR143</f>
        <v>0.83955223880597019</v>
      </c>
      <c r="AU143" s="134">
        <f>E143/AR143</f>
        <v>0</v>
      </c>
      <c r="AV143" s="151">
        <f>IF(AND(F143&lt;&gt;"",Z143&lt;&gt;""),AB143/(F143/2/Z143),"")</f>
        <v>6.5987384764677345E-2</v>
      </c>
      <c r="AW143" s="151">
        <f>IF(AND(F143&lt;&gt;"",AK143&lt;&gt;""),AM143/(F143/2/AK143),"")</f>
        <v>8.9277049975739931E-2</v>
      </c>
      <c r="AX143" s="41">
        <f>IF(AND(AQ143&lt;&gt;"",1-(AQ143/O143)&gt;0),1-(AQ143/O143),"")</f>
        <v>0.82524271844660202</v>
      </c>
      <c r="AY143" s="41">
        <f>IF(AND(AF143&lt;&gt;"",1-(AF143/O143)&gt;0),1-(AF143/O143),"")</f>
        <v>0.87378640776699035</v>
      </c>
      <c r="AZ143" s="136" t="str">
        <f>IF(Q143="","",IF(Q143&lt;2.5,"Alc. Bruta &lt; 2,5 mg/L",IF(Q143&lt;5,"2,5 ≤ Alc. Bruta &lt; 5,0 mg/L",IF(Q143&lt;7.5,"5,0 ≤ Alc. Bruta &lt; 7,5 mg/L",IF(Q143&lt;10,"7,5 ≤ Alc. Bruta &lt; 10,0 mg/L",IF(Q143&lt;15,"10,0 ≤ Alca. Bruta &lt; 15,0 mg/L","Alc. Bruta &gt; 15 mg/L"))))))</f>
        <v>5,0 ≤ Alc. Bruta &lt; 7,5 mg/L</v>
      </c>
      <c r="BA143" s="136" t="str">
        <f>IF(P143="","",IF(P143&lt;5,"Cor &lt;5 uC",IF(P143&lt;10,"5 ≤ Cor &lt; 10 uC",IF(P143&lt;15,"10 ≤ Cor &lt;15 uC",IF(P143&lt;30,"15 ≤ Cor &lt; 30 uC",IF(P143&lt;50,"30 ≤ Cor &lt; 50 uC","Cor &gt; 50 uC"))))))</f>
        <v>5 ≤ Cor &lt; 10 uC</v>
      </c>
      <c r="BB143" s="137" t="str">
        <f>IF(O143="","",IF(O143&lt;2.5,"Turbidez &lt; 2,5 uT",IF(O143&lt;5,"2,5 ≤ Turb &lt; 5,0 uT",IF(O143&lt;7.5,"5,0 ≤ Turb &lt; 7,5 uT",IF(O143&lt;10,"7,5 ≤ Turb &lt; 10,0 uT",IF(O143&lt;15,"10,0 ≤ Turb &lt; 15,0 uT","Turb &gt; 15 uT"))))))</f>
        <v>Turbidez &lt; 2,5 uT</v>
      </c>
      <c r="BC143" s="138" t="str">
        <f>IF(AND(C143&gt;D143,D143&gt;E143),"TOR &gt; SM &gt; BNN",IF(AND(C143&gt;E143,E143&gt;D143),"TOR &gt; BNN &gt; SM",IF(AND(D143&gt;C143,C143&gt;E143),"SM &gt; TOR &gt; BNN",IF(AND(D143&gt;E143,E143&gt;C143),"SM &gt; BNN &gt; TOR",IF(AND(C143=D143,D143=E143),"TOR = SM = BNN","Comb. diferentes")))))</f>
        <v>SM &gt; TOR &gt; BNN</v>
      </c>
      <c r="BD143" s="137" t="str">
        <f>IF(OR(AE143="",AQ143="-"),"",IF(AE143&lt;=0.25,"Tipo 1 (≤0,25) uT",IF(AE143&lt;=0.5,"Tipo 2 (0,25-0,50) uT",IF(AE143&lt;=0.75,"Tipo 3 (0,50-0,75) uT","Tipo 4 (&gt;0,75) uT"))))</f>
        <v>Tipo 1 (≤0,25) uT</v>
      </c>
      <c r="BE143" s="137" t="str">
        <f t="shared" si="14"/>
        <v>Tipo 1 (≤0,25) uT</v>
      </c>
      <c r="BF143" s="137" t="str">
        <f>IF(OR(AF143="",AQ143="-"),"",IF(AF143&lt;=0.25,"Tipo 1 (≤0,25) uT",IF(AF143&lt;=0.5,"Tipo 2 (0,25-0,50) uT",IF(AF143&lt;=0.75,"Tipo 3 (0,50-0,75) uT","Tipo 4 (&gt;0,75) uT"))))</f>
        <v>Tipo 1 (≤0,25) uT</v>
      </c>
      <c r="BG143" s="137" t="str">
        <f t="shared" si="15"/>
        <v>Tipo 1 (≤0,25) uT</v>
      </c>
      <c r="BH143" s="137" t="str">
        <f>IF(OR(R143="",R143="-"),"",IF(R143&lt;=0.25,"Tipo 1 (≤0,25) uT",IF(R143&lt;=0.5,"Tipo 2 (0,25-0,50) uT",IF(R143&lt;=0.75,"Tipo 3 (0,50-0,75) uT","Tipo 4 (&gt;0,75) uT"))))</f>
        <v>Tipo 1 (≤0,25) uT</v>
      </c>
    </row>
    <row r="144" spans="1:60" x14ac:dyDescent="0.3">
      <c r="A144" s="73">
        <v>46274</v>
      </c>
      <c r="B144" s="141">
        <v>0.3125</v>
      </c>
      <c r="C144" s="118">
        <v>348</v>
      </c>
      <c r="D144" s="118">
        <v>1688</v>
      </c>
      <c r="E144" s="116">
        <v>0</v>
      </c>
      <c r="F144" s="118">
        <v>2119</v>
      </c>
      <c r="G144" s="146" t="s">
        <v>100</v>
      </c>
      <c r="H144" s="124">
        <v>11</v>
      </c>
      <c r="I144" s="118">
        <v>41</v>
      </c>
      <c r="J144" s="9">
        <v>90</v>
      </c>
      <c r="K144" s="118">
        <v>90</v>
      </c>
      <c r="L144" s="118">
        <v>90</v>
      </c>
      <c r="M144" s="124">
        <v>25</v>
      </c>
      <c r="N144" s="124">
        <v>6.1</v>
      </c>
      <c r="O144" s="81">
        <v>1.03</v>
      </c>
      <c r="P144" s="118">
        <v>6</v>
      </c>
      <c r="Q144" s="124">
        <v>5.4</v>
      </c>
      <c r="R144" s="9">
        <v>0.09</v>
      </c>
      <c r="S144" s="79">
        <v>22.36</v>
      </c>
      <c r="T144" s="79">
        <v>0.88</v>
      </c>
      <c r="U144" s="79">
        <v>0.7</v>
      </c>
      <c r="V144" s="85">
        <f t="shared" si="16"/>
        <v>1676.6587500000001</v>
      </c>
      <c r="W144" s="85">
        <f t="shared" si="17"/>
        <v>1372.556302</v>
      </c>
      <c r="X144" s="85">
        <f t="shared" si="18"/>
        <v>0.8186259141879646</v>
      </c>
      <c r="Y144" s="118">
        <v>3</v>
      </c>
      <c r="Z144" s="118">
        <v>4</v>
      </c>
      <c r="AA144" s="124">
        <v>6.5</v>
      </c>
      <c r="AB144" s="118">
        <v>17</v>
      </c>
      <c r="AC144" s="124">
        <v>5.6</v>
      </c>
      <c r="AD144" s="124">
        <v>2.2999999999999998</v>
      </c>
      <c r="AE144" s="81">
        <v>0.14000000000000001</v>
      </c>
      <c r="AF144" s="81">
        <v>0.13</v>
      </c>
      <c r="AG144" s="85">
        <f>(O144+0.3*H144+2)*(F144/2/AK144)</f>
        <v>1676.6587500000001</v>
      </c>
      <c r="AH144" s="85">
        <f t="shared" si="19"/>
        <v>1785.9247275999996</v>
      </c>
      <c r="AI144" s="85">
        <f t="shared" si="20"/>
        <v>1.0651688828153014</v>
      </c>
      <c r="AJ144" s="118">
        <v>3</v>
      </c>
      <c r="AK144" s="118">
        <v>4</v>
      </c>
      <c r="AL144" s="124">
        <v>6.3</v>
      </c>
      <c r="AM144" s="118">
        <v>23</v>
      </c>
      <c r="AN144" s="124">
        <v>5.5</v>
      </c>
      <c r="AO144" s="124">
        <v>2.9</v>
      </c>
      <c r="AP144" s="81">
        <v>0.12</v>
      </c>
      <c r="AQ144" s="81">
        <v>0.18</v>
      </c>
      <c r="AR144" s="132">
        <f>SUM(C144:E144)</f>
        <v>2036</v>
      </c>
      <c r="AS144" s="134">
        <f>C144/AR144</f>
        <v>0.17092337917485265</v>
      </c>
      <c r="AT144" s="134">
        <f>D144/AR144</f>
        <v>0.82907662082514733</v>
      </c>
      <c r="AU144" s="134">
        <f>E144/AR144</f>
        <v>0</v>
      </c>
      <c r="AV144" s="151">
        <f>IF(AND(F144&lt;&gt;"",Z144&lt;&gt;""),AB144/(F144/2/Z144),"")</f>
        <v>6.4181217555450684E-2</v>
      </c>
      <c r="AW144" s="151">
        <f>IF(AND(F144&lt;&gt;"",AK144&lt;&gt;""),AM144/(F144/2/AK144),"")</f>
        <v>8.6833411986786221E-2</v>
      </c>
      <c r="AX144" s="41">
        <f>IF(AND(AQ144&lt;&gt;"",1-(AQ144/O144)&gt;0),1-(AQ144/O144),"")</f>
        <v>0.82524271844660202</v>
      </c>
      <c r="AY144" s="41">
        <f>IF(AND(AF144&lt;&gt;"",1-(AF144/O144)&gt;0),1-(AF144/O144),"")</f>
        <v>0.87378640776699035</v>
      </c>
      <c r="AZ144" s="136" t="str">
        <f>IF(Q144="","",IF(Q144&lt;2.5,"Alc. Bruta &lt; 2,5 mg/L",IF(Q144&lt;5,"2,5 ≤ Alc. Bruta &lt; 5,0 mg/L",IF(Q144&lt;7.5,"5,0 ≤ Alc. Bruta &lt; 7,5 mg/L",IF(Q144&lt;10,"7,5 ≤ Alc. Bruta &lt; 10,0 mg/L",IF(Q144&lt;15,"10,0 ≤ Alca. Bruta &lt; 15,0 mg/L","Alc. Bruta &gt; 15 mg/L"))))))</f>
        <v>5,0 ≤ Alc. Bruta &lt; 7,5 mg/L</v>
      </c>
      <c r="BA144" s="136" t="str">
        <f>IF(P144="","",IF(P144&lt;5,"Cor &lt;5 uC",IF(P144&lt;10,"5 ≤ Cor &lt; 10 uC",IF(P144&lt;15,"10 ≤ Cor &lt;15 uC",IF(P144&lt;30,"15 ≤ Cor &lt; 30 uC",IF(P144&lt;50,"30 ≤ Cor &lt; 50 uC","Cor &gt; 50 uC"))))))</f>
        <v>5 ≤ Cor &lt; 10 uC</v>
      </c>
      <c r="BB144" s="137" t="str">
        <f>IF(O144="","",IF(O144&lt;2.5,"Turbidez &lt; 2,5 uT",IF(O144&lt;5,"2,5 ≤ Turb &lt; 5,0 uT",IF(O144&lt;7.5,"5,0 ≤ Turb &lt; 7,5 uT",IF(O144&lt;10,"7,5 ≤ Turb &lt; 10,0 uT",IF(O144&lt;15,"10,0 ≤ Turb &lt; 15,0 uT","Turb &gt; 15 uT"))))))</f>
        <v>Turbidez &lt; 2,5 uT</v>
      </c>
      <c r="BC144" s="138" t="str">
        <f>IF(AND(C144&gt;D144,D144&gt;E144),"TOR &gt; SM &gt; BNN",IF(AND(C144&gt;E144,E144&gt;D144),"TOR &gt; BNN &gt; SM",IF(AND(D144&gt;C144,C144&gt;E144),"SM &gt; TOR &gt; BNN",IF(AND(D144&gt;E144,E144&gt;C144),"SM &gt; BNN &gt; TOR",IF(AND(C144=D144,D144=E144),"TOR = SM = BNN","Comb. diferentes")))))</f>
        <v>SM &gt; TOR &gt; BNN</v>
      </c>
      <c r="BD144" s="137" t="str">
        <f>IF(OR(AE144="",AQ144="-"),"",IF(AE144&lt;=0.25,"Tipo 1 (≤0,25) uT",IF(AE144&lt;=0.5,"Tipo 2 (0,25-0,50) uT",IF(AE144&lt;=0.75,"Tipo 3 (0,50-0,75) uT","Tipo 4 (&gt;0,75) uT"))))</f>
        <v>Tipo 1 (≤0,25) uT</v>
      </c>
      <c r="BE144" s="137" t="str">
        <f t="shared" si="14"/>
        <v>Tipo 1 (≤0,25) uT</v>
      </c>
      <c r="BF144" s="137" t="str">
        <f>IF(OR(AF144="",AQ144="-"),"",IF(AF144&lt;=0.25,"Tipo 1 (≤0,25) uT",IF(AF144&lt;=0.5,"Tipo 2 (0,25-0,50) uT",IF(AF144&lt;=0.75,"Tipo 3 (0,50-0,75) uT","Tipo 4 (&gt;0,75) uT"))))</f>
        <v>Tipo 1 (≤0,25) uT</v>
      </c>
      <c r="BG144" s="137" t="str">
        <f t="shared" si="15"/>
        <v>Tipo 1 (≤0,25) uT</v>
      </c>
      <c r="BH144" s="137" t="str">
        <f>IF(OR(R144="",R144="-"),"",IF(R144&lt;=0.25,"Tipo 1 (≤0,25) uT",IF(R144&lt;=0.5,"Tipo 2 (0,25-0,50) uT",IF(R144&lt;=0.75,"Tipo 3 (0,50-0,75) uT","Tipo 4 (&gt;0,75) uT"))))</f>
        <v>Tipo 1 (≤0,25) uT</v>
      </c>
    </row>
    <row r="145" spans="1:60" x14ac:dyDescent="0.3">
      <c r="A145" s="74">
        <v>46274</v>
      </c>
      <c r="B145" s="139">
        <v>0.39583333333333331</v>
      </c>
      <c r="C145" s="116">
        <v>353</v>
      </c>
      <c r="D145" s="116">
        <v>1678</v>
      </c>
      <c r="E145" s="116">
        <v>0</v>
      </c>
      <c r="F145" s="116">
        <v>1794</v>
      </c>
      <c r="G145" s="144" t="s">
        <v>100</v>
      </c>
      <c r="H145" s="122">
        <v>10.199999999999999</v>
      </c>
      <c r="I145" s="116">
        <v>40</v>
      </c>
      <c r="J145" s="10">
        <v>90</v>
      </c>
      <c r="K145" s="116">
        <v>90</v>
      </c>
      <c r="L145" s="116">
        <v>90</v>
      </c>
      <c r="M145" s="122">
        <v>24.8</v>
      </c>
      <c r="N145" s="122">
        <v>6.4</v>
      </c>
      <c r="O145" s="79">
        <v>0.98</v>
      </c>
      <c r="P145" s="116">
        <v>5</v>
      </c>
      <c r="Q145" s="122">
        <v>5.4</v>
      </c>
      <c r="R145" s="10">
        <v>0.1</v>
      </c>
      <c r="S145" s="79">
        <v>22.36</v>
      </c>
      <c r="T145" s="79">
        <v>0.88</v>
      </c>
      <c r="U145" s="79">
        <v>0.7</v>
      </c>
      <c r="V145" s="85">
        <f t="shared" si="16"/>
        <v>1805.9599999999998</v>
      </c>
      <c r="W145" s="85">
        <f t="shared" si="17"/>
        <v>1493.664211</v>
      </c>
      <c r="X145" s="85">
        <f t="shared" si="18"/>
        <v>0.82707491361934937</v>
      </c>
      <c r="Y145" s="116">
        <v>3</v>
      </c>
      <c r="Z145" s="116">
        <v>3</v>
      </c>
      <c r="AA145" s="122">
        <v>6.5</v>
      </c>
      <c r="AB145" s="116">
        <v>18.5</v>
      </c>
      <c r="AC145" s="122">
        <v>5.5</v>
      </c>
      <c r="AD145" s="122">
        <v>3.1</v>
      </c>
      <c r="AE145" s="79">
        <v>0.15</v>
      </c>
      <c r="AF145" s="79">
        <v>0.15</v>
      </c>
      <c r="AG145" s="85">
        <f>(O145+0.3*H145+2)*(F145/2/AK145)</f>
        <v>1354.4699999999998</v>
      </c>
      <c r="AH145" s="85">
        <f t="shared" si="19"/>
        <v>1785.9247275999996</v>
      </c>
      <c r="AI145" s="85">
        <f t="shared" si="20"/>
        <v>1.3185413686534215</v>
      </c>
      <c r="AJ145" s="116">
        <v>3</v>
      </c>
      <c r="AK145" s="116">
        <v>4</v>
      </c>
      <c r="AL145" s="122">
        <v>6.3</v>
      </c>
      <c r="AM145" s="116">
        <v>23</v>
      </c>
      <c r="AN145" s="122">
        <v>5.5</v>
      </c>
      <c r="AO145" s="122">
        <v>3.4</v>
      </c>
      <c r="AP145" s="79">
        <v>0.15</v>
      </c>
      <c r="AQ145" s="79">
        <v>0.24</v>
      </c>
      <c r="AR145" s="132">
        <f>SUM(C145:E145)</f>
        <v>2031</v>
      </c>
      <c r="AS145" s="134">
        <f>C145/AR145</f>
        <v>0.17380600689315609</v>
      </c>
      <c r="AT145" s="134">
        <f>D145/AR145</f>
        <v>0.82619399310684394</v>
      </c>
      <c r="AU145" s="134">
        <f>E145/AR145</f>
        <v>0</v>
      </c>
      <c r="AV145" s="151">
        <f>IF(AND(F145&lt;&gt;"",Z145&lt;&gt;""),AB145/(F145/2/Z145),"")</f>
        <v>6.1872909698996656E-2</v>
      </c>
      <c r="AW145" s="151">
        <f>IF(AND(F145&lt;&gt;"",AK145&lt;&gt;""),AM145/(F145/2/AK145),"")</f>
        <v>0.10256410256410256</v>
      </c>
      <c r="AX145" s="41">
        <f>IF(AND(AQ145&lt;&gt;"",1-(AQ145/O145)&gt;0),1-(AQ145/O145),"")</f>
        <v>0.75510204081632648</v>
      </c>
      <c r="AY145" s="41">
        <f>IF(AND(AF145&lt;&gt;"",1-(AF145/O145)&gt;0),1-(AF145/O145),"")</f>
        <v>0.84693877551020402</v>
      </c>
      <c r="AZ145" s="136" t="str">
        <f>IF(Q145="","",IF(Q145&lt;2.5,"Alc. Bruta &lt; 2,5 mg/L",IF(Q145&lt;5,"2,5 ≤ Alc. Bruta &lt; 5,0 mg/L",IF(Q145&lt;7.5,"5,0 ≤ Alc. Bruta &lt; 7,5 mg/L",IF(Q145&lt;10,"7,5 ≤ Alc. Bruta &lt; 10,0 mg/L",IF(Q145&lt;15,"10,0 ≤ Alca. Bruta &lt; 15,0 mg/L","Alc. Bruta &gt; 15 mg/L"))))))</f>
        <v>5,0 ≤ Alc. Bruta &lt; 7,5 mg/L</v>
      </c>
      <c r="BA145" s="136" t="str">
        <f>IF(P145="","",IF(P145&lt;5,"Cor &lt;5 uC",IF(P145&lt;10,"5 ≤ Cor &lt; 10 uC",IF(P145&lt;15,"10 ≤ Cor &lt;15 uC",IF(P145&lt;30,"15 ≤ Cor &lt; 30 uC",IF(P145&lt;50,"30 ≤ Cor &lt; 50 uC","Cor &gt; 50 uC"))))))</f>
        <v>5 ≤ Cor &lt; 10 uC</v>
      </c>
      <c r="BB145" s="137" t="str">
        <f>IF(O145="","",IF(O145&lt;2.5,"Turbidez &lt; 2,5 uT",IF(O145&lt;5,"2,5 ≤ Turb &lt; 5,0 uT",IF(O145&lt;7.5,"5,0 ≤ Turb &lt; 7,5 uT",IF(O145&lt;10,"7,5 ≤ Turb &lt; 10,0 uT",IF(O145&lt;15,"10,0 ≤ Turb &lt; 15,0 uT","Turb &gt; 15 uT"))))))</f>
        <v>Turbidez &lt; 2,5 uT</v>
      </c>
      <c r="BC145" s="138" t="str">
        <f>IF(AND(C145&gt;D145,D145&gt;E145),"TOR &gt; SM &gt; BNN",IF(AND(C145&gt;E145,E145&gt;D145),"TOR &gt; BNN &gt; SM",IF(AND(D145&gt;C145,C145&gt;E145),"SM &gt; TOR &gt; BNN",IF(AND(D145&gt;E145,E145&gt;C145),"SM &gt; BNN &gt; TOR",IF(AND(C145=D145,D145=E145),"TOR = SM = BNN","Comb. diferentes")))))</f>
        <v>SM &gt; TOR &gt; BNN</v>
      </c>
      <c r="BD145" s="137" t="str">
        <f>IF(OR(AE145="",AQ145="-"),"",IF(AE145&lt;=0.25,"Tipo 1 (≤0,25) uT",IF(AE145&lt;=0.5,"Tipo 2 (0,25-0,50) uT",IF(AE145&lt;=0.75,"Tipo 3 (0,50-0,75) uT","Tipo 4 (&gt;0,75) uT"))))</f>
        <v>Tipo 1 (≤0,25) uT</v>
      </c>
      <c r="BE145" s="137" t="str">
        <f t="shared" si="14"/>
        <v>Tipo 1 (≤0,25) uT</v>
      </c>
      <c r="BF145" s="137" t="str">
        <f>IF(OR(AF145="",AQ145="-"),"",IF(AF145&lt;=0.25,"Tipo 1 (≤0,25) uT",IF(AF145&lt;=0.5,"Tipo 2 (0,25-0,50) uT",IF(AF145&lt;=0.75,"Tipo 3 (0,50-0,75) uT","Tipo 4 (&gt;0,75) uT"))))</f>
        <v>Tipo 1 (≤0,25) uT</v>
      </c>
      <c r="BG145" s="137" t="str">
        <f t="shared" si="15"/>
        <v>Tipo 1 (≤0,25) uT</v>
      </c>
      <c r="BH145" s="137" t="str">
        <f>IF(OR(R145="",R145="-"),"",IF(R145&lt;=0.25,"Tipo 1 (≤0,25) uT",IF(R145&lt;=0.5,"Tipo 2 (0,25-0,50) uT",IF(R145&lt;=0.75,"Tipo 3 (0,50-0,75) uT","Tipo 4 (&gt;0,75) uT"))))</f>
        <v>Tipo 1 (≤0,25) uT</v>
      </c>
    </row>
    <row r="146" spans="1:60" x14ac:dyDescent="0.3">
      <c r="A146" s="74">
        <v>46274</v>
      </c>
      <c r="B146" s="139">
        <v>0.47916666666666669</v>
      </c>
      <c r="C146" s="116">
        <v>452</v>
      </c>
      <c r="D146" s="116">
        <v>1596</v>
      </c>
      <c r="E146" s="116">
        <v>0</v>
      </c>
      <c r="F146" s="116">
        <v>1788</v>
      </c>
      <c r="G146" s="144" t="s">
        <v>100</v>
      </c>
      <c r="H146" s="122">
        <v>9.6999999999999993</v>
      </c>
      <c r="I146" s="116">
        <v>12</v>
      </c>
      <c r="J146" s="10">
        <v>90</v>
      </c>
      <c r="K146" s="116">
        <v>90</v>
      </c>
      <c r="L146" s="116">
        <v>90</v>
      </c>
      <c r="M146" s="122">
        <v>25.9</v>
      </c>
      <c r="N146" s="122">
        <v>6.4</v>
      </c>
      <c r="O146" s="79">
        <v>1.1200000000000001</v>
      </c>
      <c r="P146" s="116">
        <v>6</v>
      </c>
      <c r="Q146" s="122">
        <v>6</v>
      </c>
      <c r="R146" s="10">
        <v>0.1</v>
      </c>
      <c r="S146" s="79">
        <v>22.36</v>
      </c>
      <c r="T146" s="79">
        <v>0.88</v>
      </c>
      <c r="U146" s="79">
        <v>0.7</v>
      </c>
      <c r="V146" s="85">
        <f t="shared" si="16"/>
        <v>1796.9399999999998</v>
      </c>
      <c r="W146" s="85">
        <f t="shared" si="17"/>
        <v>1493.664211</v>
      </c>
      <c r="X146" s="85">
        <f t="shared" si="18"/>
        <v>0.8312265356661882</v>
      </c>
      <c r="Y146" s="116">
        <v>3</v>
      </c>
      <c r="Z146" s="116">
        <v>3</v>
      </c>
      <c r="AA146" s="122">
        <v>6.5</v>
      </c>
      <c r="AB146" s="116">
        <v>18.5</v>
      </c>
      <c r="AC146" s="122">
        <v>5.7</v>
      </c>
      <c r="AD146" s="122">
        <v>3.9</v>
      </c>
      <c r="AE146" s="79">
        <v>0.15</v>
      </c>
      <c r="AF146" s="79">
        <v>0.13</v>
      </c>
      <c r="AG146" s="85">
        <f>(O146+0.3*H146+2)*(F146/2/AK146)</f>
        <v>1347.7049999999999</v>
      </c>
      <c r="AH146" s="85">
        <f t="shared" si="19"/>
        <v>1785.9247275999996</v>
      </c>
      <c r="AI146" s="85">
        <f t="shared" si="20"/>
        <v>1.325159977591535</v>
      </c>
      <c r="AJ146" s="116">
        <v>3</v>
      </c>
      <c r="AK146" s="116">
        <v>4</v>
      </c>
      <c r="AL146" s="122">
        <v>6.3</v>
      </c>
      <c r="AM146" s="116">
        <v>23</v>
      </c>
      <c r="AN146" s="122">
        <v>5.7</v>
      </c>
      <c r="AO146" s="122">
        <v>3.7</v>
      </c>
      <c r="AP146" s="79">
        <v>0.14000000000000001</v>
      </c>
      <c r="AQ146" s="79">
        <v>0.17</v>
      </c>
      <c r="AR146" s="132">
        <f>SUM(C146:E146)</f>
        <v>2048</v>
      </c>
      <c r="AS146" s="134">
        <f>C146/AR146</f>
        <v>0.220703125</v>
      </c>
      <c r="AT146" s="134">
        <f>D146/AR146</f>
        <v>0.779296875</v>
      </c>
      <c r="AU146" s="134">
        <f>E146/AR146</f>
        <v>0</v>
      </c>
      <c r="AV146" s="151">
        <f>IF(AND(F146&lt;&gt;"",Z146&lt;&gt;""),AB146/(F146/2/Z146),"")</f>
        <v>6.2080536912751678E-2</v>
      </c>
      <c r="AW146" s="151">
        <f>IF(AND(F146&lt;&gt;"",AK146&lt;&gt;""),AM146/(F146/2/AK146),"")</f>
        <v>0.1029082774049217</v>
      </c>
      <c r="AX146" s="41">
        <f>IF(AND(AQ146&lt;&gt;"",1-(AQ146/O146)&gt;0),1-(AQ146/O146),"")</f>
        <v>0.8482142857142857</v>
      </c>
      <c r="AY146" s="41">
        <f>IF(AND(AF146&lt;&gt;"",1-(AF146/O146)&gt;0),1-(AF146/O146),"")</f>
        <v>0.8839285714285714</v>
      </c>
      <c r="AZ146" s="136" t="str">
        <f>IF(Q146="","",IF(Q146&lt;2.5,"Alc. Bruta &lt; 2,5 mg/L",IF(Q146&lt;5,"2,5 ≤ Alc. Bruta &lt; 5,0 mg/L",IF(Q146&lt;7.5,"5,0 ≤ Alc. Bruta &lt; 7,5 mg/L",IF(Q146&lt;10,"7,5 ≤ Alc. Bruta &lt; 10,0 mg/L",IF(Q146&lt;15,"10,0 ≤ Alca. Bruta &lt; 15,0 mg/L","Alc. Bruta &gt; 15 mg/L"))))))</f>
        <v>5,0 ≤ Alc. Bruta &lt; 7,5 mg/L</v>
      </c>
      <c r="BA146" s="136" t="str">
        <f>IF(P146="","",IF(P146&lt;5,"Cor &lt;5 uC",IF(P146&lt;10,"5 ≤ Cor &lt; 10 uC",IF(P146&lt;15,"10 ≤ Cor &lt;15 uC",IF(P146&lt;30,"15 ≤ Cor &lt; 30 uC",IF(P146&lt;50,"30 ≤ Cor &lt; 50 uC","Cor &gt; 50 uC"))))))</f>
        <v>5 ≤ Cor &lt; 10 uC</v>
      </c>
      <c r="BB146" s="137" t="str">
        <f>IF(O146="","",IF(O146&lt;2.5,"Turbidez &lt; 2,5 uT",IF(O146&lt;5,"2,5 ≤ Turb &lt; 5,0 uT",IF(O146&lt;7.5,"5,0 ≤ Turb &lt; 7,5 uT",IF(O146&lt;10,"7,5 ≤ Turb &lt; 10,0 uT",IF(O146&lt;15,"10,0 ≤ Turb &lt; 15,0 uT","Turb &gt; 15 uT"))))))</f>
        <v>Turbidez &lt; 2,5 uT</v>
      </c>
      <c r="BC146" s="138" t="str">
        <f>IF(AND(C146&gt;D146,D146&gt;E146),"TOR &gt; SM &gt; BNN",IF(AND(C146&gt;E146,E146&gt;D146),"TOR &gt; BNN &gt; SM",IF(AND(D146&gt;C146,C146&gt;E146),"SM &gt; TOR &gt; BNN",IF(AND(D146&gt;E146,E146&gt;C146),"SM &gt; BNN &gt; TOR",IF(AND(C146=D146,D146=E146),"TOR = SM = BNN","Comb. diferentes")))))</f>
        <v>SM &gt; TOR &gt; BNN</v>
      </c>
      <c r="BD146" s="137" t="str">
        <f>IF(OR(AE146="",AQ146="-"),"",IF(AE146&lt;=0.25,"Tipo 1 (≤0,25) uT",IF(AE146&lt;=0.5,"Tipo 2 (0,25-0,50) uT",IF(AE146&lt;=0.75,"Tipo 3 (0,50-0,75) uT","Tipo 4 (&gt;0,75) uT"))))</f>
        <v>Tipo 1 (≤0,25) uT</v>
      </c>
      <c r="BE146" s="137" t="str">
        <f t="shared" si="14"/>
        <v>Tipo 1 (≤0,25) uT</v>
      </c>
      <c r="BF146" s="137" t="str">
        <f>IF(OR(AF146="",AQ146="-"),"",IF(AF146&lt;=0.25,"Tipo 1 (≤0,25) uT",IF(AF146&lt;=0.5,"Tipo 2 (0,25-0,50) uT",IF(AF146&lt;=0.75,"Tipo 3 (0,50-0,75) uT","Tipo 4 (&gt;0,75) uT"))))</f>
        <v>Tipo 1 (≤0,25) uT</v>
      </c>
      <c r="BG146" s="137" t="str">
        <f t="shared" si="15"/>
        <v>Tipo 1 (≤0,25) uT</v>
      </c>
      <c r="BH146" s="137" t="str">
        <f>IF(OR(R146="",R146="-"),"",IF(R146&lt;=0.25,"Tipo 1 (≤0,25) uT",IF(R146&lt;=0.5,"Tipo 2 (0,25-0,50) uT",IF(R146&lt;=0.75,"Tipo 3 (0,50-0,75) uT","Tipo 4 (&gt;0,75) uT"))))</f>
        <v>Tipo 1 (≤0,25) uT</v>
      </c>
    </row>
    <row r="147" spans="1:60" x14ac:dyDescent="0.3">
      <c r="A147" s="74">
        <v>46274</v>
      </c>
      <c r="B147" s="139">
        <v>0.89583333333333337</v>
      </c>
      <c r="C147" s="116">
        <v>459</v>
      </c>
      <c r="D147" s="116">
        <v>1675</v>
      </c>
      <c r="E147" s="116">
        <v>0</v>
      </c>
      <c r="F147" s="116">
        <v>2190</v>
      </c>
      <c r="G147" s="144" t="s">
        <v>100</v>
      </c>
      <c r="H147" s="122">
        <v>9.6999999999999993</v>
      </c>
      <c r="I147" s="116">
        <v>14</v>
      </c>
      <c r="J147" s="10">
        <v>90</v>
      </c>
      <c r="K147" s="116">
        <v>90</v>
      </c>
      <c r="L147" s="116">
        <v>90</v>
      </c>
      <c r="M147" s="122">
        <v>26</v>
      </c>
      <c r="N147" s="122">
        <v>2.6</v>
      </c>
      <c r="O147" s="79">
        <v>1.0900000000000001</v>
      </c>
      <c r="P147" s="116">
        <v>12</v>
      </c>
      <c r="Q147" s="122">
        <v>5.6</v>
      </c>
      <c r="R147" s="10">
        <v>0.09</v>
      </c>
      <c r="S147" s="79">
        <v>22.36</v>
      </c>
      <c r="T147" s="79">
        <v>0.88</v>
      </c>
      <c r="U147" s="79">
        <v>0.7</v>
      </c>
      <c r="V147" s="85">
        <f t="shared" si="16"/>
        <v>2190</v>
      </c>
      <c r="W147" s="85">
        <f t="shared" si="17"/>
        <v>1509.8119322</v>
      </c>
      <c r="X147" s="85">
        <f t="shared" si="18"/>
        <v>0.68941184118721466</v>
      </c>
      <c r="Y147" s="116">
        <v>3</v>
      </c>
      <c r="Z147" s="116">
        <v>3</v>
      </c>
      <c r="AA147" s="122">
        <v>6.5</v>
      </c>
      <c r="AB147" s="116">
        <v>18.7</v>
      </c>
      <c r="AC147" s="122">
        <v>5.6</v>
      </c>
      <c r="AD147" s="122">
        <v>5</v>
      </c>
      <c r="AE147" s="79">
        <v>0.17</v>
      </c>
      <c r="AF147" s="79">
        <v>0.11</v>
      </c>
      <c r="AG147" s="85">
        <f>(O147+0.3*H147+2)*(F147/2/AK147)</f>
        <v>1642.5</v>
      </c>
      <c r="AH147" s="85">
        <f t="shared" si="19"/>
        <v>1840.2789584399995</v>
      </c>
      <c r="AI147" s="85">
        <f t="shared" si="20"/>
        <v>1.1204133689132418</v>
      </c>
      <c r="AJ147" s="116">
        <v>3</v>
      </c>
      <c r="AK147" s="116">
        <v>4</v>
      </c>
      <c r="AL147" s="122">
        <v>6.3</v>
      </c>
      <c r="AM147" s="116">
        <v>23.7</v>
      </c>
      <c r="AN147" s="122">
        <v>5.5</v>
      </c>
      <c r="AO147" s="122">
        <v>4.0999999999999996</v>
      </c>
      <c r="AP147" s="79">
        <v>0.15</v>
      </c>
      <c r="AQ147" s="79">
        <v>0.17</v>
      </c>
      <c r="AR147" s="132">
        <f>SUM(C147:E147)</f>
        <v>2134</v>
      </c>
      <c r="AS147" s="134">
        <f>C147/AR147</f>
        <v>0.21508903467666354</v>
      </c>
      <c r="AT147" s="134">
        <f>D147/AR147</f>
        <v>0.78491096532333648</v>
      </c>
      <c r="AU147" s="134">
        <f>E147/AR147</f>
        <v>0</v>
      </c>
      <c r="AV147" s="151">
        <f>IF(AND(F147&lt;&gt;"",Z147&lt;&gt;""),AB147/(F147/2/Z147),"")</f>
        <v>5.1232876712328762E-2</v>
      </c>
      <c r="AW147" s="151">
        <f>IF(AND(F147&lt;&gt;"",AK147&lt;&gt;""),AM147/(F147/2/AK147),"")</f>
        <v>8.6575342465753422E-2</v>
      </c>
      <c r="AX147" s="41">
        <f>IF(AND(AQ147&lt;&gt;"",1-(AQ147/O147)&gt;0),1-(AQ147/O147),"")</f>
        <v>0.84403669724770647</v>
      </c>
      <c r="AY147" s="41">
        <f>IF(AND(AF147&lt;&gt;"",1-(AF147/O147)&gt;0),1-(AF147/O147),"")</f>
        <v>0.8990825688073395</v>
      </c>
      <c r="AZ147" s="136" t="str">
        <f>IF(Q147="","",IF(Q147&lt;2.5,"Alc. Bruta &lt; 2,5 mg/L",IF(Q147&lt;5,"2,5 ≤ Alc. Bruta &lt; 5,0 mg/L",IF(Q147&lt;7.5,"5,0 ≤ Alc. Bruta &lt; 7,5 mg/L",IF(Q147&lt;10,"7,5 ≤ Alc. Bruta &lt; 10,0 mg/L",IF(Q147&lt;15,"10,0 ≤ Alca. Bruta &lt; 15,0 mg/L","Alc. Bruta &gt; 15 mg/L"))))))</f>
        <v>5,0 ≤ Alc. Bruta &lt; 7,5 mg/L</v>
      </c>
      <c r="BA147" s="136" t="str">
        <f>IF(P147="","",IF(P147&lt;5,"Cor &lt;5 uC",IF(P147&lt;10,"5 ≤ Cor &lt; 10 uC",IF(P147&lt;15,"10 ≤ Cor &lt;15 uC",IF(P147&lt;30,"15 ≤ Cor &lt; 30 uC",IF(P147&lt;50,"30 ≤ Cor &lt; 50 uC","Cor &gt; 50 uC"))))))</f>
        <v>10 ≤ Cor &lt;15 uC</v>
      </c>
      <c r="BB147" s="137" t="str">
        <f>IF(O147="","",IF(O147&lt;2.5,"Turbidez &lt; 2,5 uT",IF(O147&lt;5,"2,5 ≤ Turb &lt; 5,0 uT",IF(O147&lt;7.5,"5,0 ≤ Turb &lt; 7,5 uT",IF(O147&lt;10,"7,5 ≤ Turb &lt; 10,0 uT",IF(O147&lt;15,"10,0 ≤ Turb &lt; 15,0 uT","Turb &gt; 15 uT"))))))</f>
        <v>Turbidez &lt; 2,5 uT</v>
      </c>
      <c r="BC147" s="138" t="str">
        <f>IF(AND(C147&gt;D147,D147&gt;E147),"TOR &gt; SM &gt; BNN",IF(AND(C147&gt;E147,E147&gt;D147),"TOR &gt; BNN &gt; SM",IF(AND(D147&gt;C147,C147&gt;E147),"SM &gt; TOR &gt; BNN",IF(AND(D147&gt;E147,E147&gt;C147),"SM &gt; BNN &gt; TOR",IF(AND(C147=D147,D147=E147),"TOR = SM = BNN","Comb. diferentes")))))</f>
        <v>SM &gt; TOR &gt; BNN</v>
      </c>
      <c r="BD147" s="137" t="str">
        <f>IF(OR(AE147="",AQ147="-"),"",IF(AE147&lt;=0.25,"Tipo 1 (≤0,25) uT",IF(AE147&lt;=0.5,"Tipo 2 (0,25-0,50) uT",IF(AE147&lt;=0.75,"Tipo 3 (0,50-0,75) uT","Tipo 4 (&gt;0,75) uT"))))</f>
        <v>Tipo 1 (≤0,25) uT</v>
      </c>
      <c r="BE147" s="137" t="str">
        <f t="shared" si="14"/>
        <v>Tipo 1 (≤0,25) uT</v>
      </c>
      <c r="BF147" s="137" t="str">
        <f>IF(OR(AF147="",AQ147="-"),"",IF(AF147&lt;=0.25,"Tipo 1 (≤0,25) uT",IF(AF147&lt;=0.5,"Tipo 2 (0,25-0,50) uT",IF(AF147&lt;=0.75,"Tipo 3 (0,50-0,75) uT","Tipo 4 (&gt;0,75) uT"))))</f>
        <v>Tipo 1 (≤0,25) uT</v>
      </c>
      <c r="BG147" s="137" t="str">
        <f t="shared" si="15"/>
        <v>Tipo 1 (≤0,25) uT</v>
      </c>
      <c r="BH147" s="137" t="str">
        <f>IF(OR(R147="",R147="-"),"",IF(R147&lt;=0.25,"Tipo 1 (≤0,25) uT",IF(R147&lt;=0.5,"Tipo 2 (0,25-0,50) uT",IF(R147&lt;=0.75,"Tipo 3 (0,50-0,75) uT","Tipo 4 (&gt;0,75) uT"))))</f>
        <v>Tipo 1 (≤0,25) uT</v>
      </c>
    </row>
    <row r="148" spans="1:60" x14ac:dyDescent="0.3">
      <c r="A148" s="74">
        <v>46275</v>
      </c>
      <c r="B148" s="139">
        <v>6.25E-2</v>
      </c>
      <c r="C148" s="116">
        <v>460</v>
      </c>
      <c r="D148" s="116">
        <v>1624</v>
      </c>
      <c r="E148" s="116">
        <v>0</v>
      </c>
      <c r="F148" s="116">
        <v>2197</v>
      </c>
      <c r="G148" s="144" t="s">
        <v>100</v>
      </c>
      <c r="H148" s="122">
        <v>9.6999999999999993</v>
      </c>
      <c r="I148" s="116">
        <v>-1.75</v>
      </c>
      <c r="J148" s="10">
        <v>90</v>
      </c>
      <c r="K148" s="116">
        <v>90</v>
      </c>
      <c r="L148" s="116">
        <v>90</v>
      </c>
      <c r="M148" s="122">
        <v>26</v>
      </c>
      <c r="N148" s="122">
        <v>6.2</v>
      </c>
      <c r="O148" s="79">
        <v>1.45</v>
      </c>
      <c r="P148" s="116">
        <v>9</v>
      </c>
      <c r="Q148" s="122">
        <v>5</v>
      </c>
      <c r="R148" s="10">
        <v>0.08</v>
      </c>
      <c r="S148" s="79">
        <v>22.36</v>
      </c>
      <c r="T148" s="79">
        <v>0.88</v>
      </c>
      <c r="U148" s="79">
        <v>0.7</v>
      </c>
      <c r="V148" s="85">
        <f t="shared" si="16"/>
        <v>2328.8199999999997</v>
      </c>
      <c r="W148" s="85">
        <f t="shared" si="17"/>
        <v>1513.2317734559999</v>
      </c>
      <c r="X148" s="85">
        <f t="shared" si="18"/>
        <v>0.64978477231215814</v>
      </c>
      <c r="Y148" s="116">
        <v>3</v>
      </c>
      <c r="Z148" s="116">
        <v>3</v>
      </c>
      <c r="AA148" s="122">
        <v>6.54</v>
      </c>
      <c r="AB148" s="116">
        <v>18.600000000000001</v>
      </c>
      <c r="AC148" s="122">
        <v>5.6</v>
      </c>
      <c r="AD148" s="122">
        <v>2.8</v>
      </c>
      <c r="AE148" s="79">
        <v>0.2</v>
      </c>
      <c r="AF148" s="79">
        <v>0.11</v>
      </c>
      <c r="AG148" s="85">
        <f>(O148+0.3*H148+2)*(F148/2/AK148)</f>
        <v>1746.6149999999998</v>
      </c>
      <c r="AH148" s="85">
        <f t="shared" si="19"/>
        <v>1766.1368721879999</v>
      </c>
      <c r="AI148" s="85">
        <f t="shared" si="20"/>
        <v>1.0111769749990698</v>
      </c>
      <c r="AJ148" s="116">
        <v>3</v>
      </c>
      <c r="AK148" s="116">
        <v>4</v>
      </c>
      <c r="AL148" s="122">
        <v>6.31</v>
      </c>
      <c r="AM148" s="116">
        <v>22.7</v>
      </c>
      <c r="AN148" s="122">
        <v>5.6</v>
      </c>
      <c r="AO148" s="122">
        <v>2.9</v>
      </c>
      <c r="AP148" s="79">
        <v>0.15</v>
      </c>
      <c r="AQ148" s="79">
        <v>0.17</v>
      </c>
      <c r="AR148" s="132">
        <f>SUM(C148:E148)</f>
        <v>2084</v>
      </c>
      <c r="AS148" s="134">
        <f>C148/AR148</f>
        <v>0.22072936660268713</v>
      </c>
      <c r="AT148" s="134">
        <f>D148/AR148</f>
        <v>0.77927063339731284</v>
      </c>
      <c r="AU148" s="134">
        <f>E148/AR148</f>
        <v>0</v>
      </c>
      <c r="AV148" s="151">
        <f>IF(AND(F148&lt;&gt;"",Z148&lt;&gt;""),AB148/(F148/2/Z148),"")</f>
        <v>5.0796540737369139E-2</v>
      </c>
      <c r="AW148" s="151">
        <f>IF(AND(F148&lt;&gt;"",AK148&lt;&gt;""),AM148/(F148/2/AK148),"")</f>
        <v>8.2658170232134731E-2</v>
      </c>
      <c r="AX148" s="41">
        <f>IF(AND(AQ148&lt;&gt;"",1-(AQ148/O148)&gt;0),1-(AQ148/O148),"")</f>
        <v>0.88275862068965516</v>
      </c>
      <c r="AY148" s="41">
        <f>IF(AND(AF148&lt;&gt;"",1-(AF148/O148)&gt;0),1-(AF148/O148),"")</f>
        <v>0.92413793103448272</v>
      </c>
      <c r="AZ148" s="136" t="str">
        <f>IF(Q148="","",IF(Q148&lt;2.5,"Alc. Bruta &lt; 2,5 mg/L",IF(Q148&lt;5,"2,5 ≤ Alc. Bruta &lt; 5,0 mg/L",IF(Q148&lt;7.5,"5,0 ≤ Alc. Bruta &lt; 7,5 mg/L",IF(Q148&lt;10,"7,5 ≤ Alc. Bruta &lt; 10,0 mg/L",IF(Q148&lt;15,"10,0 ≤ Alca. Bruta &lt; 15,0 mg/L","Alc. Bruta &gt; 15 mg/L"))))))</f>
        <v>5,0 ≤ Alc. Bruta &lt; 7,5 mg/L</v>
      </c>
      <c r="BA148" s="136" t="str">
        <f>IF(P148="","",IF(P148&lt;5,"Cor &lt;5 uC",IF(P148&lt;10,"5 ≤ Cor &lt; 10 uC",IF(P148&lt;15,"10 ≤ Cor &lt;15 uC",IF(P148&lt;30,"15 ≤ Cor &lt; 30 uC",IF(P148&lt;50,"30 ≤ Cor &lt; 50 uC","Cor &gt; 50 uC"))))))</f>
        <v>5 ≤ Cor &lt; 10 uC</v>
      </c>
      <c r="BB148" s="137" t="str">
        <f>IF(O148="","",IF(O148&lt;2.5,"Turbidez &lt; 2,5 uT",IF(O148&lt;5,"2,5 ≤ Turb &lt; 5,0 uT",IF(O148&lt;7.5,"5,0 ≤ Turb &lt; 7,5 uT",IF(O148&lt;10,"7,5 ≤ Turb &lt; 10,0 uT",IF(O148&lt;15,"10,0 ≤ Turb &lt; 15,0 uT","Turb &gt; 15 uT"))))))</f>
        <v>Turbidez &lt; 2,5 uT</v>
      </c>
      <c r="BC148" s="138" t="str">
        <f>IF(AND(C148&gt;D148,D148&gt;E148),"TOR &gt; SM &gt; BNN",IF(AND(C148&gt;E148,E148&gt;D148),"TOR &gt; BNN &gt; SM",IF(AND(D148&gt;C148,C148&gt;E148),"SM &gt; TOR &gt; BNN",IF(AND(D148&gt;E148,E148&gt;C148),"SM &gt; BNN &gt; TOR",IF(AND(C148=D148,D148=E148),"TOR = SM = BNN","Comb. diferentes")))))</f>
        <v>SM &gt; TOR &gt; BNN</v>
      </c>
      <c r="BD148" s="137" t="str">
        <f>IF(OR(AE148="",AQ148="-"),"",IF(AE148&lt;=0.25,"Tipo 1 (≤0,25) uT",IF(AE148&lt;=0.5,"Tipo 2 (0,25-0,50) uT",IF(AE148&lt;=0.75,"Tipo 3 (0,50-0,75) uT","Tipo 4 (&gt;0,75) uT"))))</f>
        <v>Tipo 1 (≤0,25) uT</v>
      </c>
      <c r="BE148" s="137" t="str">
        <f t="shared" si="14"/>
        <v>Tipo 1 (≤0,25) uT</v>
      </c>
      <c r="BF148" s="137" t="str">
        <f>IF(OR(AF148="",AQ148="-"),"",IF(AF148&lt;=0.25,"Tipo 1 (≤0,25) uT",IF(AF148&lt;=0.5,"Tipo 2 (0,25-0,50) uT",IF(AF148&lt;=0.75,"Tipo 3 (0,50-0,75) uT","Tipo 4 (&gt;0,75) uT"))))</f>
        <v>Tipo 1 (≤0,25) uT</v>
      </c>
      <c r="BG148" s="137" t="str">
        <f t="shared" si="15"/>
        <v>Tipo 1 (≤0,25) uT</v>
      </c>
      <c r="BH148" s="137" t="str">
        <f>IF(OR(R148="",R148="-"),"",IF(R148&lt;=0.25,"Tipo 1 (≤0,25) uT",IF(R148&lt;=0.5,"Tipo 2 (0,25-0,50) uT",IF(R148&lt;=0.75,"Tipo 3 (0,50-0,75) uT","Tipo 4 (&gt;0,75) uT"))))</f>
        <v>Tipo 1 (≤0,25) uT</v>
      </c>
    </row>
    <row r="149" spans="1:60" x14ac:dyDescent="0.3">
      <c r="A149" s="74">
        <v>46275</v>
      </c>
      <c r="B149" s="139">
        <v>0.14583333333333334</v>
      </c>
      <c r="C149" s="116">
        <v>448</v>
      </c>
      <c r="D149" s="116">
        <v>1586</v>
      </c>
      <c r="E149" s="116">
        <v>0</v>
      </c>
      <c r="F149" s="116">
        <v>2200</v>
      </c>
      <c r="G149" s="144" t="s">
        <v>100</v>
      </c>
      <c r="H149" s="122">
        <v>9.6999999999999993</v>
      </c>
      <c r="I149" s="116">
        <v>-6.07</v>
      </c>
      <c r="J149" s="10">
        <v>90</v>
      </c>
      <c r="K149" s="116">
        <v>90</v>
      </c>
      <c r="L149" s="116">
        <v>90</v>
      </c>
      <c r="M149" s="122">
        <v>25.5</v>
      </c>
      <c r="N149" s="122">
        <v>6.3</v>
      </c>
      <c r="O149" s="79">
        <v>1.21</v>
      </c>
      <c r="P149" s="116">
        <v>8</v>
      </c>
      <c r="Q149" s="122">
        <v>5.6</v>
      </c>
      <c r="R149" s="10">
        <v>0.09</v>
      </c>
      <c r="S149" s="79">
        <v>22.36</v>
      </c>
      <c r="T149" s="79">
        <v>0.88</v>
      </c>
      <c r="U149" s="79">
        <v>0.7</v>
      </c>
      <c r="V149" s="85">
        <f t="shared" si="16"/>
        <v>2244</v>
      </c>
      <c r="W149" s="85">
        <f t="shared" si="17"/>
        <v>1473.00381696</v>
      </c>
      <c r="X149" s="85">
        <f t="shared" si="18"/>
        <v>0.65641881326203211</v>
      </c>
      <c r="Y149" s="116">
        <v>3</v>
      </c>
      <c r="Z149" s="116">
        <v>3</v>
      </c>
      <c r="AA149" s="122">
        <v>6.4</v>
      </c>
      <c r="AB149" s="116">
        <v>18.600000000000001</v>
      </c>
      <c r="AC149" s="122">
        <v>5.6</v>
      </c>
      <c r="AD149" s="122">
        <v>3.2</v>
      </c>
      <c r="AE149" s="79">
        <v>0.26</v>
      </c>
      <c r="AF149" s="79">
        <v>0.11</v>
      </c>
      <c r="AG149" s="85">
        <f>(O149+0.3*H149+2)*(F149/2/AK149)</f>
        <v>1682.9999999999998</v>
      </c>
      <c r="AH149" s="85">
        <f t="shared" si="19"/>
        <v>1762.6300572399996</v>
      </c>
      <c r="AI149" s="85">
        <f t="shared" si="20"/>
        <v>1.0473143536779559</v>
      </c>
      <c r="AJ149" s="116">
        <v>3</v>
      </c>
      <c r="AK149" s="116">
        <v>4</v>
      </c>
      <c r="AL149" s="122">
        <v>6.3</v>
      </c>
      <c r="AM149" s="116">
        <v>22.7</v>
      </c>
      <c r="AN149" s="122">
        <v>5.5</v>
      </c>
      <c r="AO149" s="122">
        <v>3.5</v>
      </c>
      <c r="AP149" s="79">
        <v>0.22</v>
      </c>
      <c r="AQ149" s="79">
        <v>0.19</v>
      </c>
      <c r="AR149" s="132">
        <f>SUM(C149:E149)</f>
        <v>2034</v>
      </c>
      <c r="AS149" s="134">
        <f>C149/AR149</f>
        <v>0.22025565388397247</v>
      </c>
      <c r="AT149" s="134">
        <f>D149/AR149</f>
        <v>0.7797443461160275</v>
      </c>
      <c r="AU149" s="134">
        <f>E149/AR149</f>
        <v>0</v>
      </c>
      <c r="AV149" s="151">
        <f>IF(AND(F149&lt;&gt;"",Z149&lt;&gt;""),AB149/(F149/2/Z149),"")</f>
        <v>5.0727272727272732E-2</v>
      </c>
      <c r="AW149" s="151">
        <f>IF(AND(F149&lt;&gt;"",AK149&lt;&gt;""),AM149/(F149/2/AK149),"")</f>
        <v>8.2545454545454547E-2</v>
      </c>
      <c r="AX149" s="41">
        <f>IF(AND(AQ149&lt;&gt;"",1-(AQ149/O149)&gt;0),1-(AQ149/O149),"")</f>
        <v>0.84297520661157022</v>
      </c>
      <c r="AY149" s="41">
        <f>IF(AND(AF149&lt;&gt;"",1-(AF149/O149)&gt;0),1-(AF149/O149),"")</f>
        <v>0.90909090909090906</v>
      </c>
      <c r="AZ149" s="136" t="str">
        <f>IF(Q149="","",IF(Q149&lt;2.5,"Alc. Bruta &lt; 2,5 mg/L",IF(Q149&lt;5,"2,5 ≤ Alc. Bruta &lt; 5,0 mg/L",IF(Q149&lt;7.5,"5,0 ≤ Alc. Bruta &lt; 7,5 mg/L",IF(Q149&lt;10,"7,5 ≤ Alc. Bruta &lt; 10,0 mg/L",IF(Q149&lt;15,"10,0 ≤ Alca. Bruta &lt; 15,0 mg/L","Alc. Bruta &gt; 15 mg/L"))))))</f>
        <v>5,0 ≤ Alc. Bruta &lt; 7,5 mg/L</v>
      </c>
      <c r="BA149" s="136" t="str">
        <f>IF(P149="","",IF(P149&lt;5,"Cor &lt;5 uC",IF(P149&lt;10,"5 ≤ Cor &lt; 10 uC",IF(P149&lt;15,"10 ≤ Cor &lt;15 uC",IF(P149&lt;30,"15 ≤ Cor &lt; 30 uC",IF(P149&lt;50,"30 ≤ Cor &lt; 50 uC","Cor &gt; 50 uC"))))))</f>
        <v>5 ≤ Cor &lt; 10 uC</v>
      </c>
      <c r="BB149" s="137" t="str">
        <f>IF(O149="","",IF(O149&lt;2.5,"Turbidez &lt; 2,5 uT",IF(O149&lt;5,"2,5 ≤ Turb &lt; 5,0 uT",IF(O149&lt;7.5,"5,0 ≤ Turb &lt; 7,5 uT",IF(O149&lt;10,"7,5 ≤ Turb &lt; 10,0 uT",IF(O149&lt;15,"10,0 ≤ Turb &lt; 15,0 uT","Turb &gt; 15 uT"))))))</f>
        <v>Turbidez &lt; 2,5 uT</v>
      </c>
      <c r="BC149" s="138" t="str">
        <f>IF(AND(C149&gt;D149,D149&gt;E149),"TOR &gt; SM &gt; BNN",IF(AND(C149&gt;E149,E149&gt;D149),"TOR &gt; BNN &gt; SM",IF(AND(D149&gt;C149,C149&gt;E149),"SM &gt; TOR &gt; BNN",IF(AND(D149&gt;E149,E149&gt;C149),"SM &gt; BNN &gt; TOR",IF(AND(C149=D149,D149=E149),"TOR = SM = BNN","Comb. diferentes")))))</f>
        <v>SM &gt; TOR &gt; BNN</v>
      </c>
      <c r="BD149" s="137" t="str">
        <f>IF(OR(AE149="",AQ149="-"),"",IF(AE149&lt;=0.25,"Tipo 1 (≤0,25) uT",IF(AE149&lt;=0.5,"Tipo 2 (0,25-0,50) uT",IF(AE149&lt;=0.75,"Tipo 3 (0,50-0,75) uT","Tipo 4 (&gt;0,75) uT"))))</f>
        <v>Tipo 2 (0,25-0,50) uT</v>
      </c>
      <c r="BE149" s="137" t="str">
        <f t="shared" si="14"/>
        <v>Tipo 1 (≤0,25) uT</v>
      </c>
      <c r="BF149" s="137" t="str">
        <f>IF(OR(AF149="",AQ149="-"),"",IF(AF149&lt;=0.25,"Tipo 1 (≤0,25) uT",IF(AF149&lt;=0.5,"Tipo 2 (0,25-0,50) uT",IF(AF149&lt;=0.75,"Tipo 3 (0,50-0,75) uT","Tipo 4 (&gt;0,75) uT"))))</f>
        <v>Tipo 1 (≤0,25) uT</v>
      </c>
      <c r="BG149" s="137" t="str">
        <f t="shared" si="15"/>
        <v>Tipo 1 (≤0,25) uT</v>
      </c>
      <c r="BH149" s="137" t="str">
        <f>IF(OR(R149="",R149="-"),"",IF(R149&lt;=0.25,"Tipo 1 (≤0,25) uT",IF(R149&lt;=0.5,"Tipo 2 (0,25-0,50) uT",IF(R149&lt;=0.75,"Tipo 3 (0,50-0,75) uT","Tipo 4 (&gt;0,75) uT"))))</f>
        <v>Tipo 1 (≤0,25) uT</v>
      </c>
    </row>
    <row r="150" spans="1:60" ht="15" thickBot="1" x14ac:dyDescent="0.35">
      <c r="A150" s="75">
        <v>46275</v>
      </c>
      <c r="B150" s="140">
        <v>0.22916666666666666</v>
      </c>
      <c r="C150" s="117">
        <v>439</v>
      </c>
      <c r="D150" s="117">
        <v>1656</v>
      </c>
      <c r="E150" s="117">
        <v>0</v>
      </c>
      <c r="F150" s="117">
        <v>2185</v>
      </c>
      <c r="G150" s="145" t="s">
        <v>100</v>
      </c>
      <c r="H150" s="123">
        <v>9.6999999999999993</v>
      </c>
      <c r="I150" s="117">
        <v>-11.62</v>
      </c>
      <c r="J150" s="11">
        <v>90</v>
      </c>
      <c r="K150" s="117">
        <v>90</v>
      </c>
      <c r="L150" s="117">
        <v>90</v>
      </c>
      <c r="M150" s="123">
        <v>25.1</v>
      </c>
      <c r="N150" s="123">
        <v>6.3</v>
      </c>
      <c r="O150" s="80">
        <v>1.1100000000000001</v>
      </c>
      <c r="P150" s="117">
        <v>10</v>
      </c>
      <c r="Q150" s="123">
        <v>5.2</v>
      </c>
      <c r="R150" s="11">
        <v>0.09</v>
      </c>
      <c r="S150" s="79">
        <v>22.36</v>
      </c>
      <c r="T150" s="79">
        <v>0.88</v>
      </c>
      <c r="U150" s="79">
        <v>0.7</v>
      </c>
      <c r="V150" s="85">
        <f t="shared" si="16"/>
        <v>2192.2833333333333</v>
      </c>
      <c r="W150" s="85">
        <f t="shared" si="17"/>
        <v>1473.00381696</v>
      </c>
      <c r="X150" s="85">
        <f t="shared" si="18"/>
        <v>0.67190394351095128</v>
      </c>
      <c r="Y150" s="117">
        <v>3</v>
      </c>
      <c r="Z150" s="117">
        <v>3</v>
      </c>
      <c r="AA150" s="123">
        <v>6.4</v>
      </c>
      <c r="AB150" s="117">
        <v>18.600000000000001</v>
      </c>
      <c r="AC150" s="123">
        <v>5.6</v>
      </c>
      <c r="AD150" s="123">
        <v>2.5</v>
      </c>
      <c r="AE150" s="80">
        <v>0.17</v>
      </c>
      <c r="AF150" s="80">
        <v>0.11</v>
      </c>
      <c r="AG150" s="85">
        <f>(O150+0.3*H150+2)*(F150/2/AK150)</f>
        <v>1644.2124999999999</v>
      </c>
      <c r="AH150" s="85">
        <f t="shared" si="19"/>
        <v>1762.6300572399996</v>
      </c>
      <c r="AI150" s="85">
        <f t="shared" si="20"/>
        <v>1.0720208350441318</v>
      </c>
      <c r="AJ150" s="117">
        <v>3</v>
      </c>
      <c r="AK150" s="117">
        <v>4</v>
      </c>
      <c r="AL150" s="123">
        <v>6.3</v>
      </c>
      <c r="AM150" s="117">
        <v>22.7</v>
      </c>
      <c r="AN150" s="123">
        <v>5.6</v>
      </c>
      <c r="AO150" s="123">
        <v>2.4</v>
      </c>
      <c r="AP150" s="80">
        <v>0.14000000000000001</v>
      </c>
      <c r="AQ150" s="80">
        <v>0.18</v>
      </c>
      <c r="AR150" s="132">
        <f>SUM(C150:E150)</f>
        <v>2095</v>
      </c>
      <c r="AS150" s="134">
        <f>C150/AR150</f>
        <v>0.20954653937947493</v>
      </c>
      <c r="AT150" s="134">
        <f>D150/AR150</f>
        <v>0.79045346062052502</v>
      </c>
      <c r="AU150" s="134">
        <f>E150/AR150</f>
        <v>0</v>
      </c>
      <c r="AV150" s="151">
        <f>IF(AND(F150&lt;&gt;"",Z150&lt;&gt;""),AB150/(F150/2/Z150),"")</f>
        <v>5.1075514874141879E-2</v>
      </c>
      <c r="AW150" s="151">
        <f>IF(AND(F150&lt;&gt;"",AK150&lt;&gt;""),AM150/(F150/2/AK150),"")</f>
        <v>8.3112128146453093E-2</v>
      </c>
      <c r="AX150" s="41">
        <f>IF(AND(AQ150&lt;&gt;"",1-(AQ150/O150)&gt;0),1-(AQ150/O150),"")</f>
        <v>0.83783783783783783</v>
      </c>
      <c r="AY150" s="41">
        <f>IF(AND(AF150&lt;&gt;"",1-(AF150/O150)&gt;0),1-(AF150/O150),"")</f>
        <v>0.90090090090090091</v>
      </c>
      <c r="AZ150" s="136" t="str">
        <f>IF(Q150="","",IF(Q150&lt;2.5,"Alc. Bruta &lt; 2,5 mg/L",IF(Q150&lt;5,"2,5 ≤ Alc. Bruta &lt; 5,0 mg/L",IF(Q150&lt;7.5,"5,0 ≤ Alc. Bruta &lt; 7,5 mg/L",IF(Q150&lt;10,"7,5 ≤ Alc. Bruta &lt; 10,0 mg/L",IF(Q150&lt;15,"10,0 ≤ Alca. Bruta &lt; 15,0 mg/L","Alc. Bruta &gt; 15 mg/L"))))))</f>
        <v>5,0 ≤ Alc. Bruta &lt; 7,5 mg/L</v>
      </c>
      <c r="BA150" s="136" t="str">
        <f>IF(P150="","",IF(P150&lt;5,"Cor &lt;5 uC",IF(P150&lt;10,"5 ≤ Cor &lt; 10 uC",IF(P150&lt;15,"10 ≤ Cor &lt;15 uC",IF(P150&lt;30,"15 ≤ Cor &lt; 30 uC",IF(P150&lt;50,"30 ≤ Cor &lt; 50 uC","Cor &gt; 50 uC"))))))</f>
        <v>10 ≤ Cor &lt;15 uC</v>
      </c>
      <c r="BB150" s="137" t="str">
        <f>IF(O150="","",IF(O150&lt;2.5,"Turbidez &lt; 2,5 uT",IF(O150&lt;5,"2,5 ≤ Turb &lt; 5,0 uT",IF(O150&lt;7.5,"5,0 ≤ Turb &lt; 7,5 uT",IF(O150&lt;10,"7,5 ≤ Turb &lt; 10,0 uT",IF(O150&lt;15,"10,0 ≤ Turb &lt; 15,0 uT","Turb &gt; 15 uT"))))))</f>
        <v>Turbidez &lt; 2,5 uT</v>
      </c>
      <c r="BC150" s="138" t="str">
        <f>IF(AND(C150&gt;D150,D150&gt;E150),"TOR &gt; SM &gt; BNN",IF(AND(C150&gt;E150,E150&gt;D150),"TOR &gt; BNN &gt; SM",IF(AND(D150&gt;C150,C150&gt;E150),"SM &gt; TOR &gt; BNN",IF(AND(D150&gt;E150,E150&gt;C150),"SM &gt; BNN &gt; TOR",IF(AND(C150=D150,D150=E150),"TOR = SM = BNN","Comb. diferentes")))))</f>
        <v>SM &gt; TOR &gt; BNN</v>
      </c>
      <c r="BD150" s="137" t="str">
        <f>IF(OR(AE150="",AQ150="-"),"",IF(AE150&lt;=0.25,"Tipo 1 (≤0,25) uT",IF(AE150&lt;=0.5,"Tipo 2 (0,25-0,50) uT",IF(AE150&lt;=0.75,"Tipo 3 (0,50-0,75) uT","Tipo 4 (&gt;0,75) uT"))))</f>
        <v>Tipo 1 (≤0,25) uT</v>
      </c>
      <c r="BE150" s="137" t="str">
        <f t="shared" si="14"/>
        <v>Tipo 1 (≤0,25) uT</v>
      </c>
      <c r="BF150" s="137" t="str">
        <f>IF(OR(AF150="",AQ150="-"),"",IF(AF150&lt;=0.25,"Tipo 1 (≤0,25) uT",IF(AF150&lt;=0.5,"Tipo 2 (0,25-0,50) uT",IF(AF150&lt;=0.75,"Tipo 3 (0,50-0,75) uT","Tipo 4 (&gt;0,75) uT"))))</f>
        <v>Tipo 1 (≤0,25) uT</v>
      </c>
      <c r="BG150" s="137" t="str">
        <f t="shared" si="15"/>
        <v>Tipo 1 (≤0,25) uT</v>
      </c>
      <c r="BH150" s="137" t="str">
        <f>IF(OR(R150="",R150="-"),"",IF(R150&lt;=0.25,"Tipo 1 (≤0,25) uT",IF(R150&lt;=0.5,"Tipo 2 (0,25-0,50) uT",IF(R150&lt;=0.75,"Tipo 3 (0,50-0,75) uT","Tipo 4 (&gt;0,75) uT"))))</f>
        <v>Tipo 1 (≤0,25) uT</v>
      </c>
    </row>
    <row r="151" spans="1:60" x14ac:dyDescent="0.3">
      <c r="A151" s="73">
        <v>46275</v>
      </c>
      <c r="B151" s="141">
        <v>0.3125</v>
      </c>
      <c r="C151" s="118">
        <v>351</v>
      </c>
      <c r="D151" s="118">
        <v>1653</v>
      </c>
      <c r="E151" s="118">
        <v>0</v>
      </c>
      <c r="F151" s="118">
        <v>2185</v>
      </c>
      <c r="G151" s="146" t="s">
        <v>100</v>
      </c>
      <c r="H151" s="124">
        <v>9.6999999999999993</v>
      </c>
      <c r="I151" s="118">
        <v>-14.8</v>
      </c>
      <c r="J151" s="9">
        <v>90</v>
      </c>
      <c r="K151" s="118">
        <v>90</v>
      </c>
      <c r="L151" s="118">
        <v>90</v>
      </c>
      <c r="M151" s="124">
        <v>25</v>
      </c>
      <c r="N151" s="124">
        <v>6.3</v>
      </c>
      <c r="O151" s="81">
        <v>1.1200000000000001</v>
      </c>
      <c r="P151" s="118">
        <v>7</v>
      </c>
      <c r="Q151" s="124">
        <v>5.5</v>
      </c>
      <c r="R151" s="9">
        <v>0.08</v>
      </c>
      <c r="S151" s="79">
        <v>22.36</v>
      </c>
      <c r="T151" s="79">
        <v>0.88</v>
      </c>
      <c r="U151" s="79">
        <v>0.7</v>
      </c>
      <c r="V151" s="85">
        <f t="shared" si="16"/>
        <v>2195.9249999999997</v>
      </c>
      <c r="W151" s="85">
        <f t="shared" si="17"/>
        <v>1425.4875648</v>
      </c>
      <c r="X151" s="85">
        <f t="shared" si="18"/>
        <v>0.64915129833669194</v>
      </c>
      <c r="Y151" s="118">
        <v>3</v>
      </c>
      <c r="Z151" s="118">
        <v>3</v>
      </c>
      <c r="AA151" s="124">
        <v>6.4</v>
      </c>
      <c r="AB151" s="118">
        <v>18</v>
      </c>
      <c r="AC151" s="124">
        <v>5.7</v>
      </c>
      <c r="AD151" s="124">
        <v>3.8</v>
      </c>
      <c r="AE151" s="81">
        <v>0.15</v>
      </c>
      <c r="AF151" s="81">
        <v>0.1</v>
      </c>
      <c r="AG151" s="85">
        <f>(O151+0.3*H151+2)*(F151/2/AK151)</f>
        <v>1646.9437499999999</v>
      </c>
      <c r="AH151" s="85">
        <f t="shared" si="19"/>
        <v>1708.2758263999997</v>
      </c>
      <c r="AI151" s="85">
        <f t="shared" si="20"/>
        <v>1.0372399339078822</v>
      </c>
      <c r="AJ151" s="118">
        <v>3</v>
      </c>
      <c r="AK151" s="118">
        <v>4</v>
      </c>
      <c r="AL151" s="124">
        <v>6.3</v>
      </c>
      <c r="AM151" s="118">
        <v>22</v>
      </c>
      <c r="AN151" s="124">
        <v>5.6</v>
      </c>
      <c r="AO151" s="124">
        <v>3.9</v>
      </c>
      <c r="AP151" s="81">
        <v>0.14000000000000001</v>
      </c>
      <c r="AQ151" s="81">
        <v>0.19</v>
      </c>
      <c r="AR151" s="132">
        <f>SUM(C151:E151)</f>
        <v>2004</v>
      </c>
      <c r="AS151" s="134">
        <f>C151/AR151</f>
        <v>0.17514970059880239</v>
      </c>
      <c r="AT151" s="134">
        <f>D151/AR151</f>
        <v>0.82485029940119758</v>
      </c>
      <c r="AU151" s="134">
        <f>E151/AR151</f>
        <v>0</v>
      </c>
      <c r="AV151" s="151">
        <f>IF(AND(F151&lt;&gt;"",Z151&lt;&gt;""),AB151/(F151/2/Z151),"")</f>
        <v>4.9427917620137297E-2</v>
      </c>
      <c r="AW151" s="151">
        <f>IF(AND(F151&lt;&gt;"",AK151&lt;&gt;""),AM151/(F151/2/AK151),"")</f>
        <v>8.0549199084668191E-2</v>
      </c>
      <c r="AX151" s="41">
        <f>IF(AND(AQ151&lt;&gt;"",1-(AQ151/O151)&gt;0),1-(AQ151/O151),"")</f>
        <v>0.8303571428571429</v>
      </c>
      <c r="AY151" s="41">
        <f>IF(AND(AF151&lt;&gt;"",1-(AF151/O151)&gt;0),1-(AF151/O151),"")</f>
        <v>0.9107142857142857</v>
      </c>
      <c r="AZ151" s="136" t="str">
        <f>IF(Q151="","",IF(Q151&lt;2.5,"Alc. Bruta &lt; 2,5 mg/L",IF(Q151&lt;5,"2,5 ≤ Alc. Bruta &lt; 5,0 mg/L",IF(Q151&lt;7.5,"5,0 ≤ Alc. Bruta &lt; 7,5 mg/L",IF(Q151&lt;10,"7,5 ≤ Alc. Bruta &lt; 10,0 mg/L",IF(Q151&lt;15,"10,0 ≤ Alca. Bruta &lt; 15,0 mg/L","Alc. Bruta &gt; 15 mg/L"))))))</f>
        <v>5,0 ≤ Alc. Bruta &lt; 7,5 mg/L</v>
      </c>
      <c r="BA151" s="136" t="str">
        <f>IF(P151="","",IF(P151&lt;5,"Cor &lt;5 uC",IF(P151&lt;10,"5 ≤ Cor &lt; 10 uC",IF(P151&lt;15,"10 ≤ Cor &lt;15 uC",IF(P151&lt;30,"15 ≤ Cor &lt; 30 uC",IF(P151&lt;50,"30 ≤ Cor &lt; 50 uC","Cor &gt; 50 uC"))))))</f>
        <v>5 ≤ Cor &lt; 10 uC</v>
      </c>
      <c r="BB151" s="137" t="str">
        <f>IF(O151="","",IF(O151&lt;2.5,"Turbidez &lt; 2,5 uT",IF(O151&lt;5,"2,5 ≤ Turb &lt; 5,0 uT",IF(O151&lt;7.5,"5,0 ≤ Turb &lt; 7,5 uT",IF(O151&lt;10,"7,5 ≤ Turb &lt; 10,0 uT",IF(O151&lt;15,"10,0 ≤ Turb &lt; 15,0 uT","Turb &gt; 15 uT"))))))</f>
        <v>Turbidez &lt; 2,5 uT</v>
      </c>
      <c r="BC151" s="138" t="str">
        <f>IF(AND(C151&gt;D151,D151&gt;E151),"TOR &gt; SM &gt; BNN",IF(AND(C151&gt;E151,E151&gt;D151),"TOR &gt; BNN &gt; SM",IF(AND(D151&gt;C151,C151&gt;E151),"SM &gt; TOR &gt; BNN",IF(AND(D151&gt;E151,E151&gt;C151),"SM &gt; BNN &gt; TOR",IF(AND(C151=D151,D151=E151),"TOR = SM = BNN","Comb. diferentes")))))</f>
        <v>SM &gt; TOR &gt; BNN</v>
      </c>
      <c r="BD151" s="137" t="str">
        <f>IF(OR(AE151="",AQ151="-"),"",IF(AE151&lt;=0.25,"Tipo 1 (≤0,25) uT",IF(AE151&lt;=0.5,"Tipo 2 (0,25-0,50) uT",IF(AE151&lt;=0.75,"Tipo 3 (0,50-0,75) uT","Tipo 4 (&gt;0,75) uT"))))</f>
        <v>Tipo 1 (≤0,25) uT</v>
      </c>
      <c r="BE151" s="137" t="str">
        <f t="shared" si="14"/>
        <v>Tipo 1 (≤0,25) uT</v>
      </c>
      <c r="BF151" s="137" t="str">
        <f>IF(OR(AF151="",AQ151="-"),"",IF(AF151&lt;=0.25,"Tipo 1 (≤0,25) uT",IF(AF151&lt;=0.5,"Tipo 2 (0,25-0,50) uT",IF(AF151&lt;=0.75,"Tipo 3 (0,50-0,75) uT","Tipo 4 (&gt;0,75) uT"))))</f>
        <v>Tipo 1 (≤0,25) uT</v>
      </c>
      <c r="BG151" s="137" t="str">
        <f t="shared" si="15"/>
        <v>Tipo 1 (≤0,25) uT</v>
      </c>
      <c r="BH151" s="137" t="str">
        <f>IF(OR(R151="",R151="-"),"",IF(R151&lt;=0.25,"Tipo 1 (≤0,25) uT",IF(R151&lt;=0.5,"Tipo 2 (0,25-0,50) uT",IF(R151&lt;=0.75,"Tipo 3 (0,50-0,75) uT","Tipo 4 (&gt;0,75) uT"))))</f>
        <v>Tipo 1 (≤0,25) uT</v>
      </c>
    </row>
    <row r="152" spans="1:60" x14ac:dyDescent="0.3">
      <c r="A152" s="74">
        <v>46275</v>
      </c>
      <c r="B152" s="139">
        <v>0.39583333333333331</v>
      </c>
      <c r="C152" s="116">
        <v>357</v>
      </c>
      <c r="D152" s="116">
        <v>1654</v>
      </c>
      <c r="E152" s="116">
        <v>0</v>
      </c>
      <c r="F152" s="116">
        <v>2236</v>
      </c>
      <c r="G152" s="144" t="s">
        <v>100</v>
      </c>
      <c r="H152" s="122">
        <v>9.6999999999999993</v>
      </c>
      <c r="I152" s="116">
        <v>-20</v>
      </c>
      <c r="J152" s="10">
        <v>90</v>
      </c>
      <c r="K152" s="116">
        <v>90</v>
      </c>
      <c r="L152" s="116">
        <v>90</v>
      </c>
      <c r="M152" s="122">
        <v>25.1</v>
      </c>
      <c r="N152" s="122">
        <v>6.3</v>
      </c>
      <c r="O152" s="79">
        <v>1.08</v>
      </c>
      <c r="P152" s="116">
        <v>7</v>
      </c>
      <c r="Q152" s="122">
        <v>5.8</v>
      </c>
      <c r="R152" s="10">
        <v>0.08</v>
      </c>
      <c r="S152" s="79">
        <v>22.36</v>
      </c>
      <c r="T152" s="79">
        <v>0.88</v>
      </c>
      <c r="U152" s="79">
        <v>0.7</v>
      </c>
      <c r="V152" s="85">
        <f t="shared" si="16"/>
        <v>2232.2733333333335</v>
      </c>
      <c r="W152" s="85">
        <f t="shared" si="17"/>
        <v>1425.4875648</v>
      </c>
      <c r="X152" s="85">
        <f t="shared" si="18"/>
        <v>0.63858110183639394</v>
      </c>
      <c r="Y152" s="116">
        <v>3</v>
      </c>
      <c r="Z152" s="116">
        <v>3</v>
      </c>
      <c r="AA152" s="122">
        <v>6.4</v>
      </c>
      <c r="AB152" s="116">
        <v>18</v>
      </c>
      <c r="AC152" s="122">
        <v>5.7</v>
      </c>
      <c r="AD152" s="122">
        <v>3.8</v>
      </c>
      <c r="AE152" s="79">
        <v>0.13</v>
      </c>
      <c r="AF152" s="79">
        <v>0.12</v>
      </c>
      <c r="AG152" s="85">
        <f>(O152+0.3*H152+2)*(F152/2/AK152)</f>
        <v>1674.2050000000002</v>
      </c>
      <c r="AH152" s="85">
        <f t="shared" si="19"/>
        <v>1708.2758263999997</v>
      </c>
      <c r="AI152" s="85">
        <f t="shared" si="20"/>
        <v>1.0203504507512517</v>
      </c>
      <c r="AJ152" s="116">
        <v>3</v>
      </c>
      <c r="AK152" s="116">
        <v>4</v>
      </c>
      <c r="AL152" s="122">
        <v>6.3</v>
      </c>
      <c r="AM152" s="116">
        <v>22</v>
      </c>
      <c r="AN152" s="122">
        <v>5.6</v>
      </c>
      <c r="AO152" s="122">
        <v>3.5</v>
      </c>
      <c r="AP152" s="79">
        <v>0.14000000000000001</v>
      </c>
      <c r="AQ152" s="79">
        <v>0.19</v>
      </c>
      <c r="AR152" s="132">
        <f>SUM(C152:E152)</f>
        <v>2011</v>
      </c>
      <c r="AS152" s="134">
        <f>C152/AR152</f>
        <v>0.1775236200895077</v>
      </c>
      <c r="AT152" s="134">
        <f>D152/AR152</f>
        <v>0.82247637991049227</v>
      </c>
      <c r="AU152" s="134">
        <f>E152/AR152</f>
        <v>0</v>
      </c>
      <c r="AV152" s="151">
        <f>IF(AND(F152&lt;&gt;"",Z152&lt;&gt;""),AB152/(F152/2/Z152),"")</f>
        <v>4.8300536672629693E-2</v>
      </c>
      <c r="AW152" s="151">
        <f>IF(AND(F152&lt;&gt;"",AK152&lt;&gt;""),AM152/(F152/2/AK152),"")</f>
        <v>7.8711985688729877E-2</v>
      </c>
      <c r="AX152" s="41">
        <f>IF(AND(AQ152&lt;&gt;"",1-(AQ152/O152)&gt;0),1-(AQ152/O152),"")</f>
        <v>0.82407407407407407</v>
      </c>
      <c r="AY152" s="41">
        <f>IF(AND(AF152&lt;&gt;"",1-(AF152/O152)&gt;0),1-(AF152/O152),"")</f>
        <v>0.88888888888888884</v>
      </c>
      <c r="AZ152" s="136" t="str">
        <f>IF(Q152="","",IF(Q152&lt;2.5,"Alc. Bruta &lt; 2,5 mg/L",IF(Q152&lt;5,"2,5 ≤ Alc. Bruta &lt; 5,0 mg/L",IF(Q152&lt;7.5,"5,0 ≤ Alc. Bruta &lt; 7,5 mg/L",IF(Q152&lt;10,"7,5 ≤ Alc. Bruta &lt; 10,0 mg/L",IF(Q152&lt;15,"10,0 ≤ Alca. Bruta &lt; 15,0 mg/L","Alc. Bruta &gt; 15 mg/L"))))))</f>
        <v>5,0 ≤ Alc. Bruta &lt; 7,5 mg/L</v>
      </c>
      <c r="BA152" s="136" t="str">
        <f>IF(P152="","",IF(P152&lt;5,"Cor &lt;5 uC",IF(P152&lt;10,"5 ≤ Cor &lt; 10 uC",IF(P152&lt;15,"10 ≤ Cor &lt;15 uC",IF(P152&lt;30,"15 ≤ Cor &lt; 30 uC",IF(P152&lt;50,"30 ≤ Cor &lt; 50 uC","Cor &gt; 50 uC"))))))</f>
        <v>5 ≤ Cor &lt; 10 uC</v>
      </c>
      <c r="BB152" s="137" t="str">
        <f>IF(O152="","",IF(O152&lt;2.5,"Turbidez &lt; 2,5 uT",IF(O152&lt;5,"2,5 ≤ Turb &lt; 5,0 uT",IF(O152&lt;7.5,"5,0 ≤ Turb &lt; 7,5 uT",IF(O152&lt;10,"7,5 ≤ Turb &lt; 10,0 uT",IF(O152&lt;15,"10,0 ≤ Turb &lt; 15,0 uT","Turb &gt; 15 uT"))))))</f>
        <v>Turbidez &lt; 2,5 uT</v>
      </c>
      <c r="BC152" s="138" t="str">
        <f>IF(AND(C152&gt;D152,D152&gt;E152),"TOR &gt; SM &gt; BNN",IF(AND(C152&gt;E152,E152&gt;D152),"TOR &gt; BNN &gt; SM",IF(AND(D152&gt;C152,C152&gt;E152),"SM &gt; TOR &gt; BNN",IF(AND(D152&gt;E152,E152&gt;C152),"SM &gt; BNN &gt; TOR",IF(AND(C152=D152,D152=E152),"TOR = SM = BNN","Comb. diferentes")))))</f>
        <v>SM &gt; TOR &gt; BNN</v>
      </c>
      <c r="BD152" s="137" t="str">
        <f>IF(OR(AE152="",AQ152="-"),"",IF(AE152&lt;=0.25,"Tipo 1 (≤0,25) uT",IF(AE152&lt;=0.5,"Tipo 2 (0,25-0,50) uT",IF(AE152&lt;=0.75,"Tipo 3 (0,50-0,75) uT","Tipo 4 (&gt;0,75) uT"))))</f>
        <v>Tipo 1 (≤0,25) uT</v>
      </c>
      <c r="BE152" s="137" t="str">
        <f t="shared" si="14"/>
        <v>Tipo 1 (≤0,25) uT</v>
      </c>
      <c r="BF152" s="137" t="str">
        <f>IF(OR(AF152="",AQ152="-"),"",IF(AF152&lt;=0.25,"Tipo 1 (≤0,25) uT",IF(AF152&lt;=0.5,"Tipo 2 (0,25-0,50) uT",IF(AF152&lt;=0.75,"Tipo 3 (0,50-0,75) uT","Tipo 4 (&gt;0,75) uT"))))</f>
        <v>Tipo 1 (≤0,25) uT</v>
      </c>
      <c r="BG152" s="137" t="str">
        <f t="shared" si="15"/>
        <v>Tipo 1 (≤0,25) uT</v>
      </c>
      <c r="BH152" s="137" t="str">
        <f>IF(OR(R152="",R152="-"),"",IF(R152&lt;=0.25,"Tipo 1 (≤0,25) uT",IF(R152&lt;=0.5,"Tipo 2 (0,25-0,50) uT",IF(R152&lt;=0.75,"Tipo 3 (0,50-0,75) uT","Tipo 4 (&gt;0,75) uT"))))</f>
        <v>Tipo 1 (≤0,25) uT</v>
      </c>
    </row>
    <row r="153" spans="1:60" x14ac:dyDescent="0.3">
      <c r="A153" s="74">
        <v>46275</v>
      </c>
      <c r="B153" s="139">
        <v>0.47916666666666669</v>
      </c>
      <c r="C153" s="116">
        <v>359</v>
      </c>
      <c r="D153" s="116">
        <v>1702</v>
      </c>
      <c r="E153" s="116">
        <v>0</v>
      </c>
      <c r="F153" s="116">
        <v>2184</v>
      </c>
      <c r="G153" s="144" t="s">
        <v>100</v>
      </c>
      <c r="H153" s="122">
        <v>9.7100000000000009</v>
      </c>
      <c r="I153" s="116">
        <v>-22</v>
      </c>
      <c r="J153" s="10">
        <v>90</v>
      </c>
      <c r="K153" s="116">
        <v>90</v>
      </c>
      <c r="L153" s="116">
        <v>90</v>
      </c>
      <c r="M153" s="122">
        <v>26.2</v>
      </c>
      <c r="N153" s="122">
        <v>6.2</v>
      </c>
      <c r="O153" s="79">
        <v>0.91</v>
      </c>
      <c r="P153" s="116">
        <v>6</v>
      </c>
      <c r="Q153" s="122">
        <v>6.1</v>
      </c>
      <c r="R153" s="10">
        <v>0.09</v>
      </c>
      <c r="S153" s="79">
        <v>22.36</v>
      </c>
      <c r="T153" s="79">
        <v>0.88</v>
      </c>
      <c r="U153" s="79">
        <v>0.7</v>
      </c>
      <c r="V153" s="85">
        <f t="shared" si="16"/>
        <v>2119.5720000000001</v>
      </c>
      <c r="W153" s="85">
        <f t="shared" si="17"/>
        <v>1425.4875648</v>
      </c>
      <c r="X153" s="85">
        <f t="shared" si="18"/>
        <v>0.67253557076617354</v>
      </c>
      <c r="Y153" s="116">
        <v>3</v>
      </c>
      <c r="Z153" s="116">
        <v>3</v>
      </c>
      <c r="AA153" s="122">
        <v>6.4</v>
      </c>
      <c r="AB153" s="116">
        <v>18</v>
      </c>
      <c r="AC153" s="122">
        <v>5.7</v>
      </c>
      <c r="AD153" s="122">
        <v>4</v>
      </c>
      <c r="AE153" s="79">
        <v>0.13</v>
      </c>
      <c r="AF153" s="79">
        <v>0.16</v>
      </c>
      <c r="AG153" s="85">
        <f>(O153+0.3*H153+2)*(F153/2/AK153)</f>
        <v>1589.6790000000001</v>
      </c>
      <c r="AH153" s="85">
        <f t="shared" si="19"/>
        <v>1708.2758263999997</v>
      </c>
      <c r="AI153" s="85">
        <f t="shared" si="20"/>
        <v>1.0746042606085879</v>
      </c>
      <c r="AJ153" s="116">
        <v>3</v>
      </c>
      <c r="AK153" s="116">
        <v>4</v>
      </c>
      <c r="AL153" s="122">
        <v>6.3</v>
      </c>
      <c r="AM153" s="116">
        <v>22</v>
      </c>
      <c r="AN153" s="122">
        <v>5.6</v>
      </c>
      <c r="AO153" s="122">
        <v>4.0999999999999996</v>
      </c>
      <c r="AP153" s="79">
        <v>0.12</v>
      </c>
      <c r="AQ153" s="79">
        <v>0.19</v>
      </c>
      <c r="AR153" s="132">
        <f>SUM(C153:E153)</f>
        <v>2061</v>
      </c>
      <c r="AS153" s="134">
        <f>C153/AR153</f>
        <v>0.17418728772440562</v>
      </c>
      <c r="AT153" s="134">
        <f>D153/AR153</f>
        <v>0.82581271227559438</v>
      </c>
      <c r="AU153" s="134">
        <f>E153/AR153</f>
        <v>0</v>
      </c>
      <c r="AV153" s="151">
        <f>IF(AND(F153&lt;&gt;"",Z153&lt;&gt;""),AB153/(F153/2/Z153),"")</f>
        <v>4.9450549450549448E-2</v>
      </c>
      <c r="AW153" s="151">
        <f>IF(AND(F153&lt;&gt;"",AK153&lt;&gt;""),AM153/(F153/2/AK153),"")</f>
        <v>8.0586080586080591E-2</v>
      </c>
      <c r="AX153" s="41">
        <f>IF(AND(AQ153&lt;&gt;"",1-(AQ153/O153)&gt;0),1-(AQ153/O153),"")</f>
        <v>0.79120879120879117</v>
      </c>
      <c r="AY153" s="41">
        <f>IF(AND(AF153&lt;&gt;"",1-(AF153/O153)&gt;0),1-(AF153/O153),"")</f>
        <v>0.82417582417582413</v>
      </c>
      <c r="AZ153" s="136" t="str">
        <f>IF(Q153="","",IF(Q153&lt;2.5,"Alc. Bruta &lt; 2,5 mg/L",IF(Q153&lt;5,"2,5 ≤ Alc. Bruta &lt; 5,0 mg/L",IF(Q153&lt;7.5,"5,0 ≤ Alc. Bruta &lt; 7,5 mg/L",IF(Q153&lt;10,"7,5 ≤ Alc. Bruta &lt; 10,0 mg/L",IF(Q153&lt;15,"10,0 ≤ Alca. Bruta &lt; 15,0 mg/L","Alc. Bruta &gt; 15 mg/L"))))))</f>
        <v>5,0 ≤ Alc. Bruta &lt; 7,5 mg/L</v>
      </c>
      <c r="BA153" s="136" t="str">
        <f>IF(P153="","",IF(P153&lt;5,"Cor &lt;5 uC",IF(P153&lt;10,"5 ≤ Cor &lt; 10 uC",IF(P153&lt;15,"10 ≤ Cor &lt;15 uC",IF(P153&lt;30,"15 ≤ Cor &lt; 30 uC",IF(P153&lt;50,"30 ≤ Cor &lt; 50 uC","Cor &gt; 50 uC"))))))</f>
        <v>5 ≤ Cor &lt; 10 uC</v>
      </c>
      <c r="BB153" s="137" t="str">
        <f>IF(O153="","",IF(O153&lt;2.5,"Turbidez &lt; 2,5 uT",IF(O153&lt;5,"2,5 ≤ Turb &lt; 5,0 uT",IF(O153&lt;7.5,"5,0 ≤ Turb &lt; 7,5 uT",IF(O153&lt;10,"7,5 ≤ Turb &lt; 10,0 uT",IF(O153&lt;15,"10,0 ≤ Turb &lt; 15,0 uT","Turb &gt; 15 uT"))))))</f>
        <v>Turbidez &lt; 2,5 uT</v>
      </c>
      <c r="BC153" s="138" t="str">
        <f>IF(AND(C153&gt;D153,D153&gt;E153),"TOR &gt; SM &gt; BNN",IF(AND(C153&gt;E153,E153&gt;D153),"TOR &gt; BNN &gt; SM",IF(AND(D153&gt;C153,C153&gt;E153),"SM &gt; TOR &gt; BNN",IF(AND(D153&gt;E153,E153&gt;C153),"SM &gt; BNN &gt; TOR",IF(AND(C153=D153,D153=E153),"TOR = SM = BNN","Comb. diferentes")))))</f>
        <v>SM &gt; TOR &gt; BNN</v>
      </c>
      <c r="BD153" s="137" t="str">
        <f>IF(OR(AE153="",AQ153="-"),"",IF(AE153&lt;=0.25,"Tipo 1 (≤0,25) uT",IF(AE153&lt;=0.5,"Tipo 2 (0,25-0,50) uT",IF(AE153&lt;=0.75,"Tipo 3 (0,50-0,75) uT","Tipo 4 (&gt;0,75) uT"))))</f>
        <v>Tipo 1 (≤0,25) uT</v>
      </c>
      <c r="BE153" s="137" t="str">
        <f t="shared" si="14"/>
        <v>Tipo 1 (≤0,25) uT</v>
      </c>
      <c r="BF153" s="137" t="str">
        <f>IF(OR(AF153="",AQ153="-"),"",IF(AF153&lt;=0.25,"Tipo 1 (≤0,25) uT",IF(AF153&lt;=0.5,"Tipo 2 (0,25-0,50) uT",IF(AF153&lt;=0.75,"Tipo 3 (0,50-0,75) uT","Tipo 4 (&gt;0,75) uT"))))</f>
        <v>Tipo 1 (≤0,25) uT</v>
      </c>
      <c r="BG153" s="137" t="str">
        <f t="shared" si="15"/>
        <v>Tipo 1 (≤0,25) uT</v>
      </c>
      <c r="BH153" s="137" t="str">
        <f>IF(OR(R153="",R153="-"),"",IF(R153&lt;=0.25,"Tipo 1 (≤0,25) uT",IF(R153&lt;=0.5,"Tipo 2 (0,25-0,50) uT",IF(R153&lt;=0.75,"Tipo 3 (0,50-0,75) uT","Tipo 4 (&gt;0,75) uT"))))</f>
        <v>Tipo 1 (≤0,25) uT</v>
      </c>
    </row>
    <row r="154" spans="1:60" x14ac:dyDescent="0.3">
      <c r="A154" s="74">
        <v>46275</v>
      </c>
      <c r="B154" s="139">
        <v>0.64583333333333337</v>
      </c>
      <c r="C154" s="116">
        <v>347</v>
      </c>
      <c r="D154" s="116">
        <v>1701</v>
      </c>
      <c r="E154" s="116">
        <v>250</v>
      </c>
      <c r="F154" s="116">
        <v>2438</v>
      </c>
      <c r="G154" s="144" t="s">
        <v>100</v>
      </c>
      <c r="H154" s="122">
        <v>9.6999999999999993</v>
      </c>
      <c r="I154" s="116">
        <v>-21</v>
      </c>
      <c r="J154" s="10">
        <v>90</v>
      </c>
      <c r="K154" s="116">
        <v>90</v>
      </c>
      <c r="L154" s="116">
        <v>90</v>
      </c>
      <c r="M154" s="122">
        <v>25.6</v>
      </c>
      <c r="N154" s="122">
        <v>6.3</v>
      </c>
      <c r="O154" s="79">
        <v>1.78</v>
      </c>
      <c r="P154" s="116">
        <v>10</v>
      </c>
      <c r="Q154" s="122">
        <v>7.7</v>
      </c>
      <c r="R154" s="10">
        <v>0.12</v>
      </c>
      <c r="S154" s="79">
        <v>22.36</v>
      </c>
      <c r="T154" s="79">
        <v>0.88</v>
      </c>
      <c r="U154" s="79">
        <v>0.7</v>
      </c>
      <c r="V154" s="85">
        <f t="shared" si="16"/>
        <v>2038.7774999999999</v>
      </c>
      <c r="W154" s="85">
        <f t="shared" si="17"/>
        <v>1491.1839279999999</v>
      </c>
      <c r="X154" s="85">
        <f t="shared" si="18"/>
        <v>0.73141082241686495</v>
      </c>
      <c r="Y154" s="116">
        <v>3</v>
      </c>
      <c r="Z154" s="116">
        <v>4</v>
      </c>
      <c r="AA154" s="122">
        <v>6.1</v>
      </c>
      <c r="AB154" s="116">
        <v>20</v>
      </c>
      <c r="AC154" s="122">
        <v>6</v>
      </c>
      <c r="AD154" s="122">
        <v>6</v>
      </c>
      <c r="AE154" s="79">
        <v>0.19</v>
      </c>
      <c r="AF154" s="79">
        <v>0.12</v>
      </c>
      <c r="AG154" s="85">
        <f>(O154+0.3*H154+2)*(F154/2/AK154)</f>
        <v>2038.7774999999999</v>
      </c>
      <c r="AH154" s="85">
        <f t="shared" si="19"/>
        <v>1708.2758263999997</v>
      </c>
      <c r="AI154" s="85">
        <f t="shared" si="20"/>
        <v>0.83789223022129666</v>
      </c>
      <c r="AJ154" s="116">
        <v>3</v>
      </c>
      <c r="AK154" s="116">
        <v>4</v>
      </c>
      <c r="AL154" s="122">
        <v>6.3</v>
      </c>
      <c r="AM154" s="116">
        <v>22</v>
      </c>
      <c r="AN154" s="122">
        <v>5.9</v>
      </c>
      <c r="AO154" s="122">
        <v>4.5999999999999996</v>
      </c>
      <c r="AP154" s="79">
        <v>0.12</v>
      </c>
      <c r="AQ154" s="79">
        <v>0.18</v>
      </c>
      <c r="AR154" s="132">
        <f>SUM(C154:E154)</f>
        <v>2298</v>
      </c>
      <c r="AS154" s="134">
        <f>C154/AR154</f>
        <v>0.15100087032201914</v>
      </c>
      <c r="AT154" s="134">
        <f>D154/AR154</f>
        <v>0.74020887728459528</v>
      </c>
      <c r="AU154" s="134">
        <f>E154/AR154</f>
        <v>0.10879025239338555</v>
      </c>
      <c r="AV154" s="151">
        <f>IF(AND(F154&lt;&gt;"",Z154&lt;&gt;""),AB154/(F154/2/Z154),"")</f>
        <v>6.5627563576702214E-2</v>
      </c>
      <c r="AW154" s="151">
        <f>IF(AND(F154&lt;&gt;"",AK154&lt;&gt;""),AM154/(F154/2/AK154),"")</f>
        <v>7.2190319934372443E-2</v>
      </c>
      <c r="AX154" s="41">
        <f>IF(AND(AQ154&lt;&gt;"",1-(AQ154/O154)&gt;0),1-(AQ154/O154),"")</f>
        <v>0.898876404494382</v>
      </c>
      <c r="AY154" s="41">
        <f>IF(AND(AF154&lt;&gt;"",1-(AF154/O154)&gt;0),1-(AF154/O154),"")</f>
        <v>0.93258426966292141</v>
      </c>
      <c r="AZ154" s="136" t="str">
        <f>IF(Q154="","",IF(Q154&lt;2.5,"Alc. Bruta &lt; 2,5 mg/L",IF(Q154&lt;5,"2,5 ≤ Alc. Bruta &lt; 5,0 mg/L",IF(Q154&lt;7.5,"5,0 ≤ Alc. Bruta &lt; 7,5 mg/L",IF(Q154&lt;10,"7,5 ≤ Alc. Bruta &lt; 10,0 mg/L",IF(Q154&lt;15,"10,0 ≤ Alca. Bruta &lt; 15,0 mg/L","Alc. Bruta &gt; 15 mg/L"))))))</f>
        <v>7,5 ≤ Alc. Bruta &lt; 10,0 mg/L</v>
      </c>
      <c r="BA154" s="136" t="str">
        <f>IF(P154="","",IF(P154&lt;5,"Cor &lt;5 uC",IF(P154&lt;10,"5 ≤ Cor &lt; 10 uC",IF(P154&lt;15,"10 ≤ Cor &lt;15 uC",IF(P154&lt;30,"15 ≤ Cor &lt; 30 uC",IF(P154&lt;50,"30 ≤ Cor &lt; 50 uC","Cor &gt; 50 uC"))))))</f>
        <v>10 ≤ Cor &lt;15 uC</v>
      </c>
      <c r="BB154" s="137" t="str">
        <f>IF(O154="","",IF(O154&lt;2.5,"Turbidez &lt; 2,5 uT",IF(O154&lt;5,"2,5 ≤ Turb &lt; 5,0 uT",IF(O154&lt;7.5,"5,0 ≤ Turb &lt; 7,5 uT",IF(O154&lt;10,"7,5 ≤ Turb &lt; 10,0 uT",IF(O154&lt;15,"10,0 ≤ Turb &lt; 15,0 uT","Turb &gt; 15 uT"))))))</f>
        <v>Turbidez &lt; 2,5 uT</v>
      </c>
      <c r="BC154" s="138" t="str">
        <f>IF(AND(C154&gt;D154,D154&gt;E154),"TOR &gt; SM &gt; BNN",IF(AND(C154&gt;E154,E154&gt;D154),"TOR &gt; BNN &gt; SM",IF(AND(D154&gt;C154,C154&gt;E154),"SM &gt; TOR &gt; BNN",IF(AND(D154&gt;E154,E154&gt;C154),"SM &gt; BNN &gt; TOR",IF(AND(C154=D154,D154=E154),"TOR = SM = BNN","Comb. diferentes")))))</f>
        <v>SM &gt; TOR &gt; BNN</v>
      </c>
      <c r="BD154" s="137" t="str">
        <f>IF(OR(AE154="",AQ154="-"),"",IF(AE154&lt;=0.25,"Tipo 1 (≤0,25) uT",IF(AE154&lt;=0.5,"Tipo 2 (0,25-0,50) uT",IF(AE154&lt;=0.75,"Tipo 3 (0,50-0,75) uT","Tipo 4 (&gt;0,75) uT"))))</f>
        <v>Tipo 1 (≤0,25) uT</v>
      </c>
      <c r="BE154" s="137" t="str">
        <f t="shared" si="14"/>
        <v>Tipo 1 (≤0,25) uT</v>
      </c>
      <c r="BF154" s="137" t="str">
        <f>IF(OR(AF154="",AQ154="-"),"",IF(AF154&lt;=0.25,"Tipo 1 (≤0,25) uT",IF(AF154&lt;=0.5,"Tipo 2 (0,25-0,50) uT",IF(AF154&lt;=0.75,"Tipo 3 (0,50-0,75) uT","Tipo 4 (&gt;0,75) uT"))))</f>
        <v>Tipo 1 (≤0,25) uT</v>
      </c>
      <c r="BG154" s="137" t="str">
        <f t="shared" si="15"/>
        <v>Tipo 1 (≤0,25) uT</v>
      </c>
      <c r="BH154" s="137" t="str">
        <f>IF(OR(R154="",R154="-"),"",IF(R154&lt;=0.25,"Tipo 1 (≤0,25) uT",IF(R154&lt;=0.5,"Tipo 2 (0,25-0,50) uT",IF(R154&lt;=0.75,"Tipo 3 (0,50-0,75) uT","Tipo 4 (&gt;0,75) uT"))))</f>
        <v>Tipo 1 (≤0,25) uT</v>
      </c>
    </row>
    <row r="155" spans="1:60" x14ac:dyDescent="0.3">
      <c r="A155" s="74">
        <v>46275</v>
      </c>
      <c r="B155" s="139">
        <v>0.72916666666666663</v>
      </c>
      <c r="C155" s="116">
        <v>337</v>
      </c>
      <c r="D155" s="116">
        <v>1777</v>
      </c>
      <c r="E155" s="116">
        <v>250</v>
      </c>
      <c r="F155" s="116">
        <v>2382</v>
      </c>
      <c r="G155" s="144" t="s">
        <v>100</v>
      </c>
      <c r="H155" s="122">
        <v>9.6999999999999993</v>
      </c>
      <c r="I155" s="116">
        <v>-18</v>
      </c>
      <c r="J155" s="10">
        <v>90</v>
      </c>
      <c r="K155" s="116">
        <v>90</v>
      </c>
      <c r="L155" s="116">
        <v>90</v>
      </c>
      <c r="M155" s="122">
        <v>25.5</v>
      </c>
      <c r="N155" s="122">
        <v>6.2</v>
      </c>
      <c r="O155" s="79">
        <v>1.42</v>
      </c>
      <c r="P155" s="116">
        <v>10</v>
      </c>
      <c r="Q155" s="122">
        <v>7.8</v>
      </c>
      <c r="R155" s="10">
        <v>0.1</v>
      </c>
      <c r="S155" s="79">
        <v>22.36</v>
      </c>
      <c r="T155" s="79">
        <v>0.88</v>
      </c>
      <c r="U155" s="79">
        <v>0.7</v>
      </c>
      <c r="V155" s="85">
        <f t="shared" si="16"/>
        <v>1884.7574999999999</v>
      </c>
      <c r="W155" s="85">
        <f t="shared" si="17"/>
        <v>1491.1839279999999</v>
      </c>
      <c r="X155" s="85">
        <f t="shared" si="18"/>
        <v>0.79118079010164433</v>
      </c>
      <c r="Y155" s="116">
        <v>3</v>
      </c>
      <c r="Z155" s="116">
        <v>4</v>
      </c>
      <c r="AA155" s="122">
        <v>6.1</v>
      </c>
      <c r="AB155" s="116">
        <v>20</v>
      </c>
      <c r="AC155" s="122">
        <v>6</v>
      </c>
      <c r="AD155" s="122">
        <v>5.4</v>
      </c>
      <c r="AE155" s="79">
        <v>0.17</v>
      </c>
      <c r="AF155" s="79">
        <v>0.12</v>
      </c>
      <c r="AG155" s="85">
        <f>(O155+0.3*H155+2)*(F155/2/AK155)</f>
        <v>1884.7574999999999</v>
      </c>
      <c r="AH155" s="85">
        <f t="shared" si="19"/>
        <v>1708.2758263999997</v>
      </c>
      <c r="AI155" s="85">
        <f t="shared" si="20"/>
        <v>0.90636372392734865</v>
      </c>
      <c r="AJ155" s="116">
        <v>3</v>
      </c>
      <c r="AK155" s="116">
        <v>4</v>
      </c>
      <c r="AL155" s="122">
        <v>6.3</v>
      </c>
      <c r="AM155" s="116">
        <v>22</v>
      </c>
      <c r="AN155" s="122">
        <v>5.9</v>
      </c>
      <c r="AO155" s="122">
        <v>5.4</v>
      </c>
      <c r="AP155" s="79">
        <v>0.1</v>
      </c>
      <c r="AQ155" s="79">
        <v>0.21</v>
      </c>
      <c r="AR155" s="132">
        <f>SUM(C155:E155)</f>
        <v>2364</v>
      </c>
      <c r="AS155" s="134">
        <f>C155/AR155</f>
        <v>0.14255499153976312</v>
      </c>
      <c r="AT155" s="134">
        <f>D155/AR155</f>
        <v>0.75169204737732653</v>
      </c>
      <c r="AU155" s="134">
        <f>E155/AR155</f>
        <v>0.10575296108291032</v>
      </c>
      <c r="AV155" s="151">
        <f>IF(AND(F155&lt;&gt;"",Z155&lt;&gt;""),AB155/(F155/2/Z155),"")</f>
        <v>6.7170445004198151E-2</v>
      </c>
      <c r="AW155" s="151">
        <f>IF(AND(F155&lt;&gt;"",AK155&lt;&gt;""),AM155/(F155/2/AK155),"")</f>
        <v>7.3887489504617973E-2</v>
      </c>
      <c r="AX155" s="41">
        <f>IF(AND(AQ155&lt;&gt;"",1-(AQ155/O155)&gt;0),1-(AQ155/O155),"")</f>
        <v>0.852112676056338</v>
      </c>
      <c r="AY155" s="41">
        <f>IF(AND(AF155&lt;&gt;"",1-(AF155/O155)&gt;0),1-(AF155/O155),"")</f>
        <v>0.91549295774647887</v>
      </c>
      <c r="AZ155" s="136" t="str">
        <f>IF(Q155="","",IF(Q155&lt;2.5,"Alc. Bruta &lt; 2,5 mg/L",IF(Q155&lt;5,"2,5 ≤ Alc. Bruta &lt; 5,0 mg/L",IF(Q155&lt;7.5,"5,0 ≤ Alc. Bruta &lt; 7,5 mg/L",IF(Q155&lt;10,"7,5 ≤ Alc. Bruta &lt; 10,0 mg/L",IF(Q155&lt;15,"10,0 ≤ Alca. Bruta &lt; 15,0 mg/L","Alc. Bruta &gt; 15 mg/L"))))))</f>
        <v>7,5 ≤ Alc. Bruta &lt; 10,0 mg/L</v>
      </c>
      <c r="BA155" s="136" t="str">
        <f>IF(P155="","",IF(P155&lt;5,"Cor &lt;5 uC",IF(P155&lt;10,"5 ≤ Cor &lt; 10 uC",IF(P155&lt;15,"10 ≤ Cor &lt;15 uC",IF(P155&lt;30,"15 ≤ Cor &lt; 30 uC",IF(P155&lt;50,"30 ≤ Cor &lt; 50 uC","Cor &gt; 50 uC"))))))</f>
        <v>10 ≤ Cor &lt;15 uC</v>
      </c>
      <c r="BB155" s="137" t="str">
        <f>IF(O155="","",IF(O155&lt;2.5,"Turbidez &lt; 2,5 uT",IF(O155&lt;5,"2,5 ≤ Turb &lt; 5,0 uT",IF(O155&lt;7.5,"5,0 ≤ Turb &lt; 7,5 uT",IF(O155&lt;10,"7,5 ≤ Turb &lt; 10,0 uT",IF(O155&lt;15,"10,0 ≤ Turb &lt; 15,0 uT","Turb &gt; 15 uT"))))))</f>
        <v>Turbidez &lt; 2,5 uT</v>
      </c>
      <c r="BC155" s="138" t="str">
        <f>IF(AND(C155&gt;D155,D155&gt;E155),"TOR &gt; SM &gt; BNN",IF(AND(C155&gt;E155,E155&gt;D155),"TOR &gt; BNN &gt; SM",IF(AND(D155&gt;C155,C155&gt;E155),"SM &gt; TOR &gt; BNN",IF(AND(D155&gt;E155,E155&gt;C155),"SM &gt; BNN &gt; TOR",IF(AND(C155=D155,D155=E155),"TOR = SM = BNN","Comb. diferentes")))))</f>
        <v>SM &gt; TOR &gt; BNN</v>
      </c>
      <c r="BD155" s="137" t="str">
        <f>IF(OR(AE155="",AQ155="-"),"",IF(AE155&lt;=0.25,"Tipo 1 (≤0,25) uT",IF(AE155&lt;=0.5,"Tipo 2 (0,25-0,50) uT",IF(AE155&lt;=0.75,"Tipo 3 (0,50-0,75) uT","Tipo 4 (&gt;0,75) uT"))))</f>
        <v>Tipo 1 (≤0,25) uT</v>
      </c>
      <c r="BE155" s="137" t="str">
        <f t="shared" si="14"/>
        <v>Tipo 1 (≤0,25) uT</v>
      </c>
      <c r="BF155" s="137" t="str">
        <f>IF(OR(AF155="",AQ155="-"),"",IF(AF155&lt;=0.25,"Tipo 1 (≤0,25) uT",IF(AF155&lt;=0.5,"Tipo 2 (0,25-0,50) uT",IF(AF155&lt;=0.75,"Tipo 3 (0,50-0,75) uT","Tipo 4 (&gt;0,75) uT"))))</f>
        <v>Tipo 1 (≤0,25) uT</v>
      </c>
      <c r="BG155" s="137" t="str">
        <f t="shared" si="15"/>
        <v>Tipo 1 (≤0,25) uT</v>
      </c>
      <c r="BH155" s="137" t="str">
        <f>IF(OR(R155="",R155="-"),"",IF(R155&lt;=0.25,"Tipo 1 (≤0,25) uT",IF(R155&lt;=0.5,"Tipo 2 (0,25-0,50) uT",IF(R155&lt;=0.75,"Tipo 3 (0,50-0,75) uT","Tipo 4 (&gt;0,75) uT"))))</f>
        <v>Tipo 1 (≤0,25) uT</v>
      </c>
    </row>
    <row r="156" spans="1:60" x14ac:dyDescent="0.3">
      <c r="A156" s="74">
        <v>46275</v>
      </c>
      <c r="B156" s="139">
        <v>0.8125</v>
      </c>
      <c r="C156" s="116">
        <v>324</v>
      </c>
      <c r="D156" s="116">
        <v>1672</v>
      </c>
      <c r="E156" s="116">
        <v>250</v>
      </c>
      <c r="F156" s="116">
        <v>2298</v>
      </c>
      <c r="G156" s="144" t="s">
        <v>100</v>
      </c>
      <c r="H156" s="122">
        <v>10</v>
      </c>
      <c r="I156" s="116">
        <v>-15</v>
      </c>
      <c r="J156" s="10">
        <v>90</v>
      </c>
      <c r="K156" s="116">
        <v>90</v>
      </c>
      <c r="L156" s="116">
        <v>90</v>
      </c>
      <c r="M156" s="122">
        <v>25.2</v>
      </c>
      <c r="N156" s="122">
        <v>6.3</v>
      </c>
      <c r="O156" s="79">
        <v>1.53</v>
      </c>
      <c r="P156" s="116">
        <v>11</v>
      </c>
      <c r="Q156" s="122">
        <v>8.6</v>
      </c>
      <c r="R156" s="10">
        <v>0.09</v>
      </c>
      <c r="S156" s="79">
        <v>22.36</v>
      </c>
      <c r="T156" s="79">
        <v>0.88</v>
      </c>
      <c r="U156" s="79">
        <v>0.7</v>
      </c>
      <c r="V156" s="85">
        <f t="shared" si="16"/>
        <v>1875.7425000000001</v>
      </c>
      <c r="W156" s="85">
        <f t="shared" si="17"/>
        <v>1491.1839279999999</v>
      </c>
      <c r="X156" s="85">
        <f t="shared" si="18"/>
        <v>0.79498328155383791</v>
      </c>
      <c r="Y156" s="116">
        <v>3</v>
      </c>
      <c r="Z156" s="116">
        <v>4</v>
      </c>
      <c r="AA156" s="122">
        <v>6.1</v>
      </c>
      <c r="AB156" s="116">
        <v>20</v>
      </c>
      <c r="AC156" s="122">
        <v>5.9</v>
      </c>
      <c r="AD156" s="122">
        <v>5.6</v>
      </c>
      <c r="AE156" s="79">
        <v>0.13</v>
      </c>
      <c r="AF156" s="79">
        <v>0.1</v>
      </c>
      <c r="AG156" s="85">
        <f>(O156+0.3*H156+2)*(F156/2/AK156)</f>
        <v>1875.7425000000001</v>
      </c>
      <c r="AH156" s="85">
        <f t="shared" si="19"/>
        <v>1708.2758263999997</v>
      </c>
      <c r="AI156" s="85">
        <f t="shared" si="20"/>
        <v>0.91071979570756623</v>
      </c>
      <c r="AJ156" s="116">
        <v>3</v>
      </c>
      <c r="AK156" s="116">
        <v>4</v>
      </c>
      <c r="AL156" s="122">
        <v>6.3</v>
      </c>
      <c r="AM156" s="116">
        <v>22</v>
      </c>
      <c r="AN156" s="122">
        <v>6</v>
      </c>
      <c r="AO156" s="122">
        <v>5.6</v>
      </c>
      <c r="AP156" s="79">
        <v>0.11</v>
      </c>
      <c r="AQ156" s="79">
        <v>0.18</v>
      </c>
      <c r="AR156" s="132">
        <f>SUM(C156:E156)</f>
        <v>2246</v>
      </c>
      <c r="AS156" s="134">
        <f>C156/AR156</f>
        <v>0.14425645592163847</v>
      </c>
      <c r="AT156" s="134">
        <f>D156/AR156</f>
        <v>0.74443455031166517</v>
      </c>
      <c r="AU156" s="134">
        <f>E156/AR156</f>
        <v>0.11130899376669635</v>
      </c>
      <c r="AV156" s="151">
        <f>IF(AND(F156&lt;&gt;"",Z156&lt;&gt;""),AB156/(F156/2/Z156),"")</f>
        <v>6.962576153176675E-2</v>
      </c>
      <c r="AW156" s="151">
        <f>IF(AND(F156&lt;&gt;"",AK156&lt;&gt;""),AM156/(F156/2/AK156),"")</f>
        <v>7.6588337684943428E-2</v>
      </c>
      <c r="AX156" s="41">
        <f>IF(AND(AQ156&lt;&gt;"",1-(AQ156/O156)&gt;0),1-(AQ156/O156),"")</f>
        <v>0.88235294117647056</v>
      </c>
      <c r="AY156" s="41">
        <f>IF(AND(AF156&lt;&gt;"",1-(AF156/O156)&gt;0),1-(AF156/O156),"")</f>
        <v>0.934640522875817</v>
      </c>
      <c r="AZ156" s="136" t="str">
        <f>IF(Q156="","",IF(Q156&lt;2.5,"Alc. Bruta &lt; 2,5 mg/L",IF(Q156&lt;5,"2,5 ≤ Alc. Bruta &lt; 5,0 mg/L",IF(Q156&lt;7.5,"5,0 ≤ Alc. Bruta &lt; 7,5 mg/L",IF(Q156&lt;10,"7,5 ≤ Alc. Bruta &lt; 10,0 mg/L",IF(Q156&lt;15,"10,0 ≤ Alca. Bruta &lt; 15,0 mg/L","Alc. Bruta &gt; 15 mg/L"))))))</f>
        <v>7,5 ≤ Alc. Bruta &lt; 10,0 mg/L</v>
      </c>
      <c r="BA156" s="136" t="str">
        <f>IF(P156="","",IF(P156&lt;5,"Cor &lt;5 uC",IF(P156&lt;10,"5 ≤ Cor &lt; 10 uC",IF(P156&lt;15,"10 ≤ Cor &lt;15 uC",IF(P156&lt;30,"15 ≤ Cor &lt; 30 uC",IF(P156&lt;50,"30 ≤ Cor &lt; 50 uC","Cor &gt; 50 uC"))))))</f>
        <v>10 ≤ Cor &lt;15 uC</v>
      </c>
      <c r="BB156" s="137" t="str">
        <f>IF(O156="","",IF(O156&lt;2.5,"Turbidez &lt; 2,5 uT",IF(O156&lt;5,"2,5 ≤ Turb &lt; 5,0 uT",IF(O156&lt;7.5,"5,0 ≤ Turb &lt; 7,5 uT",IF(O156&lt;10,"7,5 ≤ Turb &lt; 10,0 uT",IF(O156&lt;15,"10,0 ≤ Turb &lt; 15,0 uT","Turb &gt; 15 uT"))))))</f>
        <v>Turbidez &lt; 2,5 uT</v>
      </c>
      <c r="BC156" s="138" t="str">
        <f>IF(AND(C156&gt;D156,D156&gt;E156),"TOR &gt; SM &gt; BNN",IF(AND(C156&gt;E156,E156&gt;D156),"TOR &gt; BNN &gt; SM",IF(AND(D156&gt;C156,C156&gt;E156),"SM &gt; TOR &gt; BNN",IF(AND(D156&gt;E156,E156&gt;C156),"SM &gt; BNN &gt; TOR",IF(AND(C156=D156,D156=E156),"TOR = SM = BNN","Comb. diferentes")))))</f>
        <v>SM &gt; TOR &gt; BNN</v>
      </c>
      <c r="BD156" s="137" t="str">
        <f>IF(OR(AE156="",AQ156="-"),"",IF(AE156&lt;=0.25,"Tipo 1 (≤0,25) uT",IF(AE156&lt;=0.5,"Tipo 2 (0,25-0,50) uT",IF(AE156&lt;=0.75,"Tipo 3 (0,50-0,75) uT","Tipo 4 (&gt;0,75) uT"))))</f>
        <v>Tipo 1 (≤0,25) uT</v>
      </c>
      <c r="BE156" s="137" t="str">
        <f t="shared" si="14"/>
        <v>Tipo 1 (≤0,25) uT</v>
      </c>
      <c r="BF156" s="137" t="str">
        <f>IF(OR(AF156="",AQ156="-"),"",IF(AF156&lt;=0.25,"Tipo 1 (≤0,25) uT",IF(AF156&lt;=0.5,"Tipo 2 (0,25-0,50) uT",IF(AF156&lt;=0.75,"Tipo 3 (0,50-0,75) uT","Tipo 4 (&gt;0,75) uT"))))</f>
        <v>Tipo 1 (≤0,25) uT</v>
      </c>
      <c r="BG156" s="137" t="str">
        <f t="shared" si="15"/>
        <v>Tipo 1 (≤0,25) uT</v>
      </c>
      <c r="BH156" s="137" t="str">
        <f>IF(OR(R156="",R156="-"),"",IF(R156&lt;=0.25,"Tipo 1 (≤0,25) uT",IF(R156&lt;=0.5,"Tipo 2 (0,25-0,50) uT",IF(R156&lt;=0.75,"Tipo 3 (0,50-0,75) uT","Tipo 4 (&gt;0,75) uT"))))</f>
        <v>Tipo 1 (≤0,25) uT</v>
      </c>
    </row>
    <row r="157" spans="1:60" x14ac:dyDescent="0.3">
      <c r="A157" s="74">
        <v>46275</v>
      </c>
      <c r="B157" s="139">
        <v>0.89583333333333337</v>
      </c>
      <c r="C157" s="116">
        <v>320</v>
      </c>
      <c r="D157" s="116">
        <v>1660</v>
      </c>
      <c r="E157" s="116">
        <v>250</v>
      </c>
      <c r="F157" s="116">
        <v>2240</v>
      </c>
      <c r="G157" s="144" t="s">
        <v>100</v>
      </c>
      <c r="H157" s="122">
        <v>10</v>
      </c>
      <c r="I157" s="116">
        <v>-10</v>
      </c>
      <c r="J157" s="10">
        <v>90</v>
      </c>
      <c r="K157" s="116">
        <v>90</v>
      </c>
      <c r="L157" s="116">
        <v>90</v>
      </c>
      <c r="M157" s="122">
        <v>25.5</v>
      </c>
      <c r="N157" s="122">
        <v>6.1</v>
      </c>
      <c r="O157" s="79">
        <v>1.38</v>
      </c>
      <c r="P157" s="116">
        <v>8</v>
      </c>
      <c r="Q157" s="122">
        <v>8.1999999999999993</v>
      </c>
      <c r="R157" s="10">
        <v>0.09</v>
      </c>
      <c r="S157" s="79">
        <v>22.36</v>
      </c>
      <c r="T157" s="79">
        <v>0.88</v>
      </c>
      <c r="U157" s="79">
        <v>0.7</v>
      </c>
      <c r="V157" s="85">
        <f t="shared" si="16"/>
        <v>1786.3999999999999</v>
      </c>
      <c r="W157" s="85">
        <f t="shared" si="17"/>
        <v>1663.0688255999999</v>
      </c>
      <c r="X157" s="85">
        <f t="shared" si="18"/>
        <v>0.930961053291536</v>
      </c>
      <c r="Y157" s="116">
        <v>3</v>
      </c>
      <c r="Z157" s="116">
        <v>4</v>
      </c>
      <c r="AA157" s="122">
        <v>6.4</v>
      </c>
      <c r="AB157" s="116">
        <v>21</v>
      </c>
      <c r="AC157" s="122">
        <v>5.9</v>
      </c>
      <c r="AD157" s="122">
        <v>5.4</v>
      </c>
      <c r="AE157" s="79">
        <v>0.16</v>
      </c>
      <c r="AF157" s="79">
        <v>0.12</v>
      </c>
      <c r="AG157" s="85">
        <f>(O157+0.3*H157+2)*(F157/2/AK157)</f>
        <v>1786.3999999999999</v>
      </c>
      <c r="AH157" s="85">
        <f t="shared" si="19"/>
        <v>1821.4563327999999</v>
      </c>
      <c r="AI157" s="85">
        <f t="shared" si="20"/>
        <v>1.0196240107478729</v>
      </c>
      <c r="AJ157" s="116">
        <v>3</v>
      </c>
      <c r="AK157" s="116">
        <v>4</v>
      </c>
      <c r="AL157" s="122">
        <v>6.4</v>
      </c>
      <c r="AM157" s="116">
        <v>23</v>
      </c>
      <c r="AN157" s="122">
        <v>5.9</v>
      </c>
      <c r="AO157" s="122">
        <v>6.2</v>
      </c>
      <c r="AP157" s="79">
        <v>0.13</v>
      </c>
      <c r="AQ157" s="79">
        <v>0.17</v>
      </c>
      <c r="AR157" s="132">
        <f>SUM(C157:E157)</f>
        <v>2230</v>
      </c>
      <c r="AS157" s="134">
        <f>C157/AR157</f>
        <v>0.14349775784753363</v>
      </c>
      <c r="AT157" s="134">
        <f>D157/AR157</f>
        <v>0.74439461883408076</v>
      </c>
      <c r="AU157" s="134">
        <f>E157/AR157</f>
        <v>0.11210762331838565</v>
      </c>
      <c r="AV157" s="151">
        <f>IF(AND(F157&lt;&gt;"",Z157&lt;&gt;""),AB157/(F157/2/Z157),"")</f>
        <v>7.4999999999999997E-2</v>
      </c>
      <c r="AW157" s="151">
        <f>IF(AND(F157&lt;&gt;"",AK157&lt;&gt;""),AM157/(F157/2/AK157),"")</f>
        <v>8.2142857142857142E-2</v>
      </c>
      <c r="AX157" s="41">
        <f>IF(AND(AQ157&lt;&gt;"",1-(AQ157/O157)&gt;0),1-(AQ157/O157),"")</f>
        <v>0.87681159420289856</v>
      </c>
      <c r="AY157" s="41">
        <f>IF(AND(AF157&lt;&gt;"",1-(AF157/O157)&gt;0),1-(AF157/O157),"")</f>
        <v>0.91304347826086962</v>
      </c>
      <c r="AZ157" s="136" t="str">
        <f>IF(Q157="","",IF(Q157&lt;2.5,"Alc. Bruta &lt; 2,5 mg/L",IF(Q157&lt;5,"2,5 ≤ Alc. Bruta &lt; 5,0 mg/L",IF(Q157&lt;7.5,"5,0 ≤ Alc. Bruta &lt; 7,5 mg/L",IF(Q157&lt;10,"7,5 ≤ Alc. Bruta &lt; 10,0 mg/L",IF(Q157&lt;15,"10,0 ≤ Alca. Bruta &lt; 15,0 mg/L","Alc. Bruta &gt; 15 mg/L"))))))</f>
        <v>7,5 ≤ Alc. Bruta &lt; 10,0 mg/L</v>
      </c>
      <c r="BA157" s="136" t="str">
        <f>IF(P157="","",IF(P157&lt;5,"Cor &lt;5 uC",IF(P157&lt;10,"5 ≤ Cor &lt; 10 uC",IF(P157&lt;15,"10 ≤ Cor &lt;15 uC",IF(P157&lt;30,"15 ≤ Cor &lt; 30 uC",IF(P157&lt;50,"30 ≤ Cor &lt; 50 uC","Cor &gt; 50 uC"))))))</f>
        <v>5 ≤ Cor &lt; 10 uC</v>
      </c>
      <c r="BB157" s="137" t="str">
        <f>IF(O157="","",IF(O157&lt;2.5,"Turbidez &lt; 2,5 uT",IF(O157&lt;5,"2,5 ≤ Turb &lt; 5,0 uT",IF(O157&lt;7.5,"5,0 ≤ Turb &lt; 7,5 uT",IF(O157&lt;10,"7,5 ≤ Turb &lt; 10,0 uT",IF(O157&lt;15,"10,0 ≤ Turb &lt; 15,0 uT","Turb &gt; 15 uT"))))))</f>
        <v>Turbidez &lt; 2,5 uT</v>
      </c>
      <c r="BC157" s="138" t="str">
        <f>IF(AND(C157&gt;D157,D157&gt;E157),"TOR &gt; SM &gt; BNN",IF(AND(C157&gt;E157,E157&gt;D157),"TOR &gt; BNN &gt; SM",IF(AND(D157&gt;C157,C157&gt;E157),"SM &gt; TOR &gt; BNN",IF(AND(D157&gt;E157,E157&gt;C157),"SM &gt; BNN &gt; TOR",IF(AND(C157=D157,D157=E157),"TOR = SM = BNN","Comb. diferentes")))))</f>
        <v>SM &gt; TOR &gt; BNN</v>
      </c>
      <c r="BD157" s="137" t="str">
        <f>IF(OR(AE157="",AQ157="-"),"",IF(AE157&lt;=0.25,"Tipo 1 (≤0,25) uT",IF(AE157&lt;=0.5,"Tipo 2 (0,25-0,50) uT",IF(AE157&lt;=0.75,"Tipo 3 (0,50-0,75) uT","Tipo 4 (&gt;0,75) uT"))))</f>
        <v>Tipo 1 (≤0,25) uT</v>
      </c>
      <c r="BE157" s="137" t="str">
        <f t="shared" si="14"/>
        <v>Tipo 1 (≤0,25) uT</v>
      </c>
      <c r="BF157" s="137" t="str">
        <f>IF(OR(AF157="",AQ157="-"),"",IF(AF157&lt;=0.25,"Tipo 1 (≤0,25) uT",IF(AF157&lt;=0.5,"Tipo 2 (0,25-0,50) uT",IF(AF157&lt;=0.75,"Tipo 3 (0,50-0,75) uT","Tipo 4 (&gt;0,75) uT"))))</f>
        <v>Tipo 1 (≤0,25) uT</v>
      </c>
      <c r="BG157" s="137" t="str">
        <f t="shared" si="15"/>
        <v>Tipo 1 (≤0,25) uT</v>
      </c>
      <c r="BH157" s="137" t="str">
        <f>IF(OR(R157="",R157="-"),"",IF(R157&lt;=0.25,"Tipo 1 (≤0,25) uT",IF(R157&lt;=0.5,"Tipo 2 (0,25-0,50) uT",IF(R157&lt;=0.75,"Tipo 3 (0,50-0,75) uT","Tipo 4 (&gt;0,75) uT"))))</f>
        <v>Tipo 1 (≤0,25) uT</v>
      </c>
    </row>
    <row r="158" spans="1:60" x14ac:dyDescent="0.3">
      <c r="A158" s="74">
        <v>46276</v>
      </c>
      <c r="B158" s="139">
        <v>6.25E-2</v>
      </c>
      <c r="C158" s="116">
        <v>342</v>
      </c>
      <c r="D158" s="116">
        <v>1659</v>
      </c>
      <c r="E158" s="116">
        <v>250</v>
      </c>
      <c r="F158" s="116">
        <v>2247</v>
      </c>
      <c r="G158" s="144" t="s">
        <v>100</v>
      </c>
      <c r="H158" s="122">
        <v>10</v>
      </c>
      <c r="I158" s="116">
        <v>-9</v>
      </c>
      <c r="J158" s="10">
        <v>90</v>
      </c>
      <c r="K158" s="116">
        <v>90</v>
      </c>
      <c r="L158" s="116">
        <v>90</v>
      </c>
      <c r="M158" s="122">
        <v>25.2</v>
      </c>
      <c r="N158" s="122">
        <v>6.3</v>
      </c>
      <c r="O158" s="79">
        <v>1.49</v>
      </c>
      <c r="P158" s="116">
        <v>10</v>
      </c>
      <c r="Q158" s="122">
        <v>8.5</v>
      </c>
      <c r="R158" s="10">
        <v>0.1</v>
      </c>
      <c r="S158" s="79">
        <v>22.36</v>
      </c>
      <c r="T158" s="79">
        <v>0.88</v>
      </c>
      <c r="U158" s="79">
        <v>0.7</v>
      </c>
      <c r="V158" s="85">
        <f t="shared" si="16"/>
        <v>1822.8787500000001</v>
      </c>
      <c r="W158" s="85">
        <f t="shared" si="17"/>
        <v>1598.1850248000001</v>
      </c>
      <c r="X158" s="85">
        <f t="shared" si="18"/>
        <v>0.87673687830306868</v>
      </c>
      <c r="Y158" s="116">
        <v>5</v>
      </c>
      <c r="Z158" s="116">
        <v>4</v>
      </c>
      <c r="AA158" s="122">
        <v>6.2</v>
      </c>
      <c r="AB158" s="116">
        <v>21</v>
      </c>
      <c r="AC158" s="122">
        <v>5.9</v>
      </c>
      <c r="AD158" s="122">
        <v>5.6</v>
      </c>
      <c r="AE158" s="79">
        <v>0.21</v>
      </c>
      <c r="AF158" s="79">
        <v>0.11</v>
      </c>
      <c r="AG158" s="85">
        <f>(O158+0.3*H158+2)*(F158/2/AK158)</f>
        <v>1822.8787500000001</v>
      </c>
      <c r="AH158" s="85">
        <f t="shared" si="19"/>
        <v>1821.4563327999999</v>
      </c>
      <c r="AI158" s="85">
        <f t="shared" si="20"/>
        <v>0.99921968633404712</v>
      </c>
      <c r="AJ158" s="116">
        <v>3</v>
      </c>
      <c r="AK158" s="116">
        <v>4</v>
      </c>
      <c r="AL158" s="122">
        <v>6.4</v>
      </c>
      <c r="AM158" s="116">
        <v>23</v>
      </c>
      <c r="AN158" s="122">
        <v>6</v>
      </c>
      <c r="AO158" s="122">
        <v>5.8</v>
      </c>
      <c r="AP158" s="79">
        <v>0.14000000000000001</v>
      </c>
      <c r="AQ158" s="79">
        <v>0.19</v>
      </c>
      <c r="AR158" s="132">
        <f>SUM(C158:E158)</f>
        <v>2251</v>
      </c>
      <c r="AS158" s="134">
        <f>C158/AR158</f>
        <v>0.15193247445579741</v>
      </c>
      <c r="AT158" s="134">
        <f>D158/AR158</f>
        <v>0.73700577521101729</v>
      </c>
      <c r="AU158" s="134">
        <f>E158/AR158</f>
        <v>0.11106175033318526</v>
      </c>
      <c r="AV158" s="151">
        <f>IF(AND(F158&lt;&gt;"",Z158&lt;&gt;""),AB158/(F158/2/Z158),"")</f>
        <v>7.476635514018691E-2</v>
      </c>
      <c r="AW158" s="151">
        <f>IF(AND(F158&lt;&gt;"",AK158&lt;&gt;""),AM158/(F158/2/AK158),"")</f>
        <v>8.188696039163329E-2</v>
      </c>
      <c r="AX158" s="41">
        <f>IF(AND(AQ158&lt;&gt;"",1-(AQ158/O158)&gt;0),1-(AQ158/O158),"")</f>
        <v>0.87248322147651003</v>
      </c>
      <c r="AY158" s="41">
        <f>IF(AND(AF158&lt;&gt;"",1-(AF158/O158)&gt;0),1-(AF158/O158),"")</f>
        <v>0.9261744966442953</v>
      </c>
      <c r="AZ158" s="136" t="str">
        <f>IF(Q158="","",IF(Q158&lt;2.5,"Alc. Bruta &lt; 2,5 mg/L",IF(Q158&lt;5,"2,5 ≤ Alc. Bruta &lt; 5,0 mg/L",IF(Q158&lt;7.5,"5,0 ≤ Alc. Bruta &lt; 7,5 mg/L",IF(Q158&lt;10,"7,5 ≤ Alc. Bruta &lt; 10,0 mg/L",IF(Q158&lt;15,"10,0 ≤ Alca. Bruta &lt; 15,0 mg/L","Alc. Bruta &gt; 15 mg/L"))))))</f>
        <v>7,5 ≤ Alc. Bruta &lt; 10,0 mg/L</v>
      </c>
      <c r="BA158" s="136" t="str">
        <f>IF(P158="","",IF(P158&lt;5,"Cor &lt;5 uC",IF(P158&lt;10,"5 ≤ Cor &lt; 10 uC",IF(P158&lt;15,"10 ≤ Cor &lt;15 uC",IF(P158&lt;30,"15 ≤ Cor &lt; 30 uC",IF(P158&lt;50,"30 ≤ Cor &lt; 50 uC","Cor &gt; 50 uC"))))))</f>
        <v>10 ≤ Cor &lt;15 uC</v>
      </c>
      <c r="BB158" s="137" t="str">
        <f>IF(O158="","",IF(O158&lt;2.5,"Turbidez &lt; 2,5 uT",IF(O158&lt;5,"2,5 ≤ Turb &lt; 5,0 uT",IF(O158&lt;7.5,"5,0 ≤ Turb &lt; 7,5 uT",IF(O158&lt;10,"7,5 ≤ Turb &lt; 10,0 uT",IF(O158&lt;15,"10,0 ≤ Turb &lt; 15,0 uT","Turb &gt; 15 uT"))))))</f>
        <v>Turbidez &lt; 2,5 uT</v>
      </c>
      <c r="BC158" s="138" t="str">
        <f>IF(AND(C158&gt;D158,D158&gt;E158),"TOR &gt; SM &gt; BNN",IF(AND(C158&gt;E158,E158&gt;D158),"TOR &gt; BNN &gt; SM",IF(AND(D158&gt;C158,C158&gt;E158),"SM &gt; TOR &gt; BNN",IF(AND(D158&gt;E158,E158&gt;C158),"SM &gt; BNN &gt; TOR",IF(AND(C158=D158,D158=E158),"TOR = SM = BNN","Comb. diferentes")))))</f>
        <v>SM &gt; TOR &gt; BNN</v>
      </c>
      <c r="BD158" s="137" t="str">
        <f>IF(OR(AE158="",AQ158="-"),"",IF(AE158&lt;=0.25,"Tipo 1 (≤0,25) uT",IF(AE158&lt;=0.5,"Tipo 2 (0,25-0,50) uT",IF(AE158&lt;=0.75,"Tipo 3 (0,50-0,75) uT","Tipo 4 (&gt;0,75) uT"))))</f>
        <v>Tipo 1 (≤0,25) uT</v>
      </c>
      <c r="BE158" s="137" t="str">
        <f t="shared" si="14"/>
        <v>Tipo 1 (≤0,25) uT</v>
      </c>
      <c r="BF158" s="137" t="str">
        <f>IF(OR(AF158="",AQ158="-"),"",IF(AF158&lt;=0.25,"Tipo 1 (≤0,25) uT",IF(AF158&lt;=0.5,"Tipo 2 (0,25-0,50) uT",IF(AF158&lt;=0.75,"Tipo 3 (0,50-0,75) uT","Tipo 4 (&gt;0,75) uT"))))</f>
        <v>Tipo 1 (≤0,25) uT</v>
      </c>
      <c r="BG158" s="137" t="str">
        <f t="shared" si="15"/>
        <v>Tipo 1 (≤0,25) uT</v>
      </c>
      <c r="BH158" s="137" t="str">
        <f>IF(OR(R158="",R158="-"),"",IF(R158&lt;=0.25,"Tipo 1 (≤0,25) uT",IF(R158&lt;=0.5,"Tipo 2 (0,25-0,50) uT",IF(R158&lt;=0.75,"Tipo 3 (0,50-0,75) uT","Tipo 4 (&gt;0,75) uT"))))</f>
        <v>Tipo 1 (≤0,25) uT</v>
      </c>
    </row>
    <row r="159" spans="1:60" x14ac:dyDescent="0.3">
      <c r="A159" s="74">
        <v>46276</v>
      </c>
      <c r="B159" s="139">
        <v>0.14583333333333334</v>
      </c>
      <c r="C159" s="116">
        <v>335</v>
      </c>
      <c r="D159" s="116">
        <v>1680</v>
      </c>
      <c r="E159" s="116">
        <v>250</v>
      </c>
      <c r="F159" s="116">
        <v>2250</v>
      </c>
      <c r="G159" s="144" t="s">
        <v>100</v>
      </c>
      <c r="H159" s="122">
        <v>10</v>
      </c>
      <c r="I159" s="116">
        <v>-4</v>
      </c>
      <c r="J159" s="10">
        <v>90</v>
      </c>
      <c r="K159" s="116">
        <v>90</v>
      </c>
      <c r="L159" s="116">
        <v>90</v>
      </c>
      <c r="M159" s="122">
        <v>25</v>
      </c>
      <c r="N159" s="122">
        <v>6.1</v>
      </c>
      <c r="O159" s="79">
        <v>1.43</v>
      </c>
      <c r="P159" s="116">
        <v>8</v>
      </c>
      <c r="Q159" s="122">
        <v>8.3000000000000007</v>
      </c>
      <c r="R159" s="10">
        <v>0.11</v>
      </c>
      <c r="S159" s="79">
        <v>22.36</v>
      </c>
      <c r="T159" s="79">
        <v>0.88</v>
      </c>
      <c r="U159" s="79">
        <v>0.7</v>
      </c>
      <c r="V159" s="85">
        <f t="shared" si="16"/>
        <v>1808.4375</v>
      </c>
      <c r="W159" s="85">
        <f t="shared" si="17"/>
        <v>1598.1850248000001</v>
      </c>
      <c r="X159" s="85">
        <f t="shared" si="18"/>
        <v>0.88373804723691041</v>
      </c>
      <c r="Y159" s="116">
        <v>3</v>
      </c>
      <c r="Z159" s="116">
        <v>4</v>
      </c>
      <c r="AA159" s="122">
        <v>6.2</v>
      </c>
      <c r="AB159" s="116">
        <v>21</v>
      </c>
      <c r="AC159" s="122">
        <v>5.9</v>
      </c>
      <c r="AD159" s="122">
        <v>5.8</v>
      </c>
      <c r="AE159" s="79">
        <v>0.15</v>
      </c>
      <c r="AF159" s="79">
        <v>0.15</v>
      </c>
      <c r="AG159" s="85">
        <f>(O159+0.3*H159+2)*(F159/2/AK159)</f>
        <v>1808.4375</v>
      </c>
      <c r="AH159" s="85">
        <f t="shared" si="19"/>
        <v>1821.4563327999999</v>
      </c>
      <c r="AI159" s="85">
        <f t="shared" si="20"/>
        <v>1.007198939858303</v>
      </c>
      <c r="AJ159" s="116">
        <v>3</v>
      </c>
      <c r="AK159" s="116">
        <v>4</v>
      </c>
      <c r="AL159" s="122">
        <v>6.4</v>
      </c>
      <c r="AM159" s="116">
        <v>23</v>
      </c>
      <c r="AN159" s="122">
        <v>5.9</v>
      </c>
      <c r="AO159" s="122">
        <v>6.1</v>
      </c>
      <c r="AP159" s="79">
        <v>0.18</v>
      </c>
      <c r="AQ159" s="79">
        <v>0.18</v>
      </c>
      <c r="AR159" s="132">
        <f>SUM(C159:E159)</f>
        <v>2265</v>
      </c>
      <c r="AS159" s="134">
        <f>C159/AR159</f>
        <v>0.1479028697571744</v>
      </c>
      <c r="AT159" s="134">
        <f>D159/AR159</f>
        <v>0.74172185430463577</v>
      </c>
      <c r="AU159" s="134">
        <f>E159/AR159</f>
        <v>0.11037527593818984</v>
      </c>
      <c r="AV159" s="151">
        <f>IF(AND(F159&lt;&gt;"",Z159&lt;&gt;""),AB159/(F159/2/Z159),"")</f>
        <v>7.4666666666666673E-2</v>
      </c>
      <c r="AW159" s="151">
        <f>IF(AND(F159&lt;&gt;"",AK159&lt;&gt;""),AM159/(F159/2/AK159),"")</f>
        <v>8.1777777777777783E-2</v>
      </c>
      <c r="AX159" s="41">
        <f>IF(AND(AQ159&lt;&gt;"",1-(AQ159/O159)&gt;0),1-(AQ159/O159),"")</f>
        <v>0.87412587412587417</v>
      </c>
      <c r="AY159" s="41">
        <f>IF(AND(AF159&lt;&gt;"",1-(AF159/O159)&gt;0),1-(AF159/O159),"")</f>
        <v>0.8951048951048951</v>
      </c>
      <c r="AZ159" s="136" t="str">
        <f>IF(Q159="","",IF(Q159&lt;2.5,"Alc. Bruta &lt; 2,5 mg/L",IF(Q159&lt;5,"2,5 ≤ Alc. Bruta &lt; 5,0 mg/L",IF(Q159&lt;7.5,"5,0 ≤ Alc. Bruta &lt; 7,5 mg/L",IF(Q159&lt;10,"7,5 ≤ Alc. Bruta &lt; 10,0 mg/L",IF(Q159&lt;15,"10,0 ≤ Alca. Bruta &lt; 15,0 mg/L","Alc. Bruta &gt; 15 mg/L"))))))</f>
        <v>7,5 ≤ Alc. Bruta &lt; 10,0 mg/L</v>
      </c>
      <c r="BA159" s="136" t="str">
        <f>IF(P159="","",IF(P159&lt;5,"Cor &lt;5 uC",IF(P159&lt;10,"5 ≤ Cor &lt; 10 uC",IF(P159&lt;15,"10 ≤ Cor &lt;15 uC",IF(P159&lt;30,"15 ≤ Cor &lt; 30 uC",IF(P159&lt;50,"30 ≤ Cor &lt; 50 uC","Cor &gt; 50 uC"))))))</f>
        <v>5 ≤ Cor &lt; 10 uC</v>
      </c>
      <c r="BB159" s="137" t="str">
        <f>IF(O159="","",IF(O159&lt;2.5,"Turbidez &lt; 2,5 uT",IF(O159&lt;5,"2,5 ≤ Turb &lt; 5,0 uT",IF(O159&lt;7.5,"5,0 ≤ Turb &lt; 7,5 uT",IF(O159&lt;10,"7,5 ≤ Turb &lt; 10,0 uT",IF(O159&lt;15,"10,0 ≤ Turb &lt; 15,0 uT","Turb &gt; 15 uT"))))))</f>
        <v>Turbidez &lt; 2,5 uT</v>
      </c>
      <c r="BC159" s="138" t="str">
        <f>IF(AND(C159&gt;D159,D159&gt;E159),"TOR &gt; SM &gt; BNN",IF(AND(C159&gt;E159,E159&gt;D159),"TOR &gt; BNN &gt; SM",IF(AND(D159&gt;C159,C159&gt;E159),"SM &gt; TOR &gt; BNN",IF(AND(D159&gt;E159,E159&gt;C159),"SM &gt; BNN &gt; TOR",IF(AND(C159=D159,D159=E159),"TOR = SM = BNN","Comb. diferentes")))))</f>
        <v>SM &gt; TOR &gt; BNN</v>
      </c>
      <c r="BD159" s="137" t="str">
        <f>IF(OR(AE159="",AQ159="-"),"",IF(AE159&lt;=0.25,"Tipo 1 (≤0,25) uT",IF(AE159&lt;=0.5,"Tipo 2 (0,25-0,50) uT",IF(AE159&lt;=0.75,"Tipo 3 (0,50-0,75) uT","Tipo 4 (&gt;0,75) uT"))))</f>
        <v>Tipo 1 (≤0,25) uT</v>
      </c>
      <c r="BE159" s="137" t="str">
        <f t="shared" si="14"/>
        <v>Tipo 1 (≤0,25) uT</v>
      </c>
      <c r="BF159" s="137" t="str">
        <f>IF(OR(AF159="",AQ159="-"),"",IF(AF159&lt;=0.25,"Tipo 1 (≤0,25) uT",IF(AF159&lt;=0.5,"Tipo 2 (0,25-0,50) uT",IF(AF159&lt;=0.75,"Tipo 3 (0,50-0,75) uT","Tipo 4 (&gt;0,75) uT"))))</f>
        <v>Tipo 1 (≤0,25) uT</v>
      </c>
      <c r="BG159" s="137" t="str">
        <f t="shared" si="15"/>
        <v>Tipo 1 (≤0,25) uT</v>
      </c>
      <c r="BH159" s="137" t="str">
        <f>IF(OR(R159="",R159="-"),"",IF(R159&lt;=0.25,"Tipo 1 (≤0,25) uT",IF(R159&lt;=0.5,"Tipo 2 (0,25-0,50) uT",IF(R159&lt;=0.75,"Tipo 3 (0,50-0,75) uT","Tipo 4 (&gt;0,75) uT"))))</f>
        <v>Tipo 1 (≤0,25) uT</v>
      </c>
    </row>
    <row r="160" spans="1:60" ht="15" thickBot="1" x14ac:dyDescent="0.35">
      <c r="A160" s="75">
        <v>46276</v>
      </c>
      <c r="B160" s="140">
        <v>0.22916666666666666</v>
      </c>
      <c r="C160" s="117">
        <v>315</v>
      </c>
      <c r="D160" s="117">
        <v>1620</v>
      </c>
      <c r="E160" s="117">
        <v>250</v>
      </c>
      <c r="F160" s="117">
        <v>2241</v>
      </c>
      <c r="G160" s="145" t="s">
        <v>100</v>
      </c>
      <c r="H160" s="123">
        <v>10</v>
      </c>
      <c r="I160" s="117">
        <v>-2</v>
      </c>
      <c r="J160" s="11">
        <v>90</v>
      </c>
      <c r="K160" s="117">
        <v>90</v>
      </c>
      <c r="L160" s="117">
        <v>90</v>
      </c>
      <c r="M160" s="123">
        <v>24.2</v>
      </c>
      <c r="N160" s="123">
        <v>6.3</v>
      </c>
      <c r="O160" s="80">
        <v>1.38</v>
      </c>
      <c r="P160" s="117">
        <v>8</v>
      </c>
      <c r="Q160" s="123">
        <v>6.4</v>
      </c>
      <c r="R160" s="11">
        <v>0.11</v>
      </c>
      <c r="S160" s="79">
        <v>22.36</v>
      </c>
      <c r="T160" s="79">
        <v>0.88</v>
      </c>
      <c r="U160" s="79">
        <v>0.7</v>
      </c>
      <c r="V160" s="85">
        <f t="shared" si="16"/>
        <v>1787.1975</v>
      </c>
      <c r="W160" s="85">
        <f t="shared" si="17"/>
        <v>1598.1850248000001</v>
      </c>
      <c r="X160" s="85">
        <f t="shared" si="18"/>
        <v>0.89424085743181714</v>
      </c>
      <c r="Y160" s="117">
        <v>3</v>
      </c>
      <c r="Z160" s="117">
        <v>4</v>
      </c>
      <c r="AA160" s="123">
        <v>6.2</v>
      </c>
      <c r="AB160" s="117">
        <v>21</v>
      </c>
      <c r="AC160" s="123">
        <v>5.9</v>
      </c>
      <c r="AD160" s="123">
        <v>3.8</v>
      </c>
      <c r="AE160" s="80">
        <v>0.19</v>
      </c>
      <c r="AF160" s="80">
        <v>0.13</v>
      </c>
      <c r="AG160" s="85">
        <f>(O160+0.3*H160+2)*(F160/2/AK160)</f>
        <v>1787.1975</v>
      </c>
      <c r="AH160" s="85">
        <f t="shared" si="19"/>
        <v>1821.4563327999999</v>
      </c>
      <c r="AI160" s="85">
        <f t="shared" si="20"/>
        <v>1.0191690245761871</v>
      </c>
      <c r="AJ160" s="117">
        <v>3</v>
      </c>
      <c r="AK160" s="117">
        <v>4</v>
      </c>
      <c r="AL160" s="123">
        <v>6.4</v>
      </c>
      <c r="AM160" s="117">
        <v>23</v>
      </c>
      <c r="AN160" s="123">
        <v>6</v>
      </c>
      <c r="AO160" s="123">
        <v>4.0999999999999996</v>
      </c>
      <c r="AP160" s="80">
        <v>0.14000000000000001</v>
      </c>
      <c r="AQ160" s="80">
        <v>0.25</v>
      </c>
      <c r="AR160" s="132">
        <f>SUM(C160:E160)</f>
        <v>2185</v>
      </c>
      <c r="AS160" s="134">
        <f>C160/AR160</f>
        <v>0.14416475972540047</v>
      </c>
      <c r="AT160" s="134">
        <f>D160/AR160</f>
        <v>0.74141876430205955</v>
      </c>
      <c r="AU160" s="134">
        <f>E160/AR160</f>
        <v>0.11441647597254005</v>
      </c>
      <c r="AV160" s="151">
        <f>IF(AND(F160&lt;&gt;"",Z160&lt;&gt;""),AB160/(F160/2/Z160),"")</f>
        <v>7.4966532797858101E-2</v>
      </c>
      <c r="AW160" s="151">
        <f>IF(AND(F160&lt;&gt;"",AK160&lt;&gt;""),AM160/(F160/2/AK160),"")</f>
        <v>8.2106202588130298E-2</v>
      </c>
      <c r="AX160" s="41">
        <f>IF(AND(AQ160&lt;&gt;"",1-(AQ160/O160)&gt;0),1-(AQ160/O160),"")</f>
        <v>0.8188405797101449</v>
      </c>
      <c r="AY160" s="41">
        <f>IF(AND(AF160&lt;&gt;"",1-(AF160/O160)&gt;0),1-(AF160/O160),"")</f>
        <v>0.90579710144927539</v>
      </c>
      <c r="AZ160" s="136" t="str">
        <f>IF(Q160="","",IF(Q160&lt;2.5,"Alc. Bruta &lt; 2,5 mg/L",IF(Q160&lt;5,"2,5 ≤ Alc. Bruta &lt; 5,0 mg/L",IF(Q160&lt;7.5,"5,0 ≤ Alc. Bruta &lt; 7,5 mg/L",IF(Q160&lt;10,"7,5 ≤ Alc. Bruta &lt; 10,0 mg/L",IF(Q160&lt;15,"10,0 ≤ Alca. Bruta &lt; 15,0 mg/L","Alc. Bruta &gt; 15 mg/L"))))))</f>
        <v>5,0 ≤ Alc. Bruta &lt; 7,5 mg/L</v>
      </c>
      <c r="BA160" s="136" t="str">
        <f>IF(P160="","",IF(P160&lt;5,"Cor &lt;5 uC",IF(P160&lt;10,"5 ≤ Cor &lt; 10 uC",IF(P160&lt;15,"10 ≤ Cor &lt;15 uC",IF(P160&lt;30,"15 ≤ Cor &lt; 30 uC",IF(P160&lt;50,"30 ≤ Cor &lt; 50 uC","Cor &gt; 50 uC"))))))</f>
        <v>5 ≤ Cor &lt; 10 uC</v>
      </c>
      <c r="BB160" s="137" t="str">
        <f>IF(O160="","",IF(O160&lt;2.5,"Turbidez &lt; 2,5 uT",IF(O160&lt;5,"2,5 ≤ Turb &lt; 5,0 uT",IF(O160&lt;7.5,"5,0 ≤ Turb &lt; 7,5 uT",IF(O160&lt;10,"7,5 ≤ Turb &lt; 10,0 uT",IF(O160&lt;15,"10,0 ≤ Turb &lt; 15,0 uT","Turb &gt; 15 uT"))))))</f>
        <v>Turbidez &lt; 2,5 uT</v>
      </c>
      <c r="BC160" s="138" t="str">
        <f>IF(AND(C160&gt;D160,D160&gt;E160),"TOR &gt; SM &gt; BNN",IF(AND(C160&gt;E160,E160&gt;D160),"TOR &gt; BNN &gt; SM",IF(AND(D160&gt;C160,C160&gt;E160),"SM &gt; TOR &gt; BNN",IF(AND(D160&gt;E160,E160&gt;C160),"SM &gt; BNN &gt; TOR",IF(AND(C160=D160,D160=E160),"TOR = SM = BNN","Comb. diferentes")))))</f>
        <v>SM &gt; TOR &gt; BNN</v>
      </c>
      <c r="BD160" s="137" t="str">
        <f>IF(OR(AE160="",AQ160="-"),"",IF(AE160&lt;=0.25,"Tipo 1 (≤0,25) uT",IF(AE160&lt;=0.5,"Tipo 2 (0,25-0,50) uT",IF(AE160&lt;=0.75,"Tipo 3 (0,50-0,75) uT","Tipo 4 (&gt;0,75) uT"))))</f>
        <v>Tipo 1 (≤0,25) uT</v>
      </c>
      <c r="BE160" s="137" t="str">
        <f t="shared" si="14"/>
        <v>Tipo 1 (≤0,25) uT</v>
      </c>
      <c r="BF160" s="137" t="str">
        <f>IF(OR(AF160="",AQ160="-"),"",IF(AF160&lt;=0.25,"Tipo 1 (≤0,25) uT",IF(AF160&lt;=0.5,"Tipo 2 (0,25-0,50) uT",IF(AF160&lt;=0.75,"Tipo 3 (0,50-0,75) uT","Tipo 4 (&gt;0,75) uT"))))</f>
        <v>Tipo 1 (≤0,25) uT</v>
      </c>
      <c r="BG160" s="137" t="str">
        <f t="shared" si="15"/>
        <v>Tipo 1 (≤0,25) uT</v>
      </c>
      <c r="BH160" s="137" t="str">
        <f>IF(OR(R160="",R160="-"),"",IF(R160&lt;=0.25,"Tipo 1 (≤0,25) uT",IF(R160&lt;=0.5,"Tipo 2 (0,25-0,50) uT",IF(R160&lt;=0.75,"Tipo 3 (0,50-0,75) uT","Tipo 4 (&gt;0,75) uT"))))</f>
        <v>Tipo 1 (≤0,25) uT</v>
      </c>
    </row>
    <row r="161" spans="1:60" x14ac:dyDescent="0.3">
      <c r="A161" s="74">
        <v>46276</v>
      </c>
      <c r="B161" s="139">
        <v>0.64583333333333337</v>
      </c>
      <c r="C161" s="116">
        <v>329</v>
      </c>
      <c r="D161" s="116">
        <v>1661</v>
      </c>
      <c r="E161" s="116">
        <v>250</v>
      </c>
      <c r="F161" s="116">
        <v>2267</v>
      </c>
      <c r="G161" s="144" t="s">
        <v>100</v>
      </c>
      <c r="H161" s="122">
        <v>10</v>
      </c>
      <c r="I161" s="116">
        <v>-60.4</v>
      </c>
      <c r="J161" s="10">
        <v>90</v>
      </c>
      <c r="K161" s="116">
        <v>90</v>
      </c>
      <c r="L161" s="116">
        <v>90</v>
      </c>
      <c r="M161" s="122">
        <v>25.8</v>
      </c>
      <c r="N161" s="122">
        <v>6.4</v>
      </c>
      <c r="O161" s="79">
        <v>1.76</v>
      </c>
      <c r="P161" s="116">
        <v>8</v>
      </c>
      <c r="Q161" s="122">
        <v>7.4</v>
      </c>
      <c r="R161" s="10">
        <v>0.12</v>
      </c>
      <c r="S161" s="79">
        <v>22.36</v>
      </c>
      <c r="T161" s="79">
        <v>0.88</v>
      </c>
      <c r="U161" s="79">
        <v>0.7</v>
      </c>
      <c r="V161" s="85">
        <f t="shared" si="16"/>
        <v>2554.1533333333332</v>
      </c>
      <c r="W161" s="85">
        <f t="shared" si="17"/>
        <v>1591.79444736</v>
      </c>
      <c r="X161" s="85">
        <f t="shared" si="18"/>
        <v>0.62321804512911005</v>
      </c>
      <c r="Y161" s="116">
        <v>3</v>
      </c>
      <c r="Z161" s="116">
        <v>3</v>
      </c>
      <c r="AA161" s="122">
        <v>6.4</v>
      </c>
      <c r="AB161" s="116">
        <v>20.100000000000001</v>
      </c>
      <c r="AC161" s="122">
        <v>6</v>
      </c>
      <c r="AD161" s="122">
        <v>5.9</v>
      </c>
      <c r="AE161" s="79">
        <v>0.18</v>
      </c>
      <c r="AF161" s="79">
        <v>0.13</v>
      </c>
      <c r="AG161" s="85">
        <f>(O161+0.3*H161+2)*(F161/2/AK161)</f>
        <v>1915.615</v>
      </c>
      <c r="AH161" s="85">
        <f t="shared" si="19"/>
        <v>1708.2758263999997</v>
      </c>
      <c r="AI161" s="85">
        <f t="shared" si="20"/>
        <v>0.89176365104679156</v>
      </c>
      <c r="AJ161" s="116">
        <v>3</v>
      </c>
      <c r="AK161" s="116">
        <v>4</v>
      </c>
      <c r="AL161" s="122">
        <v>6.3</v>
      </c>
      <c r="AM161" s="116">
        <v>22</v>
      </c>
      <c r="AN161" s="122">
        <v>5.9</v>
      </c>
      <c r="AO161" s="122">
        <v>5.4</v>
      </c>
      <c r="AP161" s="79">
        <v>0.12</v>
      </c>
      <c r="AQ161" s="79">
        <v>0.2</v>
      </c>
      <c r="AR161" s="132">
        <f>SUM(C161:E161)</f>
        <v>2240</v>
      </c>
      <c r="AS161" s="134">
        <f>C161/AR161</f>
        <v>0.14687500000000001</v>
      </c>
      <c r="AT161" s="134">
        <f>D161/AR161</f>
        <v>0.74151785714285712</v>
      </c>
      <c r="AU161" s="134">
        <f>E161/AR161</f>
        <v>0.11160714285714286</v>
      </c>
      <c r="AV161" s="151">
        <f>IF(AND(F161&lt;&gt;"",Z161&lt;&gt;""),AB161/(F161/2/Z161),"")</f>
        <v>5.3198059108954573E-2</v>
      </c>
      <c r="AW161" s="151">
        <f>IF(AND(F161&lt;&gt;"",AK161&lt;&gt;""),AM161/(F161/2/AK161),"")</f>
        <v>7.7635641817379794E-2</v>
      </c>
      <c r="AX161" s="41">
        <f>IF(AND(AQ161&lt;&gt;"",1-(AQ161/O161)&gt;0),1-(AQ161/O161),"")</f>
        <v>0.88636363636363635</v>
      </c>
      <c r="AY161" s="41">
        <f>IF(AND(AF161&lt;&gt;"",1-(AF161/O161)&gt;0),1-(AF161/O161),"")</f>
        <v>0.92613636363636365</v>
      </c>
      <c r="AZ161" s="136" t="str">
        <f>IF(Q161="","",IF(Q161&lt;2.5,"Alc. Bruta &lt; 2,5 mg/L",IF(Q161&lt;5,"2,5 ≤ Alc. Bruta &lt; 5,0 mg/L",IF(Q161&lt;7.5,"5,0 ≤ Alc. Bruta &lt; 7,5 mg/L",IF(Q161&lt;10,"7,5 ≤ Alc. Bruta &lt; 10,0 mg/L",IF(Q161&lt;15,"10,0 ≤ Alca. Bruta &lt; 15,0 mg/L","Alc. Bruta &gt; 15 mg/L"))))))</f>
        <v>5,0 ≤ Alc. Bruta &lt; 7,5 mg/L</v>
      </c>
      <c r="BA161" s="136" t="str">
        <f>IF(P161="","",IF(P161&lt;5,"Cor &lt;5 uC",IF(P161&lt;10,"5 ≤ Cor &lt; 10 uC",IF(P161&lt;15,"10 ≤ Cor &lt;15 uC",IF(P161&lt;30,"15 ≤ Cor &lt; 30 uC",IF(P161&lt;50,"30 ≤ Cor &lt; 50 uC","Cor &gt; 50 uC"))))))</f>
        <v>5 ≤ Cor &lt; 10 uC</v>
      </c>
      <c r="BB161" s="137" t="str">
        <f>IF(O161="","",IF(O161&lt;2.5,"Turbidez &lt; 2,5 uT",IF(O161&lt;5,"2,5 ≤ Turb &lt; 5,0 uT",IF(O161&lt;7.5,"5,0 ≤ Turb &lt; 7,5 uT",IF(O161&lt;10,"7,5 ≤ Turb &lt; 10,0 uT",IF(O161&lt;15,"10,0 ≤ Turb &lt; 15,0 uT","Turb &gt; 15 uT"))))))</f>
        <v>Turbidez &lt; 2,5 uT</v>
      </c>
      <c r="BC161" s="138" t="str">
        <f>IF(AND(C161&gt;D161,D161&gt;E161),"TOR &gt; SM &gt; BNN",IF(AND(C161&gt;E161,E161&gt;D161),"TOR &gt; BNN &gt; SM",IF(AND(D161&gt;C161,C161&gt;E161),"SM &gt; TOR &gt; BNN",IF(AND(D161&gt;E161,E161&gt;C161),"SM &gt; BNN &gt; TOR",IF(AND(C161=D161,D161=E161),"TOR = SM = BNN","Comb. diferentes")))))</f>
        <v>SM &gt; TOR &gt; BNN</v>
      </c>
      <c r="BD161" s="137" t="str">
        <f>IF(OR(AE161="",AQ161="-"),"",IF(AE161&lt;=0.25,"Tipo 1 (≤0,25) uT",IF(AE161&lt;=0.5,"Tipo 2 (0,25-0,50) uT",IF(AE161&lt;=0.75,"Tipo 3 (0,50-0,75) uT","Tipo 4 (&gt;0,75) uT"))))</f>
        <v>Tipo 1 (≤0,25) uT</v>
      </c>
      <c r="BE161" s="137" t="str">
        <f t="shared" si="14"/>
        <v>Tipo 1 (≤0,25) uT</v>
      </c>
      <c r="BF161" s="137" t="str">
        <f>IF(OR(AF161="",AQ161="-"),"",IF(AF161&lt;=0.25,"Tipo 1 (≤0,25) uT",IF(AF161&lt;=0.5,"Tipo 2 (0,25-0,50) uT",IF(AF161&lt;=0.75,"Tipo 3 (0,50-0,75) uT","Tipo 4 (&gt;0,75) uT"))))</f>
        <v>Tipo 1 (≤0,25) uT</v>
      </c>
      <c r="BG161" s="137" t="str">
        <f t="shared" si="15"/>
        <v>Tipo 1 (≤0,25) uT</v>
      </c>
      <c r="BH161" s="137" t="str">
        <f>IF(OR(R161="",R161="-"),"",IF(R161&lt;=0.25,"Tipo 1 (≤0,25) uT",IF(R161&lt;=0.5,"Tipo 2 (0,25-0,50) uT",IF(R161&lt;=0.75,"Tipo 3 (0,50-0,75) uT","Tipo 4 (&gt;0,75) uT"))))</f>
        <v>Tipo 1 (≤0,25) uT</v>
      </c>
    </row>
    <row r="162" spans="1:60" x14ac:dyDescent="0.3">
      <c r="A162" s="74">
        <v>46276</v>
      </c>
      <c r="B162" s="139">
        <v>0.72916666666666663</v>
      </c>
      <c r="C162" s="116">
        <v>335</v>
      </c>
      <c r="D162" s="116">
        <v>1663</v>
      </c>
      <c r="E162" s="116">
        <v>249</v>
      </c>
      <c r="F162" s="116">
        <v>2271</v>
      </c>
      <c r="G162" s="144" t="s">
        <v>100</v>
      </c>
      <c r="H162" s="122">
        <v>10</v>
      </c>
      <c r="I162" s="116">
        <v>-69.34</v>
      </c>
      <c r="J162" s="10">
        <v>90</v>
      </c>
      <c r="K162" s="116">
        <v>90</v>
      </c>
      <c r="L162" s="116">
        <v>90</v>
      </c>
      <c r="M162" s="122">
        <v>25.9</v>
      </c>
      <c r="N162" s="122">
        <v>6.3</v>
      </c>
      <c r="O162" s="79">
        <v>1.72</v>
      </c>
      <c r="P162" s="116">
        <v>8</v>
      </c>
      <c r="Q162" s="122">
        <v>7.3</v>
      </c>
      <c r="R162" s="10">
        <v>0.13</v>
      </c>
      <c r="S162" s="79">
        <v>22.36</v>
      </c>
      <c r="T162" s="79">
        <v>0.88</v>
      </c>
      <c r="U162" s="79">
        <v>0.7</v>
      </c>
      <c r="V162" s="85">
        <f t="shared" si="16"/>
        <v>2543.52</v>
      </c>
      <c r="W162" s="85">
        <f t="shared" si="17"/>
        <v>1583.8750719999998</v>
      </c>
      <c r="X162" s="85">
        <f t="shared" si="18"/>
        <v>0.62270989494873241</v>
      </c>
      <c r="Y162" s="116">
        <v>3</v>
      </c>
      <c r="Z162" s="116">
        <v>3</v>
      </c>
      <c r="AA162" s="122">
        <v>6.4</v>
      </c>
      <c r="AB162" s="116">
        <v>20</v>
      </c>
      <c r="AC162" s="122">
        <v>6.1</v>
      </c>
      <c r="AD162" s="122">
        <v>5.8</v>
      </c>
      <c r="AE162" s="79">
        <v>0.19</v>
      </c>
      <c r="AF162" s="79">
        <v>0.14000000000000001</v>
      </c>
      <c r="AG162" s="85">
        <f>(O162+0.3*H162+2)*(F162/2/AK162)</f>
        <v>1907.6399999999999</v>
      </c>
      <c r="AH162" s="85">
        <f t="shared" si="19"/>
        <v>1708.2758263999997</v>
      </c>
      <c r="AI162" s="85">
        <f t="shared" si="20"/>
        <v>0.89549172086976569</v>
      </c>
      <c r="AJ162" s="116">
        <v>3</v>
      </c>
      <c r="AK162" s="116">
        <v>4</v>
      </c>
      <c r="AL162" s="122">
        <v>6.3</v>
      </c>
      <c r="AM162" s="116">
        <v>22</v>
      </c>
      <c r="AN162" s="122">
        <v>5.9</v>
      </c>
      <c r="AO162" s="122">
        <v>5.5</v>
      </c>
      <c r="AP162" s="79">
        <v>0.13</v>
      </c>
      <c r="AQ162" s="79">
        <v>0.19</v>
      </c>
      <c r="AR162" s="132">
        <f>SUM(C162:E162)</f>
        <v>2247</v>
      </c>
      <c r="AS162" s="134">
        <f>C162/AR162</f>
        <v>0.14908767245215843</v>
      </c>
      <c r="AT162" s="134">
        <f>D162/AR162</f>
        <v>0.74009790832220734</v>
      </c>
      <c r="AU162" s="134">
        <f>E162/AR162</f>
        <v>0.11081441922563418</v>
      </c>
      <c r="AV162" s="151">
        <f>IF(AND(F162&lt;&gt;"",Z162&lt;&gt;""),AB162/(F162/2/Z162),"")</f>
        <v>5.2840158520475564E-2</v>
      </c>
      <c r="AW162" s="151">
        <f>IF(AND(F162&lt;&gt;"",AK162&lt;&gt;""),AM162/(F162/2/AK162),"")</f>
        <v>7.7498899163364152E-2</v>
      </c>
      <c r="AX162" s="41">
        <f>IF(AND(AQ162&lt;&gt;"",1-(AQ162/O162)&gt;0),1-(AQ162/O162),"")</f>
        <v>0.88953488372093026</v>
      </c>
      <c r="AY162" s="41">
        <f>IF(AND(AF162&lt;&gt;"",1-(AF162/O162)&gt;0),1-(AF162/O162),"")</f>
        <v>0.91860465116279066</v>
      </c>
      <c r="AZ162" s="136" t="str">
        <f>IF(Q162="","",IF(Q162&lt;2.5,"Alc. Bruta &lt; 2,5 mg/L",IF(Q162&lt;5,"2,5 ≤ Alc. Bruta &lt; 5,0 mg/L",IF(Q162&lt;7.5,"5,0 ≤ Alc. Bruta &lt; 7,5 mg/L",IF(Q162&lt;10,"7,5 ≤ Alc. Bruta &lt; 10,0 mg/L",IF(Q162&lt;15,"10,0 ≤ Alca. Bruta &lt; 15,0 mg/L","Alc. Bruta &gt; 15 mg/L"))))))</f>
        <v>5,0 ≤ Alc. Bruta &lt; 7,5 mg/L</v>
      </c>
      <c r="BA162" s="136" t="str">
        <f>IF(P162="","",IF(P162&lt;5,"Cor &lt;5 uC",IF(P162&lt;10,"5 ≤ Cor &lt; 10 uC",IF(P162&lt;15,"10 ≤ Cor &lt;15 uC",IF(P162&lt;30,"15 ≤ Cor &lt; 30 uC",IF(P162&lt;50,"30 ≤ Cor &lt; 50 uC","Cor &gt; 50 uC"))))))</f>
        <v>5 ≤ Cor &lt; 10 uC</v>
      </c>
      <c r="BB162" s="137" t="str">
        <f>IF(O162="","",IF(O162&lt;2.5,"Turbidez &lt; 2,5 uT",IF(O162&lt;5,"2,5 ≤ Turb &lt; 5,0 uT",IF(O162&lt;7.5,"5,0 ≤ Turb &lt; 7,5 uT",IF(O162&lt;10,"7,5 ≤ Turb &lt; 10,0 uT",IF(O162&lt;15,"10,0 ≤ Turb &lt; 15,0 uT","Turb &gt; 15 uT"))))))</f>
        <v>Turbidez &lt; 2,5 uT</v>
      </c>
      <c r="BC162" s="138" t="str">
        <f>IF(AND(C162&gt;D162,D162&gt;E162),"TOR &gt; SM &gt; BNN",IF(AND(C162&gt;E162,E162&gt;D162),"TOR &gt; BNN &gt; SM",IF(AND(D162&gt;C162,C162&gt;E162),"SM &gt; TOR &gt; BNN",IF(AND(D162&gt;E162,E162&gt;C162),"SM &gt; BNN &gt; TOR",IF(AND(C162=D162,D162=E162),"TOR = SM = BNN","Comb. diferentes")))))</f>
        <v>SM &gt; TOR &gt; BNN</v>
      </c>
      <c r="BD162" s="137" t="str">
        <f>IF(OR(AE162="",AQ162="-"),"",IF(AE162&lt;=0.25,"Tipo 1 (≤0,25) uT",IF(AE162&lt;=0.5,"Tipo 2 (0,25-0,50) uT",IF(AE162&lt;=0.75,"Tipo 3 (0,50-0,75) uT","Tipo 4 (&gt;0,75) uT"))))</f>
        <v>Tipo 1 (≤0,25) uT</v>
      </c>
      <c r="BE162" s="137" t="str">
        <f t="shared" si="14"/>
        <v>Tipo 1 (≤0,25) uT</v>
      </c>
      <c r="BF162" s="137" t="str">
        <f>IF(OR(AF162="",AQ162="-"),"",IF(AF162&lt;=0.25,"Tipo 1 (≤0,25) uT",IF(AF162&lt;=0.5,"Tipo 2 (0,25-0,50) uT",IF(AF162&lt;=0.75,"Tipo 3 (0,50-0,75) uT","Tipo 4 (&gt;0,75) uT"))))</f>
        <v>Tipo 1 (≤0,25) uT</v>
      </c>
      <c r="BG162" s="137" t="str">
        <f t="shared" si="15"/>
        <v>Tipo 1 (≤0,25) uT</v>
      </c>
      <c r="BH162" s="137" t="str">
        <f>IF(OR(R162="",R162="-"),"",IF(R162&lt;=0.25,"Tipo 1 (≤0,25) uT",IF(R162&lt;=0.5,"Tipo 2 (0,25-0,50) uT",IF(R162&lt;=0.75,"Tipo 3 (0,50-0,75) uT","Tipo 4 (&gt;0,75) uT"))))</f>
        <v>Tipo 1 (≤0,25) uT</v>
      </c>
    </row>
    <row r="163" spans="1:60" x14ac:dyDescent="0.3">
      <c r="A163" s="74">
        <v>46276</v>
      </c>
      <c r="B163" s="139">
        <v>0.8125</v>
      </c>
      <c r="C163" s="116">
        <v>343</v>
      </c>
      <c r="D163" s="116">
        <v>1676</v>
      </c>
      <c r="E163" s="116">
        <v>250</v>
      </c>
      <c r="F163" s="116">
        <v>2334</v>
      </c>
      <c r="G163" s="144" t="s">
        <v>100</v>
      </c>
      <c r="H163" s="122">
        <v>10</v>
      </c>
      <c r="I163" s="116">
        <v>-64</v>
      </c>
      <c r="J163" s="10">
        <v>90</v>
      </c>
      <c r="K163" s="116">
        <v>90</v>
      </c>
      <c r="L163" s="116">
        <v>90</v>
      </c>
      <c r="M163" s="122">
        <v>25.3</v>
      </c>
      <c r="N163" s="122">
        <v>6.5</v>
      </c>
      <c r="O163" s="79">
        <v>1.57</v>
      </c>
      <c r="P163" s="116">
        <v>10</v>
      </c>
      <c r="Q163" s="122">
        <v>7.8</v>
      </c>
      <c r="R163" s="10">
        <v>0.35</v>
      </c>
      <c r="S163" s="79">
        <v>22.36</v>
      </c>
      <c r="T163" s="79">
        <v>0.88</v>
      </c>
      <c r="U163" s="79">
        <v>0.7</v>
      </c>
      <c r="V163" s="85">
        <f t="shared" si="16"/>
        <v>1916.7975000000001</v>
      </c>
      <c r="W163" s="85">
        <f t="shared" si="17"/>
        <v>1491.1839279999999</v>
      </c>
      <c r="X163" s="85">
        <f t="shared" si="18"/>
        <v>0.77795590196669173</v>
      </c>
      <c r="Y163" s="116">
        <v>3</v>
      </c>
      <c r="Z163" s="116">
        <v>4</v>
      </c>
      <c r="AA163" s="122">
        <v>6.1</v>
      </c>
      <c r="AB163" s="116">
        <v>20</v>
      </c>
      <c r="AC163" s="122">
        <v>6.1</v>
      </c>
      <c r="AD163" s="122">
        <v>5.8</v>
      </c>
      <c r="AE163" s="79">
        <v>0.12</v>
      </c>
      <c r="AF163" s="79">
        <v>0.18</v>
      </c>
      <c r="AG163" s="85">
        <f>(O163+0.3*H163+2)*(F163/2/AK163)</f>
        <v>1916.7975000000001</v>
      </c>
      <c r="AH163" s="85">
        <f t="shared" si="19"/>
        <v>1708.2758263999997</v>
      </c>
      <c r="AI163" s="85">
        <f t="shared" si="20"/>
        <v>0.89121350919958919</v>
      </c>
      <c r="AJ163" s="116">
        <v>3</v>
      </c>
      <c r="AK163" s="116">
        <v>4</v>
      </c>
      <c r="AL163" s="122">
        <v>6.3</v>
      </c>
      <c r="AM163" s="116">
        <v>22</v>
      </c>
      <c r="AN163" s="122">
        <v>6.1</v>
      </c>
      <c r="AO163" s="122">
        <v>5.2</v>
      </c>
      <c r="AP163" s="79">
        <v>0.11</v>
      </c>
      <c r="AQ163" s="79">
        <v>0.17</v>
      </c>
      <c r="AR163" s="132">
        <f>SUM(C163:E163)</f>
        <v>2269</v>
      </c>
      <c r="AS163" s="134">
        <f>C163/AR163</f>
        <v>0.1511679153812252</v>
      </c>
      <c r="AT163" s="134">
        <f>D163/AR163</f>
        <v>0.7386513882767739</v>
      </c>
      <c r="AU163" s="134">
        <f>E163/AR163</f>
        <v>0.11018069634200088</v>
      </c>
      <c r="AV163" s="151">
        <f>IF(AND(F163&lt;&gt;"",Z163&lt;&gt;""),AB163/(F163/2/Z163),"")</f>
        <v>6.8551842330762641E-2</v>
      </c>
      <c r="AW163" s="151">
        <f>IF(AND(F163&lt;&gt;"",AK163&lt;&gt;""),AM163/(F163/2/AK163),"")</f>
        <v>7.5407026563838908E-2</v>
      </c>
      <c r="AX163" s="41">
        <f>IF(AND(AQ163&lt;&gt;"",1-(AQ163/O163)&gt;0),1-(AQ163/O163),"")</f>
        <v>0.89171974522292996</v>
      </c>
      <c r="AY163" s="41">
        <f>IF(AND(AF163&lt;&gt;"",1-(AF163/O163)&gt;0),1-(AF163/O163),"")</f>
        <v>0.88535031847133761</v>
      </c>
      <c r="AZ163" s="136" t="str">
        <f>IF(Q163="","",IF(Q163&lt;2.5,"Alc. Bruta &lt; 2,5 mg/L",IF(Q163&lt;5,"2,5 ≤ Alc. Bruta &lt; 5,0 mg/L",IF(Q163&lt;7.5,"5,0 ≤ Alc. Bruta &lt; 7,5 mg/L",IF(Q163&lt;10,"7,5 ≤ Alc. Bruta &lt; 10,0 mg/L",IF(Q163&lt;15,"10,0 ≤ Alca. Bruta &lt; 15,0 mg/L","Alc. Bruta &gt; 15 mg/L"))))))</f>
        <v>7,5 ≤ Alc. Bruta &lt; 10,0 mg/L</v>
      </c>
      <c r="BA163" s="136" t="str">
        <f>IF(P163="","",IF(P163&lt;5,"Cor &lt;5 uC",IF(P163&lt;10,"5 ≤ Cor &lt; 10 uC",IF(P163&lt;15,"10 ≤ Cor &lt;15 uC",IF(P163&lt;30,"15 ≤ Cor &lt; 30 uC",IF(P163&lt;50,"30 ≤ Cor &lt; 50 uC","Cor &gt; 50 uC"))))))</f>
        <v>10 ≤ Cor &lt;15 uC</v>
      </c>
      <c r="BB163" s="137" t="str">
        <f>IF(O163="","",IF(O163&lt;2.5,"Turbidez &lt; 2,5 uT",IF(O163&lt;5,"2,5 ≤ Turb &lt; 5,0 uT",IF(O163&lt;7.5,"5,0 ≤ Turb &lt; 7,5 uT",IF(O163&lt;10,"7,5 ≤ Turb &lt; 10,0 uT",IF(O163&lt;15,"10,0 ≤ Turb &lt; 15,0 uT","Turb &gt; 15 uT"))))))</f>
        <v>Turbidez &lt; 2,5 uT</v>
      </c>
      <c r="BC163" s="138" t="str">
        <f>IF(AND(C163&gt;D163,D163&gt;E163),"TOR &gt; SM &gt; BNN",IF(AND(C163&gt;E163,E163&gt;D163),"TOR &gt; BNN &gt; SM",IF(AND(D163&gt;C163,C163&gt;E163),"SM &gt; TOR &gt; BNN",IF(AND(D163&gt;E163,E163&gt;C163),"SM &gt; BNN &gt; TOR",IF(AND(C163=D163,D163=E163),"TOR = SM = BNN","Comb. diferentes")))))</f>
        <v>SM &gt; TOR &gt; BNN</v>
      </c>
      <c r="BD163" s="137" t="str">
        <f>IF(OR(AE163="",AQ163="-"),"",IF(AE163&lt;=0.25,"Tipo 1 (≤0,25) uT",IF(AE163&lt;=0.5,"Tipo 2 (0,25-0,50) uT",IF(AE163&lt;=0.75,"Tipo 3 (0,50-0,75) uT","Tipo 4 (&gt;0,75) uT"))))</f>
        <v>Tipo 1 (≤0,25) uT</v>
      </c>
      <c r="BE163" s="137" t="str">
        <f t="shared" si="14"/>
        <v>Tipo 1 (≤0,25) uT</v>
      </c>
      <c r="BF163" s="137" t="str">
        <f>IF(OR(AF163="",AQ163="-"),"",IF(AF163&lt;=0.25,"Tipo 1 (≤0,25) uT",IF(AF163&lt;=0.5,"Tipo 2 (0,25-0,50) uT",IF(AF163&lt;=0.75,"Tipo 3 (0,50-0,75) uT","Tipo 4 (&gt;0,75) uT"))))</f>
        <v>Tipo 1 (≤0,25) uT</v>
      </c>
      <c r="BG163" s="137" t="str">
        <f t="shared" si="15"/>
        <v>Tipo 1 (≤0,25) uT</v>
      </c>
      <c r="BH163" s="137" t="str">
        <f>IF(OR(R163="",R163="-"),"",IF(R163&lt;=0.25,"Tipo 1 (≤0,25) uT",IF(R163&lt;=0.5,"Tipo 2 (0,25-0,50) uT",IF(R163&lt;=0.75,"Tipo 3 (0,50-0,75) uT","Tipo 4 (&gt;0,75) uT"))))</f>
        <v>Tipo 2 (0,25-0,50) uT</v>
      </c>
    </row>
    <row r="164" spans="1:60" x14ac:dyDescent="0.3">
      <c r="A164" s="74">
        <v>46276</v>
      </c>
      <c r="B164" s="139">
        <v>0.89583333333333337</v>
      </c>
      <c r="C164" s="116">
        <v>333</v>
      </c>
      <c r="D164" s="116">
        <v>1681</v>
      </c>
      <c r="E164" s="116">
        <v>249</v>
      </c>
      <c r="F164" s="116">
        <v>2316</v>
      </c>
      <c r="G164" s="144" t="s">
        <v>100</v>
      </c>
      <c r="H164" s="122">
        <v>10</v>
      </c>
      <c r="I164" s="116">
        <v>-63</v>
      </c>
      <c r="J164" s="10">
        <v>90</v>
      </c>
      <c r="K164" s="116">
        <v>90</v>
      </c>
      <c r="L164" s="116">
        <v>90</v>
      </c>
      <c r="M164" s="122">
        <v>25.6</v>
      </c>
      <c r="N164" s="122">
        <v>6.5</v>
      </c>
      <c r="O164" s="79">
        <v>1.38</v>
      </c>
      <c r="P164" s="116">
        <v>7</v>
      </c>
      <c r="Q164" s="122">
        <v>7.9</v>
      </c>
      <c r="R164" s="10">
        <v>0.31</v>
      </c>
      <c r="S164" s="79">
        <v>22.36</v>
      </c>
      <c r="T164" s="79">
        <v>0.88</v>
      </c>
      <c r="U164" s="79">
        <v>0.7</v>
      </c>
      <c r="V164" s="85">
        <f t="shared" si="16"/>
        <v>1847.01</v>
      </c>
      <c r="W164" s="85">
        <f t="shared" si="17"/>
        <v>1522.080976</v>
      </c>
      <c r="X164" s="85">
        <f t="shared" si="18"/>
        <v>0.82407836232613796</v>
      </c>
      <c r="Y164" s="116">
        <v>3</v>
      </c>
      <c r="Z164" s="116">
        <v>4</v>
      </c>
      <c r="AA164" s="122">
        <v>6.2</v>
      </c>
      <c r="AB164" s="116">
        <v>20</v>
      </c>
      <c r="AC164" s="122">
        <v>6.1</v>
      </c>
      <c r="AD164" s="122">
        <v>5.5</v>
      </c>
      <c r="AE164" s="79">
        <v>0.14000000000000001</v>
      </c>
      <c r="AF164" s="79">
        <v>0.16</v>
      </c>
      <c r="AG164" s="85">
        <f>(O164+0.3*H164+2)*(F164/2/AK164)</f>
        <v>1847.01</v>
      </c>
      <c r="AH164" s="85">
        <f t="shared" si="19"/>
        <v>1708.2758263999997</v>
      </c>
      <c r="AI164" s="85">
        <f t="shared" si="20"/>
        <v>0.92488715621463868</v>
      </c>
      <c r="AJ164" s="116">
        <v>3</v>
      </c>
      <c r="AK164" s="116">
        <v>4</v>
      </c>
      <c r="AL164" s="122">
        <v>6.3</v>
      </c>
      <c r="AM164" s="116">
        <v>22</v>
      </c>
      <c r="AN164" s="122">
        <v>6</v>
      </c>
      <c r="AO164" s="122">
        <v>5.6</v>
      </c>
      <c r="AP164" s="79">
        <v>0.12</v>
      </c>
      <c r="AQ164" s="79">
        <v>0.18</v>
      </c>
      <c r="AR164" s="132">
        <f>SUM(C164:E164)</f>
        <v>2263</v>
      </c>
      <c r="AS164" s="134">
        <f>C164/AR164</f>
        <v>0.14714980114891738</v>
      </c>
      <c r="AT164" s="134">
        <f>D164/AR164</f>
        <v>0.74281926646045071</v>
      </c>
      <c r="AU164" s="134">
        <f>E164/AR164</f>
        <v>0.1100309323906319</v>
      </c>
      <c r="AV164" s="151">
        <f>IF(AND(F164&lt;&gt;"",Z164&lt;&gt;""),AB164/(F164/2/Z164),"")</f>
        <v>6.9084628670120898E-2</v>
      </c>
      <c r="AW164" s="151">
        <f>IF(AND(F164&lt;&gt;"",AK164&lt;&gt;""),AM164/(F164/2/AK164),"")</f>
        <v>7.599309153713299E-2</v>
      </c>
      <c r="AX164" s="41">
        <f>IF(AND(AQ164&lt;&gt;"",1-(AQ164/O164)&gt;0),1-(AQ164/O164),"")</f>
        <v>0.86956521739130432</v>
      </c>
      <c r="AY164" s="41">
        <f>IF(AND(AF164&lt;&gt;"",1-(AF164/O164)&gt;0),1-(AF164/O164),"")</f>
        <v>0.88405797101449268</v>
      </c>
      <c r="AZ164" s="136" t="str">
        <f>IF(Q164="","",IF(Q164&lt;2.5,"Alc. Bruta &lt; 2,5 mg/L",IF(Q164&lt;5,"2,5 ≤ Alc. Bruta &lt; 5,0 mg/L",IF(Q164&lt;7.5,"5,0 ≤ Alc. Bruta &lt; 7,5 mg/L",IF(Q164&lt;10,"7,5 ≤ Alc. Bruta &lt; 10,0 mg/L",IF(Q164&lt;15,"10,0 ≤ Alca. Bruta &lt; 15,0 mg/L","Alc. Bruta &gt; 15 mg/L"))))))</f>
        <v>7,5 ≤ Alc. Bruta &lt; 10,0 mg/L</v>
      </c>
      <c r="BA164" s="136" t="str">
        <f>IF(P164="","",IF(P164&lt;5,"Cor &lt;5 uC",IF(P164&lt;10,"5 ≤ Cor &lt; 10 uC",IF(P164&lt;15,"10 ≤ Cor &lt;15 uC",IF(P164&lt;30,"15 ≤ Cor &lt; 30 uC",IF(P164&lt;50,"30 ≤ Cor &lt; 50 uC","Cor &gt; 50 uC"))))))</f>
        <v>5 ≤ Cor &lt; 10 uC</v>
      </c>
      <c r="BB164" s="137" t="str">
        <f>IF(O164="","",IF(O164&lt;2.5,"Turbidez &lt; 2,5 uT",IF(O164&lt;5,"2,5 ≤ Turb &lt; 5,0 uT",IF(O164&lt;7.5,"5,0 ≤ Turb &lt; 7,5 uT",IF(O164&lt;10,"7,5 ≤ Turb &lt; 10,0 uT",IF(O164&lt;15,"10,0 ≤ Turb &lt; 15,0 uT","Turb &gt; 15 uT"))))))</f>
        <v>Turbidez &lt; 2,5 uT</v>
      </c>
      <c r="BC164" s="138" t="str">
        <f>IF(AND(C164&gt;D164,D164&gt;E164),"TOR &gt; SM &gt; BNN",IF(AND(C164&gt;E164,E164&gt;D164),"TOR &gt; BNN &gt; SM",IF(AND(D164&gt;C164,C164&gt;E164),"SM &gt; TOR &gt; BNN",IF(AND(D164&gt;E164,E164&gt;C164),"SM &gt; BNN &gt; TOR",IF(AND(C164=D164,D164=E164),"TOR = SM = BNN","Comb. diferentes")))))</f>
        <v>SM &gt; TOR &gt; BNN</v>
      </c>
      <c r="BD164" s="137" t="str">
        <f>IF(OR(AE164="",AQ164="-"),"",IF(AE164&lt;=0.25,"Tipo 1 (≤0,25) uT",IF(AE164&lt;=0.5,"Tipo 2 (0,25-0,50) uT",IF(AE164&lt;=0.75,"Tipo 3 (0,50-0,75) uT","Tipo 4 (&gt;0,75) uT"))))</f>
        <v>Tipo 1 (≤0,25) uT</v>
      </c>
      <c r="BE164" s="137" t="str">
        <f t="shared" si="14"/>
        <v>Tipo 1 (≤0,25) uT</v>
      </c>
      <c r="BF164" s="137" t="str">
        <f>IF(OR(AF164="",AQ164="-"),"",IF(AF164&lt;=0.25,"Tipo 1 (≤0,25) uT",IF(AF164&lt;=0.5,"Tipo 2 (0,25-0,50) uT",IF(AF164&lt;=0.75,"Tipo 3 (0,50-0,75) uT","Tipo 4 (&gt;0,75) uT"))))</f>
        <v>Tipo 1 (≤0,25) uT</v>
      </c>
      <c r="BG164" s="137" t="str">
        <f t="shared" si="15"/>
        <v>Tipo 1 (≤0,25) uT</v>
      </c>
      <c r="BH164" s="137" t="str">
        <f>IF(OR(R164="",R164="-"),"",IF(R164&lt;=0.25,"Tipo 1 (≤0,25) uT",IF(R164&lt;=0.5,"Tipo 2 (0,25-0,50) uT",IF(R164&lt;=0.75,"Tipo 3 (0,50-0,75) uT","Tipo 4 (&gt;0,75) uT"))))</f>
        <v>Tipo 2 (0,25-0,50) uT</v>
      </c>
    </row>
    <row r="165" spans="1:60" x14ac:dyDescent="0.3">
      <c r="A165" s="74">
        <v>46277</v>
      </c>
      <c r="B165" s="139">
        <v>6.25E-2</v>
      </c>
      <c r="C165" s="116">
        <v>353</v>
      </c>
      <c r="D165" s="116">
        <v>1645</v>
      </c>
      <c r="E165" s="116">
        <v>250</v>
      </c>
      <c r="F165" s="116">
        <v>2267</v>
      </c>
      <c r="G165" s="144" t="s">
        <v>100</v>
      </c>
      <c r="H165" s="122">
        <v>10</v>
      </c>
      <c r="I165" s="116">
        <v>-60</v>
      </c>
      <c r="J165" s="10">
        <v>90</v>
      </c>
      <c r="K165" s="116">
        <v>90</v>
      </c>
      <c r="L165" s="116">
        <v>90</v>
      </c>
      <c r="M165" s="122">
        <v>24.3</v>
      </c>
      <c r="N165" s="122">
        <v>6.5</v>
      </c>
      <c r="O165" s="79">
        <v>1.35</v>
      </c>
      <c r="P165" s="116">
        <v>8</v>
      </c>
      <c r="Q165" s="122">
        <v>8.3000000000000007</v>
      </c>
      <c r="R165" s="10">
        <v>0.25</v>
      </c>
      <c r="S165" s="79">
        <v>22.36</v>
      </c>
      <c r="T165" s="79">
        <v>0.88</v>
      </c>
      <c r="U165" s="79">
        <v>0.7</v>
      </c>
      <c r="V165" s="85">
        <f t="shared" si="16"/>
        <v>1799.4312499999999</v>
      </c>
      <c r="W165" s="85">
        <f t="shared" si="17"/>
        <v>1522.080976</v>
      </c>
      <c r="X165" s="85">
        <f t="shared" si="18"/>
        <v>0.84586781295478786</v>
      </c>
      <c r="Y165" s="116">
        <v>3</v>
      </c>
      <c r="Z165" s="116">
        <v>4</v>
      </c>
      <c r="AA165" s="122">
        <v>6.2</v>
      </c>
      <c r="AB165" s="116">
        <v>20</v>
      </c>
      <c r="AC165" s="122">
        <v>6.2</v>
      </c>
      <c r="AD165" s="122">
        <v>5.4</v>
      </c>
      <c r="AE165" s="79">
        <v>0.12</v>
      </c>
      <c r="AF165" s="79">
        <v>0.17</v>
      </c>
      <c r="AG165" s="85">
        <f>(O165+0.3*H165+2)*(F165/2/AK165)</f>
        <v>1799.4312499999999</v>
      </c>
      <c r="AH165" s="85">
        <f t="shared" si="19"/>
        <v>1708.2758263999997</v>
      </c>
      <c r="AI165" s="85">
        <f t="shared" si="20"/>
        <v>0.94934209150808058</v>
      </c>
      <c r="AJ165" s="116">
        <v>3</v>
      </c>
      <c r="AK165" s="116">
        <v>4</v>
      </c>
      <c r="AL165" s="122">
        <v>6.3</v>
      </c>
      <c r="AM165" s="116">
        <v>22</v>
      </c>
      <c r="AN165" s="122">
        <v>6.1</v>
      </c>
      <c r="AO165" s="122">
        <v>5.3</v>
      </c>
      <c r="AP165" s="79">
        <v>0.11</v>
      </c>
      <c r="AQ165" s="79">
        <v>0.18</v>
      </c>
      <c r="AR165" s="132">
        <f>SUM(C165:E165)</f>
        <v>2248</v>
      </c>
      <c r="AS165" s="134">
        <f>C165/AR165</f>
        <v>0.15702846975088969</v>
      </c>
      <c r="AT165" s="134">
        <f>D165/AR165</f>
        <v>0.73176156583629892</v>
      </c>
      <c r="AU165" s="134">
        <f>E165/AR165</f>
        <v>0.11120996441281139</v>
      </c>
      <c r="AV165" s="151">
        <f>IF(AND(F165&lt;&gt;"",Z165&lt;&gt;""),AB165/(F165/2/Z165),"")</f>
        <v>7.0577856197618E-2</v>
      </c>
      <c r="AW165" s="151">
        <f>IF(AND(F165&lt;&gt;"",AK165&lt;&gt;""),AM165/(F165/2/AK165),"")</f>
        <v>7.7635641817379794E-2</v>
      </c>
      <c r="AX165" s="41">
        <f>IF(AND(AQ165&lt;&gt;"",1-(AQ165/O165)&gt;0),1-(AQ165/O165),"")</f>
        <v>0.8666666666666667</v>
      </c>
      <c r="AY165" s="41">
        <f>IF(AND(AF165&lt;&gt;"",1-(AF165/O165)&gt;0),1-(AF165/O165),"")</f>
        <v>0.87407407407407411</v>
      </c>
      <c r="AZ165" s="136" t="str">
        <f>IF(Q165="","",IF(Q165&lt;2.5,"Alc. Bruta &lt; 2,5 mg/L",IF(Q165&lt;5,"2,5 ≤ Alc. Bruta &lt; 5,0 mg/L",IF(Q165&lt;7.5,"5,0 ≤ Alc. Bruta &lt; 7,5 mg/L",IF(Q165&lt;10,"7,5 ≤ Alc. Bruta &lt; 10,0 mg/L",IF(Q165&lt;15,"10,0 ≤ Alca. Bruta &lt; 15,0 mg/L","Alc. Bruta &gt; 15 mg/L"))))))</f>
        <v>7,5 ≤ Alc. Bruta &lt; 10,0 mg/L</v>
      </c>
      <c r="BA165" s="136" t="str">
        <f>IF(P165="","",IF(P165&lt;5,"Cor &lt;5 uC",IF(P165&lt;10,"5 ≤ Cor &lt; 10 uC",IF(P165&lt;15,"10 ≤ Cor &lt;15 uC",IF(P165&lt;30,"15 ≤ Cor &lt; 30 uC",IF(P165&lt;50,"30 ≤ Cor &lt; 50 uC","Cor &gt; 50 uC"))))))</f>
        <v>5 ≤ Cor &lt; 10 uC</v>
      </c>
      <c r="BB165" s="137" t="str">
        <f>IF(O165="","",IF(O165&lt;2.5,"Turbidez &lt; 2,5 uT",IF(O165&lt;5,"2,5 ≤ Turb &lt; 5,0 uT",IF(O165&lt;7.5,"5,0 ≤ Turb &lt; 7,5 uT",IF(O165&lt;10,"7,5 ≤ Turb &lt; 10,0 uT",IF(O165&lt;15,"10,0 ≤ Turb &lt; 15,0 uT","Turb &gt; 15 uT"))))))</f>
        <v>Turbidez &lt; 2,5 uT</v>
      </c>
      <c r="BC165" s="138" t="str">
        <f>IF(AND(C165&gt;D165,D165&gt;E165),"TOR &gt; SM &gt; BNN",IF(AND(C165&gt;E165,E165&gt;D165),"TOR &gt; BNN &gt; SM",IF(AND(D165&gt;C165,C165&gt;E165),"SM &gt; TOR &gt; BNN",IF(AND(D165&gt;E165,E165&gt;C165),"SM &gt; BNN &gt; TOR",IF(AND(C165=D165,D165=E165),"TOR = SM = BNN","Comb. diferentes")))))</f>
        <v>SM &gt; TOR &gt; BNN</v>
      </c>
      <c r="BD165" s="137" t="str">
        <f>IF(OR(AE165="",AQ165="-"),"",IF(AE165&lt;=0.25,"Tipo 1 (≤0,25) uT",IF(AE165&lt;=0.5,"Tipo 2 (0,25-0,50) uT",IF(AE165&lt;=0.75,"Tipo 3 (0,50-0,75) uT","Tipo 4 (&gt;0,75) uT"))))</f>
        <v>Tipo 1 (≤0,25) uT</v>
      </c>
      <c r="BE165" s="137" t="str">
        <f t="shared" si="14"/>
        <v>Tipo 1 (≤0,25) uT</v>
      </c>
      <c r="BF165" s="137" t="str">
        <f>IF(OR(AF165="",AQ165="-"),"",IF(AF165&lt;=0.25,"Tipo 1 (≤0,25) uT",IF(AF165&lt;=0.5,"Tipo 2 (0,25-0,50) uT",IF(AF165&lt;=0.75,"Tipo 3 (0,50-0,75) uT","Tipo 4 (&gt;0,75) uT"))))</f>
        <v>Tipo 1 (≤0,25) uT</v>
      </c>
      <c r="BG165" s="137" t="str">
        <f t="shared" si="15"/>
        <v>Tipo 1 (≤0,25) uT</v>
      </c>
      <c r="BH165" s="137" t="str">
        <f>IF(OR(R165="",R165="-"),"",IF(R165&lt;=0.25,"Tipo 1 (≤0,25) uT",IF(R165&lt;=0.5,"Tipo 2 (0,25-0,50) uT",IF(R165&lt;=0.75,"Tipo 3 (0,50-0,75) uT","Tipo 4 (&gt;0,75) uT"))))</f>
        <v>Tipo 1 (≤0,25) uT</v>
      </c>
    </row>
    <row r="166" spans="1:60" x14ac:dyDescent="0.3">
      <c r="A166" s="74">
        <v>46277</v>
      </c>
      <c r="B166" s="139">
        <v>0.14583333333333334</v>
      </c>
      <c r="C166" s="116">
        <v>357</v>
      </c>
      <c r="D166" s="116">
        <v>1680</v>
      </c>
      <c r="E166" s="116">
        <v>249</v>
      </c>
      <c r="F166" s="116">
        <v>2341</v>
      </c>
      <c r="G166" s="144" t="s">
        <v>100</v>
      </c>
      <c r="H166" s="122">
        <v>10</v>
      </c>
      <c r="I166" s="116">
        <v>-58</v>
      </c>
      <c r="J166" s="10">
        <v>90</v>
      </c>
      <c r="K166" s="116">
        <v>90</v>
      </c>
      <c r="L166" s="116">
        <v>90</v>
      </c>
      <c r="M166" s="122">
        <v>23.7</v>
      </c>
      <c r="N166" s="122">
        <v>6.5</v>
      </c>
      <c r="O166" s="79">
        <v>1.17</v>
      </c>
      <c r="P166" s="116">
        <v>8</v>
      </c>
      <c r="Q166" s="122">
        <v>8</v>
      </c>
      <c r="R166" s="10">
        <v>0.12</v>
      </c>
      <c r="S166" s="79">
        <v>22.36</v>
      </c>
      <c r="T166" s="79">
        <v>0.88</v>
      </c>
      <c r="U166" s="79">
        <v>0.7</v>
      </c>
      <c r="V166" s="85">
        <f t="shared" si="16"/>
        <v>1805.4962499999999</v>
      </c>
      <c r="W166" s="85">
        <f t="shared" si="17"/>
        <v>1460.2868799999999</v>
      </c>
      <c r="X166" s="85">
        <f t="shared" si="18"/>
        <v>0.80880083799675573</v>
      </c>
      <c r="Y166" s="116">
        <v>3</v>
      </c>
      <c r="Z166" s="116">
        <v>4</v>
      </c>
      <c r="AA166" s="122">
        <v>6</v>
      </c>
      <c r="AB166" s="116">
        <v>20</v>
      </c>
      <c r="AC166" s="122">
        <v>6.2</v>
      </c>
      <c r="AD166" s="122">
        <v>5.0999999999999996</v>
      </c>
      <c r="AE166" s="79">
        <v>0.18</v>
      </c>
      <c r="AF166" s="79">
        <v>0.17</v>
      </c>
      <c r="AG166" s="85">
        <f>(O166+0.3*H166+2)*(F166/2/AK166)</f>
        <v>1805.4962499999999</v>
      </c>
      <c r="AH166" s="85">
        <f t="shared" si="19"/>
        <v>1708.2758263999997</v>
      </c>
      <c r="AI166" s="85">
        <f t="shared" si="20"/>
        <v>0.94615307364941892</v>
      </c>
      <c r="AJ166" s="116">
        <v>3</v>
      </c>
      <c r="AK166" s="116">
        <v>4</v>
      </c>
      <c r="AL166" s="122">
        <v>6.3</v>
      </c>
      <c r="AM166" s="116">
        <v>22</v>
      </c>
      <c r="AN166" s="122">
        <v>6</v>
      </c>
      <c r="AO166" s="122">
        <v>5.6</v>
      </c>
      <c r="AP166" s="79">
        <v>0.15</v>
      </c>
      <c r="AQ166" s="79">
        <v>0.18</v>
      </c>
      <c r="AR166" s="132">
        <f>SUM(C166:E166)</f>
        <v>2286</v>
      </c>
      <c r="AS166" s="134">
        <f>C166/AR166</f>
        <v>0.15616797900262466</v>
      </c>
      <c r="AT166" s="134">
        <f>D166/AR166</f>
        <v>0.73490813648293962</v>
      </c>
      <c r="AU166" s="134">
        <f>E166/AR166</f>
        <v>0.1089238845144357</v>
      </c>
      <c r="AV166" s="151">
        <f>IF(AND(F166&lt;&gt;"",Z166&lt;&gt;""),AB166/(F166/2/Z166),"")</f>
        <v>6.8346860316104235E-2</v>
      </c>
      <c r="AW166" s="151">
        <f>IF(AND(F166&lt;&gt;"",AK166&lt;&gt;""),AM166/(F166/2/AK166),"")</f>
        <v>7.5181546347714651E-2</v>
      </c>
      <c r="AX166" s="41">
        <f>IF(AND(AQ166&lt;&gt;"",1-(AQ166/O166)&gt;0),1-(AQ166/O166),"")</f>
        <v>0.84615384615384615</v>
      </c>
      <c r="AY166" s="41">
        <f>IF(AND(AF166&lt;&gt;"",1-(AF166/O166)&gt;0),1-(AF166/O166),"")</f>
        <v>0.85470085470085466</v>
      </c>
      <c r="AZ166" s="136" t="str">
        <f>IF(Q166="","",IF(Q166&lt;2.5,"Alc. Bruta &lt; 2,5 mg/L",IF(Q166&lt;5,"2,5 ≤ Alc. Bruta &lt; 5,0 mg/L",IF(Q166&lt;7.5,"5,0 ≤ Alc. Bruta &lt; 7,5 mg/L",IF(Q166&lt;10,"7,5 ≤ Alc. Bruta &lt; 10,0 mg/L",IF(Q166&lt;15,"10,0 ≤ Alca. Bruta &lt; 15,0 mg/L","Alc. Bruta &gt; 15 mg/L"))))))</f>
        <v>7,5 ≤ Alc. Bruta &lt; 10,0 mg/L</v>
      </c>
      <c r="BA166" s="136" t="str">
        <f>IF(P166="","",IF(P166&lt;5,"Cor &lt;5 uC",IF(P166&lt;10,"5 ≤ Cor &lt; 10 uC",IF(P166&lt;15,"10 ≤ Cor &lt;15 uC",IF(P166&lt;30,"15 ≤ Cor &lt; 30 uC",IF(P166&lt;50,"30 ≤ Cor &lt; 50 uC","Cor &gt; 50 uC"))))))</f>
        <v>5 ≤ Cor &lt; 10 uC</v>
      </c>
      <c r="BB166" s="137" t="str">
        <f>IF(O166="","",IF(O166&lt;2.5,"Turbidez &lt; 2,5 uT",IF(O166&lt;5,"2,5 ≤ Turb &lt; 5,0 uT",IF(O166&lt;7.5,"5,0 ≤ Turb &lt; 7,5 uT",IF(O166&lt;10,"7,5 ≤ Turb &lt; 10,0 uT",IF(O166&lt;15,"10,0 ≤ Turb &lt; 15,0 uT","Turb &gt; 15 uT"))))))</f>
        <v>Turbidez &lt; 2,5 uT</v>
      </c>
      <c r="BC166" s="138" t="str">
        <f>IF(AND(C166&gt;D166,D166&gt;E166),"TOR &gt; SM &gt; BNN",IF(AND(C166&gt;E166,E166&gt;D166),"TOR &gt; BNN &gt; SM",IF(AND(D166&gt;C166,C166&gt;E166),"SM &gt; TOR &gt; BNN",IF(AND(D166&gt;E166,E166&gt;C166),"SM &gt; BNN &gt; TOR",IF(AND(C166=D166,D166=E166),"TOR = SM = BNN","Comb. diferentes")))))</f>
        <v>SM &gt; TOR &gt; BNN</v>
      </c>
      <c r="BD166" s="137" t="str">
        <f>IF(OR(AE166="",AQ166="-"),"",IF(AE166&lt;=0.25,"Tipo 1 (≤0,25) uT",IF(AE166&lt;=0.5,"Tipo 2 (0,25-0,50) uT",IF(AE166&lt;=0.75,"Tipo 3 (0,50-0,75) uT","Tipo 4 (&gt;0,75) uT"))))</f>
        <v>Tipo 1 (≤0,25) uT</v>
      </c>
      <c r="BE166" s="137" t="str">
        <f t="shared" si="14"/>
        <v>Tipo 1 (≤0,25) uT</v>
      </c>
      <c r="BF166" s="137" t="str">
        <f>IF(OR(AF166="",AQ166="-"),"",IF(AF166&lt;=0.25,"Tipo 1 (≤0,25) uT",IF(AF166&lt;=0.5,"Tipo 2 (0,25-0,50) uT",IF(AF166&lt;=0.75,"Tipo 3 (0,50-0,75) uT","Tipo 4 (&gt;0,75) uT"))))</f>
        <v>Tipo 1 (≤0,25) uT</v>
      </c>
      <c r="BG166" s="137" t="str">
        <f t="shared" si="15"/>
        <v>Tipo 1 (≤0,25) uT</v>
      </c>
      <c r="BH166" s="137" t="str">
        <f>IF(OR(R166="",R166="-"),"",IF(R166&lt;=0.25,"Tipo 1 (≤0,25) uT",IF(R166&lt;=0.5,"Tipo 2 (0,25-0,50) uT",IF(R166&lt;=0.75,"Tipo 3 (0,50-0,75) uT","Tipo 4 (&gt;0,75) uT"))))</f>
        <v>Tipo 1 (≤0,25) uT</v>
      </c>
    </row>
    <row r="167" spans="1:60" ht="15" thickBot="1" x14ac:dyDescent="0.35">
      <c r="A167" s="75">
        <v>46277</v>
      </c>
      <c r="B167" s="140">
        <v>0.22916666666666666</v>
      </c>
      <c r="C167" s="117">
        <v>374</v>
      </c>
      <c r="D167" s="117">
        <v>1161</v>
      </c>
      <c r="E167" s="117">
        <v>249</v>
      </c>
      <c r="F167" s="117">
        <v>1861</v>
      </c>
      <c r="G167" s="145" t="s">
        <v>100</v>
      </c>
      <c r="H167" s="123">
        <v>10</v>
      </c>
      <c r="I167" s="117">
        <v>-54</v>
      </c>
      <c r="J167" s="11">
        <v>90</v>
      </c>
      <c r="K167" s="117">
        <v>90</v>
      </c>
      <c r="L167" s="117">
        <v>90</v>
      </c>
      <c r="M167" s="123">
        <v>23.8</v>
      </c>
      <c r="N167" s="123">
        <v>6.7</v>
      </c>
      <c r="O167" s="80">
        <v>1.21</v>
      </c>
      <c r="P167" s="117">
        <v>6</v>
      </c>
      <c r="Q167" s="123">
        <v>7.8</v>
      </c>
      <c r="R167" s="11">
        <v>0.12</v>
      </c>
      <c r="S167" s="79">
        <v>22.36</v>
      </c>
      <c r="T167" s="79">
        <v>0.88</v>
      </c>
      <c r="U167" s="79">
        <v>0.7</v>
      </c>
      <c r="V167" s="85">
        <f t="shared" si="16"/>
        <v>1444.6012499999999</v>
      </c>
      <c r="W167" s="85">
        <f t="shared" si="17"/>
        <v>1460.2868799999999</v>
      </c>
      <c r="X167" s="85">
        <f t="shared" si="18"/>
        <v>1.0108581035770252</v>
      </c>
      <c r="Y167" s="117">
        <v>2</v>
      </c>
      <c r="Z167" s="117">
        <v>4</v>
      </c>
      <c r="AA167" s="123">
        <v>6</v>
      </c>
      <c r="AB167" s="117">
        <v>20</v>
      </c>
      <c r="AC167" s="123">
        <v>6.1</v>
      </c>
      <c r="AD167" s="123">
        <v>6.2</v>
      </c>
      <c r="AE167" s="80">
        <v>0.16</v>
      </c>
      <c r="AF167" s="80">
        <v>0.18</v>
      </c>
      <c r="AG167" s="85">
        <f>(O167+0.3*H167+2)*(F167/2/AK167)</f>
        <v>1926.1350000000002</v>
      </c>
      <c r="AH167" s="85">
        <f t="shared" si="19"/>
        <v>1708.2758263999997</v>
      </c>
      <c r="AI167" s="85">
        <f t="shared" si="20"/>
        <v>0.88689309233257252</v>
      </c>
      <c r="AJ167" s="117">
        <v>2</v>
      </c>
      <c r="AK167" s="117">
        <v>3</v>
      </c>
      <c r="AL167" s="123">
        <v>6.3</v>
      </c>
      <c r="AM167" s="117">
        <v>22</v>
      </c>
      <c r="AN167" s="123">
        <v>6</v>
      </c>
      <c r="AO167" s="123">
        <v>5.8</v>
      </c>
      <c r="AP167" s="80">
        <v>0.13</v>
      </c>
      <c r="AQ167" s="80">
        <v>0.18</v>
      </c>
      <c r="AR167" s="132">
        <f>SUM(C167:E167)</f>
        <v>1784</v>
      </c>
      <c r="AS167" s="134">
        <f>C167/AR167</f>
        <v>0.20964125560538116</v>
      </c>
      <c r="AT167" s="134">
        <f>D167/AR167</f>
        <v>0.65078475336322872</v>
      </c>
      <c r="AU167" s="134">
        <f>E167/AR167</f>
        <v>0.13957399103139012</v>
      </c>
      <c r="AV167" s="151">
        <f>IF(AND(F167&lt;&gt;"",Z167&lt;&gt;""),AB167/(F167/2/Z167),"")</f>
        <v>8.5975282106394407E-2</v>
      </c>
      <c r="AW167" s="151">
        <f>IF(AND(F167&lt;&gt;"",AK167&lt;&gt;""),AM167/(F167/2/AK167),"")</f>
        <v>7.0929607737775388E-2</v>
      </c>
      <c r="AX167" s="41">
        <f>IF(AND(AQ167&lt;&gt;"",1-(AQ167/O167)&gt;0),1-(AQ167/O167),"")</f>
        <v>0.85123966942148765</v>
      </c>
      <c r="AY167" s="41">
        <f>IF(AND(AF167&lt;&gt;"",1-(AF167/O167)&gt;0),1-(AF167/O167),"")</f>
        <v>0.85123966942148765</v>
      </c>
      <c r="AZ167" s="136" t="str">
        <f>IF(Q167="","",IF(Q167&lt;2.5,"Alc. Bruta &lt; 2,5 mg/L",IF(Q167&lt;5,"2,5 ≤ Alc. Bruta &lt; 5,0 mg/L",IF(Q167&lt;7.5,"5,0 ≤ Alc. Bruta &lt; 7,5 mg/L",IF(Q167&lt;10,"7,5 ≤ Alc. Bruta &lt; 10,0 mg/L",IF(Q167&lt;15,"10,0 ≤ Alca. Bruta &lt; 15,0 mg/L","Alc. Bruta &gt; 15 mg/L"))))))</f>
        <v>7,5 ≤ Alc. Bruta &lt; 10,0 mg/L</v>
      </c>
      <c r="BA167" s="136" t="str">
        <f>IF(P167="","",IF(P167&lt;5,"Cor &lt;5 uC",IF(P167&lt;10,"5 ≤ Cor &lt; 10 uC",IF(P167&lt;15,"10 ≤ Cor &lt;15 uC",IF(P167&lt;30,"15 ≤ Cor &lt; 30 uC",IF(P167&lt;50,"30 ≤ Cor &lt; 50 uC","Cor &gt; 50 uC"))))))</f>
        <v>5 ≤ Cor &lt; 10 uC</v>
      </c>
      <c r="BB167" s="137" t="str">
        <f>IF(O167="","",IF(O167&lt;2.5,"Turbidez &lt; 2,5 uT",IF(O167&lt;5,"2,5 ≤ Turb &lt; 5,0 uT",IF(O167&lt;7.5,"5,0 ≤ Turb &lt; 7,5 uT",IF(O167&lt;10,"7,5 ≤ Turb &lt; 10,0 uT",IF(O167&lt;15,"10,0 ≤ Turb &lt; 15,0 uT","Turb &gt; 15 uT"))))))</f>
        <v>Turbidez &lt; 2,5 uT</v>
      </c>
      <c r="BC167" s="138" t="str">
        <f>IF(AND(C167&gt;D167,D167&gt;E167),"TOR &gt; SM &gt; BNN",IF(AND(C167&gt;E167,E167&gt;D167),"TOR &gt; BNN &gt; SM",IF(AND(D167&gt;C167,C167&gt;E167),"SM &gt; TOR &gt; BNN",IF(AND(D167&gt;E167,E167&gt;C167),"SM &gt; BNN &gt; TOR",IF(AND(C167=D167,D167=E167),"TOR = SM = BNN","Comb. diferentes")))))</f>
        <v>SM &gt; TOR &gt; BNN</v>
      </c>
      <c r="BD167" s="137" t="str">
        <f>IF(OR(AE167="",AQ167="-"),"",IF(AE167&lt;=0.25,"Tipo 1 (≤0,25) uT",IF(AE167&lt;=0.5,"Tipo 2 (0,25-0,50) uT",IF(AE167&lt;=0.75,"Tipo 3 (0,50-0,75) uT","Tipo 4 (&gt;0,75) uT"))))</f>
        <v>Tipo 1 (≤0,25) uT</v>
      </c>
      <c r="BE167" s="137" t="str">
        <f t="shared" si="14"/>
        <v>Tipo 1 (≤0,25) uT</v>
      </c>
      <c r="BF167" s="137" t="str">
        <f>IF(OR(AF167="",AQ167="-"),"",IF(AF167&lt;=0.25,"Tipo 1 (≤0,25) uT",IF(AF167&lt;=0.5,"Tipo 2 (0,25-0,50) uT",IF(AF167&lt;=0.75,"Tipo 3 (0,50-0,75) uT","Tipo 4 (&gt;0,75) uT"))))</f>
        <v>Tipo 1 (≤0,25) uT</v>
      </c>
      <c r="BG167" s="137" t="str">
        <f t="shared" si="15"/>
        <v>Tipo 1 (≤0,25) uT</v>
      </c>
      <c r="BH167" s="137" t="str">
        <f>IF(OR(R167="",R167="-"),"",IF(R167&lt;=0.25,"Tipo 1 (≤0,25) uT",IF(R167&lt;=0.5,"Tipo 2 (0,25-0,50) uT",IF(R167&lt;=0.75,"Tipo 3 (0,50-0,75) uT","Tipo 4 (&gt;0,75) uT"))))</f>
        <v>Tipo 1 (≤0,25) uT</v>
      </c>
    </row>
    <row r="168" spans="1:60" x14ac:dyDescent="0.3">
      <c r="A168" s="73">
        <v>46277</v>
      </c>
      <c r="B168" s="141">
        <v>0.3125</v>
      </c>
      <c r="C168" s="118">
        <v>364</v>
      </c>
      <c r="D168" s="118">
        <v>1166</v>
      </c>
      <c r="E168" s="118">
        <v>250</v>
      </c>
      <c r="F168" s="118">
        <v>1902</v>
      </c>
      <c r="G168" s="146" t="s">
        <v>100</v>
      </c>
      <c r="H168" s="124">
        <v>10</v>
      </c>
      <c r="I168" s="118">
        <v>-47</v>
      </c>
      <c r="J168" s="9">
        <v>90</v>
      </c>
      <c r="K168" s="118">
        <v>90</v>
      </c>
      <c r="L168" s="118">
        <v>90</v>
      </c>
      <c r="M168" s="124">
        <v>23.5</v>
      </c>
      <c r="N168" s="124">
        <v>6.8</v>
      </c>
      <c r="O168" s="81">
        <v>1.49</v>
      </c>
      <c r="P168" s="118">
        <v>9</v>
      </c>
      <c r="Q168" s="124">
        <v>6.5</v>
      </c>
      <c r="R168" s="9">
        <v>0.08</v>
      </c>
      <c r="S168" s="79">
        <v>22.36</v>
      </c>
      <c r="T168" s="79">
        <v>0.88</v>
      </c>
      <c r="U168" s="79">
        <v>0.7</v>
      </c>
      <c r="V168" s="85">
        <f t="shared" si="16"/>
        <v>1542.9974999999999</v>
      </c>
      <c r="W168" s="85">
        <f t="shared" si="17"/>
        <v>1531.7821607295994</v>
      </c>
      <c r="X168" s="85">
        <f t="shared" si="18"/>
        <v>0.99273145985628586</v>
      </c>
      <c r="Y168" s="118">
        <v>2</v>
      </c>
      <c r="Z168" s="118">
        <v>4</v>
      </c>
      <c r="AA168" s="124">
        <v>6.08</v>
      </c>
      <c r="AB168" s="118">
        <v>20.63</v>
      </c>
      <c r="AC168" s="124">
        <v>6.3</v>
      </c>
      <c r="AD168" s="124">
        <v>4.4000000000000004</v>
      </c>
      <c r="AE168" s="81">
        <v>0.15</v>
      </c>
      <c r="AF168" s="81">
        <v>0.14000000000000001</v>
      </c>
      <c r="AG168" s="85">
        <f>(O168+0.3*H168+2)*(F168/2/AK168)</f>
        <v>2057.33</v>
      </c>
      <c r="AH168" s="85">
        <f t="shared" si="19"/>
        <v>1907.1375767755997</v>
      </c>
      <c r="AI168" s="85">
        <f t="shared" si="20"/>
        <v>0.92699643556240352</v>
      </c>
      <c r="AJ168" s="118">
        <v>2</v>
      </c>
      <c r="AK168" s="118">
        <v>3</v>
      </c>
      <c r="AL168" s="124">
        <v>6.29</v>
      </c>
      <c r="AM168" s="118">
        <v>24.61</v>
      </c>
      <c r="AN168" s="124">
        <v>6.2</v>
      </c>
      <c r="AO168" s="124">
        <v>4.0999999999999996</v>
      </c>
      <c r="AP168" s="81">
        <v>0.15</v>
      </c>
      <c r="AQ168" s="81">
        <v>0.24</v>
      </c>
      <c r="AR168" s="132">
        <f>SUM(C168:E168)</f>
        <v>1780</v>
      </c>
      <c r="AS168" s="134">
        <f>C168/AR168</f>
        <v>0.20449438202247192</v>
      </c>
      <c r="AT168" s="134">
        <f>D168/AR168</f>
        <v>0.65505617977528086</v>
      </c>
      <c r="AU168" s="134">
        <f>E168/AR168</f>
        <v>0.1404494382022472</v>
      </c>
      <c r="AV168" s="151">
        <f>IF(AND(F168&lt;&gt;"",Z168&lt;&gt;""),AB168/(F168/2/Z168),"")</f>
        <v>8.6771819137749728E-2</v>
      </c>
      <c r="AW168" s="151">
        <f>IF(AND(F168&lt;&gt;"",AK168&lt;&gt;""),AM168/(F168/2/AK168),"")</f>
        <v>7.7634069400630917E-2</v>
      </c>
      <c r="AX168" s="41">
        <f>IF(AND(AQ168&lt;&gt;"",1-(AQ168/O168)&gt;0),1-(AQ168/O168),"")</f>
        <v>0.83892617449664431</v>
      </c>
      <c r="AY168" s="41">
        <f>IF(AND(AF168&lt;&gt;"",1-(AF168/O168)&gt;0),1-(AF168/O168),"")</f>
        <v>0.90604026845637586</v>
      </c>
      <c r="AZ168" s="136" t="str">
        <f>IF(Q168="","",IF(Q168&lt;2.5,"Alc. Bruta &lt; 2,5 mg/L",IF(Q168&lt;5,"2,5 ≤ Alc. Bruta &lt; 5,0 mg/L",IF(Q168&lt;7.5,"5,0 ≤ Alc. Bruta &lt; 7,5 mg/L",IF(Q168&lt;10,"7,5 ≤ Alc. Bruta &lt; 10,0 mg/L",IF(Q168&lt;15,"10,0 ≤ Alca. Bruta &lt; 15,0 mg/L","Alc. Bruta &gt; 15 mg/L"))))))</f>
        <v>5,0 ≤ Alc. Bruta &lt; 7,5 mg/L</v>
      </c>
      <c r="BA168" s="136" t="str">
        <f>IF(P168="","",IF(P168&lt;5,"Cor &lt;5 uC",IF(P168&lt;10,"5 ≤ Cor &lt; 10 uC",IF(P168&lt;15,"10 ≤ Cor &lt;15 uC",IF(P168&lt;30,"15 ≤ Cor &lt; 30 uC",IF(P168&lt;50,"30 ≤ Cor &lt; 50 uC","Cor &gt; 50 uC"))))))</f>
        <v>5 ≤ Cor &lt; 10 uC</v>
      </c>
      <c r="BB168" s="137" t="str">
        <f>IF(O168="","",IF(O168&lt;2.5,"Turbidez &lt; 2,5 uT",IF(O168&lt;5,"2,5 ≤ Turb &lt; 5,0 uT",IF(O168&lt;7.5,"5,0 ≤ Turb &lt; 7,5 uT",IF(O168&lt;10,"7,5 ≤ Turb &lt; 10,0 uT",IF(O168&lt;15,"10,0 ≤ Turb &lt; 15,0 uT","Turb &gt; 15 uT"))))))</f>
        <v>Turbidez &lt; 2,5 uT</v>
      </c>
      <c r="BC168" s="138" t="str">
        <f>IF(AND(C168&gt;D168,D168&gt;E168),"TOR &gt; SM &gt; BNN",IF(AND(C168&gt;E168,E168&gt;D168),"TOR &gt; BNN &gt; SM",IF(AND(D168&gt;C168,C168&gt;E168),"SM &gt; TOR &gt; BNN",IF(AND(D168&gt;E168,E168&gt;C168),"SM &gt; BNN &gt; TOR",IF(AND(C168=D168,D168=E168),"TOR = SM = BNN","Comb. diferentes")))))</f>
        <v>SM &gt; TOR &gt; BNN</v>
      </c>
      <c r="BD168" s="137" t="str">
        <f>IF(OR(AE168="",AQ168="-"),"",IF(AE168&lt;=0.25,"Tipo 1 (≤0,25) uT",IF(AE168&lt;=0.5,"Tipo 2 (0,25-0,50) uT",IF(AE168&lt;=0.75,"Tipo 3 (0,50-0,75) uT","Tipo 4 (&gt;0,75) uT"))))</f>
        <v>Tipo 1 (≤0,25) uT</v>
      </c>
      <c r="BE168" s="137" t="str">
        <f t="shared" si="14"/>
        <v>Tipo 1 (≤0,25) uT</v>
      </c>
      <c r="BF168" s="137" t="str">
        <f>IF(OR(AF168="",AQ168="-"),"",IF(AF168&lt;=0.25,"Tipo 1 (≤0,25) uT",IF(AF168&lt;=0.5,"Tipo 2 (0,25-0,50) uT",IF(AF168&lt;=0.75,"Tipo 3 (0,50-0,75) uT","Tipo 4 (&gt;0,75) uT"))))</f>
        <v>Tipo 1 (≤0,25) uT</v>
      </c>
      <c r="BG168" s="137" t="str">
        <f t="shared" si="15"/>
        <v>Tipo 1 (≤0,25) uT</v>
      </c>
      <c r="BH168" s="137" t="str">
        <f>IF(OR(R168="",R168="-"),"",IF(R168&lt;=0.25,"Tipo 1 (≤0,25) uT",IF(R168&lt;=0.5,"Tipo 2 (0,25-0,50) uT",IF(R168&lt;=0.75,"Tipo 3 (0,50-0,75) uT","Tipo 4 (&gt;0,75) uT"))))</f>
        <v>Tipo 1 (≤0,25) uT</v>
      </c>
    </row>
    <row r="169" spans="1:60" x14ac:dyDescent="0.3">
      <c r="A169" s="74">
        <v>46277</v>
      </c>
      <c r="B169" s="139">
        <v>0.39583333333333331</v>
      </c>
      <c r="C169" s="116">
        <v>356</v>
      </c>
      <c r="D169" s="116">
        <v>1152</v>
      </c>
      <c r="E169" s="116">
        <v>249</v>
      </c>
      <c r="F169" s="116">
        <v>1804</v>
      </c>
      <c r="G169" s="144" t="s">
        <v>100</v>
      </c>
      <c r="H169" s="122">
        <v>10</v>
      </c>
      <c r="I169" s="116">
        <v>-45</v>
      </c>
      <c r="J169" s="10">
        <v>90</v>
      </c>
      <c r="K169" s="116">
        <v>90</v>
      </c>
      <c r="L169" s="116">
        <v>90</v>
      </c>
      <c r="M169" s="122">
        <v>23.8</v>
      </c>
      <c r="N169" s="122">
        <v>6.7</v>
      </c>
      <c r="O169" s="79">
        <v>1.51</v>
      </c>
      <c r="P169" s="116">
        <v>9</v>
      </c>
      <c r="Q169" s="122">
        <v>6.3</v>
      </c>
      <c r="R169" s="10">
        <v>0.08</v>
      </c>
      <c r="S169" s="79">
        <v>22.36</v>
      </c>
      <c r="T169" s="79">
        <v>0.88</v>
      </c>
      <c r="U169" s="79">
        <v>0.7</v>
      </c>
      <c r="V169" s="85">
        <f t="shared" si="16"/>
        <v>1468.0049999999999</v>
      </c>
      <c r="W169" s="85">
        <f t="shared" si="17"/>
        <v>1522.0424494963997</v>
      </c>
      <c r="X169" s="85">
        <f t="shared" si="18"/>
        <v>1.0368101263254552</v>
      </c>
      <c r="Y169" s="116">
        <v>2</v>
      </c>
      <c r="Z169" s="116">
        <v>4</v>
      </c>
      <c r="AA169" s="122">
        <v>5.99</v>
      </c>
      <c r="AB169" s="116">
        <v>20.89</v>
      </c>
      <c r="AC169" s="122">
        <v>6.4</v>
      </c>
      <c r="AD169" s="122">
        <v>4.3</v>
      </c>
      <c r="AE169" s="79">
        <v>0.19</v>
      </c>
      <c r="AF169" s="79">
        <v>0.15</v>
      </c>
      <c r="AG169" s="85">
        <f>(O169+0.3*H169+2)*(F169/2/AK169)</f>
        <v>1957.3400000000001</v>
      </c>
      <c r="AH169" s="85">
        <f t="shared" si="19"/>
        <v>1909.3864805079995</v>
      </c>
      <c r="AI169" s="85">
        <f t="shared" si="20"/>
        <v>0.97550066953518522</v>
      </c>
      <c r="AJ169" s="116">
        <v>2</v>
      </c>
      <c r="AK169" s="116">
        <v>3</v>
      </c>
      <c r="AL169" s="122">
        <v>6.3</v>
      </c>
      <c r="AM169" s="116">
        <v>24.59</v>
      </c>
      <c r="AN169" s="122">
        <v>6.2</v>
      </c>
      <c r="AO169" s="122">
        <v>3.7</v>
      </c>
      <c r="AP169" s="79">
        <v>0.16</v>
      </c>
      <c r="AQ169" s="79">
        <v>0.2</v>
      </c>
      <c r="AR169" s="132">
        <f>SUM(C169:E169)</f>
        <v>1757</v>
      </c>
      <c r="AS169" s="134">
        <f>C169/AR169</f>
        <v>0.20261809903244166</v>
      </c>
      <c r="AT169" s="134">
        <f>D169/AR169</f>
        <v>0.65566306203756408</v>
      </c>
      <c r="AU169" s="134">
        <f>E169/AR169</f>
        <v>0.14171883892999432</v>
      </c>
      <c r="AV169" s="151">
        <f>IF(AND(F169&lt;&gt;"",Z169&lt;&gt;""),AB169/(F169/2/Z169),"")</f>
        <v>9.2638580931263856E-2</v>
      </c>
      <c r="AW169" s="151">
        <f>IF(AND(F169&lt;&gt;"",AK169&lt;&gt;""),AM169/(F169/2/AK169),"")</f>
        <v>8.178492239467848E-2</v>
      </c>
      <c r="AX169" s="41">
        <f>IF(AND(AQ169&lt;&gt;"",1-(AQ169/O169)&gt;0),1-(AQ169/O169),"")</f>
        <v>0.86754966887417218</v>
      </c>
      <c r="AY169" s="41">
        <f>IF(AND(AF169&lt;&gt;"",1-(AF169/O169)&gt;0),1-(AF169/O169),"")</f>
        <v>0.90066225165562919</v>
      </c>
      <c r="AZ169" s="136" t="str">
        <f>IF(Q169="","",IF(Q169&lt;2.5,"Alc. Bruta &lt; 2,5 mg/L",IF(Q169&lt;5,"2,5 ≤ Alc. Bruta &lt; 5,0 mg/L",IF(Q169&lt;7.5,"5,0 ≤ Alc. Bruta &lt; 7,5 mg/L",IF(Q169&lt;10,"7,5 ≤ Alc. Bruta &lt; 10,0 mg/L",IF(Q169&lt;15,"10,0 ≤ Alca. Bruta &lt; 15,0 mg/L","Alc. Bruta &gt; 15 mg/L"))))))</f>
        <v>5,0 ≤ Alc. Bruta &lt; 7,5 mg/L</v>
      </c>
      <c r="BA169" s="136" t="str">
        <f>IF(P169="","",IF(P169&lt;5,"Cor &lt;5 uC",IF(P169&lt;10,"5 ≤ Cor &lt; 10 uC",IF(P169&lt;15,"10 ≤ Cor &lt;15 uC",IF(P169&lt;30,"15 ≤ Cor &lt; 30 uC",IF(P169&lt;50,"30 ≤ Cor &lt; 50 uC","Cor &gt; 50 uC"))))))</f>
        <v>5 ≤ Cor &lt; 10 uC</v>
      </c>
      <c r="BB169" s="137" t="str">
        <f>IF(O169="","",IF(O169&lt;2.5,"Turbidez &lt; 2,5 uT",IF(O169&lt;5,"2,5 ≤ Turb &lt; 5,0 uT",IF(O169&lt;7.5,"5,0 ≤ Turb &lt; 7,5 uT",IF(O169&lt;10,"7,5 ≤ Turb &lt; 10,0 uT",IF(O169&lt;15,"10,0 ≤ Turb &lt; 15,0 uT","Turb &gt; 15 uT"))))))</f>
        <v>Turbidez &lt; 2,5 uT</v>
      </c>
      <c r="BC169" s="138" t="str">
        <f>IF(AND(C169&gt;D169,D169&gt;E169),"TOR &gt; SM &gt; BNN",IF(AND(C169&gt;E169,E169&gt;D169),"TOR &gt; BNN &gt; SM",IF(AND(D169&gt;C169,C169&gt;E169),"SM &gt; TOR &gt; BNN",IF(AND(D169&gt;E169,E169&gt;C169),"SM &gt; BNN &gt; TOR",IF(AND(C169=D169,D169=E169),"TOR = SM = BNN","Comb. diferentes")))))</f>
        <v>SM &gt; TOR &gt; BNN</v>
      </c>
      <c r="BD169" s="137" t="str">
        <f>IF(OR(AE169="",AQ169="-"),"",IF(AE169&lt;=0.25,"Tipo 1 (≤0,25) uT",IF(AE169&lt;=0.5,"Tipo 2 (0,25-0,50) uT",IF(AE169&lt;=0.75,"Tipo 3 (0,50-0,75) uT","Tipo 4 (&gt;0,75) uT"))))</f>
        <v>Tipo 1 (≤0,25) uT</v>
      </c>
      <c r="BE169" s="137" t="str">
        <f t="shared" si="14"/>
        <v>Tipo 1 (≤0,25) uT</v>
      </c>
      <c r="BF169" s="137" t="str">
        <f>IF(OR(AF169="",AQ169="-"),"",IF(AF169&lt;=0.25,"Tipo 1 (≤0,25) uT",IF(AF169&lt;=0.5,"Tipo 2 (0,25-0,50) uT",IF(AF169&lt;=0.75,"Tipo 3 (0,50-0,75) uT","Tipo 4 (&gt;0,75) uT"))))</f>
        <v>Tipo 1 (≤0,25) uT</v>
      </c>
      <c r="BG169" s="137" t="str">
        <f t="shared" si="15"/>
        <v>Tipo 1 (≤0,25) uT</v>
      </c>
      <c r="BH169" s="137" t="str">
        <f>IF(OR(R169="",R169="-"),"",IF(R169&lt;=0.25,"Tipo 1 (≤0,25) uT",IF(R169&lt;=0.5,"Tipo 2 (0,25-0,50) uT",IF(R169&lt;=0.75,"Tipo 3 (0,50-0,75) uT","Tipo 4 (&gt;0,75) uT"))))</f>
        <v>Tipo 1 (≤0,25) uT</v>
      </c>
    </row>
    <row r="170" spans="1:60" x14ac:dyDescent="0.3">
      <c r="A170" s="74">
        <v>46277</v>
      </c>
      <c r="B170" s="139">
        <v>0.47916666666666669</v>
      </c>
      <c r="C170" s="116">
        <v>355</v>
      </c>
      <c r="D170" s="116">
        <v>1159</v>
      </c>
      <c r="E170" s="116">
        <v>249</v>
      </c>
      <c r="F170" s="116">
        <v>1810</v>
      </c>
      <c r="G170" s="144" t="s">
        <v>100</v>
      </c>
      <c r="H170" s="122">
        <v>10</v>
      </c>
      <c r="I170" s="116">
        <v>-34</v>
      </c>
      <c r="J170" s="10">
        <v>90</v>
      </c>
      <c r="K170" s="116">
        <v>90</v>
      </c>
      <c r="L170" s="116">
        <v>90</v>
      </c>
      <c r="M170" s="122">
        <v>25.1</v>
      </c>
      <c r="N170" s="122">
        <v>6.7</v>
      </c>
      <c r="O170" s="79">
        <v>1.58</v>
      </c>
      <c r="P170" s="116">
        <v>9</v>
      </c>
      <c r="Q170" s="122">
        <v>6.3</v>
      </c>
      <c r="R170" s="10">
        <v>0.09</v>
      </c>
      <c r="S170" s="79">
        <v>22.36</v>
      </c>
      <c r="T170" s="79">
        <v>0.88</v>
      </c>
      <c r="U170" s="79">
        <v>0.7</v>
      </c>
      <c r="V170" s="85">
        <f t="shared" si="16"/>
        <v>1488.7249999999999</v>
      </c>
      <c r="W170" s="85">
        <f t="shared" si="17"/>
        <v>1525.1249411839997</v>
      </c>
      <c r="X170" s="85">
        <f t="shared" si="18"/>
        <v>1.0244504130608405</v>
      </c>
      <c r="Y170" s="116">
        <v>2</v>
      </c>
      <c r="Z170" s="116">
        <v>4</v>
      </c>
      <c r="AA170" s="122">
        <v>6.02</v>
      </c>
      <c r="AB170" s="116">
        <v>20.8</v>
      </c>
      <c r="AC170" s="122">
        <v>6.4</v>
      </c>
      <c r="AD170" s="122">
        <v>4.2</v>
      </c>
      <c r="AE170" s="79">
        <v>0.16</v>
      </c>
      <c r="AF170" s="79">
        <v>0.14000000000000001</v>
      </c>
      <c r="AG170" s="85">
        <f>(O170+0.3*H170+2)*(F170/2/AK170)</f>
        <v>1984.9666666666669</v>
      </c>
      <c r="AH170" s="85">
        <f t="shared" si="19"/>
        <v>1895.6017019472001</v>
      </c>
      <c r="AI170" s="85">
        <f t="shared" si="20"/>
        <v>0.95497911062177365</v>
      </c>
      <c r="AJ170" s="116">
        <v>2</v>
      </c>
      <c r="AK170" s="116">
        <v>3</v>
      </c>
      <c r="AL170" s="122">
        <v>6.28</v>
      </c>
      <c r="AM170" s="116">
        <v>24.51</v>
      </c>
      <c r="AN170" s="122">
        <v>6.1</v>
      </c>
      <c r="AO170" s="122">
        <v>3.8</v>
      </c>
      <c r="AP170" s="79">
        <v>0.14000000000000001</v>
      </c>
      <c r="AQ170" s="79">
        <v>0.18</v>
      </c>
      <c r="AR170" s="132">
        <f>SUM(C170:E170)</f>
        <v>1763</v>
      </c>
      <c r="AS170" s="134">
        <f>C170/AR170</f>
        <v>0.20136131593874079</v>
      </c>
      <c r="AT170" s="134">
        <f>D170/AR170</f>
        <v>0.65740215541690306</v>
      </c>
      <c r="AU170" s="134">
        <f>E170/AR170</f>
        <v>0.14123652864435621</v>
      </c>
      <c r="AV170" s="151">
        <f>IF(AND(F170&lt;&gt;"",Z170&lt;&gt;""),AB170/(F170/2/Z170),"")</f>
        <v>9.1933701657458566E-2</v>
      </c>
      <c r="AW170" s="151">
        <f>IF(AND(F170&lt;&gt;"",AK170&lt;&gt;""),AM170/(F170/2/AK170),"")</f>
        <v>8.1248618784530394E-2</v>
      </c>
      <c r="AX170" s="41">
        <f>IF(AND(AQ170&lt;&gt;"",1-(AQ170/O170)&gt;0),1-(AQ170/O170),"")</f>
        <v>0.88607594936708867</v>
      </c>
      <c r="AY170" s="41">
        <f>IF(AND(AF170&lt;&gt;"",1-(AF170/O170)&gt;0),1-(AF170/O170),"")</f>
        <v>0.91139240506329111</v>
      </c>
      <c r="AZ170" s="136" t="str">
        <f>IF(Q170="","",IF(Q170&lt;2.5,"Alc. Bruta &lt; 2,5 mg/L",IF(Q170&lt;5,"2,5 ≤ Alc. Bruta &lt; 5,0 mg/L",IF(Q170&lt;7.5,"5,0 ≤ Alc. Bruta &lt; 7,5 mg/L",IF(Q170&lt;10,"7,5 ≤ Alc. Bruta &lt; 10,0 mg/L",IF(Q170&lt;15,"10,0 ≤ Alca. Bruta &lt; 15,0 mg/L","Alc. Bruta &gt; 15 mg/L"))))))</f>
        <v>5,0 ≤ Alc. Bruta &lt; 7,5 mg/L</v>
      </c>
      <c r="BA170" s="136" t="str">
        <f>IF(P170="","",IF(P170&lt;5,"Cor &lt;5 uC",IF(P170&lt;10,"5 ≤ Cor &lt; 10 uC",IF(P170&lt;15,"10 ≤ Cor &lt;15 uC",IF(P170&lt;30,"15 ≤ Cor &lt; 30 uC",IF(P170&lt;50,"30 ≤ Cor &lt; 50 uC","Cor &gt; 50 uC"))))))</f>
        <v>5 ≤ Cor &lt; 10 uC</v>
      </c>
      <c r="BB170" s="137" t="str">
        <f>IF(O170="","",IF(O170&lt;2.5,"Turbidez &lt; 2,5 uT",IF(O170&lt;5,"2,5 ≤ Turb &lt; 5,0 uT",IF(O170&lt;7.5,"5,0 ≤ Turb &lt; 7,5 uT",IF(O170&lt;10,"7,5 ≤ Turb &lt; 10,0 uT",IF(O170&lt;15,"10,0 ≤ Turb &lt; 15,0 uT","Turb &gt; 15 uT"))))))</f>
        <v>Turbidez &lt; 2,5 uT</v>
      </c>
      <c r="BC170" s="138" t="str">
        <f>IF(AND(C170&gt;D170,D170&gt;E170),"TOR &gt; SM &gt; BNN",IF(AND(C170&gt;E170,E170&gt;D170),"TOR &gt; BNN &gt; SM",IF(AND(D170&gt;C170,C170&gt;E170),"SM &gt; TOR &gt; BNN",IF(AND(D170&gt;E170,E170&gt;C170),"SM &gt; BNN &gt; TOR",IF(AND(C170=D170,D170=E170),"TOR = SM = BNN","Comb. diferentes")))))</f>
        <v>SM &gt; TOR &gt; BNN</v>
      </c>
      <c r="BD170" s="137" t="str">
        <f>IF(OR(AE170="",AQ170="-"),"",IF(AE170&lt;=0.25,"Tipo 1 (≤0,25) uT",IF(AE170&lt;=0.5,"Tipo 2 (0,25-0,50) uT",IF(AE170&lt;=0.75,"Tipo 3 (0,50-0,75) uT","Tipo 4 (&gt;0,75) uT"))))</f>
        <v>Tipo 1 (≤0,25) uT</v>
      </c>
      <c r="BE170" s="137" t="str">
        <f t="shared" si="14"/>
        <v>Tipo 1 (≤0,25) uT</v>
      </c>
      <c r="BF170" s="137" t="str">
        <f>IF(OR(AF170="",AQ170="-"),"",IF(AF170&lt;=0.25,"Tipo 1 (≤0,25) uT",IF(AF170&lt;=0.5,"Tipo 2 (0,25-0,50) uT",IF(AF170&lt;=0.75,"Tipo 3 (0,50-0,75) uT","Tipo 4 (&gt;0,75) uT"))))</f>
        <v>Tipo 1 (≤0,25) uT</v>
      </c>
      <c r="BG170" s="137" t="str">
        <f t="shared" si="15"/>
        <v>Tipo 1 (≤0,25) uT</v>
      </c>
      <c r="BH170" s="137" t="str">
        <f>IF(OR(R170="",R170="-"),"",IF(R170&lt;=0.25,"Tipo 1 (≤0,25) uT",IF(R170&lt;=0.5,"Tipo 2 (0,25-0,50) uT",IF(R170&lt;=0.75,"Tipo 3 (0,50-0,75) uT","Tipo 4 (&gt;0,75) uT"))))</f>
        <v>Tipo 1 (≤0,25) uT</v>
      </c>
    </row>
    <row r="171" spans="1:60" x14ac:dyDescent="0.3">
      <c r="A171" s="74">
        <v>46277</v>
      </c>
      <c r="B171" s="139">
        <v>0.64583333333333337</v>
      </c>
      <c r="C171" s="116">
        <v>359</v>
      </c>
      <c r="D171" s="116">
        <v>1150</v>
      </c>
      <c r="E171" s="116">
        <v>250</v>
      </c>
      <c r="F171" s="116">
        <v>1799</v>
      </c>
      <c r="G171" s="144" t="s">
        <v>100</v>
      </c>
      <c r="H171" s="122">
        <v>10</v>
      </c>
      <c r="I171" s="116">
        <v>-15</v>
      </c>
      <c r="J171" s="10">
        <v>90</v>
      </c>
      <c r="K171" s="116">
        <v>90</v>
      </c>
      <c r="L171" s="116">
        <v>90</v>
      </c>
      <c r="M171" s="122">
        <v>23.7</v>
      </c>
      <c r="N171" s="122">
        <v>6.7</v>
      </c>
      <c r="O171" s="79">
        <v>1.48</v>
      </c>
      <c r="P171" s="116">
        <v>7</v>
      </c>
      <c r="Q171" s="122">
        <v>6.1</v>
      </c>
      <c r="R171" s="10">
        <v>0.08</v>
      </c>
      <c r="S171" s="79">
        <v>22.36</v>
      </c>
      <c r="T171" s="79">
        <v>0.88</v>
      </c>
      <c r="U171" s="79">
        <v>0.7</v>
      </c>
      <c r="V171" s="85">
        <f t="shared" si="16"/>
        <v>1457.19</v>
      </c>
      <c r="W171" s="85">
        <f t="shared" si="17"/>
        <v>1560.7397488383995</v>
      </c>
      <c r="X171" s="85">
        <f t="shared" si="18"/>
        <v>1.0710612540838185</v>
      </c>
      <c r="Y171" s="116">
        <v>2</v>
      </c>
      <c r="Z171" s="116">
        <v>4</v>
      </c>
      <c r="AA171" s="122">
        <v>6.08</v>
      </c>
      <c r="AB171" s="116">
        <v>21.02</v>
      </c>
      <c r="AC171" s="122">
        <v>6.2</v>
      </c>
      <c r="AD171" s="122">
        <v>4.4000000000000004</v>
      </c>
      <c r="AE171" s="79">
        <v>0.38</v>
      </c>
      <c r="AF171" s="79">
        <v>0.13</v>
      </c>
      <c r="AG171" s="85">
        <f>(O171+0.3*H171+2)*(F171/2/AK171)</f>
        <v>1942.92</v>
      </c>
      <c r="AH171" s="85">
        <f t="shared" si="19"/>
        <v>1879.5554298559996</v>
      </c>
      <c r="AI171" s="85">
        <f t="shared" si="20"/>
        <v>0.96738693814258925</v>
      </c>
      <c r="AJ171" s="116">
        <v>2</v>
      </c>
      <c r="AK171" s="116">
        <v>3</v>
      </c>
      <c r="AL171" s="122">
        <v>6.26</v>
      </c>
      <c r="AM171" s="116">
        <v>24.4</v>
      </c>
      <c r="AN171" s="122">
        <v>6.2</v>
      </c>
      <c r="AO171" s="122">
        <v>4.5999999999999996</v>
      </c>
      <c r="AP171" s="79">
        <v>0.23</v>
      </c>
      <c r="AQ171" s="79">
        <v>0.18</v>
      </c>
      <c r="AR171" s="132">
        <f>SUM(C171:E171)</f>
        <v>1759</v>
      </c>
      <c r="AS171" s="134">
        <f>C171/AR171</f>
        <v>0.20409323479249575</v>
      </c>
      <c r="AT171" s="134">
        <f>D171/AR171</f>
        <v>0.6537805571347356</v>
      </c>
      <c r="AU171" s="134">
        <f>E171/AR171</f>
        <v>0.14212620807276863</v>
      </c>
      <c r="AV171" s="151">
        <f>IF(AND(F171&lt;&gt;"",Z171&lt;&gt;""),AB171/(F171/2/Z171),"")</f>
        <v>9.347415230683713E-2</v>
      </c>
      <c r="AW171" s="151">
        <f>IF(AND(F171&lt;&gt;"",AK171&lt;&gt;""),AM171/(F171/2/AK171),"")</f>
        <v>8.1378543635352976E-2</v>
      </c>
      <c r="AX171" s="41">
        <f>IF(AND(AQ171&lt;&gt;"",1-(AQ171/O171)&gt;0),1-(AQ171/O171),"")</f>
        <v>0.8783783783783784</v>
      </c>
      <c r="AY171" s="41">
        <f>IF(AND(AF171&lt;&gt;"",1-(AF171/O171)&gt;0),1-(AF171/O171),"")</f>
        <v>0.91216216216216217</v>
      </c>
      <c r="AZ171" s="136" t="str">
        <f>IF(Q171="","",IF(Q171&lt;2.5,"Alc. Bruta &lt; 2,5 mg/L",IF(Q171&lt;5,"2,5 ≤ Alc. Bruta &lt; 5,0 mg/L",IF(Q171&lt;7.5,"5,0 ≤ Alc. Bruta &lt; 7,5 mg/L",IF(Q171&lt;10,"7,5 ≤ Alc. Bruta &lt; 10,0 mg/L",IF(Q171&lt;15,"10,0 ≤ Alca. Bruta &lt; 15,0 mg/L","Alc. Bruta &gt; 15 mg/L"))))))</f>
        <v>5,0 ≤ Alc. Bruta &lt; 7,5 mg/L</v>
      </c>
      <c r="BA171" s="136" t="str">
        <f>IF(P171="","",IF(P171&lt;5,"Cor &lt;5 uC",IF(P171&lt;10,"5 ≤ Cor &lt; 10 uC",IF(P171&lt;15,"10 ≤ Cor &lt;15 uC",IF(P171&lt;30,"15 ≤ Cor &lt; 30 uC",IF(P171&lt;50,"30 ≤ Cor &lt; 50 uC","Cor &gt; 50 uC"))))))</f>
        <v>5 ≤ Cor &lt; 10 uC</v>
      </c>
      <c r="BB171" s="137" t="str">
        <f>IF(O171="","",IF(O171&lt;2.5,"Turbidez &lt; 2,5 uT",IF(O171&lt;5,"2,5 ≤ Turb &lt; 5,0 uT",IF(O171&lt;7.5,"5,0 ≤ Turb &lt; 7,5 uT",IF(O171&lt;10,"7,5 ≤ Turb &lt; 10,0 uT",IF(O171&lt;15,"10,0 ≤ Turb &lt; 15,0 uT","Turb &gt; 15 uT"))))))</f>
        <v>Turbidez &lt; 2,5 uT</v>
      </c>
      <c r="BC171" s="138" t="str">
        <f>IF(AND(C171&gt;D171,D171&gt;E171),"TOR &gt; SM &gt; BNN",IF(AND(C171&gt;E171,E171&gt;D171),"TOR &gt; BNN &gt; SM",IF(AND(D171&gt;C171,C171&gt;E171),"SM &gt; TOR &gt; BNN",IF(AND(D171&gt;E171,E171&gt;C171),"SM &gt; BNN &gt; TOR",IF(AND(C171=D171,D171=E171),"TOR = SM = BNN","Comb. diferentes")))))</f>
        <v>SM &gt; TOR &gt; BNN</v>
      </c>
      <c r="BD171" s="137" t="str">
        <f>IF(OR(AE171="",AQ171="-"),"",IF(AE171&lt;=0.25,"Tipo 1 (≤0,25) uT",IF(AE171&lt;=0.5,"Tipo 2 (0,25-0,50) uT",IF(AE171&lt;=0.75,"Tipo 3 (0,50-0,75) uT","Tipo 4 (&gt;0,75) uT"))))</f>
        <v>Tipo 2 (0,25-0,50) uT</v>
      </c>
      <c r="BE171" s="137" t="str">
        <f t="shared" si="14"/>
        <v>Tipo 1 (≤0,25) uT</v>
      </c>
      <c r="BF171" s="137" t="str">
        <f>IF(OR(AF171="",AQ171="-"),"",IF(AF171&lt;=0.25,"Tipo 1 (≤0,25) uT",IF(AF171&lt;=0.5,"Tipo 2 (0,25-0,50) uT",IF(AF171&lt;=0.75,"Tipo 3 (0,50-0,75) uT","Tipo 4 (&gt;0,75) uT"))))</f>
        <v>Tipo 1 (≤0,25) uT</v>
      </c>
      <c r="BG171" s="137" t="str">
        <f t="shared" si="15"/>
        <v>Tipo 1 (≤0,25) uT</v>
      </c>
      <c r="BH171" s="137" t="str">
        <f>IF(OR(R171="",R171="-"),"",IF(R171&lt;=0.25,"Tipo 1 (≤0,25) uT",IF(R171&lt;=0.5,"Tipo 2 (0,25-0,50) uT",IF(R171&lt;=0.75,"Tipo 3 (0,50-0,75) uT","Tipo 4 (&gt;0,75) uT"))))</f>
        <v>Tipo 1 (≤0,25) uT</v>
      </c>
    </row>
    <row r="172" spans="1:60" x14ac:dyDescent="0.3">
      <c r="A172" s="74">
        <v>46277</v>
      </c>
      <c r="B172" s="139">
        <v>0.72916666666666663</v>
      </c>
      <c r="C172" s="116">
        <v>371</v>
      </c>
      <c r="D172" s="116">
        <v>1188</v>
      </c>
      <c r="E172" s="116">
        <v>249</v>
      </c>
      <c r="F172" s="116">
        <v>1857</v>
      </c>
      <c r="G172" s="144" t="s">
        <v>100</v>
      </c>
      <c r="H172" s="122">
        <v>10</v>
      </c>
      <c r="I172" s="116">
        <v>-7</v>
      </c>
      <c r="J172" s="10">
        <v>90</v>
      </c>
      <c r="K172" s="116">
        <v>90</v>
      </c>
      <c r="L172" s="116">
        <v>90</v>
      </c>
      <c r="M172" s="122">
        <v>25.8</v>
      </c>
      <c r="N172" s="122">
        <v>6.7</v>
      </c>
      <c r="O172" s="79">
        <v>1.48</v>
      </c>
      <c r="P172" s="116">
        <v>9</v>
      </c>
      <c r="Q172" s="122">
        <v>6.2</v>
      </c>
      <c r="R172" s="10">
        <v>0.08</v>
      </c>
      <c r="S172" s="79">
        <v>22.36</v>
      </c>
      <c r="T172" s="79">
        <v>0.88</v>
      </c>
      <c r="U172" s="79">
        <v>0.7</v>
      </c>
      <c r="V172" s="85">
        <f t="shared" si="16"/>
        <v>1504.17</v>
      </c>
      <c r="W172" s="85">
        <f t="shared" si="17"/>
        <v>1513.7258766863999</v>
      </c>
      <c r="X172" s="85">
        <f t="shared" si="18"/>
        <v>1.0063529233307404</v>
      </c>
      <c r="Y172" s="116">
        <v>2</v>
      </c>
      <c r="Z172" s="116">
        <v>4</v>
      </c>
      <c r="AA172" s="122">
        <v>5.98</v>
      </c>
      <c r="AB172" s="116">
        <v>20.82</v>
      </c>
      <c r="AC172" s="122">
        <v>6.2</v>
      </c>
      <c r="AD172" s="122">
        <v>4.4000000000000004</v>
      </c>
      <c r="AE172" s="79">
        <v>0.18</v>
      </c>
      <c r="AF172" s="79">
        <v>0.16</v>
      </c>
      <c r="AG172" s="85">
        <f>(O172+0.3*H172+2)*(F172/2/AK172)</f>
        <v>2005.5600000000002</v>
      </c>
      <c r="AH172" s="85">
        <f t="shared" si="19"/>
        <v>1894.9026865339997</v>
      </c>
      <c r="AI172" s="85">
        <f t="shared" si="20"/>
        <v>0.94482473051616489</v>
      </c>
      <c r="AJ172" s="116">
        <v>2</v>
      </c>
      <c r="AK172" s="116">
        <v>3</v>
      </c>
      <c r="AL172" s="122">
        <v>6.27</v>
      </c>
      <c r="AM172" s="116">
        <v>24.55</v>
      </c>
      <c r="AN172" s="122">
        <v>6.2</v>
      </c>
      <c r="AO172" s="122">
        <v>4.4000000000000004</v>
      </c>
      <c r="AP172" s="79">
        <v>0.23</v>
      </c>
      <c r="AQ172" s="79">
        <v>0.14000000000000001</v>
      </c>
      <c r="AR172" s="132">
        <f>SUM(C172:E172)</f>
        <v>1808</v>
      </c>
      <c r="AS172" s="134">
        <f>C172/AR172</f>
        <v>0.20519911504424779</v>
      </c>
      <c r="AT172" s="134">
        <f>D172/AR172</f>
        <v>0.65707964601769908</v>
      </c>
      <c r="AU172" s="134">
        <f>E172/AR172</f>
        <v>0.1377212389380531</v>
      </c>
      <c r="AV172" s="151">
        <f>IF(AND(F172&lt;&gt;"",Z172&lt;&gt;""),AB172/(F172/2/Z172),"")</f>
        <v>8.9693053311793211E-2</v>
      </c>
      <c r="AW172" s="151">
        <f>IF(AND(F172&lt;&gt;"",AK172&lt;&gt;""),AM172/(F172/2/AK172),"")</f>
        <v>7.9321486268174479E-2</v>
      </c>
      <c r="AX172" s="41">
        <f>IF(AND(AQ172&lt;&gt;"",1-(AQ172/O172)&gt;0),1-(AQ172/O172),"")</f>
        <v>0.90540540540540537</v>
      </c>
      <c r="AY172" s="41">
        <f>IF(AND(AF172&lt;&gt;"",1-(AF172/O172)&gt;0),1-(AF172/O172),"")</f>
        <v>0.89189189189189189</v>
      </c>
      <c r="AZ172" s="136" t="str">
        <f>IF(Q172="","",IF(Q172&lt;2.5,"Alc. Bruta &lt; 2,5 mg/L",IF(Q172&lt;5,"2,5 ≤ Alc. Bruta &lt; 5,0 mg/L",IF(Q172&lt;7.5,"5,0 ≤ Alc. Bruta &lt; 7,5 mg/L",IF(Q172&lt;10,"7,5 ≤ Alc. Bruta &lt; 10,0 mg/L",IF(Q172&lt;15,"10,0 ≤ Alca. Bruta &lt; 15,0 mg/L","Alc. Bruta &gt; 15 mg/L"))))))</f>
        <v>5,0 ≤ Alc. Bruta &lt; 7,5 mg/L</v>
      </c>
      <c r="BA172" s="136" t="str">
        <f>IF(P172="","",IF(P172&lt;5,"Cor &lt;5 uC",IF(P172&lt;10,"5 ≤ Cor &lt; 10 uC",IF(P172&lt;15,"10 ≤ Cor &lt;15 uC",IF(P172&lt;30,"15 ≤ Cor &lt; 30 uC",IF(P172&lt;50,"30 ≤ Cor &lt; 50 uC","Cor &gt; 50 uC"))))))</f>
        <v>5 ≤ Cor &lt; 10 uC</v>
      </c>
      <c r="BB172" s="137" t="str">
        <f>IF(O172="","",IF(O172&lt;2.5,"Turbidez &lt; 2,5 uT",IF(O172&lt;5,"2,5 ≤ Turb &lt; 5,0 uT",IF(O172&lt;7.5,"5,0 ≤ Turb &lt; 7,5 uT",IF(O172&lt;10,"7,5 ≤ Turb &lt; 10,0 uT",IF(O172&lt;15,"10,0 ≤ Turb &lt; 15,0 uT","Turb &gt; 15 uT"))))))</f>
        <v>Turbidez &lt; 2,5 uT</v>
      </c>
      <c r="BC172" s="138" t="str">
        <f>IF(AND(C172&gt;D172,D172&gt;E172),"TOR &gt; SM &gt; BNN",IF(AND(C172&gt;E172,E172&gt;D172),"TOR &gt; BNN &gt; SM",IF(AND(D172&gt;C172,C172&gt;E172),"SM &gt; TOR &gt; BNN",IF(AND(D172&gt;E172,E172&gt;C172),"SM &gt; BNN &gt; TOR",IF(AND(C172=D172,D172=E172),"TOR = SM = BNN","Comb. diferentes")))))</f>
        <v>SM &gt; TOR &gt; BNN</v>
      </c>
      <c r="BD172" s="137" t="str">
        <f>IF(OR(AE172="",AQ172="-"),"",IF(AE172&lt;=0.25,"Tipo 1 (≤0,25) uT",IF(AE172&lt;=0.5,"Tipo 2 (0,25-0,50) uT",IF(AE172&lt;=0.75,"Tipo 3 (0,50-0,75) uT","Tipo 4 (&gt;0,75) uT"))))</f>
        <v>Tipo 1 (≤0,25) uT</v>
      </c>
      <c r="BE172" s="137" t="str">
        <f t="shared" si="14"/>
        <v>Tipo 1 (≤0,25) uT</v>
      </c>
      <c r="BF172" s="137" t="str">
        <f>IF(OR(AF172="",AQ172="-"),"",IF(AF172&lt;=0.25,"Tipo 1 (≤0,25) uT",IF(AF172&lt;=0.5,"Tipo 2 (0,25-0,50) uT",IF(AF172&lt;=0.75,"Tipo 3 (0,50-0,75) uT","Tipo 4 (&gt;0,75) uT"))))</f>
        <v>Tipo 1 (≤0,25) uT</v>
      </c>
      <c r="BG172" s="137" t="str">
        <f t="shared" si="15"/>
        <v>Tipo 1 (≤0,25) uT</v>
      </c>
      <c r="BH172" s="137" t="str">
        <f>IF(OR(R172="",R172="-"),"",IF(R172&lt;=0.25,"Tipo 1 (≤0,25) uT",IF(R172&lt;=0.5,"Tipo 2 (0,25-0,50) uT",IF(R172&lt;=0.75,"Tipo 3 (0,50-0,75) uT","Tipo 4 (&gt;0,75) uT"))))</f>
        <v>Tipo 1 (≤0,25) uT</v>
      </c>
    </row>
    <row r="173" spans="1:60" x14ac:dyDescent="0.3">
      <c r="A173" s="74">
        <v>46277</v>
      </c>
      <c r="B173" s="139">
        <v>0.8125</v>
      </c>
      <c r="C173" s="116">
        <v>370</v>
      </c>
      <c r="D173" s="116">
        <v>1140</v>
      </c>
      <c r="E173" s="116">
        <v>249</v>
      </c>
      <c r="F173" s="116">
        <v>1789</v>
      </c>
      <c r="G173" s="144" t="s">
        <v>100</v>
      </c>
      <c r="H173" s="122">
        <v>10</v>
      </c>
      <c r="I173" s="116">
        <v>1.84</v>
      </c>
      <c r="J173" s="10">
        <v>90</v>
      </c>
      <c r="K173" s="116">
        <v>90</v>
      </c>
      <c r="L173" s="116">
        <v>90</v>
      </c>
      <c r="M173" s="122">
        <v>25.3</v>
      </c>
      <c r="N173" s="122">
        <v>6.7</v>
      </c>
      <c r="O173" s="79">
        <v>1.43</v>
      </c>
      <c r="P173" s="116">
        <v>8</v>
      </c>
      <c r="Q173" s="122">
        <v>6.2</v>
      </c>
      <c r="R173" s="10">
        <v>0.09</v>
      </c>
      <c r="S173" s="79">
        <v>22.36</v>
      </c>
      <c r="T173" s="79">
        <v>0.88</v>
      </c>
      <c r="U173" s="79">
        <v>0.7</v>
      </c>
      <c r="V173" s="85">
        <f t="shared" si="16"/>
        <v>1437.9087499999998</v>
      </c>
      <c r="W173" s="85">
        <f t="shared" si="17"/>
        <v>1529.2285311159997</v>
      </c>
      <c r="X173" s="85">
        <f t="shared" si="18"/>
        <v>1.0635087456808368</v>
      </c>
      <c r="Y173" s="116">
        <v>2</v>
      </c>
      <c r="Z173" s="116">
        <v>4</v>
      </c>
      <c r="AA173" s="122">
        <v>6.01</v>
      </c>
      <c r="AB173" s="116">
        <v>20.9</v>
      </c>
      <c r="AC173" s="122">
        <v>6.3</v>
      </c>
      <c r="AD173" s="122">
        <v>6</v>
      </c>
      <c r="AE173" s="79">
        <v>0.2</v>
      </c>
      <c r="AF173" s="79">
        <v>0.15</v>
      </c>
      <c r="AG173" s="85">
        <f>(O173+0.3*H173+2)*(F173/2/AK173)</f>
        <v>1917.2116666666668</v>
      </c>
      <c r="AH173" s="85">
        <f t="shared" si="19"/>
        <v>1898.6131910199997</v>
      </c>
      <c r="AI173" s="85">
        <f t="shared" si="20"/>
        <v>0.99029920588841236</v>
      </c>
      <c r="AJ173" s="116">
        <v>2</v>
      </c>
      <c r="AK173" s="116">
        <v>3</v>
      </c>
      <c r="AL173" s="122">
        <v>6.29</v>
      </c>
      <c r="AM173" s="116">
        <v>24.5</v>
      </c>
      <c r="AN173" s="122">
        <v>6.2</v>
      </c>
      <c r="AO173" s="122">
        <v>5.5</v>
      </c>
      <c r="AP173" s="79">
        <v>0.24</v>
      </c>
      <c r="AQ173" s="79">
        <v>0.15</v>
      </c>
      <c r="AR173" s="132">
        <f>SUM(C173:E173)</f>
        <v>1759</v>
      </c>
      <c r="AS173" s="134">
        <f>C173/AR173</f>
        <v>0.21034678794769757</v>
      </c>
      <c r="AT173" s="134">
        <f>D173/AR173</f>
        <v>0.64809550881182487</v>
      </c>
      <c r="AU173" s="134">
        <f>E173/AR173</f>
        <v>0.14155770324047753</v>
      </c>
      <c r="AV173" s="151">
        <f>IF(AND(F173&lt;&gt;"",Z173&lt;&gt;""),AB173/(F173/2/Z173),"")</f>
        <v>9.3460033538289536E-2</v>
      </c>
      <c r="AW173" s="151">
        <f>IF(AND(F173&lt;&gt;"",AK173&lt;&gt;""),AM173/(F173/2/AK173),"")</f>
        <v>8.2168809390721062E-2</v>
      </c>
      <c r="AX173" s="41">
        <f>IF(AND(AQ173&lt;&gt;"",1-(AQ173/O173)&gt;0),1-(AQ173/O173),"")</f>
        <v>0.8951048951048951</v>
      </c>
      <c r="AY173" s="41">
        <f>IF(AND(AF173&lt;&gt;"",1-(AF173/O173)&gt;0),1-(AF173/O173),"")</f>
        <v>0.8951048951048951</v>
      </c>
      <c r="AZ173" s="136" t="str">
        <f>IF(Q173="","",IF(Q173&lt;2.5,"Alc. Bruta &lt; 2,5 mg/L",IF(Q173&lt;5,"2,5 ≤ Alc. Bruta &lt; 5,0 mg/L",IF(Q173&lt;7.5,"5,0 ≤ Alc. Bruta &lt; 7,5 mg/L",IF(Q173&lt;10,"7,5 ≤ Alc. Bruta &lt; 10,0 mg/L",IF(Q173&lt;15,"10,0 ≤ Alca. Bruta &lt; 15,0 mg/L","Alc. Bruta &gt; 15 mg/L"))))))</f>
        <v>5,0 ≤ Alc. Bruta &lt; 7,5 mg/L</v>
      </c>
      <c r="BA173" s="136" t="str">
        <f>IF(P173="","",IF(P173&lt;5,"Cor &lt;5 uC",IF(P173&lt;10,"5 ≤ Cor &lt; 10 uC",IF(P173&lt;15,"10 ≤ Cor &lt;15 uC",IF(P173&lt;30,"15 ≤ Cor &lt; 30 uC",IF(P173&lt;50,"30 ≤ Cor &lt; 50 uC","Cor &gt; 50 uC"))))))</f>
        <v>5 ≤ Cor &lt; 10 uC</v>
      </c>
      <c r="BB173" s="137" t="str">
        <f>IF(O173="","",IF(O173&lt;2.5,"Turbidez &lt; 2,5 uT",IF(O173&lt;5,"2,5 ≤ Turb &lt; 5,0 uT",IF(O173&lt;7.5,"5,0 ≤ Turb &lt; 7,5 uT",IF(O173&lt;10,"7,5 ≤ Turb &lt; 10,0 uT",IF(O173&lt;15,"10,0 ≤ Turb &lt; 15,0 uT","Turb &gt; 15 uT"))))))</f>
        <v>Turbidez &lt; 2,5 uT</v>
      </c>
      <c r="BC173" s="138" t="str">
        <f>IF(AND(C173&gt;D173,D173&gt;E173),"TOR &gt; SM &gt; BNN",IF(AND(C173&gt;E173,E173&gt;D173),"TOR &gt; BNN &gt; SM",IF(AND(D173&gt;C173,C173&gt;E173),"SM &gt; TOR &gt; BNN",IF(AND(D173&gt;E173,E173&gt;C173),"SM &gt; BNN &gt; TOR",IF(AND(C173=D173,D173=E173),"TOR = SM = BNN","Comb. diferentes")))))</f>
        <v>SM &gt; TOR &gt; BNN</v>
      </c>
      <c r="BD173" s="137" t="str">
        <f>IF(OR(AE173="",AQ173="-"),"",IF(AE173&lt;=0.25,"Tipo 1 (≤0,25) uT",IF(AE173&lt;=0.5,"Tipo 2 (0,25-0,50) uT",IF(AE173&lt;=0.75,"Tipo 3 (0,50-0,75) uT","Tipo 4 (&gt;0,75) uT"))))</f>
        <v>Tipo 1 (≤0,25) uT</v>
      </c>
      <c r="BE173" s="137" t="str">
        <f t="shared" si="14"/>
        <v>Tipo 1 (≤0,25) uT</v>
      </c>
      <c r="BF173" s="137" t="str">
        <f>IF(OR(AF173="",AQ173="-"),"",IF(AF173&lt;=0.25,"Tipo 1 (≤0,25) uT",IF(AF173&lt;=0.5,"Tipo 2 (0,25-0,50) uT",IF(AF173&lt;=0.75,"Tipo 3 (0,50-0,75) uT","Tipo 4 (&gt;0,75) uT"))))</f>
        <v>Tipo 1 (≤0,25) uT</v>
      </c>
      <c r="BG173" s="137" t="str">
        <f t="shared" si="15"/>
        <v>Tipo 1 (≤0,25) uT</v>
      </c>
      <c r="BH173" s="137" t="str">
        <f>IF(OR(R173="",R173="-"),"",IF(R173&lt;=0.25,"Tipo 1 (≤0,25) uT",IF(R173&lt;=0.5,"Tipo 2 (0,25-0,50) uT",IF(R173&lt;=0.75,"Tipo 3 (0,50-0,75) uT","Tipo 4 (&gt;0,75) uT"))))</f>
        <v>Tipo 1 (≤0,25) uT</v>
      </c>
    </row>
    <row r="174" spans="1:60" x14ac:dyDescent="0.3">
      <c r="A174" s="74">
        <v>46277</v>
      </c>
      <c r="B174" s="139">
        <v>0.89583333333333337</v>
      </c>
      <c r="C174" s="116">
        <v>416</v>
      </c>
      <c r="D174" s="116">
        <v>1102</v>
      </c>
      <c r="E174" s="116">
        <v>250</v>
      </c>
      <c r="F174" s="116">
        <v>1816</v>
      </c>
      <c r="G174" s="144" t="s">
        <v>100</v>
      </c>
      <c r="H174" s="122">
        <v>10</v>
      </c>
      <c r="I174" s="116">
        <v>9.06</v>
      </c>
      <c r="J174" s="10">
        <v>90</v>
      </c>
      <c r="K174" s="116">
        <v>90</v>
      </c>
      <c r="L174" s="116">
        <v>90</v>
      </c>
      <c r="M174" s="122">
        <v>25.4</v>
      </c>
      <c r="N174" s="122">
        <v>6.6</v>
      </c>
      <c r="O174" s="79">
        <v>1.46</v>
      </c>
      <c r="P174" s="116">
        <v>8</v>
      </c>
      <c r="Q174" s="122">
        <v>6.9</v>
      </c>
      <c r="R174" s="10">
        <v>7.0000000000000007E-2</v>
      </c>
      <c r="S174" s="79">
        <v>22.36</v>
      </c>
      <c r="T174" s="79">
        <v>0.88</v>
      </c>
      <c r="U174" s="79">
        <v>0.7</v>
      </c>
      <c r="V174" s="85">
        <f t="shared" si="16"/>
        <v>1466.42</v>
      </c>
      <c r="W174" s="85">
        <f t="shared" si="17"/>
        <v>1546.27798416</v>
      </c>
      <c r="X174" s="85">
        <f t="shared" si="18"/>
        <v>1.0544577843728262</v>
      </c>
      <c r="Y174" s="116">
        <v>2</v>
      </c>
      <c r="Z174" s="116">
        <v>4</v>
      </c>
      <c r="AA174" s="122">
        <v>6.04</v>
      </c>
      <c r="AB174" s="116">
        <v>21</v>
      </c>
      <c r="AC174" s="122">
        <v>6.3</v>
      </c>
      <c r="AD174" s="122">
        <v>6.3</v>
      </c>
      <c r="AE174" s="79">
        <v>0.19</v>
      </c>
      <c r="AF174" s="79">
        <v>0.12</v>
      </c>
      <c r="AG174" s="85">
        <f>(O174+0.3*H174+2)*(F174/2/AK174)</f>
        <v>1955.2266666666667</v>
      </c>
      <c r="AH174" s="85">
        <f t="shared" si="19"/>
        <v>1902.3980793999997</v>
      </c>
      <c r="AI174" s="85">
        <f t="shared" si="20"/>
        <v>0.97298083737946817</v>
      </c>
      <c r="AJ174" s="116">
        <v>2</v>
      </c>
      <c r="AK174" s="116">
        <v>3</v>
      </c>
      <c r="AL174" s="122">
        <v>6.3</v>
      </c>
      <c r="AM174" s="116">
        <v>24.5</v>
      </c>
      <c r="AN174" s="122">
        <v>6.2</v>
      </c>
      <c r="AO174" s="122">
        <v>5.6</v>
      </c>
      <c r="AP174" s="79">
        <v>0.17</v>
      </c>
      <c r="AQ174" s="79">
        <v>0.17</v>
      </c>
      <c r="AR174" s="132">
        <f>SUM(C174:E174)</f>
        <v>1768</v>
      </c>
      <c r="AS174" s="134">
        <f>C174/AR174</f>
        <v>0.23529411764705882</v>
      </c>
      <c r="AT174" s="134">
        <f>D174/AR174</f>
        <v>0.62330316742081449</v>
      </c>
      <c r="AU174" s="134">
        <f>E174/AR174</f>
        <v>0.14140271493212669</v>
      </c>
      <c r="AV174" s="151">
        <f>IF(AND(F174&lt;&gt;"",Z174&lt;&gt;""),AB174/(F174/2/Z174),"")</f>
        <v>9.2511013215859028E-2</v>
      </c>
      <c r="AW174" s="151">
        <f>IF(AND(F174&lt;&gt;"",AK174&lt;&gt;""),AM174/(F174/2/AK174),"")</f>
        <v>8.0947136563876643E-2</v>
      </c>
      <c r="AX174" s="41">
        <f>IF(AND(AQ174&lt;&gt;"",1-(AQ174/O174)&gt;0),1-(AQ174/O174),"")</f>
        <v>0.88356164383561642</v>
      </c>
      <c r="AY174" s="41">
        <f>IF(AND(AF174&lt;&gt;"",1-(AF174/O174)&gt;0),1-(AF174/O174),"")</f>
        <v>0.9178082191780822</v>
      </c>
      <c r="AZ174" s="136" t="str">
        <f>IF(Q174="","",IF(Q174&lt;2.5,"Alc. Bruta &lt; 2,5 mg/L",IF(Q174&lt;5,"2,5 ≤ Alc. Bruta &lt; 5,0 mg/L",IF(Q174&lt;7.5,"5,0 ≤ Alc. Bruta &lt; 7,5 mg/L",IF(Q174&lt;10,"7,5 ≤ Alc. Bruta &lt; 10,0 mg/L",IF(Q174&lt;15,"10,0 ≤ Alca. Bruta &lt; 15,0 mg/L","Alc. Bruta &gt; 15 mg/L"))))))</f>
        <v>5,0 ≤ Alc. Bruta &lt; 7,5 mg/L</v>
      </c>
      <c r="BA174" s="136" t="str">
        <f>IF(P174="","",IF(P174&lt;5,"Cor &lt;5 uC",IF(P174&lt;10,"5 ≤ Cor &lt; 10 uC",IF(P174&lt;15,"10 ≤ Cor &lt;15 uC",IF(P174&lt;30,"15 ≤ Cor &lt; 30 uC",IF(P174&lt;50,"30 ≤ Cor &lt; 50 uC","Cor &gt; 50 uC"))))))</f>
        <v>5 ≤ Cor &lt; 10 uC</v>
      </c>
      <c r="BB174" s="137" t="str">
        <f>IF(O174="","",IF(O174&lt;2.5,"Turbidez &lt; 2,5 uT",IF(O174&lt;5,"2,5 ≤ Turb &lt; 5,0 uT",IF(O174&lt;7.5,"5,0 ≤ Turb &lt; 7,5 uT",IF(O174&lt;10,"7,5 ≤ Turb &lt; 10,0 uT",IF(O174&lt;15,"10,0 ≤ Turb &lt; 15,0 uT","Turb &gt; 15 uT"))))))</f>
        <v>Turbidez &lt; 2,5 uT</v>
      </c>
      <c r="BC174" s="138" t="str">
        <f>IF(AND(C174&gt;D174,D174&gt;E174),"TOR &gt; SM &gt; BNN",IF(AND(C174&gt;E174,E174&gt;D174),"TOR &gt; BNN &gt; SM",IF(AND(D174&gt;C174,C174&gt;E174),"SM &gt; TOR &gt; BNN",IF(AND(D174&gt;E174,E174&gt;C174),"SM &gt; BNN &gt; TOR",IF(AND(C174=D174,D174=E174),"TOR = SM = BNN","Comb. diferentes")))))</f>
        <v>SM &gt; TOR &gt; BNN</v>
      </c>
      <c r="BD174" s="137" t="str">
        <f>IF(OR(AE174="",AQ174="-"),"",IF(AE174&lt;=0.25,"Tipo 1 (≤0,25) uT",IF(AE174&lt;=0.5,"Tipo 2 (0,25-0,50) uT",IF(AE174&lt;=0.75,"Tipo 3 (0,50-0,75) uT","Tipo 4 (&gt;0,75) uT"))))</f>
        <v>Tipo 1 (≤0,25) uT</v>
      </c>
      <c r="BE174" s="137" t="str">
        <f t="shared" si="14"/>
        <v>Tipo 1 (≤0,25) uT</v>
      </c>
      <c r="BF174" s="137" t="str">
        <f>IF(OR(AF174="",AQ174="-"),"",IF(AF174&lt;=0.25,"Tipo 1 (≤0,25) uT",IF(AF174&lt;=0.5,"Tipo 2 (0,25-0,50) uT",IF(AF174&lt;=0.75,"Tipo 3 (0,50-0,75) uT","Tipo 4 (&gt;0,75) uT"))))</f>
        <v>Tipo 1 (≤0,25) uT</v>
      </c>
      <c r="BG174" s="137" t="str">
        <f t="shared" si="15"/>
        <v>Tipo 1 (≤0,25) uT</v>
      </c>
      <c r="BH174" s="137" t="str">
        <f>IF(OR(R174="",R174="-"),"",IF(R174&lt;=0.25,"Tipo 1 (≤0,25) uT",IF(R174&lt;=0.5,"Tipo 2 (0,25-0,50) uT",IF(R174&lt;=0.75,"Tipo 3 (0,50-0,75) uT","Tipo 4 (&gt;0,75) uT"))))</f>
        <v>Tipo 1 (≤0,25) uT</v>
      </c>
    </row>
    <row r="175" spans="1:60" x14ac:dyDescent="0.3">
      <c r="A175" s="74">
        <v>46277</v>
      </c>
      <c r="B175" s="139">
        <v>0.97916666666666663</v>
      </c>
      <c r="C175" s="116">
        <v>380</v>
      </c>
      <c r="D175" s="116">
        <v>1180</v>
      </c>
      <c r="E175" s="116">
        <v>250</v>
      </c>
      <c r="F175" s="116">
        <v>1790</v>
      </c>
      <c r="G175" s="144" t="s">
        <v>100</v>
      </c>
      <c r="H175" s="122">
        <v>10</v>
      </c>
      <c r="I175" s="116">
        <v>7.8</v>
      </c>
      <c r="J175" s="10">
        <v>90</v>
      </c>
      <c r="K175" s="116">
        <v>90</v>
      </c>
      <c r="L175" s="116">
        <v>90</v>
      </c>
      <c r="M175" s="122">
        <v>25.5</v>
      </c>
      <c r="N175" s="122">
        <v>6.6</v>
      </c>
      <c r="O175" s="79">
        <v>1.45</v>
      </c>
      <c r="P175" s="116">
        <v>8</v>
      </c>
      <c r="Q175" s="122">
        <v>6.7</v>
      </c>
      <c r="R175" s="10">
        <v>0.08</v>
      </c>
      <c r="S175" s="79">
        <v>22.36</v>
      </c>
      <c r="T175" s="79">
        <v>0.88</v>
      </c>
      <c r="U175" s="79">
        <v>0.7</v>
      </c>
      <c r="V175" s="85">
        <f t="shared" si="16"/>
        <v>1443.1875</v>
      </c>
      <c r="W175" s="85">
        <f t="shared" si="17"/>
        <v>1542.1434971799995</v>
      </c>
      <c r="X175" s="85">
        <f t="shared" si="18"/>
        <v>1.0685676651024205</v>
      </c>
      <c r="Y175" s="116">
        <v>2</v>
      </c>
      <c r="Z175" s="116">
        <v>4</v>
      </c>
      <c r="AA175" s="122">
        <v>6.05</v>
      </c>
      <c r="AB175" s="116">
        <v>20.9</v>
      </c>
      <c r="AC175" s="122">
        <v>6.2</v>
      </c>
      <c r="AD175" s="122">
        <v>6.2</v>
      </c>
      <c r="AE175" s="79">
        <v>0.21</v>
      </c>
      <c r="AF175" s="79">
        <v>0.13</v>
      </c>
      <c r="AG175" s="85">
        <f>(O175+0.3*H175+2)*(F175/2/AK175)</f>
        <v>1924.25</v>
      </c>
      <c r="AH175" s="85">
        <f t="shared" si="19"/>
        <v>1879.360316496</v>
      </c>
      <c r="AI175" s="85">
        <f t="shared" si="20"/>
        <v>0.97667159490502797</v>
      </c>
      <c r="AJ175" s="116">
        <v>2</v>
      </c>
      <c r="AK175" s="116">
        <v>3</v>
      </c>
      <c r="AL175" s="122">
        <v>6.28</v>
      </c>
      <c r="AM175" s="116">
        <v>24.3</v>
      </c>
      <c r="AN175" s="122">
        <v>6.2</v>
      </c>
      <c r="AO175" s="122">
        <v>5.6</v>
      </c>
      <c r="AP175" s="79">
        <v>0.18</v>
      </c>
      <c r="AQ175" s="79">
        <v>0.17</v>
      </c>
      <c r="AR175" s="132">
        <f>SUM(C175:E175)</f>
        <v>1810</v>
      </c>
      <c r="AS175" s="134">
        <f>C175/AR175</f>
        <v>0.20994475138121546</v>
      </c>
      <c r="AT175" s="134">
        <f>D175/AR175</f>
        <v>0.65193370165745856</v>
      </c>
      <c r="AU175" s="134">
        <f>E175/AR175</f>
        <v>0.13812154696132597</v>
      </c>
      <c r="AV175" s="151">
        <f>IF(AND(F175&lt;&gt;"",Z175&lt;&gt;""),AB175/(F175/2/Z175),"")</f>
        <v>9.3407821229050267E-2</v>
      </c>
      <c r="AW175" s="151">
        <f>IF(AND(F175&lt;&gt;"",AK175&lt;&gt;""),AM175/(F175/2/AK175),"")</f>
        <v>8.1452513966480455E-2</v>
      </c>
      <c r="AX175" s="41">
        <f>IF(AND(AQ175&lt;&gt;"",1-(AQ175/O175)&gt;0),1-(AQ175/O175),"")</f>
        <v>0.88275862068965516</v>
      </c>
      <c r="AY175" s="41">
        <f>IF(AND(AF175&lt;&gt;"",1-(AF175/O175)&gt;0),1-(AF175/O175),"")</f>
        <v>0.91034482758620694</v>
      </c>
      <c r="AZ175" s="136" t="str">
        <f>IF(Q175="","",IF(Q175&lt;2.5,"Alc. Bruta &lt; 2,5 mg/L",IF(Q175&lt;5,"2,5 ≤ Alc. Bruta &lt; 5,0 mg/L",IF(Q175&lt;7.5,"5,0 ≤ Alc. Bruta &lt; 7,5 mg/L",IF(Q175&lt;10,"7,5 ≤ Alc. Bruta &lt; 10,0 mg/L",IF(Q175&lt;15,"10,0 ≤ Alca. Bruta &lt; 15,0 mg/L","Alc. Bruta &gt; 15 mg/L"))))))</f>
        <v>5,0 ≤ Alc. Bruta &lt; 7,5 mg/L</v>
      </c>
      <c r="BA175" s="136" t="str">
        <f>IF(P175="","",IF(P175&lt;5,"Cor &lt;5 uC",IF(P175&lt;10,"5 ≤ Cor &lt; 10 uC",IF(P175&lt;15,"10 ≤ Cor &lt;15 uC",IF(P175&lt;30,"15 ≤ Cor &lt; 30 uC",IF(P175&lt;50,"30 ≤ Cor &lt; 50 uC","Cor &gt; 50 uC"))))))</f>
        <v>5 ≤ Cor &lt; 10 uC</v>
      </c>
      <c r="BB175" s="137" t="str">
        <f>IF(O175="","",IF(O175&lt;2.5,"Turbidez &lt; 2,5 uT",IF(O175&lt;5,"2,5 ≤ Turb &lt; 5,0 uT",IF(O175&lt;7.5,"5,0 ≤ Turb &lt; 7,5 uT",IF(O175&lt;10,"7,5 ≤ Turb &lt; 10,0 uT",IF(O175&lt;15,"10,0 ≤ Turb &lt; 15,0 uT","Turb &gt; 15 uT"))))))</f>
        <v>Turbidez &lt; 2,5 uT</v>
      </c>
      <c r="BC175" s="138" t="str">
        <f>IF(AND(C175&gt;D175,D175&gt;E175),"TOR &gt; SM &gt; BNN",IF(AND(C175&gt;E175,E175&gt;D175),"TOR &gt; BNN &gt; SM",IF(AND(D175&gt;C175,C175&gt;E175),"SM &gt; TOR &gt; BNN",IF(AND(D175&gt;E175,E175&gt;C175),"SM &gt; BNN &gt; TOR",IF(AND(C175=D175,D175=E175),"TOR = SM = BNN","Comb. diferentes")))))</f>
        <v>SM &gt; TOR &gt; BNN</v>
      </c>
      <c r="BD175" s="137" t="str">
        <f>IF(OR(AE175="",AQ175="-"),"",IF(AE175&lt;=0.25,"Tipo 1 (≤0,25) uT",IF(AE175&lt;=0.5,"Tipo 2 (0,25-0,50) uT",IF(AE175&lt;=0.75,"Tipo 3 (0,50-0,75) uT","Tipo 4 (&gt;0,75) uT"))))</f>
        <v>Tipo 1 (≤0,25) uT</v>
      </c>
      <c r="BE175" s="137" t="str">
        <f t="shared" si="14"/>
        <v>Tipo 1 (≤0,25) uT</v>
      </c>
      <c r="BF175" s="137" t="str">
        <f>IF(OR(AF175="",AQ175="-"),"",IF(AF175&lt;=0.25,"Tipo 1 (≤0,25) uT",IF(AF175&lt;=0.5,"Tipo 2 (0,25-0,50) uT",IF(AF175&lt;=0.75,"Tipo 3 (0,50-0,75) uT","Tipo 4 (&gt;0,75) uT"))))</f>
        <v>Tipo 1 (≤0,25) uT</v>
      </c>
      <c r="BG175" s="137" t="str">
        <f t="shared" si="15"/>
        <v>Tipo 1 (≤0,25) uT</v>
      </c>
      <c r="BH175" s="137" t="str">
        <f>IF(OR(R175="",R175="-"),"",IF(R175&lt;=0.25,"Tipo 1 (≤0,25) uT",IF(R175&lt;=0.5,"Tipo 2 (0,25-0,50) uT",IF(R175&lt;=0.75,"Tipo 3 (0,50-0,75) uT","Tipo 4 (&gt;0,75) uT"))))</f>
        <v>Tipo 1 (≤0,25) uT</v>
      </c>
    </row>
    <row r="176" spans="1:60" x14ac:dyDescent="0.3">
      <c r="A176" s="74">
        <v>46278</v>
      </c>
      <c r="B176" s="139">
        <v>0.14583333333333334</v>
      </c>
      <c r="C176" s="116">
        <v>340</v>
      </c>
      <c r="D176" s="116">
        <v>1126</v>
      </c>
      <c r="E176" s="116">
        <v>250</v>
      </c>
      <c r="F176" s="116">
        <v>2316</v>
      </c>
      <c r="G176" s="144" t="s">
        <v>100</v>
      </c>
      <c r="H176" s="122">
        <v>10</v>
      </c>
      <c r="I176" s="116">
        <v>21.3</v>
      </c>
      <c r="J176" s="10">
        <v>90</v>
      </c>
      <c r="K176" s="116">
        <v>90</v>
      </c>
      <c r="L176" s="116">
        <v>90</v>
      </c>
      <c r="M176" s="122">
        <v>25.5</v>
      </c>
      <c r="N176" s="122">
        <v>6.6</v>
      </c>
      <c r="O176" s="79">
        <v>1.49</v>
      </c>
      <c r="P176" s="116">
        <v>8</v>
      </c>
      <c r="Q176" s="122">
        <v>6.3</v>
      </c>
      <c r="R176" s="10">
        <v>0.09</v>
      </c>
      <c r="S176" s="79">
        <v>22.36</v>
      </c>
      <c r="T176" s="79">
        <v>0.88</v>
      </c>
      <c r="U176" s="79">
        <v>0.7</v>
      </c>
      <c r="V176" s="85">
        <f t="shared" si="16"/>
        <v>1878.855</v>
      </c>
      <c r="W176" s="85">
        <f t="shared" si="17"/>
        <v>1556.0105542799997</v>
      </c>
      <c r="X176" s="85">
        <f t="shared" si="18"/>
        <v>0.82816957896165466</v>
      </c>
      <c r="Y176" s="116">
        <v>3</v>
      </c>
      <c r="Z176" s="116">
        <v>4</v>
      </c>
      <c r="AA176" s="122">
        <v>6.07</v>
      </c>
      <c r="AB176" s="116">
        <v>21</v>
      </c>
      <c r="AC176" s="122">
        <v>6.2</v>
      </c>
      <c r="AD176" s="122">
        <v>5.01</v>
      </c>
      <c r="AE176" s="79">
        <v>0.16</v>
      </c>
      <c r="AF176" s="79">
        <v>0.12</v>
      </c>
      <c r="AG176" s="85">
        <f>(O176+0.3*H176+2)*(F176/2/AK176)</f>
        <v>1878.855</v>
      </c>
      <c r="AH176" s="85">
        <f t="shared" si="19"/>
        <v>1902.3980793999997</v>
      </c>
      <c r="AI176" s="85">
        <f t="shared" si="20"/>
        <v>1.0125305462103247</v>
      </c>
      <c r="AJ176" s="116">
        <v>3</v>
      </c>
      <c r="AK176" s="116">
        <v>4</v>
      </c>
      <c r="AL176" s="122">
        <v>6.3</v>
      </c>
      <c r="AM176" s="116">
        <v>24.5</v>
      </c>
      <c r="AN176" s="122">
        <v>6.1</v>
      </c>
      <c r="AO176" s="122">
        <v>5.9</v>
      </c>
      <c r="AP176" s="79">
        <v>0.17</v>
      </c>
      <c r="AQ176" s="79">
        <v>0.18</v>
      </c>
      <c r="AR176" s="132">
        <f>SUM(C176:E176)</f>
        <v>1716</v>
      </c>
      <c r="AS176" s="134">
        <f>C176/AR176</f>
        <v>0.19813519813519814</v>
      </c>
      <c r="AT176" s="134">
        <f>D176/AR176</f>
        <v>0.65617715617715622</v>
      </c>
      <c r="AU176" s="134">
        <f>E176/AR176</f>
        <v>0.14568764568764569</v>
      </c>
      <c r="AV176" s="151">
        <f>IF(AND(F176&lt;&gt;"",Z176&lt;&gt;""),AB176/(F176/2/Z176),"")</f>
        <v>7.2538860103626937E-2</v>
      </c>
      <c r="AW176" s="151">
        <f>IF(AND(F176&lt;&gt;"",AK176&lt;&gt;""),AM176/(F176/2/AK176),"")</f>
        <v>8.46286701208981E-2</v>
      </c>
      <c r="AX176" s="41">
        <f>IF(AND(AQ176&lt;&gt;"",1-(AQ176/O176)&gt;0),1-(AQ176/O176),"")</f>
        <v>0.87919463087248317</v>
      </c>
      <c r="AY176" s="41">
        <f>IF(AND(AF176&lt;&gt;"",1-(AF176/O176)&gt;0),1-(AF176/O176),"")</f>
        <v>0.91946308724832215</v>
      </c>
      <c r="AZ176" s="136" t="str">
        <f>IF(Q176="","",IF(Q176&lt;2.5,"Alc. Bruta &lt; 2,5 mg/L",IF(Q176&lt;5,"2,5 ≤ Alc. Bruta &lt; 5,0 mg/L",IF(Q176&lt;7.5,"5,0 ≤ Alc. Bruta &lt; 7,5 mg/L",IF(Q176&lt;10,"7,5 ≤ Alc. Bruta &lt; 10,0 mg/L",IF(Q176&lt;15,"10,0 ≤ Alca. Bruta &lt; 15,0 mg/L","Alc. Bruta &gt; 15 mg/L"))))))</f>
        <v>5,0 ≤ Alc. Bruta &lt; 7,5 mg/L</v>
      </c>
      <c r="BA176" s="136" t="str">
        <f>IF(P176="","",IF(P176&lt;5,"Cor &lt;5 uC",IF(P176&lt;10,"5 ≤ Cor &lt; 10 uC",IF(P176&lt;15,"10 ≤ Cor &lt;15 uC",IF(P176&lt;30,"15 ≤ Cor &lt; 30 uC",IF(P176&lt;50,"30 ≤ Cor &lt; 50 uC","Cor &gt; 50 uC"))))))</f>
        <v>5 ≤ Cor &lt; 10 uC</v>
      </c>
      <c r="BB176" s="137" t="str">
        <f>IF(O176="","",IF(O176&lt;2.5,"Turbidez &lt; 2,5 uT",IF(O176&lt;5,"2,5 ≤ Turb &lt; 5,0 uT",IF(O176&lt;7.5,"5,0 ≤ Turb &lt; 7,5 uT",IF(O176&lt;10,"7,5 ≤ Turb &lt; 10,0 uT",IF(O176&lt;15,"10,0 ≤ Turb &lt; 15,0 uT","Turb &gt; 15 uT"))))))</f>
        <v>Turbidez &lt; 2,5 uT</v>
      </c>
      <c r="BC176" s="138" t="str">
        <f>IF(AND(C176&gt;D176,D176&gt;E176),"TOR &gt; SM &gt; BNN",IF(AND(C176&gt;E176,E176&gt;D176),"TOR &gt; BNN &gt; SM",IF(AND(D176&gt;C176,C176&gt;E176),"SM &gt; TOR &gt; BNN",IF(AND(D176&gt;E176,E176&gt;C176),"SM &gt; BNN &gt; TOR",IF(AND(C176=D176,D176=E176),"TOR = SM = BNN","Comb. diferentes")))))</f>
        <v>SM &gt; TOR &gt; BNN</v>
      </c>
      <c r="BD176" s="137" t="str">
        <f>IF(OR(AE176="",AQ176="-"),"",IF(AE176&lt;=0.25,"Tipo 1 (≤0,25) uT",IF(AE176&lt;=0.5,"Tipo 2 (0,25-0,50) uT",IF(AE176&lt;=0.75,"Tipo 3 (0,50-0,75) uT","Tipo 4 (&gt;0,75) uT"))))</f>
        <v>Tipo 1 (≤0,25) uT</v>
      </c>
      <c r="BE176" s="137" t="str">
        <f t="shared" si="14"/>
        <v>Tipo 1 (≤0,25) uT</v>
      </c>
      <c r="BF176" s="137" t="str">
        <f>IF(OR(AF176="",AQ176="-"),"",IF(AF176&lt;=0.25,"Tipo 1 (≤0,25) uT",IF(AF176&lt;=0.5,"Tipo 2 (0,25-0,50) uT",IF(AF176&lt;=0.75,"Tipo 3 (0,50-0,75) uT","Tipo 4 (&gt;0,75) uT"))))</f>
        <v>Tipo 1 (≤0,25) uT</v>
      </c>
      <c r="BG176" s="137" t="str">
        <f t="shared" si="15"/>
        <v>Tipo 1 (≤0,25) uT</v>
      </c>
      <c r="BH176" s="137" t="str">
        <f>IF(OR(R176="",R176="-"),"",IF(R176&lt;=0.25,"Tipo 1 (≤0,25) uT",IF(R176&lt;=0.5,"Tipo 2 (0,25-0,50) uT",IF(R176&lt;=0.75,"Tipo 3 (0,50-0,75) uT","Tipo 4 (&gt;0,75) uT"))))</f>
        <v>Tipo 1 (≤0,25) uT</v>
      </c>
    </row>
    <row r="177" spans="1:60" ht="15" thickBot="1" x14ac:dyDescent="0.35">
      <c r="A177" s="75">
        <v>46278</v>
      </c>
      <c r="B177" s="140">
        <v>0.22916666666666666</v>
      </c>
      <c r="C177" s="117">
        <v>337</v>
      </c>
      <c r="D177" s="117">
        <v>1169</v>
      </c>
      <c r="E177" s="117">
        <v>250</v>
      </c>
      <c r="F177" s="117">
        <v>2256</v>
      </c>
      <c r="G177" s="145" t="s">
        <v>100</v>
      </c>
      <c r="H177" s="123">
        <v>10</v>
      </c>
      <c r="I177" s="117">
        <v>27.13</v>
      </c>
      <c r="J177" s="11">
        <v>90</v>
      </c>
      <c r="K177" s="117">
        <v>90</v>
      </c>
      <c r="L177" s="117">
        <v>90</v>
      </c>
      <c r="M177" s="123">
        <v>24.7</v>
      </c>
      <c r="N177" s="123">
        <v>6.5</v>
      </c>
      <c r="O177" s="80">
        <v>1.4</v>
      </c>
      <c r="P177" s="117">
        <v>9</v>
      </c>
      <c r="Q177" s="123">
        <v>6.6</v>
      </c>
      <c r="R177" s="11">
        <v>0.09</v>
      </c>
      <c r="S177" s="79">
        <v>22.36</v>
      </c>
      <c r="T177" s="79">
        <v>0.88</v>
      </c>
      <c r="U177" s="79">
        <v>0.7</v>
      </c>
      <c r="V177" s="85">
        <f t="shared" si="16"/>
        <v>1804.8000000000002</v>
      </c>
      <c r="W177" s="85">
        <f t="shared" si="17"/>
        <v>1545.3722386959998</v>
      </c>
      <c r="X177" s="85">
        <f t="shared" si="18"/>
        <v>0.85625678119237569</v>
      </c>
      <c r="Y177" s="117">
        <v>2</v>
      </c>
      <c r="Z177" s="117">
        <v>4</v>
      </c>
      <c r="AA177" s="123">
        <v>6.06</v>
      </c>
      <c r="AB177" s="117">
        <v>20.9</v>
      </c>
      <c r="AC177" s="123">
        <v>6.2</v>
      </c>
      <c r="AD177" s="123">
        <v>5.3</v>
      </c>
      <c r="AE177" s="80">
        <v>0.21</v>
      </c>
      <c r="AF177" s="80">
        <v>0.13</v>
      </c>
      <c r="AG177" s="85">
        <f>(O177+0.3*H177+2)*(F177/2/AK177)</f>
        <v>1804.8000000000002</v>
      </c>
      <c r="AH177" s="85">
        <f t="shared" si="19"/>
        <v>1894.6331892799994</v>
      </c>
      <c r="AI177" s="85">
        <f t="shared" si="20"/>
        <v>1.0497745951241131</v>
      </c>
      <c r="AJ177" s="117">
        <v>3</v>
      </c>
      <c r="AK177" s="117">
        <v>4</v>
      </c>
      <c r="AL177" s="123">
        <v>6.3</v>
      </c>
      <c r="AM177" s="117">
        <v>24.4</v>
      </c>
      <c r="AN177" s="123">
        <v>6.2</v>
      </c>
      <c r="AO177" s="123">
        <v>5.0999999999999996</v>
      </c>
      <c r="AP177" s="80">
        <v>0.27</v>
      </c>
      <c r="AQ177" s="80">
        <v>0.18</v>
      </c>
      <c r="AR177" s="132">
        <f>SUM(C177:E177)</f>
        <v>1756</v>
      </c>
      <c r="AS177" s="134">
        <f>C177/AR177</f>
        <v>0.19191343963553531</v>
      </c>
      <c r="AT177" s="134">
        <f>D177/AR177</f>
        <v>0.66571753986332571</v>
      </c>
      <c r="AU177" s="134">
        <f>E177/AR177</f>
        <v>0.14236902050113895</v>
      </c>
      <c r="AV177" s="151">
        <f>IF(AND(F177&lt;&gt;"",Z177&lt;&gt;""),AB177/(F177/2/Z177),"")</f>
        <v>7.411347517730496E-2</v>
      </c>
      <c r="AW177" s="151">
        <f>IF(AND(F177&lt;&gt;"",AK177&lt;&gt;""),AM177/(F177/2/AK177),"")</f>
        <v>8.6524822695035461E-2</v>
      </c>
      <c r="AX177" s="41">
        <f>IF(AND(AQ177&lt;&gt;"",1-(AQ177/O177)&gt;0),1-(AQ177/O177),"")</f>
        <v>0.87142857142857144</v>
      </c>
      <c r="AY177" s="41">
        <f>IF(AND(AF177&lt;&gt;"",1-(AF177/O177)&gt;0),1-(AF177/O177),"")</f>
        <v>0.90714285714285714</v>
      </c>
      <c r="AZ177" s="136" t="str">
        <f>IF(Q177="","",IF(Q177&lt;2.5,"Alc. Bruta &lt; 2,5 mg/L",IF(Q177&lt;5,"2,5 ≤ Alc. Bruta &lt; 5,0 mg/L",IF(Q177&lt;7.5,"5,0 ≤ Alc. Bruta &lt; 7,5 mg/L",IF(Q177&lt;10,"7,5 ≤ Alc. Bruta &lt; 10,0 mg/L",IF(Q177&lt;15,"10,0 ≤ Alca. Bruta &lt; 15,0 mg/L","Alc. Bruta &gt; 15 mg/L"))))))</f>
        <v>5,0 ≤ Alc. Bruta &lt; 7,5 mg/L</v>
      </c>
      <c r="BA177" s="136" t="str">
        <f>IF(P177="","",IF(P177&lt;5,"Cor &lt;5 uC",IF(P177&lt;10,"5 ≤ Cor &lt; 10 uC",IF(P177&lt;15,"10 ≤ Cor &lt;15 uC",IF(P177&lt;30,"15 ≤ Cor &lt; 30 uC",IF(P177&lt;50,"30 ≤ Cor &lt; 50 uC","Cor &gt; 50 uC"))))))</f>
        <v>5 ≤ Cor &lt; 10 uC</v>
      </c>
      <c r="BB177" s="137" t="str">
        <f>IF(O177="","",IF(O177&lt;2.5,"Turbidez &lt; 2,5 uT",IF(O177&lt;5,"2,5 ≤ Turb &lt; 5,0 uT",IF(O177&lt;7.5,"5,0 ≤ Turb &lt; 7,5 uT",IF(O177&lt;10,"7,5 ≤ Turb &lt; 10,0 uT",IF(O177&lt;15,"10,0 ≤ Turb &lt; 15,0 uT","Turb &gt; 15 uT"))))))</f>
        <v>Turbidez &lt; 2,5 uT</v>
      </c>
      <c r="BC177" s="138" t="str">
        <f>IF(AND(C177&gt;D177,D177&gt;E177),"TOR &gt; SM &gt; BNN",IF(AND(C177&gt;E177,E177&gt;D177),"TOR &gt; BNN &gt; SM",IF(AND(D177&gt;C177,C177&gt;E177),"SM &gt; TOR &gt; BNN",IF(AND(D177&gt;E177,E177&gt;C177),"SM &gt; BNN &gt; TOR",IF(AND(C177=D177,D177=E177),"TOR = SM = BNN","Comb. diferentes")))))</f>
        <v>SM &gt; TOR &gt; BNN</v>
      </c>
      <c r="BD177" s="137" t="str">
        <f>IF(OR(AE177="",AQ177="-"),"",IF(AE177&lt;=0.25,"Tipo 1 (≤0,25) uT",IF(AE177&lt;=0.5,"Tipo 2 (0,25-0,50) uT",IF(AE177&lt;=0.75,"Tipo 3 (0,50-0,75) uT","Tipo 4 (&gt;0,75) uT"))))</f>
        <v>Tipo 1 (≤0,25) uT</v>
      </c>
      <c r="BE177" s="137" t="str">
        <f t="shared" si="14"/>
        <v>Tipo 2 (0,25-0,50) uT</v>
      </c>
      <c r="BF177" s="137" t="str">
        <f>IF(OR(AF177="",AQ177="-"),"",IF(AF177&lt;=0.25,"Tipo 1 (≤0,25) uT",IF(AF177&lt;=0.5,"Tipo 2 (0,25-0,50) uT",IF(AF177&lt;=0.75,"Tipo 3 (0,50-0,75) uT","Tipo 4 (&gt;0,75) uT"))))</f>
        <v>Tipo 1 (≤0,25) uT</v>
      </c>
      <c r="BG177" s="137" t="str">
        <f t="shared" si="15"/>
        <v>Tipo 1 (≤0,25) uT</v>
      </c>
      <c r="BH177" s="137" t="str">
        <f>IF(OR(R177="",R177="-"),"",IF(R177&lt;=0.25,"Tipo 1 (≤0,25) uT",IF(R177&lt;=0.5,"Tipo 2 (0,25-0,50) uT",IF(R177&lt;=0.75,"Tipo 3 (0,50-0,75) uT","Tipo 4 (&gt;0,75) uT"))))</f>
        <v>Tipo 1 (≤0,25) uT</v>
      </c>
    </row>
    <row r="178" spans="1:60" x14ac:dyDescent="0.3">
      <c r="A178" s="73">
        <v>46278</v>
      </c>
      <c r="B178" s="141">
        <v>0.3125</v>
      </c>
      <c r="C178" s="118">
        <v>336</v>
      </c>
      <c r="D178" s="118">
        <v>1656</v>
      </c>
      <c r="E178" s="118">
        <v>250</v>
      </c>
      <c r="F178" s="118">
        <v>2327</v>
      </c>
      <c r="G178" s="146" t="s">
        <v>100</v>
      </c>
      <c r="H178" s="124">
        <v>10</v>
      </c>
      <c r="I178" s="118">
        <v>33</v>
      </c>
      <c r="J178" s="9">
        <v>90</v>
      </c>
      <c r="K178" s="118">
        <v>90</v>
      </c>
      <c r="L178" s="118">
        <v>90</v>
      </c>
      <c r="M178" s="124">
        <v>24.9</v>
      </c>
      <c r="N178" s="124">
        <v>6.6</v>
      </c>
      <c r="O178" s="81">
        <v>1.19</v>
      </c>
      <c r="P178" s="118">
        <v>9</v>
      </c>
      <c r="Q178" s="124">
        <v>6.3</v>
      </c>
      <c r="R178" s="9">
        <v>0.09</v>
      </c>
      <c r="S178" s="79">
        <v>22.36</v>
      </c>
      <c r="T178" s="79">
        <v>0.88</v>
      </c>
      <c r="U178" s="79">
        <v>0.7</v>
      </c>
      <c r="V178" s="85">
        <f t="shared" si="16"/>
        <v>1800.5162499999999</v>
      </c>
      <c r="W178" s="85">
        <f t="shared" si="17"/>
        <v>1552.7663642399998</v>
      </c>
      <c r="X178" s="85">
        <f t="shared" si="18"/>
        <v>0.86240063883899953</v>
      </c>
      <c r="Y178" s="118">
        <v>3</v>
      </c>
      <c r="Z178" s="118">
        <v>4</v>
      </c>
      <c r="AA178" s="124">
        <v>6.06</v>
      </c>
      <c r="AB178" s="118">
        <v>21</v>
      </c>
      <c r="AC178" s="124">
        <v>6.1</v>
      </c>
      <c r="AD178" s="124">
        <v>3.4</v>
      </c>
      <c r="AE178" s="81">
        <v>0.16</v>
      </c>
      <c r="AF178" s="81">
        <v>0.13</v>
      </c>
      <c r="AG178" s="85">
        <f>(O178+0.3*H178+2)*(F178/2/AK178)</f>
        <v>1800.5162499999999</v>
      </c>
      <c r="AH178" s="85">
        <f t="shared" si="19"/>
        <v>1773.9172108319999</v>
      </c>
      <c r="AI178" s="85">
        <f t="shared" si="20"/>
        <v>0.98522699299825811</v>
      </c>
      <c r="AJ178" s="118">
        <v>3</v>
      </c>
      <c r="AK178" s="118">
        <v>4</v>
      </c>
      <c r="AL178" s="124">
        <v>6.31</v>
      </c>
      <c r="AM178" s="118">
        <v>22.8</v>
      </c>
      <c r="AN178" s="124">
        <v>6.1</v>
      </c>
      <c r="AO178" s="124">
        <v>3.4</v>
      </c>
      <c r="AP178" s="81">
        <v>0.14000000000000001</v>
      </c>
      <c r="AQ178" s="81">
        <v>0.18</v>
      </c>
      <c r="AR178" s="132">
        <f>SUM(C178:E178)</f>
        <v>2242</v>
      </c>
      <c r="AS178" s="134">
        <f>C178/AR178</f>
        <v>0.14986619090098127</v>
      </c>
      <c r="AT178" s="134">
        <f>D178/AR178</f>
        <v>0.73862622658340771</v>
      </c>
      <c r="AU178" s="134">
        <f>E178/AR178</f>
        <v>0.11150758251561106</v>
      </c>
      <c r="AV178" s="151">
        <f>IF(AND(F178&lt;&gt;"",Z178&lt;&gt;""),AB178/(F178/2/Z178),"")</f>
        <v>7.2195960464116887E-2</v>
      </c>
      <c r="AW178" s="151">
        <f>IF(AND(F178&lt;&gt;"",AK178&lt;&gt;""),AM178/(F178/2/AK178),"")</f>
        <v>7.8384185646755478E-2</v>
      </c>
      <c r="AX178" s="41">
        <f>IF(AND(AQ178&lt;&gt;"",1-(AQ178/O178)&gt;0),1-(AQ178/O178),"")</f>
        <v>0.84873949579831931</v>
      </c>
      <c r="AY178" s="41">
        <f>IF(AND(AF178&lt;&gt;"",1-(AF178/O178)&gt;0),1-(AF178/O178),"")</f>
        <v>0.89075630252100835</v>
      </c>
      <c r="AZ178" s="136" t="str">
        <f>IF(Q178="","",IF(Q178&lt;2.5,"Alc. Bruta &lt; 2,5 mg/L",IF(Q178&lt;5,"2,5 ≤ Alc. Bruta &lt; 5,0 mg/L",IF(Q178&lt;7.5,"5,0 ≤ Alc. Bruta &lt; 7,5 mg/L",IF(Q178&lt;10,"7,5 ≤ Alc. Bruta &lt; 10,0 mg/L",IF(Q178&lt;15,"10,0 ≤ Alca. Bruta &lt; 15,0 mg/L","Alc. Bruta &gt; 15 mg/L"))))))</f>
        <v>5,0 ≤ Alc. Bruta &lt; 7,5 mg/L</v>
      </c>
      <c r="BA178" s="136" t="str">
        <f>IF(P178="","",IF(P178&lt;5,"Cor &lt;5 uC",IF(P178&lt;10,"5 ≤ Cor &lt; 10 uC",IF(P178&lt;15,"10 ≤ Cor &lt;15 uC",IF(P178&lt;30,"15 ≤ Cor &lt; 30 uC",IF(P178&lt;50,"30 ≤ Cor &lt; 50 uC","Cor &gt; 50 uC"))))))</f>
        <v>5 ≤ Cor &lt; 10 uC</v>
      </c>
      <c r="BB178" s="137" t="str">
        <f>IF(O178="","",IF(O178&lt;2.5,"Turbidez &lt; 2,5 uT",IF(O178&lt;5,"2,5 ≤ Turb &lt; 5,0 uT",IF(O178&lt;7.5,"5,0 ≤ Turb &lt; 7,5 uT",IF(O178&lt;10,"7,5 ≤ Turb &lt; 10,0 uT",IF(O178&lt;15,"10,0 ≤ Turb &lt; 15,0 uT","Turb &gt; 15 uT"))))))</f>
        <v>Turbidez &lt; 2,5 uT</v>
      </c>
      <c r="BC178" s="138" t="str">
        <f>IF(AND(C178&gt;D178,D178&gt;E178),"TOR &gt; SM &gt; BNN",IF(AND(C178&gt;E178,E178&gt;D178),"TOR &gt; BNN &gt; SM",IF(AND(D178&gt;C178,C178&gt;E178),"SM &gt; TOR &gt; BNN",IF(AND(D178&gt;E178,E178&gt;C178),"SM &gt; BNN &gt; TOR",IF(AND(C178=D178,D178=E178),"TOR = SM = BNN","Comb. diferentes")))))</f>
        <v>SM &gt; TOR &gt; BNN</v>
      </c>
      <c r="BD178" s="137" t="str">
        <f>IF(OR(AE178="",AQ178="-"),"",IF(AE178&lt;=0.25,"Tipo 1 (≤0,25) uT",IF(AE178&lt;=0.5,"Tipo 2 (0,25-0,50) uT",IF(AE178&lt;=0.75,"Tipo 3 (0,50-0,75) uT","Tipo 4 (&gt;0,75) uT"))))</f>
        <v>Tipo 1 (≤0,25) uT</v>
      </c>
      <c r="BE178" s="137" t="str">
        <f t="shared" si="14"/>
        <v>Tipo 1 (≤0,25) uT</v>
      </c>
      <c r="BF178" s="137" t="str">
        <f>IF(OR(AF178="",AQ178="-"),"",IF(AF178&lt;=0.25,"Tipo 1 (≤0,25) uT",IF(AF178&lt;=0.5,"Tipo 2 (0,25-0,50) uT",IF(AF178&lt;=0.75,"Tipo 3 (0,50-0,75) uT","Tipo 4 (&gt;0,75) uT"))))</f>
        <v>Tipo 1 (≤0,25) uT</v>
      </c>
      <c r="BG178" s="137" t="str">
        <f t="shared" si="15"/>
        <v>Tipo 1 (≤0,25) uT</v>
      </c>
      <c r="BH178" s="137" t="str">
        <f>IF(OR(R178="",R178="-"),"",IF(R178&lt;=0.25,"Tipo 1 (≤0,25) uT",IF(R178&lt;=0.5,"Tipo 2 (0,25-0,50) uT",IF(R178&lt;=0.75,"Tipo 3 (0,50-0,75) uT","Tipo 4 (&gt;0,75) uT"))))</f>
        <v>Tipo 1 (≤0,25) uT</v>
      </c>
    </row>
    <row r="179" spans="1:60" x14ac:dyDescent="0.3">
      <c r="A179" s="74">
        <v>46278</v>
      </c>
      <c r="B179" s="139">
        <v>0.39583333333333331</v>
      </c>
      <c r="C179" s="116">
        <v>331</v>
      </c>
      <c r="D179" s="116">
        <v>1672</v>
      </c>
      <c r="E179" s="116">
        <v>250</v>
      </c>
      <c r="F179" s="116">
        <v>2283</v>
      </c>
      <c r="G179" s="144" t="s">
        <v>100</v>
      </c>
      <c r="H179" s="122">
        <v>10</v>
      </c>
      <c r="I179" s="116">
        <v>44</v>
      </c>
      <c r="J179" s="10">
        <v>90</v>
      </c>
      <c r="K179" s="116">
        <v>90</v>
      </c>
      <c r="L179" s="116">
        <v>90</v>
      </c>
      <c r="M179" s="122">
        <v>25.6</v>
      </c>
      <c r="N179" s="122">
        <v>6.6</v>
      </c>
      <c r="O179" s="79">
        <v>1.26</v>
      </c>
      <c r="P179" s="116">
        <v>7</v>
      </c>
      <c r="Q179" s="122">
        <v>5.8</v>
      </c>
      <c r="R179" s="10">
        <v>0.08</v>
      </c>
      <c r="S179" s="79">
        <v>22.36</v>
      </c>
      <c r="T179" s="79">
        <v>0.88</v>
      </c>
      <c r="U179" s="79">
        <v>0.7</v>
      </c>
      <c r="V179" s="85">
        <f t="shared" si="16"/>
        <v>1786.4475</v>
      </c>
      <c r="W179" s="85">
        <f t="shared" si="17"/>
        <v>1520.0074661199997</v>
      </c>
      <c r="X179" s="85">
        <f t="shared" si="18"/>
        <v>0.85085482003809221</v>
      </c>
      <c r="Y179" s="116">
        <v>3</v>
      </c>
      <c r="Z179" s="116">
        <v>4</v>
      </c>
      <c r="AA179" s="122">
        <v>6.05</v>
      </c>
      <c r="AB179" s="116">
        <v>20.6</v>
      </c>
      <c r="AC179" s="122">
        <v>6.1</v>
      </c>
      <c r="AD179" s="122">
        <v>4.3</v>
      </c>
      <c r="AE179" s="79">
        <v>0.23</v>
      </c>
      <c r="AF179" s="79">
        <v>0.12</v>
      </c>
      <c r="AG179" s="85">
        <f>(O179+0.3*H179+2)*(F179/2/AK179)</f>
        <v>1786.4475</v>
      </c>
      <c r="AH179" s="85">
        <f t="shared" si="19"/>
        <v>1773.1505020839998</v>
      </c>
      <c r="AI179" s="85">
        <f t="shared" si="20"/>
        <v>0.99255673737067551</v>
      </c>
      <c r="AJ179" s="116">
        <v>3</v>
      </c>
      <c r="AK179" s="116">
        <v>4</v>
      </c>
      <c r="AL179" s="122">
        <v>6.33</v>
      </c>
      <c r="AM179" s="116">
        <v>22.7</v>
      </c>
      <c r="AN179" s="122">
        <v>6.1</v>
      </c>
      <c r="AO179" s="122">
        <v>3.9</v>
      </c>
      <c r="AP179" s="79">
        <v>0.14000000000000001</v>
      </c>
      <c r="AQ179" s="79">
        <v>0.18</v>
      </c>
      <c r="AR179" s="132">
        <f>SUM(C179:E179)</f>
        <v>2253</v>
      </c>
      <c r="AS179" s="134">
        <f>C179/AR179</f>
        <v>0.14691522414558367</v>
      </c>
      <c r="AT179" s="134">
        <f>D179/AR179</f>
        <v>0.74212161562361301</v>
      </c>
      <c r="AU179" s="134">
        <f>E179/AR179</f>
        <v>0.11096316023080337</v>
      </c>
      <c r="AV179" s="151">
        <f>IF(AND(F179&lt;&gt;"",Z179&lt;&gt;""),AB179/(F179/2/Z179),"")</f>
        <v>7.2185720543144996E-2</v>
      </c>
      <c r="AW179" s="151">
        <f>IF(AND(F179&lt;&gt;"",AK179&lt;&gt;""),AM179/(F179/2/AK179),"")</f>
        <v>7.9544459045116075E-2</v>
      </c>
      <c r="AX179" s="41">
        <f>IF(AND(AQ179&lt;&gt;"",1-(AQ179/O179)&gt;0),1-(AQ179/O179),"")</f>
        <v>0.85714285714285721</v>
      </c>
      <c r="AY179" s="41">
        <f>IF(AND(AF179&lt;&gt;"",1-(AF179/O179)&gt;0),1-(AF179/O179),"")</f>
        <v>0.90476190476190477</v>
      </c>
      <c r="AZ179" s="136" t="str">
        <f>IF(Q179="","",IF(Q179&lt;2.5,"Alc. Bruta &lt; 2,5 mg/L",IF(Q179&lt;5,"2,5 ≤ Alc. Bruta &lt; 5,0 mg/L",IF(Q179&lt;7.5,"5,0 ≤ Alc. Bruta &lt; 7,5 mg/L",IF(Q179&lt;10,"7,5 ≤ Alc. Bruta &lt; 10,0 mg/L",IF(Q179&lt;15,"10,0 ≤ Alca. Bruta &lt; 15,0 mg/L","Alc. Bruta &gt; 15 mg/L"))))))</f>
        <v>5,0 ≤ Alc. Bruta &lt; 7,5 mg/L</v>
      </c>
      <c r="BA179" s="136" t="str">
        <f>IF(P179="","",IF(P179&lt;5,"Cor &lt;5 uC",IF(P179&lt;10,"5 ≤ Cor &lt; 10 uC",IF(P179&lt;15,"10 ≤ Cor &lt;15 uC",IF(P179&lt;30,"15 ≤ Cor &lt; 30 uC",IF(P179&lt;50,"30 ≤ Cor &lt; 50 uC","Cor &gt; 50 uC"))))))</f>
        <v>5 ≤ Cor &lt; 10 uC</v>
      </c>
      <c r="BB179" s="137" t="str">
        <f>IF(O179="","",IF(O179&lt;2.5,"Turbidez &lt; 2,5 uT",IF(O179&lt;5,"2,5 ≤ Turb &lt; 5,0 uT",IF(O179&lt;7.5,"5,0 ≤ Turb &lt; 7,5 uT",IF(O179&lt;10,"7,5 ≤ Turb &lt; 10,0 uT",IF(O179&lt;15,"10,0 ≤ Turb &lt; 15,0 uT","Turb &gt; 15 uT"))))))</f>
        <v>Turbidez &lt; 2,5 uT</v>
      </c>
      <c r="BC179" s="138" t="str">
        <f>IF(AND(C179&gt;D179,D179&gt;E179),"TOR &gt; SM &gt; BNN",IF(AND(C179&gt;E179,E179&gt;D179),"TOR &gt; BNN &gt; SM",IF(AND(D179&gt;C179,C179&gt;E179),"SM &gt; TOR &gt; BNN",IF(AND(D179&gt;E179,E179&gt;C179),"SM &gt; BNN &gt; TOR",IF(AND(C179=D179,D179=E179),"TOR = SM = BNN","Comb. diferentes")))))</f>
        <v>SM &gt; TOR &gt; BNN</v>
      </c>
      <c r="BD179" s="137" t="str">
        <f>IF(OR(AE179="",AQ179="-"),"",IF(AE179&lt;=0.25,"Tipo 1 (≤0,25) uT",IF(AE179&lt;=0.5,"Tipo 2 (0,25-0,50) uT",IF(AE179&lt;=0.75,"Tipo 3 (0,50-0,75) uT","Tipo 4 (&gt;0,75) uT"))))</f>
        <v>Tipo 1 (≤0,25) uT</v>
      </c>
      <c r="BE179" s="137" t="str">
        <f t="shared" si="14"/>
        <v>Tipo 1 (≤0,25) uT</v>
      </c>
      <c r="BF179" s="137" t="str">
        <f>IF(OR(AF179="",AQ179="-"),"",IF(AF179&lt;=0.25,"Tipo 1 (≤0,25) uT",IF(AF179&lt;=0.5,"Tipo 2 (0,25-0,50) uT",IF(AF179&lt;=0.75,"Tipo 3 (0,50-0,75) uT","Tipo 4 (&gt;0,75) uT"))))</f>
        <v>Tipo 1 (≤0,25) uT</v>
      </c>
      <c r="BG179" s="137" t="str">
        <f t="shared" si="15"/>
        <v>Tipo 1 (≤0,25) uT</v>
      </c>
      <c r="BH179" s="137" t="str">
        <f>IF(OR(R179="",R179="-"),"",IF(R179&lt;=0.25,"Tipo 1 (≤0,25) uT",IF(R179&lt;=0.5,"Tipo 2 (0,25-0,50) uT",IF(R179&lt;=0.75,"Tipo 3 (0,50-0,75) uT","Tipo 4 (&gt;0,75) uT"))))</f>
        <v>Tipo 1 (≤0,25) uT</v>
      </c>
    </row>
    <row r="180" spans="1:60" x14ac:dyDescent="0.3">
      <c r="A180" s="74">
        <v>46278</v>
      </c>
      <c r="B180" s="139">
        <v>0.47916666666666669</v>
      </c>
      <c r="C180" s="116">
        <v>363</v>
      </c>
      <c r="D180" s="116">
        <v>1154</v>
      </c>
      <c r="E180" s="116">
        <v>249</v>
      </c>
      <c r="F180" s="116">
        <v>1821</v>
      </c>
      <c r="G180" s="144" t="s">
        <v>100</v>
      </c>
      <c r="H180" s="122">
        <v>10</v>
      </c>
      <c r="I180" s="116">
        <v>49</v>
      </c>
      <c r="J180" s="10">
        <v>90</v>
      </c>
      <c r="K180" s="116">
        <v>90</v>
      </c>
      <c r="L180" s="116">
        <v>90</v>
      </c>
      <c r="M180" s="122">
        <v>26.1</v>
      </c>
      <c r="N180" s="122">
        <v>6.6</v>
      </c>
      <c r="O180" s="79">
        <v>1.32</v>
      </c>
      <c r="P180" s="116">
        <v>8</v>
      </c>
      <c r="Q180" s="122">
        <v>6.1</v>
      </c>
      <c r="R180" s="10">
        <v>0.08</v>
      </c>
      <c r="S180" s="79">
        <v>22.36</v>
      </c>
      <c r="T180" s="79">
        <v>0.88</v>
      </c>
      <c r="U180" s="79">
        <v>0.7</v>
      </c>
      <c r="V180" s="85">
        <f t="shared" si="16"/>
        <v>1438.5900000000001</v>
      </c>
      <c r="W180" s="85">
        <f t="shared" si="17"/>
        <v>1528.3382341760002</v>
      </c>
      <c r="X180" s="85">
        <f t="shared" si="18"/>
        <v>1.062386249157856</v>
      </c>
      <c r="Y180" s="116">
        <v>3</v>
      </c>
      <c r="Z180" s="116">
        <v>4</v>
      </c>
      <c r="AA180" s="122">
        <v>6.03</v>
      </c>
      <c r="AB180" s="116">
        <v>20.8</v>
      </c>
      <c r="AC180" s="122">
        <v>6.1</v>
      </c>
      <c r="AD180" s="122">
        <v>4.0999999999999996</v>
      </c>
      <c r="AE180" s="79">
        <v>0.3</v>
      </c>
      <c r="AF180" s="79">
        <v>0.12</v>
      </c>
      <c r="AG180" s="85">
        <f>(O180+0.3*H180+2)*(F180/2/AK180)</f>
        <v>1438.5900000000001</v>
      </c>
      <c r="AH180" s="85">
        <f t="shared" si="19"/>
        <v>1773.1505020839998</v>
      </c>
      <c r="AI180" s="85">
        <f t="shared" si="20"/>
        <v>1.2325613983720167</v>
      </c>
      <c r="AJ180" s="116">
        <v>3</v>
      </c>
      <c r="AK180" s="116">
        <v>4</v>
      </c>
      <c r="AL180" s="122">
        <v>6.33</v>
      </c>
      <c r="AM180" s="116">
        <v>22.7</v>
      </c>
      <c r="AN180" s="122">
        <v>6</v>
      </c>
      <c r="AO180" s="122">
        <v>4</v>
      </c>
      <c r="AP180" s="79">
        <v>0.16</v>
      </c>
      <c r="AQ180" s="79">
        <v>0.2</v>
      </c>
      <c r="AR180" s="132">
        <f>SUM(C180:E180)</f>
        <v>1766</v>
      </c>
      <c r="AS180" s="134">
        <f>C180/AR180</f>
        <v>0.20554926387315969</v>
      </c>
      <c r="AT180" s="134">
        <f>D180/AR180</f>
        <v>0.65345413363533411</v>
      </c>
      <c r="AU180" s="134">
        <f>E180/AR180</f>
        <v>0.14099660249150622</v>
      </c>
      <c r="AV180" s="151">
        <f>IF(AND(F180&lt;&gt;"",Z180&lt;&gt;""),AB180/(F180/2/Z180),"")</f>
        <v>9.1378363536518403E-2</v>
      </c>
      <c r="AW180" s="151">
        <f>IF(AND(F180&lt;&gt;"",AK180&lt;&gt;""),AM180/(F180/2/AK180),"")</f>
        <v>9.9725425590334982E-2</v>
      </c>
      <c r="AX180" s="41">
        <f>IF(AND(AQ180&lt;&gt;"",1-(AQ180/O180)&gt;0),1-(AQ180/O180),"")</f>
        <v>0.84848484848484851</v>
      </c>
      <c r="AY180" s="41">
        <f>IF(AND(AF180&lt;&gt;"",1-(AF180/O180)&gt;0),1-(AF180/O180),"")</f>
        <v>0.90909090909090906</v>
      </c>
      <c r="AZ180" s="136" t="str">
        <f>IF(Q180="","",IF(Q180&lt;2.5,"Alc. Bruta &lt; 2,5 mg/L",IF(Q180&lt;5,"2,5 ≤ Alc. Bruta &lt; 5,0 mg/L",IF(Q180&lt;7.5,"5,0 ≤ Alc. Bruta &lt; 7,5 mg/L",IF(Q180&lt;10,"7,5 ≤ Alc. Bruta &lt; 10,0 mg/L",IF(Q180&lt;15,"10,0 ≤ Alca. Bruta &lt; 15,0 mg/L","Alc. Bruta &gt; 15 mg/L"))))))</f>
        <v>5,0 ≤ Alc. Bruta &lt; 7,5 mg/L</v>
      </c>
      <c r="BA180" s="136" t="str">
        <f>IF(P180="","",IF(P180&lt;5,"Cor &lt;5 uC",IF(P180&lt;10,"5 ≤ Cor &lt; 10 uC",IF(P180&lt;15,"10 ≤ Cor &lt;15 uC",IF(P180&lt;30,"15 ≤ Cor &lt; 30 uC",IF(P180&lt;50,"30 ≤ Cor &lt; 50 uC","Cor &gt; 50 uC"))))))</f>
        <v>5 ≤ Cor &lt; 10 uC</v>
      </c>
      <c r="BB180" s="137" t="str">
        <f>IF(O180="","",IF(O180&lt;2.5,"Turbidez &lt; 2,5 uT",IF(O180&lt;5,"2,5 ≤ Turb &lt; 5,0 uT",IF(O180&lt;7.5,"5,0 ≤ Turb &lt; 7,5 uT",IF(O180&lt;10,"7,5 ≤ Turb &lt; 10,0 uT",IF(O180&lt;15,"10,0 ≤ Turb &lt; 15,0 uT","Turb &gt; 15 uT"))))))</f>
        <v>Turbidez &lt; 2,5 uT</v>
      </c>
      <c r="BC180" s="138" t="str">
        <f>IF(AND(C180&gt;D180,D180&gt;E180),"TOR &gt; SM &gt; BNN",IF(AND(C180&gt;E180,E180&gt;D180),"TOR &gt; BNN &gt; SM",IF(AND(D180&gt;C180,C180&gt;E180),"SM &gt; TOR &gt; BNN",IF(AND(D180&gt;E180,E180&gt;C180),"SM &gt; BNN &gt; TOR",IF(AND(C180=D180,D180=E180),"TOR = SM = BNN","Comb. diferentes")))))</f>
        <v>SM &gt; TOR &gt; BNN</v>
      </c>
      <c r="BD180" s="137" t="str">
        <f>IF(OR(AE180="",AQ180="-"),"",IF(AE180&lt;=0.25,"Tipo 1 (≤0,25) uT",IF(AE180&lt;=0.5,"Tipo 2 (0,25-0,50) uT",IF(AE180&lt;=0.75,"Tipo 3 (0,50-0,75) uT","Tipo 4 (&gt;0,75) uT"))))</f>
        <v>Tipo 2 (0,25-0,50) uT</v>
      </c>
      <c r="BE180" s="137" t="str">
        <f t="shared" si="14"/>
        <v>Tipo 1 (≤0,25) uT</v>
      </c>
      <c r="BF180" s="137" t="str">
        <f>IF(OR(AF180="",AQ180="-"),"",IF(AF180&lt;=0.25,"Tipo 1 (≤0,25) uT",IF(AF180&lt;=0.5,"Tipo 2 (0,25-0,50) uT",IF(AF180&lt;=0.75,"Tipo 3 (0,50-0,75) uT","Tipo 4 (&gt;0,75) uT"))))</f>
        <v>Tipo 1 (≤0,25) uT</v>
      </c>
      <c r="BG180" s="137" t="str">
        <f t="shared" si="15"/>
        <v>Tipo 1 (≤0,25) uT</v>
      </c>
      <c r="BH180" s="137" t="str">
        <f>IF(OR(R180="",R180="-"),"",IF(R180&lt;=0.25,"Tipo 1 (≤0,25) uT",IF(R180&lt;=0.5,"Tipo 2 (0,25-0,50) uT",IF(R180&lt;=0.75,"Tipo 3 (0,50-0,75) uT","Tipo 4 (&gt;0,75) uT"))))</f>
        <v>Tipo 1 (≤0,25) uT</v>
      </c>
    </row>
    <row r="181" spans="1:60" x14ac:dyDescent="0.3">
      <c r="A181" s="74">
        <v>46278</v>
      </c>
      <c r="B181" s="139">
        <v>0.64583333333333337</v>
      </c>
      <c r="C181" s="116">
        <v>372</v>
      </c>
      <c r="D181" s="116">
        <v>1171</v>
      </c>
      <c r="E181" s="116">
        <v>250</v>
      </c>
      <c r="F181" s="116">
        <v>1805</v>
      </c>
      <c r="G181" s="144" t="s">
        <v>100</v>
      </c>
      <c r="H181" s="122">
        <v>10.3</v>
      </c>
      <c r="I181" s="116">
        <v>62</v>
      </c>
      <c r="J181" s="10">
        <v>90</v>
      </c>
      <c r="K181" s="116">
        <v>90</v>
      </c>
      <c r="L181" s="116">
        <v>90</v>
      </c>
      <c r="M181" s="122">
        <v>26.6</v>
      </c>
      <c r="N181" s="122">
        <v>6.7</v>
      </c>
      <c r="O181" s="79">
        <v>1.65</v>
      </c>
      <c r="P181" s="116">
        <v>6</v>
      </c>
      <c r="Q181" s="122">
        <v>6.2</v>
      </c>
      <c r="R181" s="10">
        <v>7.0000000000000007E-2</v>
      </c>
      <c r="S181" s="79">
        <v>22.36</v>
      </c>
      <c r="T181" s="79">
        <v>0.88</v>
      </c>
      <c r="U181" s="79">
        <v>0.7</v>
      </c>
      <c r="V181" s="85">
        <f t="shared" si="16"/>
        <v>2027.6166666666666</v>
      </c>
      <c r="W181" s="85">
        <f t="shared" si="17"/>
        <v>1661.5641094</v>
      </c>
      <c r="X181" s="85">
        <f t="shared" si="18"/>
        <v>0.81946658691238483</v>
      </c>
      <c r="Y181" s="116">
        <v>2</v>
      </c>
      <c r="Z181" s="116">
        <v>3</v>
      </c>
      <c r="AA181" s="122">
        <v>5.95</v>
      </c>
      <c r="AB181" s="116">
        <v>23</v>
      </c>
      <c r="AC181" s="122">
        <v>6.2</v>
      </c>
      <c r="AD181" s="122">
        <v>4</v>
      </c>
      <c r="AE181" s="79">
        <v>0.25</v>
      </c>
      <c r="AF181" s="79">
        <v>0.11</v>
      </c>
      <c r="AG181" s="85">
        <f>(O181+0.3*H181+2)*(F181/2/AK181)</f>
        <v>1520.7125000000001</v>
      </c>
      <c r="AH181" s="85">
        <f t="shared" si="19"/>
        <v>1697.6698921207999</v>
      </c>
      <c r="AI181" s="85">
        <f t="shared" si="20"/>
        <v>1.1163647909258323</v>
      </c>
      <c r="AJ181" s="116">
        <v>3</v>
      </c>
      <c r="AK181" s="116">
        <v>4</v>
      </c>
      <c r="AL181" s="122">
        <v>6.31</v>
      </c>
      <c r="AM181" s="116">
        <v>21.82</v>
      </c>
      <c r="AN181" s="122">
        <v>6.2</v>
      </c>
      <c r="AO181" s="122">
        <v>3.5</v>
      </c>
      <c r="AP181" s="79">
        <v>0.25</v>
      </c>
      <c r="AQ181" s="79">
        <v>0.15</v>
      </c>
      <c r="AR181" s="132">
        <f>SUM(C181:E181)</f>
        <v>1793</v>
      </c>
      <c r="AS181" s="134">
        <f>C181/AR181</f>
        <v>0.20747350808700502</v>
      </c>
      <c r="AT181" s="134">
        <f>D181/AR181</f>
        <v>0.65309537088678193</v>
      </c>
      <c r="AU181" s="134">
        <f>E181/AR181</f>
        <v>0.13943112102621305</v>
      </c>
      <c r="AV181" s="151">
        <f>IF(AND(F181&lt;&gt;"",Z181&lt;&gt;""),AB181/(F181/2/Z181),"")</f>
        <v>7.6454293628808873E-2</v>
      </c>
      <c r="AW181" s="151">
        <f>IF(AND(F181&lt;&gt;"",AK181&lt;&gt;""),AM181/(F181/2/AK181),"")</f>
        <v>9.6709141274238228E-2</v>
      </c>
      <c r="AX181" s="41">
        <f>IF(AND(AQ181&lt;&gt;"",1-(AQ181/O181)&gt;0),1-(AQ181/O181),"")</f>
        <v>0.90909090909090906</v>
      </c>
      <c r="AY181" s="41">
        <f>IF(AND(AF181&lt;&gt;"",1-(AF181/O181)&gt;0),1-(AF181/O181),"")</f>
        <v>0.93333333333333335</v>
      </c>
      <c r="AZ181" s="136" t="str">
        <f>IF(Q181="","",IF(Q181&lt;2.5,"Alc. Bruta &lt; 2,5 mg/L",IF(Q181&lt;5,"2,5 ≤ Alc. Bruta &lt; 5,0 mg/L",IF(Q181&lt;7.5,"5,0 ≤ Alc. Bruta &lt; 7,5 mg/L",IF(Q181&lt;10,"7,5 ≤ Alc. Bruta &lt; 10,0 mg/L",IF(Q181&lt;15,"10,0 ≤ Alca. Bruta &lt; 15,0 mg/L","Alc. Bruta &gt; 15 mg/L"))))))</f>
        <v>5,0 ≤ Alc. Bruta &lt; 7,5 mg/L</v>
      </c>
      <c r="BA181" s="136" t="str">
        <f>IF(P181="","",IF(P181&lt;5,"Cor &lt;5 uC",IF(P181&lt;10,"5 ≤ Cor &lt; 10 uC",IF(P181&lt;15,"10 ≤ Cor &lt;15 uC",IF(P181&lt;30,"15 ≤ Cor &lt; 30 uC",IF(P181&lt;50,"30 ≤ Cor &lt; 50 uC","Cor &gt; 50 uC"))))))</f>
        <v>5 ≤ Cor &lt; 10 uC</v>
      </c>
      <c r="BB181" s="137" t="str">
        <f>IF(O181="","",IF(O181&lt;2.5,"Turbidez &lt; 2,5 uT",IF(O181&lt;5,"2,5 ≤ Turb &lt; 5,0 uT",IF(O181&lt;7.5,"5,0 ≤ Turb &lt; 7,5 uT",IF(O181&lt;10,"7,5 ≤ Turb &lt; 10,0 uT",IF(O181&lt;15,"10,0 ≤ Turb &lt; 15,0 uT","Turb &gt; 15 uT"))))))</f>
        <v>Turbidez &lt; 2,5 uT</v>
      </c>
      <c r="BC181" s="138" t="str">
        <f>IF(AND(C181&gt;D181,D181&gt;E181),"TOR &gt; SM &gt; BNN",IF(AND(C181&gt;E181,E181&gt;D181),"TOR &gt; BNN &gt; SM",IF(AND(D181&gt;C181,C181&gt;E181),"SM &gt; TOR &gt; BNN",IF(AND(D181&gt;E181,E181&gt;C181),"SM &gt; BNN &gt; TOR",IF(AND(C181=D181,D181=E181),"TOR = SM = BNN","Comb. diferentes")))))</f>
        <v>SM &gt; TOR &gt; BNN</v>
      </c>
      <c r="BD181" s="137" t="str">
        <f>IF(OR(AE181="",AQ181="-"),"",IF(AE181&lt;=0.25,"Tipo 1 (≤0,25) uT",IF(AE181&lt;=0.5,"Tipo 2 (0,25-0,50) uT",IF(AE181&lt;=0.75,"Tipo 3 (0,50-0,75) uT","Tipo 4 (&gt;0,75) uT"))))</f>
        <v>Tipo 1 (≤0,25) uT</v>
      </c>
      <c r="BE181" s="137" t="str">
        <f t="shared" si="14"/>
        <v>Tipo 1 (≤0,25) uT</v>
      </c>
      <c r="BF181" s="137" t="str">
        <f>IF(OR(AF181="",AQ181="-"),"",IF(AF181&lt;=0.25,"Tipo 1 (≤0,25) uT",IF(AF181&lt;=0.5,"Tipo 2 (0,25-0,50) uT",IF(AF181&lt;=0.75,"Tipo 3 (0,50-0,75) uT","Tipo 4 (&gt;0,75) uT"))))</f>
        <v>Tipo 1 (≤0,25) uT</v>
      </c>
      <c r="BG181" s="137" t="str">
        <f t="shared" si="15"/>
        <v>Tipo 1 (≤0,25) uT</v>
      </c>
      <c r="BH181" s="137" t="str">
        <f>IF(OR(R181="",R181="-"),"",IF(R181&lt;=0.25,"Tipo 1 (≤0,25) uT",IF(R181&lt;=0.5,"Tipo 2 (0,25-0,50) uT",IF(R181&lt;=0.75,"Tipo 3 (0,50-0,75) uT","Tipo 4 (&gt;0,75) uT"))))</f>
        <v>Tipo 1 (≤0,25) uT</v>
      </c>
    </row>
    <row r="182" spans="1:60" x14ac:dyDescent="0.3">
      <c r="A182" s="74">
        <v>46278</v>
      </c>
      <c r="B182" s="139">
        <v>0.72916666666666663</v>
      </c>
      <c r="C182" s="116">
        <v>383</v>
      </c>
      <c r="D182" s="116">
        <v>1173</v>
      </c>
      <c r="E182" s="116">
        <v>257</v>
      </c>
      <c r="F182" s="116">
        <v>1818</v>
      </c>
      <c r="G182" s="144" t="s">
        <v>100</v>
      </c>
      <c r="H182" s="122">
        <v>10.3</v>
      </c>
      <c r="I182" s="116">
        <v>67</v>
      </c>
      <c r="J182" s="10">
        <v>90</v>
      </c>
      <c r="K182" s="116">
        <v>90</v>
      </c>
      <c r="L182" s="116">
        <v>90</v>
      </c>
      <c r="M182" s="122">
        <v>26.5</v>
      </c>
      <c r="N182" s="122">
        <v>6.7</v>
      </c>
      <c r="O182" s="79">
        <v>1.39</v>
      </c>
      <c r="P182" s="116">
        <v>8</v>
      </c>
      <c r="Q182" s="122">
        <v>6</v>
      </c>
      <c r="R182" s="10">
        <v>0.08</v>
      </c>
      <c r="S182" s="79">
        <v>22.36</v>
      </c>
      <c r="T182" s="79">
        <v>0.88</v>
      </c>
      <c r="U182" s="79">
        <v>0.7</v>
      </c>
      <c r="V182" s="85">
        <f t="shared" si="16"/>
        <v>1963.44</v>
      </c>
      <c r="W182" s="85">
        <f t="shared" si="17"/>
        <v>1595.6309068439994</v>
      </c>
      <c r="X182" s="85">
        <f t="shared" si="18"/>
        <v>0.81267108077863304</v>
      </c>
      <c r="Y182" s="116">
        <v>2</v>
      </c>
      <c r="Z182" s="116">
        <v>3</v>
      </c>
      <c r="AA182" s="122">
        <v>5.99</v>
      </c>
      <c r="AB182" s="116">
        <v>21.9</v>
      </c>
      <c r="AC182" s="122">
        <v>6.2</v>
      </c>
      <c r="AD182" s="122">
        <v>4.5999999999999996</v>
      </c>
      <c r="AE182" s="79">
        <v>0.24</v>
      </c>
      <c r="AF182" s="79">
        <v>0.11</v>
      </c>
      <c r="AG182" s="85">
        <f>(O182+0.3*H182+2)*(F182/2/AK182)</f>
        <v>1472.5800000000002</v>
      </c>
      <c r="AH182" s="85">
        <f t="shared" si="19"/>
        <v>1784.4840012479999</v>
      </c>
      <c r="AI182" s="85">
        <f t="shared" si="20"/>
        <v>1.2118078482989039</v>
      </c>
      <c r="AJ182" s="116">
        <v>3</v>
      </c>
      <c r="AK182" s="116">
        <v>4</v>
      </c>
      <c r="AL182" s="122">
        <v>6.34</v>
      </c>
      <c r="AM182" s="116">
        <v>22.8</v>
      </c>
      <c r="AN182" s="122">
        <v>6.1</v>
      </c>
      <c r="AO182" s="122">
        <v>5.5</v>
      </c>
      <c r="AP182" s="79">
        <v>0.34</v>
      </c>
      <c r="AQ182" s="79">
        <v>0.15</v>
      </c>
      <c r="AR182" s="132">
        <f>SUM(C182:E182)</f>
        <v>1813</v>
      </c>
      <c r="AS182" s="134">
        <f>C182/AR182</f>
        <v>0.21125206839492552</v>
      </c>
      <c r="AT182" s="134">
        <f>D182/AR182</f>
        <v>0.64699393270821848</v>
      </c>
      <c r="AU182" s="134">
        <f>E182/AR182</f>
        <v>0.14175399889685603</v>
      </c>
      <c r="AV182" s="151">
        <f>IF(AND(F182&lt;&gt;"",Z182&lt;&gt;""),AB182/(F182/2/Z182),"")</f>
        <v>7.2277227722772272E-2</v>
      </c>
      <c r="AW182" s="151">
        <f>IF(AND(F182&lt;&gt;"",AK182&lt;&gt;""),AM182/(F182/2/AK182),"")</f>
        <v>0.10033003300330033</v>
      </c>
      <c r="AX182" s="41">
        <f>IF(AND(AQ182&lt;&gt;"",1-(AQ182/O182)&gt;0),1-(AQ182/O182),"")</f>
        <v>0.8920863309352518</v>
      </c>
      <c r="AY182" s="41">
        <f>IF(AND(AF182&lt;&gt;"",1-(AF182/O182)&gt;0),1-(AF182/O182),"")</f>
        <v>0.92086330935251803</v>
      </c>
      <c r="AZ182" s="136" t="str">
        <f>IF(Q182="","",IF(Q182&lt;2.5,"Alc. Bruta &lt; 2,5 mg/L",IF(Q182&lt;5,"2,5 ≤ Alc. Bruta &lt; 5,0 mg/L",IF(Q182&lt;7.5,"5,0 ≤ Alc. Bruta &lt; 7,5 mg/L",IF(Q182&lt;10,"7,5 ≤ Alc. Bruta &lt; 10,0 mg/L",IF(Q182&lt;15,"10,0 ≤ Alca. Bruta &lt; 15,0 mg/L","Alc. Bruta &gt; 15 mg/L"))))))</f>
        <v>5,0 ≤ Alc. Bruta &lt; 7,5 mg/L</v>
      </c>
      <c r="BA182" s="136" t="str">
        <f>IF(P182="","",IF(P182&lt;5,"Cor &lt;5 uC",IF(P182&lt;10,"5 ≤ Cor &lt; 10 uC",IF(P182&lt;15,"10 ≤ Cor &lt;15 uC",IF(P182&lt;30,"15 ≤ Cor &lt; 30 uC",IF(P182&lt;50,"30 ≤ Cor &lt; 50 uC","Cor &gt; 50 uC"))))))</f>
        <v>5 ≤ Cor &lt; 10 uC</v>
      </c>
      <c r="BB182" s="137" t="str">
        <f>IF(O182="","",IF(O182&lt;2.5,"Turbidez &lt; 2,5 uT",IF(O182&lt;5,"2,5 ≤ Turb &lt; 5,0 uT",IF(O182&lt;7.5,"5,0 ≤ Turb &lt; 7,5 uT",IF(O182&lt;10,"7,5 ≤ Turb &lt; 10,0 uT",IF(O182&lt;15,"10,0 ≤ Turb &lt; 15,0 uT","Turb &gt; 15 uT"))))))</f>
        <v>Turbidez &lt; 2,5 uT</v>
      </c>
      <c r="BC182" s="138" t="str">
        <f>IF(AND(C182&gt;D182,D182&gt;E182),"TOR &gt; SM &gt; BNN",IF(AND(C182&gt;E182,E182&gt;D182),"TOR &gt; BNN &gt; SM",IF(AND(D182&gt;C182,C182&gt;E182),"SM &gt; TOR &gt; BNN",IF(AND(D182&gt;E182,E182&gt;C182),"SM &gt; BNN &gt; TOR",IF(AND(C182=D182,D182=E182),"TOR = SM = BNN","Comb. diferentes")))))</f>
        <v>SM &gt; TOR &gt; BNN</v>
      </c>
      <c r="BD182" s="137" t="str">
        <f>IF(OR(AE182="",AQ182="-"),"",IF(AE182&lt;=0.25,"Tipo 1 (≤0,25) uT",IF(AE182&lt;=0.5,"Tipo 2 (0,25-0,50) uT",IF(AE182&lt;=0.75,"Tipo 3 (0,50-0,75) uT","Tipo 4 (&gt;0,75) uT"))))</f>
        <v>Tipo 1 (≤0,25) uT</v>
      </c>
      <c r="BE182" s="137" t="str">
        <f t="shared" si="14"/>
        <v>Tipo 2 (0,25-0,50) uT</v>
      </c>
      <c r="BF182" s="137" t="str">
        <f>IF(OR(AF182="",AQ182="-"),"",IF(AF182&lt;=0.25,"Tipo 1 (≤0,25) uT",IF(AF182&lt;=0.5,"Tipo 2 (0,25-0,50) uT",IF(AF182&lt;=0.75,"Tipo 3 (0,50-0,75) uT","Tipo 4 (&gt;0,75) uT"))))</f>
        <v>Tipo 1 (≤0,25) uT</v>
      </c>
      <c r="BG182" s="137" t="str">
        <f t="shared" si="15"/>
        <v>Tipo 1 (≤0,25) uT</v>
      </c>
      <c r="BH182" s="137" t="str">
        <f>IF(OR(R182="",R182="-"),"",IF(R182&lt;=0.25,"Tipo 1 (≤0,25) uT",IF(R182&lt;=0.5,"Tipo 2 (0,25-0,50) uT",IF(R182&lt;=0.75,"Tipo 3 (0,50-0,75) uT","Tipo 4 (&gt;0,75) uT"))))</f>
        <v>Tipo 1 (≤0,25) uT</v>
      </c>
    </row>
    <row r="183" spans="1:60" x14ac:dyDescent="0.3">
      <c r="A183" s="74">
        <v>46278</v>
      </c>
      <c r="B183" s="139">
        <v>0.8125</v>
      </c>
      <c r="C183" s="116">
        <v>372</v>
      </c>
      <c r="D183" s="116">
        <v>1171</v>
      </c>
      <c r="E183" s="116">
        <v>250</v>
      </c>
      <c r="F183" s="116">
        <v>1864</v>
      </c>
      <c r="G183" s="144" t="s">
        <v>100</v>
      </c>
      <c r="H183" s="122">
        <v>10.3</v>
      </c>
      <c r="I183" s="116">
        <v>72</v>
      </c>
      <c r="J183" s="10">
        <v>90</v>
      </c>
      <c r="K183" s="116">
        <v>90</v>
      </c>
      <c r="L183" s="116">
        <v>90</v>
      </c>
      <c r="M183" s="122">
        <v>24.8</v>
      </c>
      <c r="N183" s="122">
        <v>6.6</v>
      </c>
      <c r="O183" s="79">
        <v>1.47</v>
      </c>
      <c r="P183" s="116">
        <v>8</v>
      </c>
      <c r="Q183" s="122">
        <v>8.4</v>
      </c>
      <c r="R183" s="10">
        <v>7.0000000000000007E-2</v>
      </c>
      <c r="S183" s="79">
        <v>22.36</v>
      </c>
      <c r="T183" s="79">
        <v>0.88</v>
      </c>
      <c r="U183" s="79">
        <v>0.7</v>
      </c>
      <c r="V183" s="85">
        <f t="shared" si="16"/>
        <v>2037.9733333333336</v>
      </c>
      <c r="W183" s="85">
        <f t="shared" si="17"/>
        <v>1510.3722067199999</v>
      </c>
      <c r="X183" s="85">
        <f t="shared" si="18"/>
        <v>0.74111480362189874</v>
      </c>
      <c r="Y183" s="116">
        <v>2</v>
      </c>
      <c r="Z183" s="116">
        <v>3</v>
      </c>
      <c r="AA183" s="122">
        <v>5.8</v>
      </c>
      <c r="AB183" s="116">
        <v>21.6</v>
      </c>
      <c r="AC183" s="122">
        <v>6.2</v>
      </c>
      <c r="AD183" s="122">
        <v>6.2</v>
      </c>
      <c r="AE183" s="79">
        <v>0.19</v>
      </c>
      <c r="AF183" s="79">
        <v>0.11</v>
      </c>
      <c r="AG183" s="85">
        <f>(O183+0.3*H183+2)*(F183/2/AK183)</f>
        <v>1528.48</v>
      </c>
      <c r="AH183" s="85">
        <f t="shared" si="19"/>
        <v>1708.2758263999997</v>
      </c>
      <c r="AI183" s="85">
        <f t="shared" si="20"/>
        <v>1.1176304736731915</v>
      </c>
      <c r="AJ183" s="116">
        <v>3</v>
      </c>
      <c r="AK183" s="116">
        <v>4</v>
      </c>
      <c r="AL183" s="122">
        <v>6.3</v>
      </c>
      <c r="AM183" s="116">
        <v>22</v>
      </c>
      <c r="AN183" s="122">
        <v>6.3</v>
      </c>
      <c r="AO183" s="122">
        <v>6.1</v>
      </c>
      <c r="AP183" s="79">
        <v>0.16</v>
      </c>
      <c r="AQ183" s="79">
        <v>0.15</v>
      </c>
      <c r="AR183" s="132">
        <f>SUM(C183:E183)</f>
        <v>1793</v>
      </c>
      <c r="AS183" s="134">
        <f>C183/AR183</f>
        <v>0.20747350808700502</v>
      </c>
      <c r="AT183" s="134">
        <f>D183/AR183</f>
        <v>0.65309537088678193</v>
      </c>
      <c r="AU183" s="134">
        <f>E183/AR183</f>
        <v>0.13943112102621305</v>
      </c>
      <c r="AV183" s="151">
        <f>IF(AND(F183&lt;&gt;"",Z183&lt;&gt;""),AB183/(F183/2/Z183),"")</f>
        <v>6.9527896995708161E-2</v>
      </c>
      <c r="AW183" s="151">
        <f>IF(AND(F183&lt;&gt;"",AK183&lt;&gt;""),AM183/(F183/2/AK183),"")</f>
        <v>9.4420600858369105E-2</v>
      </c>
      <c r="AX183" s="41">
        <f>IF(AND(AQ183&lt;&gt;"",1-(AQ183/O183)&gt;0),1-(AQ183/O183),"")</f>
        <v>0.89795918367346939</v>
      </c>
      <c r="AY183" s="41">
        <f>IF(AND(AF183&lt;&gt;"",1-(AF183/O183)&gt;0),1-(AF183/O183),"")</f>
        <v>0.92517006802721091</v>
      </c>
      <c r="AZ183" s="136" t="str">
        <f>IF(Q183="","",IF(Q183&lt;2.5,"Alc. Bruta &lt; 2,5 mg/L",IF(Q183&lt;5,"2,5 ≤ Alc. Bruta &lt; 5,0 mg/L",IF(Q183&lt;7.5,"5,0 ≤ Alc. Bruta &lt; 7,5 mg/L",IF(Q183&lt;10,"7,5 ≤ Alc. Bruta &lt; 10,0 mg/L",IF(Q183&lt;15,"10,0 ≤ Alca. Bruta &lt; 15,0 mg/L","Alc. Bruta &gt; 15 mg/L"))))))</f>
        <v>7,5 ≤ Alc. Bruta &lt; 10,0 mg/L</v>
      </c>
      <c r="BA183" s="136" t="str">
        <f>IF(P183="","",IF(P183&lt;5,"Cor &lt;5 uC",IF(P183&lt;10,"5 ≤ Cor &lt; 10 uC",IF(P183&lt;15,"10 ≤ Cor &lt;15 uC",IF(P183&lt;30,"15 ≤ Cor &lt; 30 uC",IF(P183&lt;50,"30 ≤ Cor &lt; 50 uC","Cor &gt; 50 uC"))))))</f>
        <v>5 ≤ Cor &lt; 10 uC</v>
      </c>
      <c r="BB183" s="137" t="str">
        <f>IF(O183="","",IF(O183&lt;2.5,"Turbidez &lt; 2,5 uT",IF(O183&lt;5,"2,5 ≤ Turb &lt; 5,0 uT",IF(O183&lt;7.5,"5,0 ≤ Turb &lt; 7,5 uT",IF(O183&lt;10,"7,5 ≤ Turb &lt; 10,0 uT",IF(O183&lt;15,"10,0 ≤ Turb &lt; 15,0 uT","Turb &gt; 15 uT"))))))</f>
        <v>Turbidez &lt; 2,5 uT</v>
      </c>
      <c r="BC183" s="138" t="str">
        <f>IF(AND(C183&gt;D183,D183&gt;E183),"TOR &gt; SM &gt; BNN",IF(AND(C183&gt;E183,E183&gt;D183),"TOR &gt; BNN &gt; SM",IF(AND(D183&gt;C183,C183&gt;E183),"SM &gt; TOR &gt; BNN",IF(AND(D183&gt;E183,E183&gt;C183),"SM &gt; BNN &gt; TOR",IF(AND(C183=D183,D183=E183),"TOR = SM = BNN","Comb. diferentes")))))</f>
        <v>SM &gt; TOR &gt; BNN</v>
      </c>
      <c r="BD183" s="137" t="str">
        <f>IF(OR(AE183="",AQ183="-"),"",IF(AE183&lt;=0.25,"Tipo 1 (≤0,25) uT",IF(AE183&lt;=0.5,"Tipo 2 (0,25-0,50) uT",IF(AE183&lt;=0.75,"Tipo 3 (0,50-0,75) uT","Tipo 4 (&gt;0,75) uT"))))</f>
        <v>Tipo 1 (≤0,25) uT</v>
      </c>
      <c r="BE183" s="137" t="str">
        <f t="shared" si="14"/>
        <v>Tipo 1 (≤0,25) uT</v>
      </c>
      <c r="BF183" s="137" t="str">
        <f>IF(OR(AF183="",AQ183="-"),"",IF(AF183&lt;=0.25,"Tipo 1 (≤0,25) uT",IF(AF183&lt;=0.5,"Tipo 2 (0,25-0,50) uT",IF(AF183&lt;=0.75,"Tipo 3 (0,50-0,75) uT","Tipo 4 (&gt;0,75) uT"))))</f>
        <v>Tipo 1 (≤0,25) uT</v>
      </c>
      <c r="BG183" s="137" t="str">
        <f t="shared" si="15"/>
        <v>Tipo 1 (≤0,25) uT</v>
      </c>
      <c r="BH183" s="137" t="str">
        <f>IF(OR(R183="",R183="-"),"",IF(R183&lt;=0.25,"Tipo 1 (≤0,25) uT",IF(R183&lt;=0.5,"Tipo 2 (0,25-0,50) uT",IF(R183&lt;=0.75,"Tipo 3 (0,50-0,75) uT","Tipo 4 (&gt;0,75) uT"))))</f>
        <v>Tipo 1 (≤0,25) uT</v>
      </c>
    </row>
    <row r="184" spans="1:60" x14ac:dyDescent="0.3">
      <c r="A184" s="74">
        <v>46278</v>
      </c>
      <c r="B184" s="139">
        <v>0.89583333333333337</v>
      </c>
      <c r="C184" s="116">
        <v>359</v>
      </c>
      <c r="D184" s="116">
        <v>1965</v>
      </c>
      <c r="E184" s="116">
        <v>249</v>
      </c>
      <c r="F184" s="116">
        <v>1869</v>
      </c>
      <c r="G184" s="144" t="s">
        <v>100</v>
      </c>
      <c r="H184" s="122">
        <v>10.3</v>
      </c>
      <c r="I184" s="116">
        <v>74</v>
      </c>
      <c r="J184" s="10">
        <v>90</v>
      </c>
      <c r="K184" s="116">
        <v>90</v>
      </c>
      <c r="L184" s="116">
        <v>90</v>
      </c>
      <c r="M184" s="122">
        <v>24.1</v>
      </c>
      <c r="N184" s="122">
        <v>6.6</v>
      </c>
      <c r="O184" s="79">
        <v>1.54</v>
      </c>
      <c r="P184" s="116">
        <v>8</v>
      </c>
      <c r="Q184" s="122">
        <v>7</v>
      </c>
      <c r="R184" s="10">
        <v>0.08</v>
      </c>
      <c r="S184" s="79">
        <v>22.36</v>
      </c>
      <c r="T184" s="79">
        <v>0.88</v>
      </c>
      <c r="U184" s="79">
        <v>0.7</v>
      </c>
      <c r="V184" s="85">
        <f t="shared" si="16"/>
        <v>2065.2450000000003</v>
      </c>
      <c r="W184" s="85">
        <f t="shared" si="17"/>
        <v>1468.4174231999998</v>
      </c>
      <c r="X184" s="85">
        <f t="shared" si="18"/>
        <v>0.71101366820885636</v>
      </c>
      <c r="Y184" s="116">
        <v>2</v>
      </c>
      <c r="Z184" s="116">
        <v>3</v>
      </c>
      <c r="AA184" s="122">
        <v>5.8</v>
      </c>
      <c r="AB184" s="116">
        <v>21</v>
      </c>
      <c r="AC184" s="122">
        <v>6.4</v>
      </c>
      <c r="AD184" s="122">
        <v>4.7</v>
      </c>
      <c r="AE184" s="79">
        <v>0.21</v>
      </c>
      <c r="AF184" s="79">
        <v>0.11</v>
      </c>
      <c r="AG184" s="85">
        <f>(O184+0.3*H184+2)*(F184/2/AK184)</f>
        <v>1548.9337500000001</v>
      </c>
      <c r="AH184" s="85">
        <f t="shared" si="19"/>
        <v>1708.2758263999997</v>
      </c>
      <c r="AI184" s="85">
        <f t="shared" si="20"/>
        <v>1.1028721056662363</v>
      </c>
      <c r="AJ184" s="116">
        <v>2</v>
      </c>
      <c r="AK184" s="116">
        <v>4</v>
      </c>
      <c r="AL184" s="122">
        <v>6.3</v>
      </c>
      <c r="AM184" s="116">
        <v>22</v>
      </c>
      <c r="AN184" s="122">
        <v>6.2</v>
      </c>
      <c r="AO184" s="122">
        <v>3.9</v>
      </c>
      <c r="AP184" s="79">
        <v>0.25</v>
      </c>
      <c r="AQ184" s="79">
        <v>0.16</v>
      </c>
      <c r="AR184" s="132">
        <f>SUM(C184:E184)</f>
        <v>2573</v>
      </c>
      <c r="AS184" s="134">
        <f>C184/AR184</f>
        <v>0.13952584531675088</v>
      </c>
      <c r="AT184" s="134">
        <f>D184/AR184</f>
        <v>0.76369996113486205</v>
      </c>
      <c r="AU184" s="134">
        <f>E184/AR184</f>
        <v>9.6774193548387094E-2</v>
      </c>
      <c r="AV184" s="151">
        <f>IF(AND(F184&lt;&gt;"",Z184&lt;&gt;""),AB184/(F184/2/Z184),"")</f>
        <v>6.741573033707865E-2</v>
      </c>
      <c r="AW184" s="151">
        <f>IF(AND(F184&lt;&gt;"",AK184&lt;&gt;""),AM184/(F184/2/AK184),"")</f>
        <v>9.4168004280363829E-2</v>
      </c>
      <c r="AX184" s="41">
        <f>IF(AND(AQ184&lt;&gt;"",1-(AQ184/O184)&gt;0),1-(AQ184/O184),"")</f>
        <v>0.89610389610389607</v>
      </c>
      <c r="AY184" s="41">
        <f>IF(AND(AF184&lt;&gt;"",1-(AF184/O184)&gt;0),1-(AF184/O184),"")</f>
        <v>0.9285714285714286</v>
      </c>
      <c r="AZ184" s="136" t="str">
        <f>IF(Q184="","",IF(Q184&lt;2.5,"Alc. Bruta &lt; 2,5 mg/L",IF(Q184&lt;5,"2,5 ≤ Alc. Bruta &lt; 5,0 mg/L",IF(Q184&lt;7.5,"5,0 ≤ Alc. Bruta &lt; 7,5 mg/L",IF(Q184&lt;10,"7,5 ≤ Alc. Bruta &lt; 10,0 mg/L",IF(Q184&lt;15,"10,0 ≤ Alca. Bruta &lt; 15,0 mg/L","Alc. Bruta &gt; 15 mg/L"))))))</f>
        <v>5,0 ≤ Alc. Bruta &lt; 7,5 mg/L</v>
      </c>
      <c r="BA184" s="136" t="str">
        <f>IF(P184="","",IF(P184&lt;5,"Cor &lt;5 uC",IF(P184&lt;10,"5 ≤ Cor &lt; 10 uC",IF(P184&lt;15,"10 ≤ Cor &lt;15 uC",IF(P184&lt;30,"15 ≤ Cor &lt; 30 uC",IF(P184&lt;50,"30 ≤ Cor &lt; 50 uC","Cor &gt; 50 uC"))))))</f>
        <v>5 ≤ Cor &lt; 10 uC</v>
      </c>
      <c r="BB184" s="137" t="str">
        <f>IF(O184="","",IF(O184&lt;2.5,"Turbidez &lt; 2,5 uT",IF(O184&lt;5,"2,5 ≤ Turb &lt; 5,0 uT",IF(O184&lt;7.5,"5,0 ≤ Turb &lt; 7,5 uT",IF(O184&lt;10,"7,5 ≤ Turb &lt; 10,0 uT",IF(O184&lt;15,"10,0 ≤ Turb &lt; 15,0 uT","Turb &gt; 15 uT"))))))</f>
        <v>Turbidez &lt; 2,5 uT</v>
      </c>
      <c r="BC184" s="138" t="str">
        <f>IF(AND(C184&gt;D184,D184&gt;E184),"TOR &gt; SM &gt; BNN",IF(AND(C184&gt;E184,E184&gt;D184),"TOR &gt; BNN &gt; SM",IF(AND(D184&gt;C184,C184&gt;E184),"SM &gt; TOR &gt; BNN",IF(AND(D184&gt;E184,E184&gt;C184),"SM &gt; BNN &gt; TOR",IF(AND(C184=D184,D184=E184),"TOR = SM = BNN","Comb. diferentes")))))</f>
        <v>SM &gt; TOR &gt; BNN</v>
      </c>
      <c r="BD184" s="137" t="str">
        <f>IF(OR(AE184="",AQ184="-"),"",IF(AE184&lt;=0.25,"Tipo 1 (≤0,25) uT",IF(AE184&lt;=0.5,"Tipo 2 (0,25-0,50) uT",IF(AE184&lt;=0.75,"Tipo 3 (0,50-0,75) uT","Tipo 4 (&gt;0,75) uT"))))</f>
        <v>Tipo 1 (≤0,25) uT</v>
      </c>
      <c r="BE184" s="137" t="str">
        <f t="shared" si="14"/>
        <v>Tipo 1 (≤0,25) uT</v>
      </c>
      <c r="BF184" s="137" t="str">
        <f>IF(OR(AF184="",AQ184="-"),"",IF(AF184&lt;=0.25,"Tipo 1 (≤0,25) uT",IF(AF184&lt;=0.5,"Tipo 2 (0,25-0,50) uT",IF(AF184&lt;=0.75,"Tipo 3 (0,50-0,75) uT","Tipo 4 (&gt;0,75) uT"))))</f>
        <v>Tipo 1 (≤0,25) uT</v>
      </c>
      <c r="BG184" s="137" t="str">
        <f t="shared" si="15"/>
        <v>Tipo 1 (≤0,25) uT</v>
      </c>
      <c r="BH184" s="137" t="str">
        <f>IF(OR(R184="",R184="-"),"",IF(R184&lt;=0.25,"Tipo 1 (≤0,25) uT",IF(R184&lt;=0.5,"Tipo 2 (0,25-0,50) uT",IF(R184&lt;=0.75,"Tipo 3 (0,50-0,75) uT","Tipo 4 (&gt;0,75) uT"))))</f>
        <v>Tipo 1 (≤0,25) uT</v>
      </c>
    </row>
    <row r="185" spans="1:60" x14ac:dyDescent="0.3">
      <c r="A185" s="74">
        <v>46279</v>
      </c>
      <c r="B185" s="139">
        <v>6.25E-2</v>
      </c>
      <c r="C185" s="116">
        <v>370</v>
      </c>
      <c r="D185" s="116">
        <v>1150</v>
      </c>
      <c r="E185" s="116">
        <v>250</v>
      </c>
      <c r="F185" s="116">
        <v>1851</v>
      </c>
      <c r="G185" s="144" t="s">
        <v>100</v>
      </c>
      <c r="H185" s="122">
        <v>10.3</v>
      </c>
      <c r="I185" s="116">
        <v>77</v>
      </c>
      <c r="J185" s="10">
        <v>90</v>
      </c>
      <c r="K185" s="116">
        <v>90</v>
      </c>
      <c r="L185" s="116">
        <v>90</v>
      </c>
      <c r="M185" s="122">
        <v>25.6</v>
      </c>
      <c r="N185" s="122">
        <v>6.5</v>
      </c>
      <c r="O185" s="79">
        <v>1.39</v>
      </c>
      <c r="P185" s="116">
        <v>10</v>
      </c>
      <c r="Q185" s="122">
        <v>8.6</v>
      </c>
      <c r="R185" s="10">
        <v>7.0000000000000007E-2</v>
      </c>
      <c r="S185" s="79">
        <v>22.36</v>
      </c>
      <c r="T185" s="79">
        <v>0.88</v>
      </c>
      <c r="U185" s="79">
        <v>0.7</v>
      </c>
      <c r="V185" s="85">
        <f t="shared" si="16"/>
        <v>1999.0800000000002</v>
      </c>
      <c r="W185" s="85">
        <f t="shared" si="17"/>
        <v>1468.4174231999998</v>
      </c>
      <c r="X185" s="85">
        <f t="shared" si="18"/>
        <v>0.73454660303739705</v>
      </c>
      <c r="Y185" s="116">
        <v>2</v>
      </c>
      <c r="Z185" s="116">
        <v>3</v>
      </c>
      <c r="AA185" s="122">
        <v>5.8</v>
      </c>
      <c r="AB185" s="116">
        <v>21</v>
      </c>
      <c r="AC185" s="122">
        <v>6.2</v>
      </c>
      <c r="AD185" s="122">
        <v>5.9</v>
      </c>
      <c r="AE185" s="79">
        <v>2.1</v>
      </c>
      <c r="AF185" s="79">
        <v>0.11</v>
      </c>
      <c r="AG185" s="85">
        <f>(O185+0.3*H185+2)*(F185/2/AK185)</f>
        <v>1499.3100000000002</v>
      </c>
      <c r="AH185" s="85">
        <f t="shared" si="19"/>
        <v>1708.2758263999997</v>
      </c>
      <c r="AI185" s="85">
        <f t="shared" si="20"/>
        <v>1.1393746632784412</v>
      </c>
      <c r="AJ185" s="116">
        <v>2</v>
      </c>
      <c r="AK185" s="116">
        <v>4</v>
      </c>
      <c r="AL185" s="122">
        <v>6.3</v>
      </c>
      <c r="AM185" s="116">
        <v>22</v>
      </c>
      <c r="AN185" s="122">
        <v>6.2</v>
      </c>
      <c r="AO185" s="122">
        <v>5.8</v>
      </c>
      <c r="AP185" s="79">
        <v>0.13</v>
      </c>
      <c r="AQ185" s="79">
        <v>0.17</v>
      </c>
      <c r="AR185" s="132">
        <f>SUM(C185:E185)</f>
        <v>1770</v>
      </c>
      <c r="AS185" s="134">
        <f>C185/AR185</f>
        <v>0.20903954802259886</v>
      </c>
      <c r="AT185" s="134">
        <f>D185/AR185</f>
        <v>0.64971751412429379</v>
      </c>
      <c r="AU185" s="134">
        <f>E185/AR185</f>
        <v>0.14124293785310735</v>
      </c>
      <c r="AV185" s="151">
        <f>IF(AND(F185&lt;&gt;"",Z185&lt;&gt;""),AB185/(F185/2/Z185),"")</f>
        <v>6.8071312803889783E-2</v>
      </c>
      <c r="AW185" s="151">
        <f>IF(AND(F185&lt;&gt;"",AK185&lt;&gt;""),AM185/(F185/2/AK185),"")</f>
        <v>9.5083738519719074E-2</v>
      </c>
      <c r="AX185" s="41">
        <f>IF(AND(AQ185&lt;&gt;"",1-(AQ185/O185)&gt;0),1-(AQ185/O185),"")</f>
        <v>0.87769784172661869</v>
      </c>
      <c r="AY185" s="41">
        <f>IF(AND(AF185&lt;&gt;"",1-(AF185/O185)&gt;0),1-(AF185/O185),"")</f>
        <v>0.92086330935251803</v>
      </c>
      <c r="AZ185" s="136" t="str">
        <f>IF(Q185="","",IF(Q185&lt;2.5,"Alc. Bruta &lt; 2,5 mg/L",IF(Q185&lt;5,"2,5 ≤ Alc. Bruta &lt; 5,0 mg/L",IF(Q185&lt;7.5,"5,0 ≤ Alc. Bruta &lt; 7,5 mg/L",IF(Q185&lt;10,"7,5 ≤ Alc. Bruta &lt; 10,0 mg/L",IF(Q185&lt;15,"10,0 ≤ Alca. Bruta &lt; 15,0 mg/L","Alc. Bruta &gt; 15 mg/L"))))))</f>
        <v>7,5 ≤ Alc. Bruta &lt; 10,0 mg/L</v>
      </c>
      <c r="BA185" s="136" t="str">
        <f>IF(P185="","",IF(P185&lt;5,"Cor &lt;5 uC",IF(P185&lt;10,"5 ≤ Cor &lt; 10 uC",IF(P185&lt;15,"10 ≤ Cor &lt;15 uC",IF(P185&lt;30,"15 ≤ Cor &lt; 30 uC",IF(P185&lt;50,"30 ≤ Cor &lt; 50 uC","Cor &gt; 50 uC"))))))</f>
        <v>10 ≤ Cor &lt;15 uC</v>
      </c>
      <c r="BB185" s="137" t="str">
        <f>IF(O185="","",IF(O185&lt;2.5,"Turbidez &lt; 2,5 uT",IF(O185&lt;5,"2,5 ≤ Turb &lt; 5,0 uT",IF(O185&lt;7.5,"5,0 ≤ Turb &lt; 7,5 uT",IF(O185&lt;10,"7,5 ≤ Turb &lt; 10,0 uT",IF(O185&lt;15,"10,0 ≤ Turb &lt; 15,0 uT","Turb &gt; 15 uT"))))))</f>
        <v>Turbidez &lt; 2,5 uT</v>
      </c>
      <c r="BC185" s="138" t="str">
        <f>IF(AND(C185&gt;D185,D185&gt;E185),"TOR &gt; SM &gt; BNN",IF(AND(C185&gt;E185,E185&gt;D185),"TOR &gt; BNN &gt; SM",IF(AND(D185&gt;C185,C185&gt;E185),"SM &gt; TOR &gt; BNN",IF(AND(D185&gt;E185,E185&gt;C185),"SM &gt; BNN &gt; TOR",IF(AND(C185=D185,D185=E185),"TOR = SM = BNN","Comb. diferentes")))))</f>
        <v>SM &gt; TOR &gt; BNN</v>
      </c>
      <c r="BD185" s="137" t="str">
        <f>IF(OR(AE185="",AQ185="-"),"",IF(AE185&lt;=0.25,"Tipo 1 (≤0,25) uT",IF(AE185&lt;=0.5,"Tipo 2 (0,25-0,50) uT",IF(AE185&lt;=0.75,"Tipo 3 (0,50-0,75) uT","Tipo 4 (&gt;0,75) uT"))))</f>
        <v>Tipo 4 (&gt;0,75) uT</v>
      </c>
      <c r="BE185" s="137" t="str">
        <f t="shared" si="14"/>
        <v>Tipo 1 (≤0,25) uT</v>
      </c>
      <c r="BF185" s="137" t="str">
        <f>IF(OR(AF185="",AQ185="-"),"",IF(AF185&lt;=0.25,"Tipo 1 (≤0,25) uT",IF(AF185&lt;=0.5,"Tipo 2 (0,25-0,50) uT",IF(AF185&lt;=0.75,"Tipo 3 (0,50-0,75) uT","Tipo 4 (&gt;0,75) uT"))))</f>
        <v>Tipo 1 (≤0,25) uT</v>
      </c>
      <c r="BG185" s="137" t="str">
        <f t="shared" si="15"/>
        <v>Tipo 1 (≤0,25) uT</v>
      </c>
      <c r="BH185" s="137" t="str">
        <f>IF(OR(R185="",R185="-"),"",IF(R185&lt;=0.25,"Tipo 1 (≤0,25) uT",IF(R185&lt;=0.5,"Tipo 2 (0,25-0,50) uT",IF(R185&lt;=0.75,"Tipo 3 (0,50-0,75) uT","Tipo 4 (&gt;0,75) uT"))))</f>
        <v>Tipo 1 (≤0,25) uT</v>
      </c>
    </row>
    <row r="186" spans="1:60" x14ac:dyDescent="0.3">
      <c r="A186" s="74">
        <v>46279</v>
      </c>
      <c r="B186" s="139">
        <v>0.14583333333333334</v>
      </c>
      <c r="C186" s="116">
        <v>360</v>
      </c>
      <c r="D186" s="116">
        <v>1166</v>
      </c>
      <c r="E186" s="116">
        <v>249</v>
      </c>
      <c r="F186" s="116">
        <v>1794</v>
      </c>
      <c r="G186" s="144" t="s">
        <v>100</v>
      </c>
      <c r="H186" s="122">
        <v>10.3</v>
      </c>
      <c r="I186" s="116">
        <v>79</v>
      </c>
      <c r="J186" s="10">
        <v>90</v>
      </c>
      <c r="K186" s="116">
        <v>90</v>
      </c>
      <c r="L186" s="116">
        <v>90</v>
      </c>
      <c r="M186" s="122">
        <v>24.8</v>
      </c>
      <c r="N186" s="122">
        <v>6.6</v>
      </c>
      <c r="O186" s="79">
        <v>1.45</v>
      </c>
      <c r="P186" s="116">
        <v>10</v>
      </c>
      <c r="Q186" s="122">
        <v>7.5</v>
      </c>
      <c r="R186" s="10">
        <v>0.08</v>
      </c>
      <c r="S186" s="79">
        <v>22.36</v>
      </c>
      <c r="T186" s="79">
        <v>0.88</v>
      </c>
      <c r="U186" s="79">
        <v>0.7</v>
      </c>
      <c r="V186" s="85">
        <f t="shared" si="16"/>
        <v>1955.46</v>
      </c>
      <c r="W186" s="85">
        <f t="shared" si="17"/>
        <v>1510.3722067199999</v>
      </c>
      <c r="X186" s="85">
        <f t="shared" si="18"/>
        <v>0.77238716553649778</v>
      </c>
      <c r="Y186" s="116">
        <v>2</v>
      </c>
      <c r="Z186" s="116">
        <v>3</v>
      </c>
      <c r="AA186" s="122">
        <v>5.8</v>
      </c>
      <c r="AB186" s="116">
        <v>21.6</v>
      </c>
      <c r="AC186" s="122">
        <v>6.1</v>
      </c>
      <c r="AD186" s="122">
        <v>5.9</v>
      </c>
      <c r="AE186" s="79">
        <v>0.15</v>
      </c>
      <c r="AF186" s="79">
        <v>0.1</v>
      </c>
      <c r="AG186" s="85">
        <f>(O186+0.3*H186+2)*(F186/2/AK186)</f>
        <v>1466.595</v>
      </c>
      <c r="AH186" s="85">
        <f t="shared" si="19"/>
        <v>1708.2758263999997</v>
      </c>
      <c r="AI186" s="85">
        <f t="shared" si="20"/>
        <v>1.1647904338962014</v>
      </c>
      <c r="AJ186" s="116">
        <v>2</v>
      </c>
      <c r="AK186" s="116">
        <v>4</v>
      </c>
      <c r="AL186" s="122">
        <v>6.3</v>
      </c>
      <c r="AM186" s="116">
        <v>22</v>
      </c>
      <c r="AN186" s="122">
        <v>6.1</v>
      </c>
      <c r="AO186" s="122">
        <v>5.2</v>
      </c>
      <c r="AP186" s="79">
        <v>0.2</v>
      </c>
      <c r="AQ186" s="79">
        <v>0.16</v>
      </c>
      <c r="AR186" s="132">
        <f>SUM(C186:E186)</f>
        <v>1775</v>
      </c>
      <c r="AS186" s="134">
        <f>C186/AR186</f>
        <v>0.20281690140845071</v>
      </c>
      <c r="AT186" s="134">
        <f>D186/AR186</f>
        <v>0.65690140845070422</v>
      </c>
      <c r="AU186" s="134">
        <f>E186/AR186</f>
        <v>0.14028169014084507</v>
      </c>
      <c r="AV186" s="151">
        <f>IF(AND(F186&lt;&gt;"",Z186&lt;&gt;""),AB186/(F186/2/Z186),"")</f>
        <v>7.2240802675585289E-2</v>
      </c>
      <c r="AW186" s="151">
        <f>IF(AND(F186&lt;&gt;"",AK186&lt;&gt;""),AM186/(F186/2/AK186),"")</f>
        <v>9.8104793756967665E-2</v>
      </c>
      <c r="AX186" s="41">
        <f>IF(AND(AQ186&lt;&gt;"",1-(AQ186/O186)&gt;0),1-(AQ186/O186),"")</f>
        <v>0.8896551724137931</v>
      </c>
      <c r="AY186" s="41">
        <f>IF(AND(AF186&lt;&gt;"",1-(AF186/O186)&gt;0),1-(AF186/O186),"")</f>
        <v>0.93103448275862066</v>
      </c>
      <c r="AZ186" s="136" t="str">
        <f>IF(Q186="","",IF(Q186&lt;2.5,"Alc. Bruta &lt; 2,5 mg/L",IF(Q186&lt;5,"2,5 ≤ Alc. Bruta &lt; 5,0 mg/L",IF(Q186&lt;7.5,"5,0 ≤ Alc. Bruta &lt; 7,5 mg/L",IF(Q186&lt;10,"7,5 ≤ Alc. Bruta &lt; 10,0 mg/L",IF(Q186&lt;15,"10,0 ≤ Alca. Bruta &lt; 15,0 mg/L","Alc. Bruta &gt; 15 mg/L"))))))</f>
        <v>7,5 ≤ Alc. Bruta &lt; 10,0 mg/L</v>
      </c>
      <c r="BA186" s="136" t="str">
        <f>IF(P186="","",IF(P186&lt;5,"Cor &lt;5 uC",IF(P186&lt;10,"5 ≤ Cor &lt; 10 uC",IF(P186&lt;15,"10 ≤ Cor &lt;15 uC",IF(P186&lt;30,"15 ≤ Cor &lt; 30 uC",IF(P186&lt;50,"30 ≤ Cor &lt; 50 uC","Cor &gt; 50 uC"))))))</f>
        <v>10 ≤ Cor &lt;15 uC</v>
      </c>
      <c r="BB186" s="137" t="str">
        <f>IF(O186="","",IF(O186&lt;2.5,"Turbidez &lt; 2,5 uT",IF(O186&lt;5,"2,5 ≤ Turb &lt; 5,0 uT",IF(O186&lt;7.5,"5,0 ≤ Turb &lt; 7,5 uT",IF(O186&lt;10,"7,5 ≤ Turb &lt; 10,0 uT",IF(O186&lt;15,"10,0 ≤ Turb &lt; 15,0 uT","Turb &gt; 15 uT"))))))</f>
        <v>Turbidez &lt; 2,5 uT</v>
      </c>
      <c r="BC186" s="138" t="str">
        <f>IF(AND(C186&gt;D186,D186&gt;E186),"TOR &gt; SM &gt; BNN",IF(AND(C186&gt;E186,E186&gt;D186),"TOR &gt; BNN &gt; SM",IF(AND(D186&gt;C186,C186&gt;E186),"SM &gt; TOR &gt; BNN",IF(AND(D186&gt;E186,E186&gt;C186),"SM &gt; BNN &gt; TOR",IF(AND(C186=D186,D186=E186),"TOR = SM = BNN","Comb. diferentes")))))</f>
        <v>SM &gt; TOR &gt; BNN</v>
      </c>
      <c r="BD186" s="137" t="str">
        <f>IF(OR(AE186="",AQ186="-"),"",IF(AE186&lt;=0.25,"Tipo 1 (≤0,25) uT",IF(AE186&lt;=0.5,"Tipo 2 (0,25-0,50) uT",IF(AE186&lt;=0.75,"Tipo 3 (0,50-0,75) uT","Tipo 4 (&gt;0,75) uT"))))</f>
        <v>Tipo 1 (≤0,25) uT</v>
      </c>
      <c r="BE186" s="137" t="str">
        <f t="shared" si="14"/>
        <v>Tipo 1 (≤0,25) uT</v>
      </c>
      <c r="BF186" s="137" t="str">
        <f>IF(OR(AF186="",AQ186="-"),"",IF(AF186&lt;=0.25,"Tipo 1 (≤0,25) uT",IF(AF186&lt;=0.5,"Tipo 2 (0,25-0,50) uT",IF(AF186&lt;=0.75,"Tipo 3 (0,50-0,75) uT","Tipo 4 (&gt;0,75) uT"))))</f>
        <v>Tipo 1 (≤0,25) uT</v>
      </c>
      <c r="BG186" s="137" t="str">
        <f t="shared" si="15"/>
        <v>Tipo 1 (≤0,25) uT</v>
      </c>
      <c r="BH186" s="137" t="str">
        <f>IF(OR(R186="",R186="-"),"",IF(R186&lt;=0.25,"Tipo 1 (≤0,25) uT",IF(R186&lt;=0.5,"Tipo 2 (0,25-0,50) uT",IF(R186&lt;=0.75,"Tipo 3 (0,50-0,75) uT","Tipo 4 (&gt;0,75) uT"))))</f>
        <v>Tipo 1 (≤0,25) uT</v>
      </c>
    </row>
    <row r="187" spans="1:60" ht="15" thickBot="1" x14ac:dyDescent="0.35">
      <c r="A187" s="75">
        <v>46279</v>
      </c>
      <c r="B187" s="140">
        <v>0.22916666666666666</v>
      </c>
      <c r="C187" s="117">
        <v>372</v>
      </c>
      <c r="D187" s="117">
        <v>1176</v>
      </c>
      <c r="E187" s="117">
        <v>249</v>
      </c>
      <c r="F187" s="117">
        <v>1799</v>
      </c>
      <c r="G187" s="145" t="s">
        <v>100</v>
      </c>
      <c r="H187" s="123">
        <v>10.3</v>
      </c>
      <c r="I187" s="117">
        <v>80</v>
      </c>
      <c r="J187" s="11">
        <v>90</v>
      </c>
      <c r="K187" s="117">
        <v>90</v>
      </c>
      <c r="L187" s="117">
        <v>90</v>
      </c>
      <c r="M187" s="123">
        <v>24.5</v>
      </c>
      <c r="N187" s="123">
        <v>6.5</v>
      </c>
      <c r="O187" s="80">
        <v>1.52</v>
      </c>
      <c r="P187" s="117">
        <v>11</v>
      </c>
      <c r="Q187" s="123">
        <v>7.1</v>
      </c>
      <c r="R187" s="11">
        <v>7.0000000000000007E-2</v>
      </c>
      <c r="S187" s="79">
        <v>22.36</v>
      </c>
      <c r="T187" s="79">
        <v>0.88</v>
      </c>
      <c r="U187" s="79">
        <v>0.7</v>
      </c>
      <c r="V187" s="85">
        <f t="shared" si="16"/>
        <v>1981.8983333333333</v>
      </c>
      <c r="W187" s="85">
        <f t="shared" si="17"/>
        <v>1510.3722067199999</v>
      </c>
      <c r="X187" s="85">
        <f t="shared" si="18"/>
        <v>0.7620835949640874</v>
      </c>
      <c r="Y187" s="117">
        <v>3</v>
      </c>
      <c r="Z187" s="117">
        <v>3</v>
      </c>
      <c r="AA187" s="123">
        <v>5.8</v>
      </c>
      <c r="AB187" s="117">
        <v>21.6</v>
      </c>
      <c r="AC187" s="123">
        <v>6.2</v>
      </c>
      <c r="AD187" s="123">
        <v>5.7</v>
      </c>
      <c r="AE187" s="80">
        <v>0.18</v>
      </c>
      <c r="AF187" s="80">
        <v>0.12</v>
      </c>
      <c r="AG187" s="85">
        <f>(O187+0.3*H187+2)*(F187/2/AK187)</f>
        <v>1486.4237500000002</v>
      </c>
      <c r="AH187" s="85">
        <f t="shared" si="19"/>
        <v>1674.2890735999999</v>
      </c>
      <c r="AI187" s="85">
        <f t="shared" si="20"/>
        <v>1.1263874609107933</v>
      </c>
      <c r="AJ187" s="117">
        <v>2</v>
      </c>
      <c r="AK187" s="117">
        <v>4</v>
      </c>
      <c r="AL187" s="123">
        <v>6.2</v>
      </c>
      <c r="AM187" s="117">
        <v>22</v>
      </c>
      <c r="AN187" s="123">
        <v>6</v>
      </c>
      <c r="AO187" s="123">
        <v>5.4</v>
      </c>
      <c r="AP187" s="80">
        <v>0.16</v>
      </c>
      <c r="AQ187" s="80">
        <v>0.16</v>
      </c>
      <c r="AR187" s="132">
        <f>SUM(C187:E187)</f>
        <v>1797</v>
      </c>
      <c r="AS187" s="134">
        <f>C187/AR187</f>
        <v>0.20701168614357263</v>
      </c>
      <c r="AT187" s="134">
        <f>D187/AR187</f>
        <v>0.65442404006677801</v>
      </c>
      <c r="AU187" s="134">
        <f>E187/AR187</f>
        <v>0.13856427378964942</v>
      </c>
      <c r="AV187" s="151">
        <f>IF(AND(F187&lt;&gt;"",Z187&lt;&gt;""),AB187/(F187/2/Z187),"")</f>
        <v>7.2040022234574771E-2</v>
      </c>
      <c r="AW187" s="151">
        <f>IF(AND(F187&lt;&gt;"",AK187&lt;&gt;""),AM187/(F187/2/AK187),"")</f>
        <v>9.7832128960533629E-2</v>
      </c>
      <c r="AX187" s="41">
        <f>IF(AND(AQ187&lt;&gt;"",1-(AQ187/O187)&gt;0),1-(AQ187/O187),"")</f>
        <v>0.89473684210526316</v>
      </c>
      <c r="AY187" s="41">
        <f>IF(AND(AF187&lt;&gt;"",1-(AF187/O187)&gt;0),1-(AF187/O187),"")</f>
        <v>0.92105263157894735</v>
      </c>
      <c r="AZ187" s="136" t="str">
        <f>IF(Q187="","",IF(Q187&lt;2.5,"Alc. Bruta &lt; 2,5 mg/L",IF(Q187&lt;5,"2,5 ≤ Alc. Bruta &lt; 5,0 mg/L",IF(Q187&lt;7.5,"5,0 ≤ Alc. Bruta &lt; 7,5 mg/L",IF(Q187&lt;10,"7,5 ≤ Alc. Bruta &lt; 10,0 mg/L",IF(Q187&lt;15,"10,0 ≤ Alca. Bruta &lt; 15,0 mg/L","Alc. Bruta &gt; 15 mg/L"))))))</f>
        <v>5,0 ≤ Alc. Bruta &lt; 7,5 mg/L</v>
      </c>
      <c r="BA187" s="136" t="str">
        <f>IF(P187="","",IF(P187&lt;5,"Cor &lt;5 uC",IF(P187&lt;10,"5 ≤ Cor &lt; 10 uC",IF(P187&lt;15,"10 ≤ Cor &lt;15 uC",IF(P187&lt;30,"15 ≤ Cor &lt; 30 uC",IF(P187&lt;50,"30 ≤ Cor &lt; 50 uC","Cor &gt; 50 uC"))))))</f>
        <v>10 ≤ Cor &lt;15 uC</v>
      </c>
      <c r="BB187" s="137" t="str">
        <f>IF(O187="","",IF(O187&lt;2.5,"Turbidez &lt; 2,5 uT",IF(O187&lt;5,"2,5 ≤ Turb &lt; 5,0 uT",IF(O187&lt;7.5,"5,0 ≤ Turb &lt; 7,5 uT",IF(O187&lt;10,"7,5 ≤ Turb &lt; 10,0 uT",IF(O187&lt;15,"10,0 ≤ Turb &lt; 15,0 uT","Turb &gt; 15 uT"))))))</f>
        <v>Turbidez &lt; 2,5 uT</v>
      </c>
      <c r="BC187" s="138" t="str">
        <f>IF(AND(C187&gt;D187,D187&gt;E187),"TOR &gt; SM &gt; BNN",IF(AND(C187&gt;E187,E187&gt;D187),"TOR &gt; BNN &gt; SM",IF(AND(D187&gt;C187,C187&gt;E187),"SM &gt; TOR &gt; BNN",IF(AND(D187&gt;E187,E187&gt;C187),"SM &gt; BNN &gt; TOR",IF(AND(C187=D187,D187=E187),"TOR = SM = BNN","Comb. diferentes")))))</f>
        <v>SM &gt; TOR &gt; BNN</v>
      </c>
      <c r="BD187" s="137" t="str">
        <f>IF(OR(AE187="",AQ187="-"),"",IF(AE187&lt;=0.25,"Tipo 1 (≤0,25) uT",IF(AE187&lt;=0.5,"Tipo 2 (0,25-0,50) uT",IF(AE187&lt;=0.75,"Tipo 3 (0,50-0,75) uT","Tipo 4 (&gt;0,75) uT"))))</f>
        <v>Tipo 1 (≤0,25) uT</v>
      </c>
      <c r="BE187" s="137" t="str">
        <f t="shared" si="14"/>
        <v>Tipo 1 (≤0,25) uT</v>
      </c>
      <c r="BF187" s="137" t="str">
        <f>IF(OR(AF187="",AQ187="-"),"",IF(AF187&lt;=0.25,"Tipo 1 (≤0,25) uT",IF(AF187&lt;=0.5,"Tipo 2 (0,25-0,50) uT",IF(AF187&lt;=0.75,"Tipo 3 (0,50-0,75) uT","Tipo 4 (&gt;0,75) uT"))))</f>
        <v>Tipo 1 (≤0,25) uT</v>
      </c>
      <c r="BG187" s="137" t="str">
        <f t="shared" si="15"/>
        <v>Tipo 1 (≤0,25) uT</v>
      </c>
      <c r="BH187" s="137" t="str">
        <f>IF(OR(R187="",R187="-"),"",IF(R187&lt;=0.25,"Tipo 1 (≤0,25) uT",IF(R187&lt;=0.5,"Tipo 2 (0,25-0,50) uT",IF(R187&lt;=0.75,"Tipo 3 (0,50-0,75) uT","Tipo 4 (&gt;0,75) uT"))))</f>
        <v>Tipo 1 (≤0,25) uT</v>
      </c>
    </row>
    <row r="188" spans="1:60" x14ac:dyDescent="0.3">
      <c r="A188" s="73">
        <v>46279</v>
      </c>
      <c r="B188" s="141">
        <v>0.3125</v>
      </c>
      <c r="C188" s="118">
        <v>314</v>
      </c>
      <c r="D188" s="118">
        <v>1194</v>
      </c>
      <c r="E188" s="118">
        <v>250</v>
      </c>
      <c r="F188" s="118">
        <v>1790</v>
      </c>
      <c r="G188" s="146" t="s">
        <v>100</v>
      </c>
      <c r="H188" s="124">
        <v>9.8000000000000007</v>
      </c>
      <c r="I188" s="118">
        <v>80</v>
      </c>
      <c r="J188" s="9">
        <v>90</v>
      </c>
      <c r="K188" s="118">
        <v>90</v>
      </c>
      <c r="L188" s="118">
        <v>90</v>
      </c>
      <c r="M188" s="124">
        <v>24.9</v>
      </c>
      <c r="N188" s="124">
        <v>6.7</v>
      </c>
      <c r="O188" s="81">
        <v>1.39</v>
      </c>
      <c r="P188" s="118">
        <v>10</v>
      </c>
      <c r="Q188" s="124">
        <v>8.1999999999999993</v>
      </c>
      <c r="R188" s="9">
        <v>0.17</v>
      </c>
      <c r="S188" s="79">
        <v>22.36</v>
      </c>
      <c r="T188" s="79">
        <v>0.88</v>
      </c>
      <c r="U188" s="79">
        <v>0.7</v>
      </c>
      <c r="V188" s="85">
        <f t="shared" si="16"/>
        <v>1888.4499999999998</v>
      </c>
      <c r="W188" s="85">
        <f t="shared" si="17"/>
        <v>1398.4927839999998</v>
      </c>
      <c r="X188" s="85">
        <f t="shared" si="18"/>
        <v>0.74055060181630439</v>
      </c>
      <c r="Y188" s="118">
        <v>2</v>
      </c>
      <c r="Z188" s="118">
        <v>3</v>
      </c>
      <c r="AA188" s="124">
        <v>5.8</v>
      </c>
      <c r="AB188" s="118">
        <v>20</v>
      </c>
      <c r="AC188" s="124">
        <v>6.2</v>
      </c>
      <c r="AD188" s="124">
        <v>5.6</v>
      </c>
      <c r="AE188" s="81">
        <v>0.1</v>
      </c>
      <c r="AF188" s="81">
        <v>0.11</v>
      </c>
      <c r="AG188" s="85">
        <f>(O188+0.3*H188+2)*(F188/2/AK188)</f>
        <v>1416.3375000000001</v>
      </c>
      <c r="AH188" s="85">
        <f t="shared" si="19"/>
        <v>1863.5736287999996</v>
      </c>
      <c r="AI188" s="85">
        <f t="shared" si="20"/>
        <v>1.3157694608806161</v>
      </c>
      <c r="AJ188" s="118">
        <v>2</v>
      </c>
      <c r="AK188" s="118">
        <v>4</v>
      </c>
      <c r="AL188" s="124">
        <v>6.3</v>
      </c>
      <c r="AM188" s="118">
        <v>24</v>
      </c>
      <c r="AN188" s="124">
        <v>6.1</v>
      </c>
      <c r="AO188" s="124">
        <v>5.4</v>
      </c>
      <c r="AP188" s="81">
        <v>0.13</v>
      </c>
      <c r="AQ188" s="81">
        <v>0.17</v>
      </c>
      <c r="AR188" s="132">
        <f>SUM(C188:E188)</f>
        <v>1758</v>
      </c>
      <c r="AS188" s="134">
        <f>C188/AR188</f>
        <v>0.17861205915813425</v>
      </c>
      <c r="AT188" s="134">
        <f>D188/AR188</f>
        <v>0.67918088737201365</v>
      </c>
      <c r="AU188" s="134">
        <f>E188/AR188</f>
        <v>0.1422070534698521</v>
      </c>
      <c r="AV188" s="151">
        <f>IF(AND(F188&lt;&gt;"",Z188&lt;&gt;""),AB188/(F188/2/Z188),"")</f>
        <v>6.7039106145251395E-2</v>
      </c>
      <c r="AW188" s="151">
        <f>IF(AND(F188&lt;&gt;"",AK188&lt;&gt;""),AM188/(F188/2/AK188),"")</f>
        <v>0.10726256983240223</v>
      </c>
      <c r="AX188" s="41">
        <f>IF(AND(AQ188&lt;&gt;"",1-(AQ188/O188)&gt;0),1-(AQ188/O188),"")</f>
        <v>0.87769784172661869</v>
      </c>
      <c r="AY188" s="41">
        <f>IF(AND(AF188&lt;&gt;"",1-(AF188/O188)&gt;0),1-(AF188/O188),"")</f>
        <v>0.92086330935251803</v>
      </c>
      <c r="AZ188" s="136" t="str">
        <f>IF(Q188="","",IF(Q188&lt;2.5,"Alc. Bruta &lt; 2,5 mg/L",IF(Q188&lt;5,"2,5 ≤ Alc. Bruta &lt; 5,0 mg/L",IF(Q188&lt;7.5,"5,0 ≤ Alc. Bruta &lt; 7,5 mg/L",IF(Q188&lt;10,"7,5 ≤ Alc. Bruta &lt; 10,0 mg/L",IF(Q188&lt;15,"10,0 ≤ Alca. Bruta &lt; 15,0 mg/L","Alc. Bruta &gt; 15 mg/L"))))))</f>
        <v>7,5 ≤ Alc. Bruta &lt; 10,0 mg/L</v>
      </c>
      <c r="BA188" s="136" t="str">
        <f>IF(P188="","",IF(P188&lt;5,"Cor &lt;5 uC",IF(P188&lt;10,"5 ≤ Cor &lt; 10 uC",IF(P188&lt;15,"10 ≤ Cor &lt;15 uC",IF(P188&lt;30,"15 ≤ Cor &lt; 30 uC",IF(P188&lt;50,"30 ≤ Cor &lt; 50 uC","Cor &gt; 50 uC"))))))</f>
        <v>10 ≤ Cor &lt;15 uC</v>
      </c>
      <c r="BB188" s="137" t="str">
        <f>IF(O188="","",IF(O188&lt;2.5,"Turbidez &lt; 2,5 uT",IF(O188&lt;5,"2,5 ≤ Turb &lt; 5,0 uT",IF(O188&lt;7.5,"5,0 ≤ Turb &lt; 7,5 uT",IF(O188&lt;10,"7,5 ≤ Turb &lt; 10,0 uT",IF(O188&lt;15,"10,0 ≤ Turb &lt; 15,0 uT","Turb &gt; 15 uT"))))))</f>
        <v>Turbidez &lt; 2,5 uT</v>
      </c>
      <c r="BC188" s="138" t="str">
        <f>IF(AND(C188&gt;D188,D188&gt;E188),"TOR &gt; SM &gt; BNN",IF(AND(C188&gt;E188,E188&gt;D188),"TOR &gt; BNN &gt; SM",IF(AND(D188&gt;C188,C188&gt;E188),"SM &gt; TOR &gt; BNN",IF(AND(D188&gt;E188,E188&gt;C188),"SM &gt; BNN &gt; TOR",IF(AND(C188=D188,D188=E188),"TOR = SM = BNN","Comb. diferentes")))))</f>
        <v>SM &gt; TOR &gt; BNN</v>
      </c>
      <c r="BD188" s="137" t="str">
        <f>IF(OR(AE188="",AQ188="-"),"",IF(AE188&lt;=0.25,"Tipo 1 (≤0,25) uT",IF(AE188&lt;=0.5,"Tipo 2 (0,25-0,50) uT",IF(AE188&lt;=0.75,"Tipo 3 (0,50-0,75) uT","Tipo 4 (&gt;0,75) uT"))))</f>
        <v>Tipo 1 (≤0,25) uT</v>
      </c>
      <c r="BE188" s="137" t="str">
        <f t="shared" si="14"/>
        <v>Tipo 1 (≤0,25) uT</v>
      </c>
      <c r="BF188" s="137" t="str">
        <f>IF(OR(AF188="",AQ188="-"),"",IF(AF188&lt;=0.25,"Tipo 1 (≤0,25) uT",IF(AF188&lt;=0.5,"Tipo 2 (0,25-0,50) uT",IF(AF188&lt;=0.75,"Tipo 3 (0,50-0,75) uT","Tipo 4 (&gt;0,75) uT"))))</f>
        <v>Tipo 1 (≤0,25) uT</v>
      </c>
      <c r="BG188" s="137" t="str">
        <f t="shared" si="15"/>
        <v>Tipo 1 (≤0,25) uT</v>
      </c>
      <c r="BH188" s="137" t="str">
        <f>IF(OR(R188="",R188="-"),"",IF(R188&lt;=0.25,"Tipo 1 (≤0,25) uT",IF(R188&lt;=0.5,"Tipo 2 (0,25-0,50) uT",IF(R188&lt;=0.75,"Tipo 3 (0,50-0,75) uT","Tipo 4 (&gt;0,75) uT"))))</f>
        <v>Tipo 1 (≤0,25) uT</v>
      </c>
    </row>
    <row r="189" spans="1:60" x14ac:dyDescent="0.3">
      <c r="A189" s="74">
        <v>46279</v>
      </c>
      <c r="B189" s="139">
        <v>0.39583333333333331</v>
      </c>
      <c r="C189" s="116">
        <v>318</v>
      </c>
      <c r="D189" s="116">
        <v>1210</v>
      </c>
      <c r="E189" s="116">
        <v>250</v>
      </c>
      <c r="F189" s="116">
        <v>1795</v>
      </c>
      <c r="G189" s="144" t="s">
        <v>100</v>
      </c>
      <c r="H189" s="122">
        <v>10</v>
      </c>
      <c r="I189" s="116">
        <v>90</v>
      </c>
      <c r="J189" s="10">
        <v>90</v>
      </c>
      <c r="K189" s="116">
        <v>90</v>
      </c>
      <c r="L189" s="116">
        <v>90</v>
      </c>
      <c r="M189" s="122">
        <v>25</v>
      </c>
      <c r="N189" s="122">
        <v>6.7</v>
      </c>
      <c r="O189" s="79">
        <v>1.8</v>
      </c>
      <c r="P189" s="116">
        <v>10</v>
      </c>
      <c r="Q189" s="122">
        <v>7.5</v>
      </c>
      <c r="R189" s="10">
        <v>0.1</v>
      </c>
      <c r="S189" s="79">
        <v>22.36</v>
      </c>
      <c r="T189" s="79">
        <v>0.88</v>
      </c>
      <c r="U189" s="79">
        <v>0.7</v>
      </c>
      <c r="V189" s="85">
        <f t="shared" si="16"/>
        <v>2034.3333333333335</v>
      </c>
      <c r="W189" s="85">
        <f t="shared" si="17"/>
        <v>1533.3012239999998</v>
      </c>
      <c r="X189" s="85">
        <f t="shared" si="18"/>
        <v>0.75371189120104853</v>
      </c>
      <c r="Y189" s="116">
        <v>2</v>
      </c>
      <c r="Z189" s="116">
        <v>3</v>
      </c>
      <c r="AA189" s="122">
        <v>6</v>
      </c>
      <c r="AB189" s="116">
        <v>21</v>
      </c>
      <c r="AC189" s="122">
        <v>6.3</v>
      </c>
      <c r="AD189" s="122">
        <v>6.1</v>
      </c>
      <c r="AE189" s="79">
        <v>0.09</v>
      </c>
      <c r="AF189" s="79">
        <v>0.1</v>
      </c>
      <c r="AG189" s="85">
        <f>(O189+0.3*H189+2)*(F189/2/AK189)</f>
        <v>1525.75</v>
      </c>
      <c r="AH189" s="85">
        <f t="shared" si="19"/>
        <v>1821.4563327999999</v>
      </c>
      <c r="AI189" s="85">
        <f t="shared" si="20"/>
        <v>1.1938104753727674</v>
      </c>
      <c r="AJ189" s="116">
        <v>2</v>
      </c>
      <c r="AK189" s="116">
        <v>4</v>
      </c>
      <c r="AL189" s="122">
        <v>6.4</v>
      </c>
      <c r="AM189" s="116">
        <v>23</v>
      </c>
      <c r="AN189" s="122">
        <v>6.2</v>
      </c>
      <c r="AO189" s="122">
        <v>6</v>
      </c>
      <c r="AP189" s="79">
        <v>0.21</v>
      </c>
      <c r="AQ189" s="79">
        <v>0.16</v>
      </c>
      <c r="AR189" s="132">
        <f>SUM(C189:E189)</f>
        <v>1778</v>
      </c>
      <c r="AS189" s="134">
        <f>C189/AR189</f>
        <v>0.17885264341957255</v>
      </c>
      <c r="AT189" s="134">
        <f>D189/AR189</f>
        <v>0.68053993250843647</v>
      </c>
      <c r="AU189" s="134">
        <f>E189/AR189</f>
        <v>0.14060742407199101</v>
      </c>
      <c r="AV189" s="151">
        <f>IF(AND(F189&lt;&gt;"",Z189&lt;&gt;""),AB189/(F189/2/Z189),"")</f>
        <v>7.0194986072423388E-2</v>
      </c>
      <c r="AW189" s="151">
        <f>IF(AND(F189&lt;&gt;"",AK189&lt;&gt;""),AM189/(F189/2/AK189),"")</f>
        <v>0.10250696378830083</v>
      </c>
      <c r="AX189" s="41">
        <f>IF(AND(AQ189&lt;&gt;"",1-(AQ189/O189)&gt;0),1-(AQ189/O189),"")</f>
        <v>0.91111111111111109</v>
      </c>
      <c r="AY189" s="41">
        <f>IF(AND(AF189&lt;&gt;"",1-(AF189/O189)&gt;0),1-(AF189/O189),"")</f>
        <v>0.94444444444444442</v>
      </c>
      <c r="AZ189" s="136" t="str">
        <f>IF(Q189="","",IF(Q189&lt;2.5,"Alc. Bruta &lt; 2,5 mg/L",IF(Q189&lt;5,"2,5 ≤ Alc. Bruta &lt; 5,0 mg/L",IF(Q189&lt;7.5,"5,0 ≤ Alc. Bruta &lt; 7,5 mg/L",IF(Q189&lt;10,"7,5 ≤ Alc. Bruta &lt; 10,0 mg/L",IF(Q189&lt;15,"10,0 ≤ Alca. Bruta &lt; 15,0 mg/L","Alc. Bruta &gt; 15 mg/L"))))))</f>
        <v>7,5 ≤ Alc. Bruta &lt; 10,0 mg/L</v>
      </c>
      <c r="BA189" s="136" t="str">
        <f>IF(P189="","",IF(P189&lt;5,"Cor &lt;5 uC",IF(P189&lt;10,"5 ≤ Cor &lt; 10 uC",IF(P189&lt;15,"10 ≤ Cor &lt;15 uC",IF(P189&lt;30,"15 ≤ Cor &lt; 30 uC",IF(P189&lt;50,"30 ≤ Cor &lt; 50 uC","Cor &gt; 50 uC"))))))</f>
        <v>10 ≤ Cor &lt;15 uC</v>
      </c>
      <c r="BB189" s="137" t="str">
        <f>IF(O189="","",IF(O189&lt;2.5,"Turbidez &lt; 2,5 uT",IF(O189&lt;5,"2,5 ≤ Turb &lt; 5,0 uT",IF(O189&lt;7.5,"5,0 ≤ Turb &lt; 7,5 uT",IF(O189&lt;10,"7,5 ≤ Turb &lt; 10,0 uT",IF(O189&lt;15,"10,0 ≤ Turb &lt; 15,0 uT","Turb &gt; 15 uT"))))))</f>
        <v>Turbidez &lt; 2,5 uT</v>
      </c>
      <c r="BC189" s="138" t="str">
        <f>IF(AND(C189&gt;D189,D189&gt;E189),"TOR &gt; SM &gt; BNN",IF(AND(C189&gt;E189,E189&gt;D189),"TOR &gt; BNN &gt; SM",IF(AND(D189&gt;C189,C189&gt;E189),"SM &gt; TOR &gt; BNN",IF(AND(D189&gt;E189,E189&gt;C189),"SM &gt; BNN &gt; TOR",IF(AND(C189=D189,D189=E189),"TOR = SM = BNN","Comb. diferentes")))))</f>
        <v>SM &gt; TOR &gt; BNN</v>
      </c>
      <c r="BD189" s="137" t="str">
        <f>IF(OR(AE189="",AQ189="-"),"",IF(AE189&lt;=0.25,"Tipo 1 (≤0,25) uT",IF(AE189&lt;=0.5,"Tipo 2 (0,25-0,50) uT",IF(AE189&lt;=0.75,"Tipo 3 (0,50-0,75) uT","Tipo 4 (&gt;0,75) uT"))))</f>
        <v>Tipo 1 (≤0,25) uT</v>
      </c>
      <c r="BE189" s="137" t="str">
        <f t="shared" si="14"/>
        <v>Tipo 1 (≤0,25) uT</v>
      </c>
      <c r="BF189" s="137" t="str">
        <f>IF(OR(AF189="",AQ189="-"),"",IF(AF189&lt;=0.25,"Tipo 1 (≤0,25) uT",IF(AF189&lt;=0.5,"Tipo 2 (0,25-0,50) uT",IF(AF189&lt;=0.75,"Tipo 3 (0,50-0,75) uT","Tipo 4 (&gt;0,75) uT"))))</f>
        <v>Tipo 1 (≤0,25) uT</v>
      </c>
      <c r="BG189" s="137" t="str">
        <f t="shared" si="15"/>
        <v>Tipo 1 (≤0,25) uT</v>
      </c>
      <c r="BH189" s="137" t="str">
        <f>IF(OR(R189="",R189="-"),"",IF(R189&lt;=0.25,"Tipo 1 (≤0,25) uT",IF(R189&lt;=0.5,"Tipo 2 (0,25-0,50) uT",IF(R189&lt;=0.75,"Tipo 3 (0,50-0,75) uT","Tipo 4 (&gt;0,75) uT"))))</f>
        <v>Tipo 1 (≤0,25) uT</v>
      </c>
    </row>
    <row r="190" spans="1:60" x14ac:dyDescent="0.3">
      <c r="A190" s="74">
        <v>46279</v>
      </c>
      <c r="B190" s="139">
        <v>0.47916666666666669</v>
      </c>
      <c r="C190" s="116">
        <v>278</v>
      </c>
      <c r="D190" s="116">
        <v>1751</v>
      </c>
      <c r="E190" s="116">
        <v>250</v>
      </c>
      <c r="F190" s="116">
        <v>2314</v>
      </c>
      <c r="G190" s="144" t="s">
        <v>100</v>
      </c>
      <c r="H190" s="122">
        <v>10</v>
      </c>
      <c r="I190" s="116">
        <v>90</v>
      </c>
      <c r="J190" s="10">
        <v>90</v>
      </c>
      <c r="K190" s="116">
        <v>90</v>
      </c>
      <c r="L190" s="116">
        <v>90</v>
      </c>
      <c r="M190" s="122">
        <v>24.9</v>
      </c>
      <c r="N190" s="122">
        <v>6.7</v>
      </c>
      <c r="O190" s="79">
        <v>1.32</v>
      </c>
      <c r="P190" s="116">
        <v>9</v>
      </c>
      <c r="Q190" s="122">
        <v>7.1</v>
      </c>
      <c r="R190" s="10">
        <v>0.12</v>
      </c>
      <c r="S190" s="79">
        <v>22.36</v>
      </c>
      <c r="T190" s="79">
        <v>0.88</v>
      </c>
      <c r="U190" s="79">
        <v>0.7</v>
      </c>
      <c r="V190" s="85">
        <f t="shared" si="16"/>
        <v>1828.0600000000002</v>
      </c>
      <c r="W190" s="85">
        <f t="shared" si="17"/>
        <v>1598.1850248000001</v>
      </c>
      <c r="X190" s="85">
        <f t="shared" si="18"/>
        <v>0.87425195278054324</v>
      </c>
      <c r="Y190" s="116">
        <v>3</v>
      </c>
      <c r="Z190" s="116">
        <v>4</v>
      </c>
      <c r="AA190" s="122">
        <v>6.2</v>
      </c>
      <c r="AB190" s="116">
        <v>21</v>
      </c>
      <c r="AC190" s="122">
        <v>6.4</v>
      </c>
      <c r="AD190" s="122">
        <v>5</v>
      </c>
      <c r="AE190" s="79">
        <v>0.11</v>
      </c>
      <c r="AF190" s="79">
        <v>0.15</v>
      </c>
      <c r="AG190" s="85">
        <f>(O190+0.3*H190+2)*(F190/2/AK190)</f>
        <v>1828.0600000000002</v>
      </c>
      <c r="AH190" s="85">
        <f t="shared" si="19"/>
        <v>1785.9247275999996</v>
      </c>
      <c r="AI190" s="85">
        <f t="shared" si="20"/>
        <v>0.9769508263404918</v>
      </c>
      <c r="AJ190" s="116">
        <v>3</v>
      </c>
      <c r="AK190" s="116">
        <v>4</v>
      </c>
      <c r="AL190" s="122">
        <v>6.3</v>
      </c>
      <c r="AM190" s="116">
        <v>23</v>
      </c>
      <c r="AN190" s="122">
        <v>6.3</v>
      </c>
      <c r="AO190" s="122">
        <v>5</v>
      </c>
      <c r="AP190" s="79">
        <v>0.16</v>
      </c>
      <c r="AQ190" s="79">
        <v>0.18</v>
      </c>
      <c r="AR190" s="132">
        <f>SUM(C190:E190)</f>
        <v>2279</v>
      </c>
      <c r="AS190" s="134">
        <f>C190/AR190</f>
        <v>0.12198332602018429</v>
      </c>
      <c r="AT190" s="134">
        <f>D190/AR190</f>
        <v>0.76831943835015359</v>
      </c>
      <c r="AU190" s="134">
        <f>E190/AR190</f>
        <v>0.10969723562966213</v>
      </c>
      <c r="AV190" s="151">
        <f>IF(AND(F190&lt;&gt;"",Z190&lt;&gt;""),AB190/(F190/2/Z190),"")</f>
        <v>7.260155574762317E-2</v>
      </c>
      <c r="AW190" s="151">
        <f>IF(AND(F190&lt;&gt;"",AK190&lt;&gt;""),AM190/(F190/2/AK190),"")</f>
        <v>7.9515989628349174E-2</v>
      </c>
      <c r="AX190" s="41">
        <f>IF(AND(AQ190&lt;&gt;"",1-(AQ190/O190)&gt;0),1-(AQ190/O190),"")</f>
        <v>0.86363636363636365</v>
      </c>
      <c r="AY190" s="41">
        <f>IF(AND(AF190&lt;&gt;"",1-(AF190/O190)&gt;0),1-(AF190/O190),"")</f>
        <v>0.88636363636363635</v>
      </c>
      <c r="AZ190" s="136" t="str">
        <f>IF(Q190="","",IF(Q190&lt;2.5,"Alc. Bruta &lt; 2,5 mg/L",IF(Q190&lt;5,"2,5 ≤ Alc. Bruta &lt; 5,0 mg/L",IF(Q190&lt;7.5,"5,0 ≤ Alc. Bruta &lt; 7,5 mg/L",IF(Q190&lt;10,"7,5 ≤ Alc. Bruta &lt; 10,0 mg/L",IF(Q190&lt;15,"10,0 ≤ Alca. Bruta &lt; 15,0 mg/L","Alc. Bruta &gt; 15 mg/L"))))))</f>
        <v>5,0 ≤ Alc. Bruta &lt; 7,5 mg/L</v>
      </c>
      <c r="BA190" s="136" t="str">
        <f>IF(P190="","",IF(P190&lt;5,"Cor &lt;5 uC",IF(P190&lt;10,"5 ≤ Cor &lt; 10 uC",IF(P190&lt;15,"10 ≤ Cor &lt;15 uC",IF(P190&lt;30,"15 ≤ Cor &lt; 30 uC",IF(P190&lt;50,"30 ≤ Cor &lt; 50 uC","Cor &gt; 50 uC"))))))</f>
        <v>5 ≤ Cor &lt; 10 uC</v>
      </c>
      <c r="BB190" s="137" t="str">
        <f>IF(O190="","",IF(O190&lt;2.5,"Turbidez &lt; 2,5 uT",IF(O190&lt;5,"2,5 ≤ Turb &lt; 5,0 uT",IF(O190&lt;7.5,"5,0 ≤ Turb &lt; 7,5 uT",IF(O190&lt;10,"7,5 ≤ Turb &lt; 10,0 uT",IF(O190&lt;15,"10,0 ≤ Turb &lt; 15,0 uT","Turb &gt; 15 uT"))))))</f>
        <v>Turbidez &lt; 2,5 uT</v>
      </c>
      <c r="BC190" s="138" t="str">
        <f>IF(AND(C190&gt;D190,D190&gt;E190),"TOR &gt; SM &gt; BNN",IF(AND(C190&gt;E190,E190&gt;D190),"TOR &gt; BNN &gt; SM",IF(AND(D190&gt;C190,C190&gt;E190),"SM &gt; TOR &gt; BNN",IF(AND(D190&gt;E190,E190&gt;C190),"SM &gt; BNN &gt; TOR",IF(AND(C190=D190,D190=E190),"TOR = SM = BNN","Comb. diferentes")))))</f>
        <v>SM &gt; TOR &gt; BNN</v>
      </c>
      <c r="BD190" s="137" t="str">
        <f>IF(OR(AE190="",AQ190="-"),"",IF(AE190&lt;=0.25,"Tipo 1 (≤0,25) uT",IF(AE190&lt;=0.5,"Tipo 2 (0,25-0,50) uT",IF(AE190&lt;=0.75,"Tipo 3 (0,50-0,75) uT","Tipo 4 (&gt;0,75) uT"))))</f>
        <v>Tipo 1 (≤0,25) uT</v>
      </c>
      <c r="BE190" s="137" t="str">
        <f t="shared" si="14"/>
        <v>Tipo 1 (≤0,25) uT</v>
      </c>
      <c r="BF190" s="137" t="str">
        <f>IF(OR(AF190="",AQ190="-"),"",IF(AF190&lt;=0.25,"Tipo 1 (≤0,25) uT",IF(AF190&lt;=0.5,"Tipo 2 (0,25-0,50) uT",IF(AF190&lt;=0.75,"Tipo 3 (0,50-0,75) uT","Tipo 4 (&gt;0,75) uT"))))</f>
        <v>Tipo 1 (≤0,25) uT</v>
      </c>
      <c r="BG190" s="137" t="str">
        <f t="shared" si="15"/>
        <v>Tipo 1 (≤0,25) uT</v>
      </c>
      <c r="BH190" s="137" t="str">
        <f>IF(OR(R190="",R190="-"),"",IF(R190&lt;=0.25,"Tipo 1 (≤0,25) uT",IF(R190&lt;=0.5,"Tipo 2 (0,25-0,50) uT",IF(R190&lt;=0.75,"Tipo 3 (0,50-0,75) uT","Tipo 4 (&gt;0,75) uT"))))</f>
        <v>Tipo 1 (≤0,25) uT</v>
      </c>
    </row>
    <row r="191" spans="1:60" x14ac:dyDescent="0.3">
      <c r="A191" s="74">
        <v>46279</v>
      </c>
      <c r="B191" s="139">
        <v>0.64583333333333337</v>
      </c>
      <c r="C191" s="116">
        <v>281</v>
      </c>
      <c r="D191" s="116">
        <v>1747</v>
      </c>
      <c r="E191" s="116">
        <v>250</v>
      </c>
      <c r="F191" s="116">
        <v>2183</v>
      </c>
      <c r="G191" s="144" t="s">
        <v>100</v>
      </c>
      <c r="H191" s="122">
        <v>10</v>
      </c>
      <c r="I191" s="116">
        <v>95</v>
      </c>
      <c r="J191" s="10">
        <v>90</v>
      </c>
      <c r="K191" s="116">
        <v>90</v>
      </c>
      <c r="L191" s="116">
        <v>90</v>
      </c>
      <c r="M191" s="122">
        <v>26</v>
      </c>
      <c r="N191" s="122">
        <v>6.6</v>
      </c>
      <c r="O191" s="79">
        <v>1.4</v>
      </c>
      <c r="P191" s="116">
        <v>9</v>
      </c>
      <c r="Q191" s="122">
        <v>7.3</v>
      </c>
      <c r="R191" s="10">
        <v>0.14000000000000001</v>
      </c>
      <c r="S191" s="79">
        <v>22.36</v>
      </c>
      <c r="T191" s="79">
        <v>0.88</v>
      </c>
      <c r="U191" s="79">
        <v>0.7</v>
      </c>
      <c r="V191" s="85">
        <f t="shared" si="16"/>
        <v>1746.4</v>
      </c>
      <c r="W191" s="85">
        <f t="shared" si="17"/>
        <v>1708.2758263999997</v>
      </c>
      <c r="X191" s="85">
        <f t="shared" si="18"/>
        <v>0.97816985020613811</v>
      </c>
      <c r="Y191" s="116">
        <v>3</v>
      </c>
      <c r="Z191" s="116">
        <v>4</v>
      </c>
      <c r="AA191" s="122">
        <v>6.3</v>
      </c>
      <c r="AB191" s="116">
        <v>22</v>
      </c>
      <c r="AC191" s="122">
        <v>6.2</v>
      </c>
      <c r="AD191" s="122">
        <v>4.8</v>
      </c>
      <c r="AE191" s="79">
        <v>0.17</v>
      </c>
      <c r="AF191" s="79">
        <v>0.17</v>
      </c>
      <c r="AG191" s="85">
        <f>(O191+0.3*H191+2)*(F191/2/AK191)</f>
        <v>1746.4</v>
      </c>
      <c r="AH191" s="85">
        <f t="shared" si="19"/>
        <v>1750.3931224</v>
      </c>
      <c r="AI191" s="85">
        <f t="shared" si="20"/>
        <v>1.002286487860742</v>
      </c>
      <c r="AJ191" s="116">
        <v>3</v>
      </c>
      <c r="AK191" s="116">
        <v>4</v>
      </c>
      <c r="AL191" s="122">
        <v>6.2</v>
      </c>
      <c r="AM191" s="116">
        <v>23</v>
      </c>
      <c r="AN191" s="122">
        <v>6.1</v>
      </c>
      <c r="AO191" s="122">
        <v>4.5999999999999996</v>
      </c>
      <c r="AP191" s="79">
        <v>0.14000000000000001</v>
      </c>
      <c r="AQ191" s="79">
        <v>0.17</v>
      </c>
      <c r="AR191" s="132">
        <f>SUM(C191:E191)</f>
        <v>2278</v>
      </c>
      <c r="AS191" s="134">
        <f>C191/AR191</f>
        <v>0.12335381913959614</v>
      </c>
      <c r="AT191" s="134">
        <f>D191/AR191</f>
        <v>0.76690079016681301</v>
      </c>
      <c r="AU191" s="134">
        <f>E191/AR191</f>
        <v>0.10974539069359086</v>
      </c>
      <c r="AV191" s="151">
        <f>IF(AND(F191&lt;&gt;"",Z191&lt;&gt;""),AB191/(F191/2/Z191),"")</f>
        <v>8.0622995877233164E-2</v>
      </c>
      <c r="AW191" s="151">
        <f>IF(AND(F191&lt;&gt;"",AK191&lt;&gt;""),AM191/(F191/2/AK191),"")</f>
        <v>8.4287677508016495E-2</v>
      </c>
      <c r="AX191" s="41">
        <f>IF(AND(AQ191&lt;&gt;"",1-(AQ191/O191)&gt;0),1-(AQ191/O191),"")</f>
        <v>0.87857142857142856</v>
      </c>
      <c r="AY191" s="41">
        <f>IF(AND(AF191&lt;&gt;"",1-(AF191/O191)&gt;0),1-(AF191/O191),"")</f>
        <v>0.87857142857142856</v>
      </c>
      <c r="AZ191" s="136" t="str">
        <f>IF(Q191="","",IF(Q191&lt;2.5,"Alc. Bruta &lt; 2,5 mg/L",IF(Q191&lt;5,"2,5 ≤ Alc. Bruta &lt; 5,0 mg/L",IF(Q191&lt;7.5,"5,0 ≤ Alc. Bruta &lt; 7,5 mg/L",IF(Q191&lt;10,"7,5 ≤ Alc. Bruta &lt; 10,0 mg/L",IF(Q191&lt;15,"10,0 ≤ Alca. Bruta &lt; 15,0 mg/L","Alc. Bruta &gt; 15 mg/L"))))))</f>
        <v>5,0 ≤ Alc. Bruta &lt; 7,5 mg/L</v>
      </c>
      <c r="BA191" s="136" t="str">
        <f>IF(P191="","",IF(P191&lt;5,"Cor &lt;5 uC",IF(P191&lt;10,"5 ≤ Cor &lt; 10 uC",IF(P191&lt;15,"10 ≤ Cor &lt;15 uC",IF(P191&lt;30,"15 ≤ Cor &lt; 30 uC",IF(P191&lt;50,"30 ≤ Cor &lt; 50 uC","Cor &gt; 50 uC"))))))</f>
        <v>5 ≤ Cor &lt; 10 uC</v>
      </c>
      <c r="BB191" s="137" t="str">
        <f>IF(O191="","",IF(O191&lt;2.5,"Turbidez &lt; 2,5 uT",IF(O191&lt;5,"2,5 ≤ Turb &lt; 5,0 uT",IF(O191&lt;7.5,"5,0 ≤ Turb &lt; 7,5 uT",IF(O191&lt;10,"7,5 ≤ Turb &lt; 10,0 uT",IF(O191&lt;15,"10,0 ≤ Turb &lt; 15,0 uT","Turb &gt; 15 uT"))))))</f>
        <v>Turbidez &lt; 2,5 uT</v>
      </c>
      <c r="BC191" s="138" t="str">
        <f>IF(AND(C191&gt;D191,D191&gt;E191),"TOR &gt; SM &gt; BNN",IF(AND(C191&gt;E191,E191&gt;D191),"TOR &gt; BNN &gt; SM",IF(AND(D191&gt;C191,C191&gt;E191),"SM &gt; TOR &gt; BNN",IF(AND(D191&gt;E191,E191&gt;C191),"SM &gt; BNN &gt; TOR",IF(AND(C191=D191,D191=E191),"TOR = SM = BNN","Comb. diferentes")))))</f>
        <v>SM &gt; TOR &gt; BNN</v>
      </c>
      <c r="BD191" s="137" t="str">
        <f>IF(OR(AE191="",AQ191="-"),"",IF(AE191&lt;=0.25,"Tipo 1 (≤0,25) uT",IF(AE191&lt;=0.5,"Tipo 2 (0,25-0,50) uT",IF(AE191&lt;=0.75,"Tipo 3 (0,50-0,75) uT","Tipo 4 (&gt;0,75) uT"))))</f>
        <v>Tipo 1 (≤0,25) uT</v>
      </c>
      <c r="BE191" s="137" t="str">
        <f t="shared" si="14"/>
        <v>Tipo 1 (≤0,25) uT</v>
      </c>
      <c r="BF191" s="137" t="str">
        <f>IF(OR(AF191="",AQ191="-"),"",IF(AF191&lt;=0.25,"Tipo 1 (≤0,25) uT",IF(AF191&lt;=0.5,"Tipo 2 (0,25-0,50) uT",IF(AF191&lt;=0.75,"Tipo 3 (0,50-0,75) uT","Tipo 4 (&gt;0,75) uT"))))</f>
        <v>Tipo 1 (≤0,25) uT</v>
      </c>
      <c r="BG191" s="137" t="str">
        <f t="shared" si="15"/>
        <v>Tipo 1 (≤0,25) uT</v>
      </c>
      <c r="BH191" s="137" t="str">
        <f>IF(OR(R191="",R191="-"),"",IF(R191&lt;=0.25,"Tipo 1 (≤0,25) uT",IF(R191&lt;=0.5,"Tipo 2 (0,25-0,50) uT",IF(R191&lt;=0.75,"Tipo 3 (0,50-0,75) uT","Tipo 4 (&gt;0,75) uT"))))</f>
        <v>Tipo 1 (≤0,25) uT</v>
      </c>
    </row>
    <row r="192" spans="1:60" x14ac:dyDescent="0.3">
      <c r="A192" s="74">
        <v>46279</v>
      </c>
      <c r="B192" s="139">
        <v>0.72916666666666663</v>
      </c>
      <c r="C192" s="116">
        <v>291</v>
      </c>
      <c r="D192" s="116">
        <v>1752</v>
      </c>
      <c r="E192" s="116">
        <v>250</v>
      </c>
      <c r="F192" s="116">
        <v>2231</v>
      </c>
      <c r="G192" s="144" t="s">
        <v>100</v>
      </c>
      <c r="H192" s="122">
        <v>9.8000000000000007</v>
      </c>
      <c r="I192" s="116">
        <v>1.7</v>
      </c>
      <c r="J192" s="10">
        <v>90</v>
      </c>
      <c r="K192" s="116">
        <v>90</v>
      </c>
      <c r="L192" s="116">
        <v>90</v>
      </c>
      <c r="M192" s="122">
        <v>26</v>
      </c>
      <c r="N192" s="122">
        <v>6.5</v>
      </c>
      <c r="O192" s="79">
        <v>1.38</v>
      </c>
      <c r="P192" s="116">
        <v>9</v>
      </c>
      <c r="Q192" s="122">
        <v>7.4</v>
      </c>
      <c r="R192" s="10">
        <v>0.1</v>
      </c>
      <c r="S192" s="79">
        <v>22.36</v>
      </c>
      <c r="T192" s="79">
        <v>0.88</v>
      </c>
      <c r="U192" s="79">
        <v>0.7</v>
      </c>
      <c r="V192" s="85">
        <f t="shared" si="16"/>
        <v>1762.49</v>
      </c>
      <c r="W192" s="85">
        <f t="shared" si="17"/>
        <v>1708.2758263999997</v>
      </c>
      <c r="X192" s="85">
        <f t="shared" si="18"/>
        <v>0.96924001066672705</v>
      </c>
      <c r="Y192" s="116">
        <v>3</v>
      </c>
      <c r="Z192" s="116">
        <v>4</v>
      </c>
      <c r="AA192" s="122">
        <v>6.3</v>
      </c>
      <c r="AB192" s="116">
        <v>22</v>
      </c>
      <c r="AC192" s="122">
        <v>6</v>
      </c>
      <c r="AD192" s="122">
        <v>5.0999999999999996</v>
      </c>
      <c r="AE192" s="79">
        <v>0.21</v>
      </c>
      <c r="AF192" s="79">
        <v>0.15</v>
      </c>
      <c r="AG192" s="85">
        <f>(O192+0.3*H192+2)*(F192/2/AK192)</f>
        <v>1762.49</v>
      </c>
      <c r="AH192" s="85">
        <f t="shared" si="19"/>
        <v>1750.3931224</v>
      </c>
      <c r="AI192" s="85">
        <f t="shared" si="20"/>
        <v>0.99313648440558533</v>
      </c>
      <c r="AJ192" s="116">
        <v>3</v>
      </c>
      <c r="AK192" s="116">
        <v>4</v>
      </c>
      <c r="AL192" s="122">
        <v>6.2</v>
      </c>
      <c r="AM192" s="116">
        <v>23</v>
      </c>
      <c r="AN192" s="122">
        <v>6.1</v>
      </c>
      <c r="AO192" s="122">
        <v>5</v>
      </c>
      <c r="AP192" s="79">
        <v>0.2</v>
      </c>
      <c r="AQ192" s="79">
        <v>0.18</v>
      </c>
      <c r="AR192" s="132">
        <f>SUM(C192:E192)</f>
        <v>2293</v>
      </c>
      <c r="AS192" s="134">
        <f>C192/AR192</f>
        <v>0.12690798081116442</v>
      </c>
      <c r="AT192" s="134">
        <f>D192/AR192</f>
        <v>0.7640645442651548</v>
      </c>
      <c r="AU192" s="134">
        <f>E192/AR192</f>
        <v>0.10902747492368077</v>
      </c>
      <c r="AV192" s="151">
        <f>IF(AND(F192&lt;&gt;"",Z192&lt;&gt;""),AB192/(F192/2/Z192),"")</f>
        <v>7.8888390856118332E-2</v>
      </c>
      <c r="AW192" s="151">
        <f>IF(AND(F192&lt;&gt;"",AK192&lt;&gt;""),AM192/(F192/2/AK192),"")</f>
        <v>8.247422680412371E-2</v>
      </c>
      <c r="AX192" s="41">
        <f>IF(AND(AQ192&lt;&gt;"",1-(AQ192/O192)&gt;0),1-(AQ192/O192),"")</f>
        <v>0.86956521739130432</v>
      </c>
      <c r="AY192" s="41">
        <f>IF(AND(AF192&lt;&gt;"",1-(AF192/O192)&gt;0),1-(AF192/O192),"")</f>
        <v>0.89130434782608692</v>
      </c>
      <c r="AZ192" s="136" t="str">
        <f>IF(Q192="","",IF(Q192&lt;2.5,"Alc. Bruta &lt; 2,5 mg/L",IF(Q192&lt;5,"2,5 ≤ Alc. Bruta &lt; 5,0 mg/L",IF(Q192&lt;7.5,"5,0 ≤ Alc. Bruta &lt; 7,5 mg/L",IF(Q192&lt;10,"7,5 ≤ Alc. Bruta &lt; 10,0 mg/L",IF(Q192&lt;15,"10,0 ≤ Alca. Bruta &lt; 15,0 mg/L","Alc. Bruta &gt; 15 mg/L"))))))</f>
        <v>5,0 ≤ Alc. Bruta &lt; 7,5 mg/L</v>
      </c>
      <c r="BA192" s="136" t="str">
        <f>IF(P192="","",IF(P192&lt;5,"Cor &lt;5 uC",IF(P192&lt;10,"5 ≤ Cor &lt; 10 uC",IF(P192&lt;15,"10 ≤ Cor &lt;15 uC",IF(P192&lt;30,"15 ≤ Cor &lt; 30 uC",IF(P192&lt;50,"30 ≤ Cor &lt; 50 uC","Cor &gt; 50 uC"))))))</f>
        <v>5 ≤ Cor &lt; 10 uC</v>
      </c>
      <c r="BB192" s="137" t="str">
        <f>IF(O192="","",IF(O192&lt;2.5,"Turbidez &lt; 2,5 uT",IF(O192&lt;5,"2,5 ≤ Turb &lt; 5,0 uT",IF(O192&lt;7.5,"5,0 ≤ Turb &lt; 7,5 uT",IF(O192&lt;10,"7,5 ≤ Turb &lt; 10,0 uT",IF(O192&lt;15,"10,0 ≤ Turb &lt; 15,0 uT","Turb &gt; 15 uT"))))))</f>
        <v>Turbidez &lt; 2,5 uT</v>
      </c>
      <c r="BC192" s="138" t="str">
        <f>IF(AND(C192&gt;D192,D192&gt;E192),"TOR &gt; SM &gt; BNN",IF(AND(C192&gt;E192,E192&gt;D192),"TOR &gt; BNN &gt; SM",IF(AND(D192&gt;C192,C192&gt;E192),"SM &gt; TOR &gt; BNN",IF(AND(D192&gt;E192,E192&gt;C192),"SM &gt; BNN &gt; TOR",IF(AND(C192=D192,D192=E192),"TOR = SM = BNN","Comb. diferentes")))))</f>
        <v>SM &gt; TOR &gt; BNN</v>
      </c>
      <c r="BD192" s="137" t="str">
        <f>IF(OR(AE192="",AQ192="-"),"",IF(AE192&lt;=0.25,"Tipo 1 (≤0,25) uT",IF(AE192&lt;=0.5,"Tipo 2 (0,25-0,50) uT",IF(AE192&lt;=0.75,"Tipo 3 (0,50-0,75) uT","Tipo 4 (&gt;0,75) uT"))))</f>
        <v>Tipo 1 (≤0,25) uT</v>
      </c>
      <c r="BE192" s="137" t="str">
        <f t="shared" si="14"/>
        <v>Tipo 1 (≤0,25) uT</v>
      </c>
      <c r="BF192" s="137" t="str">
        <f>IF(OR(AF192="",AQ192="-"),"",IF(AF192&lt;=0.25,"Tipo 1 (≤0,25) uT",IF(AF192&lt;=0.5,"Tipo 2 (0,25-0,50) uT",IF(AF192&lt;=0.75,"Tipo 3 (0,50-0,75) uT","Tipo 4 (&gt;0,75) uT"))))</f>
        <v>Tipo 1 (≤0,25) uT</v>
      </c>
      <c r="BG192" s="137" t="str">
        <f t="shared" si="15"/>
        <v>Tipo 1 (≤0,25) uT</v>
      </c>
      <c r="BH192" s="137" t="str">
        <f>IF(OR(R192="",R192="-"),"",IF(R192&lt;=0.25,"Tipo 1 (≤0,25) uT",IF(R192&lt;=0.5,"Tipo 2 (0,25-0,50) uT",IF(R192&lt;=0.75,"Tipo 3 (0,50-0,75) uT","Tipo 4 (&gt;0,75) uT"))))</f>
        <v>Tipo 1 (≤0,25) uT</v>
      </c>
    </row>
    <row r="193" spans="1:60" x14ac:dyDescent="0.3">
      <c r="A193" s="74">
        <v>46279</v>
      </c>
      <c r="B193" s="139">
        <v>0.8125</v>
      </c>
      <c r="C193" s="116">
        <v>288</v>
      </c>
      <c r="D193" s="116">
        <v>1720</v>
      </c>
      <c r="E193" s="116">
        <v>250</v>
      </c>
      <c r="F193" s="116">
        <v>2324</v>
      </c>
      <c r="G193" s="144" t="s">
        <v>100</v>
      </c>
      <c r="H193" s="122">
        <v>9.8000000000000007</v>
      </c>
      <c r="I193" s="116">
        <v>-15</v>
      </c>
      <c r="J193" s="10">
        <v>90</v>
      </c>
      <c r="K193" s="116">
        <v>90</v>
      </c>
      <c r="L193" s="116">
        <v>90</v>
      </c>
      <c r="M193" s="122">
        <v>26</v>
      </c>
      <c r="N193" s="122">
        <v>6.4</v>
      </c>
      <c r="O193" s="79">
        <v>1.37</v>
      </c>
      <c r="P193" s="116">
        <v>10</v>
      </c>
      <c r="Q193" s="122">
        <v>5.9</v>
      </c>
      <c r="R193" s="10">
        <v>0.1</v>
      </c>
      <c r="S193" s="79">
        <v>22.36</v>
      </c>
      <c r="T193" s="79">
        <v>0.88</v>
      </c>
      <c r="U193" s="79">
        <v>0.7</v>
      </c>
      <c r="V193" s="85">
        <f t="shared" si="16"/>
        <v>1833.0550000000001</v>
      </c>
      <c r="W193" s="85">
        <f t="shared" si="17"/>
        <v>1525.9997895999998</v>
      </c>
      <c r="X193" s="85">
        <f t="shared" si="18"/>
        <v>0.83248990870432127</v>
      </c>
      <c r="Y193" s="116">
        <v>3</v>
      </c>
      <c r="Z193" s="116">
        <v>4</v>
      </c>
      <c r="AA193" s="122">
        <v>6</v>
      </c>
      <c r="AB193" s="116">
        <v>20.9</v>
      </c>
      <c r="AC193" s="122">
        <v>6.1</v>
      </c>
      <c r="AD193" s="122">
        <v>3.9</v>
      </c>
      <c r="AE193" s="79">
        <v>0.26</v>
      </c>
      <c r="AF193" s="79">
        <v>0.14000000000000001</v>
      </c>
      <c r="AG193" s="85">
        <f>(O193+0.3*H193+2)*(F193/2/AK193)</f>
        <v>1833.0550000000001</v>
      </c>
      <c r="AH193" s="85">
        <f t="shared" si="19"/>
        <v>1770.3949473599996</v>
      </c>
      <c r="AI193" s="85">
        <f t="shared" si="20"/>
        <v>0.96581659980742507</v>
      </c>
      <c r="AJ193" s="116">
        <v>3</v>
      </c>
      <c r="AK193" s="116">
        <v>4</v>
      </c>
      <c r="AL193" s="122">
        <v>6.3</v>
      </c>
      <c r="AM193" s="116">
        <v>22.8</v>
      </c>
      <c r="AN193" s="122">
        <v>6</v>
      </c>
      <c r="AO193" s="122">
        <v>3.6</v>
      </c>
      <c r="AP193" s="79">
        <v>0.22</v>
      </c>
      <c r="AQ193" s="79">
        <v>0.21</v>
      </c>
      <c r="AR193" s="132">
        <f>SUM(C193:E193)</f>
        <v>2258</v>
      </c>
      <c r="AS193" s="134">
        <f>C193/AR193</f>
        <v>0.1275465013286094</v>
      </c>
      <c r="AT193" s="134">
        <f>D193/AR193</f>
        <v>0.76173604960141716</v>
      </c>
      <c r="AU193" s="134">
        <f>E193/AR193</f>
        <v>0.11071744906997343</v>
      </c>
      <c r="AV193" s="151">
        <f>IF(AND(F193&lt;&gt;"",Z193&lt;&gt;""),AB193/(F193/2/Z193),"")</f>
        <v>7.1944922547332174E-2</v>
      </c>
      <c r="AW193" s="151">
        <f>IF(AND(F193&lt;&gt;"",AK193&lt;&gt;""),AM193/(F193/2/AK193),"")</f>
        <v>7.8485370051635112E-2</v>
      </c>
      <c r="AX193" s="41">
        <f>IF(AND(AQ193&lt;&gt;"",1-(AQ193/O193)&gt;0),1-(AQ193/O193),"")</f>
        <v>0.84671532846715336</v>
      </c>
      <c r="AY193" s="41">
        <f>IF(AND(AF193&lt;&gt;"",1-(AF193/O193)&gt;0),1-(AF193/O193),"")</f>
        <v>0.8978102189781022</v>
      </c>
      <c r="AZ193" s="136" t="str">
        <f>IF(Q193="","",IF(Q193&lt;2.5,"Alc. Bruta &lt; 2,5 mg/L",IF(Q193&lt;5,"2,5 ≤ Alc. Bruta &lt; 5,0 mg/L",IF(Q193&lt;7.5,"5,0 ≤ Alc. Bruta &lt; 7,5 mg/L",IF(Q193&lt;10,"7,5 ≤ Alc. Bruta &lt; 10,0 mg/L",IF(Q193&lt;15,"10,0 ≤ Alca. Bruta &lt; 15,0 mg/L","Alc. Bruta &gt; 15 mg/L"))))))</f>
        <v>5,0 ≤ Alc. Bruta &lt; 7,5 mg/L</v>
      </c>
      <c r="BA193" s="136" t="str">
        <f>IF(P193="","",IF(P193&lt;5,"Cor &lt;5 uC",IF(P193&lt;10,"5 ≤ Cor &lt; 10 uC",IF(P193&lt;15,"10 ≤ Cor &lt;15 uC",IF(P193&lt;30,"15 ≤ Cor &lt; 30 uC",IF(P193&lt;50,"30 ≤ Cor &lt; 50 uC","Cor &gt; 50 uC"))))))</f>
        <v>10 ≤ Cor &lt;15 uC</v>
      </c>
      <c r="BB193" s="137" t="str">
        <f>IF(O193="","",IF(O193&lt;2.5,"Turbidez &lt; 2,5 uT",IF(O193&lt;5,"2,5 ≤ Turb &lt; 5,0 uT",IF(O193&lt;7.5,"5,0 ≤ Turb &lt; 7,5 uT",IF(O193&lt;10,"7,5 ≤ Turb &lt; 10,0 uT",IF(O193&lt;15,"10,0 ≤ Turb &lt; 15,0 uT","Turb &gt; 15 uT"))))))</f>
        <v>Turbidez &lt; 2,5 uT</v>
      </c>
      <c r="BC193" s="138" t="str">
        <f>IF(AND(C193&gt;D193,D193&gt;E193),"TOR &gt; SM &gt; BNN",IF(AND(C193&gt;E193,E193&gt;D193),"TOR &gt; BNN &gt; SM",IF(AND(D193&gt;C193,C193&gt;E193),"SM &gt; TOR &gt; BNN",IF(AND(D193&gt;E193,E193&gt;C193),"SM &gt; BNN &gt; TOR",IF(AND(C193=D193,D193=E193),"TOR = SM = BNN","Comb. diferentes")))))</f>
        <v>SM &gt; TOR &gt; BNN</v>
      </c>
      <c r="BD193" s="137" t="str">
        <f>IF(OR(AE193="",AQ193="-"),"",IF(AE193&lt;=0.25,"Tipo 1 (≤0,25) uT",IF(AE193&lt;=0.5,"Tipo 2 (0,25-0,50) uT",IF(AE193&lt;=0.75,"Tipo 3 (0,50-0,75) uT","Tipo 4 (&gt;0,75) uT"))))</f>
        <v>Tipo 2 (0,25-0,50) uT</v>
      </c>
      <c r="BE193" s="137" t="str">
        <f t="shared" si="14"/>
        <v>Tipo 1 (≤0,25) uT</v>
      </c>
      <c r="BF193" s="137" t="str">
        <f>IF(OR(AF193="",AQ193="-"),"",IF(AF193&lt;=0.25,"Tipo 1 (≤0,25) uT",IF(AF193&lt;=0.5,"Tipo 2 (0,25-0,50) uT",IF(AF193&lt;=0.75,"Tipo 3 (0,50-0,75) uT","Tipo 4 (&gt;0,75) uT"))))</f>
        <v>Tipo 1 (≤0,25) uT</v>
      </c>
      <c r="BG193" s="137" t="str">
        <f t="shared" si="15"/>
        <v>Tipo 1 (≤0,25) uT</v>
      </c>
      <c r="BH193" s="137" t="str">
        <f>IF(OR(R193="",R193="-"),"",IF(R193&lt;=0.25,"Tipo 1 (≤0,25) uT",IF(R193&lt;=0.5,"Tipo 2 (0,25-0,50) uT",IF(R193&lt;=0.75,"Tipo 3 (0,50-0,75) uT","Tipo 4 (&gt;0,75) uT"))))</f>
        <v>Tipo 1 (≤0,25) uT</v>
      </c>
    </row>
    <row r="194" spans="1:60" x14ac:dyDescent="0.3">
      <c r="A194" s="74">
        <v>46279</v>
      </c>
      <c r="B194" s="139">
        <v>0.89583333333333337</v>
      </c>
      <c r="C194" s="116">
        <v>251</v>
      </c>
      <c r="D194" s="116">
        <v>1725</v>
      </c>
      <c r="E194" s="116">
        <v>248</v>
      </c>
      <c r="F194" s="116">
        <v>2242</v>
      </c>
      <c r="G194" s="144" t="s">
        <v>100</v>
      </c>
      <c r="H194" s="122">
        <v>9.8000000000000007</v>
      </c>
      <c r="I194" s="116">
        <v>11.87</v>
      </c>
      <c r="J194" s="10">
        <v>90</v>
      </c>
      <c r="K194" s="116">
        <v>90</v>
      </c>
      <c r="L194" s="116">
        <v>90</v>
      </c>
      <c r="M194" s="122">
        <v>25.8</v>
      </c>
      <c r="N194" s="122">
        <v>6.5</v>
      </c>
      <c r="O194" s="79">
        <v>1.22</v>
      </c>
      <c r="P194" s="116">
        <v>9</v>
      </c>
      <c r="Q194" s="122">
        <v>6.4</v>
      </c>
      <c r="R194" s="10">
        <v>0.09</v>
      </c>
      <c r="S194" s="79">
        <v>22.36</v>
      </c>
      <c r="T194" s="79">
        <v>0.88</v>
      </c>
      <c r="U194" s="79">
        <v>0.7</v>
      </c>
      <c r="V194" s="85">
        <f t="shared" si="16"/>
        <v>1726.3400000000001</v>
      </c>
      <c r="W194" s="85">
        <f t="shared" si="17"/>
        <v>1525.9997895999998</v>
      </c>
      <c r="X194" s="85">
        <f t="shared" si="18"/>
        <v>0.88395089588377707</v>
      </c>
      <c r="Y194" s="116">
        <v>3</v>
      </c>
      <c r="Z194" s="116">
        <v>4</v>
      </c>
      <c r="AA194" s="122">
        <v>6</v>
      </c>
      <c r="AB194" s="116">
        <v>20.9</v>
      </c>
      <c r="AC194" s="122">
        <v>6</v>
      </c>
      <c r="AD194" s="122">
        <v>4.0999999999999996</v>
      </c>
      <c r="AE194" s="79">
        <v>0.2</v>
      </c>
      <c r="AF194" s="79">
        <v>0.12</v>
      </c>
      <c r="AG194" s="85">
        <f>(O194+0.3*H194+2)*(F194/2/AK194)</f>
        <v>1726.3400000000001</v>
      </c>
      <c r="AH194" s="85">
        <f t="shared" si="19"/>
        <v>1770.3949473599996</v>
      </c>
      <c r="AI194" s="85">
        <f t="shared" si="20"/>
        <v>1.0255192762491743</v>
      </c>
      <c r="AJ194" s="116">
        <v>3</v>
      </c>
      <c r="AK194" s="116">
        <v>4</v>
      </c>
      <c r="AL194" s="122">
        <v>6.3</v>
      </c>
      <c r="AM194" s="116">
        <v>22.8</v>
      </c>
      <c r="AN194" s="122">
        <v>5.8</v>
      </c>
      <c r="AO194" s="122">
        <v>4.8</v>
      </c>
      <c r="AP194" s="79">
        <v>0.25</v>
      </c>
      <c r="AQ194" s="79">
        <v>0.23</v>
      </c>
      <c r="AR194" s="132">
        <f>SUM(C194:E194)</f>
        <v>2224</v>
      </c>
      <c r="AS194" s="134">
        <f>C194/AR194</f>
        <v>0.11285971223021583</v>
      </c>
      <c r="AT194" s="134">
        <f>D194/AR194</f>
        <v>0.77562949640287771</v>
      </c>
      <c r="AU194" s="134">
        <f>E194/AR194</f>
        <v>0.11151079136690648</v>
      </c>
      <c r="AV194" s="151">
        <f>IF(AND(F194&lt;&gt;"",Z194&lt;&gt;""),AB194/(F194/2/Z194),"")</f>
        <v>7.4576271186440668E-2</v>
      </c>
      <c r="AW194" s="151">
        <f>IF(AND(F194&lt;&gt;"",AK194&lt;&gt;""),AM194/(F194/2/AK194),"")</f>
        <v>8.1355932203389839E-2</v>
      </c>
      <c r="AX194" s="41">
        <f>IF(AND(AQ194&lt;&gt;"",1-(AQ194/O194)&gt;0),1-(AQ194/O194),"")</f>
        <v>0.81147540983606559</v>
      </c>
      <c r="AY194" s="41">
        <f>IF(AND(AF194&lt;&gt;"",1-(AF194/O194)&gt;0),1-(AF194/O194),"")</f>
        <v>0.90163934426229508</v>
      </c>
      <c r="AZ194" s="136" t="str">
        <f>IF(Q194="","",IF(Q194&lt;2.5,"Alc. Bruta &lt; 2,5 mg/L",IF(Q194&lt;5,"2,5 ≤ Alc. Bruta &lt; 5,0 mg/L",IF(Q194&lt;7.5,"5,0 ≤ Alc. Bruta &lt; 7,5 mg/L",IF(Q194&lt;10,"7,5 ≤ Alc. Bruta &lt; 10,0 mg/L",IF(Q194&lt;15,"10,0 ≤ Alca. Bruta &lt; 15,0 mg/L","Alc. Bruta &gt; 15 mg/L"))))))</f>
        <v>5,0 ≤ Alc. Bruta &lt; 7,5 mg/L</v>
      </c>
      <c r="BA194" s="136" t="str">
        <f>IF(P194="","",IF(P194&lt;5,"Cor &lt;5 uC",IF(P194&lt;10,"5 ≤ Cor &lt; 10 uC",IF(P194&lt;15,"10 ≤ Cor &lt;15 uC",IF(P194&lt;30,"15 ≤ Cor &lt; 30 uC",IF(P194&lt;50,"30 ≤ Cor &lt; 50 uC","Cor &gt; 50 uC"))))))</f>
        <v>5 ≤ Cor &lt; 10 uC</v>
      </c>
      <c r="BB194" s="137" t="str">
        <f>IF(O194="","",IF(O194&lt;2.5,"Turbidez &lt; 2,5 uT",IF(O194&lt;5,"2,5 ≤ Turb &lt; 5,0 uT",IF(O194&lt;7.5,"5,0 ≤ Turb &lt; 7,5 uT",IF(O194&lt;10,"7,5 ≤ Turb &lt; 10,0 uT",IF(O194&lt;15,"10,0 ≤ Turb &lt; 15,0 uT","Turb &gt; 15 uT"))))))</f>
        <v>Turbidez &lt; 2,5 uT</v>
      </c>
      <c r="BC194" s="138" t="str">
        <f>IF(AND(C194&gt;D194,D194&gt;E194),"TOR &gt; SM &gt; BNN",IF(AND(C194&gt;E194,E194&gt;D194),"TOR &gt; BNN &gt; SM",IF(AND(D194&gt;C194,C194&gt;E194),"SM &gt; TOR &gt; BNN",IF(AND(D194&gt;E194,E194&gt;C194),"SM &gt; BNN &gt; TOR",IF(AND(C194=D194,D194=E194),"TOR = SM = BNN","Comb. diferentes")))))</f>
        <v>SM &gt; TOR &gt; BNN</v>
      </c>
      <c r="BD194" s="137" t="str">
        <f>IF(OR(AE194="",AQ194="-"),"",IF(AE194&lt;=0.25,"Tipo 1 (≤0,25) uT",IF(AE194&lt;=0.5,"Tipo 2 (0,25-0,50) uT",IF(AE194&lt;=0.75,"Tipo 3 (0,50-0,75) uT","Tipo 4 (&gt;0,75) uT"))))</f>
        <v>Tipo 1 (≤0,25) uT</v>
      </c>
      <c r="BE194" s="137" t="str">
        <f t="shared" ref="BE194:BE257" si="21">IF(OR(AP194="",AZ194="-"),"",IF(AP194&lt;=0.25,"Tipo 1 (≤0,25) uT",IF(AP194&lt;=0.5,"Tipo 2 (0,25-0,50) uT",IF(AP194&lt;=0.75,"Tipo 3 (0,50-0,75) uT","Tipo 4 (&gt;0,75) uT"))))</f>
        <v>Tipo 1 (≤0,25) uT</v>
      </c>
      <c r="BF194" s="137" t="str">
        <f>IF(OR(AF194="",AQ194="-"),"",IF(AF194&lt;=0.25,"Tipo 1 (≤0,25) uT",IF(AF194&lt;=0.5,"Tipo 2 (0,25-0,50) uT",IF(AF194&lt;=0.75,"Tipo 3 (0,50-0,75) uT","Tipo 4 (&gt;0,75) uT"))))</f>
        <v>Tipo 1 (≤0,25) uT</v>
      </c>
      <c r="BG194" s="137" t="str">
        <f t="shared" ref="BG194:BG257" si="22">IF(OR(AQ194="",AQ194="-"),"",IF(AQ194&lt;=0.25,"Tipo 1 (≤0,25) uT",IF(AQ194&lt;=0.5,"Tipo 2 (0,25-0,50) uT",IF(AQ194&lt;=0.75,"Tipo 3 (0,50-0,75) uT","Tipo 4 (&gt;0,75) uT"))))</f>
        <v>Tipo 1 (≤0,25) uT</v>
      </c>
      <c r="BH194" s="137" t="str">
        <f>IF(OR(R194="",R194="-"),"",IF(R194&lt;=0.25,"Tipo 1 (≤0,25) uT",IF(R194&lt;=0.5,"Tipo 2 (0,25-0,50) uT",IF(R194&lt;=0.75,"Tipo 3 (0,50-0,75) uT","Tipo 4 (&gt;0,75) uT"))))</f>
        <v>Tipo 1 (≤0,25) uT</v>
      </c>
    </row>
    <row r="195" spans="1:60" x14ac:dyDescent="0.3">
      <c r="A195" s="74">
        <v>46280</v>
      </c>
      <c r="B195" s="139">
        <v>6.25E-2</v>
      </c>
      <c r="C195" s="116">
        <v>290</v>
      </c>
      <c r="D195" s="116">
        <v>1727</v>
      </c>
      <c r="E195" s="116">
        <v>250</v>
      </c>
      <c r="F195" s="116">
        <v>2266</v>
      </c>
      <c r="G195" s="144" t="s">
        <v>100</v>
      </c>
      <c r="H195" s="122">
        <v>9.5</v>
      </c>
      <c r="I195" s="116">
        <v>-24</v>
      </c>
      <c r="J195" s="10">
        <v>90</v>
      </c>
      <c r="K195" s="116">
        <v>90</v>
      </c>
      <c r="L195" s="116">
        <v>90</v>
      </c>
      <c r="M195" s="122">
        <v>24.9</v>
      </c>
      <c r="N195" s="122">
        <v>6.5</v>
      </c>
      <c r="O195" s="79">
        <v>1.4</v>
      </c>
      <c r="P195" s="116">
        <v>9</v>
      </c>
      <c r="Q195" s="122">
        <v>5.9</v>
      </c>
      <c r="R195" s="10">
        <v>0.1</v>
      </c>
      <c r="S195" s="79">
        <v>22.36</v>
      </c>
      <c r="T195" s="79">
        <v>0.88</v>
      </c>
      <c r="U195" s="79">
        <v>0.7</v>
      </c>
      <c r="V195" s="85">
        <f t="shared" ref="V195:V258" si="23">(O195+0.3*H195+2)*(F195/2/Z195)</f>
        <v>1770.3125</v>
      </c>
      <c r="W195" s="85">
        <f t="shared" ref="W195:W258" si="24">S195*(U195*AA195*0.987-T195)*AB195</f>
        <v>1525.9997895999998</v>
      </c>
      <c r="X195" s="85">
        <f t="shared" ref="X195:X258" si="25">W195/V195</f>
        <v>0.86199458547572805</v>
      </c>
      <c r="Y195" s="116">
        <v>3</v>
      </c>
      <c r="Z195" s="116">
        <v>4</v>
      </c>
      <c r="AA195" s="122">
        <v>6</v>
      </c>
      <c r="AB195" s="116">
        <v>20.9</v>
      </c>
      <c r="AC195" s="122">
        <v>6.1</v>
      </c>
      <c r="AD195" s="122">
        <v>4.9000000000000004</v>
      </c>
      <c r="AE195" s="79">
        <v>0.2</v>
      </c>
      <c r="AF195" s="79">
        <v>0.12</v>
      </c>
      <c r="AG195" s="85">
        <f>(O195+0.3*H195+2)*(F195/2/AK195)</f>
        <v>1770.3125</v>
      </c>
      <c r="AH195" s="85">
        <f t="shared" ref="AH195:AH258" si="26">S195*(U195*AL195*0.987-T195)*AM195</f>
        <v>1848.0438485599996</v>
      </c>
      <c r="AI195" s="85">
        <f t="shared" ref="AI195:AI258" si="27">AH195/AG195</f>
        <v>1.0439082639703439</v>
      </c>
      <c r="AJ195" s="116">
        <v>3</v>
      </c>
      <c r="AK195" s="116">
        <v>4</v>
      </c>
      <c r="AL195" s="122">
        <v>6.3</v>
      </c>
      <c r="AM195" s="116">
        <v>23.8</v>
      </c>
      <c r="AN195" s="122">
        <v>6.1</v>
      </c>
      <c r="AO195" s="122">
        <v>4.5</v>
      </c>
      <c r="AP195" s="79">
        <v>0.3</v>
      </c>
      <c r="AQ195" s="79">
        <v>0.19</v>
      </c>
      <c r="AR195" s="132">
        <f>SUM(C195:E195)</f>
        <v>2267</v>
      </c>
      <c r="AS195" s="134">
        <f>C195/AR195</f>
        <v>0.12792236435818263</v>
      </c>
      <c r="AT195" s="134">
        <f>D195/AR195</f>
        <v>0.76179973533303924</v>
      </c>
      <c r="AU195" s="134">
        <f>E195/AR195</f>
        <v>0.11027790030877813</v>
      </c>
      <c r="AV195" s="151">
        <f>IF(AND(F195&lt;&gt;"",Z195&lt;&gt;""),AB195/(F195/2/Z195),"")</f>
        <v>7.3786407766990289E-2</v>
      </c>
      <c r="AW195" s="151">
        <f>IF(AND(F195&lt;&gt;"",AK195&lt;&gt;""),AM195/(F195/2/AK195),"")</f>
        <v>8.4024713150926744E-2</v>
      </c>
      <c r="AX195" s="41">
        <f>IF(AND(AQ195&lt;&gt;"",1-(AQ195/O195)&gt;0),1-(AQ195/O195),"")</f>
        <v>0.86428571428571432</v>
      </c>
      <c r="AY195" s="41">
        <f>IF(AND(AF195&lt;&gt;"",1-(AF195/O195)&gt;0),1-(AF195/O195),"")</f>
        <v>0.91428571428571426</v>
      </c>
      <c r="AZ195" s="136" t="str">
        <f>IF(Q195="","",IF(Q195&lt;2.5,"Alc. Bruta &lt; 2,5 mg/L",IF(Q195&lt;5,"2,5 ≤ Alc. Bruta &lt; 5,0 mg/L",IF(Q195&lt;7.5,"5,0 ≤ Alc. Bruta &lt; 7,5 mg/L",IF(Q195&lt;10,"7,5 ≤ Alc. Bruta &lt; 10,0 mg/L",IF(Q195&lt;15,"10,0 ≤ Alca. Bruta &lt; 15,0 mg/L","Alc. Bruta &gt; 15 mg/L"))))))</f>
        <v>5,0 ≤ Alc. Bruta &lt; 7,5 mg/L</v>
      </c>
      <c r="BA195" s="136" t="str">
        <f>IF(P195="","",IF(P195&lt;5,"Cor &lt;5 uC",IF(P195&lt;10,"5 ≤ Cor &lt; 10 uC",IF(P195&lt;15,"10 ≤ Cor &lt;15 uC",IF(P195&lt;30,"15 ≤ Cor &lt; 30 uC",IF(P195&lt;50,"30 ≤ Cor &lt; 50 uC","Cor &gt; 50 uC"))))))</f>
        <v>5 ≤ Cor &lt; 10 uC</v>
      </c>
      <c r="BB195" s="137" t="str">
        <f>IF(O195="","",IF(O195&lt;2.5,"Turbidez &lt; 2,5 uT",IF(O195&lt;5,"2,5 ≤ Turb &lt; 5,0 uT",IF(O195&lt;7.5,"5,0 ≤ Turb &lt; 7,5 uT",IF(O195&lt;10,"7,5 ≤ Turb &lt; 10,0 uT",IF(O195&lt;15,"10,0 ≤ Turb &lt; 15,0 uT","Turb &gt; 15 uT"))))))</f>
        <v>Turbidez &lt; 2,5 uT</v>
      </c>
      <c r="BC195" s="138" t="str">
        <f>IF(AND(C195&gt;D195,D195&gt;E195),"TOR &gt; SM &gt; BNN",IF(AND(C195&gt;E195,E195&gt;D195),"TOR &gt; BNN &gt; SM",IF(AND(D195&gt;C195,C195&gt;E195),"SM &gt; TOR &gt; BNN",IF(AND(D195&gt;E195,E195&gt;C195),"SM &gt; BNN &gt; TOR",IF(AND(C195=D195,D195=E195),"TOR = SM = BNN","Comb. diferentes")))))</f>
        <v>SM &gt; TOR &gt; BNN</v>
      </c>
      <c r="BD195" s="137" t="str">
        <f>IF(OR(AE195="",AQ195="-"),"",IF(AE195&lt;=0.25,"Tipo 1 (≤0,25) uT",IF(AE195&lt;=0.5,"Tipo 2 (0,25-0,50) uT",IF(AE195&lt;=0.75,"Tipo 3 (0,50-0,75) uT","Tipo 4 (&gt;0,75) uT"))))</f>
        <v>Tipo 1 (≤0,25) uT</v>
      </c>
      <c r="BE195" s="137" t="str">
        <f t="shared" si="21"/>
        <v>Tipo 2 (0,25-0,50) uT</v>
      </c>
      <c r="BF195" s="137" t="str">
        <f>IF(OR(AF195="",AQ195="-"),"",IF(AF195&lt;=0.25,"Tipo 1 (≤0,25) uT",IF(AF195&lt;=0.5,"Tipo 2 (0,25-0,50) uT",IF(AF195&lt;=0.75,"Tipo 3 (0,50-0,75) uT","Tipo 4 (&gt;0,75) uT"))))</f>
        <v>Tipo 1 (≤0,25) uT</v>
      </c>
      <c r="BG195" s="137" t="str">
        <f t="shared" si="22"/>
        <v>Tipo 1 (≤0,25) uT</v>
      </c>
      <c r="BH195" s="137" t="str">
        <f>IF(OR(R195="",R195="-"),"",IF(R195&lt;=0.25,"Tipo 1 (≤0,25) uT",IF(R195&lt;=0.5,"Tipo 2 (0,25-0,50) uT",IF(R195&lt;=0.75,"Tipo 3 (0,50-0,75) uT","Tipo 4 (&gt;0,75) uT"))))</f>
        <v>Tipo 1 (≤0,25) uT</v>
      </c>
    </row>
    <row r="196" spans="1:60" x14ac:dyDescent="0.3">
      <c r="A196" s="74">
        <v>46280</v>
      </c>
      <c r="B196" s="139">
        <v>0.14583333333333334</v>
      </c>
      <c r="C196" s="116">
        <v>283</v>
      </c>
      <c r="D196" s="116">
        <v>1689</v>
      </c>
      <c r="E196" s="116">
        <v>249</v>
      </c>
      <c r="F196" s="116">
        <v>2356</v>
      </c>
      <c r="G196" s="144" t="s">
        <v>100</v>
      </c>
      <c r="H196" s="122">
        <v>9.5</v>
      </c>
      <c r="I196" s="116">
        <v>-25</v>
      </c>
      <c r="J196" s="10">
        <v>90</v>
      </c>
      <c r="K196" s="116">
        <v>90</v>
      </c>
      <c r="L196" s="116">
        <v>90</v>
      </c>
      <c r="M196" s="122">
        <v>24.8</v>
      </c>
      <c r="N196" s="122">
        <v>6.5</v>
      </c>
      <c r="O196" s="79">
        <v>1.31</v>
      </c>
      <c r="P196" s="116">
        <v>9</v>
      </c>
      <c r="Q196" s="122">
        <v>6</v>
      </c>
      <c r="R196" s="10">
        <v>0.12</v>
      </c>
      <c r="S196" s="79">
        <v>22.36</v>
      </c>
      <c r="T196" s="79">
        <v>0.88</v>
      </c>
      <c r="U196" s="79">
        <v>0.7</v>
      </c>
      <c r="V196" s="85">
        <f t="shared" si="23"/>
        <v>1814.1200000000001</v>
      </c>
      <c r="W196" s="85">
        <f t="shared" si="24"/>
        <v>1525.9997895999998</v>
      </c>
      <c r="X196" s="85">
        <f t="shared" si="25"/>
        <v>0.84117907834101369</v>
      </c>
      <c r="Y196" s="116">
        <v>3</v>
      </c>
      <c r="Z196" s="116">
        <v>4</v>
      </c>
      <c r="AA196" s="122">
        <v>6</v>
      </c>
      <c r="AB196" s="116">
        <v>20.9</v>
      </c>
      <c r="AC196" s="122">
        <v>6</v>
      </c>
      <c r="AD196" s="122">
        <v>4</v>
      </c>
      <c r="AE196" s="79">
        <v>0.21</v>
      </c>
      <c r="AF196" s="79">
        <v>0.12</v>
      </c>
      <c r="AG196" s="85">
        <f>(O196+0.3*H196+2)*(F196/2/AK196)</f>
        <v>1814.1200000000001</v>
      </c>
      <c r="AH196" s="85">
        <f t="shared" si="26"/>
        <v>1770.3949473599996</v>
      </c>
      <c r="AI196" s="85">
        <f t="shared" si="27"/>
        <v>0.97589737578550451</v>
      </c>
      <c r="AJ196" s="116">
        <v>3</v>
      </c>
      <c r="AK196" s="116">
        <v>4</v>
      </c>
      <c r="AL196" s="122">
        <v>6.3</v>
      </c>
      <c r="AM196" s="116">
        <v>22.8</v>
      </c>
      <c r="AN196" s="122">
        <v>6</v>
      </c>
      <c r="AO196" s="122">
        <v>5.2</v>
      </c>
      <c r="AP196" s="79">
        <v>0.26</v>
      </c>
      <c r="AQ196" s="79">
        <v>0.21</v>
      </c>
      <c r="AR196" s="132">
        <f>SUM(C196:E196)</f>
        <v>2221</v>
      </c>
      <c r="AS196" s="134">
        <f>C196/AR196</f>
        <v>0.12742008104457453</v>
      </c>
      <c r="AT196" s="134">
        <f>D196/AR196</f>
        <v>0.76046825754164793</v>
      </c>
      <c r="AU196" s="134">
        <f>E196/AR196</f>
        <v>0.11211166141377758</v>
      </c>
      <c r="AV196" s="151">
        <f>IF(AND(F196&lt;&gt;"",Z196&lt;&gt;""),AB196/(F196/2/Z196),"")</f>
        <v>7.0967741935483872E-2</v>
      </c>
      <c r="AW196" s="151">
        <f>IF(AND(F196&lt;&gt;"",AK196&lt;&gt;""),AM196/(F196/2/AK196),"")</f>
        <v>7.7419354838709681E-2</v>
      </c>
      <c r="AX196" s="41">
        <f>IF(AND(AQ196&lt;&gt;"",1-(AQ196/O196)&gt;0),1-(AQ196/O196),"")</f>
        <v>0.83969465648854968</v>
      </c>
      <c r="AY196" s="41">
        <f>IF(AND(AF196&lt;&gt;"",1-(AF196/O196)&gt;0),1-(AF196/O196),"")</f>
        <v>0.90839694656488557</v>
      </c>
      <c r="AZ196" s="136" t="str">
        <f>IF(Q196="","",IF(Q196&lt;2.5,"Alc. Bruta &lt; 2,5 mg/L",IF(Q196&lt;5,"2,5 ≤ Alc. Bruta &lt; 5,0 mg/L",IF(Q196&lt;7.5,"5,0 ≤ Alc. Bruta &lt; 7,5 mg/L",IF(Q196&lt;10,"7,5 ≤ Alc. Bruta &lt; 10,0 mg/L",IF(Q196&lt;15,"10,0 ≤ Alca. Bruta &lt; 15,0 mg/L","Alc. Bruta &gt; 15 mg/L"))))))</f>
        <v>5,0 ≤ Alc. Bruta &lt; 7,5 mg/L</v>
      </c>
      <c r="BA196" s="136" t="str">
        <f>IF(P196="","",IF(P196&lt;5,"Cor &lt;5 uC",IF(P196&lt;10,"5 ≤ Cor &lt; 10 uC",IF(P196&lt;15,"10 ≤ Cor &lt;15 uC",IF(P196&lt;30,"15 ≤ Cor &lt; 30 uC",IF(P196&lt;50,"30 ≤ Cor &lt; 50 uC","Cor &gt; 50 uC"))))))</f>
        <v>5 ≤ Cor &lt; 10 uC</v>
      </c>
      <c r="BB196" s="137" t="str">
        <f>IF(O196="","",IF(O196&lt;2.5,"Turbidez &lt; 2,5 uT",IF(O196&lt;5,"2,5 ≤ Turb &lt; 5,0 uT",IF(O196&lt;7.5,"5,0 ≤ Turb &lt; 7,5 uT",IF(O196&lt;10,"7,5 ≤ Turb &lt; 10,0 uT",IF(O196&lt;15,"10,0 ≤ Turb &lt; 15,0 uT","Turb &gt; 15 uT"))))))</f>
        <v>Turbidez &lt; 2,5 uT</v>
      </c>
      <c r="BC196" s="138" t="str">
        <f>IF(AND(C196&gt;D196,D196&gt;E196),"TOR &gt; SM &gt; BNN",IF(AND(C196&gt;E196,E196&gt;D196),"TOR &gt; BNN &gt; SM",IF(AND(D196&gt;C196,C196&gt;E196),"SM &gt; TOR &gt; BNN",IF(AND(D196&gt;E196,E196&gt;C196),"SM &gt; BNN &gt; TOR",IF(AND(C196=D196,D196=E196),"TOR = SM = BNN","Comb. diferentes")))))</f>
        <v>SM &gt; TOR &gt; BNN</v>
      </c>
      <c r="BD196" s="137" t="str">
        <f>IF(OR(AE196="",AQ196="-"),"",IF(AE196&lt;=0.25,"Tipo 1 (≤0,25) uT",IF(AE196&lt;=0.5,"Tipo 2 (0,25-0,50) uT",IF(AE196&lt;=0.75,"Tipo 3 (0,50-0,75) uT","Tipo 4 (&gt;0,75) uT"))))</f>
        <v>Tipo 1 (≤0,25) uT</v>
      </c>
      <c r="BE196" s="137" t="str">
        <f t="shared" si="21"/>
        <v>Tipo 2 (0,25-0,50) uT</v>
      </c>
      <c r="BF196" s="137" t="str">
        <f>IF(OR(AF196="",AQ196="-"),"",IF(AF196&lt;=0.25,"Tipo 1 (≤0,25) uT",IF(AF196&lt;=0.5,"Tipo 2 (0,25-0,50) uT",IF(AF196&lt;=0.75,"Tipo 3 (0,50-0,75) uT","Tipo 4 (&gt;0,75) uT"))))</f>
        <v>Tipo 1 (≤0,25) uT</v>
      </c>
      <c r="BG196" s="137" t="str">
        <f t="shared" si="22"/>
        <v>Tipo 1 (≤0,25) uT</v>
      </c>
      <c r="BH196" s="137" t="str">
        <f>IF(OR(R196="",R196="-"),"",IF(R196&lt;=0.25,"Tipo 1 (≤0,25) uT",IF(R196&lt;=0.5,"Tipo 2 (0,25-0,50) uT",IF(R196&lt;=0.75,"Tipo 3 (0,50-0,75) uT","Tipo 4 (&gt;0,75) uT"))))</f>
        <v>Tipo 1 (≤0,25) uT</v>
      </c>
    </row>
    <row r="197" spans="1:60" ht="15" thickBot="1" x14ac:dyDescent="0.35">
      <c r="A197" s="75">
        <v>46280</v>
      </c>
      <c r="B197" s="140">
        <v>0.22916666666666666</v>
      </c>
      <c r="C197" s="117">
        <v>318</v>
      </c>
      <c r="D197" s="117">
        <v>1211</v>
      </c>
      <c r="E197" s="117">
        <v>249</v>
      </c>
      <c r="F197" s="117">
        <v>1847</v>
      </c>
      <c r="G197" s="145" t="s">
        <v>100</v>
      </c>
      <c r="H197" s="123">
        <v>9.5</v>
      </c>
      <c r="I197" s="117">
        <v>70</v>
      </c>
      <c r="J197" s="11">
        <v>90</v>
      </c>
      <c r="K197" s="117">
        <v>90</v>
      </c>
      <c r="L197" s="117">
        <v>90</v>
      </c>
      <c r="M197" s="123">
        <v>24.8</v>
      </c>
      <c r="N197" s="123">
        <v>6.4</v>
      </c>
      <c r="O197" s="80">
        <v>1.24</v>
      </c>
      <c r="P197" s="117">
        <v>8</v>
      </c>
      <c r="Q197" s="123">
        <v>6.4</v>
      </c>
      <c r="R197" s="11">
        <v>7.0000000000000007E-2</v>
      </c>
      <c r="S197" s="79">
        <v>22.36</v>
      </c>
      <c r="T197" s="79">
        <v>0.88</v>
      </c>
      <c r="U197" s="79">
        <v>0.7</v>
      </c>
      <c r="V197" s="85">
        <f t="shared" si="23"/>
        <v>1406.0287499999999</v>
      </c>
      <c r="W197" s="85">
        <f t="shared" si="24"/>
        <v>1525.9997895999998</v>
      </c>
      <c r="X197" s="85">
        <f t="shared" si="25"/>
        <v>1.0853261639209013</v>
      </c>
      <c r="Y197" s="117">
        <v>3</v>
      </c>
      <c r="Z197" s="117">
        <v>4</v>
      </c>
      <c r="AA197" s="123">
        <v>6</v>
      </c>
      <c r="AB197" s="117">
        <v>20.9</v>
      </c>
      <c r="AC197" s="123">
        <v>6.1</v>
      </c>
      <c r="AD197" s="123">
        <v>3.6</v>
      </c>
      <c r="AE197" s="80">
        <v>0.18</v>
      </c>
      <c r="AF197" s="80">
        <v>0.1</v>
      </c>
      <c r="AG197" s="85">
        <f>(O197+0.3*H197+2)*(F197/2/AK197)</f>
        <v>1406.0287499999999</v>
      </c>
      <c r="AH197" s="85">
        <f t="shared" si="26"/>
        <v>1770.3949473599996</v>
      </c>
      <c r="AI197" s="85">
        <f t="shared" si="27"/>
        <v>1.2591456237007954</v>
      </c>
      <c r="AJ197" s="117">
        <v>3</v>
      </c>
      <c r="AK197" s="117">
        <v>4</v>
      </c>
      <c r="AL197" s="123">
        <v>6.3</v>
      </c>
      <c r="AM197" s="117">
        <v>22.8</v>
      </c>
      <c r="AN197" s="123">
        <v>6</v>
      </c>
      <c r="AO197" s="123">
        <v>4.5</v>
      </c>
      <c r="AP197" s="80">
        <v>0.19</v>
      </c>
      <c r="AQ197" s="80">
        <v>0.15</v>
      </c>
      <c r="AR197" s="132">
        <f>SUM(C197:E197)</f>
        <v>1778</v>
      </c>
      <c r="AS197" s="134">
        <f>C197/AR197</f>
        <v>0.17885264341957255</v>
      </c>
      <c r="AT197" s="134">
        <f>D197/AR197</f>
        <v>0.68110236220472442</v>
      </c>
      <c r="AU197" s="134">
        <f>E197/AR197</f>
        <v>0.14004499437570303</v>
      </c>
      <c r="AV197" s="151">
        <f>IF(AND(F197&lt;&gt;"",Z197&lt;&gt;""),AB197/(F197/2/Z197),"")</f>
        <v>9.0525175961017862E-2</v>
      </c>
      <c r="AW197" s="151">
        <f>IF(AND(F197&lt;&gt;"",AK197&lt;&gt;""),AM197/(F197/2/AK197),"")</f>
        <v>9.8754737412019497E-2</v>
      </c>
      <c r="AX197" s="41">
        <f>IF(AND(AQ197&lt;&gt;"",1-(AQ197/O197)&gt;0),1-(AQ197/O197),"")</f>
        <v>0.87903225806451613</v>
      </c>
      <c r="AY197" s="41">
        <f>IF(AND(AF197&lt;&gt;"",1-(AF197/O197)&gt;0),1-(AF197/O197),"")</f>
        <v>0.91935483870967738</v>
      </c>
      <c r="AZ197" s="136" t="str">
        <f>IF(Q197="","",IF(Q197&lt;2.5,"Alc. Bruta &lt; 2,5 mg/L",IF(Q197&lt;5,"2,5 ≤ Alc. Bruta &lt; 5,0 mg/L",IF(Q197&lt;7.5,"5,0 ≤ Alc. Bruta &lt; 7,5 mg/L",IF(Q197&lt;10,"7,5 ≤ Alc. Bruta &lt; 10,0 mg/L",IF(Q197&lt;15,"10,0 ≤ Alca. Bruta &lt; 15,0 mg/L","Alc. Bruta &gt; 15 mg/L"))))))</f>
        <v>5,0 ≤ Alc. Bruta &lt; 7,5 mg/L</v>
      </c>
      <c r="BA197" s="136" t="str">
        <f>IF(P197="","",IF(P197&lt;5,"Cor &lt;5 uC",IF(P197&lt;10,"5 ≤ Cor &lt; 10 uC",IF(P197&lt;15,"10 ≤ Cor &lt;15 uC",IF(P197&lt;30,"15 ≤ Cor &lt; 30 uC",IF(P197&lt;50,"30 ≤ Cor &lt; 50 uC","Cor &gt; 50 uC"))))))</f>
        <v>5 ≤ Cor &lt; 10 uC</v>
      </c>
      <c r="BB197" s="137" t="str">
        <f>IF(O197="","",IF(O197&lt;2.5,"Turbidez &lt; 2,5 uT",IF(O197&lt;5,"2,5 ≤ Turb &lt; 5,0 uT",IF(O197&lt;7.5,"5,0 ≤ Turb &lt; 7,5 uT",IF(O197&lt;10,"7,5 ≤ Turb &lt; 10,0 uT",IF(O197&lt;15,"10,0 ≤ Turb &lt; 15,0 uT","Turb &gt; 15 uT"))))))</f>
        <v>Turbidez &lt; 2,5 uT</v>
      </c>
      <c r="BC197" s="138" t="str">
        <f>IF(AND(C197&gt;D197,D197&gt;E197),"TOR &gt; SM &gt; BNN",IF(AND(C197&gt;E197,E197&gt;D197),"TOR &gt; BNN &gt; SM",IF(AND(D197&gt;C197,C197&gt;E197),"SM &gt; TOR &gt; BNN",IF(AND(D197&gt;E197,E197&gt;C197),"SM &gt; BNN &gt; TOR",IF(AND(C197=D197,D197=E197),"TOR = SM = BNN","Comb. diferentes")))))</f>
        <v>SM &gt; TOR &gt; BNN</v>
      </c>
      <c r="BD197" s="137" t="str">
        <f>IF(OR(AE197="",AQ197="-"),"",IF(AE197&lt;=0.25,"Tipo 1 (≤0,25) uT",IF(AE197&lt;=0.5,"Tipo 2 (0,25-0,50) uT",IF(AE197&lt;=0.75,"Tipo 3 (0,50-0,75) uT","Tipo 4 (&gt;0,75) uT"))))</f>
        <v>Tipo 1 (≤0,25) uT</v>
      </c>
      <c r="BE197" s="137" t="str">
        <f t="shared" si="21"/>
        <v>Tipo 1 (≤0,25) uT</v>
      </c>
      <c r="BF197" s="137" t="str">
        <f>IF(OR(AF197="",AQ197="-"),"",IF(AF197&lt;=0.25,"Tipo 1 (≤0,25) uT",IF(AF197&lt;=0.5,"Tipo 2 (0,25-0,50) uT",IF(AF197&lt;=0.75,"Tipo 3 (0,50-0,75) uT","Tipo 4 (&gt;0,75) uT"))))</f>
        <v>Tipo 1 (≤0,25) uT</v>
      </c>
      <c r="BG197" s="137" t="str">
        <f t="shared" si="22"/>
        <v>Tipo 1 (≤0,25) uT</v>
      </c>
      <c r="BH197" s="137" t="str">
        <f>IF(OR(R197="",R197="-"),"",IF(R197&lt;=0.25,"Tipo 1 (≤0,25) uT",IF(R197&lt;=0.5,"Tipo 2 (0,25-0,50) uT",IF(R197&lt;=0.75,"Tipo 3 (0,50-0,75) uT","Tipo 4 (&gt;0,75) uT"))))</f>
        <v>Tipo 1 (≤0,25) uT</v>
      </c>
    </row>
    <row r="198" spans="1:60" x14ac:dyDescent="0.3">
      <c r="A198" s="73">
        <v>46280</v>
      </c>
      <c r="B198" s="141">
        <v>0.3125</v>
      </c>
      <c r="C198" s="118">
        <v>290</v>
      </c>
      <c r="D198" s="118">
        <v>1745</v>
      </c>
      <c r="E198" s="118">
        <v>200</v>
      </c>
      <c r="F198" s="118">
        <v>2200</v>
      </c>
      <c r="G198" s="146" t="s">
        <v>100</v>
      </c>
      <c r="H198" s="124">
        <v>9.5</v>
      </c>
      <c r="I198" s="118">
        <v>7.75</v>
      </c>
      <c r="J198" s="9">
        <v>90</v>
      </c>
      <c r="K198" s="118">
        <v>90</v>
      </c>
      <c r="L198" s="118">
        <v>90</v>
      </c>
      <c r="M198" s="124">
        <v>25.3</v>
      </c>
      <c r="N198" s="124">
        <v>6.5</v>
      </c>
      <c r="O198" s="81">
        <v>1.27</v>
      </c>
      <c r="P198" s="118">
        <v>8</v>
      </c>
      <c r="Q198" s="124">
        <v>6.2</v>
      </c>
      <c r="R198" s="9">
        <v>0.08</v>
      </c>
      <c r="S198" s="79">
        <v>22.36</v>
      </c>
      <c r="T198" s="79">
        <v>0.88</v>
      </c>
      <c r="U198" s="79">
        <v>0.7</v>
      </c>
      <c r="V198" s="85">
        <f t="shared" si="23"/>
        <v>1683</v>
      </c>
      <c r="W198" s="85">
        <f t="shared" si="24"/>
        <v>1533.3012239999998</v>
      </c>
      <c r="X198" s="85">
        <f t="shared" si="25"/>
        <v>0.9110524206773617</v>
      </c>
      <c r="Y198" s="118">
        <v>3</v>
      </c>
      <c r="Z198" s="118">
        <v>4</v>
      </c>
      <c r="AA198" s="124">
        <v>6</v>
      </c>
      <c r="AB198" s="118">
        <v>21</v>
      </c>
      <c r="AC198" s="124">
        <v>6.1</v>
      </c>
      <c r="AD198" s="124">
        <v>4</v>
      </c>
      <c r="AE198" s="81">
        <v>0.21</v>
      </c>
      <c r="AF198" s="81">
        <v>0.09</v>
      </c>
      <c r="AG198" s="85">
        <f>(O198+0.3*H198+2)*(F198/2/AK198)</f>
        <v>1683</v>
      </c>
      <c r="AH198" s="85">
        <f t="shared" si="26"/>
        <v>1785.9247275999996</v>
      </c>
      <c r="AI198" s="85">
        <f t="shared" si="27"/>
        <v>1.0611555125371359</v>
      </c>
      <c r="AJ198" s="118">
        <v>3</v>
      </c>
      <c r="AK198" s="118">
        <v>4</v>
      </c>
      <c r="AL198" s="124">
        <v>6.3</v>
      </c>
      <c r="AM198" s="118">
        <v>23</v>
      </c>
      <c r="AN198" s="124">
        <v>6.1</v>
      </c>
      <c r="AO198" s="124">
        <v>4.4000000000000004</v>
      </c>
      <c r="AP198" s="81">
        <v>0.16</v>
      </c>
      <c r="AQ198" s="81">
        <v>0.15</v>
      </c>
      <c r="AR198" s="132">
        <f>SUM(C198:E198)</f>
        <v>2235</v>
      </c>
      <c r="AS198" s="134">
        <f>C198/AR198</f>
        <v>0.12975391498881431</v>
      </c>
      <c r="AT198" s="134">
        <f>D198/AR198</f>
        <v>0.78076062639821031</v>
      </c>
      <c r="AU198" s="134">
        <f>E198/AR198</f>
        <v>8.9485458612975396E-2</v>
      </c>
      <c r="AV198" s="151">
        <f>IF(AND(F198&lt;&gt;"",Z198&lt;&gt;""),AB198/(F198/2/Z198),"")</f>
        <v>7.636363636363637E-2</v>
      </c>
      <c r="AW198" s="151">
        <f>IF(AND(F198&lt;&gt;"",AK198&lt;&gt;""),AM198/(F198/2/AK198),"")</f>
        <v>8.3636363636363634E-2</v>
      </c>
      <c r="AX198" s="41">
        <f>IF(AND(AQ198&lt;&gt;"",1-(AQ198/O198)&gt;0),1-(AQ198/O198),"")</f>
        <v>0.88188976377952755</v>
      </c>
      <c r="AY198" s="41">
        <f>IF(AND(AF198&lt;&gt;"",1-(AF198/O198)&gt;0),1-(AF198/O198),"")</f>
        <v>0.92913385826771655</v>
      </c>
      <c r="AZ198" s="136" t="str">
        <f>IF(Q198="","",IF(Q198&lt;2.5,"Alc. Bruta &lt; 2,5 mg/L",IF(Q198&lt;5,"2,5 ≤ Alc. Bruta &lt; 5,0 mg/L",IF(Q198&lt;7.5,"5,0 ≤ Alc. Bruta &lt; 7,5 mg/L",IF(Q198&lt;10,"7,5 ≤ Alc. Bruta &lt; 10,0 mg/L",IF(Q198&lt;15,"10,0 ≤ Alca. Bruta &lt; 15,0 mg/L","Alc. Bruta &gt; 15 mg/L"))))))</f>
        <v>5,0 ≤ Alc. Bruta &lt; 7,5 mg/L</v>
      </c>
      <c r="BA198" s="136" t="str">
        <f>IF(P198="","",IF(P198&lt;5,"Cor &lt;5 uC",IF(P198&lt;10,"5 ≤ Cor &lt; 10 uC",IF(P198&lt;15,"10 ≤ Cor &lt;15 uC",IF(P198&lt;30,"15 ≤ Cor &lt; 30 uC",IF(P198&lt;50,"30 ≤ Cor &lt; 50 uC","Cor &gt; 50 uC"))))))</f>
        <v>5 ≤ Cor &lt; 10 uC</v>
      </c>
      <c r="BB198" s="137" t="str">
        <f>IF(O198="","",IF(O198&lt;2.5,"Turbidez &lt; 2,5 uT",IF(O198&lt;5,"2,5 ≤ Turb &lt; 5,0 uT",IF(O198&lt;7.5,"5,0 ≤ Turb &lt; 7,5 uT",IF(O198&lt;10,"7,5 ≤ Turb &lt; 10,0 uT",IF(O198&lt;15,"10,0 ≤ Turb &lt; 15,0 uT","Turb &gt; 15 uT"))))))</f>
        <v>Turbidez &lt; 2,5 uT</v>
      </c>
      <c r="BC198" s="138" t="str">
        <f>IF(AND(C198&gt;D198,D198&gt;E198),"TOR &gt; SM &gt; BNN",IF(AND(C198&gt;E198,E198&gt;D198),"TOR &gt; BNN &gt; SM",IF(AND(D198&gt;C198,C198&gt;E198),"SM &gt; TOR &gt; BNN",IF(AND(D198&gt;E198,E198&gt;C198),"SM &gt; BNN &gt; TOR",IF(AND(C198=D198,D198=E198),"TOR = SM = BNN","Comb. diferentes")))))</f>
        <v>SM &gt; TOR &gt; BNN</v>
      </c>
      <c r="BD198" s="137" t="str">
        <f>IF(OR(AE198="",AQ198="-"),"",IF(AE198&lt;=0.25,"Tipo 1 (≤0,25) uT",IF(AE198&lt;=0.5,"Tipo 2 (0,25-0,50) uT",IF(AE198&lt;=0.75,"Tipo 3 (0,50-0,75) uT","Tipo 4 (&gt;0,75) uT"))))</f>
        <v>Tipo 1 (≤0,25) uT</v>
      </c>
      <c r="BE198" s="137" t="str">
        <f t="shared" si="21"/>
        <v>Tipo 1 (≤0,25) uT</v>
      </c>
      <c r="BF198" s="137" t="str">
        <f>IF(OR(AF198="",AQ198="-"),"",IF(AF198&lt;=0.25,"Tipo 1 (≤0,25) uT",IF(AF198&lt;=0.5,"Tipo 2 (0,25-0,50) uT",IF(AF198&lt;=0.75,"Tipo 3 (0,50-0,75) uT","Tipo 4 (&gt;0,75) uT"))))</f>
        <v>Tipo 1 (≤0,25) uT</v>
      </c>
      <c r="BG198" s="137" t="str">
        <f t="shared" si="22"/>
        <v>Tipo 1 (≤0,25) uT</v>
      </c>
      <c r="BH198" s="137" t="str">
        <f>IF(OR(R198="",R198="-"),"",IF(R198&lt;=0.25,"Tipo 1 (≤0,25) uT",IF(R198&lt;=0.5,"Tipo 2 (0,25-0,50) uT",IF(R198&lt;=0.75,"Tipo 3 (0,50-0,75) uT","Tipo 4 (&gt;0,75) uT"))))</f>
        <v>Tipo 1 (≤0,25) uT</v>
      </c>
    </row>
    <row r="199" spans="1:60" ht="15" thickBot="1" x14ac:dyDescent="0.35">
      <c r="A199" s="74">
        <v>46280</v>
      </c>
      <c r="B199" s="139">
        <v>0.39583333333333331</v>
      </c>
      <c r="C199" s="116">
        <v>281</v>
      </c>
      <c r="D199" s="116">
        <v>1717</v>
      </c>
      <c r="E199" s="116">
        <v>200</v>
      </c>
      <c r="F199" s="116">
        <v>2188</v>
      </c>
      <c r="G199" s="144" t="s">
        <v>100</v>
      </c>
      <c r="H199" s="122">
        <v>9.5</v>
      </c>
      <c r="I199" s="116">
        <v>-3.94</v>
      </c>
      <c r="J199" s="10">
        <v>90</v>
      </c>
      <c r="K199" s="116">
        <v>90</v>
      </c>
      <c r="L199" s="116">
        <v>90</v>
      </c>
      <c r="M199" s="122">
        <v>24.8</v>
      </c>
      <c r="N199" s="122">
        <v>6.4</v>
      </c>
      <c r="O199" s="79">
        <v>1.31</v>
      </c>
      <c r="P199" s="116">
        <v>10</v>
      </c>
      <c r="Q199" s="122">
        <v>5.6</v>
      </c>
      <c r="R199" s="10">
        <v>0.08</v>
      </c>
      <c r="S199" s="79">
        <v>22.36</v>
      </c>
      <c r="T199" s="79">
        <v>0.88</v>
      </c>
      <c r="U199" s="79">
        <v>0.7</v>
      </c>
      <c r="V199" s="85">
        <f t="shared" si="23"/>
        <v>1684.76</v>
      </c>
      <c r="W199" s="85">
        <f t="shared" si="24"/>
        <v>1460.2868799999999</v>
      </c>
      <c r="X199" s="85">
        <f t="shared" si="25"/>
        <v>0.86676255371684985</v>
      </c>
      <c r="Y199" s="116">
        <v>3</v>
      </c>
      <c r="Z199" s="116">
        <v>4</v>
      </c>
      <c r="AA199" s="122">
        <v>6</v>
      </c>
      <c r="AB199" s="116">
        <v>20</v>
      </c>
      <c r="AC199" s="122">
        <v>6.1</v>
      </c>
      <c r="AD199" s="122">
        <v>3.6</v>
      </c>
      <c r="AE199" s="79">
        <v>0.21</v>
      </c>
      <c r="AF199" s="79">
        <v>0.09</v>
      </c>
      <c r="AG199" s="85">
        <f>(O199+0.3*H199+2)*(F199/2/AK199)</f>
        <v>1684.76</v>
      </c>
      <c r="AH199" s="85">
        <f t="shared" si="26"/>
        <v>1708.2758263999997</v>
      </c>
      <c r="AI199" s="85">
        <f t="shared" si="27"/>
        <v>1.0139579681378947</v>
      </c>
      <c r="AJ199" s="116">
        <v>4</v>
      </c>
      <c r="AK199" s="116">
        <v>4</v>
      </c>
      <c r="AL199" s="122">
        <v>6.3</v>
      </c>
      <c r="AM199" s="116">
        <v>22</v>
      </c>
      <c r="AN199" s="122">
        <v>6.1</v>
      </c>
      <c r="AO199" s="122">
        <v>4.0999999999999996</v>
      </c>
      <c r="AP199" s="79">
        <v>0.18</v>
      </c>
      <c r="AQ199" s="79">
        <v>0.22</v>
      </c>
      <c r="AR199" s="132">
        <f>SUM(C199:E199)</f>
        <v>2198</v>
      </c>
      <c r="AS199" s="134">
        <f>C199/AR199</f>
        <v>0.12784349408553231</v>
      </c>
      <c r="AT199" s="134">
        <f>D199/AR199</f>
        <v>0.78116469517743403</v>
      </c>
      <c r="AU199" s="134">
        <f>E199/AR199</f>
        <v>9.0991810737033663E-2</v>
      </c>
      <c r="AV199" s="151">
        <f>IF(AND(F199&lt;&gt;"",Z199&lt;&gt;""),AB199/(F199/2/Z199),"")</f>
        <v>7.3126142595978064E-2</v>
      </c>
      <c r="AW199" s="151">
        <f>IF(AND(F199&lt;&gt;"",AK199&lt;&gt;""),AM199/(F199/2/AK199),"")</f>
        <v>8.0438756855575874E-2</v>
      </c>
      <c r="AX199" s="41">
        <f>IF(AND(AQ199&lt;&gt;"",1-(AQ199/O199)&gt;0),1-(AQ199/O199),"")</f>
        <v>0.83206106870229002</v>
      </c>
      <c r="AY199" s="41">
        <f>IF(AND(AF199&lt;&gt;"",1-(AF199/O199)&gt;0),1-(AF199/O199),"")</f>
        <v>0.93129770992366412</v>
      </c>
      <c r="AZ199" s="136" t="str">
        <f>IF(Q199="","",IF(Q199&lt;2.5,"Alc. Bruta &lt; 2,5 mg/L",IF(Q199&lt;5,"2,5 ≤ Alc. Bruta &lt; 5,0 mg/L",IF(Q199&lt;7.5,"5,0 ≤ Alc. Bruta &lt; 7,5 mg/L",IF(Q199&lt;10,"7,5 ≤ Alc. Bruta &lt; 10,0 mg/L",IF(Q199&lt;15,"10,0 ≤ Alca. Bruta &lt; 15,0 mg/L","Alc. Bruta &gt; 15 mg/L"))))))</f>
        <v>5,0 ≤ Alc. Bruta &lt; 7,5 mg/L</v>
      </c>
      <c r="BA199" s="136" t="str">
        <f>IF(P199="","",IF(P199&lt;5,"Cor &lt;5 uC",IF(P199&lt;10,"5 ≤ Cor &lt; 10 uC",IF(P199&lt;15,"10 ≤ Cor &lt;15 uC",IF(P199&lt;30,"15 ≤ Cor &lt; 30 uC",IF(P199&lt;50,"30 ≤ Cor &lt; 50 uC","Cor &gt; 50 uC"))))))</f>
        <v>10 ≤ Cor &lt;15 uC</v>
      </c>
      <c r="BB199" s="137" t="str">
        <f>IF(O199="","",IF(O199&lt;2.5,"Turbidez &lt; 2,5 uT",IF(O199&lt;5,"2,5 ≤ Turb &lt; 5,0 uT",IF(O199&lt;7.5,"5,0 ≤ Turb &lt; 7,5 uT",IF(O199&lt;10,"7,5 ≤ Turb &lt; 10,0 uT",IF(O199&lt;15,"10,0 ≤ Turb &lt; 15,0 uT","Turb &gt; 15 uT"))))))</f>
        <v>Turbidez &lt; 2,5 uT</v>
      </c>
      <c r="BC199" s="138" t="str">
        <f>IF(AND(C199&gt;D199,D199&gt;E199),"TOR &gt; SM &gt; BNN",IF(AND(C199&gt;E199,E199&gt;D199),"TOR &gt; BNN &gt; SM",IF(AND(D199&gt;C199,C199&gt;E199),"SM &gt; TOR &gt; BNN",IF(AND(D199&gt;E199,E199&gt;C199),"SM &gt; BNN &gt; TOR",IF(AND(C199=D199,D199=E199),"TOR = SM = BNN","Comb. diferentes")))))</f>
        <v>SM &gt; TOR &gt; BNN</v>
      </c>
      <c r="BD199" s="137" t="str">
        <f>IF(OR(AE199="",AQ199="-"),"",IF(AE199&lt;=0.25,"Tipo 1 (≤0,25) uT",IF(AE199&lt;=0.5,"Tipo 2 (0,25-0,50) uT",IF(AE199&lt;=0.75,"Tipo 3 (0,50-0,75) uT","Tipo 4 (&gt;0,75) uT"))))</f>
        <v>Tipo 1 (≤0,25) uT</v>
      </c>
      <c r="BE199" s="137" t="str">
        <f t="shared" si="21"/>
        <v>Tipo 1 (≤0,25) uT</v>
      </c>
      <c r="BF199" s="137" t="str">
        <f>IF(OR(AF199="",AQ199="-"),"",IF(AF199&lt;=0.25,"Tipo 1 (≤0,25) uT",IF(AF199&lt;=0.5,"Tipo 2 (0,25-0,50) uT",IF(AF199&lt;=0.75,"Tipo 3 (0,50-0,75) uT","Tipo 4 (&gt;0,75) uT"))))</f>
        <v>Tipo 1 (≤0,25) uT</v>
      </c>
      <c r="BG199" s="137" t="str">
        <f t="shared" si="22"/>
        <v>Tipo 1 (≤0,25) uT</v>
      </c>
      <c r="BH199" s="137" t="str">
        <f>IF(OR(R199="",R199="-"),"",IF(R199&lt;=0.25,"Tipo 1 (≤0,25) uT",IF(R199&lt;=0.5,"Tipo 2 (0,25-0,50) uT",IF(R199&lt;=0.75,"Tipo 3 (0,50-0,75) uT","Tipo 4 (&gt;0,75) uT"))))</f>
        <v>Tipo 1 (≤0,25) uT</v>
      </c>
    </row>
    <row r="200" spans="1:60" x14ac:dyDescent="0.3">
      <c r="A200" s="74">
        <v>46280</v>
      </c>
      <c r="B200" s="141">
        <v>0.47916666666666702</v>
      </c>
      <c r="C200" s="116">
        <v>280</v>
      </c>
      <c r="D200" s="116">
        <v>1710</v>
      </c>
      <c r="E200" s="116">
        <v>199</v>
      </c>
      <c r="F200" s="116">
        <v>2172</v>
      </c>
      <c r="G200" s="144" t="s">
        <v>100</v>
      </c>
      <c r="H200" s="122">
        <v>9.5</v>
      </c>
      <c r="I200" s="116">
        <v>-11.74</v>
      </c>
      <c r="J200" s="10">
        <v>90</v>
      </c>
      <c r="K200" s="116">
        <v>90</v>
      </c>
      <c r="L200" s="116">
        <v>90</v>
      </c>
      <c r="M200" s="122">
        <v>25.2</v>
      </c>
      <c r="N200" s="122">
        <v>6.4</v>
      </c>
      <c r="O200" s="79">
        <v>1.1399999999999999</v>
      </c>
      <c r="P200" s="116">
        <v>9</v>
      </c>
      <c r="Q200" s="122">
        <v>6</v>
      </c>
      <c r="R200" s="10">
        <v>0.1</v>
      </c>
      <c r="S200" s="79">
        <v>22.36</v>
      </c>
      <c r="T200" s="79">
        <v>0.88</v>
      </c>
      <c r="U200" s="79">
        <v>0.7</v>
      </c>
      <c r="V200" s="85">
        <f t="shared" si="23"/>
        <v>1626.2850000000001</v>
      </c>
      <c r="W200" s="85">
        <f t="shared" si="24"/>
        <v>1533.3012239999998</v>
      </c>
      <c r="X200" s="85">
        <f t="shared" si="25"/>
        <v>0.94282442745275263</v>
      </c>
      <c r="Y200" s="116">
        <v>3</v>
      </c>
      <c r="Z200" s="116">
        <v>4</v>
      </c>
      <c r="AA200" s="122">
        <v>6</v>
      </c>
      <c r="AB200" s="116">
        <v>21</v>
      </c>
      <c r="AC200" s="122">
        <v>6</v>
      </c>
      <c r="AD200" s="122">
        <v>3.9</v>
      </c>
      <c r="AE200" s="79">
        <v>0.19</v>
      </c>
      <c r="AF200" s="79">
        <v>0.11</v>
      </c>
      <c r="AG200" s="85">
        <f>(O200+0.3*H200+2)*(F200/2/AK200)</f>
        <v>1626.2850000000001</v>
      </c>
      <c r="AH200" s="85">
        <f t="shared" si="26"/>
        <v>1708.2758263999997</v>
      </c>
      <c r="AI200" s="85">
        <f t="shared" si="27"/>
        <v>1.0504160257273476</v>
      </c>
      <c r="AJ200" s="116">
        <v>4</v>
      </c>
      <c r="AK200" s="116">
        <v>4</v>
      </c>
      <c r="AL200" s="122">
        <v>6.3</v>
      </c>
      <c r="AM200" s="116">
        <v>22</v>
      </c>
      <c r="AN200" s="122">
        <v>5.9</v>
      </c>
      <c r="AO200" s="122">
        <v>4</v>
      </c>
      <c r="AP200" s="79">
        <v>0.19</v>
      </c>
      <c r="AQ200" s="79">
        <v>0.19</v>
      </c>
      <c r="AR200" s="132">
        <f>SUM(C200:E200)</f>
        <v>2189</v>
      </c>
      <c r="AS200" s="134">
        <f>C200/AR200</f>
        <v>0.12791228871630883</v>
      </c>
      <c r="AT200" s="134">
        <f>D200/AR200</f>
        <v>0.78117862037460029</v>
      </c>
      <c r="AU200" s="134">
        <f>E200/AR200</f>
        <v>9.0909090909090912E-2</v>
      </c>
      <c r="AV200" s="151">
        <f>IF(AND(F200&lt;&gt;"",Z200&lt;&gt;""),AB200/(F200/2/Z200),"")</f>
        <v>7.7348066298342538E-2</v>
      </c>
      <c r="AW200" s="151">
        <f>IF(AND(F200&lt;&gt;"",AK200&lt;&gt;""),AM200/(F200/2/AK200),"")</f>
        <v>8.1031307550644568E-2</v>
      </c>
      <c r="AX200" s="41">
        <f>IF(AND(AQ200&lt;&gt;"",1-(AQ200/O200)&gt;0),1-(AQ200/O200),"")</f>
        <v>0.83333333333333326</v>
      </c>
      <c r="AY200" s="41">
        <f>IF(AND(AF200&lt;&gt;"",1-(AF200/O200)&gt;0),1-(AF200/O200),"")</f>
        <v>0.90350877192982459</v>
      </c>
      <c r="AZ200" s="136" t="str">
        <f>IF(Q200="","",IF(Q200&lt;2.5,"Alc. Bruta &lt; 2,5 mg/L",IF(Q200&lt;5,"2,5 ≤ Alc. Bruta &lt; 5,0 mg/L",IF(Q200&lt;7.5,"5,0 ≤ Alc. Bruta &lt; 7,5 mg/L",IF(Q200&lt;10,"7,5 ≤ Alc. Bruta &lt; 10,0 mg/L",IF(Q200&lt;15,"10,0 ≤ Alca. Bruta &lt; 15,0 mg/L","Alc. Bruta &gt; 15 mg/L"))))))</f>
        <v>5,0 ≤ Alc. Bruta &lt; 7,5 mg/L</v>
      </c>
      <c r="BA200" s="136" t="str">
        <f>IF(P200="","",IF(P200&lt;5,"Cor &lt;5 uC",IF(P200&lt;10,"5 ≤ Cor &lt; 10 uC",IF(P200&lt;15,"10 ≤ Cor &lt;15 uC",IF(P200&lt;30,"15 ≤ Cor &lt; 30 uC",IF(P200&lt;50,"30 ≤ Cor &lt; 50 uC","Cor &gt; 50 uC"))))))</f>
        <v>5 ≤ Cor &lt; 10 uC</v>
      </c>
      <c r="BB200" s="137" t="str">
        <f>IF(O200="","",IF(O200&lt;2.5,"Turbidez &lt; 2,5 uT",IF(O200&lt;5,"2,5 ≤ Turb &lt; 5,0 uT",IF(O200&lt;7.5,"5,0 ≤ Turb &lt; 7,5 uT",IF(O200&lt;10,"7,5 ≤ Turb &lt; 10,0 uT",IF(O200&lt;15,"10,0 ≤ Turb &lt; 15,0 uT","Turb &gt; 15 uT"))))))</f>
        <v>Turbidez &lt; 2,5 uT</v>
      </c>
      <c r="BC200" s="138" t="str">
        <f>IF(AND(C200&gt;D200,D200&gt;E200),"TOR &gt; SM &gt; BNN",IF(AND(C200&gt;E200,E200&gt;D200),"TOR &gt; BNN &gt; SM",IF(AND(D200&gt;C200,C200&gt;E200),"SM &gt; TOR &gt; BNN",IF(AND(D200&gt;E200,E200&gt;C200),"SM &gt; BNN &gt; TOR",IF(AND(C200=D200,D200=E200),"TOR = SM = BNN","Comb. diferentes")))))</f>
        <v>SM &gt; TOR &gt; BNN</v>
      </c>
      <c r="BD200" s="137" t="str">
        <f>IF(OR(AE200="",AQ200="-"),"",IF(AE200&lt;=0.25,"Tipo 1 (≤0,25) uT",IF(AE200&lt;=0.5,"Tipo 2 (0,25-0,50) uT",IF(AE200&lt;=0.75,"Tipo 3 (0,50-0,75) uT","Tipo 4 (&gt;0,75) uT"))))</f>
        <v>Tipo 1 (≤0,25) uT</v>
      </c>
      <c r="BE200" s="137" t="str">
        <f t="shared" si="21"/>
        <v>Tipo 1 (≤0,25) uT</v>
      </c>
      <c r="BF200" s="137" t="str">
        <f>IF(OR(AF200="",AQ200="-"),"",IF(AF200&lt;=0.25,"Tipo 1 (≤0,25) uT",IF(AF200&lt;=0.5,"Tipo 2 (0,25-0,50) uT",IF(AF200&lt;=0.75,"Tipo 3 (0,50-0,75) uT","Tipo 4 (&gt;0,75) uT"))))</f>
        <v>Tipo 1 (≤0,25) uT</v>
      </c>
      <c r="BG200" s="137" t="str">
        <f t="shared" si="22"/>
        <v>Tipo 1 (≤0,25) uT</v>
      </c>
      <c r="BH200" s="137" t="str">
        <f>IF(OR(R200="",R200="-"),"",IF(R200&lt;=0.25,"Tipo 1 (≤0,25) uT",IF(R200&lt;=0.5,"Tipo 2 (0,25-0,50) uT",IF(R200&lt;=0.75,"Tipo 3 (0,50-0,75) uT","Tipo 4 (&gt;0,75) uT"))))</f>
        <v>Tipo 1 (≤0,25) uT</v>
      </c>
    </row>
    <row r="201" spans="1:60" x14ac:dyDescent="0.3">
      <c r="A201" s="74">
        <v>46280</v>
      </c>
      <c r="B201" s="139">
        <v>0.64583333333333337</v>
      </c>
      <c r="C201" s="116">
        <v>287</v>
      </c>
      <c r="D201" s="116">
        <v>1780</v>
      </c>
      <c r="E201" s="116">
        <v>200</v>
      </c>
      <c r="F201" s="116">
        <v>2262</v>
      </c>
      <c r="G201" s="144" t="s">
        <v>100</v>
      </c>
      <c r="H201" s="122">
        <v>9.5</v>
      </c>
      <c r="I201" s="116">
        <v>-35</v>
      </c>
      <c r="J201" s="10">
        <v>90</v>
      </c>
      <c r="K201" s="116">
        <v>90</v>
      </c>
      <c r="L201" s="116">
        <v>90</v>
      </c>
      <c r="M201" s="122">
        <v>24.9</v>
      </c>
      <c r="N201" s="122">
        <v>6.4</v>
      </c>
      <c r="O201" s="79">
        <v>1.1499999999999999</v>
      </c>
      <c r="P201" s="116">
        <v>7</v>
      </c>
      <c r="Q201" s="122">
        <v>6.4</v>
      </c>
      <c r="R201" s="10">
        <v>0.1</v>
      </c>
      <c r="S201" s="79">
        <v>22.36</v>
      </c>
      <c r="T201" s="79">
        <v>0.88</v>
      </c>
      <c r="U201" s="79">
        <v>0.7</v>
      </c>
      <c r="V201" s="85">
        <f t="shared" si="23"/>
        <v>1696.5</v>
      </c>
      <c r="W201" s="85">
        <f t="shared" si="24"/>
        <v>1565.7431243999997</v>
      </c>
      <c r="X201" s="85">
        <f t="shared" si="25"/>
        <v>0.92292550804597684</v>
      </c>
      <c r="Y201" s="116">
        <v>3</v>
      </c>
      <c r="Z201" s="116">
        <v>4</v>
      </c>
      <c r="AA201" s="122">
        <v>6.1</v>
      </c>
      <c r="AB201" s="116">
        <v>21</v>
      </c>
      <c r="AC201" s="122">
        <v>6.1</v>
      </c>
      <c r="AD201" s="122">
        <v>5</v>
      </c>
      <c r="AE201" s="79">
        <v>0.21</v>
      </c>
      <c r="AF201" s="79">
        <v>0.1</v>
      </c>
      <c r="AG201" s="85">
        <f>(O201+0.3*H201+2)*(F201/2/AK201)</f>
        <v>1696.5</v>
      </c>
      <c r="AH201" s="85">
        <f t="shared" si="26"/>
        <v>1708.2758263999997</v>
      </c>
      <c r="AI201" s="85">
        <f t="shared" si="27"/>
        <v>1.0069412475095783</v>
      </c>
      <c r="AJ201" s="116">
        <v>3</v>
      </c>
      <c r="AK201" s="116">
        <v>4</v>
      </c>
      <c r="AL201" s="122">
        <v>6.3</v>
      </c>
      <c r="AM201" s="116">
        <v>22</v>
      </c>
      <c r="AN201" s="122">
        <v>5.9</v>
      </c>
      <c r="AO201" s="122">
        <v>4.3</v>
      </c>
      <c r="AP201" s="79">
        <v>0.17</v>
      </c>
      <c r="AQ201" s="79">
        <v>0.17</v>
      </c>
      <c r="AR201" s="132">
        <f>SUM(C201:E201)</f>
        <v>2267</v>
      </c>
      <c r="AS201" s="134">
        <f>C201/AR201</f>
        <v>0.12659902955447727</v>
      </c>
      <c r="AT201" s="134">
        <f>D201/AR201</f>
        <v>0.78517865019850019</v>
      </c>
      <c r="AU201" s="134">
        <f>E201/AR201</f>
        <v>8.8222320247022493E-2</v>
      </c>
      <c r="AV201" s="151">
        <f>IF(AND(F201&lt;&gt;"",Z201&lt;&gt;""),AB201/(F201/2/Z201),"")</f>
        <v>7.4270557029177717E-2</v>
      </c>
      <c r="AW201" s="151">
        <f>IF(AND(F201&lt;&gt;"",AK201&lt;&gt;""),AM201/(F201/2/AK201),"")</f>
        <v>7.7807250221043331E-2</v>
      </c>
      <c r="AX201" s="41">
        <f>IF(AND(AQ201&lt;&gt;"",1-(AQ201/O201)&gt;0),1-(AQ201/O201),"")</f>
        <v>0.85217391304347823</v>
      </c>
      <c r="AY201" s="41">
        <f>IF(AND(AF201&lt;&gt;"",1-(AF201/O201)&gt;0),1-(AF201/O201),"")</f>
        <v>0.91304347826086951</v>
      </c>
      <c r="AZ201" s="136" t="str">
        <f>IF(Q201="","",IF(Q201&lt;2.5,"Alc. Bruta &lt; 2,5 mg/L",IF(Q201&lt;5,"2,5 ≤ Alc. Bruta &lt; 5,0 mg/L",IF(Q201&lt;7.5,"5,0 ≤ Alc. Bruta &lt; 7,5 mg/L",IF(Q201&lt;10,"7,5 ≤ Alc. Bruta &lt; 10,0 mg/L",IF(Q201&lt;15,"10,0 ≤ Alca. Bruta &lt; 15,0 mg/L","Alc. Bruta &gt; 15 mg/L"))))))</f>
        <v>5,0 ≤ Alc. Bruta &lt; 7,5 mg/L</v>
      </c>
      <c r="BA201" s="136" t="str">
        <f>IF(P201="","",IF(P201&lt;5,"Cor &lt;5 uC",IF(P201&lt;10,"5 ≤ Cor &lt; 10 uC",IF(P201&lt;15,"10 ≤ Cor &lt;15 uC",IF(P201&lt;30,"15 ≤ Cor &lt; 30 uC",IF(P201&lt;50,"30 ≤ Cor &lt; 50 uC","Cor &gt; 50 uC"))))))</f>
        <v>5 ≤ Cor &lt; 10 uC</v>
      </c>
      <c r="BB201" s="137" t="str">
        <f>IF(O201="","",IF(O201&lt;2.5,"Turbidez &lt; 2,5 uT",IF(O201&lt;5,"2,5 ≤ Turb &lt; 5,0 uT",IF(O201&lt;7.5,"5,0 ≤ Turb &lt; 7,5 uT",IF(O201&lt;10,"7,5 ≤ Turb &lt; 10,0 uT",IF(O201&lt;15,"10,0 ≤ Turb &lt; 15,0 uT","Turb &gt; 15 uT"))))))</f>
        <v>Turbidez &lt; 2,5 uT</v>
      </c>
      <c r="BC201" s="138" t="str">
        <f>IF(AND(C201&gt;D201,D201&gt;E201),"TOR &gt; SM &gt; BNN",IF(AND(C201&gt;E201,E201&gt;D201),"TOR &gt; BNN &gt; SM",IF(AND(D201&gt;C201,C201&gt;E201),"SM &gt; TOR &gt; BNN",IF(AND(D201&gt;E201,E201&gt;C201),"SM &gt; BNN &gt; TOR",IF(AND(C201=D201,D201=E201),"TOR = SM = BNN","Comb. diferentes")))))</f>
        <v>SM &gt; TOR &gt; BNN</v>
      </c>
      <c r="BD201" s="137" t="str">
        <f>IF(OR(AE201="",AQ201="-"),"",IF(AE201&lt;=0.25,"Tipo 1 (≤0,25) uT",IF(AE201&lt;=0.5,"Tipo 2 (0,25-0,50) uT",IF(AE201&lt;=0.75,"Tipo 3 (0,50-0,75) uT","Tipo 4 (&gt;0,75) uT"))))</f>
        <v>Tipo 1 (≤0,25) uT</v>
      </c>
      <c r="BE201" s="137" t="str">
        <f t="shared" si="21"/>
        <v>Tipo 1 (≤0,25) uT</v>
      </c>
      <c r="BF201" s="137" t="str">
        <f>IF(OR(AF201="",AQ201="-"),"",IF(AF201&lt;=0.25,"Tipo 1 (≤0,25) uT",IF(AF201&lt;=0.5,"Tipo 2 (0,25-0,50) uT",IF(AF201&lt;=0.75,"Tipo 3 (0,50-0,75) uT","Tipo 4 (&gt;0,75) uT"))))</f>
        <v>Tipo 1 (≤0,25) uT</v>
      </c>
      <c r="BG201" s="137" t="str">
        <f t="shared" si="22"/>
        <v>Tipo 1 (≤0,25) uT</v>
      </c>
      <c r="BH201" s="137" t="str">
        <f>IF(OR(R201="",R201="-"),"",IF(R201&lt;=0.25,"Tipo 1 (≤0,25) uT",IF(R201&lt;=0.5,"Tipo 2 (0,25-0,50) uT",IF(R201&lt;=0.75,"Tipo 3 (0,50-0,75) uT","Tipo 4 (&gt;0,75) uT"))))</f>
        <v>Tipo 1 (≤0,25) uT</v>
      </c>
    </row>
    <row r="202" spans="1:60" x14ac:dyDescent="0.3">
      <c r="A202" s="74">
        <v>46280</v>
      </c>
      <c r="B202" s="139">
        <v>0.72916666666666663</v>
      </c>
      <c r="C202" s="116">
        <v>291</v>
      </c>
      <c r="D202" s="116">
        <v>1733</v>
      </c>
      <c r="E202" s="116">
        <v>200</v>
      </c>
      <c r="F202" s="116">
        <v>2214</v>
      </c>
      <c r="G202" s="144" t="s">
        <v>100</v>
      </c>
      <c r="H202" s="122">
        <v>9.5</v>
      </c>
      <c r="I202" s="116">
        <v>-37</v>
      </c>
      <c r="J202" s="10">
        <v>90</v>
      </c>
      <c r="K202" s="116">
        <v>90</v>
      </c>
      <c r="L202" s="116">
        <v>90</v>
      </c>
      <c r="M202" s="122">
        <v>24.6</v>
      </c>
      <c r="N202" s="122">
        <v>6.4</v>
      </c>
      <c r="O202" s="79">
        <v>1.1100000000000001</v>
      </c>
      <c r="P202" s="116">
        <v>7</v>
      </c>
      <c r="Q202" s="122">
        <v>6.4</v>
      </c>
      <c r="R202" s="10">
        <v>0.14000000000000001</v>
      </c>
      <c r="S202" s="79">
        <v>22.36</v>
      </c>
      <c r="T202" s="79">
        <v>0.88</v>
      </c>
      <c r="U202" s="79">
        <v>0.7</v>
      </c>
      <c r="V202" s="85">
        <f t="shared" si="23"/>
        <v>1649.43</v>
      </c>
      <c r="W202" s="85">
        <f t="shared" si="24"/>
        <v>1460.2868799999999</v>
      </c>
      <c r="X202" s="85">
        <f t="shared" si="25"/>
        <v>0.88532819216335334</v>
      </c>
      <c r="Y202" s="116">
        <v>3</v>
      </c>
      <c r="Z202" s="116">
        <v>4</v>
      </c>
      <c r="AA202" s="122">
        <v>6</v>
      </c>
      <c r="AB202" s="116">
        <v>20</v>
      </c>
      <c r="AC202" s="122">
        <v>6.1</v>
      </c>
      <c r="AD202" s="122">
        <v>4.0999999999999996</v>
      </c>
      <c r="AE202" s="79">
        <v>0.18</v>
      </c>
      <c r="AF202" s="79">
        <v>0.15</v>
      </c>
      <c r="AG202" s="85">
        <f>(O202+0.3*H202+2)*(F202/2/AK202)</f>
        <v>1649.43</v>
      </c>
      <c r="AH202" s="85">
        <f t="shared" si="26"/>
        <v>1708.2758263999997</v>
      </c>
      <c r="AI202" s="85">
        <f t="shared" si="27"/>
        <v>1.0356764618080183</v>
      </c>
      <c r="AJ202" s="116">
        <v>3</v>
      </c>
      <c r="AK202" s="116">
        <v>4</v>
      </c>
      <c r="AL202" s="122">
        <v>6.3</v>
      </c>
      <c r="AM202" s="116">
        <v>22</v>
      </c>
      <c r="AN202" s="122">
        <v>5.9</v>
      </c>
      <c r="AO202" s="122">
        <v>4.5999999999999996</v>
      </c>
      <c r="AP202" s="79">
        <v>0.19</v>
      </c>
      <c r="AQ202" s="79">
        <v>0.21</v>
      </c>
      <c r="AR202" s="132">
        <f>SUM(C202:E202)</f>
        <v>2224</v>
      </c>
      <c r="AS202" s="134">
        <f>C202/AR202</f>
        <v>0.13084532374100719</v>
      </c>
      <c r="AT202" s="134">
        <f>D202/AR202</f>
        <v>0.77922661870503596</v>
      </c>
      <c r="AU202" s="134">
        <f>E202/AR202</f>
        <v>8.9928057553956831E-2</v>
      </c>
      <c r="AV202" s="151">
        <f>IF(AND(F202&lt;&gt;"",Z202&lt;&gt;""),AB202/(F202/2/Z202),"")</f>
        <v>7.2267389340560068E-2</v>
      </c>
      <c r="AW202" s="151">
        <f>IF(AND(F202&lt;&gt;"",AK202&lt;&gt;""),AM202/(F202/2/AK202),"")</f>
        <v>7.9494128274616077E-2</v>
      </c>
      <c r="AX202" s="41">
        <f>IF(AND(AQ202&lt;&gt;"",1-(AQ202/O202)&gt;0),1-(AQ202/O202),"")</f>
        <v>0.81081081081081086</v>
      </c>
      <c r="AY202" s="41">
        <f>IF(AND(AF202&lt;&gt;"",1-(AF202/O202)&gt;0),1-(AF202/O202),"")</f>
        <v>0.86486486486486491</v>
      </c>
      <c r="AZ202" s="136" t="str">
        <f>IF(Q202="","",IF(Q202&lt;2.5,"Alc. Bruta &lt; 2,5 mg/L",IF(Q202&lt;5,"2,5 ≤ Alc. Bruta &lt; 5,0 mg/L",IF(Q202&lt;7.5,"5,0 ≤ Alc. Bruta &lt; 7,5 mg/L",IF(Q202&lt;10,"7,5 ≤ Alc. Bruta &lt; 10,0 mg/L",IF(Q202&lt;15,"10,0 ≤ Alca. Bruta &lt; 15,0 mg/L","Alc. Bruta &gt; 15 mg/L"))))))</f>
        <v>5,0 ≤ Alc. Bruta &lt; 7,5 mg/L</v>
      </c>
      <c r="BA202" s="136" t="str">
        <f>IF(P202="","",IF(P202&lt;5,"Cor &lt;5 uC",IF(P202&lt;10,"5 ≤ Cor &lt; 10 uC",IF(P202&lt;15,"10 ≤ Cor &lt;15 uC",IF(P202&lt;30,"15 ≤ Cor &lt; 30 uC",IF(P202&lt;50,"30 ≤ Cor &lt; 50 uC","Cor &gt; 50 uC"))))))</f>
        <v>5 ≤ Cor &lt; 10 uC</v>
      </c>
      <c r="BB202" s="137" t="str">
        <f>IF(O202="","",IF(O202&lt;2.5,"Turbidez &lt; 2,5 uT",IF(O202&lt;5,"2,5 ≤ Turb &lt; 5,0 uT",IF(O202&lt;7.5,"5,0 ≤ Turb &lt; 7,5 uT",IF(O202&lt;10,"7,5 ≤ Turb &lt; 10,0 uT",IF(O202&lt;15,"10,0 ≤ Turb &lt; 15,0 uT","Turb &gt; 15 uT"))))))</f>
        <v>Turbidez &lt; 2,5 uT</v>
      </c>
      <c r="BC202" s="138" t="str">
        <f>IF(AND(C202&gt;D202,D202&gt;E202),"TOR &gt; SM &gt; BNN",IF(AND(C202&gt;E202,E202&gt;D202),"TOR &gt; BNN &gt; SM",IF(AND(D202&gt;C202,C202&gt;E202),"SM &gt; TOR &gt; BNN",IF(AND(D202&gt;E202,E202&gt;C202),"SM &gt; BNN &gt; TOR",IF(AND(C202=D202,D202=E202),"TOR = SM = BNN","Comb. diferentes")))))</f>
        <v>SM &gt; TOR &gt; BNN</v>
      </c>
      <c r="BD202" s="137" t="str">
        <f>IF(OR(AE202="",AQ202="-"),"",IF(AE202&lt;=0.25,"Tipo 1 (≤0,25) uT",IF(AE202&lt;=0.5,"Tipo 2 (0,25-0,50) uT",IF(AE202&lt;=0.75,"Tipo 3 (0,50-0,75) uT","Tipo 4 (&gt;0,75) uT"))))</f>
        <v>Tipo 1 (≤0,25) uT</v>
      </c>
      <c r="BE202" s="137" t="str">
        <f t="shared" si="21"/>
        <v>Tipo 1 (≤0,25) uT</v>
      </c>
      <c r="BF202" s="137" t="str">
        <f>IF(OR(AF202="",AQ202="-"),"",IF(AF202&lt;=0.25,"Tipo 1 (≤0,25) uT",IF(AF202&lt;=0.5,"Tipo 2 (0,25-0,50) uT",IF(AF202&lt;=0.75,"Tipo 3 (0,50-0,75) uT","Tipo 4 (&gt;0,75) uT"))))</f>
        <v>Tipo 1 (≤0,25) uT</v>
      </c>
      <c r="BG202" s="137" t="str">
        <f t="shared" si="22"/>
        <v>Tipo 1 (≤0,25) uT</v>
      </c>
      <c r="BH202" s="137" t="str">
        <f>IF(OR(R202="",R202="-"),"",IF(R202&lt;=0.25,"Tipo 1 (≤0,25) uT",IF(R202&lt;=0.5,"Tipo 2 (0,25-0,50) uT",IF(R202&lt;=0.75,"Tipo 3 (0,50-0,75) uT","Tipo 4 (&gt;0,75) uT"))))</f>
        <v>Tipo 1 (≤0,25) uT</v>
      </c>
    </row>
    <row r="203" spans="1:60" x14ac:dyDescent="0.3">
      <c r="A203" s="74">
        <v>46280</v>
      </c>
      <c r="B203" s="139">
        <v>0.8125</v>
      </c>
      <c r="C203" s="116">
        <v>397</v>
      </c>
      <c r="D203" s="116">
        <v>1630</v>
      </c>
      <c r="E203" s="116">
        <v>200</v>
      </c>
      <c r="F203" s="116">
        <v>2215</v>
      </c>
      <c r="G203" s="144" t="s">
        <v>100</v>
      </c>
      <c r="H203" s="122">
        <v>9.5</v>
      </c>
      <c r="I203" s="116">
        <v>-38</v>
      </c>
      <c r="J203" s="10">
        <v>90</v>
      </c>
      <c r="K203" s="116">
        <v>90</v>
      </c>
      <c r="L203" s="116">
        <v>90</v>
      </c>
      <c r="M203" s="122">
        <v>25</v>
      </c>
      <c r="N203" s="122">
        <v>6.5</v>
      </c>
      <c r="O203" s="79">
        <v>1.51</v>
      </c>
      <c r="P203" s="116">
        <v>9</v>
      </c>
      <c r="Q203" s="122">
        <v>6.2</v>
      </c>
      <c r="R203" s="10">
        <v>0.13</v>
      </c>
      <c r="S203" s="79">
        <v>22.36</v>
      </c>
      <c r="T203" s="79">
        <v>0.88</v>
      </c>
      <c r="U203" s="79">
        <v>0.7</v>
      </c>
      <c r="V203" s="85">
        <f t="shared" si="23"/>
        <v>1760.9250000000002</v>
      </c>
      <c r="W203" s="85">
        <f t="shared" si="24"/>
        <v>1565.7431243999997</v>
      </c>
      <c r="X203" s="85">
        <f t="shared" si="25"/>
        <v>0.88915946130584755</v>
      </c>
      <c r="Y203" s="116">
        <v>4</v>
      </c>
      <c r="Z203" s="116">
        <v>4</v>
      </c>
      <c r="AA203" s="122">
        <v>6.1</v>
      </c>
      <c r="AB203" s="116">
        <v>21</v>
      </c>
      <c r="AC203" s="122">
        <v>6</v>
      </c>
      <c r="AD203" s="122">
        <v>4.4000000000000004</v>
      </c>
      <c r="AE203" s="79">
        <v>0.17</v>
      </c>
      <c r="AF203" s="79">
        <v>0.13</v>
      </c>
      <c r="AG203" s="85">
        <f>(O203+0.3*H203+2)*(F203/2/AK203)</f>
        <v>1760.9250000000002</v>
      </c>
      <c r="AH203" s="85">
        <f t="shared" si="26"/>
        <v>1785.9247275999996</v>
      </c>
      <c r="AI203" s="85">
        <f t="shared" si="27"/>
        <v>1.0141969292275363</v>
      </c>
      <c r="AJ203" s="116">
        <v>3</v>
      </c>
      <c r="AK203" s="116">
        <v>4</v>
      </c>
      <c r="AL203" s="122">
        <v>6.3</v>
      </c>
      <c r="AM203" s="116">
        <v>23</v>
      </c>
      <c r="AN203" s="122">
        <v>6.1</v>
      </c>
      <c r="AO203" s="122">
        <v>4.3</v>
      </c>
      <c r="AP203" s="79">
        <v>0.21</v>
      </c>
      <c r="AQ203" s="79">
        <v>0.18</v>
      </c>
      <c r="AR203" s="132">
        <f>SUM(C203:E203)</f>
        <v>2227</v>
      </c>
      <c r="AS203" s="134">
        <f>C203/AR203</f>
        <v>0.17826672653794343</v>
      </c>
      <c r="AT203" s="134">
        <f>D203/AR203</f>
        <v>0.73192635832959141</v>
      </c>
      <c r="AU203" s="134">
        <f>E203/AR203</f>
        <v>8.9806915132465207E-2</v>
      </c>
      <c r="AV203" s="151">
        <f>IF(AND(F203&lt;&gt;"",Z203&lt;&gt;""),AB203/(F203/2/Z203),"")</f>
        <v>7.584650112866817E-2</v>
      </c>
      <c r="AW203" s="151">
        <f>IF(AND(F203&lt;&gt;"",AK203&lt;&gt;""),AM203/(F203/2/AK203),"")</f>
        <v>8.3069977426636563E-2</v>
      </c>
      <c r="AX203" s="41">
        <f>IF(AND(AQ203&lt;&gt;"",1-(AQ203/O203)&gt;0),1-(AQ203/O203),"")</f>
        <v>0.88079470198675502</v>
      </c>
      <c r="AY203" s="41">
        <f>IF(AND(AF203&lt;&gt;"",1-(AF203/O203)&gt;0),1-(AF203/O203),"")</f>
        <v>0.91390728476821192</v>
      </c>
      <c r="AZ203" s="136" t="str">
        <f>IF(Q203="","",IF(Q203&lt;2.5,"Alc. Bruta &lt; 2,5 mg/L",IF(Q203&lt;5,"2,5 ≤ Alc. Bruta &lt; 5,0 mg/L",IF(Q203&lt;7.5,"5,0 ≤ Alc. Bruta &lt; 7,5 mg/L",IF(Q203&lt;10,"7,5 ≤ Alc. Bruta &lt; 10,0 mg/L",IF(Q203&lt;15,"10,0 ≤ Alca. Bruta &lt; 15,0 mg/L","Alc. Bruta &gt; 15 mg/L"))))))</f>
        <v>5,0 ≤ Alc. Bruta &lt; 7,5 mg/L</v>
      </c>
      <c r="BA203" s="136" t="str">
        <f>IF(P203="","",IF(P203&lt;5,"Cor &lt;5 uC",IF(P203&lt;10,"5 ≤ Cor &lt; 10 uC",IF(P203&lt;15,"10 ≤ Cor &lt;15 uC",IF(P203&lt;30,"15 ≤ Cor &lt; 30 uC",IF(P203&lt;50,"30 ≤ Cor &lt; 50 uC","Cor &gt; 50 uC"))))))</f>
        <v>5 ≤ Cor &lt; 10 uC</v>
      </c>
      <c r="BB203" s="137" t="str">
        <f>IF(O203="","",IF(O203&lt;2.5,"Turbidez &lt; 2,5 uT",IF(O203&lt;5,"2,5 ≤ Turb &lt; 5,0 uT",IF(O203&lt;7.5,"5,0 ≤ Turb &lt; 7,5 uT",IF(O203&lt;10,"7,5 ≤ Turb &lt; 10,0 uT",IF(O203&lt;15,"10,0 ≤ Turb &lt; 15,0 uT","Turb &gt; 15 uT"))))))</f>
        <v>Turbidez &lt; 2,5 uT</v>
      </c>
      <c r="BC203" s="138" t="str">
        <f>IF(AND(C203&gt;D203,D203&gt;E203),"TOR &gt; SM &gt; BNN",IF(AND(C203&gt;E203,E203&gt;D203),"TOR &gt; BNN &gt; SM",IF(AND(D203&gt;C203,C203&gt;E203),"SM &gt; TOR &gt; BNN",IF(AND(D203&gt;E203,E203&gt;C203),"SM &gt; BNN &gt; TOR",IF(AND(C203=D203,D203=E203),"TOR = SM = BNN","Comb. diferentes")))))</f>
        <v>SM &gt; TOR &gt; BNN</v>
      </c>
      <c r="BD203" s="137" t="str">
        <f>IF(OR(AE203="",AQ203="-"),"",IF(AE203&lt;=0.25,"Tipo 1 (≤0,25) uT",IF(AE203&lt;=0.5,"Tipo 2 (0,25-0,50) uT",IF(AE203&lt;=0.75,"Tipo 3 (0,50-0,75) uT","Tipo 4 (&gt;0,75) uT"))))</f>
        <v>Tipo 1 (≤0,25) uT</v>
      </c>
      <c r="BE203" s="137" t="str">
        <f t="shared" si="21"/>
        <v>Tipo 1 (≤0,25) uT</v>
      </c>
      <c r="BF203" s="137" t="str">
        <f>IF(OR(AF203="",AQ203="-"),"",IF(AF203&lt;=0.25,"Tipo 1 (≤0,25) uT",IF(AF203&lt;=0.5,"Tipo 2 (0,25-0,50) uT",IF(AF203&lt;=0.75,"Tipo 3 (0,50-0,75) uT","Tipo 4 (&gt;0,75) uT"))))</f>
        <v>Tipo 1 (≤0,25) uT</v>
      </c>
      <c r="BG203" s="137" t="str">
        <f t="shared" si="22"/>
        <v>Tipo 1 (≤0,25) uT</v>
      </c>
      <c r="BH203" s="137" t="str">
        <f>IF(OR(R203="",R203="-"),"",IF(R203&lt;=0.25,"Tipo 1 (≤0,25) uT",IF(R203&lt;=0.5,"Tipo 2 (0,25-0,50) uT",IF(R203&lt;=0.75,"Tipo 3 (0,50-0,75) uT","Tipo 4 (&gt;0,75) uT"))))</f>
        <v>Tipo 1 (≤0,25) uT</v>
      </c>
    </row>
    <row r="204" spans="1:60" x14ac:dyDescent="0.3">
      <c r="A204" s="74">
        <v>46280</v>
      </c>
      <c r="B204" s="139">
        <v>0.89583333333333337</v>
      </c>
      <c r="C204" s="116">
        <v>385</v>
      </c>
      <c r="D204" s="116">
        <v>1610</v>
      </c>
      <c r="E204" s="116">
        <v>200</v>
      </c>
      <c r="F204" s="116">
        <v>2240</v>
      </c>
      <c r="G204" s="144" t="s">
        <v>100</v>
      </c>
      <c r="H204" s="122">
        <v>9.5</v>
      </c>
      <c r="I204" s="116">
        <v>30</v>
      </c>
      <c r="J204" s="10">
        <v>90</v>
      </c>
      <c r="K204" s="116">
        <v>90</v>
      </c>
      <c r="L204" s="116">
        <v>90</v>
      </c>
      <c r="M204" s="122">
        <v>24.9</v>
      </c>
      <c r="N204" s="122">
        <v>6.5</v>
      </c>
      <c r="O204" s="79">
        <v>2.4500000000000002</v>
      </c>
      <c r="P204" s="116">
        <v>9</v>
      </c>
      <c r="Q204" s="122">
        <v>6.1</v>
      </c>
      <c r="R204" s="10">
        <v>0.12</v>
      </c>
      <c r="S204" s="79">
        <v>22.36</v>
      </c>
      <c r="T204" s="79">
        <v>0.88</v>
      </c>
      <c r="U204" s="79">
        <v>0.7</v>
      </c>
      <c r="V204" s="85">
        <f t="shared" si="23"/>
        <v>2044.0000000000002</v>
      </c>
      <c r="W204" s="85">
        <f t="shared" si="24"/>
        <v>1522.080976</v>
      </c>
      <c r="X204" s="85">
        <f t="shared" si="25"/>
        <v>0.74465801174168289</v>
      </c>
      <c r="Y204" s="116">
        <v>3</v>
      </c>
      <c r="Z204" s="116">
        <v>4</v>
      </c>
      <c r="AA204" s="122">
        <v>6.2</v>
      </c>
      <c r="AB204" s="116">
        <v>20</v>
      </c>
      <c r="AC204" s="122">
        <v>6.1</v>
      </c>
      <c r="AD204" s="122">
        <v>4.5999999999999996</v>
      </c>
      <c r="AE204" s="79">
        <v>0.16</v>
      </c>
      <c r="AF204" s="79">
        <v>0.14000000000000001</v>
      </c>
      <c r="AG204" s="85">
        <f>(O204+0.3*H204+2)*(F204/2/AK204)</f>
        <v>2044.0000000000002</v>
      </c>
      <c r="AH204" s="85">
        <f t="shared" si="26"/>
        <v>1674.2890735999999</v>
      </c>
      <c r="AI204" s="85">
        <f t="shared" si="27"/>
        <v>0.81912381291585112</v>
      </c>
      <c r="AJ204" s="116">
        <v>4</v>
      </c>
      <c r="AK204" s="116">
        <v>4</v>
      </c>
      <c r="AL204" s="122">
        <v>6.2</v>
      </c>
      <c r="AM204" s="116">
        <v>22</v>
      </c>
      <c r="AN204" s="122">
        <v>6.2</v>
      </c>
      <c r="AO204" s="122">
        <v>4.5</v>
      </c>
      <c r="AP204" s="79">
        <v>0.2</v>
      </c>
      <c r="AQ204" s="79">
        <v>0.19</v>
      </c>
      <c r="AR204" s="132">
        <f>SUM(C204:E204)</f>
        <v>2195</v>
      </c>
      <c r="AS204" s="134">
        <f>C204/AR204</f>
        <v>0.17539863325740318</v>
      </c>
      <c r="AT204" s="134">
        <f>D204/AR204</f>
        <v>0.73348519362186793</v>
      </c>
      <c r="AU204" s="134">
        <f>E204/AR204</f>
        <v>9.1116173120728935E-2</v>
      </c>
      <c r="AV204" s="151">
        <f>IF(AND(F204&lt;&gt;"",Z204&lt;&gt;""),AB204/(F204/2/Z204),"")</f>
        <v>7.1428571428571425E-2</v>
      </c>
      <c r="AW204" s="151">
        <f>IF(AND(F204&lt;&gt;"",AK204&lt;&gt;""),AM204/(F204/2/AK204),"")</f>
        <v>7.857142857142857E-2</v>
      </c>
      <c r="AX204" s="41">
        <f>IF(AND(AQ204&lt;&gt;"",1-(AQ204/O204)&gt;0),1-(AQ204/O204),"")</f>
        <v>0.92244897959183669</v>
      </c>
      <c r="AY204" s="41">
        <f>IF(AND(AF204&lt;&gt;"",1-(AF204/O204)&gt;0),1-(AF204/O204),"")</f>
        <v>0.94285714285714284</v>
      </c>
      <c r="AZ204" s="136" t="str">
        <f>IF(Q204="","",IF(Q204&lt;2.5,"Alc. Bruta &lt; 2,5 mg/L",IF(Q204&lt;5,"2,5 ≤ Alc. Bruta &lt; 5,0 mg/L",IF(Q204&lt;7.5,"5,0 ≤ Alc. Bruta &lt; 7,5 mg/L",IF(Q204&lt;10,"7,5 ≤ Alc. Bruta &lt; 10,0 mg/L",IF(Q204&lt;15,"10,0 ≤ Alca. Bruta &lt; 15,0 mg/L","Alc. Bruta &gt; 15 mg/L"))))))</f>
        <v>5,0 ≤ Alc. Bruta &lt; 7,5 mg/L</v>
      </c>
      <c r="BA204" s="136" t="str">
        <f>IF(P204="","",IF(P204&lt;5,"Cor &lt;5 uC",IF(P204&lt;10,"5 ≤ Cor &lt; 10 uC",IF(P204&lt;15,"10 ≤ Cor &lt;15 uC",IF(P204&lt;30,"15 ≤ Cor &lt; 30 uC",IF(P204&lt;50,"30 ≤ Cor &lt; 50 uC","Cor &gt; 50 uC"))))))</f>
        <v>5 ≤ Cor &lt; 10 uC</v>
      </c>
      <c r="BB204" s="137" t="str">
        <f>IF(O204="","",IF(O204&lt;2.5,"Turbidez &lt; 2,5 uT",IF(O204&lt;5,"2,5 ≤ Turb &lt; 5,0 uT",IF(O204&lt;7.5,"5,0 ≤ Turb &lt; 7,5 uT",IF(O204&lt;10,"7,5 ≤ Turb &lt; 10,0 uT",IF(O204&lt;15,"10,0 ≤ Turb &lt; 15,0 uT","Turb &gt; 15 uT"))))))</f>
        <v>Turbidez &lt; 2,5 uT</v>
      </c>
      <c r="BC204" s="138" t="str">
        <f>IF(AND(C204&gt;D204,D204&gt;E204),"TOR &gt; SM &gt; BNN",IF(AND(C204&gt;E204,E204&gt;D204),"TOR &gt; BNN &gt; SM",IF(AND(D204&gt;C204,C204&gt;E204),"SM &gt; TOR &gt; BNN",IF(AND(D204&gt;E204,E204&gt;C204),"SM &gt; BNN &gt; TOR",IF(AND(C204=D204,D204=E204),"TOR = SM = BNN","Comb. diferentes")))))</f>
        <v>SM &gt; TOR &gt; BNN</v>
      </c>
      <c r="BD204" s="137" t="str">
        <f>IF(OR(AE204="",AQ204="-"),"",IF(AE204&lt;=0.25,"Tipo 1 (≤0,25) uT",IF(AE204&lt;=0.5,"Tipo 2 (0,25-0,50) uT",IF(AE204&lt;=0.75,"Tipo 3 (0,50-0,75) uT","Tipo 4 (&gt;0,75) uT"))))</f>
        <v>Tipo 1 (≤0,25) uT</v>
      </c>
      <c r="BE204" s="137" t="str">
        <f t="shared" si="21"/>
        <v>Tipo 1 (≤0,25) uT</v>
      </c>
      <c r="BF204" s="137" t="str">
        <f>IF(OR(AF204="",AQ204="-"),"",IF(AF204&lt;=0.25,"Tipo 1 (≤0,25) uT",IF(AF204&lt;=0.5,"Tipo 2 (0,25-0,50) uT",IF(AF204&lt;=0.75,"Tipo 3 (0,50-0,75) uT","Tipo 4 (&gt;0,75) uT"))))</f>
        <v>Tipo 1 (≤0,25) uT</v>
      </c>
      <c r="BG204" s="137" t="str">
        <f t="shared" si="22"/>
        <v>Tipo 1 (≤0,25) uT</v>
      </c>
      <c r="BH204" s="137" t="str">
        <f>IF(OR(R204="",R204="-"),"",IF(R204&lt;=0.25,"Tipo 1 (≤0,25) uT",IF(R204&lt;=0.5,"Tipo 2 (0,25-0,50) uT",IF(R204&lt;=0.75,"Tipo 3 (0,50-0,75) uT","Tipo 4 (&gt;0,75) uT"))))</f>
        <v>Tipo 1 (≤0,25) uT</v>
      </c>
    </row>
    <row r="205" spans="1:60" x14ac:dyDescent="0.3">
      <c r="A205" s="74">
        <v>46280</v>
      </c>
      <c r="B205" s="139">
        <v>0.97916666666666663</v>
      </c>
      <c r="C205" s="116">
        <v>560</v>
      </c>
      <c r="D205" s="116">
        <v>1494</v>
      </c>
      <c r="E205" s="116">
        <v>200</v>
      </c>
      <c r="F205" s="116">
        <v>2233</v>
      </c>
      <c r="G205" s="144" t="s">
        <v>100</v>
      </c>
      <c r="H205" s="122">
        <v>9.5</v>
      </c>
      <c r="I205" s="116">
        <v>-32</v>
      </c>
      <c r="J205" s="10">
        <v>90</v>
      </c>
      <c r="K205" s="116">
        <v>90</v>
      </c>
      <c r="L205" s="116">
        <v>90</v>
      </c>
      <c r="M205" s="122">
        <v>24.8</v>
      </c>
      <c r="N205" s="122">
        <v>6.4</v>
      </c>
      <c r="O205" s="79">
        <v>2.2400000000000002</v>
      </c>
      <c r="P205" s="116">
        <v>8</v>
      </c>
      <c r="Q205" s="122">
        <v>6.3</v>
      </c>
      <c r="R205" s="10">
        <v>0.11</v>
      </c>
      <c r="S205" s="79">
        <v>22.36</v>
      </c>
      <c r="T205" s="79">
        <v>0.88</v>
      </c>
      <c r="U205" s="79">
        <v>0.7</v>
      </c>
      <c r="V205" s="85">
        <f t="shared" si="23"/>
        <v>1978.9962499999999</v>
      </c>
      <c r="W205" s="85">
        <f t="shared" si="24"/>
        <v>1522.080976</v>
      </c>
      <c r="X205" s="85">
        <f t="shared" si="25"/>
        <v>0.76911766558425765</v>
      </c>
      <c r="Y205" s="116">
        <v>3</v>
      </c>
      <c r="Z205" s="116">
        <v>4</v>
      </c>
      <c r="AA205" s="122">
        <v>6.2</v>
      </c>
      <c r="AB205" s="116">
        <v>20</v>
      </c>
      <c r="AC205" s="122">
        <v>6.1</v>
      </c>
      <c r="AD205" s="122">
        <v>4.5</v>
      </c>
      <c r="AE205" s="79">
        <v>0.16</v>
      </c>
      <c r="AF205" s="79">
        <v>0.12</v>
      </c>
      <c r="AG205" s="85">
        <f>(O205+0.3*H205+2)*(F205/2/AK205)</f>
        <v>1978.9962499999999</v>
      </c>
      <c r="AH205" s="85">
        <f t="shared" si="26"/>
        <v>1785.9247275999996</v>
      </c>
      <c r="AI205" s="85">
        <f t="shared" si="27"/>
        <v>0.90243967243495271</v>
      </c>
      <c r="AJ205" s="116">
        <v>3</v>
      </c>
      <c r="AK205" s="116">
        <v>4</v>
      </c>
      <c r="AL205" s="122">
        <v>6.3</v>
      </c>
      <c r="AM205" s="116">
        <v>23</v>
      </c>
      <c r="AN205" s="122">
        <v>6</v>
      </c>
      <c r="AO205" s="122">
        <v>4.3</v>
      </c>
      <c r="AP205" s="79">
        <v>0.15</v>
      </c>
      <c r="AQ205" s="79">
        <v>0.19</v>
      </c>
      <c r="AR205" s="132">
        <f>SUM(C205:E205)</f>
        <v>2254</v>
      </c>
      <c r="AS205" s="134">
        <f>C205/AR205</f>
        <v>0.2484472049689441</v>
      </c>
      <c r="AT205" s="134">
        <f>D205/AR205</f>
        <v>0.6628216503992902</v>
      </c>
      <c r="AU205" s="134">
        <f>E205/AR205</f>
        <v>8.8731144631765749E-2</v>
      </c>
      <c r="AV205" s="151">
        <f>IF(AND(F205&lt;&gt;"",Z205&lt;&gt;""),AB205/(F205/2/Z205),"")</f>
        <v>7.1652485445588887E-2</v>
      </c>
      <c r="AW205" s="151">
        <f>IF(AND(F205&lt;&gt;"",AK205&lt;&gt;""),AM205/(F205/2/AK205),"")</f>
        <v>8.2400358262427226E-2</v>
      </c>
      <c r="AX205" s="41">
        <f>IF(AND(AQ205&lt;&gt;"",1-(AQ205/O205)&gt;0),1-(AQ205/O205),"")</f>
        <v>0.9151785714285714</v>
      </c>
      <c r="AY205" s="41">
        <f>IF(AND(AF205&lt;&gt;"",1-(AF205/O205)&gt;0),1-(AF205/O205),"")</f>
        <v>0.9464285714285714</v>
      </c>
      <c r="AZ205" s="136" t="str">
        <f>IF(Q205="","",IF(Q205&lt;2.5,"Alc. Bruta &lt; 2,5 mg/L",IF(Q205&lt;5,"2,5 ≤ Alc. Bruta &lt; 5,0 mg/L",IF(Q205&lt;7.5,"5,0 ≤ Alc. Bruta &lt; 7,5 mg/L",IF(Q205&lt;10,"7,5 ≤ Alc. Bruta &lt; 10,0 mg/L",IF(Q205&lt;15,"10,0 ≤ Alca. Bruta &lt; 15,0 mg/L","Alc. Bruta &gt; 15 mg/L"))))))</f>
        <v>5,0 ≤ Alc. Bruta &lt; 7,5 mg/L</v>
      </c>
      <c r="BA205" s="136" t="str">
        <f>IF(P205="","",IF(P205&lt;5,"Cor &lt;5 uC",IF(P205&lt;10,"5 ≤ Cor &lt; 10 uC",IF(P205&lt;15,"10 ≤ Cor &lt;15 uC",IF(P205&lt;30,"15 ≤ Cor &lt; 30 uC",IF(P205&lt;50,"30 ≤ Cor &lt; 50 uC","Cor &gt; 50 uC"))))))</f>
        <v>5 ≤ Cor &lt; 10 uC</v>
      </c>
      <c r="BB205" s="137" t="str">
        <f>IF(O205="","",IF(O205&lt;2.5,"Turbidez &lt; 2,5 uT",IF(O205&lt;5,"2,5 ≤ Turb &lt; 5,0 uT",IF(O205&lt;7.5,"5,0 ≤ Turb &lt; 7,5 uT",IF(O205&lt;10,"7,5 ≤ Turb &lt; 10,0 uT",IF(O205&lt;15,"10,0 ≤ Turb &lt; 15,0 uT","Turb &gt; 15 uT"))))))</f>
        <v>Turbidez &lt; 2,5 uT</v>
      </c>
      <c r="BC205" s="138" t="str">
        <f>IF(AND(C205&gt;D205,D205&gt;E205),"TOR &gt; SM &gt; BNN",IF(AND(C205&gt;E205,E205&gt;D205),"TOR &gt; BNN &gt; SM",IF(AND(D205&gt;C205,C205&gt;E205),"SM &gt; TOR &gt; BNN",IF(AND(D205&gt;E205,E205&gt;C205),"SM &gt; BNN &gt; TOR",IF(AND(C205=D205,D205=E205),"TOR = SM = BNN","Comb. diferentes")))))</f>
        <v>SM &gt; TOR &gt; BNN</v>
      </c>
      <c r="BD205" s="137" t="str">
        <f>IF(OR(AE205="",AQ205="-"),"",IF(AE205&lt;=0.25,"Tipo 1 (≤0,25) uT",IF(AE205&lt;=0.5,"Tipo 2 (0,25-0,50) uT",IF(AE205&lt;=0.75,"Tipo 3 (0,50-0,75) uT","Tipo 4 (&gt;0,75) uT"))))</f>
        <v>Tipo 1 (≤0,25) uT</v>
      </c>
      <c r="BE205" s="137" t="str">
        <f t="shared" si="21"/>
        <v>Tipo 1 (≤0,25) uT</v>
      </c>
      <c r="BF205" s="137" t="str">
        <f>IF(OR(AF205="",AQ205="-"),"",IF(AF205&lt;=0.25,"Tipo 1 (≤0,25) uT",IF(AF205&lt;=0.5,"Tipo 2 (0,25-0,50) uT",IF(AF205&lt;=0.75,"Tipo 3 (0,50-0,75) uT","Tipo 4 (&gt;0,75) uT"))))</f>
        <v>Tipo 1 (≤0,25) uT</v>
      </c>
      <c r="BG205" s="137" t="str">
        <f t="shared" si="22"/>
        <v>Tipo 1 (≤0,25) uT</v>
      </c>
      <c r="BH205" s="137" t="str">
        <f>IF(OR(R205="",R205="-"),"",IF(R205&lt;=0.25,"Tipo 1 (≤0,25) uT",IF(R205&lt;=0.5,"Tipo 2 (0,25-0,50) uT",IF(R205&lt;=0.75,"Tipo 3 (0,50-0,75) uT","Tipo 4 (&gt;0,75) uT"))))</f>
        <v>Tipo 1 (≤0,25) uT</v>
      </c>
    </row>
    <row r="206" spans="1:60" x14ac:dyDescent="0.3">
      <c r="A206" s="74">
        <v>46281</v>
      </c>
      <c r="B206" s="139">
        <v>0.14583333333333334</v>
      </c>
      <c r="C206" s="116">
        <v>394</v>
      </c>
      <c r="D206" s="116">
        <v>1605</v>
      </c>
      <c r="E206" s="116">
        <v>200</v>
      </c>
      <c r="F206" s="116">
        <v>2301</v>
      </c>
      <c r="G206" s="144" t="s">
        <v>100</v>
      </c>
      <c r="H206" s="122">
        <v>9.5</v>
      </c>
      <c r="I206" s="116">
        <v>7</v>
      </c>
      <c r="J206" s="10">
        <v>90</v>
      </c>
      <c r="K206" s="116">
        <v>90</v>
      </c>
      <c r="L206" s="116">
        <v>90</v>
      </c>
      <c r="M206" s="122">
        <v>24.8</v>
      </c>
      <c r="N206" s="122">
        <v>6.4</v>
      </c>
      <c r="O206" s="79">
        <v>1.37</v>
      </c>
      <c r="P206" s="116">
        <v>9</v>
      </c>
      <c r="Q206" s="122">
        <v>6.3</v>
      </c>
      <c r="R206" s="10">
        <v>0.1</v>
      </c>
      <c r="S206" s="79">
        <v>22.36</v>
      </c>
      <c r="T206" s="79">
        <v>0.88</v>
      </c>
      <c r="U206" s="79">
        <v>0.7</v>
      </c>
      <c r="V206" s="85">
        <f t="shared" si="23"/>
        <v>1789.0275000000001</v>
      </c>
      <c r="W206" s="85">
        <f t="shared" si="24"/>
        <v>1522.080976</v>
      </c>
      <c r="X206" s="85">
        <f t="shared" si="25"/>
        <v>0.85078679673733348</v>
      </c>
      <c r="Y206" s="116">
        <v>3</v>
      </c>
      <c r="Z206" s="116">
        <v>4</v>
      </c>
      <c r="AA206" s="122">
        <v>6.2</v>
      </c>
      <c r="AB206" s="116">
        <v>20</v>
      </c>
      <c r="AC206" s="122">
        <v>6</v>
      </c>
      <c r="AD206" s="122">
        <v>4.4000000000000004</v>
      </c>
      <c r="AE206" s="79">
        <v>0.14000000000000001</v>
      </c>
      <c r="AF206" s="79">
        <v>0.1</v>
      </c>
      <c r="AG206" s="85">
        <f>(O206+0.3*H206+2)*(F206/2/AK206)</f>
        <v>1789.0275000000001</v>
      </c>
      <c r="AH206" s="85">
        <f t="shared" si="26"/>
        <v>1863.5736287999996</v>
      </c>
      <c r="AI206" s="85">
        <f t="shared" si="27"/>
        <v>1.0416685203553324</v>
      </c>
      <c r="AJ206" s="116">
        <v>3</v>
      </c>
      <c r="AK206" s="116">
        <v>4</v>
      </c>
      <c r="AL206" s="122">
        <v>6.3</v>
      </c>
      <c r="AM206" s="116">
        <v>24</v>
      </c>
      <c r="AN206" s="122">
        <v>6</v>
      </c>
      <c r="AO206" s="122">
        <v>4.2</v>
      </c>
      <c r="AP206" s="79">
        <v>0.21</v>
      </c>
      <c r="AQ206" s="79">
        <v>0.2</v>
      </c>
      <c r="AR206" s="132">
        <f>SUM(C206:E206)</f>
        <v>2199</v>
      </c>
      <c r="AS206" s="134">
        <f>C206/AR206</f>
        <v>0.17917235106866758</v>
      </c>
      <c r="AT206" s="134">
        <f>D206/AR206</f>
        <v>0.72987721691678031</v>
      </c>
      <c r="AU206" s="134">
        <f>E206/AR206</f>
        <v>9.0950432014552066E-2</v>
      </c>
      <c r="AV206" s="151">
        <f>IF(AND(F206&lt;&gt;"",Z206&lt;&gt;""),AB206/(F206/2/Z206),"")</f>
        <v>6.9534984789222071E-2</v>
      </c>
      <c r="AW206" s="151">
        <f>IF(AND(F206&lt;&gt;"",AK206&lt;&gt;""),AM206/(F206/2/AK206),"")</f>
        <v>8.344198174706649E-2</v>
      </c>
      <c r="AX206" s="41">
        <f>IF(AND(AQ206&lt;&gt;"",1-(AQ206/O206)&gt;0),1-(AQ206/O206),"")</f>
        <v>0.85401459854014594</v>
      </c>
      <c r="AY206" s="41">
        <f>IF(AND(AF206&lt;&gt;"",1-(AF206/O206)&gt;0),1-(AF206/O206),"")</f>
        <v>0.92700729927007297</v>
      </c>
      <c r="AZ206" s="136" t="str">
        <f>IF(Q206="","",IF(Q206&lt;2.5,"Alc. Bruta &lt; 2,5 mg/L",IF(Q206&lt;5,"2,5 ≤ Alc. Bruta &lt; 5,0 mg/L",IF(Q206&lt;7.5,"5,0 ≤ Alc. Bruta &lt; 7,5 mg/L",IF(Q206&lt;10,"7,5 ≤ Alc. Bruta &lt; 10,0 mg/L",IF(Q206&lt;15,"10,0 ≤ Alca. Bruta &lt; 15,0 mg/L","Alc. Bruta &gt; 15 mg/L"))))))</f>
        <v>5,0 ≤ Alc. Bruta &lt; 7,5 mg/L</v>
      </c>
      <c r="BA206" s="136" t="str">
        <f>IF(P206="","",IF(P206&lt;5,"Cor &lt;5 uC",IF(P206&lt;10,"5 ≤ Cor &lt; 10 uC",IF(P206&lt;15,"10 ≤ Cor &lt;15 uC",IF(P206&lt;30,"15 ≤ Cor &lt; 30 uC",IF(P206&lt;50,"30 ≤ Cor &lt; 50 uC","Cor &gt; 50 uC"))))))</f>
        <v>5 ≤ Cor &lt; 10 uC</v>
      </c>
      <c r="BB206" s="137" t="str">
        <f>IF(O206="","",IF(O206&lt;2.5,"Turbidez &lt; 2,5 uT",IF(O206&lt;5,"2,5 ≤ Turb &lt; 5,0 uT",IF(O206&lt;7.5,"5,0 ≤ Turb &lt; 7,5 uT",IF(O206&lt;10,"7,5 ≤ Turb &lt; 10,0 uT",IF(O206&lt;15,"10,0 ≤ Turb &lt; 15,0 uT","Turb &gt; 15 uT"))))))</f>
        <v>Turbidez &lt; 2,5 uT</v>
      </c>
      <c r="BC206" s="138" t="str">
        <f>IF(AND(C206&gt;D206,D206&gt;E206),"TOR &gt; SM &gt; BNN",IF(AND(C206&gt;E206,E206&gt;D206),"TOR &gt; BNN &gt; SM",IF(AND(D206&gt;C206,C206&gt;E206),"SM &gt; TOR &gt; BNN",IF(AND(D206&gt;E206,E206&gt;C206),"SM &gt; BNN &gt; TOR",IF(AND(C206=D206,D206=E206),"TOR = SM = BNN","Comb. diferentes")))))</f>
        <v>SM &gt; TOR &gt; BNN</v>
      </c>
      <c r="BD206" s="137" t="str">
        <f>IF(OR(AE206="",AQ206="-"),"",IF(AE206&lt;=0.25,"Tipo 1 (≤0,25) uT",IF(AE206&lt;=0.5,"Tipo 2 (0,25-0,50) uT",IF(AE206&lt;=0.75,"Tipo 3 (0,50-0,75) uT","Tipo 4 (&gt;0,75) uT"))))</f>
        <v>Tipo 1 (≤0,25) uT</v>
      </c>
      <c r="BE206" s="137" t="str">
        <f t="shared" si="21"/>
        <v>Tipo 1 (≤0,25) uT</v>
      </c>
      <c r="BF206" s="137" t="str">
        <f>IF(OR(AF206="",AQ206="-"),"",IF(AF206&lt;=0.25,"Tipo 1 (≤0,25) uT",IF(AF206&lt;=0.5,"Tipo 2 (0,25-0,50) uT",IF(AF206&lt;=0.75,"Tipo 3 (0,50-0,75) uT","Tipo 4 (&gt;0,75) uT"))))</f>
        <v>Tipo 1 (≤0,25) uT</v>
      </c>
      <c r="BG206" s="137" t="str">
        <f t="shared" si="22"/>
        <v>Tipo 1 (≤0,25) uT</v>
      </c>
      <c r="BH206" s="137" t="str">
        <f>IF(OR(R206="",R206="-"),"",IF(R206&lt;=0.25,"Tipo 1 (≤0,25) uT",IF(R206&lt;=0.5,"Tipo 2 (0,25-0,50) uT",IF(R206&lt;=0.75,"Tipo 3 (0,50-0,75) uT","Tipo 4 (&gt;0,75) uT"))))</f>
        <v>Tipo 1 (≤0,25) uT</v>
      </c>
    </row>
    <row r="207" spans="1:60" ht="15" thickBot="1" x14ac:dyDescent="0.35">
      <c r="A207" s="75">
        <v>46281</v>
      </c>
      <c r="B207" s="140">
        <v>0.22916666666666666</v>
      </c>
      <c r="C207" s="117">
        <v>392</v>
      </c>
      <c r="D207" s="117">
        <v>1603</v>
      </c>
      <c r="E207" s="117">
        <v>200</v>
      </c>
      <c r="F207" s="117">
        <v>2302</v>
      </c>
      <c r="G207" s="145" t="s">
        <v>100</v>
      </c>
      <c r="H207" s="123">
        <v>9.5</v>
      </c>
      <c r="I207" s="117">
        <v>8</v>
      </c>
      <c r="J207" s="11">
        <v>90</v>
      </c>
      <c r="K207" s="117">
        <v>90</v>
      </c>
      <c r="L207" s="117">
        <v>90</v>
      </c>
      <c r="M207" s="123">
        <v>24.7</v>
      </c>
      <c r="N207" s="123">
        <v>6.4</v>
      </c>
      <c r="O207" s="80">
        <v>1.76</v>
      </c>
      <c r="P207" s="117">
        <v>10</v>
      </c>
      <c r="Q207" s="123">
        <v>6.3</v>
      </c>
      <c r="R207" s="11">
        <v>0.08</v>
      </c>
      <c r="S207" s="79">
        <v>22.36</v>
      </c>
      <c r="T207" s="79">
        <v>0.88</v>
      </c>
      <c r="U207" s="79">
        <v>0.7</v>
      </c>
      <c r="V207" s="85">
        <f t="shared" si="23"/>
        <v>1902.0275000000001</v>
      </c>
      <c r="W207" s="85">
        <f t="shared" si="24"/>
        <v>1522.080976</v>
      </c>
      <c r="X207" s="85">
        <f t="shared" si="25"/>
        <v>0.800241308813884</v>
      </c>
      <c r="Y207" s="117">
        <v>3</v>
      </c>
      <c r="Z207" s="117">
        <v>4</v>
      </c>
      <c r="AA207" s="123">
        <v>6.2</v>
      </c>
      <c r="AB207" s="117">
        <v>20</v>
      </c>
      <c r="AC207" s="123">
        <v>6</v>
      </c>
      <c r="AD207" s="123">
        <v>4.3</v>
      </c>
      <c r="AE207" s="80">
        <v>0.13</v>
      </c>
      <c r="AF207" s="80">
        <v>0.09</v>
      </c>
      <c r="AG207" s="85">
        <f>(O207+0.3*H207+2)*(F207/2/AK207)</f>
        <v>1902.0275000000001</v>
      </c>
      <c r="AH207" s="85">
        <f t="shared" si="26"/>
        <v>1785.9247275999996</v>
      </c>
      <c r="AI207" s="85">
        <f t="shared" si="27"/>
        <v>0.93895841548032266</v>
      </c>
      <c r="AJ207" s="117">
        <v>3</v>
      </c>
      <c r="AK207" s="117">
        <v>4</v>
      </c>
      <c r="AL207" s="123">
        <v>6.3</v>
      </c>
      <c r="AM207" s="117">
        <v>23</v>
      </c>
      <c r="AN207" s="123">
        <v>6</v>
      </c>
      <c r="AO207" s="123">
        <v>4.0999999999999996</v>
      </c>
      <c r="AP207" s="80">
        <v>0.23</v>
      </c>
      <c r="AQ207" s="80">
        <v>0.21</v>
      </c>
      <c r="AR207" s="132">
        <f>SUM(C207:E207)</f>
        <v>2195</v>
      </c>
      <c r="AS207" s="134">
        <f>C207/AR207</f>
        <v>0.17858769931662871</v>
      </c>
      <c r="AT207" s="134">
        <f>D207/AR207</f>
        <v>0.73029612756264239</v>
      </c>
      <c r="AU207" s="134">
        <f>E207/AR207</f>
        <v>9.1116173120728935E-2</v>
      </c>
      <c r="AV207" s="151">
        <f>IF(AND(F207&lt;&gt;"",Z207&lt;&gt;""),AB207/(F207/2/Z207),"")</f>
        <v>6.9504778453518684E-2</v>
      </c>
      <c r="AW207" s="151">
        <f>IF(AND(F207&lt;&gt;"",AK207&lt;&gt;""),AM207/(F207/2/AK207),"")</f>
        <v>7.993049522154648E-2</v>
      </c>
      <c r="AX207" s="41">
        <f>IF(AND(AQ207&lt;&gt;"",1-(AQ207/O207)&gt;0),1-(AQ207/O207),"")</f>
        <v>0.88068181818181823</v>
      </c>
      <c r="AY207" s="41">
        <f>IF(AND(AF207&lt;&gt;"",1-(AF207/O207)&gt;0),1-(AF207/O207),"")</f>
        <v>0.94886363636363635</v>
      </c>
      <c r="AZ207" s="136" t="str">
        <f>IF(Q207="","",IF(Q207&lt;2.5,"Alc. Bruta &lt; 2,5 mg/L",IF(Q207&lt;5,"2,5 ≤ Alc. Bruta &lt; 5,0 mg/L",IF(Q207&lt;7.5,"5,0 ≤ Alc. Bruta &lt; 7,5 mg/L",IF(Q207&lt;10,"7,5 ≤ Alc. Bruta &lt; 10,0 mg/L",IF(Q207&lt;15,"10,0 ≤ Alca. Bruta &lt; 15,0 mg/L","Alc. Bruta &gt; 15 mg/L"))))))</f>
        <v>5,0 ≤ Alc. Bruta &lt; 7,5 mg/L</v>
      </c>
      <c r="BA207" s="136" t="str">
        <f>IF(P207="","",IF(P207&lt;5,"Cor &lt;5 uC",IF(P207&lt;10,"5 ≤ Cor &lt; 10 uC",IF(P207&lt;15,"10 ≤ Cor &lt;15 uC",IF(P207&lt;30,"15 ≤ Cor &lt; 30 uC",IF(P207&lt;50,"30 ≤ Cor &lt; 50 uC","Cor &gt; 50 uC"))))))</f>
        <v>10 ≤ Cor &lt;15 uC</v>
      </c>
      <c r="BB207" s="137" t="str">
        <f>IF(O207="","",IF(O207&lt;2.5,"Turbidez &lt; 2,5 uT",IF(O207&lt;5,"2,5 ≤ Turb &lt; 5,0 uT",IF(O207&lt;7.5,"5,0 ≤ Turb &lt; 7,5 uT",IF(O207&lt;10,"7,5 ≤ Turb &lt; 10,0 uT",IF(O207&lt;15,"10,0 ≤ Turb &lt; 15,0 uT","Turb &gt; 15 uT"))))))</f>
        <v>Turbidez &lt; 2,5 uT</v>
      </c>
      <c r="BC207" s="138" t="str">
        <f>IF(AND(C207&gt;D207,D207&gt;E207),"TOR &gt; SM &gt; BNN",IF(AND(C207&gt;E207,E207&gt;D207),"TOR &gt; BNN &gt; SM",IF(AND(D207&gt;C207,C207&gt;E207),"SM &gt; TOR &gt; BNN",IF(AND(D207&gt;E207,E207&gt;C207),"SM &gt; BNN &gt; TOR",IF(AND(C207=D207,D207=E207),"TOR = SM = BNN","Comb. diferentes")))))</f>
        <v>SM &gt; TOR &gt; BNN</v>
      </c>
      <c r="BD207" s="137" t="str">
        <f>IF(OR(AE207="",AQ207="-"),"",IF(AE207&lt;=0.25,"Tipo 1 (≤0,25) uT",IF(AE207&lt;=0.5,"Tipo 2 (0,25-0,50) uT",IF(AE207&lt;=0.75,"Tipo 3 (0,50-0,75) uT","Tipo 4 (&gt;0,75) uT"))))</f>
        <v>Tipo 1 (≤0,25) uT</v>
      </c>
      <c r="BE207" s="137" t="str">
        <f t="shared" si="21"/>
        <v>Tipo 1 (≤0,25) uT</v>
      </c>
      <c r="BF207" s="137" t="str">
        <f>IF(OR(AF207="",AQ207="-"),"",IF(AF207&lt;=0.25,"Tipo 1 (≤0,25) uT",IF(AF207&lt;=0.5,"Tipo 2 (0,25-0,50) uT",IF(AF207&lt;=0.75,"Tipo 3 (0,50-0,75) uT","Tipo 4 (&gt;0,75) uT"))))</f>
        <v>Tipo 1 (≤0,25) uT</v>
      </c>
      <c r="BG207" s="137" t="str">
        <f t="shared" si="22"/>
        <v>Tipo 1 (≤0,25) uT</v>
      </c>
      <c r="BH207" s="137" t="str">
        <f>IF(OR(R207="",R207="-"),"",IF(R207&lt;=0.25,"Tipo 1 (≤0,25) uT",IF(R207&lt;=0.5,"Tipo 2 (0,25-0,50) uT",IF(R207&lt;=0.75,"Tipo 3 (0,50-0,75) uT","Tipo 4 (&gt;0,75) uT"))))</f>
        <v>Tipo 1 (≤0,25) uT</v>
      </c>
    </row>
    <row r="208" spans="1:60" x14ac:dyDescent="0.3">
      <c r="A208" s="73">
        <v>46281</v>
      </c>
      <c r="B208" s="141">
        <v>0.3125</v>
      </c>
      <c r="C208" s="118">
        <v>397</v>
      </c>
      <c r="D208" s="118">
        <v>1671</v>
      </c>
      <c r="E208" s="118">
        <v>0</v>
      </c>
      <c r="F208" s="118">
        <v>2145</v>
      </c>
      <c r="G208" s="146" t="s">
        <v>100</v>
      </c>
      <c r="H208" s="124">
        <v>9.5</v>
      </c>
      <c r="I208" s="118">
        <v>1.06</v>
      </c>
      <c r="J208" s="9">
        <v>90</v>
      </c>
      <c r="K208" s="118">
        <v>90</v>
      </c>
      <c r="L208" s="118">
        <v>90</v>
      </c>
      <c r="M208" s="124">
        <v>24.3</v>
      </c>
      <c r="N208" s="124">
        <v>6.3</v>
      </c>
      <c r="O208" s="81">
        <v>1.53</v>
      </c>
      <c r="P208" s="118">
        <v>9</v>
      </c>
      <c r="Q208" s="124">
        <v>6.4</v>
      </c>
      <c r="R208" s="9">
        <v>0.09</v>
      </c>
      <c r="S208" s="79">
        <v>22.36</v>
      </c>
      <c r="T208" s="79">
        <v>0.88</v>
      </c>
      <c r="U208" s="79">
        <v>0.7</v>
      </c>
      <c r="V208" s="85">
        <f t="shared" si="23"/>
        <v>1710.6375</v>
      </c>
      <c r="W208" s="85">
        <f t="shared" si="24"/>
        <v>1550.8312851199998</v>
      </c>
      <c r="X208" s="85">
        <f t="shared" si="25"/>
        <v>0.90658090046546969</v>
      </c>
      <c r="Y208" s="118">
        <v>3</v>
      </c>
      <c r="Z208" s="118">
        <v>4</v>
      </c>
      <c r="AA208" s="124">
        <v>6.1</v>
      </c>
      <c r="AB208" s="118">
        <v>20.8</v>
      </c>
      <c r="AC208" s="124">
        <v>6.1</v>
      </c>
      <c r="AD208" s="124">
        <v>4.2</v>
      </c>
      <c r="AE208" s="81">
        <v>0.14000000000000001</v>
      </c>
      <c r="AF208" s="81">
        <v>0.1</v>
      </c>
      <c r="AG208" s="85">
        <f>(O208+0.3*H208+2)*(F208/2/AK208)</f>
        <v>1710.6375</v>
      </c>
      <c r="AH208" s="85">
        <f t="shared" si="26"/>
        <v>1770.3949473599996</v>
      </c>
      <c r="AI208" s="85">
        <f t="shared" si="27"/>
        <v>1.0349328524365913</v>
      </c>
      <c r="AJ208" s="118">
        <v>3</v>
      </c>
      <c r="AK208" s="118">
        <v>4</v>
      </c>
      <c r="AL208" s="124">
        <v>6.3</v>
      </c>
      <c r="AM208" s="118">
        <v>22.8</v>
      </c>
      <c r="AN208" s="124">
        <v>6</v>
      </c>
      <c r="AO208" s="124">
        <v>4.5</v>
      </c>
      <c r="AP208" s="81">
        <v>0.21</v>
      </c>
      <c r="AQ208" s="81">
        <v>0.2</v>
      </c>
      <c r="AR208" s="132">
        <f>SUM(C208:E208)</f>
        <v>2068</v>
      </c>
      <c r="AS208" s="134">
        <f>C208/AR208</f>
        <v>0.19197292069632496</v>
      </c>
      <c r="AT208" s="134">
        <f>D208/AR208</f>
        <v>0.80802707930367501</v>
      </c>
      <c r="AU208" s="134">
        <f>E208/AR208</f>
        <v>0</v>
      </c>
      <c r="AV208" s="151">
        <f>IF(AND(F208&lt;&gt;"",Z208&lt;&gt;""),AB208/(F208/2/Z208),"")</f>
        <v>7.7575757575757576E-2</v>
      </c>
      <c r="AW208" s="151">
        <f>IF(AND(F208&lt;&gt;"",AK208&lt;&gt;""),AM208/(F208/2/AK208),"")</f>
        <v>8.5034965034965035E-2</v>
      </c>
      <c r="AX208" s="41">
        <f>IF(AND(AQ208&lt;&gt;"",1-(AQ208/O208)&gt;0),1-(AQ208/O208),"")</f>
        <v>0.86928104575163401</v>
      </c>
      <c r="AY208" s="41">
        <f>IF(AND(AF208&lt;&gt;"",1-(AF208/O208)&gt;0),1-(AF208/O208),"")</f>
        <v>0.934640522875817</v>
      </c>
      <c r="AZ208" s="136" t="str">
        <f>IF(Q208="","",IF(Q208&lt;2.5,"Alc. Bruta &lt; 2,5 mg/L",IF(Q208&lt;5,"2,5 ≤ Alc. Bruta &lt; 5,0 mg/L",IF(Q208&lt;7.5,"5,0 ≤ Alc. Bruta &lt; 7,5 mg/L",IF(Q208&lt;10,"7,5 ≤ Alc. Bruta &lt; 10,0 mg/L",IF(Q208&lt;15,"10,0 ≤ Alca. Bruta &lt; 15,0 mg/L","Alc. Bruta &gt; 15 mg/L"))))))</f>
        <v>5,0 ≤ Alc. Bruta &lt; 7,5 mg/L</v>
      </c>
      <c r="BA208" s="136" t="str">
        <f>IF(P208="","",IF(P208&lt;5,"Cor &lt;5 uC",IF(P208&lt;10,"5 ≤ Cor &lt; 10 uC",IF(P208&lt;15,"10 ≤ Cor &lt;15 uC",IF(P208&lt;30,"15 ≤ Cor &lt; 30 uC",IF(P208&lt;50,"30 ≤ Cor &lt; 50 uC","Cor &gt; 50 uC"))))))</f>
        <v>5 ≤ Cor &lt; 10 uC</v>
      </c>
      <c r="BB208" s="137" t="str">
        <f>IF(O208="","",IF(O208&lt;2.5,"Turbidez &lt; 2,5 uT",IF(O208&lt;5,"2,5 ≤ Turb &lt; 5,0 uT",IF(O208&lt;7.5,"5,0 ≤ Turb &lt; 7,5 uT",IF(O208&lt;10,"7,5 ≤ Turb &lt; 10,0 uT",IF(O208&lt;15,"10,0 ≤ Turb &lt; 15,0 uT","Turb &gt; 15 uT"))))))</f>
        <v>Turbidez &lt; 2,5 uT</v>
      </c>
      <c r="BC208" s="138" t="str">
        <f>IF(AND(C208&gt;D208,D208&gt;E208),"TOR &gt; SM &gt; BNN",IF(AND(C208&gt;E208,E208&gt;D208),"TOR &gt; BNN &gt; SM",IF(AND(D208&gt;C208,C208&gt;E208),"SM &gt; TOR &gt; BNN",IF(AND(D208&gt;E208,E208&gt;C208),"SM &gt; BNN &gt; TOR",IF(AND(C208=D208,D208=E208),"TOR = SM = BNN","Comb. diferentes")))))</f>
        <v>SM &gt; TOR &gt; BNN</v>
      </c>
      <c r="BD208" s="137" t="str">
        <f>IF(OR(AE208="",AQ208="-"),"",IF(AE208&lt;=0.25,"Tipo 1 (≤0,25) uT",IF(AE208&lt;=0.5,"Tipo 2 (0,25-0,50) uT",IF(AE208&lt;=0.75,"Tipo 3 (0,50-0,75) uT","Tipo 4 (&gt;0,75) uT"))))</f>
        <v>Tipo 1 (≤0,25) uT</v>
      </c>
      <c r="BE208" s="137" t="str">
        <f t="shared" si="21"/>
        <v>Tipo 1 (≤0,25) uT</v>
      </c>
      <c r="BF208" s="137" t="str">
        <f>IF(OR(AF208="",AQ208="-"),"",IF(AF208&lt;=0.25,"Tipo 1 (≤0,25) uT",IF(AF208&lt;=0.5,"Tipo 2 (0,25-0,50) uT",IF(AF208&lt;=0.75,"Tipo 3 (0,50-0,75) uT","Tipo 4 (&gt;0,75) uT"))))</f>
        <v>Tipo 1 (≤0,25) uT</v>
      </c>
      <c r="BG208" s="137" t="str">
        <f t="shared" si="22"/>
        <v>Tipo 1 (≤0,25) uT</v>
      </c>
      <c r="BH208" s="137" t="str">
        <f>IF(OR(R208="",R208="-"),"",IF(R208&lt;=0.25,"Tipo 1 (≤0,25) uT",IF(R208&lt;=0.5,"Tipo 2 (0,25-0,50) uT",IF(R208&lt;=0.75,"Tipo 3 (0,50-0,75) uT","Tipo 4 (&gt;0,75) uT"))))</f>
        <v>Tipo 1 (≤0,25) uT</v>
      </c>
    </row>
    <row r="209" spans="1:60" x14ac:dyDescent="0.3">
      <c r="A209" s="74">
        <v>46281</v>
      </c>
      <c r="B209" s="139">
        <v>0.47916666666666669</v>
      </c>
      <c r="C209" s="116">
        <v>406</v>
      </c>
      <c r="D209" s="116">
        <v>1653</v>
      </c>
      <c r="E209" s="116">
        <v>0</v>
      </c>
      <c r="F209" s="116">
        <v>2029</v>
      </c>
      <c r="G209" s="144" t="s">
        <v>100</v>
      </c>
      <c r="H209" s="122">
        <v>9.5</v>
      </c>
      <c r="I209" s="116">
        <v>43.35</v>
      </c>
      <c r="J209" s="10">
        <v>90</v>
      </c>
      <c r="K209" s="116">
        <v>90</v>
      </c>
      <c r="L209" s="116">
        <v>90</v>
      </c>
      <c r="M209" s="122">
        <v>23.8</v>
      </c>
      <c r="N209" s="122">
        <v>6.3</v>
      </c>
      <c r="O209" s="79">
        <v>1.39</v>
      </c>
      <c r="P209" s="116">
        <v>8</v>
      </c>
      <c r="Q209" s="122">
        <v>6.3</v>
      </c>
      <c r="R209" s="10">
        <v>0.1</v>
      </c>
      <c r="S209" s="79">
        <v>22.36</v>
      </c>
      <c r="T209" s="79">
        <v>0.88</v>
      </c>
      <c r="U209" s="79">
        <v>0.7</v>
      </c>
      <c r="V209" s="85">
        <f t="shared" si="23"/>
        <v>1582.6200000000001</v>
      </c>
      <c r="W209" s="85">
        <f t="shared" si="24"/>
        <v>1535.91944584</v>
      </c>
      <c r="X209" s="85">
        <f t="shared" si="25"/>
        <v>0.97049161885986523</v>
      </c>
      <c r="Y209" s="116">
        <v>3</v>
      </c>
      <c r="Z209" s="116">
        <v>4</v>
      </c>
      <c r="AA209" s="122">
        <v>6.1</v>
      </c>
      <c r="AB209" s="116">
        <v>20.6</v>
      </c>
      <c r="AC209" s="122">
        <v>6.1</v>
      </c>
      <c r="AD209" s="122">
        <v>4.4000000000000004</v>
      </c>
      <c r="AE209" s="79">
        <v>0.13</v>
      </c>
      <c r="AF209" s="79">
        <v>0.11</v>
      </c>
      <c r="AG209" s="85">
        <f>(O209+0.3*H209+2)*(F209/2/AK209)</f>
        <v>1582.6200000000001</v>
      </c>
      <c r="AH209" s="85">
        <f t="shared" si="26"/>
        <v>1762.6300572399996</v>
      </c>
      <c r="AI209" s="85">
        <f t="shared" si="27"/>
        <v>1.1137418061442415</v>
      </c>
      <c r="AJ209" s="116">
        <v>3</v>
      </c>
      <c r="AK209" s="116">
        <v>4</v>
      </c>
      <c r="AL209" s="122">
        <v>6.3</v>
      </c>
      <c r="AM209" s="116">
        <v>22.7</v>
      </c>
      <c r="AN209" s="122">
        <v>6</v>
      </c>
      <c r="AO209" s="122">
        <v>4.5999999999999996</v>
      </c>
      <c r="AP209" s="79">
        <v>0.22</v>
      </c>
      <c r="AQ209" s="79">
        <v>0.19</v>
      </c>
      <c r="AR209" s="132">
        <f>SUM(C209:E209)</f>
        <v>2059</v>
      </c>
      <c r="AS209" s="134">
        <f>C209/AR209</f>
        <v>0.19718309859154928</v>
      </c>
      <c r="AT209" s="134">
        <f>D209/AR209</f>
        <v>0.80281690140845074</v>
      </c>
      <c r="AU209" s="134">
        <f>E209/AR209</f>
        <v>0</v>
      </c>
      <c r="AV209" s="151">
        <f>IF(AND(F209&lt;&gt;"",Z209&lt;&gt;""),AB209/(F209/2/Z209),"")</f>
        <v>8.1222276983735839E-2</v>
      </c>
      <c r="AW209" s="151">
        <f>IF(AND(F209&lt;&gt;"",AK209&lt;&gt;""),AM209/(F209/2/AK209),"")</f>
        <v>8.9502217841301135E-2</v>
      </c>
      <c r="AX209" s="41">
        <f>IF(AND(AQ209&lt;&gt;"",1-(AQ209/O209)&gt;0),1-(AQ209/O209),"")</f>
        <v>0.86330935251798557</v>
      </c>
      <c r="AY209" s="41">
        <f>IF(AND(AF209&lt;&gt;"",1-(AF209/O209)&gt;0),1-(AF209/O209),"")</f>
        <v>0.92086330935251803</v>
      </c>
      <c r="AZ209" s="136" t="str">
        <f>IF(Q209="","",IF(Q209&lt;2.5,"Alc. Bruta &lt; 2,5 mg/L",IF(Q209&lt;5,"2,5 ≤ Alc. Bruta &lt; 5,0 mg/L",IF(Q209&lt;7.5,"5,0 ≤ Alc. Bruta &lt; 7,5 mg/L",IF(Q209&lt;10,"7,5 ≤ Alc. Bruta &lt; 10,0 mg/L",IF(Q209&lt;15,"10,0 ≤ Alca. Bruta &lt; 15,0 mg/L","Alc. Bruta &gt; 15 mg/L"))))))</f>
        <v>5,0 ≤ Alc. Bruta &lt; 7,5 mg/L</v>
      </c>
      <c r="BA209" s="136" t="str">
        <f>IF(P209="","",IF(P209&lt;5,"Cor &lt;5 uC",IF(P209&lt;10,"5 ≤ Cor &lt; 10 uC",IF(P209&lt;15,"10 ≤ Cor &lt;15 uC",IF(P209&lt;30,"15 ≤ Cor &lt; 30 uC",IF(P209&lt;50,"30 ≤ Cor &lt; 50 uC","Cor &gt; 50 uC"))))))</f>
        <v>5 ≤ Cor &lt; 10 uC</v>
      </c>
      <c r="BB209" s="137" t="str">
        <f>IF(O209="","",IF(O209&lt;2.5,"Turbidez &lt; 2,5 uT",IF(O209&lt;5,"2,5 ≤ Turb &lt; 5,0 uT",IF(O209&lt;7.5,"5,0 ≤ Turb &lt; 7,5 uT",IF(O209&lt;10,"7,5 ≤ Turb &lt; 10,0 uT",IF(O209&lt;15,"10,0 ≤ Turb &lt; 15,0 uT","Turb &gt; 15 uT"))))))</f>
        <v>Turbidez &lt; 2,5 uT</v>
      </c>
      <c r="BC209" s="138" t="str">
        <f>IF(AND(C209&gt;D209,D209&gt;E209),"TOR &gt; SM &gt; BNN",IF(AND(C209&gt;E209,E209&gt;D209),"TOR &gt; BNN &gt; SM",IF(AND(D209&gt;C209,C209&gt;E209),"SM &gt; TOR &gt; BNN",IF(AND(D209&gt;E209,E209&gt;C209),"SM &gt; BNN &gt; TOR",IF(AND(C209=D209,D209=E209),"TOR = SM = BNN","Comb. diferentes")))))</f>
        <v>SM &gt; TOR &gt; BNN</v>
      </c>
      <c r="BD209" s="137" t="str">
        <f>IF(OR(AE209="",AQ209="-"),"",IF(AE209&lt;=0.25,"Tipo 1 (≤0,25) uT",IF(AE209&lt;=0.5,"Tipo 2 (0,25-0,50) uT",IF(AE209&lt;=0.75,"Tipo 3 (0,50-0,75) uT","Tipo 4 (&gt;0,75) uT"))))</f>
        <v>Tipo 1 (≤0,25) uT</v>
      </c>
      <c r="BE209" s="137" t="str">
        <f t="shared" si="21"/>
        <v>Tipo 1 (≤0,25) uT</v>
      </c>
      <c r="BF209" s="137" t="str">
        <f>IF(OR(AF209="",AQ209="-"),"",IF(AF209&lt;=0.25,"Tipo 1 (≤0,25) uT",IF(AF209&lt;=0.5,"Tipo 2 (0,25-0,50) uT",IF(AF209&lt;=0.75,"Tipo 3 (0,50-0,75) uT","Tipo 4 (&gt;0,75) uT"))))</f>
        <v>Tipo 1 (≤0,25) uT</v>
      </c>
      <c r="BG209" s="137" t="str">
        <f t="shared" si="22"/>
        <v>Tipo 1 (≤0,25) uT</v>
      </c>
      <c r="BH209" s="137" t="str">
        <f>IF(OR(R209="",R209="-"),"",IF(R209&lt;=0.25,"Tipo 1 (≤0,25) uT",IF(R209&lt;=0.5,"Tipo 2 (0,25-0,50) uT",IF(R209&lt;=0.75,"Tipo 3 (0,50-0,75) uT","Tipo 4 (&gt;0,75) uT"))))</f>
        <v>Tipo 1 (≤0,25) uT</v>
      </c>
    </row>
    <row r="210" spans="1:60" x14ac:dyDescent="0.3">
      <c r="A210" s="74">
        <v>46281</v>
      </c>
      <c r="B210" s="139">
        <v>0.64583333333333337</v>
      </c>
      <c r="C210" s="116">
        <v>380</v>
      </c>
      <c r="D210" s="116">
        <v>1665</v>
      </c>
      <c r="E210" s="116">
        <v>224</v>
      </c>
      <c r="F210" s="116">
        <v>2170</v>
      </c>
      <c r="G210" s="144" t="s">
        <v>100</v>
      </c>
      <c r="H210" s="122">
        <v>9.5</v>
      </c>
      <c r="I210" s="116">
        <v>-1.06</v>
      </c>
      <c r="J210" s="10">
        <v>90</v>
      </c>
      <c r="K210" s="116">
        <v>90</v>
      </c>
      <c r="L210" s="116">
        <v>90</v>
      </c>
      <c r="M210" s="122">
        <v>25.7</v>
      </c>
      <c r="N210" s="122">
        <v>6.3</v>
      </c>
      <c r="O210" s="79">
        <v>1.37</v>
      </c>
      <c r="P210" s="116">
        <v>10</v>
      </c>
      <c r="Q210" s="122">
        <v>6.3</v>
      </c>
      <c r="R210" s="10">
        <v>0.11</v>
      </c>
      <c r="S210" s="79">
        <v>22.36</v>
      </c>
      <c r="T210" s="79">
        <v>0.88</v>
      </c>
      <c r="U210" s="79">
        <v>0.7</v>
      </c>
      <c r="V210" s="85">
        <f t="shared" si="23"/>
        <v>1687.1750000000002</v>
      </c>
      <c r="W210" s="85">
        <f t="shared" si="24"/>
        <v>1543.3753654799998</v>
      </c>
      <c r="X210" s="85">
        <f t="shared" si="25"/>
        <v>0.91476898690414432</v>
      </c>
      <c r="Y210" s="116">
        <v>3</v>
      </c>
      <c r="Z210" s="116">
        <v>4</v>
      </c>
      <c r="AA210" s="122">
        <v>6.1</v>
      </c>
      <c r="AB210" s="116">
        <v>20.7</v>
      </c>
      <c r="AC210" s="122">
        <v>6.1</v>
      </c>
      <c r="AD210" s="122">
        <v>4.5999999999999996</v>
      </c>
      <c r="AE210" s="79">
        <v>0.11</v>
      </c>
      <c r="AF210" s="79">
        <v>0.09</v>
      </c>
      <c r="AG210" s="85">
        <f>(O210+0.3*H210+2)*(F210/2/AK210)</f>
        <v>1687.1750000000002</v>
      </c>
      <c r="AH210" s="85">
        <f t="shared" si="26"/>
        <v>1770.3949473599996</v>
      </c>
      <c r="AI210" s="85">
        <f t="shared" si="27"/>
        <v>1.0493250239957321</v>
      </c>
      <c r="AJ210" s="116">
        <v>3</v>
      </c>
      <c r="AK210" s="116">
        <v>4</v>
      </c>
      <c r="AL210" s="122">
        <v>6.3</v>
      </c>
      <c r="AM210" s="116">
        <v>22.8</v>
      </c>
      <c r="AN210" s="122">
        <v>6.1</v>
      </c>
      <c r="AO210" s="122">
        <v>4.9000000000000004</v>
      </c>
      <c r="AP210" s="79">
        <v>0.21</v>
      </c>
      <c r="AQ210" s="79">
        <v>0.2</v>
      </c>
      <c r="AR210" s="132">
        <f>SUM(C210:E210)</f>
        <v>2269</v>
      </c>
      <c r="AS210" s="134">
        <f>C210/AR210</f>
        <v>0.16747465843984133</v>
      </c>
      <c r="AT210" s="134">
        <f>D210/AR210</f>
        <v>0.73380343763772582</v>
      </c>
      <c r="AU210" s="134">
        <f>E210/AR210</f>
        <v>9.8721903922432797E-2</v>
      </c>
      <c r="AV210" s="151">
        <f>IF(AND(F210&lt;&gt;"",Z210&lt;&gt;""),AB210/(F210/2/Z210),"")</f>
        <v>7.6313364055299537E-2</v>
      </c>
      <c r="AW210" s="151">
        <f>IF(AND(F210&lt;&gt;"",AK210&lt;&gt;""),AM210/(F210/2/AK210),"")</f>
        <v>8.4055299539170514E-2</v>
      </c>
      <c r="AX210" s="41">
        <f>IF(AND(AQ210&lt;&gt;"",1-(AQ210/O210)&gt;0),1-(AQ210/O210),"")</f>
        <v>0.85401459854014594</v>
      </c>
      <c r="AY210" s="41">
        <f>IF(AND(AF210&lt;&gt;"",1-(AF210/O210)&gt;0),1-(AF210/O210),"")</f>
        <v>0.93430656934306566</v>
      </c>
      <c r="AZ210" s="136" t="str">
        <f>IF(Q210="","",IF(Q210&lt;2.5,"Alc. Bruta &lt; 2,5 mg/L",IF(Q210&lt;5,"2,5 ≤ Alc. Bruta &lt; 5,0 mg/L",IF(Q210&lt;7.5,"5,0 ≤ Alc. Bruta &lt; 7,5 mg/L",IF(Q210&lt;10,"7,5 ≤ Alc. Bruta &lt; 10,0 mg/L",IF(Q210&lt;15,"10,0 ≤ Alca. Bruta &lt; 15,0 mg/L","Alc. Bruta &gt; 15 mg/L"))))))</f>
        <v>5,0 ≤ Alc. Bruta &lt; 7,5 mg/L</v>
      </c>
      <c r="BA210" s="136" t="str">
        <f>IF(P210="","",IF(P210&lt;5,"Cor &lt;5 uC",IF(P210&lt;10,"5 ≤ Cor &lt; 10 uC",IF(P210&lt;15,"10 ≤ Cor &lt;15 uC",IF(P210&lt;30,"15 ≤ Cor &lt; 30 uC",IF(P210&lt;50,"30 ≤ Cor &lt; 50 uC","Cor &gt; 50 uC"))))))</f>
        <v>10 ≤ Cor &lt;15 uC</v>
      </c>
      <c r="BB210" s="137" t="str">
        <f>IF(O210="","",IF(O210&lt;2.5,"Turbidez &lt; 2,5 uT",IF(O210&lt;5,"2,5 ≤ Turb &lt; 5,0 uT",IF(O210&lt;7.5,"5,0 ≤ Turb &lt; 7,5 uT",IF(O210&lt;10,"7,5 ≤ Turb &lt; 10,0 uT",IF(O210&lt;15,"10,0 ≤ Turb &lt; 15,0 uT","Turb &gt; 15 uT"))))))</f>
        <v>Turbidez &lt; 2,5 uT</v>
      </c>
      <c r="BC210" s="138" t="str">
        <f>IF(AND(C210&gt;D210,D210&gt;E210),"TOR &gt; SM &gt; BNN",IF(AND(C210&gt;E210,E210&gt;D210),"TOR &gt; BNN &gt; SM",IF(AND(D210&gt;C210,C210&gt;E210),"SM &gt; TOR &gt; BNN",IF(AND(D210&gt;E210,E210&gt;C210),"SM &gt; BNN &gt; TOR",IF(AND(C210=D210,D210=E210),"TOR = SM = BNN","Comb. diferentes")))))</f>
        <v>SM &gt; TOR &gt; BNN</v>
      </c>
      <c r="BD210" s="137" t="str">
        <f>IF(OR(AE210="",AQ210="-"),"",IF(AE210&lt;=0.25,"Tipo 1 (≤0,25) uT",IF(AE210&lt;=0.5,"Tipo 2 (0,25-0,50) uT",IF(AE210&lt;=0.75,"Tipo 3 (0,50-0,75) uT","Tipo 4 (&gt;0,75) uT"))))</f>
        <v>Tipo 1 (≤0,25) uT</v>
      </c>
      <c r="BE210" s="137" t="str">
        <f t="shared" si="21"/>
        <v>Tipo 1 (≤0,25) uT</v>
      </c>
      <c r="BF210" s="137" t="str">
        <f>IF(OR(AF210="",AQ210="-"),"",IF(AF210&lt;=0.25,"Tipo 1 (≤0,25) uT",IF(AF210&lt;=0.5,"Tipo 2 (0,25-0,50) uT",IF(AF210&lt;=0.75,"Tipo 3 (0,50-0,75) uT","Tipo 4 (&gt;0,75) uT"))))</f>
        <v>Tipo 1 (≤0,25) uT</v>
      </c>
      <c r="BG210" s="137" t="str">
        <f t="shared" si="22"/>
        <v>Tipo 1 (≤0,25) uT</v>
      </c>
      <c r="BH210" s="137" t="str">
        <f>IF(OR(R210="",R210="-"),"",IF(R210&lt;=0.25,"Tipo 1 (≤0,25) uT",IF(R210&lt;=0.5,"Tipo 2 (0,25-0,50) uT",IF(R210&lt;=0.75,"Tipo 3 (0,50-0,75) uT","Tipo 4 (&gt;0,75) uT"))))</f>
        <v>Tipo 1 (≤0,25) uT</v>
      </c>
    </row>
    <row r="211" spans="1:60" x14ac:dyDescent="0.3">
      <c r="A211" s="74">
        <v>46281</v>
      </c>
      <c r="B211" s="139">
        <v>0.72916666666666663</v>
      </c>
      <c r="C211" s="116">
        <v>385</v>
      </c>
      <c r="D211" s="116">
        <v>1671</v>
      </c>
      <c r="E211" s="116">
        <v>225</v>
      </c>
      <c r="F211" s="116">
        <v>2215</v>
      </c>
      <c r="G211" s="144" t="s">
        <v>100</v>
      </c>
      <c r="H211" s="122">
        <v>9.5</v>
      </c>
      <c r="I211" s="116">
        <v>3.06</v>
      </c>
      <c r="J211" s="10">
        <v>90</v>
      </c>
      <c r="K211" s="116">
        <v>90</v>
      </c>
      <c r="L211" s="116">
        <v>90</v>
      </c>
      <c r="M211" s="122">
        <v>25.8</v>
      </c>
      <c r="N211" s="122">
        <v>6.3</v>
      </c>
      <c r="O211" s="79">
        <v>1.4</v>
      </c>
      <c r="P211" s="116">
        <v>9</v>
      </c>
      <c r="Q211" s="122">
        <v>6.3</v>
      </c>
      <c r="R211" s="10">
        <v>0.12</v>
      </c>
      <c r="S211" s="79">
        <v>22.36</v>
      </c>
      <c r="T211" s="79">
        <v>0.88</v>
      </c>
      <c r="U211" s="79">
        <v>0.7</v>
      </c>
      <c r="V211" s="85">
        <f t="shared" si="23"/>
        <v>1730.46875</v>
      </c>
      <c r="W211" s="85">
        <f t="shared" si="24"/>
        <v>1535.91944584</v>
      </c>
      <c r="X211" s="85">
        <f t="shared" si="25"/>
        <v>0.88757421700911965</v>
      </c>
      <c r="Y211" s="116">
        <v>3</v>
      </c>
      <c r="Z211" s="116">
        <v>4</v>
      </c>
      <c r="AA211" s="122">
        <v>6.1</v>
      </c>
      <c r="AB211" s="116">
        <v>20.6</v>
      </c>
      <c r="AC211" s="122">
        <v>6</v>
      </c>
      <c r="AD211" s="122">
        <v>4.5</v>
      </c>
      <c r="AE211" s="79">
        <v>0.12</v>
      </c>
      <c r="AF211" s="79">
        <v>0.11</v>
      </c>
      <c r="AG211" s="85">
        <f>(O211+0.3*H211+2)*(F211/2/AK211)</f>
        <v>1730.46875</v>
      </c>
      <c r="AH211" s="85">
        <f t="shared" si="26"/>
        <v>1762.6300572399996</v>
      </c>
      <c r="AI211" s="85">
        <f t="shared" si="27"/>
        <v>1.0185853152447852</v>
      </c>
      <c r="AJ211" s="116">
        <v>3</v>
      </c>
      <c r="AK211" s="116">
        <v>4</v>
      </c>
      <c r="AL211" s="122">
        <v>6.3</v>
      </c>
      <c r="AM211" s="116">
        <v>22.7</v>
      </c>
      <c r="AN211" s="122">
        <v>6.1</v>
      </c>
      <c r="AO211" s="122">
        <v>4.8</v>
      </c>
      <c r="AP211" s="79">
        <v>0.18</v>
      </c>
      <c r="AQ211" s="79">
        <v>0.21</v>
      </c>
      <c r="AR211" s="132">
        <f>SUM(C211:E211)</f>
        <v>2281</v>
      </c>
      <c r="AS211" s="134">
        <f>C211/AR211</f>
        <v>0.16878562034195529</v>
      </c>
      <c r="AT211" s="134">
        <f>D211/AR211</f>
        <v>0.73257343270495401</v>
      </c>
      <c r="AU211" s="134">
        <f>E211/AR211</f>
        <v>9.8640946953090752E-2</v>
      </c>
      <c r="AV211" s="151">
        <f>IF(AND(F211&lt;&gt;"",Z211&lt;&gt;""),AB211/(F211/2/Z211),"")</f>
        <v>7.4401805869074494E-2</v>
      </c>
      <c r="AW211" s="151">
        <f>IF(AND(F211&lt;&gt;"",AK211&lt;&gt;""),AM211/(F211/2/AK211),"")</f>
        <v>8.1986455981941306E-2</v>
      </c>
      <c r="AX211" s="41">
        <f>IF(AND(AQ211&lt;&gt;"",1-(AQ211/O211)&gt;0),1-(AQ211/O211),"")</f>
        <v>0.85</v>
      </c>
      <c r="AY211" s="41">
        <f>IF(AND(AF211&lt;&gt;"",1-(AF211/O211)&gt;0),1-(AF211/O211),"")</f>
        <v>0.92142857142857137</v>
      </c>
      <c r="AZ211" s="136" t="str">
        <f>IF(Q211="","",IF(Q211&lt;2.5,"Alc. Bruta &lt; 2,5 mg/L",IF(Q211&lt;5,"2,5 ≤ Alc. Bruta &lt; 5,0 mg/L",IF(Q211&lt;7.5,"5,0 ≤ Alc. Bruta &lt; 7,5 mg/L",IF(Q211&lt;10,"7,5 ≤ Alc. Bruta &lt; 10,0 mg/L",IF(Q211&lt;15,"10,0 ≤ Alca. Bruta &lt; 15,0 mg/L","Alc. Bruta &gt; 15 mg/L"))))))</f>
        <v>5,0 ≤ Alc. Bruta &lt; 7,5 mg/L</v>
      </c>
      <c r="BA211" s="136" t="str">
        <f>IF(P211="","",IF(P211&lt;5,"Cor &lt;5 uC",IF(P211&lt;10,"5 ≤ Cor &lt; 10 uC",IF(P211&lt;15,"10 ≤ Cor &lt;15 uC",IF(P211&lt;30,"15 ≤ Cor &lt; 30 uC",IF(P211&lt;50,"30 ≤ Cor &lt; 50 uC","Cor &gt; 50 uC"))))))</f>
        <v>5 ≤ Cor &lt; 10 uC</v>
      </c>
      <c r="BB211" s="137" t="str">
        <f>IF(O211="","",IF(O211&lt;2.5,"Turbidez &lt; 2,5 uT",IF(O211&lt;5,"2,5 ≤ Turb &lt; 5,0 uT",IF(O211&lt;7.5,"5,0 ≤ Turb &lt; 7,5 uT",IF(O211&lt;10,"7,5 ≤ Turb &lt; 10,0 uT",IF(O211&lt;15,"10,0 ≤ Turb &lt; 15,0 uT","Turb &gt; 15 uT"))))))</f>
        <v>Turbidez &lt; 2,5 uT</v>
      </c>
      <c r="BC211" s="138" t="str">
        <f>IF(AND(C211&gt;D211,D211&gt;E211),"TOR &gt; SM &gt; BNN",IF(AND(C211&gt;E211,E211&gt;D211),"TOR &gt; BNN &gt; SM",IF(AND(D211&gt;C211,C211&gt;E211),"SM &gt; TOR &gt; BNN",IF(AND(D211&gt;E211,E211&gt;C211),"SM &gt; BNN &gt; TOR",IF(AND(C211=D211,D211=E211),"TOR = SM = BNN","Comb. diferentes")))))</f>
        <v>SM &gt; TOR &gt; BNN</v>
      </c>
      <c r="BD211" s="137" t="str">
        <f>IF(OR(AE211="",AQ211="-"),"",IF(AE211&lt;=0.25,"Tipo 1 (≤0,25) uT",IF(AE211&lt;=0.5,"Tipo 2 (0,25-0,50) uT",IF(AE211&lt;=0.75,"Tipo 3 (0,50-0,75) uT","Tipo 4 (&gt;0,75) uT"))))</f>
        <v>Tipo 1 (≤0,25) uT</v>
      </c>
      <c r="BE211" s="137" t="str">
        <f t="shared" si="21"/>
        <v>Tipo 1 (≤0,25) uT</v>
      </c>
      <c r="BF211" s="137" t="str">
        <f>IF(OR(AF211="",AQ211="-"),"",IF(AF211&lt;=0.25,"Tipo 1 (≤0,25) uT",IF(AF211&lt;=0.5,"Tipo 2 (0,25-0,50) uT",IF(AF211&lt;=0.75,"Tipo 3 (0,50-0,75) uT","Tipo 4 (&gt;0,75) uT"))))</f>
        <v>Tipo 1 (≤0,25) uT</v>
      </c>
      <c r="BG211" s="137" t="str">
        <f t="shared" si="22"/>
        <v>Tipo 1 (≤0,25) uT</v>
      </c>
      <c r="BH211" s="137" t="str">
        <f>IF(OR(R211="",R211="-"),"",IF(R211&lt;=0.25,"Tipo 1 (≤0,25) uT",IF(R211&lt;=0.5,"Tipo 2 (0,25-0,50) uT",IF(R211&lt;=0.75,"Tipo 3 (0,50-0,75) uT","Tipo 4 (&gt;0,75) uT"))))</f>
        <v>Tipo 1 (≤0,25) uT</v>
      </c>
    </row>
    <row r="212" spans="1:60" x14ac:dyDescent="0.3">
      <c r="A212" s="74">
        <v>46281</v>
      </c>
      <c r="B212" s="139">
        <v>0.8125</v>
      </c>
      <c r="C212" s="116">
        <v>384</v>
      </c>
      <c r="D212" s="116">
        <v>1661</v>
      </c>
      <c r="E212" s="116">
        <v>225</v>
      </c>
      <c r="F212" s="116">
        <v>2223</v>
      </c>
      <c r="G212" s="144" t="s">
        <v>100</v>
      </c>
      <c r="H212" s="122">
        <v>9.5</v>
      </c>
      <c r="I212" s="116">
        <v>-8.8000000000000007</v>
      </c>
      <c r="J212" s="10">
        <v>90</v>
      </c>
      <c r="K212" s="116">
        <v>90</v>
      </c>
      <c r="L212" s="116">
        <v>90</v>
      </c>
      <c r="M212" s="122">
        <v>24.9</v>
      </c>
      <c r="N212" s="122">
        <v>6.5</v>
      </c>
      <c r="O212" s="79">
        <v>1.27</v>
      </c>
      <c r="P212" s="116">
        <v>9</v>
      </c>
      <c r="Q212" s="122">
        <v>7.8</v>
      </c>
      <c r="R212" s="10">
        <v>0.09</v>
      </c>
      <c r="S212" s="79">
        <v>22.36</v>
      </c>
      <c r="T212" s="79">
        <v>0.88</v>
      </c>
      <c r="U212" s="79">
        <v>0.7</v>
      </c>
      <c r="V212" s="85">
        <f t="shared" si="23"/>
        <v>1700.595</v>
      </c>
      <c r="W212" s="85">
        <f t="shared" si="24"/>
        <v>2221.8640527199996</v>
      </c>
      <c r="X212" s="85">
        <f t="shared" si="25"/>
        <v>1.3065215719909793</v>
      </c>
      <c r="Y212" s="116">
        <v>3</v>
      </c>
      <c r="Z212" s="116">
        <v>4</v>
      </c>
      <c r="AA212" s="122">
        <v>6.1</v>
      </c>
      <c r="AB212" s="116">
        <v>29.8</v>
      </c>
      <c r="AC212" s="122">
        <v>6.1</v>
      </c>
      <c r="AD212" s="122">
        <v>6.2</v>
      </c>
      <c r="AE212" s="79">
        <v>0.13</v>
      </c>
      <c r="AF212" s="79">
        <v>0.12</v>
      </c>
      <c r="AG212" s="85">
        <f>(O212+0.3*H212+2)*(F212/2/AK212)</f>
        <v>1700.595</v>
      </c>
      <c r="AH212" s="85">
        <f t="shared" si="26"/>
        <v>1762.6300572399996</v>
      </c>
      <c r="AI212" s="85">
        <f t="shared" si="27"/>
        <v>1.0364784426862361</v>
      </c>
      <c r="AJ212" s="116">
        <v>3</v>
      </c>
      <c r="AK212" s="116">
        <v>4</v>
      </c>
      <c r="AL212" s="122">
        <v>6.3</v>
      </c>
      <c r="AM212" s="116">
        <v>22.7</v>
      </c>
      <c r="AN212" s="122">
        <v>6.1</v>
      </c>
      <c r="AO212" s="122">
        <v>5.4</v>
      </c>
      <c r="AP212" s="79">
        <v>0.12</v>
      </c>
      <c r="AQ212" s="79">
        <v>0.19</v>
      </c>
      <c r="AR212" s="132">
        <f>SUM(C212:E212)</f>
        <v>2270</v>
      </c>
      <c r="AS212" s="134">
        <f>C212/AR212</f>
        <v>0.16916299559471365</v>
      </c>
      <c r="AT212" s="134">
        <f>D212/AR212</f>
        <v>0.73171806167400877</v>
      </c>
      <c r="AU212" s="134">
        <f>E212/AR212</f>
        <v>9.9118942731277526E-2</v>
      </c>
      <c r="AV212" s="151">
        <f>IF(AND(F212&lt;&gt;"",Z212&lt;&gt;""),AB212/(F212/2/Z212),"")</f>
        <v>0.10724246513720198</v>
      </c>
      <c r="AW212" s="151">
        <f>IF(AND(F212&lt;&gt;"",AK212&lt;&gt;""),AM212/(F212/2/AK212),"")</f>
        <v>8.1691408007197472E-2</v>
      </c>
      <c r="AX212" s="41">
        <f>IF(AND(AQ212&lt;&gt;"",1-(AQ212/O212)&gt;0),1-(AQ212/O212),"")</f>
        <v>0.85039370078740162</v>
      </c>
      <c r="AY212" s="41">
        <f>IF(AND(AF212&lt;&gt;"",1-(AF212/O212)&gt;0),1-(AF212/O212),"")</f>
        <v>0.90551181102362199</v>
      </c>
      <c r="AZ212" s="136" t="str">
        <f>IF(Q212="","",IF(Q212&lt;2.5,"Alc. Bruta &lt; 2,5 mg/L",IF(Q212&lt;5,"2,5 ≤ Alc. Bruta &lt; 5,0 mg/L",IF(Q212&lt;7.5,"5,0 ≤ Alc. Bruta &lt; 7,5 mg/L",IF(Q212&lt;10,"7,5 ≤ Alc. Bruta &lt; 10,0 mg/L",IF(Q212&lt;15,"10,0 ≤ Alca. Bruta &lt; 15,0 mg/L","Alc. Bruta &gt; 15 mg/L"))))))</f>
        <v>7,5 ≤ Alc. Bruta &lt; 10,0 mg/L</v>
      </c>
      <c r="BA212" s="136" t="str">
        <f>IF(P212="","",IF(P212&lt;5,"Cor &lt;5 uC",IF(P212&lt;10,"5 ≤ Cor &lt; 10 uC",IF(P212&lt;15,"10 ≤ Cor &lt;15 uC",IF(P212&lt;30,"15 ≤ Cor &lt; 30 uC",IF(P212&lt;50,"30 ≤ Cor &lt; 50 uC","Cor &gt; 50 uC"))))))</f>
        <v>5 ≤ Cor &lt; 10 uC</v>
      </c>
      <c r="BB212" s="137" t="str">
        <f>IF(O212="","",IF(O212&lt;2.5,"Turbidez &lt; 2,5 uT",IF(O212&lt;5,"2,5 ≤ Turb &lt; 5,0 uT",IF(O212&lt;7.5,"5,0 ≤ Turb &lt; 7,5 uT",IF(O212&lt;10,"7,5 ≤ Turb &lt; 10,0 uT",IF(O212&lt;15,"10,0 ≤ Turb &lt; 15,0 uT","Turb &gt; 15 uT"))))))</f>
        <v>Turbidez &lt; 2,5 uT</v>
      </c>
      <c r="BC212" s="138" t="str">
        <f>IF(AND(C212&gt;D212,D212&gt;E212),"TOR &gt; SM &gt; BNN",IF(AND(C212&gt;E212,E212&gt;D212),"TOR &gt; BNN &gt; SM",IF(AND(D212&gt;C212,C212&gt;E212),"SM &gt; TOR &gt; BNN",IF(AND(D212&gt;E212,E212&gt;C212),"SM &gt; BNN &gt; TOR",IF(AND(C212=D212,D212=E212),"TOR = SM = BNN","Comb. diferentes")))))</f>
        <v>SM &gt; TOR &gt; BNN</v>
      </c>
      <c r="BD212" s="137" t="str">
        <f>IF(OR(AE212="",AQ212="-"),"",IF(AE212&lt;=0.25,"Tipo 1 (≤0,25) uT",IF(AE212&lt;=0.5,"Tipo 2 (0,25-0,50) uT",IF(AE212&lt;=0.75,"Tipo 3 (0,50-0,75) uT","Tipo 4 (&gt;0,75) uT"))))</f>
        <v>Tipo 1 (≤0,25) uT</v>
      </c>
      <c r="BE212" s="137" t="str">
        <f t="shared" si="21"/>
        <v>Tipo 1 (≤0,25) uT</v>
      </c>
      <c r="BF212" s="137" t="str">
        <f>IF(OR(AF212="",AQ212="-"),"",IF(AF212&lt;=0.25,"Tipo 1 (≤0,25) uT",IF(AF212&lt;=0.5,"Tipo 2 (0,25-0,50) uT",IF(AF212&lt;=0.75,"Tipo 3 (0,50-0,75) uT","Tipo 4 (&gt;0,75) uT"))))</f>
        <v>Tipo 1 (≤0,25) uT</v>
      </c>
      <c r="BG212" s="137" t="str">
        <f t="shared" si="22"/>
        <v>Tipo 1 (≤0,25) uT</v>
      </c>
      <c r="BH212" s="137" t="str">
        <f>IF(OR(R212="",R212="-"),"",IF(R212&lt;=0.25,"Tipo 1 (≤0,25) uT",IF(R212&lt;=0.5,"Tipo 2 (0,25-0,50) uT",IF(R212&lt;=0.75,"Tipo 3 (0,50-0,75) uT","Tipo 4 (&gt;0,75) uT"))))</f>
        <v>Tipo 1 (≤0,25) uT</v>
      </c>
    </row>
    <row r="213" spans="1:60" x14ac:dyDescent="0.3">
      <c r="A213" s="74">
        <v>46281</v>
      </c>
      <c r="B213" s="139">
        <v>0.89583333333333337</v>
      </c>
      <c r="C213" s="116">
        <v>399</v>
      </c>
      <c r="D213" s="116">
        <v>1566</v>
      </c>
      <c r="E213" s="116">
        <v>224</v>
      </c>
      <c r="F213" s="116">
        <v>2224</v>
      </c>
      <c r="G213" s="144" t="s">
        <v>100</v>
      </c>
      <c r="H213" s="122">
        <v>9.5</v>
      </c>
      <c r="I213" s="116">
        <v>-17.5</v>
      </c>
      <c r="J213" s="10">
        <v>90</v>
      </c>
      <c r="K213" s="116">
        <v>90</v>
      </c>
      <c r="L213" s="116">
        <v>90</v>
      </c>
      <c r="M213" s="122">
        <v>24.5</v>
      </c>
      <c r="N213" s="122">
        <v>6.5</v>
      </c>
      <c r="O213" s="79">
        <v>1.27</v>
      </c>
      <c r="P213" s="116">
        <v>12</v>
      </c>
      <c r="Q213" s="122">
        <v>8</v>
      </c>
      <c r="R213" s="10">
        <v>0.09</v>
      </c>
      <c r="S213" s="79">
        <v>22.36</v>
      </c>
      <c r="T213" s="79">
        <v>0.88</v>
      </c>
      <c r="U213" s="79">
        <v>0.7</v>
      </c>
      <c r="V213" s="85">
        <f t="shared" si="23"/>
        <v>1701.3600000000001</v>
      </c>
      <c r="W213" s="85">
        <f t="shared" si="24"/>
        <v>1314.2581919999998</v>
      </c>
      <c r="X213" s="85">
        <f t="shared" si="25"/>
        <v>0.7724750740584001</v>
      </c>
      <c r="Y213" s="116">
        <v>3</v>
      </c>
      <c r="Z213" s="116">
        <v>4</v>
      </c>
      <c r="AA213" s="122">
        <v>6</v>
      </c>
      <c r="AB213" s="116">
        <v>18</v>
      </c>
      <c r="AC213" s="122">
        <v>6.1</v>
      </c>
      <c r="AD213" s="122">
        <v>5.0999999999999996</v>
      </c>
      <c r="AE213" s="79">
        <v>0.14000000000000001</v>
      </c>
      <c r="AF213" s="79">
        <v>0.11</v>
      </c>
      <c r="AG213" s="85">
        <f>(O213+0.3*H213+2)*(F213/2/AK213)</f>
        <v>1701.3600000000001</v>
      </c>
      <c r="AH213" s="85">
        <f t="shared" si="26"/>
        <v>1770.3949473599996</v>
      </c>
      <c r="AI213" s="85">
        <f t="shared" si="27"/>
        <v>1.040576331499506</v>
      </c>
      <c r="AJ213" s="116">
        <v>3</v>
      </c>
      <c r="AK213" s="116">
        <v>4</v>
      </c>
      <c r="AL213" s="122">
        <v>6.3</v>
      </c>
      <c r="AM213" s="116">
        <v>22.8</v>
      </c>
      <c r="AN213" s="122">
        <v>6.1</v>
      </c>
      <c r="AO213" s="122"/>
      <c r="AP213" s="79">
        <v>0.14000000000000001</v>
      </c>
      <c r="AQ213" s="79">
        <v>0.19</v>
      </c>
      <c r="AR213" s="132">
        <f>SUM(C213:E213)</f>
        <v>2189</v>
      </c>
      <c r="AS213" s="134">
        <f>C213/AR213</f>
        <v>0.18227501142074007</v>
      </c>
      <c r="AT213" s="134">
        <f>D213/AR213</f>
        <v>0.71539515760621286</v>
      </c>
      <c r="AU213" s="134">
        <f>E213/AR213</f>
        <v>0.10232983097304706</v>
      </c>
      <c r="AV213" s="151">
        <f>IF(AND(F213&lt;&gt;"",Z213&lt;&gt;""),AB213/(F213/2/Z213),"")</f>
        <v>6.4748201438848921E-2</v>
      </c>
      <c r="AW213" s="151">
        <f>IF(AND(F213&lt;&gt;"",AK213&lt;&gt;""),AM213/(F213/2/AK213),"")</f>
        <v>8.2014388489208639E-2</v>
      </c>
      <c r="AX213" s="41">
        <f>IF(AND(AQ213&lt;&gt;"",1-(AQ213/O213)&gt;0),1-(AQ213/O213),"")</f>
        <v>0.85039370078740162</v>
      </c>
      <c r="AY213" s="41">
        <f>IF(AND(AF213&lt;&gt;"",1-(AF213/O213)&gt;0),1-(AF213/O213),"")</f>
        <v>0.91338582677165359</v>
      </c>
      <c r="AZ213" s="136" t="str">
        <f>IF(Q213="","",IF(Q213&lt;2.5,"Alc. Bruta &lt; 2,5 mg/L",IF(Q213&lt;5,"2,5 ≤ Alc. Bruta &lt; 5,0 mg/L",IF(Q213&lt;7.5,"5,0 ≤ Alc. Bruta &lt; 7,5 mg/L",IF(Q213&lt;10,"7,5 ≤ Alc. Bruta &lt; 10,0 mg/L",IF(Q213&lt;15,"10,0 ≤ Alca. Bruta &lt; 15,0 mg/L","Alc. Bruta &gt; 15 mg/L"))))))</f>
        <v>7,5 ≤ Alc. Bruta &lt; 10,0 mg/L</v>
      </c>
      <c r="BA213" s="136" t="str">
        <f>IF(P213="","",IF(P213&lt;5,"Cor &lt;5 uC",IF(P213&lt;10,"5 ≤ Cor &lt; 10 uC",IF(P213&lt;15,"10 ≤ Cor &lt;15 uC",IF(P213&lt;30,"15 ≤ Cor &lt; 30 uC",IF(P213&lt;50,"30 ≤ Cor &lt; 50 uC","Cor &gt; 50 uC"))))))</f>
        <v>10 ≤ Cor &lt;15 uC</v>
      </c>
      <c r="BB213" s="137" t="str">
        <f>IF(O213="","",IF(O213&lt;2.5,"Turbidez &lt; 2,5 uT",IF(O213&lt;5,"2,5 ≤ Turb &lt; 5,0 uT",IF(O213&lt;7.5,"5,0 ≤ Turb &lt; 7,5 uT",IF(O213&lt;10,"7,5 ≤ Turb &lt; 10,0 uT",IF(O213&lt;15,"10,0 ≤ Turb &lt; 15,0 uT","Turb &gt; 15 uT"))))))</f>
        <v>Turbidez &lt; 2,5 uT</v>
      </c>
      <c r="BC213" s="138" t="str">
        <f>IF(AND(C213&gt;D213,D213&gt;E213),"TOR &gt; SM &gt; BNN",IF(AND(C213&gt;E213,E213&gt;D213),"TOR &gt; BNN &gt; SM",IF(AND(D213&gt;C213,C213&gt;E213),"SM &gt; TOR &gt; BNN",IF(AND(D213&gt;E213,E213&gt;C213),"SM &gt; BNN &gt; TOR",IF(AND(C213=D213,D213=E213),"TOR = SM = BNN","Comb. diferentes")))))</f>
        <v>SM &gt; TOR &gt; BNN</v>
      </c>
      <c r="BD213" s="137" t="str">
        <f>IF(OR(AE213="",AQ213="-"),"",IF(AE213&lt;=0.25,"Tipo 1 (≤0,25) uT",IF(AE213&lt;=0.5,"Tipo 2 (0,25-0,50) uT",IF(AE213&lt;=0.75,"Tipo 3 (0,50-0,75) uT","Tipo 4 (&gt;0,75) uT"))))</f>
        <v>Tipo 1 (≤0,25) uT</v>
      </c>
      <c r="BE213" s="137" t="str">
        <f t="shared" si="21"/>
        <v>Tipo 1 (≤0,25) uT</v>
      </c>
      <c r="BF213" s="137" t="str">
        <f>IF(OR(AF213="",AQ213="-"),"",IF(AF213&lt;=0.25,"Tipo 1 (≤0,25) uT",IF(AF213&lt;=0.5,"Tipo 2 (0,25-0,50) uT",IF(AF213&lt;=0.75,"Tipo 3 (0,50-0,75) uT","Tipo 4 (&gt;0,75) uT"))))</f>
        <v>Tipo 1 (≤0,25) uT</v>
      </c>
      <c r="BG213" s="137" t="str">
        <f t="shared" si="22"/>
        <v>Tipo 1 (≤0,25) uT</v>
      </c>
      <c r="BH213" s="137" t="str">
        <f>IF(OR(R213="",R213="-"),"",IF(R213&lt;=0.25,"Tipo 1 (≤0,25) uT",IF(R213&lt;=0.5,"Tipo 2 (0,25-0,50) uT",IF(R213&lt;=0.75,"Tipo 3 (0,50-0,75) uT","Tipo 4 (&gt;0,75) uT"))))</f>
        <v>Tipo 1 (≤0,25) uT</v>
      </c>
    </row>
    <row r="214" spans="1:60" x14ac:dyDescent="0.3">
      <c r="A214" s="74">
        <v>46282</v>
      </c>
      <c r="B214" s="139">
        <v>6.25E-2</v>
      </c>
      <c r="C214" s="116">
        <v>380</v>
      </c>
      <c r="D214" s="116">
        <v>1642</v>
      </c>
      <c r="E214" s="116">
        <v>224</v>
      </c>
      <c r="F214" s="116">
        <v>2243</v>
      </c>
      <c r="G214" s="144" t="s">
        <v>100</v>
      </c>
      <c r="H214" s="122">
        <v>9.5</v>
      </c>
      <c r="I214" s="116">
        <v>-20</v>
      </c>
      <c r="J214" s="10">
        <v>90</v>
      </c>
      <c r="K214" s="116">
        <v>90</v>
      </c>
      <c r="L214" s="116">
        <v>90</v>
      </c>
      <c r="M214" s="122">
        <v>24.1</v>
      </c>
      <c r="N214" s="122">
        <v>6.4</v>
      </c>
      <c r="O214" s="79">
        <v>1.52</v>
      </c>
      <c r="P214" s="116">
        <v>14</v>
      </c>
      <c r="Q214" s="122">
        <v>8</v>
      </c>
      <c r="R214" s="10">
        <v>0.1</v>
      </c>
      <c r="S214" s="79">
        <v>22.36</v>
      </c>
      <c r="T214" s="79">
        <v>0.88</v>
      </c>
      <c r="U214" s="79">
        <v>0.7</v>
      </c>
      <c r="V214" s="85">
        <f t="shared" si="23"/>
        <v>1785.98875</v>
      </c>
      <c r="W214" s="85">
        <f t="shared" si="24"/>
        <v>1314.2581919999998</v>
      </c>
      <c r="X214" s="85">
        <f t="shared" si="25"/>
        <v>0.73587148407289793</v>
      </c>
      <c r="Y214" s="116">
        <v>3</v>
      </c>
      <c r="Z214" s="116">
        <v>4</v>
      </c>
      <c r="AA214" s="122">
        <v>6</v>
      </c>
      <c r="AB214" s="116">
        <v>18</v>
      </c>
      <c r="AC214" s="122">
        <v>6.2</v>
      </c>
      <c r="AD214" s="122">
        <v>5.0999999999999996</v>
      </c>
      <c r="AE214" s="79">
        <v>0.16</v>
      </c>
      <c r="AF214" s="79">
        <v>0.11</v>
      </c>
      <c r="AG214" s="85">
        <f>(O214+0.3*H214+2)*(F214/2/AK214)</f>
        <v>1785.98875</v>
      </c>
      <c r="AH214" s="85">
        <f t="shared" si="26"/>
        <v>1708.2758263999997</v>
      </c>
      <c r="AI214" s="85">
        <f t="shared" si="27"/>
        <v>0.95648745066283292</v>
      </c>
      <c r="AJ214" s="116">
        <v>3</v>
      </c>
      <c r="AK214" s="116">
        <v>4</v>
      </c>
      <c r="AL214" s="122">
        <v>6.3</v>
      </c>
      <c r="AM214" s="116">
        <v>22</v>
      </c>
      <c r="AN214" s="122">
        <v>6.1</v>
      </c>
      <c r="AO214" s="122"/>
      <c r="AP214" s="79">
        <v>0.11</v>
      </c>
      <c r="AQ214" s="79">
        <v>0.2</v>
      </c>
      <c r="AR214" s="132">
        <f>SUM(C214:E214)</f>
        <v>2246</v>
      </c>
      <c r="AS214" s="134">
        <f>C214/AR214</f>
        <v>0.16918967052537845</v>
      </c>
      <c r="AT214" s="134">
        <f>D214/AR214</f>
        <v>0.73107747105966159</v>
      </c>
      <c r="AU214" s="134">
        <f>E214/AR214</f>
        <v>9.9732858414959935E-2</v>
      </c>
      <c r="AV214" s="151">
        <f>IF(AND(F214&lt;&gt;"",Z214&lt;&gt;""),AB214/(F214/2/Z214),"")</f>
        <v>6.4199732501114576E-2</v>
      </c>
      <c r="AW214" s="151">
        <f>IF(AND(F214&lt;&gt;"",AK214&lt;&gt;""),AM214/(F214/2/AK214),"")</f>
        <v>7.846633972358448E-2</v>
      </c>
      <c r="AX214" s="41">
        <f>IF(AND(AQ214&lt;&gt;"",1-(AQ214/O214)&gt;0),1-(AQ214/O214),"")</f>
        <v>0.86842105263157898</v>
      </c>
      <c r="AY214" s="41">
        <f>IF(AND(AF214&lt;&gt;"",1-(AF214/O214)&gt;0),1-(AF214/O214),"")</f>
        <v>0.92763157894736836</v>
      </c>
      <c r="AZ214" s="136" t="str">
        <f>IF(Q214="","",IF(Q214&lt;2.5,"Alc. Bruta &lt; 2,5 mg/L",IF(Q214&lt;5,"2,5 ≤ Alc. Bruta &lt; 5,0 mg/L",IF(Q214&lt;7.5,"5,0 ≤ Alc. Bruta &lt; 7,5 mg/L",IF(Q214&lt;10,"7,5 ≤ Alc. Bruta &lt; 10,0 mg/L",IF(Q214&lt;15,"10,0 ≤ Alca. Bruta &lt; 15,0 mg/L","Alc. Bruta &gt; 15 mg/L"))))))</f>
        <v>7,5 ≤ Alc. Bruta &lt; 10,0 mg/L</v>
      </c>
      <c r="BA214" s="136" t="str">
        <f>IF(P214="","",IF(P214&lt;5,"Cor &lt;5 uC",IF(P214&lt;10,"5 ≤ Cor &lt; 10 uC",IF(P214&lt;15,"10 ≤ Cor &lt;15 uC",IF(P214&lt;30,"15 ≤ Cor &lt; 30 uC",IF(P214&lt;50,"30 ≤ Cor &lt; 50 uC","Cor &gt; 50 uC"))))))</f>
        <v>10 ≤ Cor &lt;15 uC</v>
      </c>
      <c r="BB214" s="137" t="str">
        <f>IF(O214="","",IF(O214&lt;2.5,"Turbidez &lt; 2,5 uT",IF(O214&lt;5,"2,5 ≤ Turb &lt; 5,0 uT",IF(O214&lt;7.5,"5,0 ≤ Turb &lt; 7,5 uT",IF(O214&lt;10,"7,5 ≤ Turb &lt; 10,0 uT",IF(O214&lt;15,"10,0 ≤ Turb &lt; 15,0 uT","Turb &gt; 15 uT"))))))</f>
        <v>Turbidez &lt; 2,5 uT</v>
      </c>
      <c r="BC214" s="138" t="str">
        <f>IF(AND(C214&gt;D214,D214&gt;E214),"TOR &gt; SM &gt; BNN",IF(AND(C214&gt;E214,E214&gt;D214),"TOR &gt; BNN &gt; SM",IF(AND(D214&gt;C214,C214&gt;E214),"SM &gt; TOR &gt; BNN",IF(AND(D214&gt;E214,E214&gt;C214),"SM &gt; BNN &gt; TOR",IF(AND(C214=D214,D214=E214),"TOR = SM = BNN","Comb. diferentes")))))</f>
        <v>SM &gt; TOR &gt; BNN</v>
      </c>
      <c r="BD214" s="137" t="str">
        <f>IF(OR(AE214="",AQ214="-"),"",IF(AE214&lt;=0.25,"Tipo 1 (≤0,25) uT",IF(AE214&lt;=0.5,"Tipo 2 (0,25-0,50) uT",IF(AE214&lt;=0.75,"Tipo 3 (0,50-0,75) uT","Tipo 4 (&gt;0,75) uT"))))</f>
        <v>Tipo 1 (≤0,25) uT</v>
      </c>
      <c r="BE214" s="137" t="str">
        <f t="shared" si="21"/>
        <v>Tipo 1 (≤0,25) uT</v>
      </c>
      <c r="BF214" s="137" t="str">
        <f>IF(OR(AF214="",AQ214="-"),"",IF(AF214&lt;=0.25,"Tipo 1 (≤0,25) uT",IF(AF214&lt;=0.5,"Tipo 2 (0,25-0,50) uT",IF(AF214&lt;=0.75,"Tipo 3 (0,50-0,75) uT","Tipo 4 (&gt;0,75) uT"))))</f>
        <v>Tipo 1 (≤0,25) uT</v>
      </c>
      <c r="BG214" s="137" t="str">
        <f t="shared" si="22"/>
        <v>Tipo 1 (≤0,25) uT</v>
      </c>
      <c r="BH214" s="137" t="str">
        <f>IF(OR(R214="",R214="-"),"",IF(R214&lt;=0.25,"Tipo 1 (≤0,25) uT",IF(R214&lt;=0.5,"Tipo 2 (0,25-0,50) uT",IF(R214&lt;=0.75,"Tipo 3 (0,50-0,75) uT","Tipo 4 (&gt;0,75) uT"))))</f>
        <v>Tipo 1 (≤0,25) uT</v>
      </c>
    </row>
    <row r="215" spans="1:60" x14ac:dyDescent="0.3">
      <c r="A215" s="74">
        <v>46282</v>
      </c>
      <c r="B215" s="139">
        <v>0.14583333333333334</v>
      </c>
      <c r="C215" s="116">
        <v>398</v>
      </c>
      <c r="D215" s="116">
        <v>1671</v>
      </c>
      <c r="E215" s="116">
        <v>225</v>
      </c>
      <c r="F215" s="116">
        <v>2246</v>
      </c>
      <c r="G215" s="144" t="s">
        <v>100</v>
      </c>
      <c r="H215" s="122">
        <v>9.5</v>
      </c>
      <c r="I215" s="116">
        <v>-26</v>
      </c>
      <c r="J215" s="10">
        <v>90</v>
      </c>
      <c r="K215" s="116">
        <v>90</v>
      </c>
      <c r="L215" s="116">
        <v>90</v>
      </c>
      <c r="M215" s="122">
        <v>24.6</v>
      </c>
      <c r="N215" s="122">
        <v>6.6</v>
      </c>
      <c r="O215" s="79">
        <v>1.31</v>
      </c>
      <c r="P215" s="116">
        <v>11</v>
      </c>
      <c r="Q215" s="122">
        <v>8</v>
      </c>
      <c r="R215" s="10">
        <v>0.09</v>
      </c>
      <c r="S215" s="79">
        <v>22.36</v>
      </c>
      <c r="T215" s="79">
        <v>0.88</v>
      </c>
      <c r="U215" s="79">
        <v>0.7</v>
      </c>
      <c r="V215" s="85">
        <f t="shared" si="23"/>
        <v>1729.42</v>
      </c>
      <c r="W215" s="85">
        <f t="shared" si="24"/>
        <v>1460.2868799999999</v>
      </c>
      <c r="X215" s="85">
        <f t="shared" si="25"/>
        <v>0.84437954921303082</v>
      </c>
      <c r="Y215" s="116">
        <v>3</v>
      </c>
      <c r="Z215" s="116">
        <v>4</v>
      </c>
      <c r="AA215" s="122">
        <v>6</v>
      </c>
      <c r="AB215" s="116">
        <v>20</v>
      </c>
      <c r="AC215" s="122">
        <v>6.2</v>
      </c>
      <c r="AD215" s="122">
        <v>5.0999999999999996</v>
      </c>
      <c r="AE215" s="79">
        <v>0.38</v>
      </c>
      <c r="AF215" s="79">
        <v>0.1</v>
      </c>
      <c r="AG215" s="85">
        <f>(O215+0.3*H215+2)*(F215/2/AK215)</f>
        <v>1729.42</v>
      </c>
      <c r="AH215" s="85">
        <f t="shared" si="26"/>
        <v>1552.9780239999996</v>
      </c>
      <c r="AI215" s="85">
        <f t="shared" si="27"/>
        <v>0.8979762139908174</v>
      </c>
      <c r="AJ215" s="116">
        <v>3</v>
      </c>
      <c r="AK215" s="116">
        <v>4</v>
      </c>
      <c r="AL215" s="122">
        <v>6.3</v>
      </c>
      <c r="AM215" s="116">
        <v>20</v>
      </c>
      <c r="AN215" s="122">
        <v>6.2</v>
      </c>
      <c r="AO215" s="122"/>
      <c r="AP215" s="79">
        <v>0.19</v>
      </c>
      <c r="AQ215" s="79">
        <v>0.19</v>
      </c>
      <c r="AR215" s="132">
        <f>SUM(C215:E215)</f>
        <v>2294</v>
      </c>
      <c r="AS215" s="134">
        <f>C215/AR215</f>
        <v>0.17349607672188316</v>
      </c>
      <c r="AT215" s="134">
        <f>D215/AR215</f>
        <v>0.72842197035745426</v>
      </c>
      <c r="AU215" s="134">
        <f>E215/AR215</f>
        <v>9.8081952920662602E-2</v>
      </c>
      <c r="AV215" s="151">
        <f>IF(AND(F215&lt;&gt;"",Z215&lt;&gt;""),AB215/(F215/2/Z215),"")</f>
        <v>7.123775601068566E-2</v>
      </c>
      <c r="AW215" s="151">
        <f>IF(AND(F215&lt;&gt;"",AK215&lt;&gt;""),AM215/(F215/2/AK215),"")</f>
        <v>7.123775601068566E-2</v>
      </c>
      <c r="AX215" s="41">
        <f>IF(AND(AQ215&lt;&gt;"",1-(AQ215/O215)&gt;0),1-(AQ215/O215),"")</f>
        <v>0.85496183206106868</v>
      </c>
      <c r="AY215" s="41">
        <f>IF(AND(AF215&lt;&gt;"",1-(AF215/O215)&gt;0),1-(AF215/O215),"")</f>
        <v>0.92366412213740456</v>
      </c>
      <c r="AZ215" s="136" t="str">
        <f>IF(Q215="","",IF(Q215&lt;2.5,"Alc. Bruta &lt; 2,5 mg/L",IF(Q215&lt;5,"2,5 ≤ Alc. Bruta &lt; 5,0 mg/L",IF(Q215&lt;7.5,"5,0 ≤ Alc. Bruta &lt; 7,5 mg/L",IF(Q215&lt;10,"7,5 ≤ Alc. Bruta &lt; 10,0 mg/L",IF(Q215&lt;15,"10,0 ≤ Alca. Bruta &lt; 15,0 mg/L","Alc. Bruta &gt; 15 mg/L"))))))</f>
        <v>7,5 ≤ Alc. Bruta &lt; 10,0 mg/L</v>
      </c>
      <c r="BA215" s="136" t="str">
        <f>IF(P215="","",IF(P215&lt;5,"Cor &lt;5 uC",IF(P215&lt;10,"5 ≤ Cor &lt; 10 uC",IF(P215&lt;15,"10 ≤ Cor &lt;15 uC",IF(P215&lt;30,"15 ≤ Cor &lt; 30 uC",IF(P215&lt;50,"30 ≤ Cor &lt; 50 uC","Cor &gt; 50 uC"))))))</f>
        <v>10 ≤ Cor &lt;15 uC</v>
      </c>
      <c r="BB215" s="137" t="str">
        <f>IF(O215="","",IF(O215&lt;2.5,"Turbidez &lt; 2,5 uT",IF(O215&lt;5,"2,5 ≤ Turb &lt; 5,0 uT",IF(O215&lt;7.5,"5,0 ≤ Turb &lt; 7,5 uT",IF(O215&lt;10,"7,5 ≤ Turb &lt; 10,0 uT",IF(O215&lt;15,"10,0 ≤ Turb &lt; 15,0 uT","Turb &gt; 15 uT"))))))</f>
        <v>Turbidez &lt; 2,5 uT</v>
      </c>
      <c r="BC215" s="138" t="str">
        <f>IF(AND(C215&gt;D215,D215&gt;E215),"TOR &gt; SM &gt; BNN",IF(AND(C215&gt;E215,E215&gt;D215),"TOR &gt; BNN &gt; SM",IF(AND(D215&gt;C215,C215&gt;E215),"SM &gt; TOR &gt; BNN",IF(AND(D215&gt;E215,E215&gt;C215),"SM &gt; BNN &gt; TOR",IF(AND(C215=D215,D215=E215),"TOR = SM = BNN","Comb. diferentes")))))</f>
        <v>SM &gt; TOR &gt; BNN</v>
      </c>
      <c r="BD215" s="137" t="str">
        <f>IF(OR(AE215="",AQ215="-"),"",IF(AE215&lt;=0.25,"Tipo 1 (≤0,25) uT",IF(AE215&lt;=0.5,"Tipo 2 (0,25-0,50) uT",IF(AE215&lt;=0.75,"Tipo 3 (0,50-0,75) uT","Tipo 4 (&gt;0,75) uT"))))</f>
        <v>Tipo 2 (0,25-0,50) uT</v>
      </c>
      <c r="BE215" s="137" t="str">
        <f t="shared" si="21"/>
        <v>Tipo 1 (≤0,25) uT</v>
      </c>
      <c r="BF215" s="137" t="str">
        <f>IF(OR(AF215="",AQ215="-"),"",IF(AF215&lt;=0.25,"Tipo 1 (≤0,25) uT",IF(AF215&lt;=0.5,"Tipo 2 (0,25-0,50) uT",IF(AF215&lt;=0.75,"Tipo 3 (0,50-0,75) uT","Tipo 4 (&gt;0,75) uT"))))</f>
        <v>Tipo 1 (≤0,25) uT</v>
      </c>
      <c r="BG215" s="137" t="str">
        <f t="shared" si="22"/>
        <v>Tipo 1 (≤0,25) uT</v>
      </c>
      <c r="BH215" s="137" t="str">
        <f>IF(OR(R215="",R215="-"),"",IF(R215&lt;=0.25,"Tipo 1 (≤0,25) uT",IF(R215&lt;=0.5,"Tipo 2 (0,25-0,50) uT",IF(R215&lt;=0.75,"Tipo 3 (0,50-0,75) uT","Tipo 4 (&gt;0,75) uT"))))</f>
        <v>Tipo 1 (≤0,25) uT</v>
      </c>
    </row>
    <row r="216" spans="1:60" ht="15" thickBot="1" x14ac:dyDescent="0.35">
      <c r="A216" s="75">
        <v>46282</v>
      </c>
      <c r="B216" s="140">
        <v>0.22916666666666666</v>
      </c>
      <c r="C216" s="117">
        <v>394</v>
      </c>
      <c r="D216" s="117">
        <v>1604</v>
      </c>
      <c r="E216" s="117">
        <v>225</v>
      </c>
      <c r="F216" s="117">
        <v>2244</v>
      </c>
      <c r="G216" s="145" t="s">
        <v>100</v>
      </c>
      <c r="H216" s="123">
        <v>9.5</v>
      </c>
      <c r="I216" s="117">
        <v>-29</v>
      </c>
      <c r="J216" s="11">
        <v>30</v>
      </c>
      <c r="K216" s="117">
        <v>90</v>
      </c>
      <c r="L216" s="117">
        <v>90</v>
      </c>
      <c r="M216" s="123">
        <v>23.1</v>
      </c>
      <c r="N216" s="123">
        <v>6.6</v>
      </c>
      <c r="O216" s="80">
        <v>1.47</v>
      </c>
      <c r="P216" s="117">
        <v>13</v>
      </c>
      <c r="Q216" s="123">
        <v>8</v>
      </c>
      <c r="R216" s="11">
        <v>0.3</v>
      </c>
      <c r="S216" s="79">
        <v>22.36</v>
      </c>
      <c r="T216" s="79">
        <v>0.88</v>
      </c>
      <c r="U216" s="79">
        <v>0.7</v>
      </c>
      <c r="V216" s="85">
        <f t="shared" si="23"/>
        <v>1772.76</v>
      </c>
      <c r="W216" s="85">
        <f t="shared" si="24"/>
        <v>1460.2868799999999</v>
      </c>
      <c r="X216" s="85">
        <f t="shared" si="25"/>
        <v>0.82373636589273214</v>
      </c>
      <c r="Y216" s="117">
        <v>3</v>
      </c>
      <c r="Z216" s="117">
        <v>4</v>
      </c>
      <c r="AA216" s="123">
        <v>6</v>
      </c>
      <c r="AB216" s="117">
        <v>20</v>
      </c>
      <c r="AC216" s="123">
        <v>6.1</v>
      </c>
      <c r="AD216" s="123">
        <v>5.0999999999999996</v>
      </c>
      <c r="AE216" s="80">
        <v>0.17</v>
      </c>
      <c r="AF216" s="80">
        <v>0.11</v>
      </c>
      <c r="AG216" s="85">
        <f>(O216+0.3*H216+2)*(F216/2/AK216)</f>
        <v>1772.76</v>
      </c>
      <c r="AH216" s="85">
        <f t="shared" si="26"/>
        <v>1677.2162659199998</v>
      </c>
      <c r="AI216" s="85">
        <f t="shared" si="27"/>
        <v>0.94610452961483782</v>
      </c>
      <c r="AJ216" s="117">
        <v>3</v>
      </c>
      <c r="AK216" s="117">
        <v>4</v>
      </c>
      <c r="AL216" s="123">
        <v>6.3</v>
      </c>
      <c r="AM216" s="117">
        <v>21.6</v>
      </c>
      <c r="AN216" s="123">
        <v>6.2</v>
      </c>
      <c r="AO216" s="123"/>
      <c r="AP216" s="80">
        <v>0.21</v>
      </c>
      <c r="AQ216" s="80">
        <v>0.2</v>
      </c>
      <c r="AR216" s="132">
        <f>SUM(C216:E216)</f>
        <v>2223</v>
      </c>
      <c r="AS216" s="134">
        <f>C216/AR216</f>
        <v>0.17723796671165093</v>
      </c>
      <c r="AT216" s="134">
        <f>D216/AR216</f>
        <v>0.72154745838956369</v>
      </c>
      <c r="AU216" s="134">
        <f>E216/AR216</f>
        <v>0.10121457489878542</v>
      </c>
      <c r="AV216" s="151">
        <f>IF(AND(F216&lt;&gt;"",Z216&lt;&gt;""),AB216/(F216/2/Z216),"")</f>
        <v>7.130124777183601E-2</v>
      </c>
      <c r="AW216" s="151">
        <f>IF(AND(F216&lt;&gt;"",AK216&lt;&gt;""),AM216/(F216/2/AK216),"")</f>
        <v>7.7005347593582893E-2</v>
      </c>
      <c r="AX216" s="41">
        <f>IF(AND(AQ216&lt;&gt;"",1-(AQ216/O216)&gt;0),1-(AQ216/O216),"")</f>
        <v>0.86394557823129248</v>
      </c>
      <c r="AY216" s="41">
        <f>IF(AND(AF216&lt;&gt;"",1-(AF216/O216)&gt;0),1-(AF216/O216),"")</f>
        <v>0.92517006802721091</v>
      </c>
      <c r="AZ216" s="136" t="str">
        <f>IF(Q216="","",IF(Q216&lt;2.5,"Alc. Bruta &lt; 2,5 mg/L",IF(Q216&lt;5,"2,5 ≤ Alc. Bruta &lt; 5,0 mg/L",IF(Q216&lt;7.5,"5,0 ≤ Alc. Bruta &lt; 7,5 mg/L",IF(Q216&lt;10,"7,5 ≤ Alc. Bruta &lt; 10,0 mg/L",IF(Q216&lt;15,"10,0 ≤ Alca. Bruta &lt; 15,0 mg/L","Alc. Bruta &gt; 15 mg/L"))))))</f>
        <v>7,5 ≤ Alc. Bruta &lt; 10,0 mg/L</v>
      </c>
      <c r="BA216" s="136" t="str">
        <f>IF(P216="","",IF(P216&lt;5,"Cor &lt;5 uC",IF(P216&lt;10,"5 ≤ Cor &lt; 10 uC",IF(P216&lt;15,"10 ≤ Cor &lt;15 uC",IF(P216&lt;30,"15 ≤ Cor &lt; 30 uC",IF(P216&lt;50,"30 ≤ Cor &lt; 50 uC","Cor &gt; 50 uC"))))))</f>
        <v>10 ≤ Cor &lt;15 uC</v>
      </c>
      <c r="BB216" s="137" t="str">
        <f>IF(O216="","",IF(O216&lt;2.5,"Turbidez &lt; 2,5 uT",IF(O216&lt;5,"2,5 ≤ Turb &lt; 5,0 uT",IF(O216&lt;7.5,"5,0 ≤ Turb &lt; 7,5 uT",IF(O216&lt;10,"7,5 ≤ Turb &lt; 10,0 uT",IF(O216&lt;15,"10,0 ≤ Turb &lt; 15,0 uT","Turb &gt; 15 uT"))))))</f>
        <v>Turbidez &lt; 2,5 uT</v>
      </c>
      <c r="BC216" s="138" t="str">
        <f>IF(AND(C216&gt;D216,D216&gt;E216),"TOR &gt; SM &gt; BNN",IF(AND(C216&gt;E216,E216&gt;D216),"TOR &gt; BNN &gt; SM",IF(AND(D216&gt;C216,C216&gt;E216),"SM &gt; TOR &gt; BNN",IF(AND(D216&gt;E216,E216&gt;C216),"SM &gt; BNN &gt; TOR",IF(AND(C216=D216,D216=E216),"TOR = SM = BNN","Comb. diferentes")))))</f>
        <v>SM &gt; TOR &gt; BNN</v>
      </c>
      <c r="BD216" s="137" t="str">
        <f>IF(OR(AE216="",AQ216="-"),"",IF(AE216&lt;=0.25,"Tipo 1 (≤0,25) uT",IF(AE216&lt;=0.5,"Tipo 2 (0,25-0,50) uT",IF(AE216&lt;=0.75,"Tipo 3 (0,50-0,75) uT","Tipo 4 (&gt;0,75) uT"))))</f>
        <v>Tipo 1 (≤0,25) uT</v>
      </c>
      <c r="BE216" s="137" t="str">
        <f t="shared" si="21"/>
        <v>Tipo 1 (≤0,25) uT</v>
      </c>
      <c r="BF216" s="137" t="str">
        <f>IF(OR(AF216="",AQ216="-"),"",IF(AF216&lt;=0.25,"Tipo 1 (≤0,25) uT",IF(AF216&lt;=0.5,"Tipo 2 (0,25-0,50) uT",IF(AF216&lt;=0.75,"Tipo 3 (0,50-0,75) uT","Tipo 4 (&gt;0,75) uT"))))</f>
        <v>Tipo 1 (≤0,25) uT</v>
      </c>
      <c r="BG216" s="137" t="str">
        <f t="shared" si="22"/>
        <v>Tipo 1 (≤0,25) uT</v>
      </c>
      <c r="BH216" s="137" t="str">
        <f>IF(OR(R216="",R216="-"),"",IF(R216&lt;=0.25,"Tipo 1 (≤0,25) uT",IF(R216&lt;=0.5,"Tipo 2 (0,25-0,50) uT",IF(R216&lt;=0.75,"Tipo 3 (0,50-0,75) uT","Tipo 4 (&gt;0,75) uT"))))</f>
        <v>Tipo 2 (0,25-0,50) uT</v>
      </c>
    </row>
    <row r="217" spans="1:60" x14ac:dyDescent="0.3">
      <c r="A217" s="73">
        <v>46282</v>
      </c>
      <c r="B217" s="141">
        <v>0.3125</v>
      </c>
      <c r="C217" s="118">
        <v>390</v>
      </c>
      <c r="D217" s="118">
        <v>1647</v>
      </c>
      <c r="E217" s="118">
        <v>220</v>
      </c>
      <c r="F217" s="118">
        <v>2240</v>
      </c>
      <c r="G217" s="146" t="s">
        <v>100</v>
      </c>
      <c r="H217" s="124">
        <v>9.5</v>
      </c>
      <c r="I217" s="118">
        <v>-30</v>
      </c>
      <c r="J217" s="9">
        <v>90</v>
      </c>
      <c r="K217" s="118">
        <v>90</v>
      </c>
      <c r="L217" s="118">
        <v>90</v>
      </c>
      <c r="M217" s="124">
        <v>23.4</v>
      </c>
      <c r="N217" s="124">
        <v>6.5</v>
      </c>
      <c r="O217" s="81">
        <v>1.4</v>
      </c>
      <c r="P217" s="118">
        <v>12</v>
      </c>
      <c r="Q217" s="124">
        <v>8</v>
      </c>
      <c r="R217" s="9">
        <v>0.12</v>
      </c>
      <c r="S217" s="79">
        <v>22.36</v>
      </c>
      <c r="T217" s="79">
        <v>0.88</v>
      </c>
      <c r="U217" s="79">
        <v>0.7</v>
      </c>
      <c r="V217" s="85">
        <f t="shared" si="23"/>
        <v>1750</v>
      </c>
      <c r="W217" s="85">
        <f t="shared" si="24"/>
        <v>1460.2868799999999</v>
      </c>
      <c r="X217" s="85">
        <f t="shared" si="25"/>
        <v>0.83444964571428559</v>
      </c>
      <c r="Y217" s="118">
        <v>3</v>
      </c>
      <c r="Z217" s="118">
        <v>4</v>
      </c>
      <c r="AA217" s="124">
        <v>6</v>
      </c>
      <c r="AB217" s="118">
        <v>20</v>
      </c>
      <c r="AC217" s="124">
        <v>6.1</v>
      </c>
      <c r="AD217" s="124">
        <v>5.0999999999999996</v>
      </c>
      <c r="AE217" s="81">
        <v>0.19</v>
      </c>
      <c r="AF217" s="81">
        <v>0.11</v>
      </c>
      <c r="AG217" s="85">
        <f>(O217+0.3*H217+2)*(F217/2/AK217)</f>
        <v>1750</v>
      </c>
      <c r="AH217" s="85">
        <f t="shared" si="26"/>
        <v>1552.9780239999996</v>
      </c>
      <c r="AI217" s="85">
        <f t="shared" si="27"/>
        <v>0.88741601371428547</v>
      </c>
      <c r="AJ217" s="118">
        <v>3</v>
      </c>
      <c r="AK217" s="118">
        <v>4</v>
      </c>
      <c r="AL217" s="124">
        <v>6.3</v>
      </c>
      <c r="AM217" s="118">
        <v>20</v>
      </c>
      <c r="AN217" s="124">
        <v>6.2</v>
      </c>
      <c r="AO217" s="124"/>
      <c r="AP217" s="81">
        <v>0.2</v>
      </c>
      <c r="AQ217" s="81">
        <v>0.2</v>
      </c>
      <c r="AR217" s="132">
        <f>SUM(C217:E217)</f>
        <v>2257</v>
      </c>
      <c r="AS217" s="134">
        <f>C217/AR217</f>
        <v>0.17279574656623836</v>
      </c>
      <c r="AT217" s="134">
        <f>D217/AR217</f>
        <v>0.72972972972972971</v>
      </c>
      <c r="AU217" s="134">
        <f>E217/AR217</f>
        <v>9.7474523704031896E-2</v>
      </c>
      <c r="AV217" s="151">
        <f>IF(AND(F217&lt;&gt;"",Z217&lt;&gt;""),AB217/(F217/2/Z217),"")</f>
        <v>7.1428571428571425E-2</v>
      </c>
      <c r="AW217" s="151">
        <f>IF(AND(F217&lt;&gt;"",AK217&lt;&gt;""),AM217/(F217/2/AK217),"")</f>
        <v>7.1428571428571425E-2</v>
      </c>
      <c r="AX217" s="41">
        <f>IF(AND(AQ217&lt;&gt;"",1-(AQ217/O217)&gt;0),1-(AQ217/O217),"")</f>
        <v>0.8571428571428571</v>
      </c>
      <c r="AY217" s="41">
        <f>IF(AND(AF217&lt;&gt;"",1-(AF217/O217)&gt;0),1-(AF217/O217),"")</f>
        <v>0.92142857142857137</v>
      </c>
      <c r="AZ217" s="136" t="str">
        <f>IF(Q217="","",IF(Q217&lt;2.5,"Alc. Bruta &lt; 2,5 mg/L",IF(Q217&lt;5,"2,5 ≤ Alc. Bruta &lt; 5,0 mg/L",IF(Q217&lt;7.5,"5,0 ≤ Alc. Bruta &lt; 7,5 mg/L",IF(Q217&lt;10,"7,5 ≤ Alc. Bruta &lt; 10,0 mg/L",IF(Q217&lt;15,"10,0 ≤ Alca. Bruta &lt; 15,0 mg/L","Alc. Bruta &gt; 15 mg/L"))))))</f>
        <v>7,5 ≤ Alc. Bruta &lt; 10,0 mg/L</v>
      </c>
      <c r="BA217" s="136" t="str">
        <f>IF(P217="","",IF(P217&lt;5,"Cor &lt;5 uC",IF(P217&lt;10,"5 ≤ Cor &lt; 10 uC",IF(P217&lt;15,"10 ≤ Cor &lt;15 uC",IF(P217&lt;30,"15 ≤ Cor &lt; 30 uC",IF(P217&lt;50,"30 ≤ Cor &lt; 50 uC","Cor &gt; 50 uC"))))))</f>
        <v>10 ≤ Cor &lt;15 uC</v>
      </c>
      <c r="BB217" s="137" t="str">
        <f>IF(O217="","",IF(O217&lt;2.5,"Turbidez &lt; 2,5 uT",IF(O217&lt;5,"2,5 ≤ Turb &lt; 5,0 uT",IF(O217&lt;7.5,"5,0 ≤ Turb &lt; 7,5 uT",IF(O217&lt;10,"7,5 ≤ Turb &lt; 10,0 uT",IF(O217&lt;15,"10,0 ≤ Turb &lt; 15,0 uT","Turb &gt; 15 uT"))))))</f>
        <v>Turbidez &lt; 2,5 uT</v>
      </c>
      <c r="BC217" s="138" t="str">
        <f>IF(AND(C217&gt;D217,D217&gt;E217),"TOR &gt; SM &gt; BNN",IF(AND(C217&gt;E217,E217&gt;D217),"TOR &gt; BNN &gt; SM",IF(AND(D217&gt;C217,C217&gt;E217),"SM &gt; TOR &gt; BNN",IF(AND(D217&gt;E217,E217&gt;C217),"SM &gt; BNN &gt; TOR",IF(AND(C217=D217,D217=E217),"TOR = SM = BNN","Comb. diferentes")))))</f>
        <v>SM &gt; TOR &gt; BNN</v>
      </c>
      <c r="BD217" s="137" t="str">
        <f>IF(OR(AE217="",AQ217="-"),"",IF(AE217&lt;=0.25,"Tipo 1 (≤0,25) uT",IF(AE217&lt;=0.5,"Tipo 2 (0,25-0,50) uT",IF(AE217&lt;=0.75,"Tipo 3 (0,50-0,75) uT","Tipo 4 (&gt;0,75) uT"))))</f>
        <v>Tipo 1 (≤0,25) uT</v>
      </c>
      <c r="BE217" s="137" t="str">
        <f t="shared" si="21"/>
        <v>Tipo 1 (≤0,25) uT</v>
      </c>
      <c r="BF217" s="137" t="str">
        <f>IF(OR(AF217="",AQ217="-"),"",IF(AF217&lt;=0.25,"Tipo 1 (≤0,25) uT",IF(AF217&lt;=0.5,"Tipo 2 (0,25-0,50) uT",IF(AF217&lt;=0.75,"Tipo 3 (0,50-0,75) uT","Tipo 4 (&gt;0,75) uT"))))</f>
        <v>Tipo 1 (≤0,25) uT</v>
      </c>
      <c r="BG217" s="137" t="str">
        <f t="shared" si="22"/>
        <v>Tipo 1 (≤0,25) uT</v>
      </c>
      <c r="BH217" s="137" t="str">
        <f>IF(OR(R217="",R217="-"),"",IF(R217&lt;=0.25,"Tipo 1 (≤0,25) uT",IF(R217&lt;=0.5,"Tipo 2 (0,25-0,50) uT",IF(R217&lt;=0.75,"Tipo 3 (0,50-0,75) uT","Tipo 4 (&gt;0,75) uT"))))</f>
        <v>Tipo 1 (≤0,25) uT</v>
      </c>
    </row>
    <row r="218" spans="1:60" x14ac:dyDescent="0.3">
      <c r="A218" s="74">
        <v>46282</v>
      </c>
      <c r="B218" s="139">
        <v>0.47916666666666669</v>
      </c>
      <c r="C218" s="116">
        <v>388</v>
      </c>
      <c r="D218" s="116">
        <v>1657</v>
      </c>
      <c r="E218" s="116">
        <v>250</v>
      </c>
      <c r="F218" s="116">
        <v>2204</v>
      </c>
      <c r="G218" s="144" t="s">
        <v>100</v>
      </c>
      <c r="H218" s="122">
        <v>9.5</v>
      </c>
      <c r="I218" s="116">
        <v>-1.1000000000000001</v>
      </c>
      <c r="J218" s="10">
        <v>90</v>
      </c>
      <c r="K218" s="116">
        <v>90</v>
      </c>
      <c r="L218" s="116">
        <v>90</v>
      </c>
      <c r="M218" s="122">
        <v>26.4</v>
      </c>
      <c r="N218" s="122">
        <v>6.5</v>
      </c>
      <c r="O218" s="79">
        <v>1.19</v>
      </c>
      <c r="P218" s="116">
        <v>12</v>
      </c>
      <c r="Q218" s="122">
        <v>6.6</v>
      </c>
      <c r="R218" s="10">
        <v>0.15</v>
      </c>
      <c r="S218" s="79">
        <v>22.36</v>
      </c>
      <c r="T218" s="79">
        <v>0.88</v>
      </c>
      <c r="U218" s="79">
        <v>0.7</v>
      </c>
      <c r="V218" s="85">
        <f t="shared" si="23"/>
        <v>1664.02</v>
      </c>
      <c r="W218" s="85">
        <f t="shared" si="24"/>
        <v>1491.1839279999999</v>
      </c>
      <c r="X218" s="85">
        <f t="shared" si="25"/>
        <v>0.89613341666566504</v>
      </c>
      <c r="Y218" s="116">
        <v>3</v>
      </c>
      <c r="Z218" s="116">
        <v>4</v>
      </c>
      <c r="AA218" s="122">
        <v>6.1</v>
      </c>
      <c r="AB218" s="116">
        <v>20</v>
      </c>
      <c r="AC218" s="122">
        <v>6.2</v>
      </c>
      <c r="AD218" s="122">
        <v>3.9</v>
      </c>
      <c r="AE218" s="79">
        <v>0.16</v>
      </c>
      <c r="AF218" s="79">
        <v>0.1</v>
      </c>
      <c r="AG218" s="85">
        <f>(O218+0.3*H218+2)*(F218/2/AK218)</f>
        <v>1664.02</v>
      </c>
      <c r="AH218" s="85">
        <f t="shared" si="26"/>
        <v>1708.2758263999997</v>
      </c>
      <c r="AI218" s="85">
        <f t="shared" si="27"/>
        <v>1.026595729859016</v>
      </c>
      <c r="AJ218" s="116">
        <v>3</v>
      </c>
      <c r="AK218" s="116">
        <v>4</v>
      </c>
      <c r="AL218" s="122">
        <v>6.3</v>
      </c>
      <c r="AM218" s="116">
        <v>22</v>
      </c>
      <c r="AN218" s="122">
        <v>6</v>
      </c>
      <c r="AO218" s="122">
        <v>4.4000000000000004</v>
      </c>
      <c r="AP218" s="79">
        <v>0.19</v>
      </c>
      <c r="AQ218" s="79">
        <v>0.19</v>
      </c>
      <c r="AR218" s="132">
        <f>SUM(C218:E218)</f>
        <v>2295</v>
      </c>
      <c r="AS218" s="134">
        <f>C218/AR218</f>
        <v>0.16906318082788671</v>
      </c>
      <c r="AT218" s="134">
        <f>D218/AR218</f>
        <v>0.7220043572984749</v>
      </c>
      <c r="AU218" s="134">
        <f>E218/AR218</f>
        <v>0.10893246187363835</v>
      </c>
      <c r="AV218" s="151">
        <f>IF(AND(F218&lt;&gt;"",Z218&lt;&gt;""),AB218/(F218/2/Z218),"")</f>
        <v>7.2595281306715068E-2</v>
      </c>
      <c r="AW218" s="151">
        <f>IF(AND(F218&lt;&gt;"",AK218&lt;&gt;""),AM218/(F218/2/AK218),"")</f>
        <v>7.985480943738657E-2</v>
      </c>
      <c r="AX218" s="41">
        <f>IF(AND(AQ218&lt;&gt;"",1-(AQ218/O218)&gt;0),1-(AQ218/O218),"")</f>
        <v>0.84033613445378152</v>
      </c>
      <c r="AY218" s="41">
        <f>IF(AND(AF218&lt;&gt;"",1-(AF218/O218)&gt;0),1-(AF218/O218),"")</f>
        <v>0.91596638655462181</v>
      </c>
      <c r="AZ218" s="136" t="str">
        <f>IF(Q218="","",IF(Q218&lt;2.5,"Alc. Bruta &lt; 2,5 mg/L",IF(Q218&lt;5,"2,5 ≤ Alc. Bruta &lt; 5,0 mg/L",IF(Q218&lt;7.5,"5,0 ≤ Alc. Bruta &lt; 7,5 mg/L",IF(Q218&lt;10,"7,5 ≤ Alc. Bruta &lt; 10,0 mg/L",IF(Q218&lt;15,"10,0 ≤ Alca. Bruta &lt; 15,0 mg/L","Alc. Bruta &gt; 15 mg/L"))))))</f>
        <v>5,0 ≤ Alc. Bruta &lt; 7,5 mg/L</v>
      </c>
      <c r="BA218" s="136" t="str">
        <f>IF(P218="","",IF(P218&lt;5,"Cor &lt;5 uC",IF(P218&lt;10,"5 ≤ Cor &lt; 10 uC",IF(P218&lt;15,"10 ≤ Cor &lt;15 uC",IF(P218&lt;30,"15 ≤ Cor &lt; 30 uC",IF(P218&lt;50,"30 ≤ Cor &lt; 50 uC","Cor &gt; 50 uC"))))))</f>
        <v>10 ≤ Cor &lt;15 uC</v>
      </c>
      <c r="BB218" s="137" t="str">
        <f>IF(O218="","",IF(O218&lt;2.5,"Turbidez &lt; 2,5 uT",IF(O218&lt;5,"2,5 ≤ Turb &lt; 5,0 uT",IF(O218&lt;7.5,"5,0 ≤ Turb &lt; 7,5 uT",IF(O218&lt;10,"7,5 ≤ Turb &lt; 10,0 uT",IF(O218&lt;15,"10,0 ≤ Turb &lt; 15,0 uT","Turb &gt; 15 uT"))))))</f>
        <v>Turbidez &lt; 2,5 uT</v>
      </c>
      <c r="BC218" s="138" t="str">
        <f>IF(AND(C218&gt;D218,D218&gt;E218),"TOR &gt; SM &gt; BNN",IF(AND(C218&gt;E218,E218&gt;D218),"TOR &gt; BNN &gt; SM",IF(AND(D218&gt;C218,C218&gt;E218),"SM &gt; TOR &gt; BNN",IF(AND(D218&gt;E218,E218&gt;C218),"SM &gt; BNN &gt; TOR",IF(AND(C218=D218,D218=E218),"TOR = SM = BNN","Comb. diferentes")))))</f>
        <v>SM &gt; TOR &gt; BNN</v>
      </c>
      <c r="BD218" s="137" t="str">
        <f>IF(OR(AE218="",AQ218="-"),"",IF(AE218&lt;=0.25,"Tipo 1 (≤0,25) uT",IF(AE218&lt;=0.5,"Tipo 2 (0,25-0,50) uT",IF(AE218&lt;=0.75,"Tipo 3 (0,50-0,75) uT","Tipo 4 (&gt;0,75) uT"))))</f>
        <v>Tipo 1 (≤0,25) uT</v>
      </c>
      <c r="BE218" s="137" t="str">
        <f t="shared" si="21"/>
        <v>Tipo 1 (≤0,25) uT</v>
      </c>
      <c r="BF218" s="137" t="str">
        <f>IF(OR(AF218="",AQ218="-"),"",IF(AF218&lt;=0.25,"Tipo 1 (≤0,25) uT",IF(AF218&lt;=0.5,"Tipo 2 (0,25-0,50) uT",IF(AF218&lt;=0.75,"Tipo 3 (0,50-0,75) uT","Tipo 4 (&gt;0,75) uT"))))</f>
        <v>Tipo 1 (≤0,25) uT</v>
      </c>
      <c r="BG218" s="137" t="str">
        <f t="shared" si="22"/>
        <v>Tipo 1 (≤0,25) uT</v>
      </c>
      <c r="BH218" s="137" t="str">
        <f>IF(OR(R218="",R218="-"),"",IF(R218&lt;=0.25,"Tipo 1 (≤0,25) uT",IF(R218&lt;=0.5,"Tipo 2 (0,25-0,50) uT",IF(R218&lt;=0.75,"Tipo 3 (0,50-0,75) uT","Tipo 4 (&gt;0,75) uT"))))</f>
        <v>Tipo 1 (≤0,25) uT</v>
      </c>
    </row>
    <row r="219" spans="1:60" x14ac:dyDescent="0.3">
      <c r="A219" s="74">
        <v>46282</v>
      </c>
      <c r="B219" s="139">
        <v>0.64583333333333337</v>
      </c>
      <c r="C219" s="116">
        <v>395</v>
      </c>
      <c r="D219" s="116">
        <v>1670</v>
      </c>
      <c r="E219" s="116">
        <v>220</v>
      </c>
      <c r="F219" s="116">
        <v>2300</v>
      </c>
      <c r="G219" s="144" t="s">
        <v>100</v>
      </c>
      <c r="H219" s="122">
        <v>9.5</v>
      </c>
      <c r="I219" s="116">
        <v>-15</v>
      </c>
      <c r="J219" s="10">
        <v>90</v>
      </c>
      <c r="K219" s="116">
        <v>90</v>
      </c>
      <c r="L219" s="116">
        <v>90</v>
      </c>
      <c r="M219" s="122">
        <v>25.5</v>
      </c>
      <c r="N219" s="122">
        <v>6.4</v>
      </c>
      <c r="O219" s="79">
        <v>1.61</v>
      </c>
      <c r="P219" s="116">
        <v>16</v>
      </c>
      <c r="Q219" s="122">
        <v>6.3</v>
      </c>
      <c r="R219" s="10">
        <v>0.11</v>
      </c>
      <c r="S219" s="79">
        <v>22.36</v>
      </c>
      <c r="T219" s="79">
        <v>0.88</v>
      </c>
      <c r="U219" s="79">
        <v>0.7</v>
      </c>
      <c r="V219" s="85">
        <f t="shared" si="23"/>
        <v>1857.25</v>
      </c>
      <c r="W219" s="85">
        <f t="shared" si="24"/>
        <v>1491.1839279999999</v>
      </c>
      <c r="X219" s="85">
        <f t="shared" si="25"/>
        <v>0.80289887091129353</v>
      </c>
      <c r="Y219" s="116">
        <v>3</v>
      </c>
      <c r="Z219" s="116">
        <v>4</v>
      </c>
      <c r="AA219" s="122">
        <v>6.1</v>
      </c>
      <c r="AB219" s="116">
        <v>20</v>
      </c>
      <c r="AC219" s="122">
        <v>6.1</v>
      </c>
      <c r="AD219" s="122">
        <v>3.5</v>
      </c>
      <c r="AE219" s="79">
        <v>0.18</v>
      </c>
      <c r="AF219" s="79">
        <v>0.16</v>
      </c>
      <c r="AG219" s="85">
        <f>(O219+0.3*H219+2)*(F219/2/AK219)</f>
        <v>1857.25</v>
      </c>
      <c r="AH219" s="85">
        <f t="shared" si="26"/>
        <v>1708.2758263999997</v>
      </c>
      <c r="AI219" s="85">
        <f t="shared" si="27"/>
        <v>0.91978776492125436</v>
      </c>
      <c r="AJ219" s="116">
        <v>3</v>
      </c>
      <c r="AK219" s="116">
        <v>4</v>
      </c>
      <c r="AL219" s="122">
        <v>6.3</v>
      </c>
      <c r="AM219" s="116">
        <v>22</v>
      </c>
      <c r="AN219" s="122">
        <v>5.9</v>
      </c>
      <c r="AO219" s="122">
        <v>4.2</v>
      </c>
      <c r="AP219" s="79">
        <v>0.21</v>
      </c>
      <c r="AQ219" s="79">
        <v>0.21</v>
      </c>
      <c r="AR219" s="132">
        <f>SUM(C219:E219)</f>
        <v>2285</v>
      </c>
      <c r="AS219" s="134">
        <f>C219/AR219</f>
        <v>0.17286652078774617</v>
      </c>
      <c r="AT219" s="134">
        <f>D219/AR219</f>
        <v>0.73085339168490149</v>
      </c>
      <c r="AU219" s="134">
        <f>E219/AR219</f>
        <v>9.6280087527352301E-2</v>
      </c>
      <c r="AV219" s="151">
        <f>IF(AND(F219&lt;&gt;"",Z219&lt;&gt;""),AB219/(F219/2/Z219),"")</f>
        <v>6.9565217391304349E-2</v>
      </c>
      <c r="AW219" s="151">
        <f>IF(AND(F219&lt;&gt;"",AK219&lt;&gt;""),AM219/(F219/2/AK219),"")</f>
        <v>7.6521739130434779E-2</v>
      </c>
      <c r="AX219" s="41">
        <f>IF(AND(AQ219&lt;&gt;"",1-(AQ219/O219)&gt;0),1-(AQ219/O219),"")</f>
        <v>0.86956521739130432</v>
      </c>
      <c r="AY219" s="41">
        <f>IF(AND(AF219&lt;&gt;"",1-(AF219/O219)&gt;0),1-(AF219/O219),"")</f>
        <v>0.90062111801242239</v>
      </c>
      <c r="AZ219" s="136" t="str">
        <f>IF(Q219="","",IF(Q219&lt;2.5,"Alc. Bruta &lt; 2,5 mg/L",IF(Q219&lt;5,"2,5 ≤ Alc. Bruta &lt; 5,0 mg/L",IF(Q219&lt;7.5,"5,0 ≤ Alc. Bruta &lt; 7,5 mg/L",IF(Q219&lt;10,"7,5 ≤ Alc. Bruta &lt; 10,0 mg/L",IF(Q219&lt;15,"10,0 ≤ Alca. Bruta &lt; 15,0 mg/L","Alc. Bruta &gt; 15 mg/L"))))))</f>
        <v>5,0 ≤ Alc. Bruta &lt; 7,5 mg/L</v>
      </c>
      <c r="BA219" s="136" t="str">
        <f>IF(P219="","",IF(P219&lt;5,"Cor &lt;5 uC",IF(P219&lt;10,"5 ≤ Cor &lt; 10 uC",IF(P219&lt;15,"10 ≤ Cor &lt;15 uC",IF(P219&lt;30,"15 ≤ Cor &lt; 30 uC",IF(P219&lt;50,"30 ≤ Cor &lt; 50 uC","Cor &gt; 50 uC"))))))</f>
        <v>15 ≤ Cor &lt; 30 uC</v>
      </c>
      <c r="BB219" s="137" t="str">
        <f>IF(O219="","",IF(O219&lt;2.5,"Turbidez &lt; 2,5 uT",IF(O219&lt;5,"2,5 ≤ Turb &lt; 5,0 uT",IF(O219&lt;7.5,"5,0 ≤ Turb &lt; 7,5 uT",IF(O219&lt;10,"7,5 ≤ Turb &lt; 10,0 uT",IF(O219&lt;15,"10,0 ≤ Turb &lt; 15,0 uT","Turb &gt; 15 uT"))))))</f>
        <v>Turbidez &lt; 2,5 uT</v>
      </c>
      <c r="BC219" s="138" t="str">
        <f>IF(AND(C219&gt;D219,D219&gt;E219),"TOR &gt; SM &gt; BNN",IF(AND(C219&gt;E219,E219&gt;D219),"TOR &gt; BNN &gt; SM",IF(AND(D219&gt;C219,C219&gt;E219),"SM &gt; TOR &gt; BNN",IF(AND(D219&gt;E219,E219&gt;C219),"SM &gt; BNN &gt; TOR",IF(AND(C219=D219,D219=E219),"TOR = SM = BNN","Comb. diferentes")))))</f>
        <v>SM &gt; TOR &gt; BNN</v>
      </c>
      <c r="BD219" s="137" t="str">
        <f>IF(OR(AE219="",AQ219="-"),"",IF(AE219&lt;=0.25,"Tipo 1 (≤0,25) uT",IF(AE219&lt;=0.5,"Tipo 2 (0,25-0,50) uT",IF(AE219&lt;=0.75,"Tipo 3 (0,50-0,75) uT","Tipo 4 (&gt;0,75) uT"))))</f>
        <v>Tipo 1 (≤0,25) uT</v>
      </c>
      <c r="BE219" s="137" t="str">
        <f t="shared" si="21"/>
        <v>Tipo 1 (≤0,25) uT</v>
      </c>
      <c r="BF219" s="137" t="str">
        <f>IF(OR(AF219="",AQ219="-"),"",IF(AF219&lt;=0.25,"Tipo 1 (≤0,25) uT",IF(AF219&lt;=0.5,"Tipo 2 (0,25-0,50) uT",IF(AF219&lt;=0.75,"Tipo 3 (0,50-0,75) uT","Tipo 4 (&gt;0,75) uT"))))</f>
        <v>Tipo 1 (≤0,25) uT</v>
      </c>
      <c r="BG219" s="137" t="str">
        <f t="shared" si="22"/>
        <v>Tipo 1 (≤0,25) uT</v>
      </c>
      <c r="BH219" s="137" t="str">
        <f>IF(OR(R219="",R219="-"),"",IF(R219&lt;=0.25,"Tipo 1 (≤0,25) uT",IF(R219&lt;=0.5,"Tipo 2 (0,25-0,50) uT",IF(R219&lt;=0.75,"Tipo 3 (0,50-0,75) uT","Tipo 4 (&gt;0,75) uT"))))</f>
        <v>Tipo 1 (≤0,25) uT</v>
      </c>
    </row>
    <row r="220" spans="1:60" x14ac:dyDescent="0.3">
      <c r="A220" s="74">
        <v>46282</v>
      </c>
      <c r="B220" s="139">
        <v>0.72916666666666663</v>
      </c>
      <c r="C220" s="116">
        <v>389</v>
      </c>
      <c r="D220" s="116">
        <v>1665</v>
      </c>
      <c r="E220" s="116">
        <v>250</v>
      </c>
      <c r="F220" s="116">
        <v>2294</v>
      </c>
      <c r="G220" s="144" t="s">
        <v>100</v>
      </c>
      <c r="H220" s="122">
        <v>9.5</v>
      </c>
      <c r="I220" s="116">
        <v>-1.8</v>
      </c>
      <c r="J220" s="10">
        <v>90</v>
      </c>
      <c r="K220" s="116">
        <v>90</v>
      </c>
      <c r="L220" s="116">
        <v>90</v>
      </c>
      <c r="M220" s="122">
        <v>25.6</v>
      </c>
      <c r="N220" s="122">
        <v>6.3</v>
      </c>
      <c r="O220" s="79">
        <v>1.37</v>
      </c>
      <c r="P220" s="116">
        <v>14</v>
      </c>
      <c r="Q220" s="122">
        <v>6.4</v>
      </c>
      <c r="R220" s="10">
        <v>0.1</v>
      </c>
      <c r="S220" s="79">
        <v>22.36</v>
      </c>
      <c r="T220" s="79">
        <v>0.88</v>
      </c>
      <c r="U220" s="79">
        <v>0.7</v>
      </c>
      <c r="V220" s="85">
        <f t="shared" si="23"/>
        <v>1783.5850000000003</v>
      </c>
      <c r="W220" s="85">
        <f t="shared" si="24"/>
        <v>1491.1839279999999</v>
      </c>
      <c r="X220" s="85">
        <f t="shared" si="25"/>
        <v>0.83605991752565745</v>
      </c>
      <c r="Y220" s="116">
        <v>3</v>
      </c>
      <c r="Z220" s="116">
        <v>4</v>
      </c>
      <c r="AA220" s="122">
        <v>6.1</v>
      </c>
      <c r="AB220" s="116">
        <v>20</v>
      </c>
      <c r="AC220" s="122">
        <v>6.2</v>
      </c>
      <c r="AD220" s="122">
        <v>4.4000000000000004</v>
      </c>
      <c r="AE220" s="79">
        <v>0.11</v>
      </c>
      <c r="AF220" s="79">
        <v>0.11</v>
      </c>
      <c r="AG220" s="85">
        <f>(O220+0.3*H220+2)*(F220/2/AK220)</f>
        <v>1783.5850000000003</v>
      </c>
      <c r="AH220" s="85">
        <f t="shared" si="26"/>
        <v>1708.2758263999997</v>
      </c>
      <c r="AI220" s="85">
        <f t="shared" si="27"/>
        <v>0.95777651550108323</v>
      </c>
      <c r="AJ220" s="116">
        <v>3</v>
      </c>
      <c r="AK220" s="116">
        <v>4</v>
      </c>
      <c r="AL220" s="122">
        <v>6.3</v>
      </c>
      <c r="AM220" s="116">
        <v>22</v>
      </c>
      <c r="AN220" s="122">
        <v>5.9</v>
      </c>
      <c r="AO220" s="122">
        <v>4</v>
      </c>
      <c r="AP220" s="79">
        <v>0.16</v>
      </c>
      <c r="AQ220" s="79">
        <v>0.16</v>
      </c>
      <c r="AR220" s="132">
        <f>SUM(C220:E220)</f>
        <v>2304</v>
      </c>
      <c r="AS220" s="134">
        <f>C220/AR220</f>
        <v>0.16883680555555555</v>
      </c>
      <c r="AT220" s="134">
        <f>D220/AR220</f>
        <v>0.72265625</v>
      </c>
      <c r="AU220" s="134">
        <f>E220/AR220</f>
        <v>0.10850694444444445</v>
      </c>
      <c r="AV220" s="151">
        <f>IF(AND(F220&lt;&gt;"",Z220&lt;&gt;""),AB220/(F220/2/Z220),"")</f>
        <v>6.9747166521360066E-2</v>
      </c>
      <c r="AW220" s="151">
        <f>IF(AND(F220&lt;&gt;"",AK220&lt;&gt;""),AM220/(F220/2/AK220),"")</f>
        <v>7.6721883173496083E-2</v>
      </c>
      <c r="AX220" s="41">
        <f>IF(AND(AQ220&lt;&gt;"",1-(AQ220/O220)&gt;0),1-(AQ220/O220),"")</f>
        <v>0.88321167883211682</v>
      </c>
      <c r="AY220" s="41">
        <f>IF(AND(AF220&lt;&gt;"",1-(AF220/O220)&gt;0),1-(AF220/O220),"")</f>
        <v>0.91970802919708028</v>
      </c>
      <c r="AZ220" s="136" t="str">
        <f>IF(Q220="","",IF(Q220&lt;2.5,"Alc. Bruta &lt; 2,5 mg/L",IF(Q220&lt;5,"2,5 ≤ Alc. Bruta &lt; 5,0 mg/L",IF(Q220&lt;7.5,"5,0 ≤ Alc. Bruta &lt; 7,5 mg/L",IF(Q220&lt;10,"7,5 ≤ Alc. Bruta &lt; 10,0 mg/L",IF(Q220&lt;15,"10,0 ≤ Alca. Bruta &lt; 15,0 mg/L","Alc. Bruta &gt; 15 mg/L"))))))</f>
        <v>5,0 ≤ Alc. Bruta &lt; 7,5 mg/L</v>
      </c>
      <c r="BA220" s="136" t="str">
        <f>IF(P220="","",IF(P220&lt;5,"Cor &lt;5 uC",IF(P220&lt;10,"5 ≤ Cor &lt; 10 uC",IF(P220&lt;15,"10 ≤ Cor &lt;15 uC",IF(P220&lt;30,"15 ≤ Cor &lt; 30 uC",IF(P220&lt;50,"30 ≤ Cor &lt; 50 uC","Cor &gt; 50 uC"))))))</f>
        <v>10 ≤ Cor &lt;15 uC</v>
      </c>
      <c r="BB220" s="137" t="str">
        <f>IF(O220="","",IF(O220&lt;2.5,"Turbidez &lt; 2,5 uT",IF(O220&lt;5,"2,5 ≤ Turb &lt; 5,0 uT",IF(O220&lt;7.5,"5,0 ≤ Turb &lt; 7,5 uT",IF(O220&lt;10,"7,5 ≤ Turb &lt; 10,0 uT",IF(O220&lt;15,"10,0 ≤ Turb &lt; 15,0 uT","Turb &gt; 15 uT"))))))</f>
        <v>Turbidez &lt; 2,5 uT</v>
      </c>
      <c r="BC220" s="138" t="str">
        <f>IF(AND(C220&gt;D220,D220&gt;E220),"TOR &gt; SM &gt; BNN",IF(AND(C220&gt;E220,E220&gt;D220),"TOR &gt; BNN &gt; SM",IF(AND(D220&gt;C220,C220&gt;E220),"SM &gt; TOR &gt; BNN",IF(AND(D220&gt;E220,E220&gt;C220),"SM &gt; BNN &gt; TOR",IF(AND(C220=D220,D220=E220),"TOR = SM = BNN","Comb. diferentes")))))</f>
        <v>SM &gt; TOR &gt; BNN</v>
      </c>
      <c r="BD220" s="137" t="str">
        <f>IF(OR(AE220="",AQ220="-"),"",IF(AE220&lt;=0.25,"Tipo 1 (≤0,25) uT",IF(AE220&lt;=0.5,"Tipo 2 (0,25-0,50) uT",IF(AE220&lt;=0.75,"Tipo 3 (0,50-0,75) uT","Tipo 4 (&gt;0,75) uT"))))</f>
        <v>Tipo 1 (≤0,25) uT</v>
      </c>
      <c r="BE220" s="137" t="str">
        <f t="shared" si="21"/>
        <v>Tipo 1 (≤0,25) uT</v>
      </c>
      <c r="BF220" s="137" t="str">
        <f>IF(OR(AF220="",AQ220="-"),"",IF(AF220&lt;=0.25,"Tipo 1 (≤0,25) uT",IF(AF220&lt;=0.5,"Tipo 2 (0,25-0,50) uT",IF(AF220&lt;=0.75,"Tipo 3 (0,50-0,75) uT","Tipo 4 (&gt;0,75) uT"))))</f>
        <v>Tipo 1 (≤0,25) uT</v>
      </c>
      <c r="BG220" s="137" t="str">
        <f t="shared" si="22"/>
        <v>Tipo 1 (≤0,25) uT</v>
      </c>
      <c r="BH220" s="137" t="str">
        <f>IF(OR(R220="",R220="-"),"",IF(R220&lt;=0.25,"Tipo 1 (≤0,25) uT",IF(R220&lt;=0.5,"Tipo 2 (0,25-0,50) uT",IF(R220&lt;=0.75,"Tipo 3 (0,50-0,75) uT","Tipo 4 (&gt;0,75) uT"))))</f>
        <v>Tipo 1 (≤0,25) uT</v>
      </c>
    </row>
    <row r="221" spans="1:60" x14ac:dyDescent="0.3">
      <c r="A221" s="74">
        <v>46282</v>
      </c>
      <c r="B221" s="139">
        <v>0.8125</v>
      </c>
      <c r="C221" s="116">
        <v>402</v>
      </c>
      <c r="D221" s="116">
        <v>1613</v>
      </c>
      <c r="E221" s="116">
        <v>250</v>
      </c>
      <c r="F221" s="116">
        <v>2264</v>
      </c>
      <c r="G221" s="144" t="s">
        <v>100</v>
      </c>
      <c r="H221" s="122">
        <v>9.5</v>
      </c>
      <c r="I221" s="116">
        <v>-15.6</v>
      </c>
      <c r="J221" s="10">
        <v>90</v>
      </c>
      <c r="K221" s="116">
        <v>90</v>
      </c>
      <c r="L221" s="116">
        <v>90</v>
      </c>
      <c r="M221" s="122">
        <v>23.9</v>
      </c>
      <c r="N221" s="122">
        <v>6.3</v>
      </c>
      <c r="O221" s="79">
        <v>1.7</v>
      </c>
      <c r="P221" s="116">
        <v>15</v>
      </c>
      <c r="Q221" s="122">
        <v>6.3</v>
      </c>
      <c r="R221" s="10">
        <v>0.1</v>
      </c>
      <c r="S221" s="79">
        <v>22.36</v>
      </c>
      <c r="T221" s="79">
        <v>0.88</v>
      </c>
      <c r="U221" s="79">
        <v>0.7</v>
      </c>
      <c r="V221" s="85">
        <f t="shared" si="23"/>
        <v>1853.6499999999999</v>
      </c>
      <c r="W221" s="85">
        <f t="shared" si="24"/>
        <v>1491.1839279999999</v>
      </c>
      <c r="X221" s="85">
        <f t="shared" si="25"/>
        <v>0.80445819221535886</v>
      </c>
      <c r="Y221" s="116">
        <v>3</v>
      </c>
      <c r="Z221" s="116">
        <v>4</v>
      </c>
      <c r="AA221" s="122">
        <v>6.1</v>
      </c>
      <c r="AB221" s="116">
        <v>20</v>
      </c>
      <c r="AC221" s="122">
        <v>6.2</v>
      </c>
      <c r="AD221" s="122">
        <v>4.7</v>
      </c>
      <c r="AE221" s="79">
        <v>0.16</v>
      </c>
      <c r="AF221" s="79">
        <v>0.11</v>
      </c>
      <c r="AG221" s="85">
        <f>(O221+0.3*H221+2)*(F221/2/AK221)</f>
        <v>1853.6499999999999</v>
      </c>
      <c r="AH221" s="85">
        <f t="shared" si="26"/>
        <v>1708.2758263999997</v>
      </c>
      <c r="AI221" s="85">
        <f t="shared" si="27"/>
        <v>0.92157409780702926</v>
      </c>
      <c r="AJ221" s="116">
        <v>3</v>
      </c>
      <c r="AK221" s="116">
        <v>4</v>
      </c>
      <c r="AL221" s="122">
        <v>6.3</v>
      </c>
      <c r="AM221" s="116">
        <v>22</v>
      </c>
      <c r="AN221" s="122">
        <v>6</v>
      </c>
      <c r="AO221" s="122">
        <v>4.9000000000000004</v>
      </c>
      <c r="AP221" s="79">
        <v>0.32</v>
      </c>
      <c r="AQ221" s="79">
        <v>0.32</v>
      </c>
      <c r="AR221" s="132">
        <f>SUM(C221:E221)</f>
        <v>2265</v>
      </c>
      <c r="AS221" s="134">
        <f>C221/AR221</f>
        <v>0.17748344370860927</v>
      </c>
      <c r="AT221" s="134">
        <f>D221/AR221</f>
        <v>0.7121412803532009</v>
      </c>
      <c r="AU221" s="134">
        <f>E221/AR221</f>
        <v>0.11037527593818984</v>
      </c>
      <c r="AV221" s="151">
        <f>IF(AND(F221&lt;&gt;"",Z221&lt;&gt;""),AB221/(F221/2/Z221),"")</f>
        <v>7.0671378091872794E-2</v>
      </c>
      <c r="AW221" s="151">
        <f>IF(AND(F221&lt;&gt;"",AK221&lt;&gt;""),AM221/(F221/2/AK221),"")</f>
        <v>7.7738515901060068E-2</v>
      </c>
      <c r="AX221" s="41">
        <f>IF(AND(AQ221&lt;&gt;"",1-(AQ221/O221)&gt;0),1-(AQ221/O221),"")</f>
        <v>0.81176470588235294</v>
      </c>
      <c r="AY221" s="41">
        <f>IF(AND(AF221&lt;&gt;"",1-(AF221/O221)&gt;0),1-(AF221/O221),"")</f>
        <v>0.93529411764705883</v>
      </c>
      <c r="AZ221" s="136" t="str">
        <f>IF(Q221="","",IF(Q221&lt;2.5,"Alc. Bruta &lt; 2,5 mg/L",IF(Q221&lt;5,"2,5 ≤ Alc. Bruta &lt; 5,0 mg/L",IF(Q221&lt;7.5,"5,0 ≤ Alc. Bruta &lt; 7,5 mg/L",IF(Q221&lt;10,"7,5 ≤ Alc. Bruta &lt; 10,0 mg/L",IF(Q221&lt;15,"10,0 ≤ Alca. Bruta &lt; 15,0 mg/L","Alc. Bruta &gt; 15 mg/L"))))))</f>
        <v>5,0 ≤ Alc. Bruta &lt; 7,5 mg/L</v>
      </c>
      <c r="BA221" s="136" t="str">
        <f>IF(P221="","",IF(P221&lt;5,"Cor &lt;5 uC",IF(P221&lt;10,"5 ≤ Cor &lt; 10 uC",IF(P221&lt;15,"10 ≤ Cor &lt;15 uC",IF(P221&lt;30,"15 ≤ Cor &lt; 30 uC",IF(P221&lt;50,"30 ≤ Cor &lt; 50 uC","Cor &gt; 50 uC"))))))</f>
        <v>15 ≤ Cor &lt; 30 uC</v>
      </c>
      <c r="BB221" s="137" t="str">
        <f>IF(O221="","",IF(O221&lt;2.5,"Turbidez &lt; 2,5 uT",IF(O221&lt;5,"2,5 ≤ Turb &lt; 5,0 uT",IF(O221&lt;7.5,"5,0 ≤ Turb &lt; 7,5 uT",IF(O221&lt;10,"7,5 ≤ Turb &lt; 10,0 uT",IF(O221&lt;15,"10,0 ≤ Turb &lt; 15,0 uT","Turb &gt; 15 uT"))))))</f>
        <v>Turbidez &lt; 2,5 uT</v>
      </c>
      <c r="BC221" s="138" t="str">
        <f>IF(AND(C221&gt;D221,D221&gt;E221),"TOR &gt; SM &gt; BNN",IF(AND(C221&gt;E221,E221&gt;D221),"TOR &gt; BNN &gt; SM",IF(AND(D221&gt;C221,C221&gt;E221),"SM &gt; TOR &gt; BNN",IF(AND(D221&gt;E221,E221&gt;C221),"SM &gt; BNN &gt; TOR",IF(AND(C221=D221,D221=E221),"TOR = SM = BNN","Comb. diferentes")))))</f>
        <v>SM &gt; TOR &gt; BNN</v>
      </c>
      <c r="BD221" s="137" t="str">
        <f>IF(OR(AE221="",AQ221="-"),"",IF(AE221&lt;=0.25,"Tipo 1 (≤0,25) uT",IF(AE221&lt;=0.5,"Tipo 2 (0,25-0,50) uT",IF(AE221&lt;=0.75,"Tipo 3 (0,50-0,75) uT","Tipo 4 (&gt;0,75) uT"))))</f>
        <v>Tipo 1 (≤0,25) uT</v>
      </c>
      <c r="BE221" s="137" t="str">
        <f t="shared" si="21"/>
        <v>Tipo 2 (0,25-0,50) uT</v>
      </c>
      <c r="BF221" s="137" t="str">
        <f>IF(OR(AF221="",AQ221="-"),"",IF(AF221&lt;=0.25,"Tipo 1 (≤0,25) uT",IF(AF221&lt;=0.5,"Tipo 2 (0,25-0,50) uT",IF(AF221&lt;=0.75,"Tipo 3 (0,50-0,75) uT","Tipo 4 (&gt;0,75) uT"))))</f>
        <v>Tipo 1 (≤0,25) uT</v>
      </c>
      <c r="BG221" s="137" t="str">
        <f t="shared" si="22"/>
        <v>Tipo 2 (0,25-0,50) uT</v>
      </c>
      <c r="BH221" s="137" t="str">
        <f>IF(OR(R221="",R221="-"),"",IF(R221&lt;=0.25,"Tipo 1 (≤0,25) uT",IF(R221&lt;=0.5,"Tipo 2 (0,25-0,50) uT",IF(R221&lt;=0.75,"Tipo 3 (0,50-0,75) uT","Tipo 4 (&gt;0,75) uT"))))</f>
        <v>Tipo 1 (≤0,25) uT</v>
      </c>
    </row>
    <row r="222" spans="1:60" x14ac:dyDescent="0.3">
      <c r="A222" s="74">
        <v>46282</v>
      </c>
      <c r="B222" s="139">
        <v>0.89583333333333337</v>
      </c>
      <c r="C222" s="116">
        <v>384</v>
      </c>
      <c r="D222" s="116">
        <v>1693</v>
      </c>
      <c r="E222" s="116">
        <v>250</v>
      </c>
      <c r="F222" s="116">
        <v>2260</v>
      </c>
      <c r="G222" s="144" t="s">
        <v>100</v>
      </c>
      <c r="H222" s="122">
        <v>9.5</v>
      </c>
      <c r="I222" s="116">
        <v>14.8</v>
      </c>
      <c r="J222" s="10">
        <v>90</v>
      </c>
      <c r="K222" s="116">
        <v>90</v>
      </c>
      <c r="L222" s="116">
        <v>90</v>
      </c>
      <c r="M222" s="122">
        <v>25.1</v>
      </c>
      <c r="N222" s="122">
        <v>6.4</v>
      </c>
      <c r="O222" s="79">
        <v>1.22</v>
      </c>
      <c r="P222" s="116">
        <v>10</v>
      </c>
      <c r="Q222" s="122">
        <v>6.5</v>
      </c>
      <c r="R222" s="10">
        <v>0.09</v>
      </c>
      <c r="S222" s="79">
        <v>22.36</v>
      </c>
      <c r="T222" s="79">
        <v>0.88</v>
      </c>
      <c r="U222" s="79">
        <v>0.7</v>
      </c>
      <c r="V222" s="85">
        <f t="shared" si="23"/>
        <v>1714.7750000000001</v>
      </c>
      <c r="W222" s="85">
        <f t="shared" si="24"/>
        <v>1460.2868799999999</v>
      </c>
      <c r="X222" s="85">
        <f t="shared" si="25"/>
        <v>0.85159095508157034</v>
      </c>
      <c r="Y222" s="116">
        <v>3</v>
      </c>
      <c r="Z222" s="116">
        <v>4</v>
      </c>
      <c r="AA222" s="122">
        <v>6</v>
      </c>
      <c r="AB222" s="116">
        <v>20</v>
      </c>
      <c r="AC222" s="122">
        <v>6.1</v>
      </c>
      <c r="AD222" s="122">
        <v>4.8</v>
      </c>
      <c r="AE222" s="79">
        <v>0.17</v>
      </c>
      <c r="AF222" s="79">
        <v>0.1</v>
      </c>
      <c r="AG222" s="85">
        <f>(O222+0.3*H222+2)*(F222/2/AK222)</f>
        <v>1714.7750000000001</v>
      </c>
      <c r="AH222" s="85">
        <f t="shared" si="26"/>
        <v>1708.2758263999997</v>
      </c>
      <c r="AI222" s="85">
        <f t="shared" si="27"/>
        <v>0.99620989715851915</v>
      </c>
      <c r="AJ222" s="116">
        <v>3</v>
      </c>
      <c r="AK222" s="116">
        <v>4</v>
      </c>
      <c r="AL222" s="122">
        <v>6.3</v>
      </c>
      <c r="AM222" s="116">
        <v>22</v>
      </c>
      <c r="AN222" s="122">
        <v>6.1</v>
      </c>
      <c r="AO222" s="122">
        <v>5.0999999999999996</v>
      </c>
      <c r="AP222" s="79">
        <v>0.26</v>
      </c>
      <c r="AQ222" s="79">
        <v>0.26</v>
      </c>
      <c r="AR222" s="132">
        <f>SUM(C222:E222)</f>
        <v>2327</v>
      </c>
      <c r="AS222" s="134">
        <f>C222/AR222</f>
        <v>0.16501933820369574</v>
      </c>
      <c r="AT222" s="134">
        <f>D222/AR222</f>
        <v>0.72754619681993982</v>
      </c>
      <c r="AU222" s="134">
        <f>E222/AR222</f>
        <v>0.10743446497636441</v>
      </c>
      <c r="AV222" s="151">
        <f>IF(AND(F222&lt;&gt;"",Z222&lt;&gt;""),AB222/(F222/2/Z222),"")</f>
        <v>7.0796460176991149E-2</v>
      </c>
      <c r="AW222" s="151">
        <f>IF(AND(F222&lt;&gt;"",AK222&lt;&gt;""),AM222/(F222/2/AK222),"")</f>
        <v>7.7876106194690264E-2</v>
      </c>
      <c r="AX222" s="41">
        <f>IF(AND(AQ222&lt;&gt;"",1-(AQ222/O222)&gt;0),1-(AQ222/O222),"")</f>
        <v>0.78688524590163933</v>
      </c>
      <c r="AY222" s="41">
        <f>IF(AND(AF222&lt;&gt;"",1-(AF222/O222)&gt;0),1-(AF222/O222),"")</f>
        <v>0.91803278688524592</v>
      </c>
      <c r="AZ222" s="136" t="str">
        <f>IF(Q222="","",IF(Q222&lt;2.5,"Alc. Bruta &lt; 2,5 mg/L",IF(Q222&lt;5,"2,5 ≤ Alc. Bruta &lt; 5,0 mg/L",IF(Q222&lt;7.5,"5,0 ≤ Alc. Bruta &lt; 7,5 mg/L",IF(Q222&lt;10,"7,5 ≤ Alc. Bruta &lt; 10,0 mg/L",IF(Q222&lt;15,"10,0 ≤ Alca. Bruta &lt; 15,0 mg/L","Alc. Bruta &gt; 15 mg/L"))))))</f>
        <v>5,0 ≤ Alc. Bruta &lt; 7,5 mg/L</v>
      </c>
      <c r="BA222" s="136" t="str">
        <f>IF(P222="","",IF(P222&lt;5,"Cor &lt;5 uC",IF(P222&lt;10,"5 ≤ Cor &lt; 10 uC",IF(P222&lt;15,"10 ≤ Cor &lt;15 uC",IF(P222&lt;30,"15 ≤ Cor &lt; 30 uC",IF(P222&lt;50,"30 ≤ Cor &lt; 50 uC","Cor &gt; 50 uC"))))))</f>
        <v>10 ≤ Cor &lt;15 uC</v>
      </c>
      <c r="BB222" s="137" t="str">
        <f>IF(O222="","",IF(O222&lt;2.5,"Turbidez &lt; 2,5 uT",IF(O222&lt;5,"2,5 ≤ Turb &lt; 5,0 uT",IF(O222&lt;7.5,"5,0 ≤ Turb &lt; 7,5 uT",IF(O222&lt;10,"7,5 ≤ Turb &lt; 10,0 uT",IF(O222&lt;15,"10,0 ≤ Turb &lt; 15,0 uT","Turb &gt; 15 uT"))))))</f>
        <v>Turbidez &lt; 2,5 uT</v>
      </c>
      <c r="BC222" s="138" t="str">
        <f>IF(AND(C222&gt;D222,D222&gt;E222),"TOR &gt; SM &gt; BNN",IF(AND(C222&gt;E222,E222&gt;D222),"TOR &gt; BNN &gt; SM",IF(AND(D222&gt;C222,C222&gt;E222),"SM &gt; TOR &gt; BNN",IF(AND(D222&gt;E222,E222&gt;C222),"SM &gt; BNN &gt; TOR",IF(AND(C222=D222,D222=E222),"TOR = SM = BNN","Comb. diferentes")))))</f>
        <v>SM &gt; TOR &gt; BNN</v>
      </c>
      <c r="BD222" s="137" t="str">
        <f>IF(OR(AE222="",AQ222="-"),"",IF(AE222&lt;=0.25,"Tipo 1 (≤0,25) uT",IF(AE222&lt;=0.5,"Tipo 2 (0,25-0,50) uT",IF(AE222&lt;=0.75,"Tipo 3 (0,50-0,75) uT","Tipo 4 (&gt;0,75) uT"))))</f>
        <v>Tipo 1 (≤0,25) uT</v>
      </c>
      <c r="BE222" s="137" t="str">
        <f t="shared" si="21"/>
        <v>Tipo 2 (0,25-0,50) uT</v>
      </c>
      <c r="BF222" s="137" t="str">
        <f>IF(OR(AF222="",AQ222="-"),"",IF(AF222&lt;=0.25,"Tipo 1 (≤0,25) uT",IF(AF222&lt;=0.5,"Tipo 2 (0,25-0,50) uT",IF(AF222&lt;=0.75,"Tipo 3 (0,50-0,75) uT","Tipo 4 (&gt;0,75) uT"))))</f>
        <v>Tipo 1 (≤0,25) uT</v>
      </c>
      <c r="BG222" s="137" t="str">
        <f t="shared" si="22"/>
        <v>Tipo 2 (0,25-0,50) uT</v>
      </c>
      <c r="BH222" s="137" t="str">
        <f>IF(OR(R222="",R222="-"),"",IF(R222&lt;=0.25,"Tipo 1 (≤0,25) uT",IF(R222&lt;=0.5,"Tipo 2 (0,25-0,50) uT",IF(R222&lt;=0.75,"Tipo 3 (0,50-0,75) uT","Tipo 4 (&gt;0,75) uT"))))</f>
        <v>Tipo 1 (≤0,25) uT</v>
      </c>
    </row>
    <row r="223" spans="1:60" x14ac:dyDescent="0.3">
      <c r="A223" s="74">
        <v>46283</v>
      </c>
      <c r="B223" s="139">
        <v>6.25E-2</v>
      </c>
      <c r="C223" s="116">
        <v>402</v>
      </c>
      <c r="D223" s="116">
        <v>1600</v>
      </c>
      <c r="E223" s="116">
        <v>249</v>
      </c>
      <c r="F223" s="116">
        <v>2312</v>
      </c>
      <c r="G223" s="144" t="s">
        <v>100</v>
      </c>
      <c r="H223" s="122">
        <v>9.5</v>
      </c>
      <c r="I223" s="116">
        <v>-29.1</v>
      </c>
      <c r="J223" s="10">
        <v>90</v>
      </c>
      <c r="K223" s="116">
        <v>90</v>
      </c>
      <c r="L223" s="116">
        <v>90</v>
      </c>
      <c r="M223" s="122">
        <v>24.9</v>
      </c>
      <c r="N223" s="122">
        <v>6.4</v>
      </c>
      <c r="O223" s="79">
        <v>1.33</v>
      </c>
      <c r="P223" s="116">
        <v>10</v>
      </c>
      <c r="Q223" s="122">
        <v>6.3</v>
      </c>
      <c r="R223" s="10">
        <v>0.1</v>
      </c>
      <c r="S223" s="79">
        <v>22.36</v>
      </c>
      <c r="T223" s="79">
        <v>0.88</v>
      </c>
      <c r="U223" s="79">
        <v>0.7</v>
      </c>
      <c r="V223" s="85">
        <f t="shared" si="23"/>
        <v>1786.02</v>
      </c>
      <c r="W223" s="85">
        <f t="shared" si="24"/>
        <v>1460.2868799999999</v>
      </c>
      <c r="X223" s="85">
        <f t="shared" si="25"/>
        <v>0.8176206761402447</v>
      </c>
      <c r="Y223" s="116">
        <v>3</v>
      </c>
      <c r="Z223" s="116">
        <v>4</v>
      </c>
      <c r="AA223" s="122">
        <v>6</v>
      </c>
      <c r="AB223" s="116">
        <v>20</v>
      </c>
      <c r="AC223" s="122">
        <v>6.4</v>
      </c>
      <c r="AD223" s="122">
        <v>5</v>
      </c>
      <c r="AE223" s="79">
        <v>0.26</v>
      </c>
      <c r="AF223" s="79">
        <v>0.19</v>
      </c>
      <c r="AG223" s="85">
        <f>(O223+0.3*H223+2)*(F223/2/AK223)</f>
        <v>1786.02</v>
      </c>
      <c r="AH223" s="85">
        <f t="shared" si="26"/>
        <v>1708.2758263999997</v>
      </c>
      <c r="AI223" s="85">
        <f t="shared" si="27"/>
        <v>0.95647071499759229</v>
      </c>
      <c r="AJ223" s="116">
        <v>3</v>
      </c>
      <c r="AK223" s="116">
        <v>4</v>
      </c>
      <c r="AL223" s="122">
        <v>6.3</v>
      </c>
      <c r="AM223" s="116">
        <v>22</v>
      </c>
      <c r="AN223" s="122">
        <v>6.1</v>
      </c>
      <c r="AO223" s="122">
        <v>5.0999999999999996</v>
      </c>
      <c r="AP223" s="79">
        <v>0.31</v>
      </c>
      <c r="AQ223" s="79">
        <v>0.31</v>
      </c>
      <c r="AR223" s="132">
        <f>SUM(C223:E223)</f>
        <v>2251</v>
      </c>
      <c r="AS223" s="134">
        <f>C223/AR223</f>
        <v>0.17858729453576189</v>
      </c>
      <c r="AT223" s="134">
        <f>D223/AR223</f>
        <v>0.71079520213238556</v>
      </c>
      <c r="AU223" s="134">
        <f>E223/AR223</f>
        <v>0.11061750333185251</v>
      </c>
      <c r="AV223" s="151">
        <f>IF(AND(F223&lt;&gt;"",Z223&lt;&gt;""),AB223/(F223/2/Z223),"")</f>
        <v>6.9204152249134954E-2</v>
      </c>
      <c r="AW223" s="151">
        <f>IF(AND(F223&lt;&gt;"",AK223&lt;&gt;""),AM223/(F223/2/AK223),"")</f>
        <v>7.6124567474048443E-2</v>
      </c>
      <c r="AX223" s="41">
        <f>IF(AND(AQ223&lt;&gt;"",1-(AQ223/O223)&gt;0),1-(AQ223/O223),"")</f>
        <v>0.76691729323308278</v>
      </c>
      <c r="AY223" s="41">
        <f>IF(AND(AF223&lt;&gt;"",1-(AF223/O223)&gt;0),1-(AF223/O223),"")</f>
        <v>0.85714285714285721</v>
      </c>
      <c r="AZ223" s="136" t="str">
        <f>IF(Q223="","",IF(Q223&lt;2.5,"Alc. Bruta &lt; 2,5 mg/L",IF(Q223&lt;5,"2,5 ≤ Alc. Bruta &lt; 5,0 mg/L",IF(Q223&lt;7.5,"5,0 ≤ Alc. Bruta &lt; 7,5 mg/L",IF(Q223&lt;10,"7,5 ≤ Alc. Bruta &lt; 10,0 mg/L",IF(Q223&lt;15,"10,0 ≤ Alca. Bruta &lt; 15,0 mg/L","Alc. Bruta &gt; 15 mg/L"))))))</f>
        <v>5,0 ≤ Alc. Bruta &lt; 7,5 mg/L</v>
      </c>
      <c r="BA223" s="136" t="str">
        <f>IF(P223="","",IF(P223&lt;5,"Cor &lt;5 uC",IF(P223&lt;10,"5 ≤ Cor &lt; 10 uC",IF(P223&lt;15,"10 ≤ Cor &lt;15 uC",IF(P223&lt;30,"15 ≤ Cor &lt; 30 uC",IF(P223&lt;50,"30 ≤ Cor &lt; 50 uC","Cor &gt; 50 uC"))))))</f>
        <v>10 ≤ Cor &lt;15 uC</v>
      </c>
      <c r="BB223" s="137" t="str">
        <f>IF(O223="","",IF(O223&lt;2.5,"Turbidez &lt; 2,5 uT",IF(O223&lt;5,"2,5 ≤ Turb &lt; 5,0 uT",IF(O223&lt;7.5,"5,0 ≤ Turb &lt; 7,5 uT",IF(O223&lt;10,"7,5 ≤ Turb &lt; 10,0 uT",IF(O223&lt;15,"10,0 ≤ Turb &lt; 15,0 uT","Turb &gt; 15 uT"))))))</f>
        <v>Turbidez &lt; 2,5 uT</v>
      </c>
      <c r="BC223" s="138" t="str">
        <f>IF(AND(C223&gt;D223,D223&gt;E223),"TOR &gt; SM &gt; BNN",IF(AND(C223&gt;E223,E223&gt;D223),"TOR &gt; BNN &gt; SM",IF(AND(D223&gt;C223,C223&gt;E223),"SM &gt; TOR &gt; BNN",IF(AND(D223&gt;E223,E223&gt;C223),"SM &gt; BNN &gt; TOR",IF(AND(C223=D223,D223=E223),"TOR = SM = BNN","Comb. diferentes")))))</f>
        <v>SM &gt; TOR &gt; BNN</v>
      </c>
      <c r="BD223" s="137" t="str">
        <f>IF(OR(AE223="",AQ223="-"),"",IF(AE223&lt;=0.25,"Tipo 1 (≤0,25) uT",IF(AE223&lt;=0.5,"Tipo 2 (0,25-0,50) uT",IF(AE223&lt;=0.75,"Tipo 3 (0,50-0,75) uT","Tipo 4 (&gt;0,75) uT"))))</f>
        <v>Tipo 2 (0,25-0,50) uT</v>
      </c>
      <c r="BE223" s="137" t="str">
        <f t="shared" si="21"/>
        <v>Tipo 2 (0,25-0,50) uT</v>
      </c>
      <c r="BF223" s="137" t="str">
        <f>IF(OR(AF223="",AQ223="-"),"",IF(AF223&lt;=0.25,"Tipo 1 (≤0,25) uT",IF(AF223&lt;=0.5,"Tipo 2 (0,25-0,50) uT",IF(AF223&lt;=0.75,"Tipo 3 (0,50-0,75) uT","Tipo 4 (&gt;0,75) uT"))))</f>
        <v>Tipo 1 (≤0,25) uT</v>
      </c>
      <c r="BG223" s="137" t="str">
        <f t="shared" si="22"/>
        <v>Tipo 2 (0,25-0,50) uT</v>
      </c>
      <c r="BH223" s="137" t="str">
        <f>IF(OR(R223="",R223="-"),"",IF(R223&lt;=0.25,"Tipo 1 (≤0,25) uT",IF(R223&lt;=0.5,"Tipo 2 (0,25-0,50) uT",IF(R223&lt;=0.75,"Tipo 3 (0,50-0,75) uT","Tipo 4 (&gt;0,75) uT"))))</f>
        <v>Tipo 1 (≤0,25) uT</v>
      </c>
    </row>
    <row r="224" spans="1:60" x14ac:dyDescent="0.3">
      <c r="A224" s="74">
        <v>46283</v>
      </c>
      <c r="B224" s="139">
        <v>0.14583333333333334</v>
      </c>
      <c r="C224" s="116">
        <v>392</v>
      </c>
      <c r="D224" s="116">
        <v>1654</v>
      </c>
      <c r="E224" s="116">
        <v>250</v>
      </c>
      <c r="F224" s="116">
        <v>2264</v>
      </c>
      <c r="G224" s="144" t="s">
        <v>100</v>
      </c>
      <c r="H224" s="122">
        <v>9.5</v>
      </c>
      <c r="I224" s="116">
        <v>-29.4</v>
      </c>
      <c r="J224" s="10">
        <v>90</v>
      </c>
      <c r="K224" s="116">
        <v>90</v>
      </c>
      <c r="L224" s="116">
        <v>90</v>
      </c>
      <c r="M224" s="122">
        <v>24.6</v>
      </c>
      <c r="N224" s="122">
        <v>6.4</v>
      </c>
      <c r="O224" s="79">
        <v>1.31</v>
      </c>
      <c r="P224" s="116">
        <v>7</v>
      </c>
      <c r="Q224" s="122">
        <v>6.4</v>
      </c>
      <c r="R224" s="10">
        <v>0.11</v>
      </c>
      <c r="S224" s="79">
        <v>22.36</v>
      </c>
      <c r="T224" s="79">
        <v>0.88</v>
      </c>
      <c r="U224" s="79">
        <v>0.7</v>
      </c>
      <c r="V224" s="85">
        <f t="shared" si="23"/>
        <v>1743.28</v>
      </c>
      <c r="W224" s="85">
        <f t="shared" si="24"/>
        <v>1536.7169375999999</v>
      </c>
      <c r="X224" s="85">
        <f t="shared" si="25"/>
        <v>0.8815089587444358</v>
      </c>
      <c r="Y224" s="116">
        <v>3</v>
      </c>
      <c r="Z224" s="116">
        <v>4</v>
      </c>
      <c r="AA224" s="122">
        <v>6.8</v>
      </c>
      <c r="AB224" s="116">
        <v>18</v>
      </c>
      <c r="AC224" s="122">
        <v>6.1</v>
      </c>
      <c r="AD224" s="122">
        <v>4.9000000000000004</v>
      </c>
      <c r="AE224" s="79">
        <v>0.2</v>
      </c>
      <c r="AF224" s="79">
        <v>0.11</v>
      </c>
      <c r="AG224" s="85">
        <f>(O224+0.3*H224+2)*(F224/2/AK224)</f>
        <v>1743.28</v>
      </c>
      <c r="AH224" s="85">
        <f t="shared" si="26"/>
        <v>1708.2758263999997</v>
      </c>
      <c r="AI224" s="85">
        <f t="shared" si="27"/>
        <v>0.9799205098435132</v>
      </c>
      <c r="AJ224" s="116">
        <v>3</v>
      </c>
      <c r="AK224" s="116">
        <v>4</v>
      </c>
      <c r="AL224" s="122">
        <v>6.3</v>
      </c>
      <c r="AM224" s="116">
        <v>22</v>
      </c>
      <c r="AN224" s="122">
        <v>6</v>
      </c>
      <c r="AO224" s="122">
        <v>5.2</v>
      </c>
      <c r="AP224" s="79">
        <v>0.22</v>
      </c>
      <c r="AQ224" s="79">
        <v>0.22</v>
      </c>
      <c r="AR224" s="132">
        <f>SUM(C224:E224)</f>
        <v>2296</v>
      </c>
      <c r="AS224" s="134">
        <f>C224/AR224</f>
        <v>0.17073170731707318</v>
      </c>
      <c r="AT224" s="134">
        <f>D224/AR224</f>
        <v>0.72038327526132406</v>
      </c>
      <c r="AU224" s="134">
        <f>E224/AR224</f>
        <v>0.10888501742160278</v>
      </c>
      <c r="AV224" s="151">
        <f>IF(AND(F224&lt;&gt;"",Z224&lt;&gt;""),AB224/(F224/2/Z224),"")</f>
        <v>6.3604240282685506E-2</v>
      </c>
      <c r="AW224" s="151">
        <f>IF(AND(F224&lt;&gt;"",AK224&lt;&gt;""),AM224/(F224/2/AK224),"")</f>
        <v>7.7738515901060068E-2</v>
      </c>
      <c r="AX224" s="41">
        <f>IF(AND(AQ224&lt;&gt;"",1-(AQ224/O224)&gt;0),1-(AQ224/O224),"")</f>
        <v>0.83206106870229002</v>
      </c>
      <c r="AY224" s="41">
        <f>IF(AND(AF224&lt;&gt;"",1-(AF224/O224)&gt;0),1-(AF224/O224),"")</f>
        <v>0.91603053435114501</v>
      </c>
      <c r="AZ224" s="136" t="str">
        <f>IF(Q224="","",IF(Q224&lt;2.5,"Alc. Bruta &lt; 2,5 mg/L",IF(Q224&lt;5,"2,5 ≤ Alc. Bruta &lt; 5,0 mg/L",IF(Q224&lt;7.5,"5,0 ≤ Alc. Bruta &lt; 7,5 mg/L",IF(Q224&lt;10,"7,5 ≤ Alc. Bruta &lt; 10,0 mg/L",IF(Q224&lt;15,"10,0 ≤ Alca. Bruta &lt; 15,0 mg/L","Alc. Bruta &gt; 15 mg/L"))))))</f>
        <v>5,0 ≤ Alc. Bruta &lt; 7,5 mg/L</v>
      </c>
      <c r="BA224" s="136" t="str">
        <f>IF(P224="","",IF(P224&lt;5,"Cor &lt;5 uC",IF(P224&lt;10,"5 ≤ Cor &lt; 10 uC",IF(P224&lt;15,"10 ≤ Cor &lt;15 uC",IF(P224&lt;30,"15 ≤ Cor &lt; 30 uC",IF(P224&lt;50,"30 ≤ Cor &lt; 50 uC","Cor &gt; 50 uC"))))))</f>
        <v>5 ≤ Cor &lt; 10 uC</v>
      </c>
      <c r="BB224" s="137" t="str">
        <f>IF(O224="","",IF(O224&lt;2.5,"Turbidez &lt; 2,5 uT",IF(O224&lt;5,"2,5 ≤ Turb &lt; 5,0 uT",IF(O224&lt;7.5,"5,0 ≤ Turb &lt; 7,5 uT",IF(O224&lt;10,"7,5 ≤ Turb &lt; 10,0 uT",IF(O224&lt;15,"10,0 ≤ Turb &lt; 15,0 uT","Turb &gt; 15 uT"))))))</f>
        <v>Turbidez &lt; 2,5 uT</v>
      </c>
      <c r="BC224" s="138" t="str">
        <f>IF(AND(C224&gt;D224,D224&gt;E224),"TOR &gt; SM &gt; BNN",IF(AND(C224&gt;E224,E224&gt;D224),"TOR &gt; BNN &gt; SM",IF(AND(D224&gt;C224,C224&gt;E224),"SM &gt; TOR &gt; BNN",IF(AND(D224&gt;E224,E224&gt;C224),"SM &gt; BNN &gt; TOR",IF(AND(C224=D224,D224=E224),"TOR = SM = BNN","Comb. diferentes")))))</f>
        <v>SM &gt; TOR &gt; BNN</v>
      </c>
      <c r="BD224" s="137" t="str">
        <f>IF(OR(AE224="",AQ224="-"),"",IF(AE224&lt;=0.25,"Tipo 1 (≤0,25) uT",IF(AE224&lt;=0.5,"Tipo 2 (0,25-0,50) uT",IF(AE224&lt;=0.75,"Tipo 3 (0,50-0,75) uT","Tipo 4 (&gt;0,75) uT"))))</f>
        <v>Tipo 1 (≤0,25) uT</v>
      </c>
      <c r="BE224" s="137" t="str">
        <f t="shared" si="21"/>
        <v>Tipo 1 (≤0,25) uT</v>
      </c>
      <c r="BF224" s="137" t="str">
        <f>IF(OR(AF224="",AQ224="-"),"",IF(AF224&lt;=0.25,"Tipo 1 (≤0,25) uT",IF(AF224&lt;=0.5,"Tipo 2 (0,25-0,50) uT",IF(AF224&lt;=0.75,"Tipo 3 (0,50-0,75) uT","Tipo 4 (&gt;0,75) uT"))))</f>
        <v>Tipo 1 (≤0,25) uT</v>
      </c>
      <c r="BG224" s="137" t="str">
        <f t="shared" si="22"/>
        <v>Tipo 1 (≤0,25) uT</v>
      </c>
      <c r="BH224" s="137" t="str">
        <f>IF(OR(R224="",R224="-"),"",IF(R224&lt;=0.25,"Tipo 1 (≤0,25) uT",IF(R224&lt;=0.5,"Tipo 2 (0,25-0,50) uT",IF(R224&lt;=0.75,"Tipo 3 (0,50-0,75) uT","Tipo 4 (&gt;0,75) uT"))))</f>
        <v>Tipo 1 (≤0,25) uT</v>
      </c>
    </row>
    <row r="225" spans="1:60" ht="15" thickBot="1" x14ac:dyDescent="0.35">
      <c r="A225" s="75">
        <v>46283</v>
      </c>
      <c r="B225" s="140">
        <v>0.22916666666666666</v>
      </c>
      <c r="C225" s="117">
        <v>401</v>
      </c>
      <c r="D225" s="117">
        <v>1622</v>
      </c>
      <c r="E225" s="117">
        <v>249</v>
      </c>
      <c r="F225" s="117">
        <v>2250</v>
      </c>
      <c r="G225" s="145" t="s">
        <v>100</v>
      </c>
      <c r="H225" s="123">
        <v>9.5</v>
      </c>
      <c r="I225" s="117">
        <v>-34.200000000000003</v>
      </c>
      <c r="J225" s="11">
        <v>90</v>
      </c>
      <c r="K225" s="117">
        <v>90</v>
      </c>
      <c r="L225" s="117">
        <v>90</v>
      </c>
      <c r="M225" s="123">
        <v>24.2</v>
      </c>
      <c r="N225" s="123">
        <v>6.5</v>
      </c>
      <c r="O225" s="80">
        <v>1.29</v>
      </c>
      <c r="P225" s="117">
        <v>7</v>
      </c>
      <c r="Q225" s="123">
        <v>6.4</v>
      </c>
      <c r="R225" s="11">
        <v>0.12</v>
      </c>
      <c r="S225" s="79">
        <v>22.36</v>
      </c>
      <c r="T225" s="79">
        <v>0.88</v>
      </c>
      <c r="U225" s="79">
        <v>0.7</v>
      </c>
      <c r="V225" s="85">
        <f t="shared" si="23"/>
        <v>1726.8750000000002</v>
      </c>
      <c r="W225" s="85">
        <f t="shared" si="24"/>
        <v>1460.2868799999999</v>
      </c>
      <c r="X225" s="85">
        <f t="shared" si="25"/>
        <v>0.84562396235975368</v>
      </c>
      <c r="Y225" s="117">
        <v>3</v>
      </c>
      <c r="Z225" s="117">
        <v>4</v>
      </c>
      <c r="AA225" s="123">
        <v>6</v>
      </c>
      <c r="AB225" s="117">
        <v>20</v>
      </c>
      <c r="AC225" s="123">
        <v>6.2</v>
      </c>
      <c r="AD225" s="123">
        <v>5</v>
      </c>
      <c r="AE225" s="80">
        <v>0.12</v>
      </c>
      <c r="AF225" s="80">
        <v>0.11</v>
      </c>
      <c r="AG225" s="85">
        <f>(O225+0.3*H225+2)*(F225/2/AK225)</f>
        <v>1726.8750000000002</v>
      </c>
      <c r="AH225" s="85">
        <f t="shared" si="26"/>
        <v>1785.9247275999996</v>
      </c>
      <c r="AI225" s="85">
        <f t="shared" si="27"/>
        <v>1.0341945581469414</v>
      </c>
      <c r="AJ225" s="117">
        <v>3</v>
      </c>
      <c r="AK225" s="117">
        <v>4</v>
      </c>
      <c r="AL225" s="123">
        <v>6.3</v>
      </c>
      <c r="AM225" s="117">
        <v>23</v>
      </c>
      <c r="AN225" s="123">
        <v>6.2</v>
      </c>
      <c r="AO225" s="123">
        <v>5.3</v>
      </c>
      <c r="AP225" s="80">
        <v>0.15</v>
      </c>
      <c r="AQ225" s="80">
        <v>0.15</v>
      </c>
      <c r="AR225" s="132">
        <f>SUM(C225:E225)</f>
        <v>2272</v>
      </c>
      <c r="AS225" s="134">
        <f>C225/AR225</f>
        <v>0.17649647887323944</v>
      </c>
      <c r="AT225" s="134">
        <f>D225/AR225</f>
        <v>0.71390845070422537</v>
      </c>
      <c r="AU225" s="134">
        <f>E225/AR225</f>
        <v>0.10959507042253522</v>
      </c>
      <c r="AV225" s="151">
        <f>IF(AND(F225&lt;&gt;"",Z225&lt;&gt;""),AB225/(F225/2/Z225),"")</f>
        <v>7.1111111111111111E-2</v>
      </c>
      <c r="AW225" s="151">
        <f>IF(AND(F225&lt;&gt;"",AK225&lt;&gt;""),AM225/(F225/2/AK225),"")</f>
        <v>8.1777777777777783E-2</v>
      </c>
      <c r="AX225" s="41">
        <f>IF(AND(AQ225&lt;&gt;"",1-(AQ225/O225)&gt;0),1-(AQ225/O225),"")</f>
        <v>0.88372093023255816</v>
      </c>
      <c r="AY225" s="41">
        <f>IF(AND(AF225&lt;&gt;"",1-(AF225/O225)&gt;0),1-(AF225/O225),"")</f>
        <v>0.9147286821705426</v>
      </c>
      <c r="AZ225" s="136" t="str">
        <f>IF(Q225="","",IF(Q225&lt;2.5,"Alc. Bruta &lt; 2,5 mg/L",IF(Q225&lt;5,"2,5 ≤ Alc. Bruta &lt; 5,0 mg/L",IF(Q225&lt;7.5,"5,0 ≤ Alc. Bruta &lt; 7,5 mg/L",IF(Q225&lt;10,"7,5 ≤ Alc. Bruta &lt; 10,0 mg/L",IF(Q225&lt;15,"10,0 ≤ Alca. Bruta &lt; 15,0 mg/L","Alc. Bruta &gt; 15 mg/L"))))))</f>
        <v>5,0 ≤ Alc. Bruta &lt; 7,5 mg/L</v>
      </c>
      <c r="BA225" s="136" t="str">
        <f>IF(P225="","",IF(P225&lt;5,"Cor &lt;5 uC",IF(P225&lt;10,"5 ≤ Cor &lt; 10 uC",IF(P225&lt;15,"10 ≤ Cor &lt;15 uC",IF(P225&lt;30,"15 ≤ Cor &lt; 30 uC",IF(P225&lt;50,"30 ≤ Cor &lt; 50 uC","Cor &gt; 50 uC"))))))</f>
        <v>5 ≤ Cor &lt; 10 uC</v>
      </c>
      <c r="BB225" s="137" t="str">
        <f>IF(O225="","",IF(O225&lt;2.5,"Turbidez &lt; 2,5 uT",IF(O225&lt;5,"2,5 ≤ Turb &lt; 5,0 uT",IF(O225&lt;7.5,"5,0 ≤ Turb &lt; 7,5 uT",IF(O225&lt;10,"7,5 ≤ Turb &lt; 10,0 uT",IF(O225&lt;15,"10,0 ≤ Turb &lt; 15,0 uT","Turb &gt; 15 uT"))))))</f>
        <v>Turbidez &lt; 2,5 uT</v>
      </c>
      <c r="BC225" s="138" t="str">
        <f>IF(AND(C225&gt;D225,D225&gt;E225),"TOR &gt; SM &gt; BNN",IF(AND(C225&gt;E225,E225&gt;D225),"TOR &gt; BNN &gt; SM",IF(AND(D225&gt;C225,C225&gt;E225),"SM &gt; TOR &gt; BNN",IF(AND(D225&gt;E225,E225&gt;C225),"SM &gt; BNN &gt; TOR",IF(AND(C225=D225,D225=E225),"TOR = SM = BNN","Comb. diferentes")))))</f>
        <v>SM &gt; TOR &gt; BNN</v>
      </c>
      <c r="BD225" s="137" t="str">
        <f>IF(OR(AE225="",AQ225="-"),"",IF(AE225&lt;=0.25,"Tipo 1 (≤0,25) uT",IF(AE225&lt;=0.5,"Tipo 2 (0,25-0,50) uT",IF(AE225&lt;=0.75,"Tipo 3 (0,50-0,75) uT","Tipo 4 (&gt;0,75) uT"))))</f>
        <v>Tipo 1 (≤0,25) uT</v>
      </c>
      <c r="BE225" s="137" t="str">
        <f t="shared" si="21"/>
        <v>Tipo 1 (≤0,25) uT</v>
      </c>
      <c r="BF225" s="137" t="str">
        <f>IF(OR(AF225="",AQ225="-"),"",IF(AF225&lt;=0.25,"Tipo 1 (≤0,25) uT",IF(AF225&lt;=0.5,"Tipo 2 (0,25-0,50) uT",IF(AF225&lt;=0.75,"Tipo 3 (0,50-0,75) uT","Tipo 4 (&gt;0,75) uT"))))</f>
        <v>Tipo 1 (≤0,25) uT</v>
      </c>
      <c r="BG225" s="137" t="str">
        <f t="shared" si="22"/>
        <v>Tipo 1 (≤0,25) uT</v>
      </c>
      <c r="BH225" s="137" t="str">
        <f>IF(OR(R225="",R225="-"),"",IF(R225&lt;=0.25,"Tipo 1 (≤0,25) uT",IF(R225&lt;=0.5,"Tipo 2 (0,25-0,50) uT",IF(R225&lt;=0.75,"Tipo 3 (0,50-0,75) uT","Tipo 4 (&gt;0,75) uT"))))</f>
        <v>Tipo 1 (≤0,25) uT</v>
      </c>
    </row>
    <row r="226" spans="1:60" x14ac:dyDescent="0.3">
      <c r="A226" s="73">
        <v>46283</v>
      </c>
      <c r="B226" s="141">
        <v>0.3125</v>
      </c>
      <c r="C226" s="118">
        <v>397</v>
      </c>
      <c r="D226" s="118">
        <v>1628</v>
      </c>
      <c r="E226" s="118">
        <v>250</v>
      </c>
      <c r="F226" s="118">
        <v>2251</v>
      </c>
      <c r="G226" s="146" t="s">
        <v>100</v>
      </c>
      <c r="H226" s="124">
        <v>9.5</v>
      </c>
      <c r="I226" s="118">
        <v>-23</v>
      </c>
      <c r="J226" s="9">
        <v>90</v>
      </c>
      <c r="K226" s="118">
        <v>90</v>
      </c>
      <c r="L226" s="118">
        <v>90</v>
      </c>
      <c r="M226" s="124">
        <v>24.1</v>
      </c>
      <c r="N226" s="124">
        <v>6.5</v>
      </c>
      <c r="O226" s="81">
        <v>1.32</v>
      </c>
      <c r="P226" s="118">
        <v>10</v>
      </c>
      <c r="Q226" s="124">
        <v>6.8</v>
      </c>
      <c r="R226" s="9">
        <v>0.11</v>
      </c>
      <c r="S226" s="79">
        <v>22.36</v>
      </c>
      <c r="T226" s="79">
        <v>0.88</v>
      </c>
      <c r="U226" s="79">
        <v>0.7</v>
      </c>
      <c r="V226" s="85">
        <f t="shared" si="23"/>
        <v>1736.08375</v>
      </c>
      <c r="W226" s="85">
        <f t="shared" si="24"/>
        <v>1524.7355663799997</v>
      </c>
      <c r="X226" s="85">
        <f t="shared" si="25"/>
        <v>0.87826152763655541</v>
      </c>
      <c r="Y226" s="118">
        <v>3</v>
      </c>
      <c r="Z226" s="118">
        <v>4</v>
      </c>
      <c r="AA226" s="124">
        <v>6.1</v>
      </c>
      <c r="AB226" s="118">
        <v>20.45</v>
      </c>
      <c r="AC226" s="124">
        <v>6.1</v>
      </c>
      <c r="AD226" s="124">
        <v>4.0999999999999996</v>
      </c>
      <c r="AE226" s="81">
        <v>0.1</v>
      </c>
      <c r="AF226" s="81">
        <v>0.11</v>
      </c>
      <c r="AG226" s="85">
        <f>(O226+0.3*H226+2)*(F226/2/AK226)</f>
        <v>1736.08375</v>
      </c>
      <c r="AH226" s="85">
        <f t="shared" si="26"/>
        <v>1771.5831092387998</v>
      </c>
      <c r="AI226" s="85">
        <f t="shared" si="27"/>
        <v>1.0204479531812909</v>
      </c>
      <c r="AJ226" s="118">
        <v>3</v>
      </c>
      <c r="AK226" s="118">
        <v>4</v>
      </c>
      <c r="AL226" s="124">
        <v>6.31</v>
      </c>
      <c r="AM226" s="118">
        <v>22.77</v>
      </c>
      <c r="AN226" s="124">
        <v>6.1</v>
      </c>
      <c r="AO226" s="124">
        <v>4.0999999999999996</v>
      </c>
      <c r="AP226" s="81">
        <v>0.11</v>
      </c>
      <c r="AQ226" s="81">
        <v>0.18</v>
      </c>
      <c r="AR226" s="132">
        <f>SUM(C226:E226)</f>
        <v>2275</v>
      </c>
      <c r="AS226" s="134">
        <f>C226/AR226</f>
        <v>0.17450549450549452</v>
      </c>
      <c r="AT226" s="134">
        <f>D226/AR226</f>
        <v>0.71560439560439559</v>
      </c>
      <c r="AU226" s="134">
        <f>E226/AR226</f>
        <v>0.10989010989010989</v>
      </c>
      <c r="AV226" s="151">
        <f>IF(AND(F226&lt;&gt;"",Z226&lt;&gt;""),AB226/(F226/2/Z226),"")</f>
        <v>7.2678809418036422E-2</v>
      </c>
      <c r="AW226" s="151">
        <f>IF(AND(F226&lt;&gt;"",AK226&lt;&gt;""),AM226/(F226/2/AK226),"")</f>
        <v>8.0924033762772102E-2</v>
      </c>
      <c r="AX226" s="41">
        <f>IF(AND(AQ226&lt;&gt;"",1-(AQ226/O226)&gt;0),1-(AQ226/O226),"")</f>
        <v>0.86363636363636365</v>
      </c>
      <c r="AY226" s="41">
        <f>IF(AND(AF226&lt;&gt;"",1-(AF226/O226)&gt;0),1-(AF226/O226),"")</f>
        <v>0.91666666666666663</v>
      </c>
      <c r="AZ226" s="136" t="str">
        <f>IF(Q226="","",IF(Q226&lt;2.5,"Alc. Bruta &lt; 2,5 mg/L",IF(Q226&lt;5,"2,5 ≤ Alc. Bruta &lt; 5,0 mg/L",IF(Q226&lt;7.5,"5,0 ≤ Alc. Bruta &lt; 7,5 mg/L",IF(Q226&lt;10,"7,5 ≤ Alc. Bruta &lt; 10,0 mg/L",IF(Q226&lt;15,"10,0 ≤ Alca. Bruta &lt; 15,0 mg/L","Alc. Bruta &gt; 15 mg/L"))))))</f>
        <v>5,0 ≤ Alc. Bruta &lt; 7,5 mg/L</v>
      </c>
      <c r="BA226" s="136" t="str">
        <f>IF(P226="","",IF(P226&lt;5,"Cor &lt;5 uC",IF(P226&lt;10,"5 ≤ Cor &lt; 10 uC",IF(P226&lt;15,"10 ≤ Cor &lt;15 uC",IF(P226&lt;30,"15 ≤ Cor &lt; 30 uC",IF(P226&lt;50,"30 ≤ Cor &lt; 50 uC","Cor &gt; 50 uC"))))))</f>
        <v>10 ≤ Cor &lt;15 uC</v>
      </c>
      <c r="BB226" s="137" t="str">
        <f>IF(O226="","",IF(O226&lt;2.5,"Turbidez &lt; 2,5 uT",IF(O226&lt;5,"2,5 ≤ Turb &lt; 5,0 uT",IF(O226&lt;7.5,"5,0 ≤ Turb &lt; 7,5 uT",IF(O226&lt;10,"7,5 ≤ Turb &lt; 10,0 uT",IF(O226&lt;15,"10,0 ≤ Turb &lt; 15,0 uT","Turb &gt; 15 uT"))))))</f>
        <v>Turbidez &lt; 2,5 uT</v>
      </c>
      <c r="BC226" s="138" t="str">
        <f>IF(AND(C226&gt;D226,D226&gt;E226),"TOR &gt; SM &gt; BNN",IF(AND(C226&gt;E226,E226&gt;D226),"TOR &gt; BNN &gt; SM",IF(AND(D226&gt;C226,C226&gt;E226),"SM &gt; TOR &gt; BNN",IF(AND(D226&gt;E226,E226&gt;C226),"SM &gt; BNN &gt; TOR",IF(AND(C226=D226,D226=E226),"TOR = SM = BNN","Comb. diferentes")))))</f>
        <v>SM &gt; TOR &gt; BNN</v>
      </c>
      <c r="BD226" s="137" t="str">
        <f>IF(OR(AE226="",AQ226="-"),"",IF(AE226&lt;=0.25,"Tipo 1 (≤0,25) uT",IF(AE226&lt;=0.5,"Tipo 2 (0,25-0,50) uT",IF(AE226&lt;=0.75,"Tipo 3 (0,50-0,75) uT","Tipo 4 (&gt;0,75) uT"))))</f>
        <v>Tipo 1 (≤0,25) uT</v>
      </c>
      <c r="BE226" s="137" t="str">
        <f t="shared" si="21"/>
        <v>Tipo 1 (≤0,25) uT</v>
      </c>
      <c r="BF226" s="137" t="str">
        <f>IF(OR(AF226="",AQ226="-"),"",IF(AF226&lt;=0.25,"Tipo 1 (≤0,25) uT",IF(AF226&lt;=0.5,"Tipo 2 (0,25-0,50) uT",IF(AF226&lt;=0.75,"Tipo 3 (0,50-0,75) uT","Tipo 4 (&gt;0,75) uT"))))</f>
        <v>Tipo 1 (≤0,25) uT</v>
      </c>
      <c r="BG226" s="137" t="str">
        <f t="shared" si="22"/>
        <v>Tipo 1 (≤0,25) uT</v>
      </c>
      <c r="BH226" s="137" t="str">
        <f>IF(OR(R226="",R226="-"),"",IF(R226&lt;=0.25,"Tipo 1 (≤0,25) uT",IF(R226&lt;=0.5,"Tipo 2 (0,25-0,50) uT",IF(R226&lt;=0.75,"Tipo 3 (0,50-0,75) uT","Tipo 4 (&gt;0,75) uT"))))</f>
        <v>Tipo 1 (≤0,25) uT</v>
      </c>
    </row>
    <row r="227" spans="1:60" x14ac:dyDescent="0.3">
      <c r="A227" s="74">
        <v>46283</v>
      </c>
      <c r="B227" s="139">
        <v>0.39583333333333331</v>
      </c>
      <c r="C227" s="116">
        <v>385</v>
      </c>
      <c r="D227" s="116">
        <v>1626</v>
      </c>
      <c r="E227" s="116">
        <v>250</v>
      </c>
      <c r="F227" s="116">
        <v>2284</v>
      </c>
      <c r="G227" s="144" t="s">
        <v>100</v>
      </c>
      <c r="H227" s="122">
        <v>9.5</v>
      </c>
      <c r="I227" s="116">
        <v>-19</v>
      </c>
      <c r="J227" s="10">
        <v>90</v>
      </c>
      <c r="K227" s="116">
        <v>90</v>
      </c>
      <c r="L227" s="116">
        <v>90</v>
      </c>
      <c r="M227" s="122">
        <v>25.2</v>
      </c>
      <c r="N227" s="122">
        <v>6.5</v>
      </c>
      <c r="O227" s="79">
        <v>1.44</v>
      </c>
      <c r="P227" s="116">
        <v>10</v>
      </c>
      <c r="Q227" s="122">
        <v>6.8</v>
      </c>
      <c r="R227" s="10">
        <v>0.1</v>
      </c>
      <c r="S227" s="79">
        <v>22.36</v>
      </c>
      <c r="T227" s="79">
        <v>0.88</v>
      </c>
      <c r="U227" s="79">
        <v>0.7</v>
      </c>
      <c r="V227" s="85">
        <f t="shared" si="23"/>
        <v>1795.7950000000001</v>
      </c>
      <c r="W227" s="85">
        <f t="shared" si="24"/>
        <v>1485.8419004</v>
      </c>
      <c r="X227" s="85">
        <f t="shared" si="25"/>
        <v>0.82740062223137933</v>
      </c>
      <c r="Y227" s="116">
        <v>3</v>
      </c>
      <c r="Z227" s="116">
        <v>4</v>
      </c>
      <c r="AA227" s="122">
        <v>6</v>
      </c>
      <c r="AB227" s="116">
        <v>20.350000000000001</v>
      </c>
      <c r="AC227" s="122">
        <v>6.1</v>
      </c>
      <c r="AD227" s="122">
        <v>4.3</v>
      </c>
      <c r="AE227" s="79">
        <v>0.11</v>
      </c>
      <c r="AF227" s="79">
        <v>0.12</v>
      </c>
      <c r="AG227" s="85">
        <f>(O227+0.3*H227+2)*(F227/2/AK227)</f>
        <v>1795.7950000000001</v>
      </c>
      <c r="AH227" s="85">
        <f t="shared" si="26"/>
        <v>1774.3211594367997</v>
      </c>
      <c r="AI227" s="85">
        <f t="shared" si="27"/>
        <v>0.98804215371843651</v>
      </c>
      <c r="AJ227" s="116">
        <v>3</v>
      </c>
      <c r="AK227" s="116">
        <v>4</v>
      </c>
      <c r="AL227" s="122">
        <v>6.32</v>
      </c>
      <c r="AM227" s="116">
        <v>22.76</v>
      </c>
      <c r="AN227" s="122">
        <v>6</v>
      </c>
      <c r="AO227" s="122">
        <v>4.4000000000000004</v>
      </c>
      <c r="AP227" s="79">
        <v>0.11</v>
      </c>
      <c r="AQ227" s="79">
        <v>0.18</v>
      </c>
      <c r="AR227" s="132">
        <f>SUM(C227:E227)</f>
        <v>2261</v>
      </c>
      <c r="AS227" s="134">
        <f>C227/AR227</f>
        <v>0.17027863777089783</v>
      </c>
      <c r="AT227" s="134">
        <f>D227/AR227</f>
        <v>0.71915081822202565</v>
      </c>
      <c r="AU227" s="134">
        <f>E227/AR227</f>
        <v>0.11057054400707651</v>
      </c>
      <c r="AV227" s="151">
        <f>IF(AND(F227&lt;&gt;"",Z227&lt;&gt;""),AB227/(F227/2/Z227),"")</f>
        <v>7.12784588441331E-2</v>
      </c>
      <c r="AW227" s="151">
        <f>IF(AND(F227&lt;&gt;"",AK227&lt;&gt;""),AM227/(F227/2/AK227),"")</f>
        <v>7.9719789842381789E-2</v>
      </c>
      <c r="AX227" s="41">
        <f>IF(AND(AQ227&lt;&gt;"",1-(AQ227/O227)&gt;0),1-(AQ227/O227),"")</f>
        <v>0.875</v>
      </c>
      <c r="AY227" s="41">
        <f>IF(AND(AF227&lt;&gt;"",1-(AF227/O227)&gt;0),1-(AF227/O227),"")</f>
        <v>0.91666666666666663</v>
      </c>
      <c r="AZ227" s="136" t="str">
        <f>IF(Q227="","",IF(Q227&lt;2.5,"Alc. Bruta &lt; 2,5 mg/L",IF(Q227&lt;5,"2,5 ≤ Alc. Bruta &lt; 5,0 mg/L",IF(Q227&lt;7.5,"5,0 ≤ Alc. Bruta &lt; 7,5 mg/L",IF(Q227&lt;10,"7,5 ≤ Alc. Bruta &lt; 10,0 mg/L",IF(Q227&lt;15,"10,0 ≤ Alca. Bruta &lt; 15,0 mg/L","Alc. Bruta &gt; 15 mg/L"))))))</f>
        <v>5,0 ≤ Alc. Bruta &lt; 7,5 mg/L</v>
      </c>
      <c r="BA227" s="136" t="str">
        <f>IF(P227="","",IF(P227&lt;5,"Cor &lt;5 uC",IF(P227&lt;10,"5 ≤ Cor &lt; 10 uC",IF(P227&lt;15,"10 ≤ Cor &lt;15 uC",IF(P227&lt;30,"15 ≤ Cor &lt; 30 uC",IF(P227&lt;50,"30 ≤ Cor &lt; 50 uC","Cor &gt; 50 uC"))))))</f>
        <v>10 ≤ Cor &lt;15 uC</v>
      </c>
      <c r="BB227" s="137" t="str">
        <f>IF(O227="","",IF(O227&lt;2.5,"Turbidez &lt; 2,5 uT",IF(O227&lt;5,"2,5 ≤ Turb &lt; 5,0 uT",IF(O227&lt;7.5,"5,0 ≤ Turb &lt; 7,5 uT",IF(O227&lt;10,"7,5 ≤ Turb &lt; 10,0 uT",IF(O227&lt;15,"10,0 ≤ Turb &lt; 15,0 uT","Turb &gt; 15 uT"))))))</f>
        <v>Turbidez &lt; 2,5 uT</v>
      </c>
      <c r="BC227" s="138" t="str">
        <f>IF(AND(C227&gt;D227,D227&gt;E227),"TOR &gt; SM &gt; BNN",IF(AND(C227&gt;E227,E227&gt;D227),"TOR &gt; BNN &gt; SM",IF(AND(D227&gt;C227,C227&gt;E227),"SM &gt; TOR &gt; BNN",IF(AND(D227&gt;E227,E227&gt;C227),"SM &gt; BNN &gt; TOR",IF(AND(C227=D227,D227=E227),"TOR = SM = BNN","Comb. diferentes")))))</f>
        <v>SM &gt; TOR &gt; BNN</v>
      </c>
      <c r="BD227" s="137" t="str">
        <f>IF(OR(AE227="",AQ227="-"),"",IF(AE227&lt;=0.25,"Tipo 1 (≤0,25) uT",IF(AE227&lt;=0.5,"Tipo 2 (0,25-0,50) uT",IF(AE227&lt;=0.75,"Tipo 3 (0,50-0,75) uT","Tipo 4 (&gt;0,75) uT"))))</f>
        <v>Tipo 1 (≤0,25) uT</v>
      </c>
      <c r="BE227" s="137" t="str">
        <f t="shared" si="21"/>
        <v>Tipo 1 (≤0,25) uT</v>
      </c>
      <c r="BF227" s="137" t="str">
        <f>IF(OR(AF227="",AQ227="-"),"",IF(AF227&lt;=0.25,"Tipo 1 (≤0,25) uT",IF(AF227&lt;=0.5,"Tipo 2 (0,25-0,50) uT",IF(AF227&lt;=0.75,"Tipo 3 (0,50-0,75) uT","Tipo 4 (&gt;0,75) uT"))))</f>
        <v>Tipo 1 (≤0,25) uT</v>
      </c>
      <c r="BG227" s="137" t="str">
        <f t="shared" si="22"/>
        <v>Tipo 1 (≤0,25) uT</v>
      </c>
      <c r="BH227" s="137" t="str">
        <f>IF(OR(R227="",R227="-"),"",IF(R227&lt;=0.25,"Tipo 1 (≤0,25) uT",IF(R227&lt;=0.5,"Tipo 2 (0,25-0,50) uT",IF(R227&lt;=0.75,"Tipo 3 (0,50-0,75) uT","Tipo 4 (&gt;0,75) uT"))))</f>
        <v>Tipo 1 (≤0,25) uT</v>
      </c>
    </row>
    <row r="228" spans="1:60" x14ac:dyDescent="0.3">
      <c r="A228" s="74">
        <v>46283</v>
      </c>
      <c r="B228" s="139">
        <v>0.64583333333333337</v>
      </c>
      <c r="C228" s="116">
        <v>391</v>
      </c>
      <c r="D228" s="116">
        <v>1729</v>
      </c>
      <c r="E228" s="116">
        <v>249</v>
      </c>
      <c r="F228" s="116">
        <v>2041</v>
      </c>
      <c r="G228" s="144" t="s">
        <v>100</v>
      </c>
      <c r="H228" s="122">
        <v>9.5</v>
      </c>
      <c r="I228" s="116">
        <v>-25.36</v>
      </c>
      <c r="J228" s="10">
        <v>90</v>
      </c>
      <c r="K228" s="116">
        <v>90</v>
      </c>
      <c r="L228" s="116">
        <v>90</v>
      </c>
      <c r="M228" s="122">
        <v>26</v>
      </c>
      <c r="N228" s="122">
        <v>6.5</v>
      </c>
      <c r="O228" s="79">
        <v>1.41</v>
      </c>
      <c r="P228" s="116">
        <v>9</v>
      </c>
      <c r="Q228" s="122">
        <v>6.5</v>
      </c>
      <c r="R228" s="10">
        <v>0.12</v>
      </c>
      <c r="S228" s="79">
        <v>22.36</v>
      </c>
      <c r="T228" s="79">
        <v>0.88</v>
      </c>
      <c r="U228" s="79">
        <v>0.7</v>
      </c>
      <c r="V228" s="85">
        <f t="shared" si="23"/>
        <v>1597.0825</v>
      </c>
      <c r="W228" s="85">
        <f t="shared" si="24"/>
        <v>1541.1385895879998</v>
      </c>
      <c r="X228" s="85">
        <f t="shared" si="25"/>
        <v>0.96497118313424624</v>
      </c>
      <c r="Y228" s="116">
        <v>3</v>
      </c>
      <c r="Z228" s="116">
        <v>4</v>
      </c>
      <c r="AA228" s="122">
        <v>6.1</v>
      </c>
      <c r="AB228" s="116">
        <v>20.67</v>
      </c>
      <c r="AC228" s="122">
        <v>6</v>
      </c>
      <c r="AD228" s="122">
        <v>4</v>
      </c>
      <c r="AE228" s="79">
        <v>0.11</v>
      </c>
      <c r="AF228" s="79">
        <v>0.11</v>
      </c>
      <c r="AG228" s="85">
        <f>(O228+0.3*H228+2)*(F228/2/AK228)</f>
        <v>1597.0825</v>
      </c>
      <c r="AH228" s="85">
        <f t="shared" si="26"/>
        <v>1773.9316256531999</v>
      </c>
      <c r="AI228" s="85">
        <f t="shared" si="27"/>
        <v>1.1107326175405465</v>
      </c>
      <c r="AJ228" s="116">
        <v>3</v>
      </c>
      <c r="AK228" s="116">
        <v>4</v>
      </c>
      <c r="AL228" s="122">
        <v>6.33</v>
      </c>
      <c r="AM228" s="116">
        <v>22.71</v>
      </c>
      <c r="AN228" s="122">
        <v>6</v>
      </c>
      <c r="AO228" s="122">
        <v>4.2</v>
      </c>
      <c r="AP228" s="79">
        <v>0.1</v>
      </c>
      <c r="AQ228" s="79">
        <v>0.17</v>
      </c>
      <c r="AR228" s="132">
        <f>SUM(C228:E228)</f>
        <v>2369</v>
      </c>
      <c r="AS228" s="134">
        <f>C228/AR228</f>
        <v>0.1650485436893204</v>
      </c>
      <c r="AT228" s="134">
        <f>D228/AR228</f>
        <v>0.7298438159560996</v>
      </c>
      <c r="AU228" s="134">
        <f>E228/AR228</f>
        <v>0.10510764035457999</v>
      </c>
      <c r="AV228" s="151">
        <f>IF(AND(F228&lt;&gt;"",Z228&lt;&gt;""),AB228/(F228/2/Z228),"")</f>
        <v>8.1019108280254784E-2</v>
      </c>
      <c r="AW228" s="151">
        <f>IF(AND(F228&lt;&gt;"",AK228&lt;&gt;""),AM228/(F228/2/AK228),"")</f>
        <v>8.9015188633023032E-2</v>
      </c>
      <c r="AX228" s="41">
        <f>IF(AND(AQ228&lt;&gt;"",1-(AQ228/O228)&gt;0),1-(AQ228/O228),"")</f>
        <v>0.87943262411347511</v>
      </c>
      <c r="AY228" s="41">
        <f>IF(AND(AF228&lt;&gt;"",1-(AF228/O228)&gt;0),1-(AF228/O228),"")</f>
        <v>0.92198581560283688</v>
      </c>
      <c r="AZ228" s="136" t="str">
        <f>IF(Q228="","",IF(Q228&lt;2.5,"Alc. Bruta &lt; 2,5 mg/L",IF(Q228&lt;5,"2,5 ≤ Alc. Bruta &lt; 5,0 mg/L",IF(Q228&lt;7.5,"5,0 ≤ Alc. Bruta &lt; 7,5 mg/L",IF(Q228&lt;10,"7,5 ≤ Alc. Bruta &lt; 10,0 mg/L",IF(Q228&lt;15,"10,0 ≤ Alca. Bruta &lt; 15,0 mg/L","Alc. Bruta &gt; 15 mg/L"))))))</f>
        <v>5,0 ≤ Alc. Bruta &lt; 7,5 mg/L</v>
      </c>
      <c r="BA228" s="136" t="str">
        <f>IF(P228="","",IF(P228&lt;5,"Cor &lt;5 uC",IF(P228&lt;10,"5 ≤ Cor &lt; 10 uC",IF(P228&lt;15,"10 ≤ Cor &lt;15 uC",IF(P228&lt;30,"15 ≤ Cor &lt; 30 uC",IF(P228&lt;50,"30 ≤ Cor &lt; 50 uC","Cor &gt; 50 uC"))))))</f>
        <v>5 ≤ Cor &lt; 10 uC</v>
      </c>
      <c r="BB228" s="137" t="str">
        <f>IF(O228="","",IF(O228&lt;2.5,"Turbidez &lt; 2,5 uT",IF(O228&lt;5,"2,5 ≤ Turb &lt; 5,0 uT",IF(O228&lt;7.5,"5,0 ≤ Turb &lt; 7,5 uT",IF(O228&lt;10,"7,5 ≤ Turb &lt; 10,0 uT",IF(O228&lt;15,"10,0 ≤ Turb &lt; 15,0 uT","Turb &gt; 15 uT"))))))</f>
        <v>Turbidez &lt; 2,5 uT</v>
      </c>
      <c r="BC228" s="138" t="str">
        <f>IF(AND(C228&gt;D228,D228&gt;E228),"TOR &gt; SM &gt; BNN",IF(AND(C228&gt;E228,E228&gt;D228),"TOR &gt; BNN &gt; SM",IF(AND(D228&gt;C228,C228&gt;E228),"SM &gt; TOR &gt; BNN",IF(AND(D228&gt;E228,E228&gt;C228),"SM &gt; BNN &gt; TOR",IF(AND(C228=D228,D228=E228),"TOR = SM = BNN","Comb. diferentes")))))</f>
        <v>SM &gt; TOR &gt; BNN</v>
      </c>
      <c r="BD228" s="137" t="str">
        <f>IF(OR(AE228="",AQ228="-"),"",IF(AE228&lt;=0.25,"Tipo 1 (≤0,25) uT",IF(AE228&lt;=0.5,"Tipo 2 (0,25-0,50) uT",IF(AE228&lt;=0.75,"Tipo 3 (0,50-0,75) uT","Tipo 4 (&gt;0,75) uT"))))</f>
        <v>Tipo 1 (≤0,25) uT</v>
      </c>
      <c r="BE228" s="137" t="str">
        <f t="shared" si="21"/>
        <v>Tipo 1 (≤0,25) uT</v>
      </c>
      <c r="BF228" s="137" t="str">
        <f>IF(OR(AF228="",AQ228="-"),"",IF(AF228&lt;=0.25,"Tipo 1 (≤0,25) uT",IF(AF228&lt;=0.5,"Tipo 2 (0,25-0,50) uT",IF(AF228&lt;=0.75,"Tipo 3 (0,50-0,75) uT","Tipo 4 (&gt;0,75) uT"))))</f>
        <v>Tipo 1 (≤0,25) uT</v>
      </c>
      <c r="BG228" s="137" t="str">
        <f t="shared" si="22"/>
        <v>Tipo 1 (≤0,25) uT</v>
      </c>
      <c r="BH228" s="137" t="str">
        <f>IF(OR(R228="",R228="-"),"",IF(R228&lt;=0.25,"Tipo 1 (≤0,25) uT",IF(R228&lt;=0.5,"Tipo 2 (0,25-0,50) uT",IF(R228&lt;=0.75,"Tipo 3 (0,50-0,75) uT","Tipo 4 (&gt;0,75) uT"))))</f>
        <v>Tipo 1 (≤0,25) uT</v>
      </c>
    </row>
    <row r="229" spans="1:60" x14ac:dyDescent="0.3">
      <c r="A229" s="74">
        <v>46283</v>
      </c>
      <c r="B229" s="139">
        <v>0.72916666666666663</v>
      </c>
      <c r="C229" s="116">
        <v>394</v>
      </c>
      <c r="D229" s="116">
        <v>1605</v>
      </c>
      <c r="E229" s="116">
        <v>249</v>
      </c>
      <c r="F229" s="116">
        <v>2284</v>
      </c>
      <c r="G229" s="144" t="s">
        <v>100</v>
      </c>
      <c r="H229" s="122">
        <v>9.5</v>
      </c>
      <c r="I229" s="116">
        <v>-21.55</v>
      </c>
      <c r="J229" s="10">
        <v>90</v>
      </c>
      <c r="K229" s="116">
        <v>90</v>
      </c>
      <c r="L229" s="116">
        <v>90</v>
      </c>
      <c r="M229" s="122">
        <v>26.7</v>
      </c>
      <c r="N229" s="122">
        <v>6.3</v>
      </c>
      <c r="O229" s="79">
        <v>1.58</v>
      </c>
      <c r="P229" s="116">
        <v>13</v>
      </c>
      <c r="Q229" s="122">
        <v>7.7</v>
      </c>
      <c r="R229" s="10">
        <v>0.15</v>
      </c>
      <c r="S229" s="79">
        <v>22.36</v>
      </c>
      <c r="T229" s="79">
        <v>0.88</v>
      </c>
      <c r="U229" s="79">
        <v>0.7</v>
      </c>
      <c r="V229" s="85">
        <f t="shared" si="23"/>
        <v>1835.7649999999999</v>
      </c>
      <c r="W229" s="85">
        <f t="shared" si="24"/>
        <v>1525.9997895999998</v>
      </c>
      <c r="X229" s="85">
        <f t="shared" si="25"/>
        <v>0.83126096728067034</v>
      </c>
      <c r="Y229" s="116">
        <v>3</v>
      </c>
      <c r="Z229" s="116">
        <v>4</v>
      </c>
      <c r="AA229" s="122">
        <v>6</v>
      </c>
      <c r="AB229" s="116">
        <v>20.9</v>
      </c>
      <c r="AC229" s="122">
        <v>6</v>
      </c>
      <c r="AD229" s="122">
        <v>4.9000000000000004</v>
      </c>
      <c r="AE229" s="79">
        <v>0.12</v>
      </c>
      <c r="AF229" s="79">
        <v>0.16</v>
      </c>
      <c r="AG229" s="85">
        <f>(O229+0.3*H229+2)*(F229/2/AK229)</f>
        <v>1835.7649999999999</v>
      </c>
      <c r="AH229" s="85">
        <f t="shared" si="26"/>
        <v>1779.7879907183999</v>
      </c>
      <c r="AI229" s="85">
        <f t="shared" si="27"/>
        <v>0.96950752994985745</v>
      </c>
      <c r="AJ229" s="116">
        <v>3</v>
      </c>
      <c r="AK229" s="116">
        <v>4</v>
      </c>
      <c r="AL229" s="122">
        <v>6.34</v>
      </c>
      <c r="AM229" s="116">
        <v>22.74</v>
      </c>
      <c r="AN229" s="122">
        <v>6</v>
      </c>
      <c r="AO229" s="122">
        <v>5.5</v>
      </c>
      <c r="AP229" s="79">
        <v>0.6</v>
      </c>
      <c r="AQ229" s="79">
        <v>0.17</v>
      </c>
      <c r="AR229" s="132">
        <f>SUM(C229:E229)</f>
        <v>2248</v>
      </c>
      <c r="AS229" s="134">
        <f>C229/AR229</f>
        <v>0.17526690391459074</v>
      </c>
      <c r="AT229" s="134">
        <f>D229/AR229</f>
        <v>0.71396797153024916</v>
      </c>
      <c r="AU229" s="134">
        <f>E229/AR229</f>
        <v>0.11076512455516015</v>
      </c>
      <c r="AV229" s="151">
        <f>IF(AND(F229&lt;&gt;"",Z229&lt;&gt;""),AB229/(F229/2/Z229),"")</f>
        <v>7.320490367775831E-2</v>
      </c>
      <c r="AW229" s="151">
        <f>IF(AND(F229&lt;&gt;"",AK229&lt;&gt;""),AM229/(F229/2/AK229),"")</f>
        <v>7.9649737302977225E-2</v>
      </c>
      <c r="AX229" s="41">
        <f>IF(AND(AQ229&lt;&gt;"",1-(AQ229/O229)&gt;0),1-(AQ229/O229),"")</f>
        <v>0.89240506329113922</v>
      </c>
      <c r="AY229" s="41">
        <f>IF(AND(AF229&lt;&gt;"",1-(AF229/O229)&gt;0),1-(AF229/O229),"")</f>
        <v>0.89873417721518989</v>
      </c>
      <c r="AZ229" s="136" t="str">
        <f>IF(Q229="","",IF(Q229&lt;2.5,"Alc. Bruta &lt; 2,5 mg/L",IF(Q229&lt;5,"2,5 ≤ Alc. Bruta &lt; 5,0 mg/L",IF(Q229&lt;7.5,"5,0 ≤ Alc. Bruta &lt; 7,5 mg/L",IF(Q229&lt;10,"7,5 ≤ Alc. Bruta &lt; 10,0 mg/L",IF(Q229&lt;15,"10,0 ≤ Alca. Bruta &lt; 15,0 mg/L","Alc. Bruta &gt; 15 mg/L"))))))</f>
        <v>7,5 ≤ Alc. Bruta &lt; 10,0 mg/L</v>
      </c>
      <c r="BA229" s="136" t="str">
        <f>IF(P229="","",IF(P229&lt;5,"Cor &lt;5 uC",IF(P229&lt;10,"5 ≤ Cor &lt; 10 uC",IF(P229&lt;15,"10 ≤ Cor &lt;15 uC",IF(P229&lt;30,"15 ≤ Cor &lt; 30 uC",IF(P229&lt;50,"30 ≤ Cor &lt; 50 uC","Cor &gt; 50 uC"))))))</f>
        <v>10 ≤ Cor &lt;15 uC</v>
      </c>
      <c r="BB229" s="137" t="str">
        <f>IF(O229="","",IF(O229&lt;2.5,"Turbidez &lt; 2,5 uT",IF(O229&lt;5,"2,5 ≤ Turb &lt; 5,0 uT",IF(O229&lt;7.5,"5,0 ≤ Turb &lt; 7,5 uT",IF(O229&lt;10,"7,5 ≤ Turb &lt; 10,0 uT",IF(O229&lt;15,"10,0 ≤ Turb &lt; 15,0 uT","Turb &gt; 15 uT"))))))</f>
        <v>Turbidez &lt; 2,5 uT</v>
      </c>
      <c r="BC229" s="138" t="str">
        <f>IF(AND(C229&gt;D229,D229&gt;E229),"TOR &gt; SM &gt; BNN",IF(AND(C229&gt;E229,E229&gt;D229),"TOR &gt; BNN &gt; SM",IF(AND(D229&gt;C229,C229&gt;E229),"SM &gt; TOR &gt; BNN",IF(AND(D229&gt;E229,E229&gt;C229),"SM &gt; BNN &gt; TOR",IF(AND(C229=D229,D229=E229),"TOR = SM = BNN","Comb. diferentes")))))</f>
        <v>SM &gt; TOR &gt; BNN</v>
      </c>
      <c r="BD229" s="137" t="str">
        <f>IF(OR(AE229="",AQ229="-"),"",IF(AE229&lt;=0.25,"Tipo 1 (≤0,25) uT",IF(AE229&lt;=0.5,"Tipo 2 (0,25-0,50) uT",IF(AE229&lt;=0.75,"Tipo 3 (0,50-0,75) uT","Tipo 4 (&gt;0,75) uT"))))</f>
        <v>Tipo 1 (≤0,25) uT</v>
      </c>
      <c r="BE229" s="137" t="str">
        <f t="shared" si="21"/>
        <v>Tipo 3 (0,50-0,75) uT</v>
      </c>
      <c r="BF229" s="137" t="str">
        <f>IF(OR(AF229="",AQ229="-"),"",IF(AF229&lt;=0.25,"Tipo 1 (≤0,25) uT",IF(AF229&lt;=0.5,"Tipo 2 (0,25-0,50) uT",IF(AF229&lt;=0.75,"Tipo 3 (0,50-0,75) uT","Tipo 4 (&gt;0,75) uT"))))</f>
        <v>Tipo 1 (≤0,25) uT</v>
      </c>
      <c r="BG229" s="137" t="str">
        <f t="shared" si="22"/>
        <v>Tipo 1 (≤0,25) uT</v>
      </c>
      <c r="BH229" s="137" t="str">
        <f>IF(OR(R229="",R229="-"),"",IF(R229&lt;=0.25,"Tipo 1 (≤0,25) uT",IF(R229&lt;=0.5,"Tipo 2 (0,25-0,50) uT",IF(R229&lt;=0.75,"Tipo 3 (0,50-0,75) uT","Tipo 4 (&gt;0,75) uT"))))</f>
        <v>Tipo 1 (≤0,25) uT</v>
      </c>
    </row>
    <row r="230" spans="1:60" x14ac:dyDescent="0.3">
      <c r="A230" s="74">
        <v>46283</v>
      </c>
      <c r="B230" s="139">
        <v>0.8125</v>
      </c>
      <c r="C230" s="116">
        <v>390</v>
      </c>
      <c r="D230" s="116">
        <v>1616</v>
      </c>
      <c r="E230" s="116">
        <v>247</v>
      </c>
      <c r="F230" s="116">
        <v>2260</v>
      </c>
      <c r="G230" s="144" t="s">
        <v>100</v>
      </c>
      <c r="H230" s="122">
        <v>9.5</v>
      </c>
      <c r="I230" s="116">
        <v>-11.74</v>
      </c>
      <c r="J230" s="10">
        <v>90</v>
      </c>
      <c r="K230" s="116">
        <v>90</v>
      </c>
      <c r="L230" s="116">
        <v>90</v>
      </c>
      <c r="M230" s="122">
        <v>25.9</v>
      </c>
      <c r="N230" s="122">
        <v>6.3</v>
      </c>
      <c r="O230" s="79">
        <v>1.55</v>
      </c>
      <c r="P230" s="116">
        <v>11</v>
      </c>
      <c r="Q230" s="122">
        <v>7.2</v>
      </c>
      <c r="R230" s="10">
        <v>0.09</v>
      </c>
      <c r="S230" s="79">
        <v>22.36</v>
      </c>
      <c r="T230" s="79">
        <v>0.88</v>
      </c>
      <c r="U230" s="79">
        <v>0.7</v>
      </c>
      <c r="V230" s="85">
        <f t="shared" si="23"/>
        <v>1808</v>
      </c>
      <c r="W230" s="85">
        <f t="shared" si="24"/>
        <v>1504.0954864</v>
      </c>
      <c r="X230" s="85">
        <f t="shared" si="25"/>
        <v>0.83191122035398235</v>
      </c>
      <c r="Y230" s="116">
        <v>3</v>
      </c>
      <c r="Z230" s="116">
        <v>4</v>
      </c>
      <c r="AA230" s="122">
        <v>6</v>
      </c>
      <c r="AB230" s="116">
        <v>20.6</v>
      </c>
      <c r="AC230" s="122">
        <v>6.1</v>
      </c>
      <c r="AD230" s="122">
        <v>4.2</v>
      </c>
      <c r="AE230" s="79">
        <v>0.18</v>
      </c>
      <c r="AF230" s="79">
        <v>0.1</v>
      </c>
      <c r="AG230" s="85">
        <f>(O230+0.3*H230+2)*(F230/2/AK230)</f>
        <v>1808</v>
      </c>
      <c r="AH230" s="85">
        <f t="shared" si="26"/>
        <v>1762.6300572399996</v>
      </c>
      <c r="AI230" s="85">
        <f t="shared" si="27"/>
        <v>0.9749060051106192</v>
      </c>
      <c r="AJ230" s="116">
        <v>3</v>
      </c>
      <c r="AK230" s="116">
        <v>4</v>
      </c>
      <c r="AL230" s="122">
        <v>6.3</v>
      </c>
      <c r="AM230" s="116">
        <v>22.7</v>
      </c>
      <c r="AN230" s="122">
        <v>6</v>
      </c>
      <c r="AO230" s="122">
        <v>4.5999999999999996</v>
      </c>
      <c r="AP230" s="79">
        <v>0.14000000000000001</v>
      </c>
      <c r="AQ230" s="79">
        <v>0.19</v>
      </c>
      <c r="AR230" s="132">
        <f>SUM(C230:E230)</f>
        <v>2253</v>
      </c>
      <c r="AS230" s="134">
        <f>C230/AR230</f>
        <v>0.17310252996005326</v>
      </c>
      <c r="AT230" s="134">
        <f>D230/AR230</f>
        <v>0.71726586773191303</v>
      </c>
      <c r="AU230" s="134">
        <f>E230/AR230</f>
        <v>0.10963160230803373</v>
      </c>
      <c r="AV230" s="151">
        <f>IF(AND(F230&lt;&gt;"",Z230&lt;&gt;""),AB230/(F230/2/Z230),"")</f>
        <v>7.2920353982300887E-2</v>
      </c>
      <c r="AW230" s="151">
        <f>IF(AND(F230&lt;&gt;"",AK230&lt;&gt;""),AM230/(F230/2/AK230),"")</f>
        <v>8.0353982300884946E-2</v>
      </c>
      <c r="AX230" s="41">
        <f>IF(AND(AQ230&lt;&gt;"",1-(AQ230/O230)&gt;0),1-(AQ230/O230),"")</f>
        <v>0.8774193548387097</v>
      </c>
      <c r="AY230" s="41">
        <f>IF(AND(AF230&lt;&gt;"",1-(AF230/O230)&gt;0),1-(AF230/O230),"")</f>
        <v>0.93548387096774199</v>
      </c>
      <c r="AZ230" s="136" t="str">
        <f>IF(Q230="","",IF(Q230&lt;2.5,"Alc. Bruta &lt; 2,5 mg/L",IF(Q230&lt;5,"2,5 ≤ Alc. Bruta &lt; 5,0 mg/L",IF(Q230&lt;7.5,"5,0 ≤ Alc. Bruta &lt; 7,5 mg/L",IF(Q230&lt;10,"7,5 ≤ Alc. Bruta &lt; 10,0 mg/L",IF(Q230&lt;15,"10,0 ≤ Alca. Bruta &lt; 15,0 mg/L","Alc. Bruta &gt; 15 mg/L"))))))</f>
        <v>5,0 ≤ Alc. Bruta &lt; 7,5 mg/L</v>
      </c>
      <c r="BA230" s="136" t="str">
        <f>IF(P230="","",IF(P230&lt;5,"Cor &lt;5 uC",IF(P230&lt;10,"5 ≤ Cor &lt; 10 uC",IF(P230&lt;15,"10 ≤ Cor &lt;15 uC",IF(P230&lt;30,"15 ≤ Cor &lt; 30 uC",IF(P230&lt;50,"30 ≤ Cor &lt; 50 uC","Cor &gt; 50 uC"))))))</f>
        <v>10 ≤ Cor &lt;15 uC</v>
      </c>
      <c r="BB230" s="137" t="str">
        <f>IF(O230="","",IF(O230&lt;2.5,"Turbidez &lt; 2,5 uT",IF(O230&lt;5,"2,5 ≤ Turb &lt; 5,0 uT",IF(O230&lt;7.5,"5,0 ≤ Turb &lt; 7,5 uT",IF(O230&lt;10,"7,5 ≤ Turb &lt; 10,0 uT",IF(O230&lt;15,"10,0 ≤ Turb &lt; 15,0 uT","Turb &gt; 15 uT"))))))</f>
        <v>Turbidez &lt; 2,5 uT</v>
      </c>
      <c r="BC230" s="138" t="str">
        <f>IF(AND(C230&gt;D230,D230&gt;E230),"TOR &gt; SM &gt; BNN",IF(AND(C230&gt;E230,E230&gt;D230),"TOR &gt; BNN &gt; SM",IF(AND(D230&gt;C230,C230&gt;E230),"SM &gt; TOR &gt; BNN",IF(AND(D230&gt;E230,E230&gt;C230),"SM &gt; BNN &gt; TOR",IF(AND(C230=D230,D230=E230),"TOR = SM = BNN","Comb. diferentes")))))</f>
        <v>SM &gt; TOR &gt; BNN</v>
      </c>
      <c r="BD230" s="137" t="str">
        <f>IF(OR(AE230="",AQ230="-"),"",IF(AE230&lt;=0.25,"Tipo 1 (≤0,25) uT",IF(AE230&lt;=0.5,"Tipo 2 (0,25-0,50) uT",IF(AE230&lt;=0.75,"Tipo 3 (0,50-0,75) uT","Tipo 4 (&gt;0,75) uT"))))</f>
        <v>Tipo 1 (≤0,25) uT</v>
      </c>
      <c r="BE230" s="137" t="str">
        <f t="shared" si="21"/>
        <v>Tipo 1 (≤0,25) uT</v>
      </c>
      <c r="BF230" s="137" t="str">
        <f>IF(OR(AF230="",AQ230="-"),"",IF(AF230&lt;=0.25,"Tipo 1 (≤0,25) uT",IF(AF230&lt;=0.5,"Tipo 2 (0,25-0,50) uT",IF(AF230&lt;=0.75,"Tipo 3 (0,50-0,75) uT","Tipo 4 (&gt;0,75) uT"))))</f>
        <v>Tipo 1 (≤0,25) uT</v>
      </c>
      <c r="BG230" s="137" t="str">
        <f t="shared" si="22"/>
        <v>Tipo 1 (≤0,25) uT</v>
      </c>
      <c r="BH230" s="137" t="str">
        <f>IF(OR(R230="",R230="-"),"",IF(R230&lt;=0.25,"Tipo 1 (≤0,25) uT",IF(R230&lt;=0.5,"Tipo 2 (0,25-0,50) uT",IF(R230&lt;=0.75,"Tipo 3 (0,50-0,75) uT","Tipo 4 (&gt;0,75) uT"))))</f>
        <v>Tipo 1 (≤0,25) uT</v>
      </c>
    </row>
    <row r="231" spans="1:60" x14ac:dyDescent="0.3">
      <c r="A231" s="74">
        <v>46283</v>
      </c>
      <c r="B231" s="139">
        <v>0.89583333333333337</v>
      </c>
      <c r="C231" s="116">
        <v>406</v>
      </c>
      <c r="D231" s="116">
        <v>1641</v>
      </c>
      <c r="E231" s="116">
        <v>200</v>
      </c>
      <c r="F231" s="116">
        <v>2278</v>
      </c>
      <c r="G231" s="144" t="s">
        <v>100</v>
      </c>
      <c r="H231" s="122">
        <v>9.5</v>
      </c>
      <c r="I231" s="116">
        <v>-48</v>
      </c>
      <c r="J231" s="10">
        <v>90</v>
      </c>
      <c r="K231" s="116">
        <v>90</v>
      </c>
      <c r="L231" s="116">
        <v>90</v>
      </c>
      <c r="M231" s="122">
        <v>25.3</v>
      </c>
      <c r="N231" s="122">
        <v>6.4</v>
      </c>
      <c r="O231" s="79">
        <v>1.36</v>
      </c>
      <c r="P231" s="116">
        <v>10</v>
      </c>
      <c r="Q231" s="122">
        <v>6.4</v>
      </c>
      <c r="R231" s="10">
        <v>0.09</v>
      </c>
      <c r="S231" s="79">
        <v>22.36</v>
      </c>
      <c r="T231" s="79">
        <v>0.88</v>
      </c>
      <c r="U231" s="79">
        <v>0.7</v>
      </c>
      <c r="V231" s="85">
        <f t="shared" si="23"/>
        <v>1768.2974999999999</v>
      </c>
      <c r="W231" s="85">
        <f t="shared" si="24"/>
        <v>1460.2868799999999</v>
      </c>
      <c r="X231" s="85">
        <f t="shared" si="25"/>
        <v>0.82581515836560304</v>
      </c>
      <c r="Y231" s="116">
        <v>3</v>
      </c>
      <c r="Z231" s="116">
        <v>4</v>
      </c>
      <c r="AA231" s="122">
        <v>6</v>
      </c>
      <c r="AB231" s="116">
        <v>20</v>
      </c>
      <c r="AC231" s="122">
        <v>6.1</v>
      </c>
      <c r="AD231" s="122">
        <v>4.7</v>
      </c>
      <c r="AE231" s="79">
        <v>0.13</v>
      </c>
      <c r="AF231" s="79">
        <v>0.09</v>
      </c>
      <c r="AG231" s="85">
        <f>(O231+0.3*H231+2)*(F231/2/AK231)</f>
        <v>1768.2974999999999</v>
      </c>
      <c r="AH231" s="85">
        <f t="shared" si="26"/>
        <v>1708.2758263999997</v>
      </c>
      <c r="AI231" s="85">
        <f t="shared" si="27"/>
        <v>0.96605680118871384</v>
      </c>
      <c r="AJ231" s="116">
        <v>3</v>
      </c>
      <c r="AK231" s="116">
        <v>4</v>
      </c>
      <c r="AL231" s="122">
        <v>6.3</v>
      </c>
      <c r="AM231" s="116">
        <v>22</v>
      </c>
      <c r="AN231" s="122">
        <v>6.1</v>
      </c>
      <c r="AO231" s="122">
        <v>5.6</v>
      </c>
      <c r="AP231" s="79">
        <v>0.12</v>
      </c>
      <c r="AQ231" s="79">
        <v>0.18</v>
      </c>
      <c r="AR231" s="132">
        <f>SUM(C231:E231)</f>
        <v>2247</v>
      </c>
      <c r="AS231" s="134">
        <f>C231/AR231</f>
        <v>0.18068535825545171</v>
      </c>
      <c r="AT231" s="134">
        <f>D231/AR231</f>
        <v>0.73030707610146861</v>
      </c>
      <c r="AU231" s="134">
        <f>E231/AR231</f>
        <v>8.9007565643079656E-2</v>
      </c>
      <c r="AV231" s="151">
        <f>IF(AND(F231&lt;&gt;"",Z231&lt;&gt;""),AB231/(F231/2/Z231),"")</f>
        <v>7.0237050043898158E-2</v>
      </c>
      <c r="AW231" s="151">
        <f>IF(AND(F231&lt;&gt;"",AK231&lt;&gt;""),AM231/(F231/2/AK231),"")</f>
        <v>7.7260755048287971E-2</v>
      </c>
      <c r="AX231" s="41">
        <f>IF(AND(AQ231&lt;&gt;"",1-(AQ231/O231)&gt;0),1-(AQ231/O231),"")</f>
        <v>0.86764705882352944</v>
      </c>
      <c r="AY231" s="41">
        <f>IF(AND(AF231&lt;&gt;"",1-(AF231/O231)&gt;0),1-(AF231/O231),"")</f>
        <v>0.93382352941176472</v>
      </c>
      <c r="AZ231" s="136" t="str">
        <f>IF(Q231="","",IF(Q231&lt;2.5,"Alc. Bruta &lt; 2,5 mg/L",IF(Q231&lt;5,"2,5 ≤ Alc. Bruta &lt; 5,0 mg/L",IF(Q231&lt;7.5,"5,0 ≤ Alc. Bruta &lt; 7,5 mg/L",IF(Q231&lt;10,"7,5 ≤ Alc. Bruta &lt; 10,0 mg/L",IF(Q231&lt;15,"10,0 ≤ Alca. Bruta &lt; 15,0 mg/L","Alc. Bruta &gt; 15 mg/L"))))))</f>
        <v>5,0 ≤ Alc. Bruta &lt; 7,5 mg/L</v>
      </c>
      <c r="BA231" s="136" t="str">
        <f>IF(P231="","",IF(P231&lt;5,"Cor &lt;5 uC",IF(P231&lt;10,"5 ≤ Cor &lt; 10 uC",IF(P231&lt;15,"10 ≤ Cor &lt;15 uC",IF(P231&lt;30,"15 ≤ Cor &lt; 30 uC",IF(P231&lt;50,"30 ≤ Cor &lt; 50 uC","Cor &gt; 50 uC"))))))</f>
        <v>10 ≤ Cor &lt;15 uC</v>
      </c>
      <c r="BB231" s="137" t="str">
        <f>IF(O231="","",IF(O231&lt;2.5,"Turbidez &lt; 2,5 uT",IF(O231&lt;5,"2,5 ≤ Turb &lt; 5,0 uT",IF(O231&lt;7.5,"5,0 ≤ Turb &lt; 7,5 uT",IF(O231&lt;10,"7,5 ≤ Turb &lt; 10,0 uT",IF(O231&lt;15,"10,0 ≤ Turb &lt; 15,0 uT","Turb &gt; 15 uT"))))))</f>
        <v>Turbidez &lt; 2,5 uT</v>
      </c>
      <c r="BC231" s="138" t="str">
        <f>IF(AND(C231&gt;D231,D231&gt;E231),"TOR &gt; SM &gt; BNN",IF(AND(C231&gt;E231,E231&gt;D231),"TOR &gt; BNN &gt; SM",IF(AND(D231&gt;C231,C231&gt;E231),"SM &gt; TOR &gt; BNN",IF(AND(D231&gt;E231,E231&gt;C231),"SM &gt; BNN &gt; TOR",IF(AND(C231=D231,D231=E231),"TOR = SM = BNN","Comb. diferentes")))))</f>
        <v>SM &gt; TOR &gt; BNN</v>
      </c>
      <c r="BD231" s="137" t="str">
        <f>IF(OR(AE231="",AQ231="-"),"",IF(AE231&lt;=0.25,"Tipo 1 (≤0,25) uT",IF(AE231&lt;=0.5,"Tipo 2 (0,25-0,50) uT",IF(AE231&lt;=0.75,"Tipo 3 (0,50-0,75) uT","Tipo 4 (&gt;0,75) uT"))))</f>
        <v>Tipo 1 (≤0,25) uT</v>
      </c>
      <c r="BE231" s="137" t="str">
        <f t="shared" si="21"/>
        <v>Tipo 1 (≤0,25) uT</v>
      </c>
      <c r="BF231" s="137" t="str">
        <f>IF(OR(AF231="",AQ231="-"),"",IF(AF231&lt;=0.25,"Tipo 1 (≤0,25) uT",IF(AF231&lt;=0.5,"Tipo 2 (0,25-0,50) uT",IF(AF231&lt;=0.75,"Tipo 3 (0,50-0,75) uT","Tipo 4 (&gt;0,75) uT"))))</f>
        <v>Tipo 1 (≤0,25) uT</v>
      </c>
      <c r="BG231" s="137" t="str">
        <f t="shared" si="22"/>
        <v>Tipo 1 (≤0,25) uT</v>
      </c>
      <c r="BH231" s="137" t="str">
        <f>IF(OR(R231="",R231="-"),"",IF(R231&lt;=0.25,"Tipo 1 (≤0,25) uT",IF(R231&lt;=0.5,"Tipo 2 (0,25-0,50) uT",IF(R231&lt;=0.75,"Tipo 3 (0,50-0,75) uT","Tipo 4 (&gt;0,75) uT"))))</f>
        <v>Tipo 1 (≤0,25) uT</v>
      </c>
    </row>
    <row r="232" spans="1:60" x14ac:dyDescent="0.3">
      <c r="A232" s="74">
        <v>46283</v>
      </c>
      <c r="B232" s="139">
        <v>0.97916666666666663</v>
      </c>
      <c r="C232" s="116">
        <v>400</v>
      </c>
      <c r="D232" s="116">
        <v>1651</v>
      </c>
      <c r="E232" s="116">
        <v>199</v>
      </c>
      <c r="F232" s="116">
        <v>2252</v>
      </c>
      <c r="G232" s="144" t="s">
        <v>100</v>
      </c>
      <c r="H232" s="122">
        <v>9.5</v>
      </c>
      <c r="I232" s="116">
        <v>-3.4</v>
      </c>
      <c r="J232" s="10">
        <v>90</v>
      </c>
      <c r="K232" s="116">
        <v>90</v>
      </c>
      <c r="L232" s="116">
        <v>90</v>
      </c>
      <c r="M232" s="122">
        <v>25.1</v>
      </c>
      <c r="N232" s="122">
        <v>6.3</v>
      </c>
      <c r="O232" s="79">
        <v>1.45</v>
      </c>
      <c r="P232" s="116">
        <v>12</v>
      </c>
      <c r="Q232" s="122">
        <v>6.9</v>
      </c>
      <c r="R232" s="10">
        <v>0.1</v>
      </c>
      <c r="S232" s="79">
        <v>22.36</v>
      </c>
      <c r="T232" s="79">
        <v>0.88</v>
      </c>
      <c r="U232" s="79">
        <v>0.7</v>
      </c>
      <c r="V232" s="85">
        <f t="shared" si="23"/>
        <v>1773.45</v>
      </c>
      <c r="W232" s="85">
        <f t="shared" si="24"/>
        <v>1460.2868799999999</v>
      </c>
      <c r="X232" s="85">
        <f t="shared" si="25"/>
        <v>0.82341587301587293</v>
      </c>
      <c r="Y232" s="116">
        <v>3</v>
      </c>
      <c r="Z232" s="116">
        <v>4</v>
      </c>
      <c r="AA232" s="122">
        <v>6</v>
      </c>
      <c r="AB232" s="116">
        <v>20</v>
      </c>
      <c r="AC232" s="122">
        <v>6.1</v>
      </c>
      <c r="AD232" s="122">
        <v>4.4000000000000004</v>
      </c>
      <c r="AE232" s="79">
        <v>0.15</v>
      </c>
      <c r="AF232" s="79">
        <v>0.09</v>
      </c>
      <c r="AG232" s="85">
        <f>(O232+0.3*H232+2)*(F232/2/AK232)</f>
        <v>1773.45</v>
      </c>
      <c r="AH232" s="85">
        <f t="shared" si="26"/>
        <v>1708.2758263999997</v>
      </c>
      <c r="AI232" s="85">
        <f t="shared" si="27"/>
        <v>0.96325006422509774</v>
      </c>
      <c r="AJ232" s="116">
        <v>3</v>
      </c>
      <c r="AK232" s="116">
        <v>4</v>
      </c>
      <c r="AL232" s="122">
        <v>6.3</v>
      </c>
      <c r="AM232" s="116">
        <v>22</v>
      </c>
      <c r="AN232" s="122">
        <v>6</v>
      </c>
      <c r="AO232" s="122">
        <v>5.5</v>
      </c>
      <c r="AP232" s="79">
        <v>0.14000000000000001</v>
      </c>
      <c r="AQ232" s="79">
        <v>0.16</v>
      </c>
      <c r="AR232" s="132">
        <f>SUM(C232:E232)</f>
        <v>2250</v>
      </c>
      <c r="AS232" s="134">
        <f>C232/AR232</f>
        <v>0.17777777777777778</v>
      </c>
      <c r="AT232" s="134">
        <f>D232/AR232</f>
        <v>0.73377777777777775</v>
      </c>
      <c r="AU232" s="134">
        <f>E232/AR232</f>
        <v>8.8444444444444451E-2</v>
      </c>
      <c r="AV232" s="151">
        <f>IF(AND(F232&lt;&gt;"",Z232&lt;&gt;""),AB232/(F232/2/Z232),"")</f>
        <v>7.1047957371225573E-2</v>
      </c>
      <c r="AW232" s="151">
        <f>IF(AND(F232&lt;&gt;"",AK232&lt;&gt;""),AM232/(F232/2/AK232),"")</f>
        <v>7.8152753108348141E-2</v>
      </c>
      <c r="AX232" s="41">
        <f>IF(AND(AQ232&lt;&gt;"",1-(AQ232/O232)&gt;0),1-(AQ232/O232),"")</f>
        <v>0.8896551724137931</v>
      </c>
      <c r="AY232" s="41">
        <f>IF(AND(AF232&lt;&gt;"",1-(AF232/O232)&gt;0),1-(AF232/O232),"")</f>
        <v>0.93793103448275861</v>
      </c>
      <c r="AZ232" s="136" t="str">
        <f>IF(Q232="","",IF(Q232&lt;2.5,"Alc. Bruta &lt; 2,5 mg/L",IF(Q232&lt;5,"2,5 ≤ Alc. Bruta &lt; 5,0 mg/L",IF(Q232&lt;7.5,"5,0 ≤ Alc. Bruta &lt; 7,5 mg/L",IF(Q232&lt;10,"7,5 ≤ Alc. Bruta &lt; 10,0 mg/L",IF(Q232&lt;15,"10,0 ≤ Alca. Bruta &lt; 15,0 mg/L","Alc. Bruta &gt; 15 mg/L"))))))</f>
        <v>5,0 ≤ Alc. Bruta &lt; 7,5 mg/L</v>
      </c>
      <c r="BA232" s="136" t="str">
        <f>IF(P232="","",IF(P232&lt;5,"Cor &lt;5 uC",IF(P232&lt;10,"5 ≤ Cor &lt; 10 uC",IF(P232&lt;15,"10 ≤ Cor &lt;15 uC",IF(P232&lt;30,"15 ≤ Cor &lt; 30 uC",IF(P232&lt;50,"30 ≤ Cor &lt; 50 uC","Cor &gt; 50 uC"))))))</f>
        <v>10 ≤ Cor &lt;15 uC</v>
      </c>
      <c r="BB232" s="137" t="str">
        <f>IF(O232="","",IF(O232&lt;2.5,"Turbidez &lt; 2,5 uT",IF(O232&lt;5,"2,5 ≤ Turb &lt; 5,0 uT",IF(O232&lt;7.5,"5,0 ≤ Turb &lt; 7,5 uT",IF(O232&lt;10,"7,5 ≤ Turb &lt; 10,0 uT",IF(O232&lt;15,"10,0 ≤ Turb &lt; 15,0 uT","Turb &gt; 15 uT"))))))</f>
        <v>Turbidez &lt; 2,5 uT</v>
      </c>
      <c r="BC232" s="138" t="str">
        <f>IF(AND(C232&gt;D232,D232&gt;E232),"TOR &gt; SM &gt; BNN",IF(AND(C232&gt;E232,E232&gt;D232),"TOR &gt; BNN &gt; SM",IF(AND(D232&gt;C232,C232&gt;E232),"SM &gt; TOR &gt; BNN",IF(AND(D232&gt;E232,E232&gt;C232),"SM &gt; BNN &gt; TOR",IF(AND(C232=D232,D232=E232),"TOR = SM = BNN","Comb. diferentes")))))</f>
        <v>SM &gt; TOR &gt; BNN</v>
      </c>
      <c r="BD232" s="137" t="str">
        <f>IF(OR(AE232="",AQ232="-"),"",IF(AE232&lt;=0.25,"Tipo 1 (≤0,25) uT",IF(AE232&lt;=0.5,"Tipo 2 (0,25-0,50) uT",IF(AE232&lt;=0.75,"Tipo 3 (0,50-0,75) uT","Tipo 4 (&gt;0,75) uT"))))</f>
        <v>Tipo 1 (≤0,25) uT</v>
      </c>
      <c r="BE232" s="137" t="str">
        <f t="shared" si="21"/>
        <v>Tipo 1 (≤0,25) uT</v>
      </c>
      <c r="BF232" s="137" t="str">
        <f>IF(OR(AF232="",AQ232="-"),"",IF(AF232&lt;=0.25,"Tipo 1 (≤0,25) uT",IF(AF232&lt;=0.5,"Tipo 2 (0,25-0,50) uT",IF(AF232&lt;=0.75,"Tipo 3 (0,50-0,75) uT","Tipo 4 (&gt;0,75) uT"))))</f>
        <v>Tipo 1 (≤0,25) uT</v>
      </c>
      <c r="BG232" s="137" t="str">
        <f t="shared" si="22"/>
        <v>Tipo 1 (≤0,25) uT</v>
      </c>
      <c r="BH232" s="137" t="str">
        <f>IF(OR(R232="",R232="-"),"",IF(R232&lt;=0.25,"Tipo 1 (≤0,25) uT",IF(R232&lt;=0.5,"Tipo 2 (0,25-0,50) uT",IF(R232&lt;=0.75,"Tipo 3 (0,50-0,75) uT","Tipo 4 (&gt;0,75) uT"))))</f>
        <v>Tipo 1 (≤0,25) uT</v>
      </c>
    </row>
    <row r="233" spans="1:60" x14ac:dyDescent="0.3">
      <c r="A233" s="74">
        <v>46284</v>
      </c>
      <c r="B233" s="139">
        <v>6.25E-2</v>
      </c>
      <c r="C233" s="116">
        <v>399</v>
      </c>
      <c r="D233" s="116">
        <v>1657</v>
      </c>
      <c r="E233" s="116">
        <v>199</v>
      </c>
      <c r="F233" s="116">
        <v>2275</v>
      </c>
      <c r="G233" s="144" t="s">
        <v>100</v>
      </c>
      <c r="H233" s="122">
        <v>9.5</v>
      </c>
      <c r="I233" s="116">
        <v>-10</v>
      </c>
      <c r="J233" s="10">
        <v>90</v>
      </c>
      <c r="K233" s="116">
        <v>90</v>
      </c>
      <c r="L233" s="116">
        <v>90</v>
      </c>
      <c r="M233" s="122">
        <v>24.6</v>
      </c>
      <c r="N233" s="122">
        <v>6.2</v>
      </c>
      <c r="O233" s="79">
        <v>1.35</v>
      </c>
      <c r="P233" s="116">
        <v>10</v>
      </c>
      <c r="Q233" s="122">
        <v>6.8</v>
      </c>
      <c r="R233" s="10">
        <v>0.09</v>
      </c>
      <c r="S233" s="79">
        <v>22.36</v>
      </c>
      <c r="T233" s="79">
        <v>0.88</v>
      </c>
      <c r="U233" s="79">
        <v>0.7</v>
      </c>
      <c r="V233" s="85">
        <f t="shared" si="23"/>
        <v>1763.125</v>
      </c>
      <c r="W233" s="85">
        <f t="shared" si="24"/>
        <v>1460.2868799999999</v>
      </c>
      <c r="X233" s="85">
        <f t="shared" si="25"/>
        <v>0.82823786175115199</v>
      </c>
      <c r="Y233" s="116">
        <v>3</v>
      </c>
      <c r="Z233" s="116">
        <v>4</v>
      </c>
      <c r="AA233" s="122">
        <v>6</v>
      </c>
      <c r="AB233" s="116">
        <v>20</v>
      </c>
      <c r="AC233" s="122">
        <v>6.2</v>
      </c>
      <c r="AD233" s="122">
        <v>4.7</v>
      </c>
      <c r="AE233" s="79">
        <v>0.16</v>
      </c>
      <c r="AF233" s="79">
        <v>0.08</v>
      </c>
      <c r="AG233" s="85">
        <f>(O233+0.3*H233+2)*(F233/2/AK233)</f>
        <v>1763.125</v>
      </c>
      <c r="AH233" s="85">
        <f t="shared" si="26"/>
        <v>1708.2758263999997</v>
      </c>
      <c r="AI233" s="85">
        <f t="shared" si="27"/>
        <v>0.96889093308755747</v>
      </c>
      <c r="AJ233" s="116">
        <v>3</v>
      </c>
      <c r="AK233" s="116">
        <v>4</v>
      </c>
      <c r="AL233" s="122">
        <v>6.3</v>
      </c>
      <c r="AM233" s="116">
        <v>22</v>
      </c>
      <c r="AN233" s="122">
        <v>6</v>
      </c>
      <c r="AO233" s="122">
        <v>4.7</v>
      </c>
      <c r="AP233" s="79">
        <v>0.17</v>
      </c>
      <c r="AQ233" s="79">
        <v>0.17</v>
      </c>
      <c r="AR233" s="132">
        <f>SUM(C233:E233)</f>
        <v>2255</v>
      </c>
      <c r="AS233" s="134">
        <f>C233/AR233</f>
        <v>0.17694013303769401</v>
      </c>
      <c r="AT233" s="134">
        <f>D233/AR233</f>
        <v>0.7348115299334812</v>
      </c>
      <c r="AU233" s="134">
        <f>E233/AR233</f>
        <v>8.8248337028824828E-2</v>
      </c>
      <c r="AV233" s="151">
        <f>IF(AND(F233&lt;&gt;"",Z233&lt;&gt;""),AB233/(F233/2/Z233),"")</f>
        <v>7.032967032967033E-2</v>
      </c>
      <c r="AW233" s="151">
        <f>IF(AND(F233&lt;&gt;"",AK233&lt;&gt;""),AM233/(F233/2/AK233),"")</f>
        <v>7.7362637362637363E-2</v>
      </c>
      <c r="AX233" s="41">
        <f>IF(AND(AQ233&lt;&gt;"",1-(AQ233/O233)&gt;0),1-(AQ233/O233),"")</f>
        <v>0.87407407407407411</v>
      </c>
      <c r="AY233" s="41">
        <f>IF(AND(AF233&lt;&gt;"",1-(AF233/O233)&gt;0),1-(AF233/O233),"")</f>
        <v>0.94074074074074077</v>
      </c>
      <c r="AZ233" s="136" t="str">
        <f>IF(Q233="","",IF(Q233&lt;2.5,"Alc. Bruta &lt; 2,5 mg/L",IF(Q233&lt;5,"2,5 ≤ Alc. Bruta &lt; 5,0 mg/L",IF(Q233&lt;7.5,"5,0 ≤ Alc. Bruta &lt; 7,5 mg/L",IF(Q233&lt;10,"7,5 ≤ Alc. Bruta &lt; 10,0 mg/L",IF(Q233&lt;15,"10,0 ≤ Alca. Bruta &lt; 15,0 mg/L","Alc. Bruta &gt; 15 mg/L"))))))</f>
        <v>5,0 ≤ Alc. Bruta &lt; 7,5 mg/L</v>
      </c>
      <c r="BA233" s="136" t="str">
        <f>IF(P233="","",IF(P233&lt;5,"Cor &lt;5 uC",IF(P233&lt;10,"5 ≤ Cor &lt; 10 uC",IF(P233&lt;15,"10 ≤ Cor &lt;15 uC",IF(P233&lt;30,"15 ≤ Cor &lt; 30 uC",IF(P233&lt;50,"30 ≤ Cor &lt; 50 uC","Cor &gt; 50 uC"))))))</f>
        <v>10 ≤ Cor &lt;15 uC</v>
      </c>
      <c r="BB233" s="137" t="str">
        <f>IF(O233="","",IF(O233&lt;2.5,"Turbidez &lt; 2,5 uT",IF(O233&lt;5,"2,5 ≤ Turb &lt; 5,0 uT",IF(O233&lt;7.5,"5,0 ≤ Turb &lt; 7,5 uT",IF(O233&lt;10,"7,5 ≤ Turb &lt; 10,0 uT",IF(O233&lt;15,"10,0 ≤ Turb &lt; 15,0 uT","Turb &gt; 15 uT"))))))</f>
        <v>Turbidez &lt; 2,5 uT</v>
      </c>
      <c r="BC233" s="138" t="str">
        <f>IF(AND(C233&gt;D233,D233&gt;E233),"TOR &gt; SM &gt; BNN",IF(AND(C233&gt;E233,E233&gt;D233),"TOR &gt; BNN &gt; SM",IF(AND(D233&gt;C233,C233&gt;E233),"SM &gt; TOR &gt; BNN",IF(AND(D233&gt;E233,E233&gt;C233),"SM &gt; BNN &gt; TOR",IF(AND(C233=D233,D233=E233),"TOR = SM = BNN","Comb. diferentes")))))</f>
        <v>SM &gt; TOR &gt; BNN</v>
      </c>
      <c r="BD233" s="137" t="str">
        <f>IF(OR(AE233="",AQ233="-"),"",IF(AE233&lt;=0.25,"Tipo 1 (≤0,25) uT",IF(AE233&lt;=0.5,"Tipo 2 (0,25-0,50) uT",IF(AE233&lt;=0.75,"Tipo 3 (0,50-0,75) uT","Tipo 4 (&gt;0,75) uT"))))</f>
        <v>Tipo 1 (≤0,25) uT</v>
      </c>
      <c r="BE233" s="137" t="str">
        <f t="shared" si="21"/>
        <v>Tipo 1 (≤0,25) uT</v>
      </c>
      <c r="BF233" s="137" t="str">
        <f>IF(OR(AF233="",AQ233="-"),"",IF(AF233&lt;=0.25,"Tipo 1 (≤0,25) uT",IF(AF233&lt;=0.5,"Tipo 2 (0,25-0,50) uT",IF(AF233&lt;=0.75,"Tipo 3 (0,50-0,75) uT","Tipo 4 (&gt;0,75) uT"))))</f>
        <v>Tipo 1 (≤0,25) uT</v>
      </c>
      <c r="BG233" s="137" t="str">
        <f t="shared" si="22"/>
        <v>Tipo 1 (≤0,25) uT</v>
      </c>
      <c r="BH233" s="137" t="str">
        <f>IF(OR(R233="",R233="-"),"",IF(R233&lt;=0.25,"Tipo 1 (≤0,25) uT",IF(R233&lt;=0.5,"Tipo 2 (0,25-0,50) uT",IF(R233&lt;=0.75,"Tipo 3 (0,50-0,75) uT","Tipo 4 (&gt;0,75) uT"))))</f>
        <v>Tipo 1 (≤0,25) uT</v>
      </c>
    </row>
    <row r="234" spans="1:60" x14ac:dyDescent="0.3">
      <c r="A234" s="74">
        <v>46284</v>
      </c>
      <c r="B234" s="139">
        <v>0.14583333333333334</v>
      </c>
      <c r="C234" s="116">
        <v>240</v>
      </c>
      <c r="D234" s="116">
        <v>1713</v>
      </c>
      <c r="E234" s="116">
        <v>200</v>
      </c>
      <c r="F234" s="116">
        <v>2272</v>
      </c>
      <c r="G234" s="144" t="s">
        <v>100</v>
      </c>
      <c r="H234" s="122">
        <v>9.5</v>
      </c>
      <c r="I234" s="116">
        <v>-37</v>
      </c>
      <c r="J234" s="10">
        <v>90</v>
      </c>
      <c r="K234" s="116">
        <v>90</v>
      </c>
      <c r="L234" s="116">
        <v>90</v>
      </c>
      <c r="M234" s="122">
        <v>24.3</v>
      </c>
      <c r="N234" s="122">
        <v>6.3</v>
      </c>
      <c r="O234" s="79">
        <v>1.4</v>
      </c>
      <c r="P234" s="116">
        <v>11</v>
      </c>
      <c r="Q234" s="122">
        <v>6.5</v>
      </c>
      <c r="R234" s="10">
        <v>0.11</v>
      </c>
      <c r="S234" s="79">
        <v>22.36</v>
      </c>
      <c r="T234" s="79">
        <v>0.88</v>
      </c>
      <c r="U234" s="79">
        <v>0.7</v>
      </c>
      <c r="V234" s="85">
        <f t="shared" si="23"/>
        <v>1775</v>
      </c>
      <c r="W234" s="85">
        <f t="shared" si="24"/>
        <v>1491.1839279999999</v>
      </c>
      <c r="X234" s="85">
        <f t="shared" si="25"/>
        <v>0.84010362140845063</v>
      </c>
      <c r="Y234" s="116">
        <v>3</v>
      </c>
      <c r="Z234" s="116">
        <v>4</v>
      </c>
      <c r="AA234" s="122">
        <v>6.1</v>
      </c>
      <c r="AB234" s="116">
        <v>20</v>
      </c>
      <c r="AC234" s="122">
        <v>6.1</v>
      </c>
      <c r="AD234" s="122">
        <v>4.3</v>
      </c>
      <c r="AE234" s="79">
        <v>0.17</v>
      </c>
      <c r="AF234" s="79">
        <v>0.11</v>
      </c>
      <c r="AG234" s="85">
        <f>(O234+0.3*H234+2)*(F234/2/AK234)</f>
        <v>1775</v>
      </c>
      <c r="AH234" s="85">
        <f t="shared" si="26"/>
        <v>1708.2758263999997</v>
      </c>
      <c r="AI234" s="85">
        <f t="shared" si="27"/>
        <v>0.96240891628169001</v>
      </c>
      <c r="AJ234" s="116">
        <v>3</v>
      </c>
      <c r="AK234" s="116">
        <v>4</v>
      </c>
      <c r="AL234" s="122">
        <v>6.3</v>
      </c>
      <c r="AM234" s="116">
        <v>22</v>
      </c>
      <c r="AN234" s="122">
        <v>6</v>
      </c>
      <c r="AO234" s="122">
        <v>4.8</v>
      </c>
      <c r="AP234" s="79">
        <v>0.17</v>
      </c>
      <c r="AQ234" s="79">
        <v>0.19</v>
      </c>
      <c r="AR234" s="132">
        <f>SUM(C234:E234)</f>
        <v>2153</v>
      </c>
      <c r="AS234" s="134">
        <f>C234/AR234</f>
        <v>0.1114723641430562</v>
      </c>
      <c r="AT234" s="134">
        <f>D234/AR234</f>
        <v>0.79563399907106358</v>
      </c>
      <c r="AU234" s="134">
        <f>E234/AR234</f>
        <v>9.2893636785880168E-2</v>
      </c>
      <c r="AV234" s="151">
        <f>IF(AND(F234&lt;&gt;"",Z234&lt;&gt;""),AB234/(F234/2/Z234),"")</f>
        <v>7.0422535211267609E-2</v>
      </c>
      <c r="AW234" s="151">
        <f>IF(AND(F234&lt;&gt;"",AK234&lt;&gt;""),AM234/(F234/2/AK234),"")</f>
        <v>7.746478873239436E-2</v>
      </c>
      <c r="AX234" s="41">
        <f>IF(AND(AQ234&lt;&gt;"",1-(AQ234/O234)&gt;0),1-(AQ234/O234),"")</f>
        <v>0.86428571428571432</v>
      </c>
      <c r="AY234" s="41">
        <f>IF(AND(AF234&lt;&gt;"",1-(AF234/O234)&gt;0),1-(AF234/O234),"")</f>
        <v>0.92142857142857137</v>
      </c>
      <c r="AZ234" s="136" t="str">
        <f>IF(Q234="","",IF(Q234&lt;2.5,"Alc. Bruta &lt; 2,5 mg/L",IF(Q234&lt;5,"2,5 ≤ Alc. Bruta &lt; 5,0 mg/L",IF(Q234&lt;7.5,"5,0 ≤ Alc. Bruta &lt; 7,5 mg/L",IF(Q234&lt;10,"7,5 ≤ Alc. Bruta &lt; 10,0 mg/L",IF(Q234&lt;15,"10,0 ≤ Alca. Bruta &lt; 15,0 mg/L","Alc. Bruta &gt; 15 mg/L"))))))</f>
        <v>5,0 ≤ Alc. Bruta &lt; 7,5 mg/L</v>
      </c>
      <c r="BA234" s="136" t="str">
        <f>IF(P234="","",IF(P234&lt;5,"Cor &lt;5 uC",IF(P234&lt;10,"5 ≤ Cor &lt; 10 uC",IF(P234&lt;15,"10 ≤ Cor &lt;15 uC",IF(P234&lt;30,"15 ≤ Cor &lt; 30 uC",IF(P234&lt;50,"30 ≤ Cor &lt; 50 uC","Cor &gt; 50 uC"))))))</f>
        <v>10 ≤ Cor &lt;15 uC</v>
      </c>
      <c r="BB234" s="137" t="str">
        <f>IF(O234="","",IF(O234&lt;2.5,"Turbidez &lt; 2,5 uT",IF(O234&lt;5,"2,5 ≤ Turb &lt; 5,0 uT",IF(O234&lt;7.5,"5,0 ≤ Turb &lt; 7,5 uT",IF(O234&lt;10,"7,5 ≤ Turb &lt; 10,0 uT",IF(O234&lt;15,"10,0 ≤ Turb &lt; 15,0 uT","Turb &gt; 15 uT"))))))</f>
        <v>Turbidez &lt; 2,5 uT</v>
      </c>
      <c r="BC234" s="138" t="str">
        <f>IF(AND(C234&gt;D234,D234&gt;E234),"TOR &gt; SM &gt; BNN",IF(AND(C234&gt;E234,E234&gt;D234),"TOR &gt; BNN &gt; SM",IF(AND(D234&gt;C234,C234&gt;E234),"SM &gt; TOR &gt; BNN",IF(AND(D234&gt;E234,E234&gt;C234),"SM &gt; BNN &gt; TOR",IF(AND(C234=D234,D234=E234),"TOR = SM = BNN","Comb. diferentes")))))</f>
        <v>SM &gt; TOR &gt; BNN</v>
      </c>
      <c r="BD234" s="137" t="str">
        <f>IF(OR(AE234="",AQ234="-"),"",IF(AE234&lt;=0.25,"Tipo 1 (≤0,25) uT",IF(AE234&lt;=0.5,"Tipo 2 (0,25-0,50) uT",IF(AE234&lt;=0.75,"Tipo 3 (0,50-0,75) uT","Tipo 4 (&gt;0,75) uT"))))</f>
        <v>Tipo 1 (≤0,25) uT</v>
      </c>
      <c r="BE234" s="137" t="str">
        <f t="shared" si="21"/>
        <v>Tipo 1 (≤0,25) uT</v>
      </c>
      <c r="BF234" s="137" t="str">
        <f>IF(OR(AF234="",AQ234="-"),"",IF(AF234&lt;=0.25,"Tipo 1 (≤0,25) uT",IF(AF234&lt;=0.5,"Tipo 2 (0,25-0,50) uT",IF(AF234&lt;=0.75,"Tipo 3 (0,50-0,75) uT","Tipo 4 (&gt;0,75) uT"))))</f>
        <v>Tipo 1 (≤0,25) uT</v>
      </c>
      <c r="BG234" s="137" t="str">
        <f t="shared" si="22"/>
        <v>Tipo 1 (≤0,25) uT</v>
      </c>
      <c r="BH234" s="137" t="str">
        <f>IF(OR(R234="",R234="-"),"",IF(R234&lt;=0.25,"Tipo 1 (≤0,25) uT",IF(R234&lt;=0.5,"Tipo 2 (0,25-0,50) uT",IF(R234&lt;=0.75,"Tipo 3 (0,50-0,75) uT","Tipo 4 (&gt;0,75) uT"))))</f>
        <v>Tipo 1 (≤0,25) uT</v>
      </c>
    </row>
    <row r="235" spans="1:60" ht="15" thickBot="1" x14ac:dyDescent="0.35">
      <c r="A235" s="75">
        <v>46284</v>
      </c>
      <c r="B235" s="140">
        <v>0.22916666666666666</v>
      </c>
      <c r="C235" s="117">
        <v>243</v>
      </c>
      <c r="D235" s="117">
        <v>1720</v>
      </c>
      <c r="E235" s="117">
        <v>200</v>
      </c>
      <c r="F235" s="117">
        <v>2270</v>
      </c>
      <c r="G235" s="145" t="s">
        <v>100</v>
      </c>
      <c r="H235" s="123">
        <v>9.5</v>
      </c>
      <c r="I235" s="117">
        <v>-54</v>
      </c>
      <c r="J235" s="11">
        <v>90</v>
      </c>
      <c r="K235" s="117">
        <v>90</v>
      </c>
      <c r="L235" s="117">
        <v>90</v>
      </c>
      <c r="M235" s="123">
        <v>24.1</v>
      </c>
      <c r="N235" s="123">
        <v>6.4</v>
      </c>
      <c r="O235" s="80">
        <v>1.33</v>
      </c>
      <c r="P235" s="117">
        <v>10</v>
      </c>
      <c r="Q235" s="123">
        <v>6.5</v>
      </c>
      <c r="R235" s="11">
        <v>0.18</v>
      </c>
      <c r="S235" s="79">
        <v>22.36</v>
      </c>
      <c r="T235" s="79">
        <v>0.88</v>
      </c>
      <c r="U235" s="79">
        <v>0.7</v>
      </c>
      <c r="V235" s="85">
        <f t="shared" si="23"/>
        <v>1753.5749999999998</v>
      </c>
      <c r="W235" s="85">
        <f t="shared" si="24"/>
        <v>1460.2868799999999</v>
      </c>
      <c r="X235" s="85">
        <f t="shared" si="25"/>
        <v>0.83274845957543875</v>
      </c>
      <c r="Y235" s="117">
        <v>3</v>
      </c>
      <c r="Z235" s="117">
        <v>4</v>
      </c>
      <c r="AA235" s="123">
        <v>6</v>
      </c>
      <c r="AB235" s="117">
        <v>20</v>
      </c>
      <c r="AC235" s="123">
        <v>6.1</v>
      </c>
      <c r="AD235" s="123">
        <v>4.4000000000000004</v>
      </c>
      <c r="AE235" s="80">
        <v>0.14000000000000001</v>
      </c>
      <c r="AF235" s="80">
        <v>0.14000000000000001</v>
      </c>
      <c r="AG235" s="85">
        <f>(O235+0.3*H235+2)*(F235/2/AK235)</f>
        <v>1753.5749999999998</v>
      </c>
      <c r="AH235" s="85">
        <f t="shared" si="26"/>
        <v>1708.2758263999997</v>
      </c>
      <c r="AI235" s="85">
        <f t="shared" si="27"/>
        <v>0.97416752998873724</v>
      </c>
      <c r="AJ235" s="117">
        <v>3</v>
      </c>
      <c r="AK235" s="117">
        <v>4</v>
      </c>
      <c r="AL235" s="123">
        <v>6.3</v>
      </c>
      <c r="AM235" s="117">
        <v>22</v>
      </c>
      <c r="AN235" s="123">
        <v>5.9</v>
      </c>
      <c r="AO235" s="123">
        <v>5.0999999999999996</v>
      </c>
      <c r="AP235" s="80">
        <v>0.15</v>
      </c>
      <c r="AQ235" s="80">
        <v>0.17</v>
      </c>
      <c r="AR235" s="132">
        <f>SUM(C235:E235)</f>
        <v>2163</v>
      </c>
      <c r="AS235" s="134">
        <f>C235/AR235</f>
        <v>0.11234396671289876</v>
      </c>
      <c r="AT235" s="134">
        <f>D235/AR235</f>
        <v>0.79519186315302826</v>
      </c>
      <c r="AU235" s="134">
        <f>E235/AR235</f>
        <v>9.2464170134073043E-2</v>
      </c>
      <c r="AV235" s="151">
        <f>IF(AND(F235&lt;&gt;"",Z235&lt;&gt;""),AB235/(F235/2/Z235),"")</f>
        <v>7.0484581497797363E-2</v>
      </c>
      <c r="AW235" s="151">
        <f>IF(AND(F235&lt;&gt;"",AK235&lt;&gt;""),AM235/(F235/2/AK235),"")</f>
        <v>7.7533039647577087E-2</v>
      </c>
      <c r="AX235" s="41">
        <f>IF(AND(AQ235&lt;&gt;"",1-(AQ235/O235)&gt;0),1-(AQ235/O235),"")</f>
        <v>0.8721804511278195</v>
      </c>
      <c r="AY235" s="41">
        <f>IF(AND(AF235&lt;&gt;"",1-(AF235/O235)&gt;0),1-(AF235/O235),"")</f>
        <v>0.89473684210526316</v>
      </c>
      <c r="AZ235" s="136" t="str">
        <f>IF(Q235="","",IF(Q235&lt;2.5,"Alc. Bruta &lt; 2,5 mg/L",IF(Q235&lt;5,"2,5 ≤ Alc. Bruta &lt; 5,0 mg/L",IF(Q235&lt;7.5,"5,0 ≤ Alc. Bruta &lt; 7,5 mg/L",IF(Q235&lt;10,"7,5 ≤ Alc. Bruta &lt; 10,0 mg/L",IF(Q235&lt;15,"10,0 ≤ Alca. Bruta &lt; 15,0 mg/L","Alc. Bruta &gt; 15 mg/L"))))))</f>
        <v>5,0 ≤ Alc. Bruta &lt; 7,5 mg/L</v>
      </c>
      <c r="BA235" s="136" t="str">
        <f>IF(P235="","",IF(P235&lt;5,"Cor &lt;5 uC",IF(P235&lt;10,"5 ≤ Cor &lt; 10 uC",IF(P235&lt;15,"10 ≤ Cor &lt;15 uC",IF(P235&lt;30,"15 ≤ Cor &lt; 30 uC",IF(P235&lt;50,"30 ≤ Cor &lt; 50 uC","Cor &gt; 50 uC"))))))</f>
        <v>10 ≤ Cor &lt;15 uC</v>
      </c>
      <c r="BB235" s="137" t="str">
        <f>IF(O235="","",IF(O235&lt;2.5,"Turbidez &lt; 2,5 uT",IF(O235&lt;5,"2,5 ≤ Turb &lt; 5,0 uT",IF(O235&lt;7.5,"5,0 ≤ Turb &lt; 7,5 uT",IF(O235&lt;10,"7,5 ≤ Turb &lt; 10,0 uT",IF(O235&lt;15,"10,0 ≤ Turb &lt; 15,0 uT","Turb &gt; 15 uT"))))))</f>
        <v>Turbidez &lt; 2,5 uT</v>
      </c>
      <c r="BC235" s="138" t="str">
        <f>IF(AND(C235&gt;D235,D235&gt;E235),"TOR &gt; SM &gt; BNN",IF(AND(C235&gt;E235,E235&gt;D235),"TOR &gt; BNN &gt; SM",IF(AND(D235&gt;C235,C235&gt;E235),"SM &gt; TOR &gt; BNN",IF(AND(D235&gt;E235,E235&gt;C235),"SM &gt; BNN &gt; TOR",IF(AND(C235=D235,D235=E235),"TOR = SM = BNN","Comb. diferentes")))))</f>
        <v>SM &gt; TOR &gt; BNN</v>
      </c>
      <c r="BD235" s="137" t="str">
        <f>IF(OR(AE235="",AQ235="-"),"",IF(AE235&lt;=0.25,"Tipo 1 (≤0,25) uT",IF(AE235&lt;=0.5,"Tipo 2 (0,25-0,50) uT",IF(AE235&lt;=0.75,"Tipo 3 (0,50-0,75) uT","Tipo 4 (&gt;0,75) uT"))))</f>
        <v>Tipo 1 (≤0,25) uT</v>
      </c>
      <c r="BE235" s="137" t="str">
        <f t="shared" si="21"/>
        <v>Tipo 1 (≤0,25) uT</v>
      </c>
      <c r="BF235" s="137" t="str">
        <f>IF(OR(AF235="",AQ235="-"),"",IF(AF235&lt;=0.25,"Tipo 1 (≤0,25) uT",IF(AF235&lt;=0.5,"Tipo 2 (0,25-0,50) uT",IF(AF235&lt;=0.75,"Tipo 3 (0,50-0,75) uT","Tipo 4 (&gt;0,75) uT"))))</f>
        <v>Tipo 1 (≤0,25) uT</v>
      </c>
      <c r="BG235" s="137" t="str">
        <f t="shared" si="22"/>
        <v>Tipo 1 (≤0,25) uT</v>
      </c>
      <c r="BH235" s="137" t="str">
        <f>IF(OR(R235="",R235="-"),"",IF(R235&lt;=0.25,"Tipo 1 (≤0,25) uT",IF(R235&lt;=0.5,"Tipo 2 (0,25-0,50) uT",IF(R235&lt;=0.75,"Tipo 3 (0,50-0,75) uT","Tipo 4 (&gt;0,75) uT"))))</f>
        <v>Tipo 1 (≤0,25) uT</v>
      </c>
    </row>
    <row r="236" spans="1:60" x14ac:dyDescent="0.3">
      <c r="A236" s="73">
        <v>46284</v>
      </c>
      <c r="B236" s="141">
        <v>0.3125</v>
      </c>
      <c r="C236" s="118">
        <v>347</v>
      </c>
      <c r="D236" s="118">
        <v>1673</v>
      </c>
      <c r="E236" s="118">
        <v>200</v>
      </c>
      <c r="F236" s="118">
        <v>2277</v>
      </c>
      <c r="G236" s="146" t="s">
        <v>100</v>
      </c>
      <c r="H236" s="124">
        <v>9.5</v>
      </c>
      <c r="I236" s="118">
        <v>-62</v>
      </c>
      <c r="J236" s="9">
        <v>90</v>
      </c>
      <c r="K236" s="118">
        <v>90</v>
      </c>
      <c r="L236" s="118">
        <v>90</v>
      </c>
      <c r="M236" s="124">
        <v>24.2</v>
      </c>
      <c r="N236" s="124">
        <v>6.5</v>
      </c>
      <c r="O236" s="81">
        <v>1.22</v>
      </c>
      <c r="P236" s="118">
        <v>8</v>
      </c>
      <c r="Q236" s="124">
        <v>7.5</v>
      </c>
      <c r="R236" s="9">
        <v>0.19</v>
      </c>
      <c r="S236" s="79">
        <v>22.36</v>
      </c>
      <c r="T236" s="79">
        <v>0.88</v>
      </c>
      <c r="U236" s="79">
        <v>0.7</v>
      </c>
      <c r="V236" s="85">
        <f t="shared" si="23"/>
        <v>1727.6737500000002</v>
      </c>
      <c r="W236" s="85">
        <f t="shared" si="24"/>
        <v>1491.1839279999999</v>
      </c>
      <c r="X236" s="85">
        <f t="shared" si="25"/>
        <v>0.86311662025310032</v>
      </c>
      <c r="Y236" s="118">
        <v>3</v>
      </c>
      <c r="Z236" s="118">
        <v>4</v>
      </c>
      <c r="AA236" s="124">
        <v>6.1</v>
      </c>
      <c r="AB236" s="118">
        <v>20</v>
      </c>
      <c r="AC236" s="124">
        <v>6.1</v>
      </c>
      <c r="AD236" s="124">
        <v>5</v>
      </c>
      <c r="AE236" s="81">
        <v>0.18</v>
      </c>
      <c r="AF236" s="81">
        <v>0.15</v>
      </c>
      <c r="AG236" s="85">
        <f>(O236+0.3*H236+2)*(F236/2/AK236)</f>
        <v>1727.6737500000002</v>
      </c>
      <c r="AH236" s="85">
        <f t="shared" si="26"/>
        <v>1785.9247275999996</v>
      </c>
      <c r="AI236" s="85">
        <f t="shared" si="27"/>
        <v>1.0337164222122375</v>
      </c>
      <c r="AJ236" s="118">
        <v>3</v>
      </c>
      <c r="AK236" s="118">
        <v>4</v>
      </c>
      <c r="AL236" s="124">
        <v>6.3</v>
      </c>
      <c r="AM236" s="118">
        <v>23</v>
      </c>
      <c r="AN236" s="124">
        <v>6.1</v>
      </c>
      <c r="AO236" s="124">
        <v>4.7</v>
      </c>
      <c r="AP236" s="81">
        <v>0.19</v>
      </c>
      <c r="AQ236" s="81">
        <v>0.18</v>
      </c>
      <c r="AR236" s="132">
        <f>SUM(C236:E236)</f>
        <v>2220</v>
      </c>
      <c r="AS236" s="134">
        <f>C236/AR236</f>
        <v>0.15630630630630632</v>
      </c>
      <c r="AT236" s="134">
        <f>D236/AR236</f>
        <v>0.75360360360360357</v>
      </c>
      <c r="AU236" s="134">
        <f>E236/AR236</f>
        <v>9.0090090090090086E-2</v>
      </c>
      <c r="AV236" s="151">
        <f>IF(AND(F236&lt;&gt;"",Z236&lt;&gt;""),AB236/(F236/2/Z236),"")</f>
        <v>7.026789635485288E-2</v>
      </c>
      <c r="AW236" s="151">
        <f>IF(AND(F236&lt;&gt;"",AK236&lt;&gt;""),AM236/(F236/2/AK236),"")</f>
        <v>8.0808080808080815E-2</v>
      </c>
      <c r="AX236" s="41">
        <f>IF(AND(AQ236&lt;&gt;"",1-(AQ236/O236)&gt;0),1-(AQ236/O236),"")</f>
        <v>0.85245901639344268</v>
      </c>
      <c r="AY236" s="41">
        <f>IF(AND(AF236&lt;&gt;"",1-(AF236/O236)&gt;0),1-(AF236/O236),"")</f>
        <v>0.87704918032786883</v>
      </c>
      <c r="AZ236" s="136" t="str">
        <f>IF(Q236="","",IF(Q236&lt;2.5,"Alc. Bruta &lt; 2,5 mg/L",IF(Q236&lt;5,"2,5 ≤ Alc. Bruta &lt; 5,0 mg/L",IF(Q236&lt;7.5,"5,0 ≤ Alc. Bruta &lt; 7,5 mg/L",IF(Q236&lt;10,"7,5 ≤ Alc. Bruta &lt; 10,0 mg/L",IF(Q236&lt;15,"10,0 ≤ Alca. Bruta &lt; 15,0 mg/L","Alc. Bruta &gt; 15 mg/L"))))))</f>
        <v>7,5 ≤ Alc. Bruta &lt; 10,0 mg/L</v>
      </c>
      <c r="BA236" s="136" t="str">
        <f>IF(P236="","",IF(P236&lt;5,"Cor &lt;5 uC",IF(P236&lt;10,"5 ≤ Cor &lt; 10 uC",IF(P236&lt;15,"10 ≤ Cor &lt;15 uC",IF(P236&lt;30,"15 ≤ Cor &lt; 30 uC",IF(P236&lt;50,"30 ≤ Cor &lt; 50 uC","Cor &gt; 50 uC"))))))</f>
        <v>5 ≤ Cor &lt; 10 uC</v>
      </c>
      <c r="BB236" s="137" t="str">
        <f>IF(O236="","",IF(O236&lt;2.5,"Turbidez &lt; 2,5 uT",IF(O236&lt;5,"2,5 ≤ Turb &lt; 5,0 uT",IF(O236&lt;7.5,"5,0 ≤ Turb &lt; 7,5 uT",IF(O236&lt;10,"7,5 ≤ Turb &lt; 10,0 uT",IF(O236&lt;15,"10,0 ≤ Turb &lt; 15,0 uT","Turb &gt; 15 uT"))))))</f>
        <v>Turbidez &lt; 2,5 uT</v>
      </c>
      <c r="BC236" s="138" t="str">
        <f>IF(AND(C236&gt;D236,D236&gt;E236),"TOR &gt; SM &gt; BNN",IF(AND(C236&gt;E236,E236&gt;D236),"TOR &gt; BNN &gt; SM",IF(AND(D236&gt;C236,C236&gt;E236),"SM &gt; TOR &gt; BNN",IF(AND(D236&gt;E236,E236&gt;C236),"SM &gt; BNN &gt; TOR",IF(AND(C236=D236,D236=E236),"TOR = SM = BNN","Comb. diferentes")))))</f>
        <v>SM &gt; TOR &gt; BNN</v>
      </c>
      <c r="BD236" s="137" t="str">
        <f>IF(OR(AE236="",AQ236="-"),"",IF(AE236&lt;=0.25,"Tipo 1 (≤0,25) uT",IF(AE236&lt;=0.5,"Tipo 2 (0,25-0,50) uT",IF(AE236&lt;=0.75,"Tipo 3 (0,50-0,75) uT","Tipo 4 (&gt;0,75) uT"))))</f>
        <v>Tipo 1 (≤0,25) uT</v>
      </c>
      <c r="BE236" s="137" t="str">
        <f t="shared" si="21"/>
        <v>Tipo 1 (≤0,25) uT</v>
      </c>
      <c r="BF236" s="137" t="str">
        <f>IF(OR(AF236="",AQ236="-"),"",IF(AF236&lt;=0.25,"Tipo 1 (≤0,25) uT",IF(AF236&lt;=0.5,"Tipo 2 (0,25-0,50) uT",IF(AF236&lt;=0.75,"Tipo 3 (0,50-0,75) uT","Tipo 4 (&gt;0,75) uT"))))</f>
        <v>Tipo 1 (≤0,25) uT</v>
      </c>
      <c r="BG236" s="137" t="str">
        <f t="shared" si="22"/>
        <v>Tipo 1 (≤0,25) uT</v>
      </c>
      <c r="BH236" s="137" t="str">
        <f>IF(OR(R236="",R236="-"),"",IF(R236&lt;=0.25,"Tipo 1 (≤0,25) uT",IF(R236&lt;=0.5,"Tipo 2 (0,25-0,50) uT",IF(R236&lt;=0.75,"Tipo 3 (0,50-0,75) uT","Tipo 4 (&gt;0,75) uT"))))</f>
        <v>Tipo 1 (≤0,25) uT</v>
      </c>
    </row>
    <row r="237" spans="1:60" x14ac:dyDescent="0.3">
      <c r="A237" s="74">
        <v>46284</v>
      </c>
      <c r="B237" s="139">
        <v>0.39583333333333331</v>
      </c>
      <c r="C237" s="116">
        <v>383</v>
      </c>
      <c r="D237" s="116">
        <v>1223</v>
      </c>
      <c r="E237" s="116">
        <v>224</v>
      </c>
      <c r="F237" s="116">
        <v>1770</v>
      </c>
      <c r="G237" s="144" t="s">
        <v>100</v>
      </c>
      <c r="H237" s="122">
        <v>9.5</v>
      </c>
      <c r="I237" s="116">
        <v>-35</v>
      </c>
      <c r="J237" s="10">
        <v>90</v>
      </c>
      <c r="K237" s="116">
        <v>90</v>
      </c>
      <c r="L237" s="116">
        <v>90</v>
      </c>
      <c r="M237" s="122">
        <v>25</v>
      </c>
      <c r="N237" s="122">
        <v>6.5</v>
      </c>
      <c r="O237" s="79">
        <v>1.3</v>
      </c>
      <c r="P237" s="116">
        <v>9</v>
      </c>
      <c r="Q237" s="122">
        <v>7.7</v>
      </c>
      <c r="R237" s="10">
        <v>0.13</v>
      </c>
      <c r="S237" s="79">
        <v>22.36</v>
      </c>
      <c r="T237" s="79">
        <v>0.88</v>
      </c>
      <c r="U237" s="79">
        <v>0.7</v>
      </c>
      <c r="V237" s="85">
        <f t="shared" si="23"/>
        <v>1360.6875</v>
      </c>
      <c r="W237" s="85">
        <f t="shared" si="24"/>
        <v>1491.1839279999999</v>
      </c>
      <c r="X237" s="85">
        <f t="shared" si="25"/>
        <v>1.0959047746084241</v>
      </c>
      <c r="Y237" s="116">
        <v>2</v>
      </c>
      <c r="Z237" s="116">
        <v>4</v>
      </c>
      <c r="AA237" s="122">
        <v>6.1</v>
      </c>
      <c r="AB237" s="116">
        <v>20</v>
      </c>
      <c r="AC237" s="122">
        <v>6.1</v>
      </c>
      <c r="AD237" s="122">
        <v>5.0999999999999996</v>
      </c>
      <c r="AE237" s="79">
        <v>0.16</v>
      </c>
      <c r="AF237" s="79">
        <v>0.14000000000000001</v>
      </c>
      <c r="AG237" s="85">
        <f>(O237+0.3*H237+2)*(F237/2/AK237)</f>
        <v>1814.25</v>
      </c>
      <c r="AH237" s="85">
        <f t="shared" si="26"/>
        <v>1674.2890735999999</v>
      </c>
      <c r="AI237" s="85">
        <f t="shared" si="27"/>
        <v>0.92285466369023006</v>
      </c>
      <c r="AJ237" s="116">
        <v>2</v>
      </c>
      <c r="AK237" s="116">
        <v>3</v>
      </c>
      <c r="AL237" s="122">
        <v>6.2</v>
      </c>
      <c r="AM237" s="116">
        <v>22</v>
      </c>
      <c r="AN237" s="122">
        <v>6.1</v>
      </c>
      <c r="AO237" s="122">
        <v>5.0999999999999996</v>
      </c>
      <c r="AP237" s="79">
        <v>0.14000000000000001</v>
      </c>
      <c r="AQ237" s="79">
        <v>0.17</v>
      </c>
      <c r="AR237" s="132">
        <f>SUM(C237:E237)</f>
        <v>1830</v>
      </c>
      <c r="AS237" s="134">
        <f>C237/AR237</f>
        <v>0.20928961748633879</v>
      </c>
      <c r="AT237" s="134">
        <f>D237/AR237</f>
        <v>0.6683060109289618</v>
      </c>
      <c r="AU237" s="134">
        <f>E237/AR237</f>
        <v>0.12240437158469945</v>
      </c>
      <c r="AV237" s="151">
        <f>IF(AND(F237&lt;&gt;"",Z237&lt;&gt;""),AB237/(F237/2/Z237),"")</f>
        <v>9.03954802259887E-2</v>
      </c>
      <c r="AW237" s="151">
        <f>IF(AND(F237&lt;&gt;"",AK237&lt;&gt;""),AM237/(F237/2/AK237),"")</f>
        <v>7.4576271186440682E-2</v>
      </c>
      <c r="AX237" s="41">
        <f>IF(AND(AQ237&lt;&gt;"",1-(AQ237/O237)&gt;0),1-(AQ237/O237),"")</f>
        <v>0.86923076923076925</v>
      </c>
      <c r="AY237" s="41">
        <f>IF(AND(AF237&lt;&gt;"",1-(AF237/O237)&gt;0),1-(AF237/O237),"")</f>
        <v>0.89230769230769225</v>
      </c>
      <c r="AZ237" s="136" t="str">
        <f>IF(Q237="","",IF(Q237&lt;2.5,"Alc. Bruta &lt; 2,5 mg/L",IF(Q237&lt;5,"2,5 ≤ Alc. Bruta &lt; 5,0 mg/L",IF(Q237&lt;7.5,"5,0 ≤ Alc. Bruta &lt; 7,5 mg/L",IF(Q237&lt;10,"7,5 ≤ Alc. Bruta &lt; 10,0 mg/L",IF(Q237&lt;15,"10,0 ≤ Alca. Bruta &lt; 15,0 mg/L","Alc. Bruta &gt; 15 mg/L"))))))</f>
        <v>7,5 ≤ Alc. Bruta &lt; 10,0 mg/L</v>
      </c>
      <c r="BA237" s="136" t="str">
        <f>IF(P237="","",IF(P237&lt;5,"Cor &lt;5 uC",IF(P237&lt;10,"5 ≤ Cor &lt; 10 uC",IF(P237&lt;15,"10 ≤ Cor &lt;15 uC",IF(P237&lt;30,"15 ≤ Cor &lt; 30 uC",IF(P237&lt;50,"30 ≤ Cor &lt; 50 uC","Cor &gt; 50 uC"))))))</f>
        <v>5 ≤ Cor &lt; 10 uC</v>
      </c>
      <c r="BB237" s="137" t="str">
        <f>IF(O237="","",IF(O237&lt;2.5,"Turbidez &lt; 2,5 uT",IF(O237&lt;5,"2,5 ≤ Turb &lt; 5,0 uT",IF(O237&lt;7.5,"5,0 ≤ Turb &lt; 7,5 uT",IF(O237&lt;10,"7,5 ≤ Turb &lt; 10,0 uT",IF(O237&lt;15,"10,0 ≤ Turb &lt; 15,0 uT","Turb &gt; 15 uT"))))))</f>
        <v>Turbidez &lt; 2,5 uT</v>
      </c>
      <c r="BC237" s="138" t="str">
        <f>IF(AND(C237&gt;D237,D237&gt;E237),"TOR &gt; SM &gt; BNN",IF(AND(C237&gt;E237,E237&gt;D237),"TOR &gt; BNN &gt; SM",IF(AND(D237&gt;C237,C237&gt;E237),"SM &gt; TOR &gt; BNN",IF(AND(D237&gt;E237,E237&gt;C237),"SM &gt; BNN &gt; TOR",IF(AND(C237=D237,D237=E237),"TOR = SM = BNN","Comb. diferentes")))))</f>
        <v>SM &gt; TOR &gt; BNN</v>
      </c>
      <c r="BD237" s="137" t="str">
        <f>IF(OR(AE237="",AQ237="-"),"",IF(AE237&lt;=0.25,"Tipo 1 (≤0,25) uT",IF(AE237&lt;=0.5,"Tipo 2 (0,25-0,50) uT",IF(AE237&lt;=0.75,"Tipo 3 (0,50-0,75) uT","Tipo 4 (&gt;0,75) uT"))))</f>
        <v>Tipo 1 (≤0,25) uT</v>
      </c>
      <c r="BE237" s="137" t="str">
        <f t="shared" si="21"/>
        <v>Tipo 1 (≤0,25) uT</v>
      </c>
      <c r="BF237" s="137" t="str">
        <f>IF(OR(AF237="",AQ237="-"),"",IF(AF237&lt;=0.25,"Tipo 1 (≤0,25) uT",IF(AF237&lt;=0.5,"Tipo 2 (0,25-0,50) uT",IF(AF237&lt;=0.75,"Tipo 3 (0,50-0,75) uT","Tipo 4 (&gt;0,75) uT"))))</f>
        <v>Tipo 1 (≤0,25) uT</v>
      </c>
      <c r="BG237" s="137" t="str">
        <f t="shared" si="22"/>
        <v>Tipo 1 (≤0,25) uT</v>
      </c>
      <c r="BH237" s="137" t="str">
        <f>IF(OR(R237="",R237="-"),"",IF(R237&lt;=0.25,"Tipo 1 (≤0,25) uT",IF(R237&lt;=0.5,"Tipo 2 (0,25-0,50) uT",IF(R237&lt;=0.75,"Tipo 3 (0,50-0,75) uT","Tipo 4 (&gt;0,75) uT"))))</f>
        <v>Tipo 1 (≤0,25) uT</v>
      </c>
    </row>
    <row r="238" spans="1:60" x14ac:dyDescent="0.3">
      <c r="A238" s="74">
        <v>46284</v>
      </c>
      <c r="B238" s="139">
        <v>0.47916666666666669</v>
      </c>
      <c r="C238" s="116">
        <v>380</v>
      </c>
      <c r="D238" s="116">
        <v>1221</v>
      </c>
      <c r="E238" s="116">
        <v>225</v>
      </c>
      <c r="F238" s="116">
        <v>1768</v>
      </c>
      <c r="G238" s="144" t="s">
        <v>100</v>
      </c>
      <c r="H238" s="122">
        <v>9.5</v>
      </c>
      <c r="I238" s="116">
        <v>-31</v>
      </c>
      <c r="J238" s="10">
        <v>90</v>
      </c>
      <c r="K238" s="116">
        <v>90</v>
      </c>
      <c r="L238" s="116">
        <v>90</v>
      </c>
      <c r="M238" s="122">
        <v>25.2</v>
      </c>
      <c r="N238" s="122">
        <v>6.5</v>
      </c>
      <c r="O238" s="79">
        <v>1.7</v>
      </c>
      <c r="P238" s="116">
        <v>10</v>
      </c>
      <c r="Q238" s="122">
        <v>7.7</v>
      </c>
      <c r="R238" s="10">
        <v>0.21</v>
      </c>
      <c r="S238" s="79">
        <v>22.36</v>
      </c>
      <c r="T238" s="79">
        <v>0.88</v>
      </c>
      <c r="U238" s="79">
        <v>0.7</v>
      </c>
      <c r="V238" s="85">
        <f t="shared" si="23"/>
        <v>1447.55</v>
      </c>
      <c r="W238" s="85">
        <f t="shared" si="24"/>
        <v>1491.1839279999999</v>
      </c>
      <c r="X238" s="85">
        <f t="shared" si="25"/>
        <v>1.0301432959137853</v>
      </c>
      <c r="Y238" s="116">
        <v>2</v>
      </c>
      <c r="Z238" s="116">
        <v>4</v>
      </c>
      <c r="AA238" s="122">
        <v>6.1</v>
      </c>
      <c r="AB238" s="116">
        <v>20</v>
      </c>
      <c r="AC238" s="122">
        <v>6.2</v>
      </c>
      <c r="AD238" s="122">
        <v>5.3</v>
      </c>
      <c r="AE238" s="79">
        <v>0.14000000000000001</v>
      </c>
      <c r="AF238" s="79">
        <v>0.1</v>
      </c>
      <c r="AG238" s="85">
        <f>(O238+0.3*H238+2)*(F238/2/AK238)</f>
        <v>1930.0666666666668</v>
      </c>
      <c r="AH238" s="85">
        <f t="shared" si="26"/>
        <v>1674.2890735999999</v>
      </c>
      <c r="AI238" s="85">
        <f t="shared" si="27"/>
        <v>0.86747732734620553</v>
      </c>
      <c r="AJ238" s="116">
        <v>2</v>
      </c>
      <c r="AK238" s="116">
        <v>3</v>
      </c>
      <c r="AL238" s="122">
        <v>6.2</v>
      </c>
      <c r="AM238" s="116">
        <v>22</v>
      </c>
      <c r="AN238" s="122">
        <v>6.1</v>
      </c>
      <c r="AO238" s="122">
        <v>5.2</v>
      </c>
      <c r="AP238" s="79">
        <v>0.13</v>
      </c>
      <c r="AQ238" s="79">
        <v>0.16</v>
      </c>
      <c r="AR238" s="132">
        <f>SUM(C238:E238)</f>
        <v>1826</v>
      </c>
      <c r="AS238" s="134">
        <f>C238/AR238</f>
        <v>0.20810514786418402</v>
      </c>
      <c r="AT238" s="134">
        <f>D238/AR238</f>
        <v>0.66867469879518071</v>
      </c>
      <c r="AU238" s="134">
        <f>E238/AR238</f>
        <v>0.12322015334063527</v>
      </c>
      <c r="AV238" s="151">
        <f>IF(AND(F238&lt;&gt;"",Z238&lt;&gt;""),AB238/(F238/2/Z238),"")</f>
        <v>9.0497737556561084E-2</v>
      </c>
      <c r="AW238" s="151">
        <f>IF(AND(F238&lt;&gt;"",AK238&lt;&gt;""),AM238/(F238/2/AK238),"")</f>
        <v>7.4660633484162894E-2</v>
      </c>
      <c r="AX238" s="41">
        <f>IF(AND(AQ238&lt;&gt;"",1-(AQ238/O238)&gt;0),1-(AQ238/O238),"")</f>
        <v>0.90588235294117647</v>
      </c>
      <c r="AY238" s="41">
        <f>IF(AND(AF238&lt;&gt;"",1-(AF238/O238)&gt;0),1-(AF238/O238),"")</f>
        <v>0.94117647058823528</v>
      </c>
      <c r="AZ238" s="136" t="str">
        <f>IF(Q238="","",IF(Q238&lt;2.5,"Alc. Bruta &lt; 2,5 mg/L",IF(Q238&lt;5,"2,5 ≤ Alc. Bruta &lt; 5,0 mg/L",IF(Q238&lt;7.5,"5,0 ≤ Alc. Bruta &lt; 7,5 mg/L",IF(Q238&lt;10,"7,5 ≤ Alc. Bruta &lt; 10,0 mg/L",IF(Q238&lt;15,"10,0 ≤ Alca. Bruta &lt; 15,0 mg/L","Alc. Bruta &gt; 15 mg/L"))))))</f>
        <v>7,5 ≤ Alc. Bruta &lt; 10,0 mg/L</v>
      </c>
      <c r="BA238" s="136" t="str">
        <f>IF(P238="","",IF(P238&lt;5,"Cor &lt;5 uC",IF(P238&lt;10,"5 ≤ Cor &lt; 10 uC",IF(P238&lt;15,"10 ≤ Cor &lt;15 uC",IF(P238&lt;30,"15 ≤ Cor &lt; 30 uC",IF(P238&lt;50,"30 ≤ Cor &lt; 50 uC","Cor &gt; 50 uC"))))))</f>
        <v>10 ≤ Cor &lt;15 uC</v>
      </c>
      <c r="BB238" s="137" t="str">
        <f>IF(O238="","",IF(O238&lt;2.5,"Turbidez &lt; 2,5 uT",IF(O238&lt;5,"2,5 ≤ Turb &lt; 5,0 uT",IF(O238&lt;7.5,"5,0 ≤ Turb &lt; 7,5 uT",IF(O238&lt;10,"7,5 ≤ Turb &lt; 10,0 uT",IF(O238&lt;15,"10,0 ≤ Turb &lt; 15,0 uT","Turb &gt; 15 uT"))))))</f>
        <v>Turbidez &lt; 2,5 uT</v>
      </c>
      <c r="BC238" s="138" t="str">
        <f>IF(AND(C238&gt;D238,D238&gt;E238),"TOR &gt; SM &gt; BNN",IF(AND(C238&gt;E238,E238&gt;D238),"TOR &gt; BNN &gt; SM",IF(AND(D238&gt;C238,C238&gt;E238),"SM &gt; TOR &gt; BNN",IF(AND(D238&gt;E238,E238&gt;C238),"SM &gt; BNN &gt; TOR",IF(AND(C238=D238,D238=E238),"TOR = SM = BNN","Comb. diferentes")))))</f>
        <v>SM &gt; TOR &gt; BNN</v>
      </c>
      <c r="BD238" s="137" t="str">
        <f>IF(OR(AE238="",AQ238="-"),"",IF(AE238&lt;=0.25,"Tipo 1 (≤0,25) uT",IF(AE238&lt;=0.5,"Tipo 2 (0,25-0,50) uT",IF(AE238&lt;=0.75,"Tipo 3 (0,50-0,75) uT","Tipo 4 (&gt;0,75) uT"))))</f>
        <v>Tipo 1 (≤0,25) uT</v>
      </c>
      <c r="BE238" s="137" t="str">
        <f t="shared" si="21"/>
        <v>Tipo 1 (≤0,25) uT</v>
      </c>
      <c r="BF238" s="137" t="str">
        <f>IF(OR(AF238="",AQ238="-"),"",IF(AF238&lt;=0.25,"Tipo 1 (≤0,25) uT",IF(AF238&lt;=0.5,"Tipo 2 (0,25-0,50) uT",IF(AF238&lt;=0.75,"Tipo 3 (0,50-0,75) uT","Tipo 4 (&gt;0,75) uT"))))</f>
        <v>Tipo 1 (≤0,25) uT</v>
      </c>
      <c r="BG238" s="137" t="str">
        <f t="shared" si="22"/>
        <v>Tipo 1 (≤0,25) uT</v>
      </c>
      <c r="BH238" s="137" t="str">
        <f>IF(OR(R238="",R238="-"),"",IF(R238&lt;=0.25,"Tipo 1 (≤0,25) uT",IF(R238&lt;=0.5,"Tipo 2 (0,25-0,50) uT",IF(R238&lt;=0.75,"Tipo 3 (0,50-0,75) uT","Tipo 4 (&gt;0,75) uT"))))</f>
        <v>Tipo 1 (≤0,25) uT</v>
      </c>
    </row>
    <row r="239" spans="1:60" x14ac:dyDescent="0.3">
      <c r="A239" s="74">
        <v>46284</v>
      </c>
      <c r="B239" s="139">
        <v>0.64583333333333337</v>
      </c>
      <c r="C239" s="116">
        <v>329</v>
      </c>
      <c r="D239" s="116">
        <v>1243</v>
      </c>
      <c r="E239" s="116">
        <v>223</v>
      </c>
      <c r="F239" s="116">
        <v>1758</v>
      </c>
      <c r="G239" s="144" t="s">
        <v>100</v>
      </c>
      <c r="H239" s="122">
        <v>9.5</v>
      </c>
      <c r="I239" s="116">
        <v>-20</v>
      </c>
      <c r="J239" s="10">
        <v>90</v>
      </c>
      <c r="K239" s="116">
        <v>90</v>
      </c>
      <c r="L239" s="116">
        <v>90</v>
      </c>
      <c r="M239" s="122">
        <v>26</v>
      </c>
      <c r="N239" s="122">
        <v>6.4</v>
      </c>
      <c r="O239" s="79">
        <v>1.91</v>
      </c>
      <c r="P239" s="116">
        <v>11</v>
      </c>
      <c r="Q239" s="122">
        <v>7.5</v>
      </c>
      <c r="R239" s="10">
        <v>0.09</v>
      </c>
      <c r="S239" s="79">
        <v>22.36</v>
      </c>
      <c r="T239" s="79">
        <v>0.88</v>
      </c>
      <c r="U239" s="79">
        <v>0.7</v>
      </c>
      <c r="V239" s="85">
        <f t="shared" si="23"/>
        <v>1485.51</v>
      </c>
      <c r="W239" s="85">
        <f t="shared" si="24"/>
        <v>1598.1850248000001</v>
      </c>
      <c r="X239" s="85">
        <f t="shared" si="25"/>
        <v>1.0758493882908899</v>
      </c>
      <c r="Y239" s="116">
        <v>2</v>
      </c>
      <c r="Z239" s="116">
        <v>4</v>
      </c>
      <c r="AA239" s="122">
        <v>6.2</v>
      </c>
      <c r="AB239" s="116">
        <v>21</v>
      </c>
      <c r="AC239" s="122">
        <v>6.1</v>
      </c>
      <c r="AD239" s="122">
        <v>5.6</v>
      </c>
      <c r="AE239" s="79">
        <v>0.15</v>
      </c>
      <c r="AF239" s="79">
        <v>0.2</v>
      </c>
      <c r="AG239" s="85">
        <f>(O239+0.3*H239+2)*(F239/2/AK239)</f>
        <v>1980.6799999999998</v>
      </c>
      <c r="AH239" s="85">
        <f t="shared" si="26"/>
        <v>1674.2890735999999</v>
      </c>
      <c r="AI239" s="85">
        <f t="shared" si="27"/>
        <v>0.84531023365712787</v>
      </c>
      <c r="AJ239" s="116">
        <v>2</v>
      </c>
      <c r="AK239" s="116">
        <v>3</v>
      </c>
      <c r="AL239" s="122">
        <v>6.2</v>
      </c>
      <c r="AM239" s="116">
        <v>22</v>
      </c>
      <c r="AN239" s="122">
        <v>6.1</v>
      </c>
      <c r="AO239" s="122">
        <v>5.5</v>
      </c>
      <c r="AP239" s="79">
        <v>0.22</v>
      </c>
      <c r="AQ239" s="79">
        <v>0.17</v>
      </c>
      <c r="AR239" s="132">
        <f>SUM(C239:E239)</f>
        <v>1795</v>
      </c>
      <c r="AS239" s="134">
        <f>C239/AR239</f>
        <v>0.18328690807799444</v>
      </c>
      <c r="AT239" s="134">
        <f>D239/AR239</f>
        <v>0.69247910863509754</v>
      </c>
      <c r="AU239" s="134">
        <f>E239/AR239</f>
        <v>0.12423398328690807</v>
      </c>
      <c r="AV239" s="151">
        <f>IF(AND(F239&lt;&gt;"",Z239&lt;&gt;""),AB239/(F239/2/Z239),"")</f>
        <v>9.556313993174062E-2</v>
      </c>
      <c r="AW239" s="151">
        <f>IF(AND(F239&lt;&gt;"",AK239&lt;&gt;""),AM239/(F239/2/AK239),"")</f>
        <v>7.5085324232081918E-2</v>
      </c>
      <c r="AX239" s="41">
        <f>IF(AND(AQ239&lt;&gt;"",1-(AQ239/O239)&gt;0),1-(AQ239/O239),"")</f>
        <v>0.91099476439790572</v>
      </c>
      <c r="AY239" s="41">
        <f>IF(AND(AF239&lt;&gt;"",1-(AF239/O239)&gt;0),1-(AF239/O239),"")</f>
        <v>0.89528795811518325</v>
      </c>
      <c r="AZ239" s="136" t="str">
        <f>IF(Q239="","",IF(Q239&lt;2.5,"Alc. Bruta &lt; 2,5 mg/L",IF(Q239&lt;5,"2,5 ≤ Alc. Bruta &lt; 5,0 mg/L",IF(Q239&lt;7.5,"5,0 ≤ Alc. Bruta &lt; 7,5 mg/L",IF(Q239&lt;10,"7,5 ≤ Alc. Bruta &lt; 10,0 mg/L",IF(Q239&lt;15,"10,0 ≤ Alca. Bruta &lt; 15,0 mg/L","Alc. Bruta &gt; 15 mg/L"))))))</f>
        <v>7,5 ≤ Alc. Bruta &lt; 10,0 mg/L</v>
      </c>
      <c r="BA239" s="136" t="str">
        <f>IF(P239="","",IF(P239&lt;5,"Cor &lt;5 uC",IF(P239&lt;10,"5 ≤ Cor &lt; 10 uC",IF(P239&lt;15,"10 ≤ Cor &lt;15 uC",IF(P239&lt;30,"15 ≤ Cor &lt; 30 uC",IF(P239&lt;50,"30 ≤ Cor &lt; 50 uC","Cor &gt; 50 uC"))))))</f>
        <v>10 ≤ Cor &lt;15 uC</v>
      </c>
      <c r="BB239" s="137" t="str">
        <f>IF(O239="","",IF(O239&lt;2.5,"Turbidez &lt; 2,5 uT",IF(O239&lt;5,"2,5 ≤ Turb &lt; 5,0 uT",IF(O239&lt;7.5,"5,0 ≤ Turb &lt; 7,5 uT",IF(O239&lt;10,"7,5 ≤ Turb &lt; 10,0 uT",IF(O239&lt;15,"10,0 ≤ Turb &lt; 15,0 uT","Turb &gt; 15 uT"))))))</f>
        <v>Turbidez &lt; 2,5 uT</v>
      </c>
      <c r="BC239" s="138" t="str">
        <f>IF(AND(C239&gt;D239,D239&gt;E239),"TOR &gt; SM &gt; BNN",IF(AND(C239&gt;E239,E239&gt;D239),"TOR &gt; BNN &gt; SM",IF(AND(D239&gt;C239,C239&gt;E239),"SM &gt; TOR &gt; BNN",IF(AND(D239&gt;E239,E239&gt;C239),"SM &gt; BNN &gt; TOR",IF(AND(C239=D239,D239=E239),"TOR = SM = BNN","Comb. diferentes")))))</f>
        <v>SM &gt; TOR &gt; BNN</v>
      </c>
      <c r="BD239" s="137" t="str">
        <f>IF(OR(AE239="",AQ239="-"),"",IF(AE239&lt;=0.25,"Tipo 1 (≤0,25) uT",IF(AE239&lt;=0.5,"Tipo 2 (0,25-0,50) uT",IF(AE239&lt;=0.75,"Tipo 3 (0,50-0,75) uT","Tipo 4 (&gt;0,75) uT"))))</f>
        <v>Tipo 1 (≤0,25) uT</v>
      </c>
      <c r="BE239" s="137" t="str">
        <f t="shared" si="21"/>
        <v>Tipo 1 (≤0,25) uT</v>
      </c>
      <c r="BF239" s="137" t="str">
        <f>IF(OR(AF239="",AQ239="-"),"",IF(AF239&lt;=0.25,"Tipo 1 (≤0,25) uT",IF(AF239&lt;=0.5,"Tipo 2 (0,25-0,50) uT",IF(AF239&lt;=0.75,"Tipo 3 (0,50-0,75) uT","Tipo 4 (&gt;0,75) uT"))))</f>
        <v>Tipo 1 (≤0,25) uT</v>
      </c>
      <c r="BG239" s="137" t="str">
        <f t="shared" si="22"/>
        <v>Tipo 1 (≤0,25) uT</v>
      </c>
      <c r="BH239" s="137" t="str">
        <f>IF(OR(R239="",R239="-"),"",IF(R239&lt;=0.25,"Tipo 1 (≤0,25) uT",IF(R239&lt;=0.5,"Tipo 2 (0,25-0,50) uT",IF(R239&lt;=0.75,"Tipo 3 (0,50-0,75) uT","Tipo 4 (&gt;0,75) uT"))))</f>
        <v>Tipo 1 (≤0,25) uT</v>
      </c>
    </row>
    <row r="240" spans="1:60" x14ac:dyDescent="0.3">
      <c r="A240" s="74">
        <v>46284</v>
      </c>
      <c r="B240" s="139">
        <v>0.72916666666666663</v>
      </c>
      <c r="C240" s="116">
        <v>323</v>
      </c>
      <c r="D240" s="116">
        <v>1170</v>
      </c>
      <c r="E240" s="116">
        <v>224</v>
      </c>
      <c r="F240" s="116">
        <v>1702</v>
      </c>
      <c r="G240" s="144" t="s">
        <v>100</v>
      </c>
      <c r="H240" s="122">
        <v>9.5</v>
      </c>
      <c r="I240" s="116">
        <v>-8</v>
      </c>
      <c r="J240" s="10">
        <v>90</v>
      </c>
      <c r="K240" s="116">
        <v>90</v>
      </c>
      <c r="L240" s="116">
        <v>90</v>
      </c>
      <c r="M240" s="122">
        <v>26.1</v>
      </c>
      <c r="N240" s="122">
        <v>6.4</v>
      </c>
      <c r="O240" s="79">
        <v>1.82</v>
      </c>
      <c r="P240" s="116">
        <v>10</v>
      </c>
      <c r="Q240" s="122">
        <v>7.4</v>
      </c>
      <c r="R240" s="10">
        <v>0.08</v>
      </c>
      <c r="S240" s="79">
        <v>22.36</v>
      </c>
      <c r="T240" s="79">
        <v>0.88</v>
      </c>
      <c r="U240" s="79">
        <v>0.7</v>
      </c>
      <c r="V240" s="85">
        <f t="shared" si="23"/>
        <v>1419.0425</v>
      </c>
      <c r="W240" s="85">
        <f t="shared" si="24"/>
        <v>1491.1839279999999</v>
      </c>
      <c r="X240" s="85">
        <f t="shared" si="25"/>
        <v>1.0508381024528863</v>
      </c>
      <c r="Y240" s="116">
        <v>2</v>
      </c>
      <c r="Z240" s="116">
        <v>4</v>
      </c>
      <c r="AA240" s="122">
        <v>6.1</v>
      </c>
      <c r="AB240" s="116">
        <v>20</v>
      </c>
      <c r="AC240" s="122">
        <v>6.1</v>
      </c>
      <c r="AD240" s="122">
        <v>5.2</v>
      </c>
      <c r="AE240" s="79">
        <v>0.12</v>
      </c>
      <c r="AF240" s="79">
        <v>0.1</v>
      </c>
      <c r="AG240" s="85">
        <f>(O240+0.3*H240+2)*(F240/2/AK240)</f>
        <v>1892.0566666666668</v>
      </c>
      <c r="AH240" s="85">
        <f t="shared" si="26"/>
        <v>1785.9247275999996</v>
      </c>
      <c r="AI240" s="85">
        <f t="shared" si="27"/>
        <v>0.94390657482069751</v>
      </c>
      <c r="AJ240" s="116">
        <v>2</v>
      </c>
      <c r="AK240" s="116">
        <v>3</v>
      </c>
      <c r="AL240" s="122">
        <v>6.3</v>
      </c>
      <c r="AM240" s="116">
        <v>23</v>
      </c>
      <c r="AN240" s="122">
        <v>6.1</v>
      </c>
      <c r="AO240" s="122">
        <v>5.4</v>
      </c>
      <c r="AP240" s="79">
        <v>0.16</v>
      </c>
      <c r="AQ240" s="79">
        <v>0.15</v>
      </c>
      <c r="AR240" s="132">
        <f>SUM(C240:E240)</f>
        <v>1717</v>
      </c>
      <c r="AS240" s="134">
        <f>C240/AR240</f>
        <v>0.18811881188118812</v>
      </c>
      <c r="AT240" s="134">
        <f>D240/AR240</f>
        <v>0.68142108328479911</v>
      </c>
      <c r="AU240" s="134">
        <f>E240/AR240</f>
        <v>0.13046010483401282</v>
      </c>
      <c r="AV240" s="151">
        <f>IF(AND(F240&lt;&gt;"",Z240&lt;&gt;""),AB240/(F240/2/Z240),"")</f>
        <v>9.400705052878966E-2</v>
      </c>
      <c r="AW240" s="151">
        <f>IF(AND(F240&lt;&gt;"",AK240&lt;&gt;""),AM240/(F240/2/AK240),"")</f>
        <v>8.1081081081081072E-2</v>
      </c>
      <c r="AX240" s="41">
        <f>IF(AND(AQ240&lt;&gt;"",1-(AQ240/O240)&gt;0),1-(AQ240/O240),"")</f>
        <v>0.91758241758241754</v>
      </c>
      <c r="AY240" s="41">
        <f>IF(AND(AF240&lt;&gt;"",1-(AF240/O240)&gt;0),1-(AF240/O240),"")</f>
        <v>0.94505494505494503</v>
      </c>
      <c r="AZ240" s="136" t="str">
        <f>IF(Q240="","",IF(Q240&lt;2.5,"Alc. Bruta &lt; 2,5 mg/L",IF(Q240&lt;5,"2,5 ≤ Alc. Bruta &lt; 5,0 mg/L",IF(Q240&lt;7.5,"5,0 ≤ Alc. Bruta &lt; 7,5 mg/L",IF(Q240&lt;10,"7,5 ≤ Alc. Bruta &lt; 10,0 mg/L",IF(Q240&lt;15,"10,0 ≤ Alca. Bruta &lt; 15,0 mg/L","Alc. Bruta &gt; 15 mg/L"))))))</f>
        <v>5,0 ≤ Alc. Bruta &lt; 7,5 mg/L</v>
      </c>
      <c r="BA240" s="136" t="str">
        <f>IF(P240="","",IF(P240&lt;5,"Cor &lt;5 uC",IF(P240&lt;10,"5 ≤ Cor &lt; 10 uC",IF(P240&lt;15,"10 ≤ Cor &lt;15 uC",IF(P240&lt;30,"15 ≤ Cor &lt; 30 uC",IF(P240&lt;50,"30 ≤ Cor &lt; 50 uC","Cor &gt; 50 uC"))))))</f>
        <v>10 ≤ Cor &lt;15 uC</v>
      </c>
      <c r="BB240" s="137" t="str">
        <f>IF(O240="","",IF(O240&lt;2.5,"Turbidez &lt; 2,5 uT",IF(O240&lt;5,"2,5 ≤ Turb &lt; 5,0 uT",IF(O240&lt;7.5,"5,0 ≤ Turb &lt; 7,5 uT",IF(O240&lt;10,"7,5 ≤ Turb &lt; 10,0 uT",IF(O240&lt;15,"10,0 ≤ Turb &lt; 15,0 uT","Turb &gt; 15 uT"))))))</f>
        <v>Turbidez &lt; 2,5 uT</v>
      </c>
      <c r="BC240" s="138" t="str">
        <f>IF(AND(C240&gt;D240,D240&gt;E240),"TOR &gt; SM &gt; BNN",IF(AND(C240&gt;E240,E240&gt;D240),"TOR &gt; BNN &gt; SM",IF(AND(D240&gt;C240,C240&gt;E240),"SM &gt; TOR &gt; BNN",IF(AND(D240&gt;E240,E240&gt;C240),"SM &gt; BNN &gt; TOR",IF(AND(C240=D240,D240=E240),"TOR = SM = BNN","Comb. diferentes")))))</f>
        <v>SM &gt; TOR &gt; BNN</v>
      </c>
      <c r="BD240" s="137" t="str">
        <f>IF(OR(AE240="",AQ240="-"),"",IF(AE240&lt;=0.25,"Tipo 1 (≤0,25) uT",IF(AE240&lt;=0.5,"Tipo 2 (0,25-0,50) uT",IF(AE240&lt;=0.75,"Tipo 3 (0,50-0,75) uT","Tipo 4 (&gt;0,75) uT"))))</f>
        <v>Tipo 1 (≤0,25) uT</v>
      </c>
      <c r="BE240" s="137" t="str">
        <f t="shared" si="21"/>
        <v>Tipo 1 (≤0,25) uT</v>
      </c>
      <c r="BF240" s="137" t="str">
        <f>IF(OR(AF240="",AQ240="-"),"",IF(AF240&lt;=0.25,"Tipo 1 (≤0,25) uT",IF(AF240&lt;=0.5,"Tipo 2 (0,25-0,50) uT",IF(AF240&lt;=0.75,"Tipo 3 (0,50-0,75) uT","Tipo 4 (&gt;0,75) uT"))))</f>
        <v>Tipo 1 (≤0,25) uT</v>
      </c>
      <c r="BG240" s="137" t="str">
        <f t="shared" si="22"/>
        <v>Tipo 1 (≤0,25) uT</v>
      </c>
      <c r="BH240" s="137" t="str">
        <f>IF(OR(R240="",R240="-"),"",IF(R240&lt;=0.25,"Tipo 1 (≤0,25) uT",IF(R240&lt;=0.5,"Tipo 2 (0,25-0,50) uT",IF(R240&lt;=0.75,"Tipo 3 (0,50-0,75) uT","Tipo 4 (&gt;0,75) uT"))))</f>
        <v>Tipo 1 (≤0,25) uT</v>
      </c>
    </row>
    <row r="241" spans="1:60" x14ac:dyDescent="0.3">
      <c r="A241" s="74">
        <v>46284</v>
      </c>
      <c r="B241" s="139">
        <v>0.8125</v>
      </c>
      <c r="C241" s="116">
        <v>310</v>
      </c>
      <c r="D241" s="116">
        <v>1210</v>
      </c>
      <c r="E241" s="116">
        <v>220</v>
      </c>
      <c r="F241" s="116">
        <v>1763</v>
      </c>
      <c r="G241" s="144" t="s">
        <v>100</v>
      </c>
      <c r="H241" s="122">
        <v>9.5</v>
      </c>
      <c r="I241" s="116">
        <v>3.9</v>
      </c>
      <c r="J241" s="10">
        <v>90</v>
      </c>
      <c r="K241" s="116">
        <v>90</v>
      </c>
      <c r="L241" s="116">
        <v>90</v>
      </c>
      <c r="M241" s="122">
        <v>25.8</v>
      </c>
      <c r="N241" s="122">
        <v>6.5</v>
      </c>
      <c r="O241" s="79">
        <v>1.77</v>
      </c>
      <c r="P241" s="116">
        <v>10</v>
      </c>
      <c r="Q241" s="122">
        <v>7.1</v>
      </c>
      <c r="R241" s="10">
        <v>0.08</v>
      </c>
      <c r="S241" s="79">
        <v>22.36</v>
      </c>
      <c r="T241" s="79">
        <v>0.88</v>
      </c>
      <c r="U241" s="79">
        <v>0.7</v>
      </c>
      <c r="V241" s="85">
        <f t="shared" si="23"/>
        <v>1458.8824999999999</v>
      </c>
      <c r="W241" s="85">
        <f t="shared" si="24"/>
        <v>1491.1839279999999</v>
      </c>
      <c r="X241" s="85">
        <f t="shared" si="25"/>
        <v>1.0221412128804068</v>
      </c>
      <c r="Y241" s="116">
        <v>2</v>
      </c>
      <c r="Z241" s="116">
        <v>4</v>
      </c>
      <c r="AA241" s="122">
        <v>6.1</v>
      </c>
      <c r="AB241" s="116">
        <v>20</v>
      </c>
      <c r="AC241" s="122">
        <v>6.1</v>
      </c>
      <c r="AD241" s="122">
        <v>5.5</v>
      </c>
      <c r="AE241" s="79">
        <v>0.16</v>
      </c>
      <c r="AF241" s="79">
        <v>0.1</v>
      </c>
      <c r="AG241" s="85">
        <f>(O241+0.3*H241+2)*(F241/2/AK241)</f>
        <v>1945.1766666666665</v>
      </c>
      <c r="AH241" s="85">
        <f t="shared" si="26"/>
        <v>1708.2758263999997</v>
      </c>
      <c r="AI241" s="85">
        <f t="shared" si="27"/>
        <v>0.87821114435192682</v>
      </c>
      <c r="AJ241" s="116">
        <v>2</v>
      </c>
      <c r="AK241" s="116">
        <v>3</v>
      </c>
      <c r="AL241" s="122">
        <v>6.3</v>
      </c>
      <c r="AM241" s="116">
        <v>22</v>
      </c>
      <c r="AN241" s="122">
        <v>6.1</v>
      </c>
      <c r="AO241" s="122">
        <v>5.3</v>
      </c>
      <c r="AP241" s="79">
        <v>0.18</v>
      </c>
      <c r="AQ241" s="79">
        <v>0.14000000000000001</v>
      </c>
      <c r="AR241" s="132">
        <f>SUM(C241:E241)</f>
        <v>1740</v>
      </c>
      <c r="AS241" s="134">
        <f>C241/AR241</f>
        <v>0.17816091954022989</v>
      </c>
      <c r="AT241" s="134">
        <f>D241/AR241</f>
        <v>0.6954022988505747</v>
      </c>
      <c r="AU241" s="134">
        <f>E241/AR241</f>
        <v>0.12643678160919541</v>
      </c>
      <c r="AV241" s="151">
        <f>IF(AND(F241&lt;&gt;"",Z241&lt;&gt;""),AB241/(F241/2/Z241),"")</f>
        <v>9.075439591605218E-2</v>
      </c>
      <c r="AW241" s="151">
        <f>IF(AND(F241&lt;&gt;"",AK241&lt;&gt;""),AM241/(F241/2/AK241),"")</f>
        <v>7.4872376630743059E-2</v>
      </c>
      <c r="AX241" s="41">
        <f>IF(AND(AQ241&lt;&gt;"",1-(AQ241/O241)&gt;0),1-(AQ241/O241),"")</f>
        <v>0.92090395480225984</v>
      </c>
      <c r="AY241" s="41">
        <f>IF(AND(AF241&lt;&gt;"",1-(AF241/O241)&gt;0),1-(AF241/O241),"")</f>
        <v>0.94350282485875703</v>
      </c>
      <c r="AZ241" s="136" t="str">
        <f>IF(Q241="","",IF(Q241&lt;2.5,"Alc. Bruta &lt; 2,5 mg/L",IF(Q241&lt;5,"2,5 ≤ Alc. Bruta &lt; 5,0 mg/L",IF(Q241&lt;7.5,"5,0 ≤ Alc. Bruta &lt; 7,5 mg/L",IF(Q241&lt;10,"7,5 ≤ Alc. Bruta &lt; 10,0 mg/L",IF(Q241&lt;15,"10,0 ≤ Alca. Bruta &lt; 15,0 mg/L","Alc. Bruta &gt; 15 mg/L"))))))</f>
        <v>5,0 ≤ Alc. Bruta &lt; 7,5 mg/L</v>
      </c>
      <c r="BA241" s="136" t="str">
        <f>IF(P241="","",IF(P241&lt;5,"Cor &lt;5 uC",IF(P241&lt;10,"5 ≤ Cor &lt; 10 uC",IF(P241&lt;15,"10 ≤ Cor &lt;15 uC",IF(P241&lt;30,"15 ≤ Cor &lt; 30 uC",IF(P241&lt;50,"30 ≤ Cor &lt; 50 uC","Cor &gt; 50 uC"))))))</f>
        <v>10 ≤ Cor &lt;15 uC</v>
      </c>
      <c r="BB241" s="137" t="str">
        <f>IF(O241="","",IF(O241&lt;2.5,"Turbidez &lt; 2,5 uT",IF(O241&lt;5,"2,5 ≤ Turb &lt; 5,0 uT",IF(O241&lt;7.5,"5,0 ≤ Turb &lt; 7,5 uT",IF(O241&lt;10,"7,5 ≤ Turb &lt; 10,0 uT",IF(O241&lt;15,"10,0 ≤ Turb &lt; 15,0 uT","Turb &gt; 15 uT"))))))</f>
        <v>Turbidez &lt; 2,5 uT</v>
      </c>
      <c r="BC241" s="138" t="str">
        <f>IF(AND(C241&gt;D241,D241&gt;E241),"TOR &gt; SM &gt; BNN",IF(AND(C241&gt;E241,E241&gt;D241),"TOR &gt; BNN &gt; SM",IF(AND(D241&gt;C241,C241&gt;E241),"SM &gt; TOR &gt; BNN",IF(AND(D241&gt;E241,E241&gt;C241),"SM &gt; BNN &gt; TOR",IF(AND(C241=D241,D241=E241),"TOR = SM = BNN","Comb. diferentes")))))</f>
        <v>SM &gt; TOR &gt; BNN</v>
      </c>
      <c r="BD241" s="137" t="str">
        <f>IF(OR(AE241="",AQ241="-"),"",IF(AE241&lt;=0.25,"Tipo 1 (≤0,25) uT",IF(AE241&lt;=0.5,"Tipo 2 (0,25-0,50) uT",IF(AE241&lt;=0.75,"Tipo 3 (0,50-0,75) uT","Tipo 4 (&gt;0,75) uT"))))</f>
        <v>Tipo 1 (≤0,25) uT</v>
      </c>
      <c r="BE241" s="137" t="str">
        <f t="shared" si="21"/>
        <v>Tipo 1 (≤0,25) uT</v>
      </c>
      <c r="BF241" s="137" t="str">
        <f>IF(OR(AF241="",AQ241="-"),"",IF(AF241&lt;=0.25,"Tipo 1 (≤0,25) uT",IF(AF241&lt;=0.5,"Tipo 2 (0,25-0,50) uT",IF(AF241&lt;=0.75,"Tipo 3 (0,50-0,75) uT","Tipo 4 (&gt;0,75) uT"))))</f>
        <v>Tipo 1 (≤0,25) uT</v>
      </c>
      <c r="BG241" s="137" t="str">
        <f t="shared" si="22"/>
        <v>Tipo 1 (≤0,25) uT</v>
      </c>
      <c r="BH241" s="137" t="str">
        <f>IF(OR(R241="",R241="-"),"",IF(R241&lt;=0.25,"Tipo 1 (≤0,25) uT",IF(R241&lt;=0.5,"Tipo 2 (0,25-0,50) uT",IF(R241&lt;=0.75,"Tipo 3 (0,50-0,75) uT","Tipo 4 (&gt;0,75) uT"))))</f>
        <v>Tipo 1 (≤0,25) uT</v>
      </c>
    </row>
    <row r="242" spans="1:60" x14ac:dyDescent="0.3">
      <c r="A242" s="74">
        <v>46284</v>
      </c>
      <c r="B242" s="139">
        <v>0.89583333333333337</v>
      </c>
      <c r="C242" s="116">
        <v>309</v>
      </c>
      <c r="D242" s="116">
        <v>1225</v>
      </c>
      <c r="E242" s="116">
        <v>220</v>
      </c>
      <c r="F242" s="116">
        <v>1757</v>
      </c>
      <c r="G242" s="144" t="s">
        <v>100</v>
      </c>
      <c r="H242" s="122">
        <v>9.5</v>
      </c>
      <c r="I242" s="116">
        <v>-3.5</v>
      </c>
      <c r="J242" s="10">
        <v>90</v>
      </c>
      <c r="K242" s="116">
        <v>90</v>
      </c>
      <c r="L242" s="116">
        <v>90</v>
      </c>
      <c r="M242" s="122">
        <v>24.9</v>
      </c>
      <c r="N242" s="122">
        <v>6.4</v>
      </c>
      <c r="O242" s="79">
        <v>1.33</v>
      </c>
      <c r="P242" s="116">
        <v>9</v>
      </c>
      <c r="Q242" s="122">
        <v>6.8</v>
      </c>
      <c r="R242" s="10">
        <v>7.0000000000000007E-2</v>
      </c>
      <c r="S242" s="79">
        <v>22.36</v>
      </c>
      <c r="T242" s="79">
        <v>0.88</v>
      </c>
      <c r="U242" s="79">
        <v>0.7</v>
      </c>
      <c r="V242" s="85">
        <f t="shared" si="23"/>
        <v>1357.2825</v>
      </c>
      <c r="W242" s="85">
        <f t="shared" si="24"/>
        <v>1460.2868799999999</v>
      </c>
      <c r="X242" s="85">
        <f t="shared" si="25"/>
        <v>1.0758901555129459</v>
      </c>
      <c r="Y242" s="116">
        <v>2</v>
      </c>
      <c r="Z242" s="116">
        <v>4</v>
      </c>
      <c r="AA242" s="122">
        <v>6</v>
      </c>
      <c r="AB242" s="116">
        <v>20</v>
      </c>
      <c r="AC242" s="122">
        <v>6.1</v>
      </c>
      <c r="AD242" s="122">
        <v>5.3</v>
      </c>
      <c r="AE242" s="79">
        <v>0.15</v>
      </c>
      <c r="AF242" s="79">
        <v>0.1</v>
      </c>
      <c r="AG242" s="85">
        <f>(O242+0.3*H242+2)*(F242/2/AK242)</f>
        <v>1809.7099999999998</v>
      </c>
      <c r="AH242" s="85">
        <f t="shared" si="26"/>
        <v>1708.2758263999997</v>
      </c>
      <c r="AI242" s="85">
        <f t="shared" si="27"/>
        <v>0.94395003973012248</v>
      </c>
      <c r="AJ242" s="116">
        <v>2</v>
      </c>
      <c r="AK242" s="116">
        <v>3</v>
      </c>
      <c r="AL242" s="122">
        <v>6.3</v>
      </c>
      <c r="AM242" s="116">
        <v>22</v>
      </c>
      <c r="AN242" s="122">
        <v>6</v>
      </c>
      <c r="AO242" s="122">
        <v>4.3</v>
      </c>
      <c r="AP242" s="79">
        <v>0.13</v>
      </c>
      <c r="AQ242" s="79">
        <v>0.14000000000000001</v>
      </c>
      <c r="AR242" s="132">
        <f>SUM(C242:E242)</f>
        <v>1754</v>
      </c>
      <c r="AS242" s="134">
        <f>C242/AR242</f>
        <v>0.17616875712656785</v>
      </c>
      <c r="AT242" s="134">
        <f>D242/AR242</f>
        <v>0.69840364880273664</v>
      </c>
      <c r="AU242" s="134">
        <f>E242/AR242</f>
        <v>0.12542759407069556</v>
      </c>
      <c r="AV242" s="151">
        <f>IF(AND(F242&lt;&gt;"",Z242&lt;&gt;""),AB242/(F242/2/Z242),"")</f>
        <v>9.1064314171883889E-2</v>
      </c>
      <c r="AW242" s="151">
        <f>IF(AND(F242&lt;&gt;"",AK242&lt;&gt;""),AM242/(F242/2/AK242),"")</f>
        <v>7.5128059191804222E-2</v>
      </c>
      <c r="AX242" s="41">
        <f>IF(AND(AQ242&lt;&gt;"",1-(AQ242/O242)&gt;0),1-(AQ242/O242),"")</f>
        <v>0.89473684210526316</v>
      </c>
      <c r="AY242" s="41">
        <f>IF(AND(AF242&lt;&gt;"",1-(AF242/O242)&gt;0),1-(AF242/O242),"")</f>
        <v>0.92481203007518797</v>
      </c>
      <c r="AZ242" s="136" t="str">
        <f>IF(Q242="","",IF(Q242&lt;2.5,"Alc. Bruta &lt; 2,5 mg/L",IF(Q242&lt;5,"2,5 ≤ Alc. Bruta &lt; 5,0 mg/L",IF(Q242&lt;7.5,"5,0 ≤ Alc. Bruta &lt; 7,5 mg/L",IF(Q242&lt;10,"7,5 ≤ Alc. Bruta &lt; 10,0 mg/L",IF(Q242&lt;15,"10,0 ≤ Alca. Bruta &lt; 15,0 mg/L","Alc. Bruta &gt; 15 mg/L"))))))</f>
        <v>5,0 ≤ Alc. Bruta &lt; 7,5 mg/L</v>
      </c>
      <c r="BA242" s="136" t="str">
        <f>IF(P242="","",IF(P242&lt;5,"Cor &lt;5 uC",IF(P242&lt;10,"5 ≤ Cor &lt; 10 uC",IF(P242&lt;15,"10 ≤ Cor &lt;15 uC",IF(P242&lt;30,"15 ≤ Cor &lt; 30 uC",IF(P242&lt;50,"30 ≤ Cor &lt; 50 uC","Cor &gt; 50 uC"))))))</f>
        <v>5 ≤ Cor &lt; 10 uC</v>
      </c>
      <c r="BB242" s="137" t="str">
        <f>IF(O242="","",IF(O242&lt;2.5,"Turbidez &lt; 2,5 uT",IF(O242&lt;5,"2,5 ≤ Turb &lt; 5,0 uT",IF(O242&lt;7.5,"5,0 ≤ Turb &lt; 7,5 uT",IF(O242&lt;10,"7,5 ≤ Turb &lt; 10,0 uT",IF(O242&lt;15,"10,0 ≤ Turb &lt; 15,0 uT","Turb &gt; 15 uT"))))))</f>
        <v>Turbidez &lt; 2,5 uT</v>
      </c>
      <c r="BC242" s="138" t="str">
        <f>IF(AND(C242&gt;D242,D242&gt;E242),"TOR &gt; SM &gt; BNN",IF(AND(C242&gt;E242,E242&gt;D242),"TOR &gt; BNN &gt; SM",IF(AND(D242&gt;C242,C242&gt;E242),"SM &gt; TOR &gt; BNN",IF(AND(D242&gt;E242,E242&gt;C242),"SM &gt; BNN &gt; TOR",IF(AND(C242=D242,D242=E242),"TOR = SM = BNN","Comb. diferentes")))))</f>
        <v>SM &gt; TOR &gt; BNN</v>
      </c>
      <c r="BD242" s="137" t="str">
        <f>IF(OR(AE242="",AQ242="-"),"",IF(AE242&lt;=0.25,"Tipo 1 (≤0,25) uT",IF(AE242&lt;=0.5,"Tipo 2 (0,25-0,50) uT",IF(AE242&lt;=0.75,"Tipo 3 (0,50-0,75) uT","Tipo 4 (&gt;0,75) uT"))))</f>
        <v>Tipo 1 (≤0,25) uT</v>
      </c>
      <c r="BE242" s="137" t="str">
        <f t="shared" si="21"/>
        <v>Tipo 1 (≤0,25) uT</v>
      </c>
      <c r="BF242" s="137" t="str">
        <f>IF(OR(AF242="",AQ242="-"),"",IF(AF242&lt;=0.25,"Tipo 1 (≤0,25) uT",IF(AF242&lt;=0.5,"Tipo 2 (0,25-0,50) uT",IF(AF242&lt;=0.75,"Tipo 3 (0,50-0,75) uT","Tipo 4 (&gt;0,75) uT"))))</f>
        <v>Tipo 1 (≤0,25) uT</v>
      </c>
      <c r="BG242" s="137" t="str">
        <f t="shared" si="22"/>
        <v>Tipo 1 (≤0,25) uT</v>
      </c>
      <c r="BH242" s="137" t="str">
        <f>IF(OR(R242="",R242="-"),"",IF(R242&lt;=0.25,"Tipo 1 (≤0,25) uT",IF(R242&lt;=0.5,"Tipo 2 (0,25-0,50) uT",IF(R242&lt;=0.75,"Tipo 3 (0,50-0,75) uT","Tipo 4 (&gt;0,75) uT"))))</f>
        <v>Tipo 1 (≤0,25) uT</v>
      </c>
    </row>
    <row r="243" spans="1:60" x14ac:dyDescent="0.3">
      <c r="A243" s="74">
        <v>46284</v>
      </c>
      <c r="B243" s="139">
        <v>0.97916666666666663</v>
      </c>
      <c r="C243" s="116">
        <v>310</v>
      </c>
      <c r="D243" s="116">
        <v>1220</v>
      </c>
      <c r="E243" s="116">
        <v>223</v>
      </c>
      <c r="F243" s="116">
        <v>1770</v>
      </c>
      <c r="G243" s="144" t="s">
        <v>100</v>
      </c>
      <c r="H243" s="122">
        <v>9.5</v>
      </c>
      <c r="I243" s="116">
        <v>-7.8</v>
      </c>
      <c r="J243" s="10">
        <v>90</v>
      </c>
      <c r="K243" s="116">
        <v>90</v>
      </c>
      <c r="L243" s="116">
        <v>90</v>
      </c>
      <c r="M243" s="122">
        <v>24.7</v>
      </c>
      <c r="N243" s="122">
        <v>6.5</v>
      </c>
      <c r="O243" s="79">
        <v>1.35</v>
      </c>
      <c r="P243" s="116">
        <v>10</v>
      </c>
      <c r="Q243" s="122">
        <v>7</v>
      </c>
      <c r="R243" s="10">
        <v>0.08</v>
      </c>
      <c r="S243" s="79">
        <v>22.36</v>
      </c>
      <c r="T243" s="79">
        <v>0.88</v>
      </c>
      <c r="U243" s="79">
        <v>0.7</v>
      </c>
      <c r="V243" s="85">
        <f t="shared" si="23"/>
        <v>1371.75</v>
      </c>
      <c r="W243" s="85">
        <f t="shared" si="24"/>
        <v>1565.7431243999997</v>
      </c>
      <c r="X243" s="85">
        <f t="shared" si="25"/>
        <v>1.1414201745215964</v>
      </c>
      <c r="Y243" s="116">
        <v>2</v>
      </c>
      <c r="Z243" s="116">
        <v>4</v>
      </c>
      <c r="AA243" s="122">
        <v>6.1</v>
      </c>
      <c r="AB243" s="116">
        <v>21</v>
      </c>
      <c r="AC243" s="122">
        <v>6.2</v>
      </c>
      <c r="AD243" s="122">
        <v>5</v>
      </c>
      <c r="AE243" s="79">
        <v>0.15</v>
      </c>
      <c r="AF243" s="79">
        <v>0.1</v>
      </c>
      <c r="AG243" s="85">
        <f>(O243+0.3*H243+2)*(F243/2/AK243)</f>
        <v>1829</v>
      </c>
      <c r="AH243" s="85">
        <f t="shared" si="26"/>
        <v>1708.2758263999997</v>
      </c>
      <c r="AI243" s="85">
        <f t="shared" si="27"/>
        <v>0.9339944376161835</v>
      </c>
      <c r="AJ243" s="116">
        <v>2</v>
      </c>
      <c r="AK243" s="116">
        <v>3</v>
      </c>
      <c r="AL243" s="122">
        <v>6.3</v>
      </c>
      <c r="AM243" s="116">
        <v>22</v>
      </c>
      <c r="AN243" s="122">
        <v>6.1</v>
      </c>
      <c r="AO243" s="122">
        <v>5.0999999999999996</v>
      </c>
      <c r="AP243" s="79">
        <v>0.16</v>
      </c>
      <c r="AQ243" s="79">
        <v>0.15</v>
      </c>
      <c r="AR243" s="132">
        <f>SUM(C243:E243)</f>
        <v>1753</v>
      </c>
      <c r="AS243" s="134">
        <f>C243/AR243</f>
        <v>0.17683970336565888</v>
      </c>
      <c r="AT243" s="134">
        <f>D243/AR243</f>
        <v>0.69594980034227039</v>
      </c>
      <c r="AU243" s="134">
        <f>E243/AR243</f>
        <v>0.12721049629207073</v>
      </c>
      <c r="AV243" s="151">
        <f>IF(AND(F243&lt;&gt;"",Z243&lt;&gt;""),AB243/(F243/2/Z243),"")</f>
        <v>9.4915254237288138E-2</v>
      </c>
      <c r="AW243" s="151">
        <f>IF(AND(F243&lt;&gt;"",AK243&lt;&gt;""),AM243/(F243/2/AK243),"")</f>
        <v>7.4576271186440682E-2</v>
      </c>
      <c r="AX243" s="41">
        <f>IF(AND(AQ243&lt;&gt;"",1-(AQ243/O243)&gt;0),1-(AQ243/O243),"")</f>
        <v>0.88888888888888884</v>
      </c>
      <c r="AY243" s="41">
        <f>IF(AND(AF243&lt;&gt;"",1-(AF243/O243)&gt;0),1-(AF243/O243),"")</f>
        <v>0.92592592592592593</v>
      </c>
      <c r="AZ243" s="136" t="str">
        <f>IF(Q243="","",IF(Q243&lt;2.5,"Alc. Bruta &lt; 2,5 mg/L",IF(Q243&lt;5,"2,5 ≤ Alc. Bruta &lt; 5,0 mg/L",IF(Q243&lt;7.5,"5,0 ≤ Alc. Bruta &lt; 7,5 mg/L",IF(Q243&lt;10,"7,5 ≤ Alc. Bruta &lt; 10,0 mg/L",IF(Q243&lt;15,"10,0 ≤ Alca. Bruta &lt; 15,0 mg/L","Alc. Bruta &gt; 15 mg/L"))))))</f>
        <v>5,0 ≤ Alc. Bruta &lt; 7,5 mg/L</v>
      </c>
      <c r="BA243" s="136" t="str">
        <f>IF(P243="","",IF(P243&lt;5,"Cor &lt;5 uC",IF(P243&lt;10,"5 ≤ Cor &lt; 10 uC",IF(P243&lt;15,"10 ≤ Cor &lt;15 uC",IF(P243&lt;30,"15 ≤ Cor &lt; 30 uC",IF(P243&lt;50,"30 ≤ Cor &lt; 50 uC","Cor &gt; 50 uC"))))))</f>
        <v>10 ≤ Cor &lt;15 uC</v>
      </c>
      <c r="BB243" s="137" t="str">
        <f>IF(O243="","",IF(O243&lt;2.5,"Turbidez &lt; 2,5 uT",IF(O243&lt;5,"2,5 ≤ Turb &lt; 5,0 uT",IF(O243&lt;7.5,"5,0 ≤ Turb &lt; 7,5 uT",IF(O243&lt;10,"7,5 ≤ Turb &lt; 10,0 uT",IF(O243&lt;15,"10,0 ≤ Turb &lt; 15,0 uT","Turb &gt; 15 uT"))))))</f>
        <v>Turbidez &lt; 2,5 uT</v>
      </c>
      <c r="BC243" s="138" t="str">
        <f>IF(AND(C243&gt;D243,D243&gt;E243),"TOR &gt; SM &gt; BNN",IF(AND(C243&gt;E243,E243&gt;D243),"TOR &gt; BNN &gt; SM",IF(AND(D243&gt;C243,C243&gt;E243),"SM &gt; TOR &gt; BNN",IF(AND(D243&gt;E243,E243&gt;C243),"SM &gt; BNN &gt; TOR",IF(AND(C243=D243,D243=E243),"TOR = SM = BNN","Comb. diferentes")))))</f>
        <v>SM &gt; TOR &gt; BNN</v>
      </c>
      <c r="BD243" s="137" t="str">
        <f>IF(OR(AE243="",AQ243="-"),"",IF(AE243&lt;=0.25,"Tipo 1 (≤0,25) uT",IF(AE243&lt;=0.5,"Tipo 2 (0,25-0,50) uT",IF(AE243&lt;=0.75,"Tipo 3 (0,50-0,75) uT","Tipo 4 (&gt;0,75) uT"))))</f>
        <v>Tipo 1 (≤0,25) uT</v>
      </c>
      <c r="BE243" s="137" t="str">
        <f t="shared" si="21"/>
        <v>Tipo 1 (≤0,25) uT</v>
      </c>
      <c r="BF243" s="137" t="str">
        <f>IF(OR(AF243="",AQ243="-"),"",IF(AF243&lt;=0.25,"Tipo 1 (≤0,25) uT",IF(AF243&lt;=0.5,"Tipo 2 (0,25-0,50) uT",IF(AF243&lt;=0.75,"Tipo 3 (0,50-0,75) uT","Tipo 4 (&gt;0,75) uT"))))</f>
        <v>Tipo 1 (≤0,25) uT</v>
      </c>
      <c r="BG243" s="137" t="str">
        <f t="shared" si="22"/>
        <v>Tipo 1 (≤0,25) uT</v>
      </c>
      <c r="BH243" s="137" t="str">
        <f>IF(OR(R243="",R243="-"),"",IF(R243&lt;=0.25,"Tipo 1 (≤0,25) uT",IF(R243&lt;=0.5,"Tipo 2 (0,25-0,50) uT",IF(R243&lt;=0.75,"Tipo 3 (0,50-0,75) uT","Tipo 4 (&gt;0,75) uT"))))</f>
        <v>Tipo 1 (≤0,25) uT</v>
      </c>
    </row>
    <row r="244" spans="1:60" x14ac:dyDescent="0.3">
      <c r="A244" s="74">
        <v>46285</v>
      </c>
      <c r="B244" s="139">
        <v>6.25E-2</v>
      </c>
      <c r="C244" s="116">
        <v>319</v>
      </c>
      <c r="D244" s="116">
        <v>1211</v>
      </c>
      <c r="E244" s="116">
        <v>222</v>
      </c>
      <c r="F244" s="116">
        <v>1800</v>
      </c>
      <c r="G244" s="144" t="s">
        <v>100</v>
      </c>
      <c r="H244" s="122">
        <v>9.5</v>
      </c>
      <c r="I244" s="116">
        <v>-46</v>
      </c>
      <c r="J244" s="10">
        <v>90</v>
      </c>
      <c r="K244" s="116">
        <v>90</v>
      </c>
      <c r="L244" s="116">
        <v>90</v>
      </c>
      <c r="M244" s="122">
        <v>24.4</v>
      </c>
      <c r="N244" s="122">
        <v>6.5</v>
      </c>
      <c r="O244" s="79">
        <v>1.32</v>
      </c>
      <c r="P244" s="116">
        <v>10</v>
      </c>
      <c r="Q244" s="122">
        <v>6.1</v>
      </c>
      <c r="R244" s="10">
        <v>0.09</v>
      </c>
      <c r="S244" s="79">
        <v>22.36</v>
      </c>
      <c r="T244" s="79">
        <v>0.88</v>
      </c>
      <c r="U244" s="79">
        <v>0.7</v>
      </c>
      <c r="V244" s="85">
        <f t="shared" si="23"/>
        <v>1388.25</v>
      </c>
      <c r="W244" s="85">
        <f t="shared" si="24"/>
        <v>1565.7431243999997</v>
      </c>
      <c r="X244" s="85">
        <f t="shared" si="25"/>
        <v>1.1278538623446783</v>
      </c>
      <c r="Y244" s="116">
        <v>2</v>
      </c>
      <c r="Z244" s="116">
        <v>4</v>
      </c>
      <c r="AA244" s="122">
        <v>6.1</v>
      </c>
      <c r="AB244" s="116">
        <v>21</v>
      </c>
      <c r="AC244" s="122">
        <v>6.2</v>
      </c>
      <c r="AD244" s="122">
        <v>3.8</v>
      </c>
      <c r="AE244" s="79">
        <v>0.1</v>
      </c>
      <c r="AF244" s="79">
        <v>0.09</v>
      </c>
      <c r="AG244" s="85">
        <f>(O244+0.3*H244+2)*(F244/2/AK244)</f>
        <v>1851</v>
      </c>
      <c r="AH244" s="85">
        <f t="shared" si="26"/>
        <v>1785.9247275999996</v>
      </c>
      <c r="AI244" s="85">
        <f t="shared" si="27"/>
        <v>0.9648431807671527</v>
      </c>
      <c r="AJ244" s="116">
        <v>3</v>
      </c>
      <c r="AK244" s="116">
        <v>3</v>
      </c>
      <c r="AL244" s="122">
        <v>6.3</v>
      </c>
      <c r="AM244" s="116">
        <v>23</v>
      </c>
      <c r="AN244" s="122">
        <v>6.1</v>
      </c>
      <c r="AO244" s="122">
        <v>4.5999999999999996</v>
      </c>
      <c r="AP244" s="79">
        <v>0.15</v>
      </c>
      <c r="AQ244" s="79">
        <v>0.17</v>
      </c>
      <c r="AR244" s="132">
        <f>SUM(C244:E244)</f>
        <v>1752</v>
      </c>
      <c r="AS244" s="134">
        <f>C244/AR244</f>
        <v>0.18207762557077625</v>
      </c>
      <c r="AT244" s="134">
        <f>D244/AR244</f>
        <v>0.69121004566210043</v>
      </c>
      <c r="AU244" s="134">
        <f>E244/AR244</f>
        <v>0.12671232876712329</v>
      </c>
      <c r="AV244" s="151">
        <f>IF(AND(F244&lt;&gt;"",Z244&lt;&gt;""),AB244/(F244/2/Z244),"")</f>
        <v>9.3333333333333338E-2</v>
      </c>
      <c r="AW244" s="151">
        <f>IF(AND(F244&lt;&gt;"",AK244&lt;&gt;""),AM244/(F244/2/AK244),"")</f>
        <v>7.6666666666666661E-2</v>
      </c>
      <c r="AX244" s="41">
        <f>IF(AND(AQ244&lt;&gt;"",1-(AQ244/O244)&gt;0),1-(AQ244/O244),"")</f>
        <v>0.87121212121212122</v>
      </c>
      <c r="AY244" s="41">
        <f>IF(AND(AF244&lt;&gt;"",1-(AF244/O244)&gt;0),1-(AF244/O244),"")</f>
        <v>0.93181818181818188</v>
      </c>
      <c r="AZ244" s="136" t="str">
        <f>IF(Q244="","",IF(Q244&lt;2.5,"Alc. Bruta &lt; 2,5 mg/L",IF(Q244&lt;5,"2,5 ≤ Alc. Bruta &lt; 5,0 mg/L",IF(Q244&lt;7.5,"5,0 ≤ Alc. Bruta &lt; 7,5 mg/L",IF(Q244&lt;10,"7,5 ≤ Alc. Bruta &lt; 10,0 mg/L",IF(Q244&lt;15,"10,0 ≤ Alca. Bruta &lt; 15,0 mg/L","Alc. Bruta &gt; 15 mg/L"))))))</f>
        <v>5,0 ≤ Alc. Bruta &lt; 7,5 mg/L</v>
      </c>
      <c r="BA244" s="136" t="str">
        <f>IF(P244="","",IF(P244&lt;5,"Cor &lt;5 uC",IF(P244&lt;10,"5 ≤ Cor &lt; 10 uC",IF(P244&lt;15,"10 ≤ Cor &lt;15 uC",IF(P244&lt;30,"15 ≤ Cor &lt; 30 uC",IF(P244&lt;50,"30 ≤ Cor &lt; 50 uC","Cor &gt; 50 uC"))))))</f>
        <v>10 ≤ Cor &lt;15 uC</v>
      </c>
      <c r="BB244" s="137" t="str">
        <f>IF(O244="","",IF(O244&lt;2.5,"Turbidez &lt; 2,5 uT",IF(O244&lt;5,"2,5 ≤ Turb &lt; 5,0 uT",IF(O244&lt;7.5,"5,0 ≤ Turb &lt; 7,5 uT",IF(O244&lt;10,"7,5 ≤ Turb &lt; 10,0 uT",IF(O244&lt;15,"10,0 ≤ Turb &lt; 15,0 uT","Turb &gt; 15 uT"))))))</f>
        <v>Turbidez &lt; 2,5 uT</v>
      </c>
      <c r="BC244" s="138" t="str">
        <f>IF(AND(C244&gt;D244,D244&gt;E244),"TOR &gt; SM &gt; BNN",IF(AND(C244&gt;E244,E244&gt;D244),"TOR &gt; BNN &gt; SM",IF(AND(D244&gt;C244,C244&gt;E244),"SM &gt; TOR &gt; BNN",IF(AND(D244&gt;E244,E244&gt;C244),"SM &gt; BNN &gt; TOR",IF(AND(C244=D244,D244=E244),"TOR = SM = BNN","Comb. diferentes")))))</f>
        <v>SM &gt; TOR &gt; BNN</v>
      </c>
      <c r="BD244" s="137" t="str">
        <f>IF(OR(AE244="",AQ244="-"),"",IF(AE244&lt;=0.25,"Tipo 1 (≤0,25) uT",IF(AE244&lt;=0.5,"Tipo 2 (0,25-0,50) uT",IF(AE244&lt;=0.75,"Tipo 3 (0,50-0,75) uT","Tipo 4 (&gt;0,75) uT"))))</f>
        <v>Tipo 1 (≤0,25) uT</v>
      </c>
      <c r="BE244" s="137" t="str">
        <f t="shared" si="21"/>
        <v>Tipo 1 (≤0,25) uT</v>
      </c>
      <c r="BF244" s="137" t="str">
        <f>IF(OR(AF244="",AQ244="-"),"",IF(AF244&lt;=0.25,"Tipo 1 (≤0,25) uT",IF(AF244&lt;=0.5,"Tipo 2 (0,25-0,50) uT",IF(AF244&lt;=0.75,"Tipo 3 (0,50-0,75) uT","Tipo 4 (&gt;0,75) uT"))))</f>
        <v>Tipo 1 (≤0,25) uT</v>
      </c>
      <c r="BG244" s="137" t="str">
        <f t="shared" si="22"/>
        <v>Tipo 1 (≤0,25) uT</v>
      </c>
      <c r="BH244" s="137" t="str">
        <f>IF(OR(R244="",R244="-"),"",IF(R244&lt;=0.25,"Tipo 1 (≤0,25) uT",IF(R244&lt;=0.5,"Tipo 2 (0,25-0,50) uT",IF(R244&lt;=0.75,"Tipo 3 (0,50-0,75) uT","Tipo 4 (&gt;0,75) uT"))))</f>
        <v>Tipo 1 (≤0,25) uT</v>
      </c>
    </row>
    <row r="245" spans="1:60" x14ac:dyDescent="0.3">
      <c r="A245" s="74">
        <v>46285</v>
      </c>
      <c r="B245" s="139">
        <v>0.14583333333333334</v>
      </c>
      <c r="C245" s="116">
        <v>306</v>
      </c>
      <c r="D245" s="116">
        <v>1203</v>
      </c>
      <c r="E245" s="116">
        <v>223</v>
      </c>
      <c r="F245" s="116">
        <v>1808</v>
      </c>
      <c r="G245" s="144" t="s">
        <v>100</v>
      </c>
      <c r="H245" s="122">
        <v>9.5</v>
      </c>
      <c r="I245" s="116">
        <v>-49</v>
      </c>
      <c r="J245" s="10">
        <v>90</v>
      </c>
      <c r="K245" s="116">
        <v>90</v>
      </c>
      <c r="L245" s="116">
        <v>90</v>
      </c>
      <c r="M245" s="122">
        <v>24.3</v>
      </c>
      <c r="N245" s="122">
        <v>6.4</v>
      </c>
      <c r="O245" s="79">
        <v>1.41</v>
      </c>
      <c r="P245" s="116">
        <v>10</v>
      </c>
      <c r="Q245" s="122">
        <v>6.3</v>
      </c>
      <c r="R245" s="10">
        <v>0.13</v>
      </c>
      <c r="S245" s="79">
        <v>22.36</v>
      </c>
      <c r="T245" s="79">
        <v>0.88</v>
      </c>
      <c r="U245" s="79">
        <v>0.7</v>
      </c>
      <c r="V245" s="85">
        <f t="shared" si="23"/>
        <v>1414.76</v>
      </c>
      <c r="W245" s="85">
        <f t="shared" si="24"/>
        <v>1565.7431243999997</v>
      </c>
      <c r="X245" s="85">
        <f t="shared" si="25"/>
        <v>1.1067199556108454</v>
      </c>
      <c r="Y245" s="116">
        <v>2</v>
      </c>
      <c r="Z245" s="116">
        <v>4</v>
      </c>
      <c r="AA245" s="122">
        <v>6.1</v>
      </c>
      <c r="AB245" s="116">
        <v>21</v>
      </c>
      <c r="AC245" s="122">
        <v>6.1</v>
      </c>
      <c r="AD245" s="122">
        <v>4</v>
      </c>
      <c r="AE245" s="79">
        <v>0.14000000000000001</v>
      </c>
      <c r="AF245" s="79">
        <v>0.09</v>
      </c>
      <c r="AG245" s="85">
        <f>(O245+0.3*H245+2)*(F245/2/AK245)</f>
        <v>1886.3466666666666</v>
      </c>
      <c r="AH245" s="85">
        <f t="shared" si="26"/>
        <v>1674.2890735999999</v>
      </c>
      <c r="AI245" s="85">
        <f t="shared" si="27"/>
        <v>0.88758291526477995</v>
      </c>
      <c r="AJ245" s="116">
        <v>2</v>
      </c>
      <c r="AK245" s="116">
        <v>3</v>
      </c>
      <c r="AL245" s="122">
        <v>6.2</v>
      </c>
      <c r="AM245" s="116">
        <v>22</v>
      </c>
      <c r="AN245" s="122">
        <v>6.3</v>
      </c>
      <c r="AO245" s="122">
        <v>4.3</v>
      </c>
      <c r="AP245" s="79">
        <v>0.2</v>
      </c>
      <c r="AQ245" s="79">
        <v>0.17</v>
      </c>
      <c r="AR245" s="132">
        <f>SUM(C245:E245)</f>
        <v>1732</v>
      </c>
      <c r="AS245" s="134">
        <f>C245/AR245</f>
        <v>0.17667436489607391</v>
      </c>
      <c r="AT245" s="134">
        <f>D245/AR245</f>
        <v>0.69457274826789839</v>
      </c>
      <c r="AU245" s="134">
        <f>E245/AR245</f>
        <v>0.1287528868360277</v>
      </c>
      <c r="AV245" s="151">
        <f>IF(AND(F245&lt;&gt;"",Z245&lt;&gt;""),AB245/(F245/2/Z245),"")</f>
        <v>9.2920353982300891E-2</v>
      </c>
      <c r="AW245" s="151">
        <f>IF(AND(F245&lt;&gt;"",AK245&lt;&gt;""),AM245/(F245/2/AK245),"")</f>
        <v>7.3008849557522126E-2</v>
      </c>
      <c r="AX245" s="41">
        <f>IF(AND(AQ245&lt;&gt;"",1-(AQ245/O245)&gt;0),1-(AQ245/O245),"")</f>
        <v>0.87943262411347511</v>
      </c>
      <c r="AY245" s="41">
        <f>IF(AND(AF245&lt;&gt;"",1-(AF245/O245)&gt;0),1-(AF245/O245),"")</f>
        <v>0.93617021276595747</v>
      </c>
      <c r="AZ245" s="136" t="str">
        <f>IF(Q245="","",IF(Q245&lt;2.5,"Alc. Bruta &lt; 2,5 mg/L",IF(Q245&lt;5,"2,5 ≤ Alc. Bruta &lt; 5,0 mg/L",IF(Q245&lt;7.5,"5,0 ≤ Alc. Bruta &lt; 7,5 mg/L",IF(Q245&lt;10,"7,5 ≤ Alc. Bruta &lt; 10,0 mg/L",IF(Q245&lt;15,"10,0 ≤ Alca. Bruta &lt; 15,0 mg/L","Alc. Bruta &gt; 15 mg/L"))))))</f>
        <v>5,0 ≤ Alc. Bruta &lt; 7,5 mg/L</v>
      </c>
      <c r="BA245" s="136" t="str">
        <f>IF(P245="","",IF(P245&lt;5,"Cor &lt;5 uC",IF(P245&lt;10,"5 ≤ Cor &lt; 10 uC",IF(P245&lt;15,"10 ≤ Cor &lt;15 uC",IF(P245&lt;30,"15 ≤ Cor &lt; 30 uC",IF(P245&lt;50,"30 ≤ Cor &lt; 50 uC","Cor &gt; 50 uC"))))))</f>
        <v>10 ≤ Cor &lt;15 uC</v>
      </c>
      <c r="BB245" s="137" t="str">
        <f>IF(O245="","",IF(O245&lt;2.5,"Turbidez &lt; 2,5 uT",IF(O245&lt;5,"2,5 ≤ Turb &lt; 5,0 uT",IF(O245&lt;7.5,"5,0 ≤ Turb &lt; 7,5 uT",IF(O245&lt;10,"7,5 ≤ Turb &lt; 10,0 uT",IF(O245&lt;15,"10,0 ≤ Turb &lt; 15,0 uT","Turb &gt; 15 uT"))))))</f>
        <v>Turbidez &lt; 2,5 uT</v>
      </c>
      <c r="BC245" s="138" t="str">
        <f>IF(AND(C245&gt;D245,D245&gt;E245),"TOR &gt; SM &gt; BNN",IF(AND(C245&gt;E245,E245&gt;D245),"TOR &gt; BNN &gt; SM",IF(AND(D245&gt;C245,C245&gt;E245),"SM &gt; TOR &gt; BNN",IF(AND(D245&gt;E245,E245&gt;C245),"SM &gt; BNN &gt; TOR",IF(AND(C245=D245,D245=E245),"TOR = SM = BNN","Comb. diferentes")))))</f>
        <v>SM &gt; TOR &gt; BNN</v>
      </c>
      <c r="BD245" s="137" t="str">
        <f>IF(OR(AE245="",AQ245="-"),"",IF(AE245&lt;=0.25,"Tipo 1 (≤0,25) uT",IF(AE245&lt;=0.5,"Tipo 2 (0,25-0,50) uT",IF(AE245&lt;=0.75,"Tipo 3 (0,50-0,75) uT","Tipo 4 (&gt;0,75) uT"))))</f>
        <v>Tipo 1 (≤0,25) uT</v>
      </c>
      <c r="BE245" s="137" t="str">
        <f t="shared" si="21"/>
        <v>Tipo 1 (≤0,25) uT</v>
      </c>
      <c r="BF245" s="137" t="str">
        <f>IF(OR(AF245="",AQ245="-"),"",IF(AF245&lt;=0.25,"Tipo 1 (≤0,25) uT",IF(AF245&lt;=0.5,"Tipo 2 (0,25-0,50) uT",IF(AF245&lt;=0.75,"Tipo 3 (0,50-0,75) uT","Tipo 4 (&gt;0,75) uT"))))</f>
        <v>Tipo 1 (≤0,25) uT</v>
      </c>
      <c r="BG245" s="137" t="str">
        <f t="shared" si="22"/>
        <v>Tipo 1 (≤0,25) uT</v>
      </c>
      <c r="BH245" s="137" t="str">
        <f>IF(OR(R245="",R245="-"),"",IF(R245&lt;=0.25,"Tipo 1 (≤0,25) uT",IF(R245&lt;=0.5,"Tipo 2 (0,25-0,50) uT",IF(R245&lt;=0.75,"Tipo 3 (0,50-0,75) uT","Tipo 4 (&gt;0,75) uT"))))</f>
        <v>Tipo 1 (≤0,25) uT</v>
      </c>
    </row>
    <row r="246" spans="1:60" ht="15" thickBot="1" x14ac:dyDescent="0.35">
      <c r="A246" s="75">
        <v>46285</v>
      </c>
      <c r="B246" s="140">
        <v>0.22916666666666666</v>
      </c>
      <c r="C246" s="117">
        <v>313</v>
      </c>
      <c r="D246" s="117">
        <v>1220</v>
      </c>
      <c r="E246" s="117">
        <v>223</v>
      </c>
      <c r="F246" s="117">
        <v>1816</v>
      </c>
      <c r="G246" s="145" t="s">
        <v>100</v>
      </c>
      <c r="H246" s="123">
        <v>9.5</v>
      </c>
      <c r="I246" s="117">
        <v>-50</v>
      </c>
      <c r="J246" s="11">
        <v>90</v>
      </c>
      <c r="K246" s="117">
        <v>80</v>
      </c>
      <c r="L246" s="117">
        <v>70</v>
      </c>
      <c r="M246" s="123">
        <v>24.2</v>
      </c>
      <c r="N246" s="123">
        <v>6.6</v>
      </c>
      <c r="O246" s="80">
        <v>1.48</v>
      </c>
      <c r="P246" s="117">
        <v>10</v>
      </c>
      <c r="Q246" s="123">
        <v>6.5</v>
      </c>
      <c r="R246" s="11">
        <v>0.11</v>
      </c>
      <c r="S246" s="79">
        <v>22.36</v>
      </c>
      <c r="T246" s="79">
        <v>0.88</v>
      </c>
      <c r="U246" s="79">
        <v>0.7</v>
      </c>
      <c r="V246" s="85">
        <f t="shared" si="23"/>
        <v>1436.91</v>
      </c>
      <c r="W246" s="85">
        <f t="shared" si="24"/>
        <v>1565.7431243999997</v>
      </c>
      <c r="X246" s="85">
        <f t="shared" si="25"/>
        <v>1.0896598425788668</v>
      </c>
      <c r="Y246" s="117">
        <v>2</v>
      </c>
      <c r="Z246" s="117">
        <v>4</v>
      </c>
      <c r="AA246" s="123">
        <v>6.1</v>
      </c>
      <c r="AB246" s="117">
        <v>21</v>
      </c>
      <c r="AC246" s="123">
        <v>6.1</v>
      </c>
      <c r="AD246" s="123">
        <v>4.8</v>
      </c>
      <c r="AE246" s="80">
        <v>0.12</v>
      </c>
      <c r="AF246" s="80">
        <v>0.09</v>
      </c>
      <c r="AG246" s="85">
        <f>(O246+0.3*H246+2)*(F246/2/AK246)</f>
        <v>1915.88</v>
      </c>
      <c r="AH246" s="85">
        <f t="shared" si="26"/>
        <v>1674.2890735999999</v>
      </c>
      <c r="AI246" s="85">
        <f t="shared" si="27"/>
        <v>0.873900804643297</v>
      </c>
      <c r="AJ246" s="117">
        <v>2</v>
      </c>
      <c r="AK246" s="117">
        <v>3</v>
      </c>
      <c r="AL246" s="123">
        <v>6.2</v>
      </c>
      <c r="AM246" s="117">
        <v>22</v>
      </c>
      <c r="AN246" s="123">
        <v>6.2</v>
      </c>
      <c r="AO246" s="123">
        <v>4.0999999999999996</v>
      </c>
      <c r="AP246" s="80">
        <v>0.14000000000000001</v>
      </c>
      <c r="AQ246" s="80">
        <v>0.16</v>
      </c>
      <c r="AR246" s="132">
        <f>SUM(C246:E246)</f>
        <v>1756</v>
      </c>
      <c r="AS246" s="134">
        <f>C246/AR246</f>
        <v>0.17824601366742596</v>
      </c>
      <c r="AT246" s="134">
        <f>D246/AR246</f>
        <v>0.69476082004555806</v>
      </c>
      <c r="AU246" s="134">
        <f>E246/AR246</f>
        <v>0.12699316628701596</v>
      </c>
      <c r="AV246" s="151">
        <f>IF(AND(F246&lt;&gt;"",Z246&lt;&gt;""),AB246/(F246/2/Z246),"")</f>
        <v>9.2511013215859028E-2</v>
      </c>
      <c r="AW246" s="151">
        <f>IF(AND(F246&lt;&gt;"",AK246&lt;&gt;""),AM246/(F246/2/AK246),"")</f>
        <v>7.268722466960352E-2</v>
      </c>
      <c r="AX246" s="41">
        <f>IF(AND(AQ246&lt;&gt;"",1-(AQ246/O246)&gt;0),1-(AQ246/O246),"")</f>
        <v>0.89189189189189189</v>
      </c>
      <c r="AY246" s="41">
        <f>IF(AND(AF246&lt;&gt;"",1-(AF246/O246)&gt;0),1-(AF246/O246),"")</f>
        <v>0.93918918918918914</v>
      </c>
      <c r="AZ246" s="136" t="str">
        <f>IF(Q246="","",IF(Q246&lt;2.5,"Alc. Bruta &lt; 2,5 mg/L",IF(Q246&lt;5,"2,5 ≤ Alc. Bruta &lt; 5,0 mg/L",IF(Q246&lt;7.5,"5,0 ≤ Alc. Bruta &lt; 7,5 mg/L",IF(Q246&lt;10,"7,5 ≤ Alc. Bruta &lt; 10,0 mg/L",IF(Q246&lt;15,"10,0 ≤ Alca. Bruta &lt; 15,0 mg/L","Alc. Bruta &gt; 15 mg/L"))))))</f>
        <v>5,0 ≤ Alc. Bruta &lt; 7,5 mg/L</v>
      </c>
      <c r="BA246" s="136" t="str">
        <f>IF(P246="","",IF(P246&lt;5,"Cor &lt;5 uC",IF(P246&lt;10,"5 ≤ Cor &lt; 10 uC",IF(P246&lt;15,"10 ≤ Cor &lt;15 uC",IF(P246&lt;30,"15 ≤ Cor &lt; 30 uC",IF(P246&lt;50,"30 ≤ Cor &lt; 50 uC","Cor &gt; 50 uC"))))))</f>
        <v>10 ≤ Cor &lt;15 uC</v>
      </c>
      <c r="BB246" s="137" t="str">
        <f>IF(O246="","",IF(O246&lt;2.5,"Turbidez &lt; 2,5 uT",IF(O246&lt;5,"2,5 ≤ Turb &lt; 5,0 uT",IF(O246&lt;7.5,"5,0 ≤ Turb &lt; 7,5 uT",IF(O246&lt;10,"7,5 ≤ Turb &lt; 10,0 uT",IF(O246&lt;15,"10,0 ≤ Turb &lt; 15,0 uT","Turb &gt; 15 uT"))))))</f>
        <v>Turbidez &lt; 2,5 uT</v>
      </c>
      <c r="BC246" s="138" t="str">
        <f>IF(AND(C246&gt;D246,D246&gt;E246),"TOR &gt; SM &gt; BNN",IF(AND(C246&gt;E246,E246&gt;D246),"TOR &gt; BNN &gt; SM",IF(AND(D246&gt;C246,C246&gt;E246),"SM &gt; TOR &gt; BNN",IF(AND(D246&gt;E246,E246&gt;C246),"SM &gt; BNN &gt; TOR",IF(AND(C246=D246,D246=E246),"TOR = SM = BNN","Comb. diferentes")))))</f>
        <v>SM &gt; TOR &gt; BNN</v>
      </c>
      <c r="BD246" s="137" t="str">
        <f>IF(OR(AE246="",AQ246="-"),"",IF(AE246&lt;=0.25,"Tipo 1 (≤0,25) uT",IF(AE246&lt;=0.5,"Tipo 2 (0,25-0,50) uT",IF(AE246&lt;=0.75,"Tipo 3 (0,50-0,75) uT","Tipo 4 (&gt;0,75) uT"))))</f>
        <v>Tipo 1 (≤0,25) uT</v>
      </c>
      <c r="BE246" s="137" t="str">
        <f t="shared" si="21"/>
        <v>Tipo 1 (≤0,25) uT</v>
      </c>
      <c r="BF246" s="137" t="str">
        <f>IF(OR(AF246="",AQ246="-"),"",IF(AF246&lt;=0.25,"Tipo 1 (≤0,25) uT",IF(AF246&lt;=0.5,"Tipo 2 (0,25-0,50) uT",IF(AF246&lt;=0.75,"Tipo 3 (0,50-0,75) uT","Tipo 4 (&gt;0,75) uT"))))</f>
        <v>Tipo 1 (≤0,25) uT</v>
      </c>
      <c r="BG246" s="137" t="str">
        <f t="shared" si="22"/>
        <v>Tipo 1 (≤0,25) uT</v>
      </c>
      <c r="BH246" s="137" t="str">
        <f>IF(OR(R246="",R246="-"),"",IF(R246&lt;=0.25,"Tipo 1 (≤0,25) uT",IF(R246&lt;=0.5,"Tipo 2 (0,25-0,50) uT",IF(R246&lt;=0.75,"Tipo 3 (0,50-0,75) uT","Tipo 4 (&gt;0,75) uT"))))</f>
        <v>Tipo 1 (≤0,25) uT</v>
      </c>
    </row>
    <row r="247" spans="1:60" x14ac:dyDescent="0.3">
      <c r="A247" s="74">
        <v>46285</v>
      </c>
      <c r="B247" s="139">
        <v>0.97916666666666663</v>
      </c>
      <c r="C247" s="116">
        <v>346</v>
      </c>
      <c r="D247" s="116">
        <v>1639</v>
      </c>
      <c r="E247" s="116">
        <v>270</v>
      </c>
      <c r="F247" s="116">
        <v>2281</v>
      </c>
      <c r="G247" s="144" t="s">
        <v>100</v>
      </c>
      <c r="H247" s="122">
        <v>9.5</v>
      </c>
      <c r="I247" s="116">
        <v>-52</v>
      </c>
      <c r="J247" s="10">
        <v>90</v>
      </c>
      <c r="K247" s="116">
        <v>90</v>
      </c>
      <c r="L247" s="116">
        <v>90</v>
      </c>
      <c r="M247" s="122">
        <v>25.5</v>
      </c>
      <c r="N247" s="122">
        <v>6.5</v>
      </c>
      <c r="O247" s="79">
        <v>2.42</v>
      </c>
      <c r="P247" s="116">
        <v>12</v>
      </c>
      <c r="Q247" s="122">
        <v>7.6</v>
      </c>
      <c r="R247" s="10">
        <v>0.09</v>
      </c>
      <c r="S247" s="79">
        <v>22.36</v>
      </c>
      <c r="T247" s="79">
        <v>0.88</v>
      </c>
      <c r="U247" s="79">
        <v>0.7</v>
      </c>
      <c r="V247" s="85">
        <f t="shared" si="23"/>
        <v>2072.8587499999999</v>
      </c>
      <c r="W247" s="85">
        <f t="shared" si="24"/>
        <v>1630.6269251999997</v>
      </c>
      <c r="X247" s="85">
        <f t="shared" si="25"/>
        <v>0.78665607350235511</v>
      </c>
      <c r="Y247" s="116">
        <v>3</v>
      </c>
      <c r="Z247" s="116">
        <v>4</v>
      </c>
      <c r="AA247" s="122">
        <v>6.3</v>
      </c>
      <c r="AB247" s="116">
        <v>21</v>
      </c>
      <c r="AC247" s="122">
        <v>6.3</v>
      </c>
      <c r="AD247" s="122">
        <v>6</v>
      </c>
      <c r="AE247" s="79">
        <v>0.15</v>
      </c>
      <c r="AF247" s="79">
        <v>0.09</v>
      </c>
      <c r="AG247" s="85">
        <f>(O247+0.3*H247+2)*(F247/2/AK247)</f>
        <v>2072.8587499999999</v>
      </c>
      <c r="AH247" s="85">
        <f t="shared" si="26"/>
        <v>1714.8615171999998</v>
      </c>
      <c r="AI247" s="85">
        <f t="shared" si="27"/>
        <v>0.82729299196098138</v>
      </c>
      <c r="AJ247" s="116">
        <v>3</v>
      </c>
      <c r="AK247" s="116">
        <v>4</v>
      </c>
      <c r="AL247" s="122">
        <v>6.1</v>
      </c>
      <c r="AM247" s="116">
        <v>23</v>
      </c>
      <c r="AN247" s="122">
        <v>6.4</v>
      </c>
      <c r="AO247" s="122">
        <v>6</v>
      </c>
      <c r="AP247" s="79">
        <v>0.11</v>
      </c>
      <c r="AQ247" s="79">
        <v>0.16</v>
      </c>
      <c r="AR247" s="132">
        <f>SUM(C247:E247)</f>
        <v>2255</v>
      </c>
      <c r="AS247" s="134">
        <f>C247/AR247</f>
        <v>0.15343680709534369</v>
      </c>
      <c r="AT247" s="134">
        <f>D247/AR247</f>
        <v>0.72682926829268291</v>
      </c>
      <c r="AU247" s="134">
        <f>E247/AR247</f>
        <v>0.11973392461197339</v>
      </c>
      <c r="AV247" s="151">
        <f>IF(AND(F247&lt;&gt;"",Z247&lt;&gt;""),AB247/(F247/2/Z247),"")</f>
        <v>7.3651907058307764E-2</v>
      </c>
      <c r="AW247" s="151">
        <f>IF(AND(F247&lt;&gt;"",AK247&lt;&gt;""),AM247/(F247/2/AK247),"")</f>
        <v>8.0666374397194207E-2</v>
      </c>
      <c r="AX247" s="41">
        <f>IF(AND(AQ247&lt;&gt;"",1-(AQ247/O247)&gt;0),1-(AQ247/O247),"")</f>
        <v>0.93388429752066116</v>
      </c>
      <c r="AY247" s="41">
        <f>IF(AND(AF247&lt;&gt;"",1-(AF247/O247)&gt;0),1-(AF247/O247),"")</f>
        <v>0.96280991735537191</v>
      </c>
      <c r="AZ247" s="136" t="str">
        <f>IF(Q247="","",IF(Q247&lt;2.5,"Alc. Bruta &lt; 2,5 mg/L",IF(Q247&lt;5,"2,5 ≤ Alc. Bruta &lt; 5,0 mg/L",IF(Q247&lt;7.5,"5,0 ≤ Alc. Bruta &lt; 7,5 mg/L",IF(Q247&lt;10,"7,5 ≤ Alc. Bruta &lt; 10,0 mg/L",IF(Q247&lt;15,"10,0 ≤ Alca. Bruta &lt; 15,0 mg/L","Alc. Bruta &gt; 15 mg/L"))))))</f>
        <v>7,5 ≤ Alc. Bruta &lt; 10,0 mg/L</v>
      </c>
      <c r="BA247" s="136" t="str">
        <f>IF(P247="","",IF(P247&lt;5,"Cor &lt;5 uC",IF(P247&lt;10,"5 ≤ Cor &lt; 10 uC",IF(P247&lt;15,"10 ≤ Cor &lt;15 uC",IF(P247&lt;30,"15 ≤ Cor &lt; 30 uC",IF(P247&lt;50,"30 ≤ Cor &lt; 50 uC","Cor &gt; 50 uC"))))))</f>
        <v>10 ≤ Cor &lt;15 uC</v>
      </c>
      <c r="BB247" s="137" t="str">
        <f>IF(O247="","",IF(O247&lt;2.5,"Turbidez &lt; 2,5 uT",IF(O247&lt;5,"2,5 ≤ Turb &lt; 5,0 uT",IF(O247&lt;7.5,"5,0 ≤ Turb &lt; 7,5 uT",IF(O247&lt;10,"7,5 ≤ Turb &lt; 10,0 uT",IF(O247&lt;15,"10,0 ≤ Turb &lt; 15,0 uT","Turb &gt; 15 uT"))))))</f>
        <v>Turbidez &lt; 2,5 uT</v>
      </c>
      <c r="BC247" s="138" t="str">
        <f>IF(AND(C247&gt;D247,D247&gt;E247),"TOR &gt; SM &gt; BNN",IF(AND(C247&gt;E247,E247&gt;D247),"TOR &gt; BNN &gt; SM",IF(AND(D247&gt;C247,C247&gt;E247),"SM &gt; TOR &gt; BNN",IF(AND(D247&gt;E247,E247&gt;C247),"SM &gt; BNN &gt; TOR",IF(AND(C247=D247,D247=E247),"TOR = SM = BNN","Comb. diferentes")))))</f>
        <v>SM &gt; TOR &gt; BNN</v>
      </c>
      <c r="BD247" s="137" t="str">
        <f>IF(OR(AE247="",AQ247="-"),"",IF(AE247&lt;=0.25,"Tipo 1 (≤0,25) uT",IF(AE247&lt;=0.5,"Tipo 2 (0,25-0,50) uT",IF(AE247&lt;=0.75,"Tipo 3 (0,50-0,75) uT","Tipo 4 (&gt;0,75) uT"))))</f>
        <v>Tipo 1 (≤0,25) uT</v>
      </c>
      <c r="BE247" s="137" t="str">
        <f t="shared" si="21"/>
        <v>Tipo 1 (≤0,25) uT</v>
      </c>
      <c r="BF247" s="137" t="str">
        <f>IF(OR(AF247="",AQ247="-"),"",IF(AF247&lt;=0.25,"Tipo 1 (≤0,25) uT",IF(AF247&lt;=0.5,"Tipo 2 (0,25-0,50) uT",IF(AF247&lt;=0.75,"Tipo 3 (0,50-0,75) uT","Tipo 4 (&gt;0,75) uT"))))</f>
        <v>Tipo 1 (≤0,25) uT</v>
      </c>
      <c r="BG247" s="137" t="str">
        <f t="shared" si="22"/>
        <v>Tipo 1 (≤0,25) uT</v>
      </c>
      <c r="BH247" s="137" t="str">
        <f>IF(OR(R247="",R247="-"),"",IF(R247&lt;=0.25,"Tipo 1 (≤0,25) uT",IF(R247&lt;=0.5,"Tipo 2 (0,25-0,50) uT",IF(R247&lt;=0.75,"Tipo 3 (0,50-0,75) uT","Tipo 4 (&gt;0,75) uT"))))</f>
        <v>Tipo 1 (≤0,25) uT</v>
      </c>
    </row>
    <row r="248" spans="1:60" x14ac:dyDescent="0.3">
      <c r="A248" s="74">
        <v>46286</v>
      </c>
      <c r="B248" s="139">
        <v>6.25E-2</v>
      </c>
      <c r="C248" s="116">
        <v>352</v>
      </c>
      <c r="D248" s="116">
        <v>1640</v>
      </c>
      <c r="E248" s="116">
        <v>269</v>
      </c>
      <c r="F248" s="116">
        <v>2339</v>
      </c>
      <c r="G248" s="144" t="s">
        <v>100</v>
      </c>
      <c r="H248" s="122">
        <v>9.5</v>
      </c>
      <c r="I248" s="116">
        <v>-50</v>
      </c>
      <c r="J248" s="10">
        <v>90</v>
      </c>
      <c r="K248" s="116">
        <v>90</v>
      </c>
      <c r="L248" s="116">
        <v>90</v>
      </c>
      <c r="M248" s="122">
        <v>25.3</v>
      </c>
      <c r="N248" s="122">
        <v>6.4</v>
      </c>
      <c r="O248" s="79">
        <v>2.4</v>
      </c>
      <c r="P248" s="116">
        <v>11</v>
      </c>
      <c r="Q248" s="122">
        <v>7.8</v>
      </c>
      <c r="R248" s="10">
        <v>0.1</v>
      </c>
      <c r="S248" s="79">
        <v>22.36</v>
      </c>
      <c r="T248" s="79">
        <v>0.88</v>
      </c>
      <c r="U248" s="79">
        <v>0.7</v>
      </c>
      <c r="V248" s="85">
        <f t="shared" si="23"/>
        <v>2119.71875</v>
      </c>
      <c r="W248" s="85">
        <f t="shared" si="24"/>
        <v>1535.91944584</v>
      </c>
      <c r="X248" s="85">
        <f t="shared" si="25"/>
        <v>0.72458643196886374</v>
      </c>
      <c r="Y248" s="116">
        <v>3</v>
      </c>
      <c r="Z248" s="116">
        <v>4</v>
      </c>
      <c r="AA248" s="122">
        <v>6.1</v>
      </c>
      <c r="AB248" s="116">
        <v>20.6</v>
      </c>
      <c r="AC248" s="122">
        <v>6.2</v>
      </c>
      <c r="AD248" s="122">
        <v>5.6</v>
      </c>
      <c r="AE248" s="79">
        <v>0.16</v>
      </c>
      <c r="AF248" s="79">
        <v>0.1</v>
      </c>
      <c r="AG248" s="85">
        <f>(O248+0.3*H248+2)*(F248/2/AK248)</f>
        <v>2119.71875</v>
      </c>
      <c r="AH248" s="85">
        <f t="shared" si="26"/>
        <v>1762.6300572399996</v>
      </c>
      <c r="AI248" s="85">
        <f t="shared" si="27"/>
        <v>0.8315395885609822</v>
      </c>
      <c r="AJ248" s="116">
        <v>3</v>
      </c>
      <c r="AK248" s="116">
        <v>4</v>
      </c>
      <c r="AL248" s="122">
        <v>6.3</v>
      </c>
      <c r="AM248" s="116">
        <v>22.7</v>
      </c>
      <c r="AN248" s="122">
        <v>6.1</v>
      </c>
      <c r="AO248" s="122">
        <v>5.4</v>
      </c>
      <c r="AP248" s="79">
        <v>0.16</v>
      </c>
      <c r="AQ248" s="79">
        <v>0.17</v>
      </c>
      <c r="AR248" s="132">
        <f>SUM(C248:E248)</f>
        <v>2261</v>
      </c>
      <c r="AS248" s="134">
        <f>C248/AR248</f>
        <v>0.15568332596196374</v>
      </c>
      <c r="AT248" s="134">
        <f>D248/AR248</f>
        <v>0.72534276868642189</v>
      </c>
      <c r="AU248" s="134">
        <f>E248/AR248</f>
        <v>0.11897390535161433</v>
      </c>
      <c r="AV248" s="151">
        <f>IF(AND(F248&lt;&gt;"",Z248&lt;&gt;""),AB248/(F248/2/Z248),"")</f>
        <v>7.0457460453185128E-2</v>
      </c>
      <c r="AW248" s="151">
        <f>IF(AND(F248&lt;&gt;"",AK248&lt;&gt;""),AM248/(F248/2/AK248),"")</f>
        <v>7.7640017101325356E-2</v>
      </c>
      <c r="AX248" s="41">
        <f>IF(AND(AQ248&lt;&gt;"",1-(AQ248/O248)&gt;0),1-(AQ248/O248),"")</f>
        <v>0.9291666666666667</v>
      </c>
      <c r="AY248" s="41">
        <f>IF(AND(AF248&lt;&gt;"",1-(AF248/O248)&gt;0),1-(AF248/O248),"")</f>
        <v>0.95833333333333337</v>
      </c>
      <c r="AZ248" s="136" t="str">
        <f>IF(Q248="","",IF(Q248&lt;2.5,"Alc. Bruta &lt; 2,5 mg/L",IF(Q248&lt;5,"2,5 ≤ Alc. Bruta &lt; 5,0 mg/L",IF(Q248&lt;7.5,"5,0 ≤ Alc. Bruta &lt; 7,5 mg/L",IF(Q248&lt;10,"7,5 ≤ Alc. Bruta &lt; 10,0 mg/L",IF(Q248&lt;15,"10,0 ≤ Alca. Bruta &lt; 15,0 mg/L","Alc. Bruta &gt; 15 mg/L"))))))</f>
        <v>7,5 ≤ Alc. Bruta &lt; 10,0 mg/L</v>
      </c>
      <c r="BA248" s="136" t="str">
        <f>IF(P248="","",IF(P248&lt;5,"Cor &lt;5 uC",IF(P248&lt;10,"5 ≤ Cor &lt; 10 uC",IF(P248&lt;15,"10 ≤ Cor &lt;15 uC",IF(P248&lt;30,"15 ≤ Cor &lt; 30 uC",IF(P248&lt;50,"30 ≤ Cor &lt; 50 uC","Cor &gt; 50 uC"))))))</f>
        <v>10 ≤ Cor &lt;15 uC</v>
      </c>
      <c r="BB248" s="137" t="str">
        <f>IF(O248="","",IF(O248&lt;2.5,"Turbidez &lt; 2,5 uT",IF(O248&lt;5,"2,5 ≤ Turb &lt; 5,0 uT",IF(O248&lt;7.5,"5,0 ≤ Turb &lt; 7,5 uT",IF(O248&lt;10,"7,5 ≤ Turb &lt; 10,0 uT",IF(O248&lt;15,"10,0 ≤ Turb &lt; 15,0 uT","Turb &gt; 15 uT"))))))</f>
        <v>Turbidez &lt; 2,5 uT</v>
      </c>
      <c r="BC248" s="138" t="str">
        <f>IF(AND(C248&gt;D248,D248&gt;E248),"TOR &gt; SM &gt; BNN",IF(AND(C248&gt;E248,E248&gt;D248),"TOR &gt; BNN &gt; SM",IF(AND(D248&gt;C248,C248&gt;E248),"SM &gt; TOR &gt; BNN",IF(AND(D248&gt;E248,E248&gt;C248),"SM &gt; BNN &gt; TOR",IF(AND(C248=D248,D248=E248),"TOR = SM = BNN","Comb. diferentes")))))</f>
        <v>SM &gt; TOR &gt; BNN</v>
      </c>
      <c r="BD248" s="137" t="str">
        <f>IF(OR(AE248="",AQ248="-"),"",IF(AE248&lt;=0.25,"Tipo 1 (≤0,25) uT",IF(AE248&lt;=0.5,"Tipo 2 (0,25-0,50) uT",IF(AE248&lt;=0.75,"Tipo 3 (0,50-0,75) uT","Tipo 4 (&gt;0,75) uT"))))</f>
        <v>Tipo 1 (≤0,25) uT</v>
      </c>
      <c r="BE248" s="137" t="str">
        <f t="shared" si="21"/>
        <v>Tipo 1 (≤0,25) uT</v>
      </c>
      <c r="BF248" s="137" t="str">
        <f>IF(OR(AF248="",AQ248="-"),"",IF(AF248&lt;=0.25,"Tipo 1 (≤0,25) uT",IF(AF248&lt;=0.5,"Tipo 2 (0,25-0,50) uT",IF(AF248&lt;=0.75,"Tipo 3 (0,50-0,75) uT","Tipo 4 (&gt;0,75) uT"))))</f>
        <v>Tipo 1 (≤0,25) uT</v>
      </c>
      <c r="BG248" s="137" t="str">
        <f t="shared" si="22"/>
        <v>Tipo 1 (≤0,25) uT</v>
      </c>
      <c r="BH248" s="137" t="str">
        <f>IF(OR(R248="",R248="-"),"",IF(R248&lt;=0.25,"Tipo 1 (≤0,25) uT",IF(R248&lt;=0.5,"Tipo 2 (0,25-0,50) uT",IF(R248&lt;=0.75,"Tipo 3 (0,50-0,75) uT","Tipo 4 (&gt;0,75) uT"))))</f>
        <v>Tipo 1 (≤0,25) uT</v>
      </c>
    </row>
    <row r="249" spans="1:60" x14ac:dyDescent="0.3">
      <c r="A249" s="74">
        <v>46286</v>
      </c>
      <c r="B249" s="139">
        <v>0.14583333333333334</v>
      </c>
      <c r="C249" s="116">
        <v>354</v>
      </c>
      <c r="D249" s="116">
        <v>1674</v>
      </c>
      <c r="E249" s="116">
        <v>270</v>
      </c>
      <c r="F249" s="116">
        <v>2341</v>
      </c>
      <c r="G249" s="144" t="s">
        <v>100</v>
      </c>
      <c r="H249" s="122">
        <v>9.5</v>
      </c>
      <c r="I249" s="116">
        <v>-77</v>
      </c>
      <c r="J249" s="10">
        <v>90</v>
      </c>
      <c r="K249" s="116">
        <v>90</v>
      </c>
      <c r="L249" s="116">
        <v>90</v>
      </c>
      <c r="M249" s="122">
        <v>25.1</v>
      </c>
      <c r="N249" s="122">
        <v>6.4</v>
      </c>
      <c r="O249" s="79">
        <v>1.49</v>
      </c>
      <c r="P249" s="116">
        <v>12</v>
      </c>
      <c r="Q249" s="122">
        <v>7.4</v>
      </c>
      <c r="R249" s="10">
        <v>0.09</v>
      </c>
      <c r="S249" s="79">
        <v>22.36</v>
      </c>
      <c r="T249" s="79">
        <v>0.88</v>
      </c>
      <c r="U249" s="79">
        <v>0.7</v>
      </c>
      <c r="V249" s="85">
        <f t="shared" si="23"/>
        <v>1855.2425000000001</v>
      </c>
      <c r="W249" s="85">
        <f t="shared" si="24"/>
        <v>1565.7431243999997</v>
      </c>
      <c r="X249" s="85">
        <f t="shared" si="25"/>
        <v>0.84395604585384376</v>
      </c>
      <c r="Y249" s="116">
        <v>3</v>
      </c>
      <c r="Z249" s="116">
        <v>4</v>
      </c>
      <c r="AA249" s="122">
        <v>6.1</v>
      </c>
      <c r="AB249" s="116">
        <v>21</v>
      </c>
      <c r="AC249" s="122">
        <v>6.2</v>
      </c>
      <c r="AD249" s="122">
        <v>5.8</v>
      </c>
      <c r="AE249" s="79">
        <v>0.18</v>
      </c>
      <c r="AF249" s="79">
        <v>0.12</v>
      </c>
      <c r="AG249" s="85">
        <f>(O249+0.3*H249+2)*(F249/2/AK249)</f>
        <v>1855.2425000000001</v>
      </c>
      <c r="AH249" s="85">
        <f t="shared" si="26"/>
        <v>1785.9247275999996</v>
      </c>
      <c r="AI249" s="85">
        <f t="shared" si="27"/>
        <v>0.96263681303118032</v>
      </c>
      <c r="AJ249" s="116">
        <v>3</v>
      </c>
      <c r="AK249" s="116">
        <v>4</v>
      </c>
      <c r="AL249" s="122">
        <v>6.3</v>
      </c>
      <c r="AM249" s="116">
        <v>23</v>
      </c>
      <c r="AN249" s="122">
        <v>6.1</v>
      </c>
      <c r="AO249" s="122">
        <v>6</v>
      </c>
      <c r="AP249" s="79">
        <v>0.19</v>
      </c>
      <c r="AQ249" s="79">
        <v>0.18</v>
      </c>
      <c r="AR249" s="132">
        <f>SUM(C249:E249)</f>
        <v>2298</v>
      </c>
      <c r="AS249" s="134">
        <f>C249/AR249</f>
        <v>0.15404699738903394</v>
      </c>
      <c r="AT249" s="134">
        <f>D249/AR249</f>
        <v>0.72845953002610964</v>
      </c>
      <c r="AU249" s="134">
        <f>E249/AR249</f>
        <v>0.1174934725848564</v>
      </c>
      <c r="AV249" s="151">
        <f>IF(AND(F249&lt;&gt;"",Z249&lt;&gt;""),AB249/(F249/2/Z249),"")</f>
        <v>7.1764203331909443E-2</v>
      </c>
      <c r="AW249" s="151">
        <f>IF(AND(F249&lt;&gt;"",AK249&lt;&gt;""),AM249/(F249/2/AK249),"")</f>
        <v>7.8598889363519858E-2</v>
      </c>
      <c r="AX249" s="41">
        <f>IF(AND(AQ249&lt;&gt;"",1-(AQ249/O249)&gt;0),1-(AQ249/O249),"")</f>
        <v>0.87919463087248317</v>
      </c>
      <c r="AY249" s="41">
        <f>IF(AND(AF249&lt;&gt;"",1-(AF249/O249)&gt;0),1-(AF249/O249),"")</f>
        <v>0.91946308724832215</v>
      </c>
      <c r="AZ249" s="136" t="str">
        <f>IF(Q249="","",IF(Q249&lt;2.5,"Alc. Bruta &lt; 2,5 mg/L",IF(Q249&lt;5,"2,5 ≤ Alc. Bruta &lt; 5,0 mg/L",IF(Q249&lt;7.5,"5,0 ≤ Alc. Bruta &lt; 7,5 mg/L",IF(Q249&lt;10,"7,5 ≤ Alc. Bruta &lt; 10,0 mg/L",IF(Q249&lt;15,"10,0 ≤ Alca. Bruta &lt; 15,0 mg/L","Alc. Bruta &gt; 15 mg/L"))))))</f>
        <v>5,0 ≤ Alc. Bruta &lt; 7,5 mg/L</v>
      </c>
      <c r="BA249" s="136" t="str">
        <f>IF(P249="","",IF(P249&lt;5,"Cor &lt;5 uC",IF(P249&lt;10,"5 ≤ Cor &lt; 10 uC",IF(P249&lt;15,"10 ≤ Cor &lt;15 uC",IF(P249&lt;30,"15 ≤ Cor &lt; 30 uC",IF(P249&lt;50,"30 ≤ Cor &lt; 50 uC","Cor &gt; 50 uC"))))))</f>
        <v>10 ≤ Cor &lt;15 uC</v>
      </c>
      <c r="BB249" s="137" t="str">
        <f>IF(O249="","",IF(O249&lt;2.5,"Turbidez &lt; 2,5 uT",IF(O249&lt;5,"2,5 ≤ Turb &lt; 5,0 uT",IF(O249&lt;7.5,"5,0 ≤ Turb &lt; 7,5 uT",IF(O249&lt;10,"7,5 ≤ Turb &lt; 10,0 uT",IF(O249&lt;15,"10,0 ≤ Turb &lt; 15,0 uT","Turb &gt; 15 uT"))))))</f>
        <v>Turbidez &lt; 2,5 uT</v>
      </c>
      <c r="BC249" s="138" t="str">
        <f>IF(AND(C249&gt;D249,D249&gt;E249),"TOR &gt; SM &gt; BNN",IF(AND(C249&gt;E249,E249&gt;D249),"TOR &gt; BNN &gt; SM",IF(AND(D249&gt;C249,C249&gt;E249),"SM &gt; TOR &gt; BNN",IF(AND(D249&gt;E249,E249&gt;C249),"SM &gt; BNN &gt; TOR",IF(AND(C249=D249,D249=E249),"TOR = SM = BNN","Comb. diferentes")))))</f>
        <v>SM &gt; TOR &gt; BNN</v>
      </c>
      <c r="BD249" s="137" t="str">
        <f>IF(OR(AE249="",AQ249="-"),"",IF(AE249&lt;=0.25,"Tipo 1 (≤0,25) uT",IF(AE249&lt;=0.5,"Tipo 2 (0,25-0,50) uT",IF(AE249&lt;=0.75,"Tipo 3 (0,50-0,75) uT","Tipo 4 (&gt;0,75) uT"))))</f>
        <v>Tipo 1 (≤0,25) uT</v>
      </c>
      <c r="BE249" s="137" t="str">
        <f t="shared" si="21"/>
        <v>Tipo 1 (≤0,25) uT</v>
      </c>
      <c r="BF249" s="137" t="str">
        <f>IF(OR(AF249="",AQ249="-"),"",IF(AF249&lt;=0.25,"Tipo 1 (≤0,25) uT",IF(AF249&lt;=0.5,"Tipo 2 (0,25-0,50) uT",IF(AF249&lt;=0.75,"Tipo 3 (0,50-0,75) uT","Tipo 4 (&gt;0,75) uT"))))</f>
        <v>Tipo 1 (≤0,25) uT</v>
      </c>
      <c r="BG249" s="137" t="str">
        <f t="shared" si="22"/>
        <v>Tipo 1 (≤0,25) uT</v>
      </c>
      <c r="BH249" s="137" t="str">
        <f>IF(OR(R249="",R249="-"),"",IF(R249&lt;=0.25,"Tipo 1 (≤0,25) uT",IF(R249&lt;=0.5,"Tipo 2 (0,25-0,50) uT",IF(R249&lt;=0.75,"Tipo 3 (0,50-0,75) uT","Tipo 4 (&gt;0,75) uT"))))</f>
        <v>Tipo 1 (≤0,25) uT</v>
      </c>
    </row>
    <row r="250" spans="1:60" x14ac:dyDescent="0.3">
      <c r="A250" s="74">
        <v>46286</v>
      </c>
      <c r="B250" s="139">
        <v>0.64583333333333337</v>
      </c>
      <c r="C250" s="116">
        <v>401</v>
      </c>
      <c r="D250" s="116">
        <v>1598</v>
      </c>
      <c r="E250" s="116">
        <v>200</v>
      </c>
      <c r="F250" s="116">
        <v>2184</v>
      </c>
      <c r="G250" s="144" t="s">
        <v>100</v>
      </c>
      <c r="H250" s="122">
        <v>9.5</v>
      </c>
      <c r="I250" s="116">
        <v>-5.87</v>
      </c>
      <c r="J250" s="10">
        <v>90</v>
      </c>
      <c r="K250" s="116">
        <v>90</v>
      </c>
      <c r="L250" s="116">
        <v>90</v>
      </c>
      <c r="M250" s="122">
        <v>27.3</v>
      </c>
      <c r="N250" s="122">
        <v>6.7</v>
      </c>
      <c r="O250" s="79">
        <v>1.3</v>
      </c>
      <c r="P250" s="116">
        <v>9</v>
      </c>
      <c r="Q250" s="122">
        <v>6.4</v>
      </c>
      <c r="R250" s="10">
        <v>0.11</v>
      </c>
      <c r="S250" s="79">
        <v>22.36</v>
      </c>
      <c r="T250" s="79">
        <v>0.88</v>
      </c>
      <c r="U250" s="79">
        <v>0.7</v>
      </c>
      <c r="V250" s="85">
        <f t="shared" si="23"/>
        <v>1678.95</v>
      </c>
      <c r="W250" s="85">
        <f t="shared" si="24"/>
        <v>1259.0573221199998</v>
      </c>
      <c r="X250" s="85">
        <f t="shared" si="25"/>
        <v>0.74990757444831579</v>
      </c>
      <c r="Y250" s="116">
        <v>3</v>
      </c>
      <c r="Z250" s="116">
        <v>4</v>
      </c>
      <c r="AA250" s="122">
        <v>5.0999999999999996</v>
      </c>
      <c r="AB250" s="116">
        <v>21.3</v>
      </c>
      <c r="AC250" s="122">
        <v>6.4</v>
      </c>
      <c r="AD250" s="122">
        <v>5.4</v>
      </c>
      <c r="AE250" s="79">
        <v>0.3</v>
      </c>
      <c r="AF250" s="79">
        <v>0.16</v>
      </c>
      <c r="AG250" s="85">
        <f>(O250+0.3*H250+2)*(F250/2/AK250)</f>
        <v>1678.95</v>
      </c>
      <c r="AH250" s="85">
        <f t="shared" si="26"/>
        <v>1723.4428693039997</v>
      </c>
      <c r="AI250" s="85">
        <f t="shared" si="27"/>
        <v>1.0265004135346494</v>
      </c>
      <c r="AJ250" s="116">
        <v>3</v>
      </c>
      <c r="AK250" s="116">
        <v>4</v>
      </c>
      <c r="AL250" s="122">
        <v>6.21</v>
      </c>
      <c r="AM250" s="116">
        <v>22.6</v>
      </c>
      <c r="AN250" s="122">
        <v>6.3</v>
      </c>
      <c r="AO250" s="122">
        <v>5.7</v>
      </c>
      <c r="AP250" s="79">
        <v>0.2</v>
      </c>
      <c r="AQ250" s="79">
        <v>0.16</v>
      </c>
      <c r="AR250" s="132">
        <f>SUM(C250:E250)</f>
        <v>2199</v>
      </c>
      <c r="AS250" s="134">
        <f>C250/AR250</f>
        <v>0.18235561618917689</v>
      </c>
      <c r="AT250" s="134">
        <f>D250/AR250</f>
        <v>0.72669395179627105</v>
      </c>
      <c r="AU250" s="134">
        <f>E250/AR250</f>
        <v>9.0950432014552066E-2</v>
      </c>
      <c r="AV250" s="151">
        <f>IF(AND(F250&lt;&gt;"",Z250&lt;&gt;""),AB250/(F250/2/Z250),"")</f>
        <v>7.8021978021978022E-2</v>
      </c>
      <c r="AW250" s="151">
        <f>IF(AND(F250&lt;&gt;"",AK250&lt;&gt;""),AM250/(F250/2/AK250),"")</f>
        <v>8.2783882783882795E-2</v>
      </c>
      <c r="AX250" s="41">
        <f>IF(AND(AQ250&lt;&gt;"",1-(AQ250/O250)&gt;0),1-(AQ250/O250),"")</f>
        <v>0.87692307692307692</v>
      </c>
      <c r="AY250" s="41">
        <f>IF(AND(AF250&lt;&gt;"",1-(AF250/O250)&gt;0),1-(AF250/O250),"")</f>
        <v>0.87692307692307692</v>
      </c>
      <c r="AZ250" s="136" t="str">
        <f>IF(Q250="","",IF(Q250&lt;2.5,"Alc. Bruta &lt; 2,5 mg/L",IF(Q250&lt;5,"2,5 ≤ Alc. Bruta &lt; 5,0 mg/L",IF(Q250&lt;7.5,"5,0 ≤ Alc. Bruta &lt; 7,5 mg/L",IF(Q250&lt;10,"7,5 ≤ Alc. Bruta &lt; 10,0 mg/L",IF(Q250&lt;15,"10,0 ≤ Alca. Bruta &lt; 15,0 mg/L","Alc. Bruta &gt; 15 mg/L"))))))</f>
        <v>5,0 ≤ Alc. Bruta &lt; 7,5 mg/L</v>
      </c>
      <c r="BA250" s="136" t="str">
        <f>IF(P250="","",IF(P250&lt;5,"Cor &lt;5 uC",IF(P250&lt;10,"5 ≤ Cor &lt; 10 uC",IF(P250&lt;15,"10 ≤ Cor &lt;15 uC",IF(P250&lt;30,"15 ≤ Cor &lt; 30 uC",IF(P250&lt;50,"30 ≤ Cor &lt; 50 uC","Cor &gt; 50 uC"))))))</f>
        <v>5 ≤ Cor &lt; 10 uC</v>
      </c>
      <c r="BB250" s="137" t="str">
        <f>IF(O250="","",IF(O250&lt;2.5,"Turbidez &lt; 2,5 uT",IF(O250&lt;5,"2,5 ≤ Turb &lt; 5,0 uT",IF(O250&lt;7.5,"5,0 ≤ Turb &lt; 7,5 uT",IF(O250&lt;10,"7,5 ≤ Turb &lt; 10,0 uT",IF(O250&lt;15,"10,0 ≤ Turb &lt; 15,0 uT","Turb &gt; 15 uT"))))))</f>
        <v>Turbidez &lt; 2,5 uT</v>
      </c>
      <c r="BC250" s="138" t="str">
        <f>IF(AND(C250&gt;D250,D250&gt;E250),"TOR &gt; SM &gt; BNN",IF(AND(C250&gt;E250,E250&gt;D250),"TOR &gt; BNN &gt; SM",IF(AND(D250&gt;C250,C250&gt;E250),"SM &gt; TOR &gt; BNN",IF(AND(D250&gt;E250,E250&gt;C250),"SM &gt; BNN &gt; TOR",IF(AND(C250=D250,D250=E250),"TOR = SM = BNN","Comb. diferentes")))))</f>
        <v>SM &gt; TOR &gt; BNN</v>
      </c>
      <c r="BD250" s="137" t="str">
        <f>IF(OR(AE250="",AQ250="-"),"",IF(AE250&lt;=0.25,"Tipo 1 (≤0,25) uT",IF(AE250&lt;=0.5,"Tipo 2 (0,25-0,50) uT",IF(AE250&lt;=0.75,"Tipo 3 (0,50-0,75) uT","Tipo 4 (&gt;0,75) uT"))))</f>
        <v>Tipo 2 (0,25-0,50) uT</v>
      </c>
      <c r="BE250" s="137" t="str">
        <f t="shared" si="21"/>
        <v>Tipo 1 (≤0,25) uT</v>
      </c>
      <c r="BF250" s="137" t="str">
        <f>IF(OR(AF250="",AQ250="-"),"",IF(AF250&lt;=0.25,"Tipo 1 (≤0,25) uT",IF(AF250&lt;=0.5,"Tipo 2 (0,25-0,50) uT",IF(AF250&lt;=0.75,"Tipo 3 (0,50-0,75) uT","Tipo 4 (&gt;0,75) uT"))))</f>
        <v>Tipo 1 (≤0,25) uT</v>
      </c>
      <c r="BG250" s="137" t="str">
        <f t="shared" si="22"/>
        <v>Tipo 1 (≤0,25) uT</v>
      </c>
      <c r="BH250" s="137" t="str">
        <f>IF(OR(R250="",R250="-"),"",IF(R250&lt;=0.25,"Tipo 1 (≤0,25) uT",IF(R250&lt;=0.5,"Tipo 2 (0,25-0,50) uT",IF(R250&lt;=0.75,"Tipo 3 (0,50-0,75) uT","Tipo 4 (&gt;0,75) uT"))))</f>
        <v>Tipo 1 (≤0,25) uT</v>
      </c>
    </row>
    <row r="251" spans="1:60" x14ac:dyDescent="0.3">
      <c r="A251" s="74">
        <v>46286</v>
      </c>
      <c r="B251" s="139">
        <v>0.72916666666666663</v>
      </c>
      <c r="C251" s="116">
        <v>398</v>
      </c>
      <c r="D251" s="116">
        <v>1608</v>
      </c>
      <c r="E251" s="116">
        <v>200</v>
      </c>
      <c r="F251" s="116">
        <v>2240</v>
      </c>
      <c r="G251" s="144" t="s">
        <v>100</v>
      </c>
      <c r="H251" s="122">
        <v>9.5</v>
      </c>
      <c r="I251" s="116">
        <v>31.24</v>
      </c>
      <c r="J251" s="10">
        <v>90</v>
      </c>
      <c r="K251" s="116">
        <v>90</v>
      </c>
      <c r="L251" s="116">
        <v>90</v>
      </c>
      <c r="M251" s="122">
        <v>27</v>
      </c>
      <c r="N251" s="122">
        <v>6.7</v>
      </c>
      <c r="O251" s="79">
        <v>1.36</v>
      </c>
      <c r="P251" s="116">
        <v>9</v>
      </c>
      <c r="Q251" s="122">
        <v>6.3</v>
      </c>
      <c r="R251" s="10">
        <v>0.12</v>
      </c>
      <c r="S251" s="79">
        <v>22.36</v>
      </c>
      <c r="T251" s="79">
        <v>0.88</v>
      </c>
      <c r="U251" s="79">
        <v>0.7</v>
      </c>
      <c r="V251" s="85">
        <f t="shared" si="23"/>
        <v>1738.8</v>
      </c>
      <c r="W251" s="85">
        <f t="shared" si="24"/>
        <v>1580.6549636799998</v>
      </c>
      <c r="X251" s="85">
        <f t="shared" si="25"/>
        <v>0.90904932348746248</v>
      </c>
      <c r="Y251" s="116">
        <v>3</v>
      </c>
      <c r="Z251" s="116">
        <v>4</v>
      </c>
      <c r="AA251" s="122">
        <v>6.1</v>
      </c>
      <c r="AB251" s="116">
        <v>21.2</v>
      </c>
      <c r="AC251" s="122">
        <v>6.4</v>
      </c>
      <c r="AD251" s="122">
        <v>5.7</v>
      </c>
      <c r="AE251" s="79">
        <v>0.28000000000000003</v>
      </c>
      <c r="AF251" s="79">
        <v>0.16</v>
      </c>
      <c r="AG251" s="85">
        <f>(O251+0.3*H251+2)*(F251/2/AK251)</f>
        <v>1738.8</v>
      </c>
      <c r="AH251" s="85">
        <f t="shared" si="26"/>
        <v>1730.425602152</v>
      </c>
      <c r="AI251" s="85">
        <f t="shared" si="27"/>
        <v>0.99518380616057056</v>
      </c>
      <c r="AJ251" s="116">
        <v>3</v>
      </c>
      <c r="AK251" s="116">
        <v>4</v>
      </c>
      <c r="AL251" s="122">
        <v>6.23</v>
      </c>
      <c r="AM251" s="116">
        <v>22.6</v>
      </c>
      <c r="AN251" s="122">
        <v>6.4</v>
      </c>
      <c r="AO251" s="122">
        <v>5.6</v>
      </c>
      <c r="AP251" s="79">
        <v>0.22</v>
      </c>
      <c r="AQ251" s="79">
        <v>0.17</v>
      </c>
      <c r="AR251" s="132">
        <f>SUM(C251:E251)</f>
        <v>2206</v>
      </c>
      <c r="AS251" s="134">
        <f>C251/AR251</f>
        <v>0.18041704442429737</v>
      </c>
      <c r="AT251" s="134">
        <f>D251/AR251</f>
        <v>0.72892112420670896</v>
      </c>
      <c r="AU251" s="134">
        <f>E251/AR251</f>
        <v>9.0661831368993653E-2</v>
      </c>
      <c r="AV251" s="151">
        <f>IF(AND(F251&lt;&gt;"",Z251&lt;&gt;""),AB251/(F251/2/Z251),"")</f>
        <v>7.5714285714285706E-2</v>
      </c>
      <c r="AW251" s="151">
        <f>IF(AND(F251&lt;&gt;"",AK251&lt;&gt;""),AM251/(F251/2/AK251),"")</f>
        <v>8.0714285714285725E-2</v>
      </c>
      <c r="AX251" s="41">
        <f>IF(AND(AQ251&lt;&gt;"",1-(AQ251/O251)&gt;0),1-(AQ251/O251),"")</f>
        <v>0.875</v>
      </c>
      <c r="AY251" s="41">
        <f>IF(AND(AF251&lt;&gt;"",1-(AF251/O251)&gt;0),1-(AF251/O251),"")</f>
        <v>0.88235294117647056</v>
      </c>
      <c r="AZ251" s="136" t="str">
        <f>IF(Q251="","",IF(Q251&lt;2.5,"Alc. Bruta &lt; 2,5 mg/L",IF(Q251&lt;5,"2,5 ≤ Alc. Bruta &lt; 5,0 mg/L",IF(Q251&lt;7.5,"5,0 ≤ Alc. Bruta &lt; 7,5 mg/L",IF(Q251&lt;10,"7,5 ≤ Alc. Bruta &lt; 10,0 mg/L",IF(Q251&lt;15,"10,0 ≤ Alca. Bruta &lt; 15,0 mg/L","Alc. Bruta &gt; 15 mg/L"))))))</f>
        <v>5,0 ≤ Alc. Bruta &lt; 7,5 mg/L</v>
      </c>
      <c r="BA251" s="136" t="str">
        <f>IF(P251="","",IF(P251&lt;5,"Cor &lt;5 uC",IF(P251&lt;10,"5 ≤ Cor &lt; 10 uC",IF(P251&lt;15,"10 ≤ Cor &lt;15 uC",IF(P251&lt;30,"15 ≤ Cor &lt; 30 uC",IF(P251&lt;50,"30 ≤ Cor &lt; 50 uC","Cor &gt; 50 uC"))))))</f>
        <v>5 ≤ Cor &lt; 10 uC</v>
      </c>
      <c r="BB251" s="137" t="str">
        <f>IF(O251="","",IF(O251&lt;2.5,"Turbidez &lt; 2,5 uT",IF(O251&lt;5,"2,5 ≤ Turb &lt; 5,0 uT",IF(O251&lt;7.5,"5,0 ≤ Turb &lt; 7,5 uT",IF(O251&lt;10,"7,5 ≤ Turb &lt; 10,0 uT",IF(O251&lt;15,"10,0 ≤ Turb &lt; 15,0 uT","Turb &gt; 15 uT"))))))</f>
        <v>Turbidez &lt; 2,5 uT</v>
      </c>
      <c r="BC251" s="138" t="str">
        <f>IF(AND(C251&gt;D251,D251&gt;E251),"TOR &gt; SM &gt; BNN",IF(AND(C251&gt;E251,E251&gt;D251),"TOR &gt; BNN &gt; SM",IF(AND(D251&gt;C251,C251&gt;E251),"SM &gt; TOR &gt; BNN",IF(AND(D251&gt;E251,E251&gt;C251),"SM &gt; BNN &gt; TOR",IF(AND(C251=D251,D251=E251),"TOR = SM = BNN","Comb. diferentes")))))</f>
        <v>SM &gt; TOR &gt; BNN</v>
      </c>
      <c r="BD251" s="137" t="str">
        <f>IF(OR(AE251="",AQ251="-"),"",IF(AE251&lt;=0.25,"Tipo 1 (≤0,25) uT",IF(AE251&lt;=0.5,"Tipo 2 (0,25-0,50) uT",IF(AE251&lt;=0.75,"Tipo 3 (0,50-0,75) uT","Tipo 4 (&gt;0,75) uT"))))</f>
        <v>Tipo 2 (0,25-0,50) uT</v>
      </c>
      <c r="BE251" s="137" t="str">
        <f t="shared" si="21"/>
        <v>Tipo 1 (≤0,25) uT</v>
      </c>
      <c r="BF251" s="137" t="str">
        <f>IF(OR(AF251="",AQ251="-"),"",IF(AF251&lt;=0.25,"Tipo 1 (≤0,25) uT",IF(AF251&lt;=0.5,"Tipo 2 (0,25-0,50) uT",IF(AF251&lt;=0.75,"Tipo 3 (0,50-0,75) uT","Tipo 4 (&gt;0,75) uT"))))</f>
        <v>Tipo 1 (≤0,25) uT</v>
      </c>
      <c r="BG251" s="137" t="str">
        <f t="shared" si="22"/>
        <v>Tipo 1 (≤0,25) uT</v>
      </c>
      <c r="BH251" s="137" t="str">
        <f>IF(OR(R251="",R251="-"),"",IF(R251&lt;=0.25,"Tipo 1 (≤0,25) uT",IF(R251&lt;=0.5,"Tipo 2 (0,25-0,50) uT",IF(R251&lt;=0.75,"Tipo 3 (0,50-0,75) uT","Tipo 4 (&gt;0,75) uT"))))</f>
        <v>Tipo 1 (≤0,25) uT</v>
      </c>
    </row>
    <row r="252" spans="1:60" x14ac:dyDescent="0.3">
      <c r="A252" s="74">
        <v>46286</v>
      </c>
      <c r="B252" s="139">
        <v>0.8125</v>
      </c>
      <c r="C252" s="116">
        <v>405</v>
      </c>
      <c r="D252" s="116">
        <v>1560</v>
      </c>
      <c r="E252" s="116">
        <v>200</v>
      </c>
      <c r="F252" s="116">
        <v>2281</v>
      </c>
      <c r="G252" s="144" t="s">
        <v>100</v>
      </c>
      <c r="H252" s="122">
        <v>9.5</v>
      </c>
      <c r="I252" s="116">
        <v>28</v>
      </c>
      <c r="J252" s="10">
        <v>90</v>
      </c>
      <c r="K252" s="116">
        <v>90</v>
      </c>
      <c r="L252" s="116">
        <v>90</v>
      </c>
      <c r="M252" s="122">
        <v>26.8</v>
      </c>
      <c r="N252" s="122">
        <v>6.5</v>
      </c>
      <c r="O252" s="79">
        <v>1.35</v>
      </c>
      <c r="P252" s="116">
        <v>12</v>
      </c>
      <c r="Q252" s="122">
        <v>5.4</v>
      </c>
      <c r="R252" s="10">
        <v>0.18</v>
      </c>
      <c r="S252" s="79">
        <v>22.36</v>
      </c>
      <c r="T252" s="79">
        <v>0.88</v>
      </c>
      <c r="U252" s="79">
        <v>0.7</v>
      </c>
      <c r="V252" s="85">
        <f t="shared" si="23"/>
        <v>1767.7750000000001</v>
      </c>
      <c r="W252" s="85">
        <f t="shared" si="24"/>
        <v>1460.2868799999999</v>
      </c>
      <c r="X252" s="85">
        <f t="shared" si="25"/>
        <v>0.82605924396487096</v>
      </c>
      <c r="Y252" s="116">
        <v>3</v>
      </c>
      <c r="Z252" s="116">
        <v>4</v>
      </c>
      <c r="AA252" s="122">
        <v>6</v>
      </c>
      <c r="AB252" s="116">
        <v>20</v>
      </c>
      <c r="AC252" s="122">
        <v>6</v>
      </c>
      <c r="AD252" s="122">
        <v>4.2</v>
      </c>
      <c r="AE252" s="79">
        <v>0.23</v>
      </c>
      <c r="AF252" s="79">
        <v>0.15</v>
      </c>
      <c r="AG252" s="85">
        <f>(O252+0.3*H252+2)*(F252/2/AK252)</f>
        <v>1767.7750000000001</v>
      </c>
      <c r="AH252" s="85">
        <f t="shared" si="26"/>
        <v>1821.4563327999999</v>
      </c>
      <c r="AI252" s="85">
        <f t="shared" si="27"/>
        <v>1.0303666093252817</v>
      </c>
      <c r="AJ252" s="116">
        <v>3</v>
      </c>
      <c r="AK252" s="116">
        <v>4</v>
      </c>
      <c r="AL252" s="122">
        <v>6.4</v>
      </c>
      <c r="AM252" s="116">
        <v>23</v>
      </c>
      <c r="AN252" s="122">
        <v>6</v>
      </c>
      <c r="AO252" s="122">
        <v>4.5</v>
      </c>
      <c r="AP252" s="79">
        <v>0.11</v>
      </c>
      <c r="AQ252" s="79">
        <v>0.16</v>
      </c>
      <c r="AR252" s="132">
        <f>SUM(C252:E252)</f>
        <v>2165</v>
      </c>
      <c r="AS252" s="134">
        <f>C252/AR252</f>
        <v>0.18706697459584296</v>
      </c>
      <c r="AT252" s="134">
        <f>D252/AR252</f>
        <v>0.72055427251732107</v>
      </c>
      <c r="AU252" s="134">
        <f>E252/AR252</f>
        <v>9.237875288683603E-2</v>
      </c>
      <c r="AV252" s="151">
        <f>IF(AND(F252&lt;&gt;"",Z252&lt;&gt;""),AB252/(F252/2/Z252),"")</f>
        <v>7.0144673388864529E-2</v>
      </c>
      <c r="AW252" s="151">
        <f>IF(AND(F252&lt;&gt;"",AK252&lt;&gt;""),AM252/(F252/2/AK252),"")</f>
        <v>8.0666374397194207E-2</v>
      </c>
      <c r="AX252" s="41">
        <f>IF(AND(AQ252&lt;&gt;"",1-(AQ252/O252)&gt;0),1-(AQ252/O252),"")</f>
        <v>0.88148148148148153</v>
      </c>
      <c r="AY252" s="41">
        <f>IF(AND(AF252&lt;&gt;"",1-(AF252/O252)&gt;0),1-(AF252/O252),"")</f>
        <v>0.88888888888888884</v>
      </c>
      <c r="AZ252" s="136" t="str">
        <f>IF(Q252="","",IF(Q252&lt;2.5,"Alc. Bruta &lt; 2,5 mg/L",IF(Q252&lt;5,"2,5 ≤ Alc. Bruta &lt; 5,0 mg/L",IF(Q252&lt;7.5,"5,0 ≤ Alc. Bruta &lt; 7,5 mg/L",IF(Q252&lt;10,"7,5 ≤ Alc. Bruta &lt; 10,0 mg/L",IF(Q252&lt;15,"10,0 ≤ Alca. Bruta &lt; 15,0 mg/L","Alc. Bruta &gt; 15 mg/L"))))))</f>
        <v>5,0 ≤ Alc. Bruta &lt; 7,5 mg/L</v>
      </c>
      <c r="BA252" s="136" t="str">
        <f>IF(P252="","",IF(P252&lt;5,"Cor &lt;5 uC",IF(P252&lt;10,"5 ≤ Cor &lt; 10 uC",IF(P252&lt;15,"10 ≤ Cor &lt;15 uC",IF(P252&lt;30,"15 ≤ Cor &lt; 30 uC",IF(P252&lt;50,"30 ≤ Cor &lt; 50 uC","Cor &gt; 50 uC"))))))</f>
        <v>10 ≤ Cor &lt;15 uC</v>
      </c>
      <c r="BB252" s="137" t="str">
        <f>IF(O252="","",IF(O252&lt;2.5,"Turbidez &lt; 2,5 uT",IF(O252&lt;5,"2,5 ≤ Turb &lt; 5,0 uT",IF(O252&lt;7.5,"5,0 ≤ Turb &lt; 7,5 uT",IF(O252&lt;10,"7,5 ≤ Turb &lt; 10,0 uT",IF(O252&lt;15,"10,0 ≤ Turb &lt; 15,0 uT","Turb &gt; 15 uT"))))))</f>
        <v>Turbidez &lt; 2,5 uT</v>
      </c>
      <c r="BC252" s="138" t="str">
        <f>IF(AND(C252&gt;D252,D252&gt;E252),"TOR &gt; SM &gt; BNN",IF(AND(C252&gt;E252,E252&gt;D252),"TOR &gt; BNN &gt; SM",IF(AND(D252&gt;C252,C252&gt;E252),"SM &gt; TOR &gt; BNN",IF(AND(D252&gt;E252,E252&gt;C252),"SM &gt; BNN &gt; TOR",IF(AND(C252=D252,D252=E252),"TOR = SM = BNN","Comb. diferentes")))))</f>
        <v>SM &gt; TOR &gt; BNN</v>
      </c>
      <c r="BD252" s="137" t="str">
        <f>IF(OR(AE252="",AQ252="-"),"",IF(AE252&lt;=0.25,"Tipo 1 (≤0,25) uT",IF(AE252&lt;=0.5,"Tipo 2 (0,25-0,50) uT",IF(AE252&lt;=0.75,"Tipo 3 (0,50-0,75) uT","Tipo 4 (&gt;0,75) uT"))))</f>
        <v>Tipo 1 (≤0,25) uT</v>
      </c>
      <c r="BE252" s="137" t="str">
        <f t="shared" si="21"/>
        <v>Tipo 1 (≤0,25) uT</v>
      </c>
      <c r="BF252" s="137" t="str">
        <f>IF(OR(AF252="",AQ252="-"),"",IF(AF252&lt;=0.25,"Tipo 1 (≤0,25) uT",IF(AF252&lt;=0.5,"Tipo 2 (0,25-0,50) uT",IF(AF252&lt;=0.75,"Tipo 3 (0,50-0,75) uT","Tipo 4 (&gt;0,75) uT"))))</f>
        <v>Tipo 1 (≤0,25) uT</v>
      </c>
      <c r="BG252" s="137" t="str">
        <f t="shared" si="22"/>
        <v>Tipo 1 (≤0,25) uT</v>
      </c>
      <c r="BH252" s="137" t="str">
        <f>IF(OR(R252="",R252="-"),"",IF(R252&lt;=0.25,"Tipo 1 (≤0,25) uT",IF(R252&lt;=0.5,"Tipo 2 (0,25-0,50) uT",IF(R252&lt;=0.75,"Tipo 3 (0,50-0,75) uT","Tipo 4 (&gt;0,75) uT"))))</f>
        <v>Tipo 1 (≤0,25) uT</v>
      </c>
    </row>
    <row r="253" spans="1:60" x14ac:dyDescent="0.3">
      <c r="A253" s="74">
        <v>46286</v>
      </c>
      <c r="B253" s="139">
        <v>0.89583333333333337</v>
      </c>
      <c r="C253" s="116">
        <v>388</v>
      </c>
      <c r="D253" s="116">
        <v>1640</v>
      </c>
      <c r="E253" s="116">
        <v>200</v>
      </c>
      <c r="F253" s="116">
        <v>2219</v>
      </c>
      <c r="G253" s="144" t="s">
        <v>100</v>
      </c>
      <c r="H253" s="122">
        <v>9.5</v>
      </c>
      <c r="I253" s="116">
        <v>34</v>
      </c>
      <c r="J253" s="10">
        <v>90</v>
      </c>
      <c r="K253" s="116">
        <v>90</v>
      </c>
      <c r="L253" s="116">
        <v>90</v>
      </c>
      <c r="M253" s="122">
        <v>26</v>
      </c>
      <c r="N253" s="122">
        <v>6.4</v>
      </c>
      <c r="O253" s="79">
        <v>1.44</v>
      </c>
      <c r="P253" s="116">
        <v>12</v>
      </c>
      <c r="Q253" s="122">
        <v>5.9</v>
      </c>
      <c r="R253" s="10">
        <v>0.22</v>
      </c>
      <c r="S253" s="79">
        <v>22.36</v>
      </c>
      <c r="T253" s="79">
        <v>0.88</v>
      </c>
      <c r="U253" s="79">
        <v>0.7</v>
      </c>
      <c r="V253" s="85">
        <f t="shared" si="23"/>
        <v>1744.68875</v>
      </c>
      <c r="W253" s="85">
        <f t="shared" si="24"/>
        <v>1550.8312851199998</v>
      </c>
      <c r="X253" s="85">
        <f t="shared" si="25"/>
        <v>0.88888707806478362</v>
      </c>
      <c r="Y253" s="116">
        <v>3</v>
      </c>
      <c r="Z253" s="116">
        <v>4</v>
      </c>
      <c r="AA253" s="122">
        <v>6.1</v>
      </c>
      <c r="AB253" s="116">
        <v>20.8</v>
      </c>
      <c r="AC253" s="122">
        <v>6.1</v>
      </c>
      <c r="AD253" s="122">
        <v>4.3</v>
      </c>
      <c r="AE253" s="79">
        <v>0.19</v>
      </c>
      <c r="AF253" s="79">
        <v>0.17299999999999999</v>
      </c>
      <c r="AG253" s="85">
        <f>(O253+0.3*H253+2)*(F253/2/AK253)</f>
        <v>1744.68875</v>
      </c>
      <c r="AH253" s="85">
        <f t="shared" si="26"/>
        <v>1754.8651671199998</v>
      </c>
      <c r="AI253" s="85">
        <f t="shared" si="27"/>
        <v>1.0058327980391917</v>
      </c>
      <c r="AJ253" s="116">
        <v>3</v>
      </c>
      <c r="AK253" s="116">
        <v>4</v>
      </c>
      <c r="AL253" s="122">
        <v>6.3</v>
      </c>
      <c r="AM253" s="116">
        <v>22.6</v>
      </c>
      <c r="AN253" s="122">
        <v>6.1</v>
      </c>
      <c r="AO253" s="122">
        <v>4.7</v>
      </c>
      <c r="AP253" s="79">
        <v>0.22</v>
      </c>
      <c r="AQ253" s="79">
        <v>0.17</v>
      </c>
      <c r="AR253" s="132">
        <f>SUM(C253:E253)</f>
        <v>2228</v>
      </c>
      <c r="AS253" s="134">
        <f>C253/AR253</f>
        <v>0.1741472172351885</v>
      </c>
      <c r="AT253" s="134">
        <f>D253/AR253</f>
        <v>0.73608617594254933</v>
      </c>
      <c r="AU253" s="134">
        <f>E253/AR253</f>
        <v>8.9766606822262118E-2</v>
      </c>
      <c r="AV253" s="151">
        <f>IF(AND(F253&lt;&gt;"",Z253&lt;&gt;""),AB253/(F253/2/Z253),"")</f>
        <v>7.4988733663812535E-2</v>
      </c>
      <c r="AW253" s="151">
        <f>IF(AND(F253&lt;&gt;"",AK253&lt;&gt;""),AM253/(F253/2/AK253),"")</f>
        <v>8.1478143307796305E-2</v>
      </c>
      <c r="AX253" s="41">
        <f>IF(AND(AQ253&lt;&gt;"",1-(AQ253/O253)&gt;0),1-(AQ253/O253),"")</f>
        <v>0.88194444444444442</v>
      </c>
      <c r="AY253" s="41">
        <f>IF(AND(AF253&lt;&gt;"",1-(AF253/O253)&gt;0),1-(AF253/O253),"")</f>
        <v>0.87986111111111109</v>
      </c>
      <c r="AZ253" s="136" t="str">
        <f>IF(Q253="","",IF(Q253&lt;2.5,"Alc. Bruta &lt; 2,5 mg/L",IF(Q253&lt;5,"2,5 ≤ Alc. Bruta &lt; 5,0 mg/L",IF(Q253&lt;7.5,"5,0 ≤ Alc. Bruta &lt; 7,5 mg/L",IF(Q253&lt;10,"7,5 ≤ Alc. Bruta &lt; 10,0 mg/L",IF(Q253&lt;15,"10,0 ≤ Alca. Bruta &lt; 15,0 mg/L","Alc. Bruta &gt; 15 mg/L"))))))</f>
        <v>5,0 ≤ Alc. Bruta &lt; 7,5 mg/L</v>
      </c>
      <c r="BA253" s="136" t="str">
        <f>IF(P253="","",IF(P253&lt;5,"Cor &lt;5 uC",IF(P253&lt;10,"5 ≤ Cor &lt; 10 uC",IF(P253&lt;15,"10 ≤ Cor &lt;15 uC",IF(P253&lt;30,"15 ≤ Cor &lt; 30 uC",IF(P253&lt;50,"30 ≤ Cor &lt; 50 uC","Cor &gt; 50 uC"))))))</f>
        <v>10 ≤ Cor &lt;15 uC</v>
      </c>
      <c r="BB253" s="137" t="str">
        <f>IF(O253="","",IF(O253&lt;2.5,"Turbidez &lt; 2,5 uT",IF(O253&lt;5,"2,5 ≤ Turb &lt; 5,0 uT",IF(O253&lt;7.5,"5,0 ≤ Turb &lt; 7,5 uT",IF(O253&lt;10,"7,5 ≤ Turb &lt; 10,0 uT",IF(O253&lt;15,"10,0 ≤ Turb &lt; 15,0 uT","Turb &gt; 15 uT"))))))</f>
        <v>Turbidez &lt; 2,5 uT</v>
      </c>
      <c r="BC253" s="138" t="str">
        <f>IF(AND(C253&gt;D253,D253&gt;E253),"TOR &gt; SM &gt; BNN",IF(AND(C253&gt;E253,E253&gt;D253),"TOR &gt; BNN &gt; SM",IF(AND(D253&gt;C253,C253&gt;E253),"SM &gt; TOR &gt; BNN",IF(AND(D253&gt;E253,E253&gt;C253),"SM &gt; BNN &gt; TOR",IF(AND(C253=D253,D253=E253),"TOR = SM = BNN","Comb. diferentes")))))</f>
        <v>SM &gt; TOR &gt; BNN</v>
      </c>
      <c r="BD253" s="137" t="str">
        <f>IF(OR(AE253="",AQ253="-"),"",IF(AE253&lt;=0.25,"Tipo 1 (≤0,25) uT",IF(AE253&lt;=0.5,"Tipo 2 (0,25-0,50) uT",IF(AE253&lt;=0.75,"Tipo 3 (0,50-0,75) uT","Tipo 4 (&gt;0,75) uT"))))</f>
        <v>Tipo 1 (≤0,25) uT</v>
      </c>
      <c r="BE253" s="137" t="str">
        <f t="shared" si="21"/>
        <v>Tipo 1 (≤0,25) uT</v>
      </c>
      <c r="BF253" s="137" t="str">
        <f>IF(OR(AF253="",AQ253="-"),"",IF(AF253&lt;=0.25,"Tipo 1 (≤0,25) uT",IF(AF253&lt;=0.5,"Tipo 2 (0,25-0,50) uT",IF(AF253&lt;=0.75,"Tipo 3 (0,50-0,75) uT","Tipo 4 (&gt;0,75) uT"))))</f>
        <v>Tipo 1 (≤0,25) uT</v>
      </c>
      <c r="BG253" s="137" t="str">
        <f t="shared" si="22"/>
        <v>Tipo 1 (≤0,25) uT</v>
      </c>
      <c r="BH253" s="137" t="str">
        <f>IF(OR(R253="",R253="-"),"",IF(R253&lt;=0.25,"Tipo 1 (≤0,25) uT",IF(R253&lt;=0.5,"Tipo 2 (0,25-0,50) uT",IF(R253&lt;=0.75,"Tipo 3 (0,50-0,75) uT","Tipo 4 (&gt;0,75) uT"))))</f>
        <v>Tipo 1 (≤0,25) uT</v>
      </c>
    </row>
    <row r="254" spans="1:60" x14ac:dyDescent="0.3">
      <c r="A254" s="74">
        <v>46287</v>
      </c>
      <c r="B254" s="139">
        <v>6.25E-2</v>
      </c>
      <c r="C254" s="116">
        <v>400</v>
      </c>
      <c r="D254" s="116">
        <v>1700</v>
      </c>
      <c r="E254" s="116">
        <v>200</v>
      </c>
      <c r="F254" s="116">
        <v>2273</v>
      </c>
      <c r="G254" s="144" t="s">
        <v>100</v>
      </c>
      <c r="H254" s="122">
        <v>9.5</v>
      </c>
      <c r="I254" s="116">
        <v>-15</v>
      </c>
      <c r="J254" s="10">
        <v>90</v>
      </c>
      <c r="K254" s="116">
        <v>90</v>
      </c>
      <c r="L254" s="116">
        <v>90</v>
      </c>
      <c r="M254" s="122">
        <v>25.7</v>
      </c>
      <c r="N254" s="122">
        <v>6.4</v>
      </c>
      <c r="O254" s="79">
        <v>1.39</v>
      </c>
      <c r="P254" s="116">
        <v>10</v>
      </c>
      <c r="Q254" s="122">
        <v>5.6</v>
      </c>
      <c r="R254" s="10">
        <v>0.38</v>
      </c>
      <c r="S254" s="79">
        <v>22.36</v>
      </c>
      <c r="T254" s="79">
        <v>0.88</v>
      </c>
      <c r="U254" s="79">
        <v>0.7</v>
      </c>
      <c r="V254" s="85">
        <f t="shared" si="23"/>
        <v>1772.94</v>
      </c>
      <c r="W254" s="85">
        <f t="shared" si="24"/>
        <v>1460.2868799999999</v>
      </c>
      <c r="X254" s="85">
        <f t="shared" si="25"/>
        <v>0.82365273500513259</v>
      </c>
      <c r="Y254" s="116">
        <v>3</v>
      </c>
      <c r="Z254" s="116">
        <v>4</v>
      </c>
      <c r="AA254" s="122">
        <v>6</v>
      </c>
      <c r="AB254" s="116">
        <v>20</v>
      </c>
      <c r="AC254" s="122">
        <v>6.1</v>
      </c>
      <c r="AD254" s="122">
        <v>4.8</v>
      </c>
      <c r="AE254" s="79">
        <v>0.26</v>
      </c>
      <c r="AF254" s="79">
        <v>0.23</v>
      </c>
      <c r="AG254" s="85">
        <f>(O254+0.3*H254+2)*(F254/2/AK254)</f>
        <v>1772.94</v>
      </c>
      <c r="AH254" s="85">
        <f t="shared" si="26"/>
        <v>1821.4563327999999</v>
      </c>
      <c r="AI254" s="85">
        <f t="shared" si="27"/>
        <v>1.0273649039448598</v>
      </c>
      <c r="AJ254" s="116">
        <v>3</v>
      </c>
      <c r="AK254" s="116">
        <v>4</v>
      </c>
      <c r="AL254" s="122">
        <v>6.4</v>
      </c>
      <c r="AM254" s="116">
        <v>23</v>
      </c>
      <c r="AN254" s="122">
        <v>6.1</v>
      </c>
      <c r="AO254" s="122">
        <v>4.9000000000000004</v>
      </c>
      <c r="AP254" s="79">
        <v>0.28000000000000003</v>
      </c>
      <c r="AQ254" s="79">
        <v>0.16</v>
      </c>
      <c r="AR254" s="132">
        <f>SUM(C254:E254)</f>
        <v>2300</v>
      </c>
      <c r="AS254" s="134">
        <f>C254/AR254</f>
        <v>0.17391304347826086</v>
      </c>
      <c r="AT254" s="134">
        <f>D254/AR254</f>
        <v>0.73913043478260865</v>
      </c>
      <c r="AU254" s="134">
        <f>E254/AR254</f>
        <v>8.6956521739130432E-2</v>
      </c>
      <c r="AV254" s="151">
        <f>IF(AND(F254&lt;&gt;"",Z254&lt;&gt;""),AB254/(F254/2/Z254),"")</f>
        <v>7.0391553013638364E-2</v>
      </c>
      <c r="AW254" s="151">
        <f>IF(AND(F254&lt;&gt;"",AK254&lt;&gt;""),AM254/(F254/2/AK254),"")</f>
        <v>8.0950285965684113E-2</v>
      </c>
      <c r="AX254" s="41">
        <f>IF(AND(AQ254&lt;&gt;"",1-(AQ254/O254)&gt;0),1-(AQ254/O254),"")</f>
        <v>0.8848920863309353</v>
      </c>
      <c r="AY254" s="41">
        <f>IF(AND(AF254&lt;&gt;"",1-(AF254/O254)&gt;0),1-(AF254/O254),"")</f>
        <v>0.83453237410071934</v>
      </c>
      <c r="AZ254" s="136" t="str">
        <f>IF(Q254="","",IF(Q254&lt;2.5,"Alc. Bruta &lt; 2,5 mg/L",IF(Q254&lt;5,"2,5 ≤ Alc. Bruta &lt; 5,0 mg/L",IF(Q254&lt;7.5,"5,0 ≤ Alc. Bruta &lt; 7,5 mg/L",IF(Q254&lt;10,"7,5 ≤ Alc. Bruta &lt; 10,0 mg/L",IF(Q254&lt;15,"10,0 ≤ Alca. Bruta &lt; 15,0 mg/L","Alc. Bruta &gt; 15 mg/L"))))))</f>
        <v>5,0 ≤ Alc. Bruta &lt; 7,5 mg/L</v>
      </c>
      <c r="BA254" s="136" t="str">
        <f>IF(P254="","",IF(P254&lt;5,"Cor &lt;5 uC",IF(P254&lt;10,"5 ≤ Cor &lt; 10 uC",IF(P254&lt;15,"10 ≤ Cor &lt;15 uC",IF(P254&lt;30,"15 ≤ Cor &lt; 30 uC",IF(P254&lt;50,"30 ≤ Cor &lt; 50 uC","Cor &gt; 50 uC"))))))</f>
        <v>10 ≤ Cor &lt;15 uC</v>
      </c>
      <c r="BB254" s="137" t="str">
        <f>IF(O254="","",IF(O254&lt;2.5,"Turbidez &lt; 2,5 uT",IF(O254&lt;5,"2,5 ≤ Turb &lt; 5,0 uT",IF(O254&lt;7.5,"5,0 ≤ Turb &lt; 7,5 uT",IF(O254&lt;10,"7,5 ≤ Turb &lt; 10,0 uT",IF(O254&lt;15,"10,0 ≤ Turb &lt; 15,0 uT","Turb &gt; 15 uT"))))))</f>
        <v>Turbidez &lt; 2,5 uT</v>
      </c>
      <c r="BC254" s="138" t="str">
        <f>IF(AND(C254&gt;D254,D254&gt;E254),"TOR &gt; SM &gt; BNN",IF(AND(C254&gt;E254,E254&gt;D254),"TOR &gt; BNN &gt; SM",IF(AND(D254&gt;C254,C254&gt;E254),"SM &gt; TOR &gt; BNN",IF(AND(D254&gt;E254,E254&gt;C254),"SM &gt; BNN &gt; TOR",IF(AND(C254=D254,D254=E254),"TOR = SM = BNN","Comb. diferentes")))))</f>
        <v>SM &gt; TOR &gt; BNN</v>
      </c>
      <c r="BD254" s="137" t="str">
        <f>IF(OR(AE254="",AQ254="-"),"",IF(AE254&lt;=0.25,"Tipo 1 (≤0,25) uT",IF(AE254&lt;=0.5,"Tipo 2 (0,25-0,50) uT",IF(AE254&lt;=0.75,"Tipo 3 (0,50-0,75) uT","Tipo 4 (&gt;0,75) uT"))))</f>
        <v>Tipo 2 (0,25-0,50) uT</v>
      </c>
      <c r="BE254" s="137" t="str">
        <f t="shared" si="21"/>
        <v>Tipo 2 (0,25-0,50) uT</v>
      </c>
      <c r="BF254" s="137" t="str">
        <f>IF(OR(AF254="",AQ254="-"),"",IF(AF254&lt;=0.25,"Tipo 1 (≤0,25) uT",IF(AF254&lt;=0.5,"Tipo 2 (0,25-0,50) uT",IF(AF254&lt;=0.75,"Tipo 3 (0,50-0,75) uT","Tipo 4 (&gt;0,75) uT"))))</f>
        <v>Tipo 1 (≤0,25) uT</v>
      </c>
      <c r="BG254" s="137" t="str">
        <f t="shared" si="22"/>
        <v>Tipo 1 (≤0,25) uT</v>
      </c>
      <c r="BH254" s="137" t="str">
        <f>IF(OR(R254="",R254="-"),"",IF(R254&lt;=0.25,"Tipo 1 (≤0,25) uT",IF(R254&lt;=0.5,"Tipo 2 (0,25-0,50) uT",IF(R254&lt;=0.75,"Tipo 3 (0,50-0,75) uT","Tipo 4 (&gt;0,75) uT"))))</f>
        <v>Tipo 2 (0,25-0,50) uT</v>
      </c>
    </row>
    <row r="255" spans="1:60" x14ac:dyDescent="0.3">
      <c r="A255" s="74">
        <v>46287</v>
      </c>
      <c r="B255" s="139">
        <v>0.14583333333333334</v>
      </c>
      <c r="C255" s="116">
        <v>396</v>
      </c>
      <c r="D255" s="116">
        <v>1588</v>
      </c>
      <c r="E255" s="116">
        <v>199</v>
      </c>
      <c r="F255" s="116">
        <v>2219</v>
      </c>
      <c r="G255" s="144" t="s">
        <v>100</v>
      </c>
      <c r="H255" s="122">
        <v>9.5</v>
      </c>
      <c r="I255" s="116">
        <v>48</v>
      </c>
      <c r="J255" s="10">
        <v>90</v>
      </c>
      <c r="K255" s="116">
        <v>90</v>
      </c>
      <c r="L255" s="116">
        <v>90</v>
      </c>
      <c r="M255" s="122">
        <v>25.3</v>
      </c>
      <c r="N255" s="122">
        <v>6.4</v>
      </c>
      <c r="O255" s="79">
        <v>1.54</v>
      </c>
      <c r="P255" s="116">
        <v>14</v>
      </c>
      <c r="Q255" s="122">
        <v>6.2</v>
      </c>
      <c r="R255" s="10">
        <v>0.25</v>
      </c>
      <c r="S255" s="79">
        <v>22.36</v>
      </c>
      <c r="T255" s="79">
        <v>0.88</v>
      </c>
      <c r="U255" s="79">
        <v>0.7</v>
      </c>
      <c r="V255" s="85">
        <f t="shared" si="23"/>
        <v>1772.4262500000002</v>
      </c>
      <c r="W255" s="85">
        <f t="shared" si="24"/>
        <v>1550.8312851199998</v>
      </c>
      <c r="X255" s="85">
        <f t="shared" si="25"/>
        <v>0.87497648216392621</v>
      </c>
      <c r="Y255" s="116">
        <v>3</v>
      </c>
      <c r="Z255" s="116">
        <v>4</v>
      </c>
      <c r="AA255" s="122">
        <v>6.1</v>
      </c>
      <c r="AB255" s="116">
        <v>20.8</v>
      </c>
      <c r="AC255" s="122">
        <v>6.1</v>
      </c>
      <c r="AD255" s="122">
        <v>4</v>
      </c>
      <c r="AE255" s="79">
        <v>0.2</v>
      </c>
      <c r="AF255" s="79">
        <v>0.25</v>
      </c>
      <c r="AG255" s="85">
        <f>(O255+0.3*H255+2)*(F255/2/AK255)</f>
        <v>1772.4262500000002</v>
      </c>
      <c r="AH255" s="85">
        <f t="shared" si="26"/>
        <v>1797.6982067199997</v>
      </c>
      <c r="AI255" s="85">
        <f t="shared" si="27"/>
        <v>1.0142583967710925</v>
      </c>
      <c r="AJ255" s="116">
        <v>3</v>
      </c>
      <c r="AK255" s="116">
        <v>4</v>
      </c>
      <c r="AL255" s="122">
        <v>6.4</v>
      </c>
      <c r="AM255" s="116">
        <v>22.7</v>
      </c>
      <c r="AN255" s="122">
        <v>6</v>
      </c>
      <c r="AO255" s="122">
        <v>3.5</v>
      </c>
      <c r="AP255" s="79">
        <v>0.19</v>
      </c>
      <c r="AQ255" s="79">
        <v>0.13</v>
      </c>
      <c r="AR255" s="132">
        <f>SUM(C255:E255)</f>
        <v>2183</v>
      </c>
      <c r="AS255" s="134">
        <f>C255/AR255</f>
        <v>0.18140174072377463</v>
      </c>
      <c r="AT255" s="134">
        <f>D255/AR255</f>
        <v>0.72743930371049015</v>
      </c>
      <c r="AU255" s="134">
        <f>E255/AR255</f>
        <v>9.1158955565735222E-2</v>
      </c>
      <c r="AV255" s="151">
        <f>IF(AND(F255&lt;&gt;"",Z255&lt;&gt;""),AB255/(F255/2/Z255),"")</f>
        <v>7.4988733663812535E-2</v>
      </c>
      <c r="AW255" s="151">
        <f>IF(AND(F255&lt;&gt;"",AK255&lt;&gt;""),AM255/(F255/2/AK255),"")</f>
        <v>8.1838666065795401E-2</v>
      </c>
      <c r="AX255" s="41">
        <f>IF(AND(AQ255&lt;&gt;"",1-(AQ255/O255)&gt;0),1-(AQ255/O255),"")</f>
        <v>0.91558441558441561</v>
      </c>
      <c r="AY255" s="41">
        <f>IF(AND(AF255&lt;&gt;"",1-(AF255/O255)&gt;0),1-(AF255/O255),"")</f>
        <v>0.83766233766233766</v>
      </c>
      <c r="AZ255" s="136" t="str">
        <f>IF(Q255="","",IF(Q255&lt;2.5,"Alc. Bruta &lt; 2,5 mg/L",IF(Q255&lt;5,"2,5 ≤ Alc. Bruta &lt; 5,0 mg/L",IF(Q255&lt;7.5,"5,0 ≤ Alc. Bruta &lt; 7,5 mg/L",IF(Q255&lt;10,"7,5 ≤ Alc. Bruta &lt; 10,0 mg/L",IF(Q255&lt;15,"10,0 ≤ Alca. Bruta &lt; 15,0 mg/L","Alc. Bruta &gt; 15 mg/L"))))))</f>
        <v>5,0 ≤ Alc. Bruta &lt; 7,5 mg/L</v>
      </c>
      <c r="BA255" s="136" t="str">
        <f>IF(P255="","",IF(P255&lt;5,"Cor &lt;5 uC",IF(P255&lt;10,"5 ≤ Cor &lt; 10 uC",IF(P255&lt;15,"10 ≤ Cor &lt;15 uC",IF(P255&lt;30,"15 ≤ Cor &lt; 30 uC",IF(P255&lt;50,"30 ≤ Cor &lt; 50 uC","Cor &gt; 50 uC"))))))</f>
        <v>10 ≤ Cor &lt;15 uC</v>
      </c>
      <c r="BB255" s="137" t="str">
        <f>IF(O255="","",IF(O255&lt;2.5,"Turbidez &lt; 2,5 uT",IF(O255&lt;5,"2,5 ≤ Turb &lt; 5,0 uT",IF(O255&lt;7.5,"5,0 ≤ Turb &lt; 7,5 uT",IF(O255&lt;10,"7,5 ≤ Turb &lt; 10,0 uT",IF(O255&lt;15,"10,0 ≤ Turb &lt; 15,0 uT","Turb &gt; 15 uT"))))))</f>
        <v>Turbidez &lt; 2,5 uT</v>
      </c>
      <c r="BC255" s="138" t="str">
        <f>IF(AND(C255&gt;D255,D255&gt;E255),"TOR &gt; SM &gt; BNN",IF(AND(C255&gt;E255,E255&gt;D255),"TOR &gt; BNN &gt; SM",IF(AND(D255&gt;C255,C255&gt;E255),"SM &gt; TOR &gt; BNN",IF(AND(D255&gt;E255,E255&gt;C255),"SM &gt; BNN &gt; TOR",IF(AND(C255=D255,D255=E255),"TOR = SM = BNN","Comb. diferentes")))))</f>
        <v>SM &gt; TOR &gt; BNN</v>
      </c>
      <c r="BD255" s="137" t="str">
        <f>IF(OR(AE255="",AQ255="-"),"",IF(AE255&lt;=0.25,"Tipo 1 (≤0,25) uT",IF(AE255&lt;=0.5,"Tipo 2 (0,25-0,50) uT",IF(AE255&lt;=0.75,"Tipo 3 (0,50-0,75) uT","Tipo 4 (&gt;0,75) uT"))))</f>
        <v>Tipo 1 (≤0,25) uT</v>
      </c>
      <c r="BE255" s="137" t="str">
        <f t="shared" si="21"/>
        <v>Tipo 1 (≤0,25) uT</v>
      </c>
      <c r="BF255" s="137" t="str">
        <f>IF(OR(AF255="",AQ255="-"),"",IF(AF255&lt;=0.25,"Tipo 1 (≤0,25) uT",IF(AF255&lt;=0.5,"Tipo 2 (0,25-0,50) uT",IF(AF255&lt;=0.75,"Tipo 3 (0,50-0,75) uT","Tipo 4 (&gt;0,75) uT"))))</f>
        <v>Tipo 1 (≤0,25) uT</v>
      </c>
      <c r="BG255" s="137" t="str">
        <f t="shared" si="22"/>
        <v>Tipo 1 (≤0,25) uT</v>
      </c>
      <c r="BH255" s="137" t="str">
        <f>IF(OR(R255="",R255="-"),"",IF(R255&lt;=0.25,"Tipo 1 (≤0,25) uT",IF(R255&lt;=0.5,"Tipo 2 (0,25-0,50) uT",IF(R255&lt;=0.75,"Tipo 3 (0,50-0,75) uT","Tipo 4 (&gt;0,75) uT"))))</f>
        <v>Tipo 1 (≤0,25) uT</v>
      </c>
    </row>
    <row r="256" spans="1:60" ht="15" thickBot="1" x14ac:dyDescent="0.35">
      <c r="A256" s="75">
        <v>46287</v>
      </c>
      <c r="B256" s="140">
        <v>0.22916666666666666</v>
      </c>
      <c r="C256" s="117">
        <v>406</v>
      </c>
      <c r="D256" s="117">
        <v>1730</v>
      </c>
      <c r="E256" s="117">
        <v>200</v>
      </c>
      <c r="F256" s="117">
        <v>2275</v>
      </c>
      <c r="G256" s="145" t="s">
        <v>100</v>
      </c>
      <c r="H256" s="123">
        <v>8.6999999999999993</v>
      </c>
      <c r="I256" s="117">
        <v>16</v>
      </c>
      <c r="J256" s="11">
        <v>90</v>
      </c>
      <c r="K256" s="117">
        <v>90</v>
      </c>
      <c r="L256" s="117">
        <v>90</v>
      </c>
      <c r="M256" s="123">
        <v>24.4</v>
      </c>
      <c r="N256" s="123">
        <v>6.4</v>
      </c>
      <c r="O256" s="80">
        <v>1.45</v>
      </c>
      <c r="P256" s="117">
        <v>13</v>
      </c>
      <c r="Q256" s="123">
        <v>5.2</v>
      </c>
      <c r="R256" s="11">
        <v>0.17</v>
      </c>
      <c r="S256" s="79">
        <v>22.36</v>
      </c>
      <c r="T256" s="79">
        <v>0.88</v>
      </c>
      <c r="U256" s="79">
        <v>0.7</v>
      </c>
      <c r="V256" s="85">
        <f t="shared" si="23"/>
        <v>1723.3125</v>
      </c>
      <c r="W256" s="85">
        <f t="shared" si="24"/>
        <v>1550.8312851199998</v>
      </c>
      <c r="X256" s="85">
        <f t="shared" si="25"/>
        <v>0.89991297870815645</v>
      </c>
      <c r="Y256" s="117">
        <v>3</v>
      </c>
      <c r="Z256" s="117">
        <v>4</v>
      </c>
      <c r="AA256" s="123">
        <v>6.1</v>
      </c>
      <c r="AB256" s="117">
        <v>20.8</v>
      </c>
      <c r="AC256" s="123">
        <v>6.2</v>
      </c>
      <c r="AD256" s="123">
        <v>4.3</v>
      </c>
      <c r="AE256" s="80">
        <v>0.21</v>
      </c>
      <c r="AF256" s="80">
        <v>0.15</v>
      </c>
      <c r="AG256" s="85">
        <f>(O256+0.3*H256+2)*(F256/2/AK256)</f>
        <v>1723.3125</v>
      </c>
      <c r="AH256" s="85">
        <f t="shared" si="26"/>
        <v>1797.6982067199997</v>
      </c>
      <c r="AI256" s="85">
        <f t="shared" si="27"/>
        <v>1.0431643748420554</v>
      </c>
      <c r="AJ256" s="117">
        <v>3</v>
      </c>
      <c r="AK256" s="117">
        <v>4</v>
      </c>
      <c r="AL256" s="123">
        <v>6.4</v>
      </c>
      <c r="AM256" s="117">
        <v>22.7</v>
      </c>
      <c r="AN256" s="123">
        <v>6.1</v>
      </c>
      <c r="AO256" s="123">
        <v>4</v>
      </c>
      <c r="AP256" s="80">
        <v>0.14000000000000001</v>
      </c>
      <c r="AQ256" s="80">
        <v>0.13</v>
      </c>
      <c r="AR256" s="132">
        <f>SUM(C256:E256)</f>
        <v>2336</v>
      </c>
      <c r="AS256" s="134">
        <f>C256/AR256</f>
        <v>0.1738013698630137</v>
      </c>
      <c r="AT256" s="134">
        <f>D256/AR256</f>
        <v>0.74058219178082196</v>
      </c>
      <c r="AU256" s="134">
        <f>E256/AR256</f>
        <v>8.5616438356164379E-2</v>
      </c>
      <c r="AV256" s="151">
        <f>IF(AND(F256&lt;&gt;"",Z256&lt;&gt;""),AB256/(F256/2/Z256),"")</f>
        <v>7.3142857142857148E-2</v>
      </c>
      <c r="AW256" s="151">
        <f>IF(AND(F256&lt;&gt;"",AK256&lt;&gt;""),AM256/(F256/2/AK256),"")</f>
        <v>7.9824175824175822E-2</v>
      </c>
      <c r="AX256" s="41">
        <f>IF(AND(AQ256&lt;&gt;"",1-(AQ256/O256)&gt;0),1-(AQ256/O256),"")</f>
        <v>0.91034482758620694</v>
      </c>
      <c r="AY256" s="41">
        <f>IF(AND(AF256&lt;&gt;"",1-(AF256/O256)&gt;0),1-(AF256/O256),"")</f>
        <v>0.89655172413793105</v>
      </c>
      <c r="AZ256" s="136" t="str">
        <f>IF(Q256="","",IF(Q256&lt;2.5,"Alc. Bruta &lt; 2,5 mg/L",IF(Q256&lt;5,"2,5 ≤ Alc. Bruta &lt; 5,0 mg/L",IF(Q256&lt;7.5,"5,0 ≤ Alc. Bruta &lt; 7,5 mg/L",IF(Q256&lt;10,"7,5 ≤ Alc. Bruta &lt; 10,0 mg/L",IF(Q256&lt;15,"10,0 ≤ Alca. Bruta &lt; 15,0 mg/L","Alc. Bruta &gt; 15 mg/L"))))))</f>
        <v>5,0 ≤ Alc. Bruta &lt; 7,5 mg/L</v>
      </c>
      <c r="BA256" s="136" t="str">
        <f>IF(P256="","",IF(P256&lt;5,"Cor &lt;5 uC",IF(P256&lt;10,"5 ≤ Cor &lt; 10 uC",IF(P256&lt;15,"10 ≤ Cor &lt;15 uC",IF(P256&lt;30,"15 ≤ Cor &lt; 30 uC",IF(P256&lt;50,"30 ≤ Cor &lt; 50 uC","Cor &gt; 50 uC"))))))</f>
        <v>10 ≤ Cor &lt;15 uC</v>
      </c>
      <c r="BB256" s="137" t="str">
        <f>IF(O256="","",IF(O256&lt;2.5,"Turbidez &lt; 2,5 uT",IF(O256&lt;5,"2,5 ≤ Turb &lt; 5,0 uT",IF(O256&lt;7.5,"5,0 ≤ Turb &lt; 7,5 uT",IF(O256&lt;10,"7,5 ≤ Turb &lt; 10,0 uT",IF(O256&lt;15,"10,0 ≤ Turb &lt; 15,0 uT","Turb &gt; 15 uT"))))))</f>
        <v>Turbidez &lt; 2,5 uT</v>
      </c>
      <c r="BC256" s="138" t="str">
        <f>IF(AND(C256&gt;D256,D256&gt;E256),"TOR &gt; SM &gt; BNN",IF(AND(C256&gt;E256,E256&gt;D256),"TOR &gt; BNN &gt; SM",IF(AND(D256&gt;C256,C256&gt;E256),"SM &gt; TOR &gt; BNN",IF(AND(D256&gt;E256,E256&gt;C256),"SM &gt; BNN &gt; TOR",IF(AND(C256=D256,D256=E256),"TOR = SM = BNN","Comb. diferentes")))))</f>
        <v>SM &gt; TOR &gt; BNN</v>
      </c>
      <c r="BD256" s="137" t="str">
        <f>IF(OR(AE256="",AQ256="-"),"",IF(AE256&lt;=0.25,"Tipo 1 (≤0,25) uT",IF(AE256&lt;=0.5,"Tipo 2 (0,25-0,50) uT",IF(AE256&lt;=0.75,"Tipo 3 (0,50-0,75) uT","Tipo 4 (&gt;0,75) uT"))))</f>
        <v>Tipo 1 (≤0,25) uT</v>
      </c>
      <c r="BE256" s="137" t="str">
        <f t="shared" si="21"/>
        <v>Tipo 1 (≤0,25) uT</v>
      </c>
      <c r="BF256" s="137" t="str">
        <f>IF(OR(AF256="",AQ256="-"),"",IF(AF256&lt;=0.25,"Tipo 1 (≤0,25) uT",IF(AF256&lt;=0.5,"Tipo 2 (0,25-0,50) uT",IF(AF256&lt;=0.75,"Tipo 3 (0,50-0,75) uT","Tipo 4 (&gt;0,75) uT"))))</f>
        <v>Tipo 1 (≤0,25) uT</v>
      </c>
      <c r="BG256" s="137" t="str">
        <f t="shared" si="22"/>
        <v>Tipo 1 (≤0,25) uT</v>
      </c>
      <c r="BH256" s="137" t="str">
        <f>IF(OR(R256="",R256="-"),"",IF(R256&lt;=0.25,"Tipo 1 (≤0,25) uT",IF(R256&lt;=0.5,"Tipo 2 (0,25-0,50) uT",IF(R256&lt;=0.75,"Tipo 3 (0,50-0,75) uT","Tipo 4 (&gt;0,75) uT"))))</f>
        <v>Tipo 1 (≤0,25) uT</v>
      </c>
    </row>
    <row r="257" spans="1:60" x14ac:dyDescent="0.3">
      <c r="A257" s="73">
        <v>46287</v>
      </c>
      <c r="B257" s="141">
        <v>0.3125</v>
      </c>
      <c r="C257" s="118">
        <v>348</v>
      </c>
      <c r="D257" s="118">
        <v>1711</v>
      </c>
      <c r="E257" s="118">
        <v>200</v>
      </c>
      <c r="F257" s="118">
        <v>2280</v>
      </c>
      <c r="G257" s="146" t="s">
        <v>100</v>
      </c>
      <c r="H257" s="124">
        <v>8.6999999999999993</v>
      </c>
      <c r="I257" s="118">
        <v>5</v>
      </c>
      <c r="J257" s="9">
        <v>90</v>
      </c>
      <c r="K257" s="118">
        <v>90</v>
      </c>
      <c r="L257" s="118">
        <v>90</v>
      </c>
      <c r="M257" s="124">
        <v>24.7</v>
      </c>
      <c r="N257" s="124">
        <v>6.4</v>
      </c>
      <c r="O257" s="81">
        <v>1.39</v>
      </c>
      <c r="P257" s="118">
        <v>12</v>
      </c>
      <c r="Q257" s="124">
        <v>5.4</v>
      </c>
      <c r="R257" s="9">
        <v>0.19</v>
      </c>
      <c r="S257" s="79">
        <v>22.36</v>
      </c>
      <c r="T257" s="79">
        <v>0.88</v>
      </c>
      <c r="U257" s="79">
        <v>0.7</v>
      </c>
      <c r="V257" s="85">
        <f t="shared" si="23"/>
        <v>1710</v>
      </c>
      <c r="W257" s="85">
        <f t="shared" si="24"/>
        <v>1491.1839279999999</v>
      </c>
      <c r="X257" s="85">
        <f t="shared" si="25"/>
        <v>0.87203738479532156</v>
      </c>
      <c r="Y257" s="118">
        <v>3</v>
      </c>
      <c r="Z257" s="118">
        <v>4</v>
      </c>
      <c r="AA257" s="124">
        <v>6.1</v>
      </c>
      <c r="AB257" s="118">
        <v>20</v>
      </c>
      <c r="AC257" s="124">
        <v>6.1</v>
      </c>
      <c r="AD257" s="124">
        <v>4.3</v>
      </c>
      <c r="AE257" s="81">
        <v>0.2</v>
      </c>
      <c r="AF257" s="81">
        <v>0.19</v>
      </c>
      <c r="AG257" s="85">
        <f>(O257+0.3*H257+2)*(F257/2/AK257)</f>
        <v>1710</v>
      </c>
      <c r="AH257" s="85">
        <f t="shared" si="26"/>
        <v>1708.2758263999997</v>
      </c>
      <c r="AI257" s="85">
        <f t="shared" si="27"/>
        <v>0.99899171134502907</v>
      </c>
      <c r="AJ257" s="118">
        <v>3</v>
      </c>
      <c r="AK257" s="118">
        <v>4</v>
      </c>
      <c r="AL257" s="124">
        <v>6.3</v>
      </c>
      <c r="AM257" s="118">
        <v>22</v>
      </c>
      <c r="AN257" s="124">
        <v>6.1</v>
      </c>
      <c r="AO257" s="124">
        <v>4.4000000000000004</v>
      </c>
      <c r="AP257" s="81">
        <v>0.16</v>
      </c>
      <c r="AQ257" s="81">
        <v>0.18</v>
      </c>
      <c r="AR257" s="132">
        <f>SUM(C257:E257)</f>
        <v>2259</v>
      </c>
      <c r="AS257" s="134">
        <f>C257/AR257</f>
        <v>0.15405046480743692</v>
      </c>
      <c r="AT257" s="134">
        <f>D257/AR257</f>
        <v>0.75741478530323147</v>
      </c>
      <c r="AU257" s="134">
        <f>E257/AR257</f>
        <v>8.8534749889331563E-2</v>
      </c>
      <c r="AV257" s="151">
        <f>IF(AND(F257&lt;&gt;"",Z257&lt;&gt;""),AB257/(F257/2/Z257),"")</f>
        <v>7.0175438596491224E-2</v>
      </c>
      <c r="AW257" s="151">
        <f>IF(AND(F257&lt;&gt;"",AK257&lt;&gt;""),AM257/(F257/2/AK257),"")</f>
        <v>7.7192982456140355E-2</v>
      </c>
      <c r="AX257" s="41">
        <f>IF(AND(AQ257&lt;&gt;"",1-(AQ257/O257)&gt;0),1-(AQ257/O257),"")</f>
        <v>0.87050359712230219</v>
      </c>
      <c r="AY257" s="41">
        <f>IF(AND(AF257&lt;&gt;"",1-(AF257/O257)&gt;0),1-(AF257/O257),"")</f>
        <v>0.86330935251798557</v>
      </c>
      <c r="AZ257" s="136" t="str">
        <f>IF(Q257="","",IF(Q257&lt;2.5,"Alc. Bruta &lt; 2,5 mg/L",IF(Q257&lt;5,"2,5 ≤ Alc. Bruta &lt; 5,0 mg/L",IF(Q257&lt;7.5,"5,0 ≤ Alc. Bruta &lt; 7,5 mg/L",IF(Q257&lt;10,"7,5 ≤ Alc. Bruta &lt; 10,0 mg/L",IF(Q257&lt;15,"10,0 ≤ Alca. Bruta &lt; 15,0 mg/L","Alc. Bruta &gt; 15 mg/L"))))))</f>
        <v>5,0 ≤ Alc. Bruta &lt; 7,5 mg/L</v>
      </c>
      <c r="BA257" s="136" t="str">
        <f>IF(P257="","",IF(P257&lt;5,"Cor &lt;5 uC",IF(P257&lt;10,"5 ≤ Cor &lt; 10 uC",IF(P257&lt;15,"10 ≤ Cor &lt;15 uC",IF(P257&lt;30,"15 ≤ Cor &lt; 30 uC",IF(P257&lt;50,"30 ≤ Cor &lt; 50 uC","Cor &gt; 50 uC"))))))</f>
        <v>10 ≤ Cor &lt;15 uC</v>
      </c>
      <c r="BB257" s="137" t="str">
        <f>IF(O257="","",IF(O257&lt;2.5,"Turbidez &lt; 2,5 uT",IF(O257&lt;5,"2,5 ≤ Turb &lt; 5,0 uT",IF(O257&lt;7.5,"5,0 ≤ Turb &lt; 7,5 uT",IF(O257&lt;10,"7,5 ≤ Turb &lt; 10,0 uT",IF(O257&lt;15,"10,0 ≤ Turb &lt; 15,0 uT","Turb &gt; 15 uT"))))))</f>
        <v>Turbidez &lt; 2,5 uT</v>
      </c>
      <c r="BC257" s="138" t="str">
        <f>IF(AND(C257&gt;D257,D257&gt;E257),"TOR &gt; SM &gt; BNN",IF(AND(C257&gt;E257,E257&gt;D257),"TOR &gt; BNN &gt; SM",IF(AND(D257&gt;C257,C257&gt;E257),"SM &gt; TOR &gt; BNN",IF(AND(D257&gt;E257,E257&gt;C257),"SM &gt; BNN &gt; TOR",IF(AND(C257=D257,D257=E257),"TOR = SM = BNN","Comb. diferentes")))))</f>
        <v>SM &gt; TOR &gt; BNN</v>
      </c>
      <c r="BD257" s="137" t="str">
        <f>IF(OR(AE257="",AQ257="-"),"",IF(AE257&lt;=0.25,"Tipo 1 (≤0,25) uT",IF(AE257&lt;=0.5,"Tipo 2 (0,25-0,50) uT",IF(AE257&lt;=0.75,"Tipo 3 (0,50-0,75) uT","Tipo 4 (&gt;0,75) uT"))))</f>
        <v>Tipo 1 (≤0,25) uT</v>
      </c>
      <c r="BE257" s="137" t="str">
        <f t="shared" si="21"/>
        <v>Tipo 1 (≤0,25) uT</v>
      </c>
      <c r="BF257" s="137" t="str">
        <f>IF(OR(AF257="",AQ257="-"),"",IF(AF257&lt;=0.25,"Tipo 1 (≤0,25) uT",IF(AF257&lt;=0.5,"Tipo 2 (0,25-0,50) uT",IF(AF257&lt;=0.75,"Tipo 3 (0,50-0,75) uT","Tipo 4 (&gt;0,75) uT"))))</f>
        <v>Tipo 1 (≤0,25) uT</v>
      </c>
      <c r="BG257" s="137" t="str">
        <f t="shared" si="22"/>
        <v>Tipo 1 (≤0,25) uT</v>
      </c>
      <c r="BH257" s="137" t="str">
        <f>IF(OR(R257="",R257="-"),"",IF(R257&lt;=0.25,"Tipo 1 (≤0,25) uT",IF(R257&lt;=0.5,"Tipo 2 (0,25-0,50) uT",IF(R257&lt;=0.75,"Tipo 3 (0,50-0,75) uT","Tipo 4 (&gt;0,75) uT"))))</f>
        <v>Tipo 1 (≤0,25) uT</v>
      </c>
    </row>
    <row r="258" spans="1:60" x14ac:dyDescent="0.3">
      <c r="A258" s="74">
        <v>46287</v>
      </c>
      <c r="B258" s="139">
        <v>0.39583333333333331</v>
      </c>
      <c r="C258" s="116">
        <v>346</v>
      </c>
      <c r="D258" s="116">
        <v>1674</v>
      </c>
      <c r="E258" s="116">
        <v>198</v>
      </c>
      <c r="F258" s="116">
        <v>2171</v>
      </c>
      <c r="G258" s="144" t="s">
        <v>100</v>
      </c>
      <c r="H258" s="122">
        <v>9.1999999999999993</v>
      </c>
      <c r="I258" s="116">
        <v>94</v>
      </c>
      <c r="J258" s="10">
        <v>90</v>
      </c>
      <c r="K258" s="116">
        <v>90</v>
      </c>
      <c r="L258" s="116">
        <v>90</v>
      </c>
      <c r="M258" s="122">
        <v>25</v>
      </c>
      <c r="N258" s="122">
        <v>6.3</v>
      </c>
      <c r="O258" s="79">
        <v>1.56</v>
      </c>
      <c r="P258" s="116">
        <v>11</v>
      </c>
      <c r="Q258" s="122">
        <v>6.2</v>
      </c>
      <c r="R258" s="10">
        <v>0.13</v>
      </c>
      <c r="S258" s="79">
        <v>22.36</v>
      </c>
      <c r="T258" s="79">
        <v>0.88</v>
      </c>
      <c r="U258" s="79">
        <v>0.7</v>
      </c>
      <c r="V258" s="85">
        <f t="shared" si="23"/>
        <v>1715.0900000000001</v>
      </c>
      <c r="W258" s="85">
        <f t="shared" si="24"/>
        <v>1491.1839279999999</v>
      </c>
      <c r="X258" s="85">
        <f t="shared" si="25"/>
        <v>0.86944937466838468</v>
      </c>
      <c r="Y258" s="116">
        <v>3</v>
      </c>
      <c r="Z258" s="116">
        <v>4</v>
      </c>
      <c r="AA258" s="122">
        <v>6.1</v>
      </c>
      <c r="AB258" s="116">
        <v>20</v>
      </c>
      <c r="AC258" s="122">
        <v>6.1</v>
      </c>
      <c r="AD258" s="122">
        <v>4.2</v>
      </c>
      <c r="AE258" s="79">
        <v>0.16</v>
      </c>
      <c r="AF258" s="79">
        <v>0.16</v>
      </c>
      <c r="AG258" s="85">
        <f>(O258+0.3*H258+2)*(F258/2/AK258)</f>
        <v>1715.0900000000001</v>
      </c>
      <c r="AH258" s="85">
        <f t="shared" si="26"/>
        <v>1708.2758263999997</v>
      </c>
      <c r="AI258" s="85">
        <f t="shared" si="27"/>
        <v>0.99602692943227444</v>
      </c>
      <c r="AJ258" s="116">
        <v>3</v>
      </c>
      <c r="AK258" s="116">
        <v>4</v>
      </c>
      <c r="AL258" s="122">
        <v>6.3</v>
      </c>
      <c r="AM258" s="116">
        <v>22</v>
      </c>
      <c r="AN258" s="122">
        <v>6</v>
      </c>
      <c r="AO258" s="122">
        <v>4.4000000000000004</v>
      </c>
      <c r="AP258" s="79">
        <v>0.13</v>
      </c>
      <c r="AQ258" s="79">
        <v>0.17</v>
      </c>
      <c r="AR258" s="132">
        <f>SUM(C258:E258)</f>
        <v>2218</v>
      </c>
      <c r="AS258" s="134">
        <f>C258/AR258</f>
        <v>0.15599639314697927</v>
      </c>
      <c r="AT258" s="134">
        <f>D258/AR258</f>
        <v>0.75473399458972046</v>
      </c>
      <c r="AU258" s="134">
        <f>E258/AR258</f>
        <v>8.9269612263300269E-2</v>
      </c>
      <c r="AV258" s="151">
        <f>IF(AND(F258&lt;&gt;"",Z258&lt;&gt;""),AB258/(F258/2/Z258),"")</f>
        <v>7.3698756333486867E-2</v>
      </c>
      <c r="AW258" s="151">
        <f>IF(AND(F258&lt;&gt;"",AK258&lt;&gt;""),AM258/(F258/2/AK258),"")</f>
        <v>8.1068631966835558E-2</v>
      </c>
      <c r="AX258" s="41">
        <f>IF(AND(AQ258&lt;&gt;"",1-(AQ258/O258)&gt;0),1-(AQ258/O258),"")</f>
        <v>0.89102564102564097</v>
      </c>
      <c r="AY258" s="41">
        <f>IF(AND(AF258&lt;&gt;"",1-(AF258/O258)&gt;0),1-(AF258/O258),"")</f>
        <v>0.89743589743589747</v>
      </c>
      <c r="AZ258" s="136" t="str">
        <f>IF(Q258="","",IF(Q258&lt;2.5,"Alc. Bruta &lt; 2,5 mg/L",IF(Q258&lt;5,"2,5 ≤ Alc. Bruta &lt; 5,0 mg/L",IF(Q258&lt;7.5,"5,0 ≤ Alc. Bruta &lt; 7,5 mg/L",IF(Q258&lt;10,"7,5 ≤ Alc. Bruta &lt; 10,0 mg/L",IF(Q258&lt;15,"10,0 ≤ Alca. Bruta &lt; 15,0 mg/L","Alc. Bruta &gt; 15 mg/L"))))))</f>
        <v>5,0 ≤ Alc. Bruta &lt; 7,5 mg/L</v>
      </c>
      <c r="BA258" s="136" t="str">
        <f>IF(P258="","",IF(P258&lt;5,"Cor &lt;5 uC",IF(P258&lt;10,"5 ≤ Cor &lt; 10 uC",IF(P258&lt;15,"10 ≤ Cor &lt;15 uC",IF(P258&lt;30,"15 ≤ Cor &lt; 30 uC",IF(P258&lt;50,"30 ≤ Cor &lt; 50 uC","Cor &gt; 50 uC"))))))</f>
        <v>10 ≤ Cor &lt;15 uC</v>
      </c>
      <c r="BB258" s="137" t="str">
        <f>IF(O258="","",IF(O258&lt;2.5,"Turbidez &lt; 2,5 uT",IF(O258&lt;5,"2,5 ≤ Turb &lt; 5,0 uT",IF(O258&lt;7.5,"5,0 ≤ Turb &lt; 7,5 uT",IF(O258&lt;10,"7,5 ≤ Turb &lt; 10,0 uT",IF(O258&lt;15,"10,0 ≤ Turb &lt; 15,0 uT","Turb &gt; 15 uT"))))))</f>
        <v>Turbidez &lt; 2,5 uT</v>
      </c>
      <c r="BC258" s="138" t="str">
        <f>IF(AND(C258&gt;D258,D258&gt;E258),"TOR &gt; SM &gt; BNN",IF(AND(C258&gt;E258,E258&gt;D258),"TOR &gt; BNN &gt; SM",IF(AND(D258&gt;C258,C258&gt;E258),"SM &gt; TOR &gt; BNN",IF(AND(D258&gt;E258,E258&gt;C258),"SM &gt; BNN &gt; TOR",IF(AND(C258=D258,D258=E258),"TOR = SM = BNN","Comb. diferentes")))))</f>
        <v>SM &gt; TOR &gt; BNN</v>
      </c>
      <c r="BD258" s="137" t="str">
        <f>IF(OR(AE258="",AQ258="-"),"",IF(AE258&lt;=0.25,"Tipo 1 (≤0,25) uT",IF(AE258&lt;=0.5,"Tipo 2 (0,25-0,50) uT",IF(AE258&lt;=0.75,"Tipo 3 (0,50-0,75) uT","Tipo 4 (&gt;0,75) uT"))))</f>
        <v>Tipo 1 (≤0,25) uT</v>
      </c>
      <c r="BE258" s="137" t="str">
        <f t="shared" ref="BE258:BE321" si="28">IF(OR(AP258="",AZ258="-"),"",IF(AP258&lt;=0.25,"Tipo 1 (≤0,25) uT",IF(AP258&lt;=0.5,"Tipo 2 (0,25-0,50) uT",IF(AP258&lt;=0.75,"Tipo 3 (0,50-0,75) uT","Tipo 4 (&gt;0,75) uT"))))</f>
        <v>Tipo 1 (≤0,25) uT</v>
      </c>
      <c r="BF258" s="137" t="str">
        <f>IF(OR(AF258="",AQ258="-"),"",IF(AF258&lt;=0.25,"Tipo 1 (≤0,25) uT",IF(AF258&lt;=0.5,"Tipo 2 (0,25-0,50) uT",IF(AF258&lt;=0.75,"Tipo 3 (0,50-0,75) uT","Tipo 4 (&gt;0,75) uT"))))</f>
        <v>Tipo 1 (≤0,25) uT</v>
      </c>
      <c r="BG258" s="137" t="str">
        <f t="shared" ref="BG258:BG321" si="29">IF(OR(AQ258="",AQ258="-"),"",IF(AQ258&lt;=0.25,"Tipo 1 (≤0,25) uT",IF(AQ258&lt;=0.5,"Tipo 2 (0,25-0,50) uT",IF(AQ258&lt;=0.75,"Tipo 3 (0,50-0,75) uT","Tipo 4 (&gt;0,75) uT"))))</f>
        <v>Tipo 1 (≤0,25) uT</v>
      </c>
      <c r="BH258" s="137" t="str">
        <f>IF(OR(R258="",R258="-"),"",IF(R258&lt;=0.25,"Tipo 1 (≤0,25) uT",IF(R258&lt;=0.5,"Tipo 2 (0,25-0,50) uT",IF(R258&lt;=0.75,"Tipo 3 (0,50-0,75) uT","Tipo 4 (&gt;0,75) uT"))))</f>
        <v>Tipo 1 (≤0,25) uT</v>
      </c>
    </row>
    <row r="259" spans="1:60" x14ac:dyDescent="0.3">
      <c r="A259" s="74">
        <v>46287</v>
      </c>
      <c r="B259" s="139">
        <v>0.47916666666666669</v>
      </c>
      <c r="C259" s="116">
        <v>340</v>
      </c>
      <c r="D259" s="116">
        <v>1680</v>
      </c>
      <c r="E259" s="116">
        <v>199</v>
      </c>
      <c r="F259" s="116">
        <v>2175</v>
      </c>
      <c r="G259" s="144" t="s">
        <v>100</v>
      </c>
      <c r="H259" s="122">
        <v>9.1999999999999993</v>
      </c>
      <c r="I259" s="116">
        <v>3.8</v>
      </c>
      <c r="J259" s="10">
        <v>90</v>
      </c>
      <c r="K259" s="116">
        <v>90</v>
      </c>
      <c r="L259" s="116">
        <v>90</v>
      </c>
      <c r="M259" s="122">
        <v>25.4</v>
      </c>
      <c r="N259" s="122">
        <v>5.3</v>
      </c>
      <c r="O259" s="79">
        <v>1.49</v>
      </c>
      <c r="P259" s="116">
        <v>11</v>
      </c>
      <c r="Q259" s="122">
        <v>6.5</v>
      </c>
      <c r="R259" s="10">
        <v>0.17</v>
      </c>
      <c r="S259" s="79">
        <v>22.36</v>
      </c>
      <c r="T259" s="79">
        <v>0.88</v>
      </c>
      <c r="U259" s="79">
        <v>0.7</v>
      </c>
      <c r="V259" s="85">
        <f t="shared" ref="V259:V322" si="30">(O259+0.3*H259+2)*(F259/2/Z259)</f>
        <v>1699.21875</v>
      </c>
      <c r="W259" s="85">
        <f t="shared" ref="W259:W322" si="31">S259*(U259*AA259*0.987-T259)*AB259</f>
        <v>1491.1839279999999</v>
      </c>
      <c r="X259" s="85">
        <f t="shared" ref="X259:X322" si="32">W259/V259</f>
        <v>0.87757031165057464</v>
      </c>
      <c r="Y259" s="116">
        <v>3</v>
      </c>
      <c r="Z259" s="116">
        <v>4</v>
      </c>
      <c r="AA259" s="122">
        <v>6.1</v>
      </c>
      <c r="AB259" s="116">
        <v>20</v>
      </c>
      <c r="AC259" s="122">
        <v>6.1</v>
      </c>
      <c r="AD259" s="122">
        <v>4.2</v>
      </c>
      <c r="AE259" s="79">
        <v>0.16</v>
      </c>
      <c r="AF259" s="79">
        <v>0.2</v>
      </c>
      <c r="AG259" s="85">
        <f>(O259+0.3*H259+2)*(F259/2/AK259)</f>
        <v>1699.21875</v>
      </c>
      <c r="AH259" s="85">
        <f t="shared" ref="AH259:AH322" si="33">S259*(U259*AL259*0.987-T259)*AM259</f>
        <v>1708.2758263999997</v>
      </c>
      <c r="AI259" s="85">
        <f t="shared" ref="AI259:AI322" si="34">AH259/AG259</f>
        <v>1.0053301415135629</v>
      </c>
      <c r="AJ259" s="116">
        <v>3</v>
      </c>
      <c r="AK259" s="116">
        <v>4</v>
      </c>
      <c r="AL259" s="122">
        <v>6.3</v>
      </c>
      <c r="AM259" s="116">
        <v>22</v>
      </c>
      <c r="AN259" s="122">
        <v>6.1</v>
      </c>
      <c r="AO259" s="122">
        <v>4.4000000000000004</v>
      </c>
      <c r="AP259" s="79">
        <v>0.13</v>
      </c>
      <c r="AQ259" s="79">
        <v>0.18</v>
      </c>
      <c r="AR259" s="132">
        <f>SUM(C259:E259)</f>
        <v>2219</v>
      </c>
      <c r="AS259" s="134">
        <f>C259/AR259</f>
        <v>0.15322217214961695</v>
      </c>
      <c r="AT259" s="134">
        <f>D259/AR259</f>
        <v>0.75709779179810721</v>
      </c>
      <c r="AU259" s="134">
        <f>E259/AR259</f>
        <v>8.9680036052275799E-2</v>
      </c>
      <c r="AV259" s="151">
        <f>IF(AND(F259&lt;&gt;"",Z259&lt;&gt;""),AB259/(F259/2/Z259),"")</f>
        <v>7.3563218390804597E-2</v>
      </c>
      <c r="AW259" s="151">
        <f>IF(AND(F259&lt;&gt;"",AK259&lt;&gt;""),AM259/(F259/2/AK259),"")</f>
        <v>8.0919540229885054E-2</v>
      </c>
      <c r="AX259" s="41">
        <f>IF(AND(AQ259&lt;&gt;"",1-(AQ259/O259)&gt;0),1-(AQ259/O259),"")</f>
        <v>0.87919463087248317</v>
      </c>
      <c r="AY259" s="41">
        <f>IF(AND(AF259&lt;&gt;"",1-(AF259/O259)&gt;0),1-(AF259/O259),"")</f>
        <v>0.86577181208053688</v>
      </c>
      <c r="AZ259" s="136" t="str">
        <f>IF(Q259="","",IF(Q259&lt;2.5,"Alc. Bruta &lt; 2,5 mg/L",IF(Q259&lt;5,"2,5 ≤ Alc. Bruta &lt; 5,0 mg/L",IF(Q259&lt;7.5,"5,0 ≤ Alc. Bruta &lt; 7,5 mg/L",IF(Q259&lt;10,"7,5 ≤ Alc. Bruta &lt; 10,0 mg/L",IF(Q259&lt;15,"10,0 ≤ Alca. Bruta &lt; 15,0 mg/L","Alc. Bruta &gt; 15 mg/L"))))))</f>
        <v>5,0 ≤ Alc. Bruta &lt; 7,5 mg/L</v>
      </c>
      <c r="BA259" s="136" t="str">
        <f>IF(P259="","",IF(P259&lt;5,"Cor &lt;5 uC",IF(P259&lt;10,"5 ≤ Cor &lt; 10 uC",IF(P259&lt;15,"10 ≤ Cor &lt;15 uC",IF(P259&lt;30,"15 ≤ Cor &lt; 30 uC",IF(P259&lt;50,"30 ≤ Cor &lt; 50 uC","Cor &gt; 50 uC"))))))</f>
        <v>10 ≤ Cor &lt;15 uC</v>
      </c>
      <c r="BB259" s="137" t="str">
        <f>IF(O259="","",IF(O259&lt;2.5,"Turbidez &lt; 2,5 uT",IF(O259&lt;5,"2,5 ≤ Turb &lt; 5,0 uT",IF(O259&lt;7.5,"5,0 ≤ Turb &lt; 7,5 uT",IF(O259&lt;10,"7,5 ≤ Turb &lt; 10,0 uT",IF(O259&lt;15,"10,0 ≤ Turb &lt; 15,0 uT","Turb &gt; 15 uT"))))))</f>
        <v>Turbidez &lt; 2,5 uT</v>
      </c>
      <c r="BC259" s="138" t="str">
        <f>IF(AND(C259&gt;D259,D259&gt;E259),"TOR &gt; SM &gt; BNN",IF(AND(C259&gt;E259,E259&gt;D259),"TOR &gt; BNN &gt; SM",IF(AND(D259&gt;C259,C259&gt;E259),"SM &gt; TOR &gt; BNN",IF(AND(D259&gt;E259,E259&gt;C259),"SM &gt; BNN &gt; TOR",IF(AND(C259=D259,D259=E259),"TOR = SM = BNN","Comb. diferentes")))))</f>
        <v>SM &gt; TOR &gt; BNN</v>
      </c>
      <c r="BD259" s="137" t="str">
        <f>IF(OR(AE259="",AQ259="-"),"",IF(AE259&lt;=0.25,"Tipo 1 (≤0,25) uT",IF(AE259&lt;=0.5,"Tipo 2 (0,25-0,50) uT",IF(AE259&lt;=0.75,"Tipo 3 (0,50-0,75) uT","Tipo 4 (&gt;0,75) uT"))))</f>
        <v>Tipo 1 (≤0,25) uT</v>
      </c>
      <c r="BE259" s="137" t="str">
        <f t="shared" si="28"/>
        <v>Tipo 1 (≤0,25) uT</v>
      </c>
      <c r="BF259" s="137" t="str">
        <f>IF(OR(AF259="",AQ259="-"),"",IF(AF259&lt;=0.25,"Tipo 1 (≤0,25) uT",IF(AF259&lt;=0.5,"Tipo 2 (0,25-0,50) uT",IF(AF259&lt;=0.75,"Tipo 3 (0,50-0,75) uT","Tipo 4 (&gt;0,75) uT"))))</f>
        <v>Tipo 1 (≤0,25) uT</v>
      </c>
      <c r="BG259" s="137" t="str">
        <f t="shared" si="29"/>
        <v>Tipo 1 (≤0,25) uT</v>
      </c>
      <c r="BH259" s="137" t="str">
        <f>IF(OR(R259="",R259="-"),"",IF(R259&lt;=0.25,"Tipo 1 (≤0,25) uT",IF(R259&lt;=0.5,"Tipo 2 (0,25-0,50) uT",IF(R259&lt;=0.75,"Tipo 3 (0,50-0,75) uT","Tipo 4 (&gt;0,75) uT"))))</f>
        <v>Tipo 1 (≤0,25) uT</v>
      </c>
    </row>
    <row r="260" spans="1:60" x14ac:dyDescent="0.3">
      <c r="A260" s="74">
        <v>46287</v>
      </c>
      <c r="B260" s="139">
        <v>0.64583333333333337</v>
      </c>
      <c r="C260" s="116">
        <v>349</v>
      </c>
      <c r="D260" s="116">
        <v>1647</v>
      </c>
      <c r="E260" s="116">
        <v>200</v>
      </c>
      <c r="F260" s="116">
        <v>2163</v>
      </c>
      <c r="G260" s="144" t="s">
        <v>100</v>
      </c>
      <c r="H260" s="122">
        <v>9.1999999999999993</v>
      </c>
      <c r="I260" s="116">
        <v>74</v>
      </c>
      <c r="J260" s="10">
        <v>90</v>
      </c>
      <c r="K260" s="116">
        <v>90</v>
      </c>
      <c r="L260" s="116">
        <v>90</v>
      </c>
      <c r="M260" s="122">
        <v>27.5</v>
      </c>
      <c r="N260" s="122">
        <v>6.4</v>
      </c>
      <c r="O260" s="79">
        <v>1.33</v>
      </c>
      <c r="P260" s="116">
        <v>10</v>
      </c>
      <c r="Q260" s="122">
        <v>5.5</v>
      </c>
      <c r="R260" s="10">
        <v>0.13</v>
      </c>
      <c r="S260" s="79">
        <v>22.36</v>
      </c>
      <c r="T260" s="79">
        <v>0.88</v>
      </c>
      <c r="U260" s="79">
        <v>0.7</v>
      </c>
      <c r="V260" s="85">
        <f t="shared" si="30"/>
        <v>1646.58375</v>
      </c>
      <c r="W260" s="85">
        <f t="shared" si="31"/>
        <v>1522.080976</v>
      </c>
      <c r="X260" s="85">
        <f t="shared" si="32"/>
        <v>0.9243872205103445</v>
      </c>
      <c r="Y260" s="116">
        <v>3</v>
      </c>
      <c r="Z260" s="116">
        <v>4</v>
      </c>
      <c r="AA260" s="122">
        <v>6.2</v>
      </c>
      <c r="AB260" s="116">
        <v>20</v>
      </c>
      <c r="AC260" s="122">
        <v>6.1</v>
      </c>
      <c r="AD260" s="122">
        <v>3.9</v>
      </c>
      <c r="AE260" s="79">
        <v>0.14000000000000001</v>
      </c>
      <c r="AF260" s="79">
        <v>0.11</v>
      </c>
      <c r="AG260" s="85">
        <f>(O260+0.3*H260+2)*(F260/2/AK260)</f>
        <v>1646.58375</v>
      </c>
      <c r="AH260" s="85">
        <f t="shared" si="33"/>
        <v>1708.2758263999997</v>
      </c>
      <c r="AI260" s="85">
        <f t="shared" si="34"/>
        <v>1.0374667103328328</v>
      </c>
      <c r="AJ260" s="116">
        <v>3</v>
      </c>
      <c r="AK260" s="116">
        <v>4</v>
      </c>
      <c r="AL260" s="122">
        <v>6.3</v>
      </c>
      <c r="AM260" s="116">
        <v>22</v>
      </c>
      <c r="AN260" s="122">
        <v>6.2</v>
      </c>
      <c r="AO260" s="122">
        <v>4.9000000000000004</v>
      </c>
      <c r="AP260" s="79">
        <v>0.13</v>
      </c>
      <c r="AQ260" s="79">
        <v>0.17</v>
      </c>
      <c r="AR260" s="132">
        <f>SUM(C260:E260)</f>
        <v>2196</v>
      </c>
      <c r="AS260" s="134">
        <f>C260/AR260</f>
        <v>0.15892531876138433</v>
      </c>
      <c r="AT260" s="134">
        <f>D260/AR260</f>
        <v>0.75</v>
      </c>
      <c r="AU260" s="134">
        <f>E260/AR260</f>
        <v>9.107468123861566E-2</v>
      </c>
      <c r="AV260" s="151">
        <f>IF(AND(F260&lt;&gt;"",Z260&lt;&gt;""),AB260/(F260/2/Z260),"")</f>
        <v>7.3971336107258437E-2</v>
      </c>
      <c r="AW260" s="151">
        <f>IF(AND(F260&lt;&gt;"",AK260&lt;&gt;""),AM260/(F260/2/AK260),"")</f>
        <v>8.1368469717984282E-2</v>
      </c>
      <c r="AX260" s="41">
        <f>IF(AND(AQ260&lt;&gt;"",1-(AQ260/O260)&gt;0),1-(AQ260/O260),"")</f>
        <v>0.8721804511278195</v>
      </c>
      <c r="AY260" s="41">
        <f>IF(AND(AF260&lt;&gt;"",1-(AF260/O260)&gt;0),1-(AF260/O260),"")</f>
        <v>0.91729323308270683</v>
      </c>
      <c r="AZ260" s="136" t="str">
        <f>IF(Q260="","",IF(Q260&lt;2.5,"Alc. Bruta &lt; 2,5 mg/L",IF(Q260&lt;5,"2,5 ≤ Alc. Bruta &lt; 5,0 mg/L",IF(Q260&lt;7.5,"5,0 ≤ Alc. Bruta &lt; 7,5 mg/L",IF(Q260&lt;10,"7,5 ≤ Alc. Bruta &lt; 10,0 mg/L",IF(Q260&lt;15,"10,0 ≤ Alca. Bruta &lt; 15,0 mg/L","Alc. Bruta &gt; 15 mg/L"))))))</f>
        <v>5,0 ≤ Alc. Bruta &lt; 7,5 mg/L</v>
      </c>
      <c r="BA260" s="136" t="str">
        <f>IF(P260="","",IF(P260&lt;5,"Cor &lt;5 uC",IF(P260&lt;10,"5 ≤ Cor &lt; 10 uC",IF(P260&lt;15,"10 ≤ Cor &lt;15 uC",IF(P260&lt;30,"15 ≤ Cor &lt; 30 uC",IF(P260&lt;50,"30 ≤ Cor &lt; 50 uC","Cor &gt; 50 uC"))))))</f>
        <v>10 ≤ Cor &lt;15 uC</v>
      </c>
      <c r="BB260" s="137" t="str">
        <f>IF(O260="","",IF(O260&lt;2.5,"Turbidez &lt; 2,5 uT",IF(O260&lt;5,"2,5 ≤ Turb &lt; 5,0 uT",IF(O260&lt;7.5,"5,0 ≤ Turb &lt; 7,5 uT",IF(O260&lt;10,"7,5 ≤ Turb &lt; 10,0 uT",IF(O260&lt;15,"10,0 ≤ Turb &lt; 15,0 uT","Turb &gt; 15 uT"))))))</f>
        <v>Turbidez &lt; 2,5 uT</v>
      </c>
      <c r="BC260" s="138" t="str">
        <f>IF(AND(C260&gt;D260,D260&gt;E260),"TOR &gt; SM &gt; BNN",IF(AND(C260&gt;E260,E260&gt;D260),"TOR &gt; BNN &gt; SM",IF(AND(D260&gt;C260,C260&gt;E260),"SM &gt; TOR &gt; BNN",IF(AND(D260&gt;E260,E260&gt;C260),"SM &gt; BNN &gt; TOR",IF(AND(C260=D260,D260=E260),"TOR = SM = BNN","Comb. diferentes")))))</f>
        <v>SM &gt; TOR &gt; BNN</v>
      </c>
      <c r="BD260" s="137" t="str">
        <f>IF(OR(AE260="",AQ260="-"),"",IF(AE260&lt;=0.25,"Tipo 1 (≤0,25) uT",IF(AE260&lt;=0.5,"Tipo 2 (0,25-0,50) uT",IF(AE260&lt;=0.75,"Tipo 3 (0,50-0,75) uT","Tipo 4 (&gt;0,75) uT"))))</f>
        <v>Tipo 1 (≤0,25) uT</v>
      </c>
      <c r="BE260" s="137" t="str">
        <f t="shared" si="28"/>
        <v>Tipo 1 (≤0,25) uT</v>
      </c>
      <c r="BF260" s="137" t="str">
        <f>IF(OR(AF260="",AQ260="-"),"",IF(AF260&lt;=0.25,"Tipo 1 (≤0,25) uT",IF(AF260&lt;=0.5,"Tipo 2 (0,25-0,50) uT",IF(AF260&lt;=0.75,"Tipo 3 (0,50-0,75) uT","Tipo 4 (&gt;0,75) uT"))))</f>
        <v>Tipo 1 (≤0,25) uT</v>
      </c>
      <c r="BG260" s="137" t="str">
        <f t="shared" si="29"/>
        <v>Tipo 1 (≤0,25) uT</v>
      </c>
      <c r="BH260" s="137" t="str">
        <f>IF(OR(R260="",R260="-"),"",IF(R260&lt;=0.25,"Tipo 1 (≤0,25) uT",IF(R260&lt;=0.5,"Tipo 2 (0,25-0,50) uT",IF(R260&lt;=0.75,"Tipo 3 (0,50-0,75) uT","Tipo 4 (&gt;0,75) uT"))))</f>
        <v>Tipo 1 (≤0,25) uT</v>
      </c>
    </row>
    <row r="261" spans="1:60" x14ac:dyDescent="0.3">
      <c r="A261" s="74">
        <v>46287</v>
      </c>
      <c r="B261" s="139">
        <v>0.8125</v>
      </c>
      <c r="C261" s="116">
        <v>333</v>
      </c>
      <c r="D261" s="116">
        <v>1679</v>
      </c>
      <c r="E261" s="116">
        <v>200</v>
      </c>
      <c r="F261" s="116">
        <v>2193</v>
      </c>
      <c r="G261" s="144" t="s">
        <v>100</v>
      </c>
      <c r="H261" s="122">
        <v>10</v>
      </c>
      <c r="I261" s="116">
        <v>66.8</v>
      </c>
      <c r="J261" s="10">
        <v>90</v>
      </c>
      <c r="K261" s="116">
        <v>90</v>
      </c>
      <c r="L261" s="116">
        <v>90</v>
      </c>
      <c r="M261" s="122">
        <v>26.9</v>
      </c>
      <c r="N261" s="122">
        <v>6.4</v>
      </c>
      <c r="O261" s="79">
        <v>1.35</v>
      </c>
      <c r="P261" s="116">
        <v>9</v>
      </c>
      <c r="Q261" s="122">
        <v>6.4</v>
      </c>
      <c r="R261" s="10">
        <v>0.19</v>
      </c>
      <c r="S261" s="79">
        <v>22.36</v>
      </c>
      <c r="T261" s="79">
        <v>0.88</v>
      </c>
      <c r="U261" s="79">
        <v>0.7</v>
      </c>
      <c r="V261" s="85">
        <f t="shared" si="30"/>
        <v>1740.6937499999999</v>
      </c>
      <c r="W261" s="85">
        <f t="shared" si="31"/>
        <v>1575.35381016</v>
      </c>
      <c r="X261" s="85">
        <f t="shared" si="32"/>
        <v>0.90501491727651695</v>
      </c>
      <c r="Y261" s="116">
        <v>3</v>
      </c>
      <c r="Z261" s="116">
        <v>4</v>
      </c>
      <c r="AA261" s="122">
        <v>6.2</v>
      </c>
      <c r="AB261" s="116">
        <v>20.7</v>
      </c>
      <c r="AC261" s="122">
        <v>6.1</v>
      </c>
      <c r="AD261" s="122">
        <v>4.3</v>
      </c>
      <c r="AE261" s="79">
        <v>0.22</v>
      </c>
      <c r="AF261" s="79">
        <v>0.15</v>
      </c>
      <c r="AG261" s="85">
        <f>(O261+0.3*H261+2)*(F261/2/AK261)</f>
        <v>1740.6937499999999</v>
      </c>
      <c r="AH261" s="85">
        <f t="shared" si="33"/>
        <v>1789.7788313599999</v>
      </c>
      <c r="AI261" s="85">
        <f t="shared" si="34"/>
        <v>1.0281985739076733</v>
      </c>
      <c r="AJ261" s="116">
        <v>3</v>
      </c>
      <c r="AK261" s="116">
        <v>4</v>
      </c>
      <c r="AL261" s="122">
        <v>6.4</v>
      </c>
      <c r="AM261" s="116">
        <v>22.6</v>
      </c>
      <c r="AN261" s="122">
        <v>6.2</v>
      </c>
      <c r="AO261" s="122">
        <v>5.2</v>
      </c>
      <c r="AP261" s="79">
        <v>0.14000000000000001</v>
      </c>
      <c r="AQ261" s="79">
        <v>0.17</v>
      </c>
      <c r="AR261" s="132">
        <f>SUM(C261:E261)</f>
        <v>2212</v>
      </c>
      <c r="AS261" s="134">
        <f>C261/AR261</f>
        <v>0.15054249547920434</v>
      </c>
      <c r="AT261" s="134">
        <f>D261/AR261</f>
        <v>0.75904159132007232</v>
      </c>
      <c r="AU261" s="134">
        <f>E261/AR261</f>
        <v>9.0415913200723327E-2</v>
      </c>
      <c r="AV261" s="151">
        <f>IF(AND(F261&lt;&gt;"",Z261&lt;&gt;""),AB261/(F261/2/Z261),"")</f>
        <v>7.5512995896032831E-2</v>
      </c>
      <c r="AW261" s="151">
        <f>IF(AND(F261&lt;&gt;"",AK261&lt;&gt;""),AM261/(F261/2/AK261),"")</f>
        <v>8.2444140446876424E-2</v>
      </c>
      <c r="AX261" s="41">
        <f>IF(AND(AQ261&lt;&gt;"",1-(AQ261/O261)&gt;0),1-(AQ261/O261),"")</f>
        <v>0.87407407407407411</v>
      </c>
      <c r="AY261" s="41">
        <f>IF(AND(AF261&lt;&gt;"",1-(AF261/O261)&gt;0),1-(AF261/O261),"")</f>
        <v>0.88888888888888884</v>
      </c>
      <c r="AZ261" s="136" t="str">
        <f>IF(Q261="","",IF(Q261&lt;2.5,"Alc. Bruta &lt; 2,5 mg/L",IF(Q261&lt;5,"2,5 ≤ Alc. Bruta &lt; 5,0 mg/L",IF(Q261&lt;7.5,"5,0 ≤ Alc. Bruta &lt; 7,5 mg/L",IF(Q261&lt;10,"7,5 ≤ Alc. Bruta &lt; 10,0 mg/L",IF(Q261&lt;15,"10,0 ≤ Alca. Bruta &lt; 15,0 mg/L","Alc. Bruta &gt; 15 mg/L"))))))</f>
        <v>5,0 ≤ Alc. Bruta &lt; 7,5 mg/L</v>
      </c>
      <c r="BA261" s="136" t="str">
        <f>IF(P261="","",IF(P261&lt;5,"Cor &lt;5 uC",IF(P261&lt;10,"5 ≤ Cor &lt; 10 uC",IF(P261&lt;15,"10 ≤ Cor &lt;15 uC",IF(P261&lt;30,"15 ≤ Cor &lt; 30 uC",IF(P261&lt;50,"30 ≤ Cor &lt; 50 uC","Cor &gt; 50 uC"))))))</f>
        <v>5 ≤ Cor &lt; 10 uC</v>
      </c>
      <c r="BB261" s="137" t="str">
        <f>IF(O261="","",IF(O261&lt;2.5,"Turbidez &lt; 2,5 uT",IF(O261&lt;5,"2,5 ≤ Turb &lt; 5,0 uT",IF(O261&lt;7.5,"5,0 ≤ Turb &lt; 7,5 uT",IF(O261&lt;10,"7,5 ≤ Turb &lt; 10,0 uT",IF(O261&lt;15,"10,0 ≤ Turb &lt; 15,0 uT","Turb &gt; 15 uT"))))))</f>
        <v>Turbidez &lt; 2,5 uT</v>
      </c>
      <c r="BC261" s="138" t="str">
        <f>IF(AND(C261&gt;D261,D261&gt;E261),"TOR &gt; SM &gt; BNN",IF(AND(C261&gt;E261,E261&gt;D261),"TOR &gt; BNN &gt; SM",IF(AND(D261&gt;C261,C261&gt;E261),"SM &gt; TOR &gt; BNN",IF(AND(D261&gt;E261,E261&gt;C261),"SM &gt; BNN &gt; TOR",IF(AND(C261=D261,D261=E261),"TOR = SM = BNN","Comb. diferentes")))))</f>
        <v>SM &gt; TOR &gt; BNN</v>
      </c>
      <c r="BD261" s="137" t="str">
        <f>IF(OR(AE261="",AQ261="-"),"",IF(AE261&lt;=0.25,"Tipo 1 (≤0,25) uT",IF(AE261&lt;=0.5,"Tipo 2 (0,25-0,50) uT",IF(AE261&lt;=0.75,"Tipo 3 (0,50-0,75) uT","Tipo 4 (&gt;0,75) uT"))))</f>
        <v>Tipo 1 (≤0,25) uT</v>
      </c>
      <c r="BE261" s="137" t="str">
        <f t="shared" si="28"/>
        <v>Tipo 1 (≤0,25) uT</v>
      </c>
      <c r="BF261" s="137" t="str">
        <f>IF(OR(AF261="",AQ261="-"),"",IF(AF261&lt;=0.25,"Tipo 1 (≤0,25) uT",IF(AF261&lt;=0.5,"Tipo 2 (0,25-0,50) uT",IF(AF261&lt;=0.75,"Tipo 3 (0,50-0,75) uT","Tipo 4 (&gt;0,75) uT"))))</f>
        <v>Tipo 1 (≤0,25) uT</v>
      </c>
      <c r="BG261" s="137" t="str">
        <f t="shared" si="29"/>
        <v>Tipo 1 (≤0,25) uT</v>
      </c>
      <c r="BH261" s="137" t="str">
        <f>IF(OR(R261="",R261="-"),"",IF(R261&lt;=0.25,"Tipo 1 (≤0,25) uT",IF(R261&lt;=0.5,"Tipo 2 (0,25-0,50) uT",IF(R261&lt;=0.75,"Tipo 3 (0,50-0,75) uT","Tipo 4 (&gt;0,75) uT"))))</f>
        <v>Tipo 1 (≤0,25) uT</v>
      </c>
    </row>
    <row r="262" spans="1:60" x14ac:dyDescent="0.3">
      <c r="A262" s="74">
        <v>46287</v>
      </c>
      <c r="B262" s="139">
        <v>0.89583333333333337</v>
      </c>
      <c r="C262" s="116">
        <v>251</v>
      </c>
      <c r="D262" s="116">
        <v>1685</v>
      </c>
      <c r="E262" s="116">
        <v>199</v>
      </c>
      <c r="F262" s="116">
        <v>2201</v>
      </c>
      <c r="G262" s="144" t="s">
        <v>100</v>
      </c>
      <c r="H262" s="122">
        <v>9.1999999999999993</v>
      </c>
      <c r="I262" s="116">
        <v>30.1</v>
      </c>
      <c r="J262" s="10">
        <v>90</v>
      </c>
      <c r="K262" s="116">
        <v>90</v>
      </c>
      <c r="L262" s="116">
        <v>90</v>
      </c>
      <c r="M262" s="122">
        <v>26</v>
      </c>
      <c r="N262" s="122">
        <v>6.4</v>
      </c>
      <c r="O262" s="79">
        <v>1.47</v>
      </c>
      <c r="P262" s="116">
        <v>11</v>
      </c>
      <c r="Q262" s="122">
        <v>6.8</v>
      </c>
      <c r="R262" s="10">
        <v>0.18</v>
      </c>
      <c r="S262" s="79">
        <v>22.36</v>
      </c>
      <c r="T262" s="79">
        <v>0.88</v>
      </c>
      <c r="U262" s="79">
        <v>0.7</v>
      </c>
      <c r="V262" s="85">
        <f t="shared" si="30"/>
        <v>1714.0287499999999</v>
      </c>
      <c r="W262" s="85">
        <f t="shared" si="31"/>
        <v>1598.1850248000001</v>
      </c>
      <c r="X262" s="85">
        <f t="shared" si="32"/>
        <v>0.93241436282792811</v>
      </c>
      <c r="Y262" s="116">
        <v>3</v>
      </c>
      <c r="Z262" s="116">
        <v>4</v>
      </c>
      <c r="AA262" s="122">
        <v>6.2</v>
      </c>
      <c r="AB262" s="116">
        <v>21</v>
      </c>
      <c r="AC262" s="122">
        <v>6.1</v>
      </c>
      <c r="AD262" s="122">
        <v>4.5</v>
      </c>
      <c r="AE262" s="79">
        <v>0.21</v>
      </c>
      <c r="AF262" s="79">
        <v>0.17</v>
      </c>
      <c r="AG262" s="85">
        <f>(O262+0.3*H262+2)*(F262/2/AK262)</f>
        <v>1714.0287499999999</v>
      </c>
      <c r="AH262" s="85">
        <f t="shared" si="33"/>
        <v>1742.2625791999999</v>
      </c>
      <c r="AI262" s="85">
        <f t="shared" si="34"/>
        <v>1.0164722028145676</v>
      </c>
      <c r="AJ262" s="116">
        <v>3</v>
      </c>
      <c r="AK262" s="116">
        <v>4</v>
      </c>
      <c r="AL262" s="122">
        <v>6.4</v>
      </c>
      <c r="AM262" s="116">
        <v>22</v>
      </c>
      <c r="AN262" s="122">
        <v>6.1</v>
      </c>
      <c r="AO262" s="122">
        <v>4.9000000000000004</v>
      </c>
      <c r="AP262" s="79">
        <v>0.19</v>
      </c>
      <c r="AQ262" s="79">
        <v>0.17</v>
      </c>
      <c r="AR262" s="132">
        <f>SUM(C262:E262)</f>
        <v>2135</v>
      </c>
      <c r="AS262" s="134">
        <f>C262/AR262</f>
        <v>0.11756440281030445</v>
      </c>
      <c r="AT262" s="134">
        <f>D262/AR262</f>
        <v>0.78922716627634659</v>
      </c>
      <c r="AU262" s="134">
        <f>E262/AR262</f>
        <v>9.3208430913348947E-2</v>
      </c>
      <c r="AV262" s="151">
        <f>IF(AND(F262&lt;&gt;"",Z262&lt;&gt;""),AB262/(F262/2/Z262),"")</f>
        <v>7.6328941390277141E-2</v>
      </c>
      <c r="AW262" s="151">
        <f>IF(AND(F262&lt;&gt;"",AK262&lt;&gt;""),AM262/(F262/2/AK262),"")</f>
        <v>7.996365288505225E-2</v>
      </c>
      <c r="AX262" s="41">
        <f>IF(AND(AQ262&lt;&gt;"",1-(AQ262/O262)&gt;0),1-(AQ262/O262),"")</f>
        <v>0.88435374149659862</v>
      </c>
      <c r="AY262" s="41">
        <f>IF(AND(AF262&lt;&gt;"",1-(AF262/O262)&gt;0),1-(AF262/O262),"")</f>
        <v>0.88435374149659862</v>
      </c>
      <c r="AZ262" s="136" t="str">
        <f>IF(Q262="","",IF(Q262&lt;2.5,"Alc. Bruta &lt; 2,5 mg/L",IF(Q262&lt;5,"2,5 ≤ Alc. Bruta &lt; 5,0 mg/L",IF(Q262&lt;7.5,"5,0 ≤ Alc. Bruta &lt; 7,5 mg/L",IF(Q262&lt;10,"7,5 ≤ Alc. Bruta &lt; 10,0 mg/L",IF(Q262&lt;15,"10,0 ≤ Alca. Bruta &lt; 15,0 mg/L","Alc. Bruta &gt; 15 mg/L"))))))</f>
        <v>5,0 ≤ Alc. Bruta &lt; 7,5 mg/L</v>
      </c>
      <c r="BA262" s="136" t="str">
        <f>IF(P262="","",IF(P262&lt;5,"Cor &lt;5 uC",IF(P262&lt;10,"5 ≤ Cor &lt; 10 uC",IF(P262&lt;15,"10 ≤ Cor &lt;15 uC",IF(P262&lt;30,"15 ≤ Cor &lt; 30 uC",IF(P262&lt;50,"30 ≤ Cor &lt; 50 uC","Cor &gt; 50 uC"))))))</f>
        <v>10 ≤ Cor &lt;15 uC</v>
      </c>
      <c r="BB262" s="137" t="str">
        <f>IF(O262="","",IF(O262&lt;2.5,"Turbidez &lt; 2,5 uT",IF(O262&lt;5,"2,5 ≤ Turb &lt; 5,0 uT",IF(O262&lt;7.5,"5,0 ≤ Turb &lt; 7,5 uT",IF(O262&lt;10,"7,5 ≤ Turb &lt; 10,0 uT",IF(O262&lt;15,"10,0 ≤ Turb &lt; 15,0 uT","Turb &gt; 15 uT"))))))</f>
        <v>Turbidez &lt; 2,5 uT</v>
      </c>
      <c r="BC262" s="138" t="str">
        <f>IF(AND(C262&gt;D262,D262&gt;E262),"TOR &gt; SM &gt; BNN",IF(AND(C262&gt;E262,E262&gt;D262),"TOR &gt; BNN &gt; SM",IF(AND(D262&gt;C262,C262&gt;E262),"SM &gt; TOR &gt; BNN",IF(AND(D262&gt;E262,E262&gt;C262),"SM &gt; BNN &gt; TOR",IF(AND(C262=D262,D262=E262),"TOR = SM = BNN","Comb. diferentes")))))</f>
        <v>SM &gt; TOR &gt; BNN</v>
      </c>
      <c r="BD262" s="137" t="str">
        <f>IF(OR(AE262="",AQ262="-"),"",IF(AE262&lt;=0.25,"Tipo 1 (≤0,25) uT",IF(AE262&lt;=0.5,"Tipo 2 (0,25-0,50) uT",IF(AE262&lt;=0.75,"Tipo 3 (0,50-0,75) uT","Tipo 4 (&gt;0,75) uT"))))</f>
        <v>Tipo 1 (≤0,25) uT</v>
      </c>
      <c r="BE262" s="137" t="str">
        <f t="shared" si="28"/>
        <v>Tipo 1 (≤0,25) uT</v>
      </c>
      <c r="BF262" s="137" t="str">
        <f>IF(OR(AF262="",AQ262="-"),"",IF(AF262&lt;=0.25,"Tipo 1 (≤0,25) uT",IF(AF262&lt;=0.5,"Tipo 2 (0,25-0,50) uT",IF(AF262&lt;=0.75,"Tipo 3 (0,50-0,75) uT","Tipo 4 (&gt;0,75) uT"))))</f>
        <v>Tipo 1 (≤0,25) uT</v>
      </c>
      <c r="BG262" s="137" t="str">
        <f t="shared" si="29"/>
        <v>Tipo 1 (≤0,25) uT</v>
      </c>
      <c r="BH262" s="137" t="str">
        <f>IF(OR(R262="",R262="-"),"",IF(R262&lt;=0.25,"Tipo 1 (≤0,25) uT",IF(R262&lt;=0.5,"Tipo 2 (0,25-0,50) uT",IF(R262&lt;=0.75,"Tipo 3 (0,50-0,75) uT","Tipo 4 (&gt;0,75) uT"))))</f>
        <v>Tipo 1 (≤0,25) uT</v>
      </c>
    </row>
    <row r="263" spans="1:60" x14ac:dyDescent="0.3">
      <c r="A263" s="74">
        <v>46287</v>
      </c>
      <c r="B263" s="139">
        <v>0.97916666666666663</v>
      </c>
      <c r="C263" s="116">
        <v>346</v>
      </c>
      <c r="D263" s="116">
        <v>1688</v>
      </c>
      <c r="E263" s="116">
        <v>200</v>
      </c>
      <c r="F263" s="116">
        <v>2287</v>
      </c>
      <c r="G263" s="144" t="s">
        <v>100</v>
      </c>
      <c r="H263" s="122">
        <v>9.1999999999999993</v>
      </c>
      <c r="I263" s="116">
        <v>33.4</v>
      </c>
      <c r="J263" s="10">
        <v>90</v>
      </c>
      <c r="K263" s="116">
        <v>90</v>
      </c>
      <c r="L263" s="116">
        <v>90</v>
      </c>
      <c r="M263" s="122">
        <v>25.9</v>
      </c>
      <c r="N263" s="122">
        <v>6.4</v>
      </c>
      <c r="O263" s="79">
        <v>1.48</v>
      </c>
      <c r="P263" s="116">
        <v>10</v>
      </c>
      <c r="Q263" s="122">
        <v>6.7</v>
      </c>
      <c r="R263" s="10">
        <v>0.2</v>
      </c>
      <c r="S263" s="79">
        <v>22.36</v>
      </c>
      <c r="T263" s="79">
        <v>0.88</v>
      </c>
      <c r="U263" s="79">
        <v>0.7</v>
      </c>
      <c r="V263" s="85">
        <f t="shared" si="30"/>
        <v>1783.8600000000001</v>
      </c>
      <c r="W263" s="85">
        <f t="shared" si="31"/>
        <v>1582.96421504</v>
      </c>
      <c r="X263" s="85">
        <f t="shared" si="32"/>
        <v>0.88738141728610986</v>
      </c>
      <c r="Y263" s="116">
        <v>3</v>
      </c>
      <c r="Z263" s="116">
        <v>4</v>
      </c>
      <c r="AA263" s="122">
        <v>6.2</v>
      </c>
      <c r="AB263" s="116">
        <v>20.8</v>
      </c>
      <c r="AC263" s="122">
        <v>6.1</v>
      </c>
      <c r="AD263" s="122">
        <v>4.4000000000000004</v>
      </c>
      <c r="AE263" s="79">
        <v>0.2</v>
      </c>
      <c r="AF263" s="79">
        <v>0.17</v>
      </c>
      <c r="AG263" s="85">
        <f>(O263+0.3*H263+2)*(F263/2/AK263)</f>
        <v>1783.8600000000001</v>
      </c>
      <c r="AH263" s="85">
        <f t="shared" si="33"/>
        <v>1750.1819545599999</v>
      </c>
      <c r="AI263" s="85">
        <f t="shared" si="34"/>
        <v>0.981120690278385</v>
      </c>
      <c r="AJ263" s="116">
        <v>3</v>
      </c>
      <c r="AK263" s="116">
        <v>4</v>
      </c>
      <c r="AL263" s="122">
        <v>6.4</v>
      </c>
      <c r="AM263" s="116">
        <v>22.1</v>
      </c>
      <c r="AN263" s="122">
        <v>6.1</v>
      </c>
      <c r="AO263" s="122">
        <v>5</v>
      </c>
      <c r="AP263" s="79">
        <v>0.2</v>
      </c>
      <c r="AQ263" s="79">
        <v>0.17</v>
      </c>
      <c r="AR263" s="132">
        <f>SUM(C263:E263)</f>
        <v>2234</v>
      </c>
      <c r="AS263" s="134">
        <f>C263/AR263</f>
        <v>0.15487914055505819</v>
      </c>
      <c r="AT263" s="134">
        <f>D263/AR263</f>
        <v>0.75559534467323186</v>
      </c>
      <c r="AU263" s="134">
        <f>E263/AR263</f>
        <v>8.9525514771709933E-2</v>
      </c>
      <c r="AV263" s="151">
        <f>IF(AND(F263&lt;&gt;"",Z263&lt;&gt;""),AB263/(F263/2/Z263),"")</f>
        <v>7.2759073021425452E-2</v>
      </c>
      <c r="AW263" s="151">
        <f>IF(AND(F263&lt;&gt;"",AK263&lt;&gt;""),AM263/(F263/2/AK263),"")</f>
        <v>7.7306515085264538E-2</v>
      </c>
      <c r="AX263" s="41">
        <f>IF(AND(AQ263&lt;&gt;"",1-(AQ263/O263)&gt;0),1-(AQ263/O263),"")</f>
        <v>0.88513513513513509</v>
      </c>
      <c r="AY263" s="41">
        <f>IF(AND(AF263&lt;&gt;"",1-(AF263/O263)&gt;0),1-(AF263/O263),"")</f>
        <v>0.88513513513513509</v>
      </c>
      <c r="AZ263" s="136" t="str">
        <f>IF(Q263="","",IF(Q263&lt;2.5,"Alc. Bruta &lt; 2,5 mg/L",IF(Q263&lt;5,"2,5 ≤ Alc. Bruta &lt; 5,0 mg/L",IF(Q263&lt;7.5,"5,0 ≤ Alc. Bruta &lt; 7,5 mg/L",IF(Q263&lt;10,"7,5 ≤ Alc. Bruta &lt; 10,0 mg/L",IF(Q263&lt;15,"10,0 ≤ Alca. Bruta &lt; 15,0 mg/L","Alc. Bruta &gt; 15 mg/L"))))))</f>
        <v>5,0 ≤ Alc. Bruta &lt; 7,5 mg/L</v>
      </c>
      <c r="BA263" s="136" t="str">
        <f>IF(P263="","",IF(P263&lt;5,"Cor &lt;5 uC",IF(P263&lt;10,"5 ≤ Cor &lt; 10 uC",IF(P263&lt;15,"10 ≤ Cor &lt;15 uC",IF(P263&lt;30,"15 ≤ Cor &lt; 30 uC",IF(P263&lt;50,"30 ≤ Cor &lt; 50 uC","Cor &gt; 50 uC"))))))</f>
        <v>10 ≤ Cor &lt;15 uC</v>
      </c>
      <c r="BB263" s="137" t="str">
        <f>IF(O263="","",IF(O263&lt;2.5,"Turbidez &lt; 2,5 uT",IF(O263&lt;5,"2,5 ≤ Turb &lt; 5,0 uT",IF(O263&lt;7.5,"5,0 ≤ Turb &lt; 7,5 uT",IF(O263&lt;10,"7,5 ≤ Turb &lt; 10,0 uT",IF(O263&lt;15,"10,0 ≤ Turb &lt; 15,0 uT","Turb &gt; 15 uT"))))))</f>
        <v>Turbidez &lt; 2,5 uT</v>
      </c>
      <c r="BC263" s="138" t="str">
        <f>IF(AND(C263&gt;D263,D263&gt;E263),"TOR &gt; SM &gt; BNN",IF(AND(C263&gt;E263,E263&gt;D263),"TOR &gt; BNN &gt; SM",IF(AND(D263&gt;C263,C263&gt;E263),"SM &gt; TOR &gt; BNN",IF(AND(D263&gt;E263,E263&gt;C263),"SM &gt; BNN &gt; TOR",IF(AND(C263=D263,D263=E263),"TOR = SM = BNN","Comb. diferentes")))))</f>
        <v>SM &gt; TOR &gt; BNN</v>
      </c>
      <c r="BD263" s="137" t="str">
        <f>IF(OR(AE263="",AQ263="-"),"",IF(AE263&lt;=0.25,"Tipo 1 (≤0,25) uT",IF(AE263&lt;=0.5,"Tipo 2 (0,25-0,50) uT",IF(AE263&lt;=0.75,"Tipo 3 (0,50-0,75) uT","Tipo 4 (&gt;0,75) uT"))))</f>
        <v>Tipo 1 (≤0,25) uT</v>
      </c>
      <c r="BE263" s="137" t="str">
        <f t="shared" si="28"/>
        <v>Tipo 1 (≤0,25) uT</v>
      </c>
      <c r="BF263" s="137" t="str">
        <f>IF(OR(AF263="",AQ263="-"),"",IF(AF263&lt;=0.25,"Tipo 1 (≤0,25) uT",IF(AF263&lt;=0.5,"Tipo 2 (0,25-0,50) uT",IF(AF263&lt;=0.75,"Tipo 3 (0,50-0,75) uT","Tipo 4 (&gt;0,75) uT"))))</f>
        <v>Tipo 1 (≤0,25) uT</v>
      </c>
      <c r="BG263" s="137" t="str">
        <f t="shared" si="29"/>
        <v>Tipo 1 (≤0,25) uT</v>
      </c>
      <c r="BH263" s="137" t="str">
        <f>IF(OR(R263="",R263="-"),"",IF(R263&lt;=0.25,"Tipo 1 (≤0,25) uT",IF(R263&lt;=0.5,"Tipo 2 (0,25-0,50) uT",IF(R263&lt;=0.75,"Tipo 3 (0,50-0,75) uT","Tipo 4 (&gt;0,75) uT"))))</f>
        <v>Tipo 1 (≤0,25) uT</v>
      </c>
    </row>
    <row r="264" spans="1:60" x14ac:dyDescent="0.3">
      <c r="A264" s="74">
        <v>46288</v>
      </c>
      <c r="B264" s="139">
        <v>0.14583333333333334</v>
      </c>
      <c r="C264" s="116">
        <v>343</v>
      </c>
      <c r="D264" s="116">
        <v>1641</v>
      </c>
      <c r="E264" s="116">
        <v>200</v>
      </c>
      <c r="F264" s="116">
        <v>2266</v>
      </c>
      <c r="G264" s="144" t="s">
        <v>100</v>
      </c>
      <c r="H264" s="122">
        <v>9.1999999999999993</v>
      </c>
      <c r="I264" s="116">
        <v>36.11</v>
      </c>
      <c r="J264" s="10">
        <v>90</v>
      </c>
      <c r="K264" s="116">
        <v>90</v>
      </c>
      <c r="L264" s="116">
        <v>90</v>
      </c>
      <c r="M264" s="122">
        <v>25.4</v>
      </c>
      <c r="N264" s="122">
        <v>6.4</v>
      </c>
      <c r="O264" s="79">
        <v>1.41</v>
      </c>
      <c r="P264" s="116">
        <v>10</v>
      </c>
      <c r="Q264" s="122">
        <v>6.2</v>
      </c>
      <c r="R264" s="10">
        <v>0.17</v>
      </c>
      <c r="S264" s="79">
        <v>22.36</v>
      </c>
      <c r="T264" s="79">
        <v>0.88</v>
      </c>
      <c r="U264" s="79">
        <v>0.7</v>
      </c>
      <c r="V264" s="85">
        <f t="shared" si="30"/>
        <v>1747.6524999999999</v>
      </c>
      <c r="W264" s="85">
        <f t="shared" si="31"/>
        <v>1560.1330004000001</v>
      </c>
      <c r="X264" s="85">
        <f t="shared" si="32"/>
        <v>0.89270206771655136</v>
      </c>
      <c r="Y264" s="116">
        <v>3</v>
      </c>
      <c r="Z264" s="116">
        <v>4</v>
      </c>
      <c r="AA264" s="122">
        <v>6.2</v>
      </c>
      <c r="AB264" s="116">
        <v>20.5</v>
      </c>
      <c r="AC264" s="122">
        <v>6.1</v>
      </c>
      <c r="AD264" s="122">
        <v>4.9000000000000004</v>
      </c>
      <c r="AE264" s="79">
        <v>0.23</v>
      </c>
      <c r="AF264" s="79">
        <v>0.18</v>
      </c>
      <c r="AG264" s="85">
        <f>(O264+0.3*H264+2)*(F264/2/AK264)</f>
        <v>1747.6524999999999</v>
      </c>
      <c r="AH264" s="85">
        <f t="shared" si="33"/>
        <v>1821.4563327999999</v>
      </c>
      <c r="AI264" s="85">
        <f t="shared" si="34"/>
        <v>1.0422302676304356</v>
      </c>
      <c r="AJ264" s="116">
        <v>3</v>
      </c>
      <c r="AK264" s="116">
        <v>4</v>
      </c>
      <c r="AL264" s="122">
        <v>6.4</v>
      </c>
      <c r="AM264" s="116">
        <v>23</v>
      </c>
      <c r="AN264" s="122">
        <v>6.1</v>
      </c>
      <c r="AO264" s="122">
        <v>4.5999999999999996</v>
      </c>
      <c r="AP264" s="79">
        <v>0.21</v>
      </c>
      <c r="AQ264" s="79">
        <v>0.18</v>
      </c>
      <c r="AR264" s="132">
        <f>SUM(C264:E264)</f>
        <v>2184</v>
      </c>
      <c r="AS264" s="134">
        <f>C264/AR264</f>
        <v>0.15705128205128205</v>
      </c>
      <c r="AT264" s="134">
        <f>D264/AR264</f>
        <v>0.75137362637362637</v>
      </c>
      <c r="AU264" s="134">
        <f>E264/AR264</f>
        <v>9.1575091575091569E-2</v>
      </c>
      <c r="AV264" s="151">
        <f>IF(AND(F264&lt;&gt;"",Z264&lt;&gt;""),AB264/(F264/2/Z264),"")</f>
        <v>7.237422771403354E-2</v>
      </c>
      <c r="AW264" s="151">
        <f>IF(AND(F264&lt;&gt;"",AK264&lt;&gt;""),AM264/(F264/2/AK264),"")</f>
        <v>8.1200353045013246E-2</v>
      </c>
      <c r="AX264" s="41">
        <f>IF(AND(AQ264&lt;&gt;"",1-(AQ264/O264)&gt;0),1-(AQ264/O264),"")</f>
        <v>0.87234042553191493</v>
      </c>
      <c r="AY264" s="41">
        <f>IF(AND(AF264&lt;&gt;"",1-(AF264/O264)&gt;0),1-(AF264/O264),"")</f>
        <v>0.87234042553191493</v>
      </c>
      <c r="AZ264" s="136" t="str">
        <f>IF(Q264="","",IF(Q264&lt;2.5,"Alc. Bruta &lt; 2,5 mg/L",IF(Q264&lt;5,"2,5 ≤ Alc. Bruta &lt; 5,0 mg/L",IF(Q264&lt;7.5,"5,0 ≤ Alc. Bruta &lt; 7,5 mg/L",IF(Q264&lt;10,"7,5 ≤ Alc. Bruta &lt; 10,0 mg/L",IF(Q264&lt;15,"10,0 ≤ Alca. Bruta &lt; 15,0 mg/L","Alc. Bruta &gt; 15 mg/L"))))))</f>
        <v>5,0 ≤ Alc. Bruta &lt; 7,5 mg/L</v>
      </c>
      <c r="BA264" s="136" t="str">
        <f>IF(P264="","",IF(P264&lt;5,"Cor &lt;5 uC",IF(P264&lt;10,"5 ≤ Cor &lt; 10 uC",IF(P264&lt;15,"10 ≤ Cor &lt;15 uC",IF(P264&lt;30,"15 ≤ Cor &lt; 30 uC",IF(P264&lt;50,"30 ≤ Cor &lt; 50 uC","Cor &gt; 50 uC"))))))</f>
        <v>10 ≤ Cor &lt;15 uC</v>
      </c>
      <c r="BB264" s="137" t="str">
        <f>IF(O264="","",IF(O264&lt;2.5,"Turbidez &lt; 2,5 uT",IF(O264&lt;5,"2,5 ≤ Turb &lt; 5,0 uT",IF(O264&lt;7.5,"5,0 ≤ Turb &lt; 7,5 uT",IF(O264&lt;10,"7,5 ≤ Turb &lt; 10,0 uT",IF(O264&lt;15,"10,0 ≤ Turb &lt; 15,0 uT","Turb &gt; 15 uT"))))))</f>
        <v>Turbidez &lt; 2,5 uT</v>
      </c>
      <c r="BC264" s="138" t="str">
        <f>IF(AND(C264&gt;D264,D264&gt;E264),"TOR &gt; SM &gt; BNN",IF(AND(C264&gt;E264,E264&gt;D264),"TOR &gt; BNN &gt; SM",IF(AND(D264&gt;C264,C264&gt;E264),"SM &gt; TOR &gt; BNN",IF(AND(D264&gt;E264,E264&gt;C264),"SM &gt; BNN &gt; TOR",IF(AND(C264=D264,D264=E264),"TOR = SM = BNN","Comb. diferentes")))))</f>
        <v>SM &gt; TOR &gt; BNN</v>
      </c>
      <c r="BD264" s="137" t="str">
        <f>IF(OR(AE264="",AQ264="-"),"",IF(AE264&lt;=0.25,"Tipo 1 (≤0,25) uT",IF(AE264&lt;=0.5,"Tipo 2 (0,25-0,50) uT",IF(AE264&lt;=0.75,"Tipo 3 (0,50-0,75) uT","Tipo 4 (&gt;0,75) uT"))))</f>
        <v>Tipo 1 (≤0,25) uT</v>
      </c>
      <c r="BE264" s="137" t="str">
        <f t="shared" si="28"/>
        <v>Tipo 1 (≤0,25) uT</v>
      </c>
      <c r="BF264" s="137" t="str">
        <f>IF(OR(AF264="",AQ264="-"),"",IF(AF264&lt;=0.25,"Tipo 1 (≤0,25) uT",IF(AF264&lt;=0.5,"Tipo 2 (0,25-0,50) uT",IF(AF264&lt;=0.75,"Tipo 3 (0,50-0,75) uT","Tipo 4 (&gt;0,75) uT"))))</f>
        <v>Tipo 1 (≤0,25) uT</v>
      </c>
      <c r="BG264" s="137" t="str">
        <f t="shared" si="29"/>
        <v>Tipo 1 (≤0,25) uT</v>
      </c>
      <c r="BH264" s="137" t="str">
        <f>IF(OR(R264="",R264="-"),"",IF(R264&lt;=0.25,"Tipo 1 (≤0,25) uT",IF(R264&lt;=0.5,"Tipo 2 (0,25-0,50) uT",IF(R264&lt;=0.75,"Tipo 3 (0,50-0,75) uT","Tipo 4 (&gt;0,75) uT"))))</f>
        <v>Tipo 1 (≤0,25) uT</v>
      </c>
    </row>
    <row r="265" spans="1:60" ht="15" thickBot="1" x14ac:dyDescent="0.35">
      <c r="A265" s="75">
        <v>46288</v>
      </c>
      <c r="B265" s="140">
        <v>0.22916666666666666</v>
      </c>
      <c r="C265" s="117">
        <v>345</v>
      </c>
      <c r="D265" s="117">
        <v>1660</v>
      </c>
      <c r="E265" s="117">
        <v>200</v>
      </c>
      <c r="F265" s="117">
        <v>2227</v>
      </c>
      <c r="G265" s="145" t="s">
        <v>100</v>
      </c>
      <c r="H265" s="123">
        <v>9.1999999999999993</v>
      </c>
      <c r="I265" s="117">
        <v>40.700000000000003</v>
      </c>
      <c r="J265" s="11">
        <v>90</v>
      </c>
      <c r="K265" s="117">
        <v>90</v>
      </c>
      <c r="L265" s="117">
        <v>90</v>
      </c>
      <c r="M265" s="123">
        <v>25.2</v>
      </c>
      <c r="N265" s="123">
        <v>6.3</v>
      </c>
      <c r="O265" s="80">
        <v>1.36</v>
      </c>
      <c r="P265" s="117">
        <v>10</v>
      </c>
      <c r="Q265" s="123">
        <v>5.9</v>
      </c>
      <c r="R265" s="11">
        <v>0.15</v>
      </c>
      <c r="S265" s="79">
        <v>22.36</v>
      </c>
      <c r="T265" s="79">
        <v>0.88</v>
      </c>
      <c r="U265" s="79">
        <v>0.7</v>
      </c>
      <c r="V265" s="85">
        <f t="shared" si="30"/>
        <v>1703.655</v>
      </c>
      <c r="W265" s="85">
        <f t="shared" si="31"/>
        <v>1543.3753654799998</v>
      </c>
      <c r="X265" s="85">
        <f t="shared" si="32"/>
        <v>0.90592013375947589</v>
      </c>
      <c r="Y265" s="117">
        <v>3</v>
      </c>
      <c r="Z265" s="117">
        <v>4</v>
      </c>
      <c r="AA265" s="123">
        <v>6.1</v>
      </c>
      <c r="AB265" s="117">
        <v>20.7</v>
      </c>
      <c r="AC265" s="123">
        <v>6.1</v>
      </c>
      <c r="AD265" s="123">
        <v>5.3</v>
      </c>
      <c r="AE265" s="80">
        <v>0.23</v>
      </c>
      <c r="AF265" s="80">
        <v>0.17</v>
      </c>
      <c r="AG265" s="85">
        <f>(O265+0.3*H265+2)*(F265/2/AK265)</f>
        <v>1703.655</v>
      </c>
      <c r="AH265" s="85">
        <f t="shared" si="33"/>
        <v>1821.4563327999999</v>
      </c>
      <c r="AI265" s="85">
        <f t="shared" si="34"/>
        <v>1.0691462372369993</v>
      </c>
      <c r="AJ265" s="117">
        <v>3</v>
      </c>
      <c r="AK265" s="117">
        <v>4</v>
      </c>
      <c r="AL265" s="123">
        <v>6.4</v>
      </c>
      <c r="AM265" s="117">
        <v>23</v>
      </c>
      <c r="AN265" s="123">
        <v>6.1</v>
      </c>
      <c r="AO265" s="123">
        <v>5.8</v>
      </c>
      <c r="AP265" s="80">
        <v>0.24</v>
      </c>
      <c r="AQ265" s="80">
        <v>0.16</v>
      </c>
      <c r="AR265" s="132">
        <f>SUM(C265:E265)</f>
        <v>2205</v>
      </c>
      <c r="AS265" s="134">
        <f>C265/AR265</f>
        <v>0.15646258503401361</v>
      </c>
      <c r="AT265" s="134">
        <f>D265/AR265</f>
        <v>0.75283446712018143</v>
      </c>
      <c r="AU265" s="134">
        <f>E265/AR265</f>
        <v>9.0702947845804988E-2</v>
      </c>
      <c r="AV265" s="151">
        <f>IF(AND(F265&lt;&gt;"",Z265&lt;&gt;""),AB265/(F265/2/Z265),"")</f>
        <v>7.436012572968119E-2</v>
      </c>
      <c r="AW265" s="151">
        <f>IF(AND(F265&lt;&gt;"",AK265&lt;&gt;""),AM265/(F265/2/AK265),"")</f>
        <v>8.262236192186799E-2</v>
      </c>
      <c r="AX265" s="41">
        <f>IF(AND(AQ265&lt;&gt;"",1-(AQ265/O265)&gt;0),1-(AQ265/O265),"")</f>
        <v>0.88235294117647056</v>
      </c>
      <c r="AY265" s="41">
        <f>IF(AND(AF265&lt;&gt;"",1-(AF265/O265)&gt;0),1-(AF265/O265),"")</f>
        <v>0.875</v>
      </c>
      <c r="AZ265" s="136" t="str">
        <f>IF(Q265="","",IF(Q265&lt;2.5,"Alc. Bruta &lt; 2,5 mg/L",IF(Q265&lt;5,"2,5 ≤ Alc. Bruta &lt; 5,0 mg/L",IF(Q265&lt;7.5,"5,0 ≤ Alc. Bruta &lt; 7,5 mg/L",IF(Q265&lt;10,"7,5 ≤ Alc. Bruta &lt; 10,0 mg/L",IF(Q265&lt;15,"10,0 ≤ Alca. Bruta &lt; 15,0 mg/L","Alc. Bruta &gt; 15 mg/L"))))))</f>
        <v>5,0 ≤ Alc. Bruta &lt; 7,5 mg/L</v>
      </c>
      <c r="BA265" s="136" t="str">
        <f>IF(P265="","",IF(P265&lt;5,"Cor &lt;5 uC",IF(P265&lt;10,"5 ≤ Cor &lt; 10 uC",IF(P265&lt;15,"10 ≤ Cor &lt;15 uC",IF(P265&lt;30,"15 ≤ Cor &lt; 30 uC",IF(P265&lt;50,"30 ≤ Cor &lt; 50 uC","Cor &gt; 50 uC"))))))</f>
        <v>10 ≤ Cor &lt;15 uC</v>
      </c>
      <c r="BB265" s="137" t="str">
        <f>IF(O265="","",IF(O265&lt;2.5,"Turbidez &lt; 2,5 uT",IF(O265&lt;5,"2,5 ≤ Turb &lt; 5,0 uT",IF(O265&lt;7.5,"5,0 ≤ Turb &lt; 7,5 uT",IF(O265&lt;10,"7,5 ≤ Turb &lt; 10,0 uT",IF(O265&lt;15,"10,0 ≤ Turb &lt; 15,0 uT","Turb &gt; 15 uT"))))))</f>
        <v>Turbidez &lt; 2,5 uT</v>
      </c>
      <c r="BC265" s="138" t="str">
        <f>IF(AND(C265&gt;D265,D265&gt;E265),"TOR &gt; SM &gt; BNN",IF(AND(C265&gt;E265,E265&gt;D265),"TOR &gt; BNN &gt; SM",IF(AND(D265&gt;C265,C265&gt;E265),"SM &gt; TOR &gt; BNN",IF(AND(D265&gt;E265,E265&gt;C265),"SM &gt; BNN &gt; TOR",IF(AND(C265=D265,D265=E265),"TOR = SM = BNN","Comb. diferentes")))))</f>
        <v>SM &gt; TOR &gt; BNN</v>
      </c>
      <c r="BD265" s="137" t="str">
        <f>IF(OR(AE265="",AQ265="-"),"",IF(AE265&lt;=0.25,"Tipo 1 (≤0,25) uT",IF(AE265&lt;=0.5,"Tipo 2 (0,25-0,50) uT",IF(AE265&lt;=0.75,"Tipo 3 (0,50-0,75) uT","Tipo 4 (&gt;0,75) uT"))))</f>
        <v>Tipo 1 (≤0,25) uT</v>
      </c>
      <c r="BE265" s="137" t="str">
        <f t="shared" si="28"/>
        <v>Tipo 1 (≤0,25) uT</v>
      </c>
      <c r="BF265" s="137" t="str">
        <f>IF(OR(AF265="",AQ265="-"),"",IF(AF265&lt;=0.25,"Tipo 1 (≤0,25) uT",IF(AF265&lt;=0.5,"Tipo 2 (0,25-0,50) uT",IF(AF265&lt;=0.75,"Tipo 3 (0,50-0,75) uT","Tipo 4 (&gt;0,75) uT"))))</f>
        <v>Tipo 1 (≤0,25) uT</v>
      </c>
      <c r="BG265" s="137" t="str">
        <f t="shared" si="29"/>
        <v>Tipo 1 (≤0,25) uT</v>
      </c>
      <c r="BH265" s="137" t="str">
        <f>IF(OR(R265="",R265="-"),"",IF(R265&lt;=0.25,"Tipo 1 (≤0,25) uT",IF(R265&lt;=0.5,"Tipo 2 (0,25-0,50) uT",IF(R265&lt;=0.75,"Tipo 3 (0,50-0,75) uT","Tipo 4 (&gt;0,75) uT"))))</f>
        <v>Tipo 1 (≤0,25) uT</v>
      </c>
    </row>
    <row r="266" spans="1:60" x14ac:dyDescent="0.3">
      <c r="A266" s="73">
        <v>46288</v>
      </c>
      <c r="B266" s="141">
        <v>0.3125</v>
      </c>
      <c r="C266" s="118">
        <v>342</v>
      </c>
      <c r="D266" s="118">
        <v>1673</v>
      </c>
      <c r="E266" s="118">
        <v>199</v>
      </c>
      <c r="F266" s="118">
        <v>2211</v>
      </c>
      <c r="G266" s="146" t="s">
        <v>100</v>
      </c>
      <c r="H266" s="124">
        <v>9.1999999999999993</v>
      </c>
      <c r="I266" s="118">
        <v>39.54</v>
      </c>
      <c r="J266" s="9">
        <v>90</v>
      </c>
      <c r="K266" s="118">
        <v>90</v>
      </c>
      <c r="L266" s="118">
        <v>90</v>
      </c>
      <c r="M266" s="124">
        <v>25.1</v>
      </c>
      <c r="N266" s="124">
        <v>6.3</v>
      </c>
      <c r="O266" s="81">
        <v>1.26</v>
      </c>
      <c r="P266" s="118">
        <v>11</v>
      </c>
      <c r="Q266" s="124">
        <v>5.8</v>
      </c>
      <c r="R266" s="9">
        <v>0.16</v>
      </c>
      <c r="S266" s="79">
        <v>22.36</v>
      </c>
      <c r="T266" s="79">
        <v>0.88</v>
      </c>
      <c r="U266" s="79">
        <v>0.7</v>
      </c>
      <c r="V266" s="85">
        <f t="shared" si="30"/>
        <v>1663.7774999999999</v>
      </c>
      <c r="W266" s="85">
        <f t="shared" si="31"/>
        <v>1541.8841815519997</v>
      </c>
      <c r="X266" s="85">
        <f t="shared" si="32"/>
        <v>0.92673700753375965</v>
      </c>
      <c r="Y266" s="118">
        <v>3</v>
      </c>
      <c r="Z266" s="118">
        <v>4</v>
      </c>
      <c r="AA266" s="124">
        <v>6.1</v>
      </c>
      <c r="AB266" s="118">
        <v>20.68</v>
      </c>
      <c r="AC266" s="124">
        <v>6.1</v>
      </c>
      <c r="AD266" s="124">
        <v>4</v>
      </c>
      <c r="AE266" s="81">
        <v>0.25</v>
      </c>
      <c r="AF266" s="81">
        <v>0.17</v>
      </c>
      <c r="AG266" s="85">
        <f>(O266+0.3*H266+2)*(F266/2/AK266)</f>
        <v>1663.7774999999999</v>
      </c>
      <c r="AH266" s="85">
        <f t="shared" si="33"/>
        <v>1765.7457935519994</v>
      </c>
      <c r="AI266" s="85">
        <f t="shared" si="34"/>
        <v>1.0612872175227754</v>
      </c>
      <c r="AJ266" s="118">
        <v>3</v>
      </c>
      <c r="AK266" s="118">
        <v>4</v>
      </c>
      <c r="AL266" s="124">
        <v>6.32</v>
      </c>
      <c r="AM266" s="118">
        <v>22.65</v>
      </c>
      <c r="AN266" s="124">
        <v>6</v>
      </c>
      <c r="AO266" s="124">
        <v>4.0999999999999996</v>
      </c>
      <c r="AP266" s="81">
        <v>0.18</v>
      </c>
      <c r="AQ266" s="81">
        <v>0.16</v>
      </c>
      <c r="AR266" s="132">
        <f>SUM(C266:E266)</f>
        <v>2214</v>
      </c>
      <c r="AS266" s="134">
        <f>C266/AR266</f>
        <v>0.15447154471544716</v>
      </c>
      <c r="AT266" s="134">
        <f>D266/AR266</f>
        <v>0.75564588979223124</v>
      </c>
      <c r="AU266" s="134">
        <f>E266/AR266</f>
        <v>8.9882565492321584E-2</v>
      </c>
      <c r="AV266" s="151">
        <f>IF(AND(F266&lt;&gt;"",Z266&lt;&gt;""),AB266/(F266/2/Z266),"")</f>
        <v>7.4825870646766171E-2</v>
      </c>
      <c r="AW266" s="151">
        <f>IF(AND(F266&lt;&gt;"",AK266&lt;&gt;""),AM266/(F266/2/AK266),"")</f>
        <v>8.1953867028493887E-2</v>
      </c>
      <c r="AX266" s="41">
        <f>IF(AND(AQ266&lt;&gt;"",1-(AQ266/O266)&gt;0),1-(AQ266/O266),"")</f>
        <v>0.87301587301587302</v>
      </c>
      <c r="AY266" s="41">
        <f>IF(AND(AF266&lt;&gt;"",1-(AF266/O266)&gt;0),1-(AF266/O266),"")</f>
        <v>0.86507936507936511</v>
      </c>
      <c r="AZ266" s="136" t="str">
        <f>IF(Q266="","",IF(Q266&lt;2.5,"Alc. Bruta &lt; 2,5 mg/L",IF(Q266&lt;5,"2,5 ≤ Alc. Bruta &lt; 5,0 mg/L",IF(Q266&lt;7.5,"5,0 ≤ Alc. Bruta &lt; 7,5 mg/L",IF(Q266&lt;10,"7,5 ≤ Alc. Bruta &lt; 10,0 mg/L",IF(Q266&lt;15,"10,0 ≤ Alca. Bruta &lt; 15,0 mg/L","Alc. Bruta &gt; 15 mg/L"))))))</f>
        <v>5,0 ≤ Alc. Bruta &lt; 7,5 mg/L</v>
      </c>
      <c r="BA266" s="136" t="str">
        <f>IF(P266="","",IF(P266&lt;5,"Cor &lt;5 uC",IF(P266&lt;10,"5 ≤ Cor &lt; 10 uC",IF(P266&lt;15,"10 ≤ Cor &lt;15 uC",IF(P266&lt;30,"15 ≤ Cor &lt; 30 uC",IF(P266&lt;50,"30 ≤ Cor &lt; 50 uC","Cor &gt; 50 uC"))))))</f>
        <v>10 ≤ Cor &lt;15 uC</v>
      </c>
      <c r="BB266" s="137" t="str">
        <f>IF(O266="","",IF(O266&lt;2.5,"Turbidez &lt; 2,5 uT",IF(O266&lt;5,"2,5 ≤ Turb &lt; 5,0 uT",IF(O266&lt;7.5,"5,0 ≤ Turb &lt; 7,5 uT",IF(O266&lt;10,"7,5 ≤ Turb &lt; 10,0 uT",IF(O266&lt;15,"10,0 ≤ Turb &lt; 15,0 uT","Turb &gt; 15 uT"))))))</f>
        <v>Turbidez &lt; 2,5 uT</v>
      </c>
      <c r="BC266" s="138" t="str">
        <f>IF(AND(C266&gt;D266,D266&gt;E266),"TOR &gt; SM &gt; BNN",IF(AND(C266&gt;E266,E266&gt;D266),"TOR &gt; BNN &gt; SM",IF(AND(D266&gt;C266,C266&gt;E266),"SM &gt; TOR &gt; BNN",IF(AND(D266&gt;E266,E266&gt;C266),"SM &gt; BNN &gt; TOR",IF(AND(C266=D266,D266=E266),"TOR = SM = BNN","Comb. diferentes")))))</f>
        <v>SM &gt; TOR &gt; BNN</v>
      </c>
      <c r="BD266" s="137" t="str">
        <f>IF(OR(AE266="",AQ266="-"),"",IF(AE266&lt;=0.25,"Tipo 1 (≤0,25) uT",IF(AE266&lt;=0.5,"Tipo 2 (0,25-0,50) uT",IF(AE266&lt;=0.75,"Tipo 3 (0,50-0,75) uT","Tipo 4 (&gt;0,75) uT"))))</f>
        <v>Tipo 1 (≤0,25) uT</v>
      </c>
      <c r="BE266" s="137" t="str">
        <f t="shared" si="28"/>
        <v>Tipo 1 (≤0,25) uT</v>
      </c>
      <c r="BF266" s="137" t="str">
        <f>IF(OR(AF266="",AQ266="-"),"",IF(AF266&lt;=0.25,"Tipo 1 (≤0,25) uT",IF(AF266&lt;=0.5,"Tipo 2 (0,25-0,50) uT",IF(AF266&lt;=0.75,"Tipo 3 (0,50-0,75) uT","Tipo 4 (&gt;0,75) uT"))))</f>
        <v>Tipo 1 (≤0,25) uT</v>
      </c>
      <c r="BG266" s="137" t="str">
        <f t="shared" si="29"/>
        <v>Tipo 1 (≤0,25) uT</v>
      </c>
      <c r="BH266" s="137" t="str">
        <f>IF(OR(R266="",R266="-"),"",IF(R266&lt;=0.25,"Tipo 1 (≤0,25) uT",IF(R266&lt;=0.5,"Tipo 2 (0,25-0,50) uT",IF(R266&lt;=0.75,"Tipo 3 (0,50-0,75) uT","Tipo 4 (&gt;0,75) uT"))))</f>
        <v>Tipo 1 (≤0,25) uT</v>
      </c>
    </row>
    <row r="267" spans="1:60" x14ac:dyDescent="0.3">
      <c r="A267" s="74">
        <v>46288</v>
      </c>
      <c r="B267" s="139">
        <v>0.39583333333333331</v>
      </c>
      <c r="C267" s="116">
        <v>366</v>
      </c>
      <c r="D267" s="116">
        <v>1685</v>
      </c>
      <c r="E267" s="116">
        <v>200</v>
      </c>
      <c r="F267" s="116">
        <v>2256</v>
      </c>
      <c r="G267" s="144" t="s">
        <v>100</v>
      </c>
      <c r="H267" s="122">
        <v>9.1999999999999993</v>
      </c>
      <c r="I267" s="116">
        <v>25.55</v>
      </c>
      <c r="J267" s="10">
        <v>90</v>
      </c>
      <c r="K267" s="116">
        <v>90</v>
      </c>
      <c r="L267" s="116">
        <v>90</v>
      </c>
      <c r="M267" s="122">
        <v>25</v>
      </c>
      <c r="N267" s="122">
        <v>6.4</v>
      </c>
      <c r="O267" s="79">
        <v>1.25</v>
      </c>
      <c r="P267" s="116">
        <v>11</v>
      </c>
      <c r="Q267" s="122">
        <v>6.1</v>
      </c>
      <c r="R267" s="10">
        <v>0.17</v>
      </c>
      <c r="S267" s="79">
        <v>22.36</v>
      </c>
      <c r="T267" s="79">
        <v>0.88</v>
      </c>
      <c r="U267" s="79">
        <v>0.7</v>
      </c>
      <c r="V267" s="85">
        <f t="shared" si="30"/>
        <v>1694.82</v>
      </c>
      <c r="W267" s="85">
        <f t="shared" si="31"/>
        <v>1491.1839279999999</v>
      </c>
      <c r="X267" s="85">
        <f t="shared" si="32"/>
        <v>0.87984796497563167</v>
      </c>
      <c r="Y267" s="116">
        <v>3</v>
      </c>
      <c r="Z267" s="116">
        <v>4</v>
      </c>
      <c r="AA267" s="122">
        <v>6.1</v>
      </c>
      <c r="AB267" s="116">
        <v>20</v>
      </c>
      <c r="AC267" s="122">
        <v>6.2</v>
      </c>
      <c r="AD267" s="122">
        <v>4.7</v>
      </c>
      <c r="AE267" s="79">
        <v>0.2</v>
      </c>
      <c r="AF267" s="79">
        <v>0.17</v>
      </c>
      <c r="AG267" s="85">
        <f>(O267+0.3*H267+2)*(F267/2/AK267)</f>
        <v>1694.82</v>
      </c>
      <c r="AH267" s="85">
        <f t="shared" si="33"/>
        <v>1747.1002769999996</v>
      </c>
      <c r="AI267" s="85">
        <f t="shared" si="34"/>
        <v>1.0308470970368533</v>
      </c>
      <c r="AJ267" s="116">
        <v>3</v>
      </c>
      <c r="AK267" s="116">
        <v>4</v>
      </c>
      <c r="AL267" s="122">
        <v>6.3</v>
      </c>
      <c r="AM267" s="116">
        <v>22.5</v>
      </c>
      <c r="AN267" s="122">
        <v>6</v>
      </c>
      <c r="AO267" s="122">
        <v>3.6</v>
      </c>
      <c r="AP267" s="79">
        <v>0.24</v>
      </c>
      <c r="AQ267" s="79">
        <v>0.17</v>
      </c>
      <c r="AR267" s="132">
        <f>SUM(C267:E267)</f>
        <v>2251</v>
      </c>
      <c r="AS267" s="134">
        <f>C267/AR267</f>
        <v>0.1625944024877832</v>
      </c>
      <c r="AT267" s="134">
        <f>D267/AR267</f>
        <v>0.74855619724566858</v>
      </c>
      <c r="AU267" s="134">
        <f>E267/AR267</f>
        <v>8.8849400266548195E-2</v>
      </c>
      <c r="AV267" s="151">
        <f>IF(AND(F267&lt;&gt;"",Z267&lt;&gt;""),AB267/(F267/2/Z267),"")</f>
        <v>7.0921985815602842E-2</v>
      </c>
      <c r="AW267" s="151">
        <f>IF(AND(F267&lt;&gt;"",AK267&lt;&gt;""),AM267/(F267/2/AK267),"")</f>
        <v>7.9787234042553196E-2</v>
      </c>
      <c r="AX267" s="41">
        <f>IF(AND(AQ267&lt;&gt;"",1-(AQ267/O267)&gt;0),1-(AQ267/O267),"")</f>
        <v>0.86399999999999999</v>
      </c>
      <c r="AY267" s="41">
        <f>IF(AND(AF267&lt;&gt;"",1-(AF267/O267)&gt;0),1-(AF267/O267),"")</f>
        <v>0.86399999999999999</v>
      </c>
      <c r="AZ267" s="136" t="str">
        <f>IF(Q267="","",IF(Q267&lt;2.5,"Alc. Bruta &lt; 2,5 mg/L",IF(Q267&lt;5,"2,5 ≤ Alc. Bruta &lt; 5,0 mg/L",IF(Q267&lt;7.5,"5,0 ≤ Alc. Bruta &lt; 7,5 mg/L",IF(Q267&lt;10,"7,5 ≤ Alc. Bruta &lt; 10,0 mg/L",IF(Q267&lt;15,"10,0 ≤ Alca. Bruta &lt; 15,0 mg/L","Alc. Bruta &gt; 15 mg/L"))))))</f>
        <v>5,0 ≤ Alc. Bruta &lt; 7,5 mg/L</v>
      </c>
      <c r="BA267" s="136" t="str">
        <f>IF(P267="","",IF(P267&lt;5,"Cor &lt;5 uC",IF(P267&lt;10,"5 ≤ Cor &lt; 10 uC",IF(P267&lt;15,"10 ≤ Cor &lt;15 uC",IF(P267&lt;30,"15 ≤ Cor &lt; 30 uC",IF(P267&lt;50,"30 ≤ Cor &lt; 50 uC","Cor &gt; 50 uC"))))))</f>
        <v>10 ≤ Cor &lt;15 uC</v>
      </c>
      <c r="BB267" s="137" t="str">
        <f>IF(O267="","",IF(O267&lt;2.5,"Turbidez &lt; 2,5 uT",IF(O267&lt;5,"2,5 ≤ Turb &lt; 5,0 uT",IF(O267&lt;7.5,"5,0 ≤ Turb &lt; 7,5 uT",IF(O267&lt;10,"7,5 ≤ Turb &lt; 10,0 uT",IF(O267&lt;15,"10,0 ≤ Turb &lt; 15,0 uT","Turb &gt; 15 uT"))))))</f>
        <v>Turbidez &lt; 2,5 uT</v>
      </c>
      <c r="BC267" s="138" t="str">
        <f>IF(AND(C267&gt;D267,D267&gt;E267),"TOR &gt; SM &gt; BNN",IF(AND(C267&gt;E267,E267&gt;D267),"TOR &gt; BNN &gt; SM",IF(AND(D267&gt;C267,C267&gt;E267),"SM &gt; TOR &gt; BNN",IF(AND(D267&gt;E267,E267&gt;C267),"SM &gt; BNN &gt; TOR",IF(AND(C267=D267,D267=E267),"TOR = SM = BNN","Comb. diferentes")))))</f>
        <v>SM &gt; TOR &gt; BNN</v>
      </c>
      <c r="BD267" s="137" t="str">
        <f>IF(OR(AE267="",AQ267="-"),"",IF(AE267&lt;=0.25,"Tipo 1 (≤0,25) uT",IF(AE267&lt;=0.5,"Tipo 2 (0,25-0,50) uT",IF(AE267&lt;=0.75,"Tipo 3 (0,50-0,75) uT","Tipo 4 (&gt;0,75) uT"))))</f>
        <v>Tipo 1 (≤0,25) uT</v>
      </c>
      <c r="BE267" s="137" t="str">
        <f t="shared" si="28"/>
        <v>Tipo 1 (≤0,25) uT</v>
      </c>
      <c r="BF267" s="137" t="str">
        <f>IF(OR(AF267="",AQ267="-"),"",IF(AF267&lt;=0.25,"Tipo 1 (≤0,25) uT",IF(AF267&lt;=0.5,"Tipo 2 (0,25-0,50) uT",IF(AF267&lt;=0.75,"Tipo 3 (0,50-0,75) uT","Tipo 4 (&gt;0,75) uT"))))</f>
        <v>Tipo 1 (≤0,25) uT</v>
      </c>
      <c r="BG267" s="137" t="str">
        <f t="shared" si="29"/>
        <v>Tipo 1 (≤0,25) uT</v>
      </c>
      <c r="BH267" s="137" t="str">
        <f>IF(OR(R267="",R267="-"),"",IF(R267&lt;=0.25,"Tipo 1 (≤0,25) uT",IF(R267&lt;=0.5,"Tipo 2 (0,25-0,50) uT",IF(R267&lt;=0.75,"Tipo 3 (0,50-0,75) uT","Tipo 4 (&gt;0,75) uT"))))</f>
        <v>Tipo 1 (≤0,25) uT</v>
      </c>
    </row>
    <row r="268" spans="1:60" x14ac:dyDescent="0.3">
      <c r="A268" s="74">
        <v>46288</v>
      </c>
      <c r="B268" s="139">
        <v>0.5625</v>
      </c>
      <c r="C268" s="116">
        <v>304</v>
      </c>
      <c r="D268" s="116">
        <v>1771</v>
      </c>
      <c r="E268" s="116">
        <v>200</v>
      </c>
      <c r="F268" s="116">
        <v>2178</v>
      </c>
      <c r="G268" s="144" t="s">
        <v>100</v>
      </c>
      <c r="H268" s="122">
        <v>9.1999999999999993</v>
      </c>
      <c r="I268" s="116">
        <v>22.92</v>
      </c>
      <c r="J268" s="10">
        <v>90</v>
      </c>
      <c r="K268" s="116">
        <v>90</v>
      </c>
      <c r="L268" s="116">
        <v>90</v>
      </c>
      <c r="M268" s="122">
        <v>26.1</v>
      </c>
      <c r="N268" s="122">
        <v>6.4</v>
      </c>
      <c r="O268" s="79">
        <v>1.31</v>
      </c>
      <c r="P268" s="116">
        <v>10</v>
      </c>
      <c r="Q268" s="122">
        <v>6.2</v>
      </c>
      <c r="R268" s="10">
        <v>0.17</v>
      </c>
      <c r="S268" s="79">
        <v>22.36</v>
      </c>
      <c r="T268" s="79">
        <v>0.88</v>
      </c>
      <c r="U268" s="79">
        <v>0.7</v>
      </c>
      <c r="V268" s="85">
        <f t="shared" si="30"/>
        <v>1652.5575000000001</v>
      </c>
      <c r="W268" s="85">
        <f t="shared" si="31"/>
        <v>1565.7431243999997</v>
      </c>
      <c r="X268" s="85">
        <f t="shared" si="32"/>
        <v>0.94746665359601689</v>
      </c>
      <c r="Y268" s="116">
        <v>3</v>
      </c>
      <c r="Z268" s="116">
        <v>4</v>
      </c>
      <c r="AA268" s="122">
        <v>6.1</v>
      </c>
      <c r="AB268" s="116">
        <v>21</v>
      </c>
      <c r="AC268" s="122">
        <v>6.1</v>
      </c>
      <c r="AD268" s="122">
        <v>4.4000000000000004</v>
      </c>
      <c r="AE268" s="79">
        <v>0.2</v>
      </c>
      <c r="AF268" s="79">
        <v>0.16</v>
      </c>
      <c r="AG268" s="85">
        <f>(O268+0.3*H268+2)*(F268/2/AK268)</f>
        <v>1652.5575000000001</v>
      </c>
      <c r="AH268" s="85">
        <f t="shared" si="33"/>
        <v>1789.7788313599999</v>
      </c>
      <c r="AI268" s="85">
        <f t="shared" si="34"/>
        <v>1.0830357378548097</v>
      </c>
      <c r="AJ268" s="116">
        <v>3</v>
      </c>
      <c r="AK268" s="116">
        <v>4</v>
      </c>
      <c r="AL268" s="122">
        <v>6.4</v>
      </c>
      <c r="AM268" s="116">
        <v>22.6</v>
      </c>
      <c r="AN268" s="122">
        <v>6.1</v>
      </c>
      <c r="AO268" s="122">
        <v>4</v>
      </c>
      <c r="AP268" s="79">
        <v>0.91</v>
      </c>
      <c r="AQ268" s="79">
        <v>0.17</v>
      </c>
      <c r="AR268" s="132">
        <f>SUM(C268:E268)</f>
        <v>2275</v>
      </c>
      <c r="AS268" s="134">
        <f>C268/AR268</f>
        <v>0.13362637362637364</v>
      </c>
      <c r="AT268" s="134">
        <f>D268/AR268</f>
        <v>0.77846153846153843</v>
      </c>
      <c r="AU268" s="134">
        <f>E268/AR268</f>
        <v>8.7912087912087919E-2</v>
      </c>
      <c r="AV268" s="151">
        <f>IF(AND(F268&lt;&gt;"",Z268&lt;&gt;""),AB268/(F268/2/Z268),"")</f>
        <v>7.7134986225895319E-2</v>
      </c>
      <c r="AW268" s="151">
        <f>IF(AND(F268&lt;&gt;"",AK268&lt;&gt;""),AM268/(F268/2/AK268),"")</f>
        <v>8.3011937557392113E-2</v>
      </c>
      <c r="AX268" s="41">
        <f>IF(AND(AQ268&lt;&gt;"",1-(AQ268/O268)&gt;0),1-(AQ268/O268),"")</f>
        <v>0.87022900763358779</v>
      </c>
      <c r="AY268" s="41">
        <f>IF(AND(AF268&lt;&gt;"",1-(AF268/O268)&gt;0),1-(AF268/O268),"")</f>
        <v>0.87786259541984735</v>
      </c>
      <c r="AZ268" s="136" t="str">
        <f>IF(Q268="","",IF(Q268&lt;2.5,"Alc. Bruta &lt; 2,5 mg/L",IF(Q268&lt;5,"2,5 ≤ Alc. Bruta &lt; 5,0 mg/L",IF(Q268&lt;7.5,"5,0 ≤ Alc. Bruta &lt; 7,5 mg/L",IF(Q268&lt;10,"7,5 ≤ Alc. Bruta &lt; 10,0 mg/L",IF(Q268&lt;15,"10,0 ≤ Alca. Bruta &lt; 15,0 mg/L","Alc. Bruta &gt; 15 mg/L"))))))</f>
        <v>5,0 ≤ Alc. Bruta &lt; 7,5 mg/L</v>
      </c>
      <c r="BA268" s="136" t="str">
        <f>IF(P268="","",IF(P268&lt;5,"Cor &lt;5 uC",IF(P268&lt;10,"5 ≤ Cor &lt; 10 uC",IF(P268&lt;15,"10 ≤ Cor &lt;15 uC",IF(P268&lt;30,"15 ≤ Cor &lt; 30 uC",IF(P268&lt;50,"30 ≤ Cor &lt; 50 uC","Cor &gt; 50 uC"))))))</f>
        <v>10 ≤ Cor &lt;15 uC</v>
      </c>
      <c r="BB268" s="137" t="str">
        <f>IF(O268="","",IF(O268&lt;2.5,"Turbidez &lt; 2,5 uT",IF(O268&lt;5,"2,5 ≤ Turb &lt; 5,0 uT",IF(O268&lt;7.5,"5,0 ≤ Turb &lt; 7,5 uT",IF(O268&lt;10,"7,5 ≤ Turb &lt; 10,0 uT",IF(O268&lt;15,"10,0 ≤ Turb &lt; 15,0 uT","Turb &gt; 15 uT"))))))</f>
        <v>Turbidez &lt; 2,5 uT</v>
      </c>
      <c r="BC268" s="138" t="str">
        <f>IF(AND(C268&gt;D268,D268&gt;E268),"TOR &gt; SM &gt; BNN",IF(AND(C268&gt;E268,E268&gt;D268),"TOR &gt; BNN &gt; SM",IF(AND(D268&gt;C268,C268&gt;E268),"SM &gt; TOR &gt; BNN",IF(AND(D268&gt;E268,E268&gt;C268),"SM &gt; BNN &gt; TOR",IF(AND(C268=D268,D268=E268),"TOR = SM = BNN","Comb. diferentes")))))</f>
        <v>SM &gt; TOR &gt; BNN</v>
      </c>
      <c r="BD268" s="137" t="str">
        <f>IF(OR(AE268="",AQ268="-"),"",IF(AE268&lt;=0.25,"Tipo 1 (≤0,25) uT",IF(AE268&lt;=0.5,"Tipo 2 (0,25-0,50) uT",IF(AE268&lt;=0.75,"Tipo 3 (0,50-0,75) uT","Tipo 4 (&gt;0,75) uT"))))</f>
        <v>Tipo 1 (≤0,25) uT</v>
      </c>
      <c r="BE268" s="137" t="str">
        <f t="shared" si="28"/>
        <v>Tipo 4 (&gt;0,75) uT</v>
      </c>
      <c r="BF268" s="137" t="str">
        <f>IF(OR(AF268="",AQ268="-"),"",IF(AF268&lt;=0.25,"Tipo 1 (≤0,25) uT",IF(AF268&lt;=0.5,"Tipo 2 (0,25-0,50) uT",IF(AF268&lt;=0.75,"Tipo 3 (0,50-0,75) uT","Tipo 4 (&gt;0,75) uT"))))</f>
        <v>Tipo 1 (≤0,25) uT</v>
      </c>
      <c r="BG268" s="137" t="str">
        <f t="shared" si="29"/>
        <v>Tipo 1 (≤0,25) uT</v>
      </c>
      <c r="BH268" s="137" t="str">
        <f>IF(OR(R268="",R268="-"),"",IF(R268&lt;=0.25,"Tipo 1 (≤0,25) uT",IF(R268&lt;=0.5,"Tipo 2 (0,25-0,50) uT",IF(R268&lt;=0.75,"Tipo 3 (0,50-0,75) uT","Tipo 4 (&gt;0,75) uT"))))</f>
        <v>Tipo 1 (≤0,25) uT</v>
      </c>
    </row>
    <row r="269" spans="1:60" x14ac:dyDescent="0.3">
      <c r="A269" s="74">
        <v>46288</v>
      </c>
      <c r="B269" s="139">
        <v>0.64583333333333337</v>
      </c>
      <c r="C269" s="116">
        <v>236</v>
      </c>
      <c r="D269" s="116">
        <v>1728</v>
      </c>
      <c r="E269" s="116">
        <v>199</v>
      </c>
      <c r="F269" s="116">
        <v>2192</v>
      </c>
      <c r="G269" s="144" t="s">
        <v>100</v>
      </c>
      <c r="H269" s="122">
        <v>9.1999999999999993</v>
      </c>
      <c r="I269" s="116">
        <v>21.67</v>
      </c>
      <c r="J269" s="10">
        <v>90</v>
      </c>
      <c r="K269" s="116">
        <v>90</v>
      </c>
      <c r="L269" s="116">
        <v>90</v>
      </c>
      <c r="M269" s="122">
        <v>26.2</v>
      </c>
      <c r="N269" s="122">
        <v>6.4</v>
      </c>
      <c r="O269" s="79">
        <v>1.36</v>
      </c>
      <c r="P269" s="116">
        <v>11</v>
      </c>
      <c r="Q269" s="122">
        <v>6.4</v>
      </c>
      <c r="R269" s="10">
        <v>0.16</v>
      </c>
      <c r="S269" s="79">
        <v>22.36</v>
      </c>
      <c r="T269" s="79">
        <v>0.88</v>
      </c>
      <c r="U269" s="79">
        <v>0.7</v>
      </c>
      <c r="V269" s="85">
        <f t="shared" si="30"/>
        <v>1676.88</v>
      </c>
      <c r="W269" s="85">
        <f t="shared" si="31"/>
        <v>1511.3969207999999</v>
      </c>
      <c r="X269" s="85">
        <f t="shared" si="32"/>
        <v>0.901314894804637</v>
      </c>
      <c r="Y269" s="116">
        <v>3</v>
      </c>
      <c r="Z269" s="116">
        <v>4</v>
      </c>
      <c r="AA269" s="122">
        <v>6</v>
      </c>
      <c r="AB269" s="116">
        <v>20.7</v>
      </c>
      <c r="AC269" s="122">
        <v>6.1</v>
      </c>
      <c r="AD269" s="122">
        <v>4.2</v>
      </c>
      <c r="AE269" s="79">
        <v>0.26</v>
      </c>
      <c r="AF269" s="79">
        <v>0.17</v>
      </c>
      <c r="AG269" s="85">
        <f>(O269+0.3*H269+2)*(F269/2/AK269)</f>
        <v>1676.88</v>
      </c>
      <c r="AH269" s="85">
        <f t="shared" si="33"/>
        <v>1789.7788313599999</v>
      </c>
      <c r="AI269" s="85">
        <f t="shared" si="34"/>
        <v>1.0673267206717236</v>
      </c>
      <c r="AJ269" s="116">
        <v>3</v>
      </c>
      <c r="AK269" s="116">
        <v>4</v>
      </c>
      <c r="AL269" s="122">
        <v>6.4</v>
      </c>
      <c r="AM269" s="116">
        <v>22.6</v>
      </c>
      <c r="AN269" s="122">
        <v>6.3</v>
      </c>
      <c r="AO269" s="122">
        <v>3.9</v>
      </c>
      <c r="AP269" s="79">
        <v>0.4</v>
      </c>
      <c r="AQ269" s="79">
        <v>0.18</v>
      </c>
      <c r="AR269" s="132">
        <f>SUM(C269:E269)</f>
        <v>2163</v>
      </c>
      <c r="AS269" s="134">
        <f>C269/AR269</f>
        <v>0.1091077207582062</v>
      </c>
      <c r="AT269" s="134">
        <f>D269/AR269</f>
        <v>0.7988904299583911</v>
      </c>
      <c r="AU269" s="134">
        <f>E269/AR269</f>
        <v>9.2001849283402687E-2</v>
      </c>
      <c r="AV269" s="151">
        <f>IF(AND(F269&lt;&gt;"",Z269&lt;&gt;""),AB269/(F269/2/Z269),"")</f>
        <v>7.5547445255474452E-2</v>
      </c>
      <c r="AW269" s="151">
        <f>IF(AND(F269&lt;&gt;"",AK269&lt;&gt;""),AM269/(F269/2/AK269),"")</f>
        <v>8.2481751824817526E-2</v>
      </c>
      <c r="AX269" s="41">
        <f>IF(AND(AQ269&lt;&gt;"",1-(AQ269/O269)&gt;0),1-(AQ269/O269),"")</f>
        <v>0.86764705882352944</v>
      </c>
      <c r="AY269" s="41">
        <f>IF(AND(AF269&lt;&gt;"",1-(AF269/O269)&gt;0),1-(AF269/O269),"")</f>
        <v>0.875</v>
      </c>
      <c r="AZ269" s="136" t="str">
        <f>IF(Q269="","",IF(Q269&lt;2.5,"Alc. Bruta &lt; 2,5 mg/L",IF(Q269&lt;5,"2,5 ≤ Alc. Bruta &lt; 5,0 mg/L",IF(Q269&lt;7.5,"5,0 ≤ Alc. Bruta &lt; 7,5 mg/L",IF(Q269&lt;10,"7,5 ≤ Alc. Bruta &lt; 10,0 mg/L",IF(Q269&lt;15,"10,0 ≤ Alca. Bruta &lt; 15,0 mg/L","Alc. Bruta &gt; 15 mg/L"))))))</f>
        <v>5,0 ≤ Alc. Bruta &lt; 7,5 mg/L</v>
      </c>
      <c r="BA269" s="136" t="str">
        <f>IF(P269="","",IF(P269&lt;5,"Cor &lt;5 uC",IF(P269&lt;10,"5 ≤ Cor &lt; 10 uC",IF(P269&lt;15,"10 ≤ Cor &lt;15 uC",IF(P269&lt;30,"15 ≤ Cor &lt; 30 uC",IF(P269&lt;50,"30 ≤ Cor &lt; 50 uC","Cor &gt; 50 uC"))))))</f>
        <v>10 ≤ Cor &lt;15 uC</v>
      </c>
      <c r="BB269" s="137" t="str">
        <f>IF(O269="","",IF(O269&lt;2.5,"Turbidez &lt; 2,5 uT",IF(O269&lt;5,"2,5 ≤ Turb &lt; 5,0 uT",IF(O269&lt;7.5,"5,0 ≤ Turb &lt; 7,5 uT",IF(O269&lt;10,"7,5 ≤ Turb &lt; 10,0 uT",IF(O269&lt;15,"10,0 ≤ Turb &lt; 15,0 uT","Turb &gt; 15 uT"))))))</f>
        <v>Turbidez &lt; 2,5 uT</v>
      </c>
      <c r="BC269" s="138" t="str">
        <f>IF(AND(C269&gt;D269,D269&gt;E269),"TOR &gt; SM &gt; BNN",IF(AND(C269&gt;E269,E269&gt;D269),"TOR &gt; BNN &gt; SM",IF(AND(D269&gt;C269,C269&gt;E269),"SM &gt; TOR &gt; BNN",IF(AND(D269&gt;E269,E269&gt;C269),"SM &gt; BNN &gt; TOR",IF(AND(C269=D269,D269=E269),"TOR = SM = BNN","Comb. diferentes")))))</f>
        <v>SM &gt; TOR &gt; BNN</v>
      </c>
      <c r="BD269" s="137" t="str">
        <f>IF(OR(AE269="",AQ269="-"),"",IF(AE269&lt;=0.25,"Tipo 1 (≤0,25) uT",IF(AE269&lt;=0.5,"Tipo 2 (0,25-0,50) uT",IF(AE269&lt;=0.75,"Tipo 3 (0,50-0,75) uT","Tipo 4 (&gt;0,75) uT"))))</f>
        <v>Tipo 2 (0,25-0,50) uT</v>
      </c>
      <c r="BE269" s="137" t="str">
        <f t="shared" si="28"/>
        <v>Tipo 2 (0,25-0,50) uT</v>
      </c>
      <c r="BF269" s="137" t="str">
        <f>IF(OR(AF269="",AQ269="-"),"",IF(AF269&lt;=0.25,"Tipo 1 (≤0,25) uT",IF(AF269&lt;=0.5,"Tipo 2 (0,25-0,50) uT",IF(AF269&lt;=0.75,"Tipo 3 (0,50-0,75) uT","Tipo 4 (&gt;0,75) uT"))))</f>
        <v>Tipo 1 (≤0,25) uT</v>
      </c>
      <c r="BG269" s="137" t="str">
        <f t="shared" si="29"/>
        <v>Tipo 1 (≤0,25) uT</v>
      </c>
      <c r="BH269" s="137" t="str">
        <f>IF(OR(R269="",R269="-"),"",IF(R269&lt;=0.25,"Tipo 1 (≤0,25) uT",IF(R269&lt;=0.5,"Tipo 2 (0,25-0,50) uT",IF(R269&lt;=0.75,"Tipo 3 (0,50-0,75) uT","Tipo 4 (&gt;0,75) uT"))))</f>
        <v>Tipo 1 (≤0,25) uT</v>
      </c>
    </row>
    <row r="270" spans="1:60" x14ac:dyDescent="0.3">
      <c r="A270" s="74">
        <v>46288</v>
      </c>
      <c r="B270" s="139">
        <v>0.8125</v>
      </c>
      <c r="C270" s="116">
        <v>237</v>
      </c>
      <c r="D270" s="116">
        <v>1775</v>
      </c>
      <c r="E270" s="116">
        <v>200</v>
      </c>
      <c r="F270" s="116">
        <v>2200</v>
      </c>
      <c r="G270" s="144" t="s">
        <v>100</v>
      </c>
      <c r="H270" s="122">
        <v>9.1999999999999993</v>
      </c>
      <c r="I270" s="116">
        <v>-46</v>
      </c>
      <c r="J270" s="10">
        <v>90</v>
      </c>
      <c r="K270" s="116">
        <v>90</v>
      </c>
      <c r="L270" s="116">
        <v>90</v>
      </c>
      <c r="M270" s="122">
        <v>25.9</v>
      </c>
      <c r="N270" s="122">
        <v>6.4</v>
      </c>
      <c r="O270" s="79">
        <v>1.4</v>
      </c>
      <c r="P270" s="116">
        <v>11</v>
      </c>
      <c r="Q270" s="122">
        <v>6</v>
      </c>
      <c r="R270" s="10">
        <v>0.13</v>
      </c>
      <c r="S270" s="79">
        <v>22.36</v>
      </c>
      <c r="T270" s="79">
        <v>0.88</v>
      </c>
      <c r="U270" s="79">
        <v>0.7</v>
      </c>
      <c r="V270" s="85">
        <f t="shared" si="30"/>
        <v>1694</v>
      </c>
      <c r="W270" s="85">
        <f t="shared" si="31"/>
        <v>1491.1839279999999</v>
      </c>
      <c r="X270" s="85">
        <f t="shared" si="32"/>
        <v>0.88027386540731989</v>
      </c>
      <c r="Y270" s="116">
        <v>3</v>
      </c>
      <c r="Z270" s="116">
        <v>4</v>
      </c>
      <c r="AA270" s="122">
        <v>6.1</v>
      </c>
      <c r="AB270" s="116">
        <v>20</v>
      </c>
      <c r="AC270" s="122">
        <v>6.1</v>
      </c>
      <c r="AD270" s="122">
        <v>4.5999999999999996</v>
      </c>
      <c r="AE270" s="79">
        <v>0.21</v>
      </c>
      <c r="AF270" s="79">
        <v>0.18</v>
      </c>
      <c r="AG270" s="85">
        <f>(O270+0.3*H270+2)*(F270/2/AK270)</f>
        <v>1694</v>
      </c>
      <c r="AH270" s="85">
        <f t="shared" si="33"/>
        <v>1708.2758263999997</v>
      </c>
      <c r="AI270" s="85">
        <f t="shared" si="34"/>
        <v>1.008427288311688</v>
      </c>
      <c r="AJ270" s="116">
        <v>3</v>
      </c>
      <c r="AK270" s="116">
        <v>4</v>
      </c>
      <c r="AL270" s="122">
        <v>6.3</v>
      </c>
      <c r="AM270" s="116">
        <v>22</v>
      </c>
      <c r="AN270" s="122">
        <v>6.2</v>
      </c>
      <c r="AO270" s="122">
        <v>4.2</v>
      </c>
      <c r="AP270" s="79">
        <v>0.14000000000000001</v>
      </c>
      <c r="AQ270" s="79">
        <v>0.17</v>
      </c>
      <c r="AR270" s="132">
        <f>SUM(C270:E270)</f>
        <v>2212</v>
      </c>
      <c r="AS270" s="134">
        <f>C270/AR270</f>
        <v>0.10714285714285714</v>
      </c>
      <c r="AT270" s="134">
        <f>D270/AR270</f>
        <v>0.80244122965641951</v>
      </c>
      <c r="AU270" s="134">
        <f>E270/AR270</f>
        <v>9.0415913200723327E-2</v>
      </c>
      <c r="AV270" s="151">
        <f>IF(AND(F270&lt;&gt;"",Z270&lt;&gt;""),AB270/(F270/2/Z270),"")</f>
        <v>7.2727272727272724E-2</v>
      </c>
      <c r="AW270" s="151">
        <f>IF(AND(F270&lt;&gt;"",AK270&lt;&gt;""),AM270/(F270/2/AK270),"")</f>
        <v>0.08</v>
      </c>
      <c r="AX270" s="41">
        <f>IF(AND(AQ270&lt;&gt;"",1-(AQ270/O270)&gt;0),1-(AQ270/O270),"")</f>
        <v>0.87857142857142856</v>
      </c>
      <c r="AY270" s="41">
        <f>IF(AND(AF270&lt;&gt;"",1-(AF270/O270)&gt;0),1-(AF270/O270),"")</f>
        <v>0.87142857142857144</v>
      </c>
      <c r="AZ270" s="136" t="str">
        <f>IF(Q270="","",IF(Q270&lt;2.5,"Alc. Bruta &lt; 2,5 mg/L",IF(Q270&lt;5,"2,5 ≤ Alc. Bruta &lt; 5,0 mg/L",IF(Q270&lt;7.5,"5,0 ≤ Alc. Bruta &lt; 7,5 mg/L",IF(Q270&lt;10,"7,5 ≤ Alc. Bruta &lt; 10,0 mg/L",IF(Q270&lt;15,"10,0 ≤ Alca. Bruta &lt; 15,0 mg/L","Alc. Bruta &gt; 15 mg/L"))))))</f>
        <v>5,0 ≤ Alc. Bruta &lt; 7,5 mg/L</v>
      </c>
      <c r="BA270" s="136" t="str">
        <f>IF(P270="","",IF(P270&lt;5,"Cor &lt;5 uC",IF(P270&lt;10,"5 ≤ Cor &lt; 10 uC",IF(P270&lt;15,"10 ≤ Cor &lt;15 uC",IF(P270&lt;30,"15 ≤ Cor &lt; 30 uC",IF(P270&lt;50,"30 ≤ Cor &lt; 50 uC","Cor &gt; 50 uC"))))))</f>
        <v>10 ≤ Cor &lt;15 uC</v>
      </c>
      <c r="BB270" s="137" t="str">
        <f>IF(O270="","",IF(O270&lt;2.5,"Turbidez &lt; 2,5 uT",IF(O270&lt;5,"2,5 ≤ Turb &lt; 5,0 uT",IF(O270&lt;7.5,"5,0 ≤ Turb &lt; 7,5 uT",IF(O270&lt;10,"7,5 ≤ Turb &lt; 10,0 uT",IF(O270&lt;15,"10,0 ≤ Turb &lt; 15,0 uT","Turb &gt; 15 uT"))))))</f>
        <v>Turbidez &lt; 2,5 uT</v>
      </c>
      <c r="BC270" s="138" t="str">
        <f>IF(AND(C270&gt;D270,D270&gt;E270),"TOR &gt; SM &gt; BNN",IF(AND(C270&gt;E270,E270&gt;D270),"TOR &gt; BNN &gt; SM",IF(AND(D270&gt;C270,C270&gt;E270),"SM &gt; TOR &gt; BNN",IF(AND(D270&gt;E270,E270&gt;C270),"SM &gt; BNN &gt; TOR",IF(AND(C270=D270,D270=E270),"TOR = SM = BNN","Comb. diferentes")))))</f>
        <v>SM &gt; TOR &gt; BNN</v>
      </c>
      <c r="BD270" s="137" t="str">
        <f>IF(OR(AE270="",AQ270="-"),"",IF(AE270&lt;=0.25,"Tipo 1 (≤0,25) uT",IF(AE270&lt;=0.5,"Tipo 2 (0,25-0,50) uT",IF(AE270&lt;=0.75,"Tipo 3 (0,50-0,75) uT","Tipo 4 (&gt;0,75) uT"))))</f>
        <v>Tipo 1 (≤0,25) uT</v>
      </c>
      <c r="BE270" s="137" t="str">
        <f t="shared" si="28"/>
        <v>Tipo 1 (≤0,25) uT</v>
      </c>
      <c r="BF270" s="137" t="str">
        <f>IF(OR(AF270="",AQ270="-"),"",IF(AF270&lt;=0.25,"Tipo 1 (≤0,25) uT",IF(AF270&lt;=0.5,"Tipo 2 (0,25-0,50) uT",IF(AF270&lt;=0.75,"Tipo 3 (0,50-0,75) uT","Tipo 4 (&gt;0,75) uT"))))</f>
        <v>Tipo 1 (≤0,25) uT</v>
      </c>
      <c r="BG270" s="137" t="str">
        <f t="shared" si="29"/>
        <v>Tipo 1 (≤0,25) uT</v>
      </c>
      <c r="BH270" s="137" t="str">
        <f>IF(OR(R270="",R270="-"),"",IF(R270&lt;=0.25,"Tipo 1 (≤0,25) uT",IF(R270&lt;=0.5,"Tipo 2 (0,25-0,50) uT",IF(R270&lt;=0.75,"Tipo 3 (0,50-0,75) uT","Tipo 4 (&gt;0,75) uT"))))</f>
        <v>Tipo 1 (≤0,25) uT</v>
      </c>
    </row>
    <row r="271" spans="1:60" x14ac:dyDescent="0.3">
      <c r="A271" s="74">
        <v>46288</v>
      </c>
      <c r="B271" s="139">
        <v>0.89583333333333337</v>
      </c>
      <c r="C271" s="116">
        <v>237</v>
      </c>
      <c r="D271" s="116">
        <v>1867</v>
      </c>
      <c r="E271" s="116">
        <v>200</v>
      </c>
      <c r="F271" s="116">
        <v>2246</v>
      </c>
      <c r="G271" s="144" t="s">
        <v>100</v>
      </c>
      <c r="H271" s="122">
        <v>9.1999999999999993</v>
      </c>
      <c r="I271" s="116">
        <v>-50</v>
      </c>
      <c r="J271" s="10">
        <v>90</v>
      </c>
      <c r="K271" s="116">
        <v>90</v>
      </c>
      <c r="L271" s="116">
        <v>90</v>
      </c>
      <c r="M271" s="122">
        <v>26</v>
      </c>
      <c r="N271" s="122">
        <v>6.5</v>
      </c>
      <c r="O271" s="79">
        <v>1.41</v>
      </c>
      <c r="P271" s="116">
        <v>11</v>
      </c>
      <c r="Q271" s="122">
        <v>6.1</v>
      </c>
      <c r="R271" s="10">
        <v>0.14000000000000001</v>
      </c>
      <c r="S271" s="79">
        <v>22.36</v>
      </c>
      <c r="T271" s="79">
        <v>0.88</v>
      </c>
      <c r="U271" s="79">
        <v>0.7</v>
      </c>
      <c r="V271" s="85">
        <f t="shared" si="30"/>
        <v>1732.2275</v>
      </c>
      <c r="W271" s="85">
        <f t="shared" si="31"/>
        <v>1491.1839279999999</v>
      </c>
      <c r="X271" s="85">
        <f t="shared" si="32"/>
        <v>0.86084762422949634</v>
      </c>
      <c r="Y271" s="116">
        <v>3</v>
      </c>
      <c r="Z271" s="116">
        <v>4</v>
      </c>
      <c r="AA271" s="122">
        <v>6.1</v>
      </c>
      <c r="AB271" s="116">
        <v>20</v>
      </c>
      <c r="AC271" s="122">
        <v>5</v>
      </c>
      <c r="AD271" s="122">
        <v>3.5</v>
      </c>
      <c r="AE271" s="79">
        <v>0.2</v>
      </c>
      <c r="AF271" s="79">
        <v>0.17</v>
      </c>
      <c r="AG271" s="85">
        <f>(O271+0.3*H271+2)*(F271/2/AK271)</f>
        <v>2309.6366666666663</v>
      </c>
      <c r="AH271" s="85">
        <f t="shared" si="33"/>
        <v>1630.6269251999997</v>
      </c>
      <c r="AI271" s="85">
        <f t="shared" si="34"/>
        <v>0.70601014814739982</v>
      </c>
      <c r="AJ271" s="116">
        <v>4</v>
      </c>
      <c r="AK271" s="116">
        <v>3</v>
      </c>
      <c r="AL271" s="122">
        <v>6.3</v>
      </c>
      <c r="AM271" s="116">
        <v>21</v>
      </c>
      <c r="AN271" s="122">
        <v>6.1</v>
      </c>
      <c r="AO271" s="122">
        <v>5.6</v>
      </c>
      <c r="AP271" s="79">
        <v>0.16</v>
      </c>
      <c r="AQ271" s="79">
        <v>0.17</v>
      </c>
      <c r="AR271" s="132">
        <f>SUM(C271:E271)</f>
        <v>2304</v>
      </c>
      <c r="AS271" s="134">
        <f>C271/AR271</f>
        <v>0.10286458333333333</v>
      </c>
      <c r="AT271" s="134">
        <f>D271/AR271</f>
        <v>0.81032986111111116</v>
      </c>
      <c r="AU271" s="134">
        <f>E271/AR271</f>
        <v>8.6805555555555552E-2</v>
      </c>
      <c r="AV271" s="151">
        <f>IF(AND(F271&lt;&gt;"",Z271&lt;&gt;""),AB271/(F271/2/Z271),"")</f>
        <v>7.123775601068566E-2</v>
      </c>
      <c r="AW271" s="151">
        <f>IF(AND(F271&lt;&gt;"",AK271&lt;&gt;""),AM271/(F271/2/AK271),"")</f>
        <v>5.6099732858414963E-2</v>
      </c>
      <c r="AX271" s="41">
        <f>IF(AND(AQ271&lt;&gt;"",1-(AQ271/O271)&gt;0),1-(AQ271/O271),"")</f>
        <v>0.87943262411347511</v>
      </c>
      <c r="AY271" s="41">
        <f>IF(AND(AF271&lt;&gt;"",1-(AF271/O271)&gt;0),1-(AF271/O271),"")</f>
        <v>0.87943262411347511</v>
      </c>
      <c r="AZ271" s="136" t="str">
        <f>IF(Q271="","",IF(Q271&lt;2.5,"Alc. Bruta &lt; 2,5 mg/L",IF(Q271&lt;5,"2,5 ≤ Alc. Bruta &lt; 5,0 mg/L",IF(Q271&lt;7.5,"5,0 ≤ Alc. Bruta &lt; 7,5 mg/L",IF(Q271&lt;10,"7,5 ≤ Alc. Bruta &lt; 10,0 mg/L",IF(Q271&lt;15,"10,0 ≤ Alca. Bruta &lt; 15,0 mg/L","Alc. Bruta &gt; 15 mg/L"))))))</f>
        <v>5,0 ≤ Alc. Bruta &lt; 7,5 mg/L</v>
      </c>
      <c r="BA271" s="136" t="str">
        <f>IF(P271="","",IF(P271&lt;5,"Cor &lt;5 uC",IF(P271&lt;10,"5 ≤ Cor &lt; 10 uC",IF(P271&lt;15,"10 ≤ Cor &lt;15 uC",IF(P271&lt;30,"15 ≤ Cor &lt; 30 uC",IF(P271&lt;50,"30 ≤ Cor &lt; 50 uC","Cor &gt; 50 uC"))))))</f>
        <v>10 ≤ Cor &lt;15 uC</v>
      </c>
      <c r="BB271" s="137" t="str">
        <f>IF(O271="","",IF(O271&lt;2.5,"Turbidez &lt; 2,5 uT",IF(O271&lt;5,"2,5 ≤ Turb &lt; 5,0 uT",IF(O271&lt;7.5,"5,0 ≤ Turb &lt; 7,5 uT",IF(O271&lt;10,"7,5 ≤ Turb &lt; 10,0 uT",IF(O271&lt;15,"10,0 ≤ Turb &lt; 15,0 uT","Turb &gt; 15 uT"))))))</f>
        <v>Turbidez &lt; 2,5 uT</v>
      </c>
      <c r="BC271" s="138" t="str">
        <f>IF(AND(C271&gt;D271,D271&gt;E271),"TOR &gt; SM &gt; BNN",IF(AND(C271&gt;E271,E271&gt;D271),"TOR &gt; BNN &gt; SM",IF(AND(D271&gt;C271,C271&gt;E271),"SM &gt; TOR &gt; BNN",IF(AND(D271&gt;E271,E271&gt;C271),"SM &gt; BNN &gt; TOR",IF(AND(C271=D271,D271=E271),"TOR = SM = BNN","Comb. diferentes")))))</f>
        <v>SM &gt; TOR &gt; BNN</v>
      </c>
      <c r="BD271" s="137" t="str">
        <f>IF(OR(AE271="",AQ271="-"),"",IF(AE271&lt;=0.25,"Tipo 1 (≤0,25) uT",IF(AE271&lt;=0.5,"Tipo 2 (0,25-0,50) uT",IF(AE271&lt;=0.75,"Tipo 3 (0,50-0,75) uT","Tipo 4 (&gt;0,75) uT"))))</f>
        <v>Tipo 1 (≤0,25) uT</v>
      </c>
      <c r="BE271" s="137" t="str">
        <f t="shared" si="28"/>
        <v>Tipo 1 (≤0,25) uT</v>
      </c>
      <c r="BF271" s="137" t="str">
        <f>IF(OR(AF271="",AQ271="-"),"",IF(AF271&lt;=0.25,"Tipo 1 (≤0,25) uT",IF(AF271&lt;=0.5,"Tipo 2 (0,25-0,50) uT",IF(AF271&lt;=0.75,"Tipo 3 (0,50-0,75) uT","Tipo 4 (&gt;0,75) uT"))))</f>
        <v>Tipo 1 (≤0,25) uT</v>
      </c>
      <c r="BG271" s="137" t="str">
        <f t="shared" si="29"/>
        <v>Tipo 1 (≤0,25) uT</v>
      </c>
      <c r="BH271" s="137" t="str">
        <f>IF(OR(R271="",R271="-"),"",IF(R271&lt;=0.25,"Tipo 1 (≤0,25) uT",IF(R271&lt;=0.5,"Tipo 2 (0,25-0,50) uT",IF(R271&lt;=0.75,"Tipo 3 (0,50-0,75) uT","Tipo 4 (&gt;0,75) uT"))))</f>
        <v>Tipo 1 (≤0,25) uT</v>
      </c>
    </row>
    <row r="272" spans="1:60" x14ac:dyDescent="0.3">
      <c r="A272" s="74">
        <v>46288</v>
      </c>
      <c r="B272" s="139">
        <v>0.97916666666666663</v>
      </c>
      <c r="C272" s="116">
        <v>230</v>
      </c>
      <c r="D272" s="116">
        <v>1710</v>
      </c>
      <c r="E272" s="116">
        <v>200</v>
      </c>
      <c r="F272" s="116">
        <v>2230</v>
      </c>
      <c r="G272" s="144" t="s">
        <v>100</v>
      </c>
      <c r="H272" s="122">
        <v>9.1999999999999993</v>
      </c>
      <c r="I272" s="116">
        <v>-37</v>
      </c>
      <c r="J272" s="10">
        <v>90</v>
      </c>
      <c r="K272" s="116">
        <v>90</v>
      </c>
      <c r="L272" s="116">
        <v>90</v>
      </c>
      <c r="M272" s="122">
        <v>24.9</v>
      </c>
      <c r="N272" s="122">
        <v>6.5</v>
      </c>
      <c r="O272" s="79">
        <v>1.4</v>
      </c>
      <c r="P272" s="116">
        <v>10</v>
      </c>
      <c r="Q272" s="122">
        <v>6.1</v>
      </c>
      <c r="R272" s="10">
        <v>0.14000000000000001</v>
      </c>
      <c r="S272" s="79">
        <v>22.36</v>
      </c>
      <c r="T272" s="79">
        <v>0.88</v>
      </c>
      <c r="U272" s="79">
        <v>0.7</v>
      </c>
      <c r="V272" s="85">
        <f t="shared" si="30"/>
        <v>1717.1000000000001</v>
      </c>
      <c r="W272" s="85">
        <f t="shared" si="31"/>
        <v>1491.1839279999999</v>
      </c>
      <c r="X272" s="85">
        <f t="shared" si="32"/>
        <v>0.86843161609690744</v>
      </c>
      <c r="Y272" s="116">
        <v>3</v>
      </c>
      <c r="Z272" s="116">
        <v>4</v>
      </c>
      <c r="AA272" s="122">
        <v>6.1</v>
      </c>
      <c r="AB272" s="116">
        <v>20</v>
      </c>
      <c r="AC272" s="122">
        <v>6.2</v>
      </c>
      <c r="AD272" s="122">
        <v>4.8</v>
      </c>
      <c r="AE272" s="79">
        <v>0.22</v>
      </c>
      <c r="AF272" s="79">
        <v>0.16</v>
      </c>
      <c r="AG272" s="85">
        <f>(O272+0.3*H272+2)*(F272/2/AK272)</f>
        <v>1717.1000000000001</v>
      </c>
      <c r="AH272" s="85">
        <f t="shared" si="33"/>
        <v>1708.2758263999997</v>
      </c>
      <c r="AI272" s="85">
        <f t="shared" si="34"/>
        <v>0.99486100192184468</v>
      </c>
      <c r="AJ272" s="116">
        <v>3</v>
      </c>
      <c r="AK272" s="116">
        <v>4</v>
      </c>
      <c r="AL272" s="122">
        <v>6.3</v>
      </c>
      <c r="AM272" s="116">
        <v>22</v>
      </c>
      <c r="AN272" s="122">
        <v>6.1</v>
      </c>
      <c r="AO272" s="122">
        <v>4.4000000000000004</v>
      </c>
      <c r="AP272" s="79">
        <v>0.14000000000000001</v>
      </c>
      <c r="AQ272" s="79">
        <v>0.17</v>
      </c>
      <c r="AR272" s="132">
        <f>SUM(C272:E272)</f>
        <v>2140</v>
      </c>
      <c r="AS272" s="134">
        <f>C272/AR272</f>
        <v>0.10747663551401869</v>
      </c>
      <c r="AT272" s="134">
        <f>D272/AR272</f>
        <v>0.7990654205607477</v>
      </c>
      <c r="AU272" s="134">
        <f>E272/AR272</f>
        <v>9.3457943925233641E-2</v>
      </c>
      <c r="AV272" s="151">
        <f>IF(AND(F272&lt;&gt;"",Z272&lt;&gt;""),AB272/(F272/2/Z272),"")</f>
        <v>7.1748878923766815E-2</v>
      </c>
      <c r="AW272" s="151">
        <f>IF(AND(F272&lt;&gt;"",AK272&lt;&gt;""),AM272/(F272/2/AK272),"")</f>
        <v>7.8923766816143492E-2</v>
      </c>
      <c r="AX272" s="41">
        <f>IF(AND(AQ272&lt;&gt;"",1-(AQ272/O272)&gt;0),1-(AQ272/O272),"")</f>
        <v>0.87857142857142856</v>
      </c>
      <c r="AY272" s="41">
        <f>IF(AND(AF272&lt;&gt;"",1-(AF272/O272)&gt;0),1-(AF272/O272),"")</f>
        <v>0.88571428571428568</v>
      </c>
      <c r="AZ272" s="136" t="str">
        <f>IF(Q272="","",IF(Q272&lt;2.5,"Alc. Bruta &lt; 2,5 mg/L",IF(Q272&lt;5,"2,5 ≤ Alc. Bruta &lt; 5,0 mg/L",IF(Q272&lt;7.5,"5,0 ≤ Alc. Bruta &lt; 7,5 mg/L",IF(Q272&lt;10,"7,5 ≤ Alc. Bruta &lt; 10,0 mg/L",IF(Q272&lt;15,"10,0 ≤ Alca. Bruta &lt; 15,0 mg/L","Alc. Bruta &gt; 15 mg/L"))))))</f>
        <v>5,0 ≤ Alc. Bruta &lt; 7,5 mg/L</v>
      </c>
      <c r="BA272" s="136" t="str">
        <f>IF(P272="","",IF(P272&lt;5,"Cor &lt;5 uC",IF(P272&lt;10,"5 ≤ Cor &lt; 10 uC",IF(P272&lt;15,"10 ≤ Cor &lt;15 uC",IF(P272&lt;30,"15 ≤ Cor &lt; 30 uC",IF(P272&lt;50,"30 ≤ Cor &lt; 50 uC","Cor &gt; 50 uC"))))))</f>
        <v>10 ≤ Cor &lt;15 uC</v>
      </c>
      <c r="BB272" s="137" t="str">
        <f>IF(O272="","",IF(O272&lt;2.5,"Turbidez &lt; 2,5 uT",IF(O272&lt;5,"2,5 ≤ Turb &lt; 5,0 uT",IF(O272&lt;7.5,"5,0 ≤ Turb &lt; 7,5 uT",IF(O272&lt;10,"7,5 ≤ Turb &lt; 10,0 uT",IF(O272&lt;15,"10,0 ≤ Turb &lt; 15,0 uT","Turb &gt; 15 uT"))))))</f>
        <v>Turbidez &lt; 2,5 uT</v>
      </c>
      <c r="BC272" s="138" t="str">
        <f>IF(AND(C272&gt;D272,D272&gt;E272),"TOR &gt; SM &gt; BNN",IF(AND(C272&gt;E272,E272&gt;D272),"TOR &gt; BNN &gt; SM",IF(AND(D272&gt;C272,C272&gt;E272),"SM &gt; TOR &gt; BNN",IF(AND(D272&gt;E272,E272&gt;C272),"SM &gt; BNN &gt; TOR",IF(AND(C272=D272,D272=E272),"TOR = SM = BNN","Comb. diferentes")))))</f>
        <v>SM &gt; TOR &gt; BNN</v>
      </c>
      <c r="BD272" s="137" t="str">
        <f>IF(OR(AE272="",AQ272="-"),"",IF(AE272&lt;=0.25,"Tipo 1 (≤0,25) uT",IF(AE272&lt;=0.5,"Tipo 2 (0,25-0,50) uT",IF(AE272&lt;=0.75,"Tipo 3 (0,50-0,75) uT","Tipo 4 (&gt;0,75) uT"))))</f>
        <v>Tipo 1 (≤0,25) uT</v>
      </c>
      <c r="BE272" s="137" t="str">
        <f t="shared" si="28"/>
        <v>Tipo 1 (≤0,25) uT</v>
      </c>
      <c r="BF272" s="137" t="str">
        <f>IF(OR(AF272="",AQ272="-"),"",IF(AF272&lt;=0.25,"Tipo 1 (≤0,25) uT",IF(AF272&lt;=0.5,"Tipo 2 (0,25-0,50) uT",IF(AF272&lt;=0.75,"Tipo 3 (0,50-0,75) uT","Tipo 4 (&gt;0,75) uT"))))</f>
        <v>Tipo 1 (≤0,25) uT</v>
      </c>
      <c r="BG272" s="137" t="str">
        <f t="shared" si="29"/>
        <v>Tipo 1 (≤0,25) uT</v>
      </c>
      <c r="BH272" s="137" t="str">
        <f>IF(OR(R272="",R272="-"),"",IF(R272&lt;=0.25,"Tipo 1 (≤0,25) uT",IF(R272&lt;=0.5,"Tipo 2 (0,25-0,50) uT",IF(R272&lt;=0.75,"Tipo 3 (0,50-0,75) uT","Tipo 4 (&gt;0,75) uT"))))</f>
        <v>Tipo 1 (≤0,25) uT</v>
      </c>
    </row>
    <row r="273" spans="1:60" x14ac:dyDescent="0.3">
      <c r="A273" s="74">
        <v>46289</v>
      </c>
      <c r="B273" s="139">
        <v>6.25E-2</v>
      </c>
      <c r="C273" s="116">
        <v>340</v>
      </c>
      <c r="D273" s="116">
        <v>1780</v>
      </c>
      <c r="E273" s="116">
        <v>200</v>
      </c>
      <c r="F273" s="116">
        <v>2222</v>
      </c>
      <c r="G273" s="144" t="s">
        <v>100</v>
      </c>
      <c r="H273" s="122">
        <v>9.1999999999999993</v>
      </c>
      <c r="I273" s="116">
        <v>-52</v>
      </c>
      <c r="J273" s="10">
        <v>90</v>
      </c>
      <c r="K273" s="116">
        <v>90</v>
      </c>
      <c r="L273" s="116">
        <v>90</v>
      </c>
      <c r="M273" s="122">
        <v>25.1</v>
      </c>
      <c r="N273" s="122">
        <v>6.5</v>
      </c>
      <c r="O273" s="79">
        <v>1.46</v>
      </c>
      <c r="P273" s="116">
        <v>11</v>
      </c>
      <c r="Q273" s="122">
        <v>6</v>
      </c>
      <c r="R273" s="10">
        <v>0.11</v>
      </c>
      <c r="S273" s="79">
        <v>22.36</v>
      </c>
      <c r="T273" s="79">
        <v>0.88</v>
      </c>
      <c r="U273" s="79">
        <v>0.7</v>
      </c>
      <c r="V273" s="85">
        <f t="shared" si="30"/>
        <v>1727.605</v>
      </c>
      <c r="W273" s="85">
        <f t="shared" si="31"/>
        <v>1460.2868799999999</v>
      </c>
      <c r="X273" s="85">
        <f t="shared" si="32"/>
        <v>0.84526664370617122</v>
      </c>
      <c r="Y273" s="116">
        <v>4</v>
      </c>
      <c r="Z273" s="116">
        <v>4</v>
      </c>
      <c r="AA273" s="122">
        <v>6</v>
      </c>
      <c r="AB273" s="116">
        <v>20</v>
      </c>
      <c r="AC273" s="122">
        <v>6.3</v>
      </c>
      <c r="AD273" s="122">
        <v>4.4000000000000004</v>
      </c>
      <c r="AE273" s="79">
        <v>0.17</v>
      </c>
      <c r="AF273" s="79">
        <v>0.15</v>
      </c>
      <c r="AG273" s="85">
        <f>(O273+0.3*H273+2)*(F273/2/AK273)</f>
        <v>2303.4733333333329</v>
      </c>
      <c r="AH273" s="85">
        <f t="shared" si="33"/>
        <v>1708.2758263999997</v>
      </c>
      <c r="AI273" s="85">
        <f t="shared" si="34"/>
        <v>0.74160868358218457</v>
      </c>
      <c r="AJ273" s="116">
        <v>3</v>
      </c>
      <c r="AK273" s="116">
        <v>3</v>
      </c>
      <c r="AL273" s="122">
        <v>6.3</v>
      </c>
      <c r="AM273" s="116">
        <v>22</v>
      </c>
      <c r="AN273" s="122">
        <v>6</v>
      </c>
      <c r="AO273" s="122">
        <v>4</v>
      </c>
      <c r="AP273" s="79">
        <v>0.12</v>
      </c>
      <c r="AQ273" s="79">
        <v>0.18</v>
      </c>
      <c r="AR273" s="132">
        <f>SUM(C273:E273)</f>
        <v>2320</v>
      </c>
      <c r="AS273" s="134">
        <f>C273/AR273</f>
        <v>0.14655172413793102</v>
      </c>
      <c r="AT273" s="134">
        <f>D273/AR273</f>
        <v>0.76724137931034486</v>
      </c>
      <c r="AU273" s="134">
        <f>E273/AR273</f>
        <v>8.6206896551724144E-2</v>
      </c>
      <c r="AV273" s="151">
        <f>IF(AND(F273&lt;&gt;"",Z273&lt;&gt;""),AB273/(F273/2/Z273),"")</f>
        <v>7.2007200720072009E-2</v>
      </c>
      <c r="AW273" s="151">
        <f>IF(AND(F273&lt;&gt;"",AK273&lt;&gt;""),AM273/(F273/2/AK273),"")</f>
        <v>5.940594059405941E-2</v>
      </c>
      <c r="AX273" s="41">
        <f>IF(AND(AQ273&lt;&gt;"",1-(AQ273/O273)&gt;0),1-(AQ273/O273),"")</f>
        <v>0.87671232876712324</v>
      </c>
      <c r="AY273" s="41">
        <f>IF(AND(AF273&lt;&gt;"",1-(AF273/O273)&gt;0),1-(AF273/O273),"")</f>
        <v>0.89726027397260277</v>
      </c>
      <c r="AZ273" s="136" t="str">
        <f>IF(Q273="","",IF(Q273&lt;2.5,"Alc. Bruta &lt; 2,5 mg/L",IF(Q273&lt;5,"2,5 ≤ Alc. Bruta &lt; 5,0 mg/L",IF(Q273&lt;7.5,"5,0 ≤ Alc. Bruta &lt; 7,5 mg/L",IF(Q273&lt;10,"7,5 ≤ Alc. Bruta &lt; 10,0 mg/L",IF(Q273&lt;15,"10,0 ≤ Alca. Bruta &lt; 15,0 mg/L","Alc. Bruta &gt; 15 mg/L"))))))</f>
        <v>5,0 ≤ Alc. Bruta &lt; 7,5 mg/L</v>
      </c>
      <c r="BA273" s="136" t="str">
        <f>IF(P273="","",IF(P273&lt;5,"Cor &lt;5 uC",IF(P273&lt;10,"5 ≤ Cor &lt; 10 uC",IF(P273&lt;15,"10 ≤ Cor &lt;15 uC",IF(P273&lt;30,"15 ≤ Cor &lt; 30 uC",IF(P273&lt;50,"30 ≤ Cor &lt; 50 uC","Cor &gt; 50 uC"))))))</f>
        <v>10 ≤ Cor &lt;15 uC</v>
      </c>
      <c r="BB273" s="137" t="str">
        <f>IF(O273="","",IF(O273&lt;2.5,"Turbidez &lt; 2,5 uT",IF(O273&lt;5,"2,5 ≤ Turb &lt; 5,0 uT",IF(O273&lt;7.5,"5,0 ≤ Turb &lt; 7,5 uT",IF(O273&lt;10,"7,5 ≤ Turb &lt; 10,0 uT",IF(O273&lt;15,"10,0 ≤ Turb &lt; 15,0 uT","Turb &gt; 15 uT"))))))</f>
        <v>Turbidez &lt; 2,5 uT</v>
      </c>
      <c r="BC273" s="138" t="str">
        <f>IF(AND(C273&gt;D273,D273&gt;E273),"TOR &gt; SM &gt; BNN",IF(AND(C273&gt;E273,E273&gt;D273),"TOR &gt; BNN &gt; SM",IF(AND(D273&gt;C273,C273&gt;E273),"SM &gt; TOR &gt; BNN",IF(AND(D273&gt;E273,E273&gt;C273),"SM &gt; BNN &gt; TOR",IF(AND(C273=D273,D273=E273),"TOR = SM = BNN","Comb. diferentes")))))</f>
        <v>SM &gt; TOR &gt; BNN</v>
      </c>
      <c r="BD273" s="137" t="str">
        <f>IF(OR(AE273="",AQ273="-"),"",IF(AE273&lt;=0.25,"Tipo 1 (≤0,25) uT",IF(AE273&lt;=0.5,"Tipo 2 (0,25-0,50) uT",IF(AE273&lt;=0.75,"Tipo 3 (0,50-0,75) uT","Tipo 4 (&gt;0,75) uT"))))</f>
        <v>Tipo 1 (≤0,25) uT</v>
      </c>
      <c r="BE273" s="137" t="str">
        <f t="shared" si="28"/>
        <v>Tipo 1 (≤0,25) uT</v>
      </c>
      <c r="BF273" s="137" t="str">
        <f>IF(OR(AF273="",AQ273="-"),"",IF(AF273&lt;=0.25,"Tipo 1 (≤0,25) uT",IF(AF273&lt;=0.5,"Tipo 2 (0,25-0,50) uT",IF(AF273&lt;=0.75,"Tipo 3 (0,50-0,75) uT","Tipo 4 (&gt;0,75) uT"))))</f>
        <v>Tipo 1 (≤0,25) uT</v>
      </c>
      <c r="BG273" s="137" t="str">
        <f t="shared" si="29"/>
        <v>Tipo 1 (≤0,25) uT</v>
      </c>
      <c r="BH273" s="137" t="str">
        <f>IF(OR(R273="",R273="-"),"",IF(R273&lt;=0.25,"Tipo 1 (≤0,25) uT",IF(R273&lt;=0.5,"Tipo 2 (0,25-0,50) uT",IF(R273&lt;=0.75,"Tipo 3 (0,50-0,75) uT","Tipo 4 (&gt;0,75) uT"))))</f>
        <v>Tipo 1 (≤0,25) uT</v>
      </c>
    </row>
    <row r="274" spans="1:60" x14ac:dyDescent="0.3">
      <c r="A274" s="74">
        <v>46289</v>
      </c>
      <c r="B274" s="139">
        <v>0.14583333333333334</v>
      </c>
      <c r="C274" s="116">
        <v>351</v>
      </c>
      <c r="D274" s="116">
        <v>1690</v>
      </c>
      <c r="E274" s="116">
        <v>200</v>
      </c>
      <c r="F274" s="116">
        <v>2241</v>
      </c>
      <c r="G274" s="144" t="s">
        <v>100</v>
      </c>
      <c r="H274" s="122">
        <v>9.1999999999999993</v>
      </c>
      <c r="I274" s="116">
        <v>-52</v>
      </c>
      <c r="J274" s="10">
        <v>90</v>
      </c>
      <c r="K274" s="116">
        <v>90</v>
      </c>
      <c r="L274" s="116">
        <v>90</v>
      </c>
      <c r="M274" s="122">
        <v>25</v>
      </c>
      <c r="N274" s="122">
        <v>6.5</v>
      </c>
      <c r="O274" s="79">
        <v>1.49</v>
      </c>
      <c r="P274" s="116">
        <v>11</v>
      </c>
      <c r="Q274" s="122">
        <v>6.1</v>
      </c>
      <c r="R274" s="10">
        <v>0.1</v>
      </c>
      <c r="S274" s="79">
        <v>22.36</v>
      </c>
      <c r="T274" s="79">
        <v>0.88</v>
      </c>
      <c r="U274" s="79">
        <v>0.7</v>
      </c>
      <c r="V274" s="85">
        <f t="shared" si="30"/>
        <v>1750.78125</v>
      </c>
      <c r="W274" s="85">
        <f t="shared" si="31"/>
        <v>1460.2868799999999</v>
      </c>
      <c r="X274" s="85">
        <f t="shared" si="32"/>
        <v>0.83407728978134754</v>
      </c>
      <c r="Y274" s="116">
        <v>3</v>
      </c>
      <c r="Z274" s="116">
        <v>4</v>
      </c>
      <c r="AA274" s="122">
        <v>6</v>
      </c>
      <c r="AB274" s="116">
        <v>20</v>
      </c>
      <c r="AC274" s="122">
        <v>5.0999999999999996</v>
      </c>
      <c r="AD274" s="122">
        <v>5.2</v>
      </c>
      <c r="AE274" s="79">
        <v>0.14000000000000001</v>
      </c>
      <c r="AF274" s="79">
        <v>0.15</v>
      </c>
      <c r="AG274" s="85">
        <f>(O274+0.3*H274+2)*(F274/2/AK274)</f>
        <v>2334.375</v>
      </c>
      <c r="AH274" s="85">
        <f t="shared" si="33"/>
        <v>1695.510726</v>
      </c>
      <c r="AI274" s="85">
        <f t="shared" si="34"/>
        <v>0.72632320257028116</v>
      </c>
      <c r="AJ274" s="116">
        <v>4</v>
      </c>
      <c r="AK274" s="116">
        <v>3</v>
      </c>
      <c r="AL274" s="122">
        <v>6.5</v>
      </c>
      <c r="AM274" s="116">
        <v>21</v>
      </c>
      <c r="AN274" s="122">
        <v>6.1</v>
      </c>
      <c r="AO274" s="122">
        <v>5.5</v>
      </c>
      <c r="AP274" s="79">
        <v>0.15</v>
      </c>
      <c r="AQ274" s="79">
        <v>0.1</v>
      </c>
      <c r="AR274" s="132">
        <f>SUM(C274:E274)</f>
        <v>2241</v>
      </c>
      <c r="AS274" s="134">
        <f>C274/AR274</f>
        <v>0.15662650602409639</v>
      </c>
      <c r="AT274" s="134">
        <f>D274/AR274</f>
        <v>0.75412762159750113</v>
      </c>
      <c r="AU274" s="134">
        <f>E274/AR274</f>
        <v>8.9245872378402494E-2</v>
      </c>
      <c r="AV274" s="151">
        <f>IF(AND(F274&lt;&gt;"",Z274&lt;&gt;""),AB274/(F274/2/Z274),"")</f>
        <v>7.1396697902722003E-2</v>
      </c>
      <c r="AW274" s="151">
        <f>IF(AND(F274&lt;&gt;"",AK274&lt;&gt;""),AM274/(F274/2/AK274),"")</f>
        <v>5.6224899598393573E-2</v>
      </c>
      <c r="AX274" s="41">
        <f>IF(AND(AQ274&lt;&gt;"",1-(AQ274/O274)&gt;0),1-(AQ274/O274),"")</f>
        <v>0.93288590604026844</v>
      </c>
      <c r="AY274" s="41">
        <f>IF(AND(AF274&lt;&gt;"",1-(AF274/O274)&gt;0),1-(AF274/O274),"")</f>
        <v>0.89932885906040272</v>
      </c>
      <c r="AZ274" s="136" t="str">
        <f>IF(Q274="","",IF(Q274&lt;2.5,"Alc. Bruta &lt; 2,5 mg/L",IF(Q274&lt;5,"2,5 ≤ Alc. Bruta &lt; 5,0 mg/L",IF(Q274&lt;7.5,"5,0 ≤ Alc. Bruta &lt; 7,5 mg/L",IF(Q274&lt;10,"7,5 ≤ Alc. Bruta &lt; 10,0 mg/L",IF(Q274&lt;15,"10,0 ≤ Alca. Bruta &lt; 15,0 mg/L","Alc. Bruta &gt; 15 mg/L"))))))</f>
        <v>5,0 ≤ Alc. Bruta &lt; 7,5 mg/L</v>
      </c>
      <c r="BA274" s="136" t="str">
        <f>IF(P274="","",IF(P274&lt;5,"Cor &lt;5 uC",IF(P274&lt;10,"5 ≤ Cor &lt; 10 uC",IF(P274&lt;15,"10 ≤ Cor &lt;15 uC",IF(P274&lt;30,"15 ≤ Cor &lt; 30 uC",IF(P274&lt;50,"30 ≤ Cor &lt; 50 uC","Cor &gt; 50 uC"))))))</f>
        <v>10 ≤ Cor &lt;15 uC</v>
      </c>
      <c r="BB274" s="137" t="str">
        <f>IF(O274="","",IF(O274&lt;2.5,"Turbidez &lt; 2,5 uT",IF(O274&lt;5,"2,5 ≤ Turb &lt; 5,0 uT",IF(O274&lt;7.5,"5,0 ≤ Turb &lt; 7,5 uT",IF(O274&lt;10,"7,5 ≤ Turb &lt; 10,0 uT",IF(O274&lt;15,"10,0 ≤ Turb &lt; 15,0 uT","Turb &gt; 15 uT"))))))</f>
        <v>Turbidez &lt; 2,5 uT</v>
      </c>
      <c r="BC274" s="138" t="str">
        <f>IF(AND(C274&gt;D274,D274&gt;E274),"TOR &gt; SM &gt; BNN",IF(AND(C274&gt;E274,E274&gt;D274),"TOR &gt; BNN &gt; SM",IF(AND(D274&gt;C274,C274&gt;E274),"SM &gt; TOR &gt; BNN",IF(AND(D274&gt;E274,E274&gt;C274),"SM &gt; BNN &gt; TOR",IF(AND(C274=D274,D274=E274),"TOR = SM = BNN","Comb. diferentes")))))</f>
        <v>SM &gt; TOR &gt; BNN</v>
      </c>
      <c r="BD274" s="137" t="str">
        <f>IF(OR(AE274="",AQ274="-"),"",IF(AE274&lt;=0.25,"Tipo 1 (≤0,25) uT",IF(AE274&lt;=0.5,"Tipo 2 (0,25-0,50) uT",IF(AE274&lt;=0.75,"Tipo 3 (0,50-0,75) uT","Tipo 4 (&gt;0,75) uT"))))</f>
        <v>Tipo 1 (≤0,25) uT</v>
      </c>
      <c r="BE274" s="137" t="str">
        <f t="shared" si="28"/>
        <v>Tipo 1 (≤0,25) uT</v>
      </c>
      <c r="BF274" s="137" t="str">
        <f>IF(OR(AF274="",AQ274="-"),"",IF(AF274&lt;=0.25,"Tipo 1 (≤0,25) uT",IF(AF274&lt;=0.5,"Tipo 2 (0,25-0,50) uT",IF(AF274&lt;=0.75,"Tipo 3 (0,50-0,75) uT","Tipo 4 (&gt;0,75) uT"))))</f>
        <v>Tipo 1 (≤0,25) uT</v>
      </c>
      <c r="BG274" s="137" t="str">
        <f t="shared" si="29"/>
        <v>Tipo 1 (≤0,25) uT</v>
      </c>
      <c r="BH274" s="137" t="str">
        <f>IF(OR(R274="",R274="-"),"",IF(R274&lt;=0.25,"Tipo 1 (≤0,25) uT",IF(R274&lt;=0.5,"Tipo 2 (0,25-0,50) uT",IF(R274&lt;=0.75,"Tipo 3 (0,50-0,75) uT","Tipo 4 (&gt;0,75) uT"))))</f>
        <v>Tipo 1 (≤0,25) uT</v>
      </c>
    </row>
    <row r="275" spans="1:60" ht="15" thickBot="1" x14ac:dyDescent="0.35">
      <c r="A275" s="75">
        <v>46289</v>
      </c>
      <c r="B275" s="140">
        <v>0.22916666666666666</v>
      </c>
      <c r="C275" s="117">
        <v>367</v>
      </c>
      <c r="D275" s="117">
        <v>1573</v>
      </c>
      <c r="E275" s="117">
        <v>201</v>
      </c>
      <c r="F275" s="117">
        <v>2222</v>
      </c>
      <c r="G275" s="145" t="s">
        <v>100</v>
      </c>
      <c r="H275" s="123">
        <v>9.1999999999999993</v>
      </c>
      <c r="I275" s="117">
        <v>-51</v>
      </c>
      <c r="J275" s="11">
        <v>90</v>
      </c>
      <c r="K275" s="117">
        <v>90</v>
      </c>
      <c r="L275" s="117">
        <v>90</v>
      </c>
      <c r="M275" s="123">
        <v>25</v>
      </c>
      <c r="N275" s="123">
        <v>6.5</v>
      </c>
      <c r="O275" s="80">
        <v>1.46</v>
      </c>
      <c r="P275" s="117">
        <v>12</v>
      </c>
      <c r="Q275" s="123">
        <v>6</v>
      </c>
      <c r="R275" s="11">
        <v>0.08</v>
      </c>
      <c r="S275" s="79">
        <v>22.36</v>
      </c>
      <c r="T275" s="79">
        <v>0.88</v>
      </c>
      <c r="U275" s="79">
        <v>0.7</v>
      </c>
      <c r="V275" s="85">
        <f t="shared" si="30"/>
        <v>1727.605</v>
      </c>
      <c r="W275" s="85">
        <f t="shared" si="31"/>
        <v>1460.2868799999999</v>
      </c>
      <c r="X275" s="85">
        <f t="shared" si="32"/>
        <v>0.84526664370617122</v>
      </c>
      <c r="Y275" s="117">
        <v>3</v>
      </c>
      <c r="Z275" s="117">
        <v>4</v>
      </c>
      <c r="AA275" s="123">
        <v>6</v>
      </c>
      <c r="AB275" s="117">
        <v>20</v>
      </c>
      <c r="AC275" s="123">
        <v>6.1</v>
      </c>
      <c r="AD275" s="123">
        <v>5.5</v>
      </c>
      <c r="AE275" s="80">
        <v>0.17</v>
      </c>
      <c r="AF275" s="80">
        <v>0.14000000000000001</v>
      </c>
      <c r="AG275" s="85">
        <f>(O275+0.3*H275+2)*(F275/2/AK275)</f>
        <v>1727.605</v>
      </c>
      <c r="AH275" s="85">
        <f t="shared" si="33"/>
        <v>1776.2493320000001</v>
      </c>
      <c r="AI275" s="85">
        <f t="shared" si="34"/>
        <v>1.0281570914647735</v>
      </c>
      <c r="AJ275" s="117">
        <v>3</v>
      </c>
      <c r="AK275" s="117">
        <v>4</v>
      </c>
      <c r="AL275" s="123">
        <v>6.5</v>
      </c>
      <c r="AM275" s="117">
        <v>22</v>
      </c>
      <c r="AN275" s="123">
        <v>6.2</v>
      </c>
      <c r="AO275" s="123">
        <v>5.7</v>
      </c>
      <c r="AP275" s="80">
        <v>0.17</v>
      </c>
      <c r="AQ275" s="80">
        <v>0.19</v>
      </c>
      <c r="AR275" s="132">
        <f>SUM(C275:E275)</f>
        <v>2141</v>
      </c>
      <c r="AS275" s="134">
        <f>C275/AR275</f>
        <v>0.17141522652965904</v>
      </c>
      <c r="AT275" s="134">
        <f>D275/AR275</f>
        <v>0.73470340962167213</v>
      </c>
      <c r="AU275" s="134">
        <f>E275/AR275</f>
        <v>9.3881363848668853E-2</v>
      </c>
      <c r="AV275" s="151">
        <f>IF(AND(F275&lt;&gt;"",Z275&lt;&gt;""),AB275/(F275/2/Z275),"")</f>
        <v>7.2007200720072009E-2</v>
      </c>
      <c r="AW275" s="151">
        <f>IF(AND(F275&lt;&gt;"",AK275&lt;&gt;""),AM275/(F275/2/AK275),"")</f>
        <v>7.9207920792079209E-2</v>
      </c>
      <c r="AX275" s="41">
        <f>IF(AND(AQ275&lt;&gt;"",1-(AQ275/O275)&gt;0),1-(AQ275/O275),"")</f>
        <v>0.86986301369863017</v>
      </c>
      <c r="AY275" s="41">
        <f>IF(AND(AF275&lt;&gt;"",1-(AF275/O275)&gt;0),1-(AF275/O275),"")</f>
        <v>0.90410958904109584</v>
      </c>
      <c r="AZ275" s="136" t="str">
        <f>IF(Q275="","",IF(Q275&lt;2.5,"Alc. Bruta &lt; 2,5 mg/L",IF(Q275&lt;5,"2,5 ≤ Alc. Bruta &lt; 5,0 mg/L",IF(Q275&lt;7.5,"5,0 ≤ Alc. Bruta &lt; 7,5 mg/L",IF(Q275&lt;10,"7,5 ≤ Alc. Bruta &lt; 10,0 mg/L",IF(Q275&lt;15,"10,0 ≤ Alca. Bruta &lt; 15,0 mg/L","Alc. Bruta &gt; 15 mg/L"))))))</f>
        <v>5,0 ≤ Alc. Bruta &lt; 7,5 mg/L</v>
      </c>
      <c r="BA275" s="136" t="str">
        <f>IF(P275="","",IF(P275&lt;5,"Cor &lt;5 uC",IF(P275&lt;10,"5 ≤ Cor &lt; 10 uC",IF(P275&lt;15,"10 ≤ Cor &lt;15 uC",IF(P275&lt;30,"15 ≤ Cor &lt; 30 uC",IF(P275&lt;50,"30 ≤ Cor &lt; 50 uC","Cor &gt; 50 uC"))))))</f>
        <v>10 ≤ Cor &lt;15 uC</v>
      </c>
      <c r="BB275" s="137" t="str">
        <f>IF(O275="","",IF(O275&lt;2.5,"Turbidez &lt; 2,5 uT",IF(O275&lt;5,"2,5 ≤ Turb &lt; 5,0 uT",IF(O275&lt;7.5,"5,0 ≤ Turb &lt; 7,5 uT",IF(O275&lt;10,"7,5 ≤ Turb &lt; 10,0 uT",IF(O275&lt;15,"10,0 ≤ Turb &lt; 15,0 uT","Turb &gt; 15 uT"))))))</f>
        <v>Turbidez &lt; 2,5 uT</v>
      </c>
      <c r="BC275" s="138" t="str">
        <f>IF(AND(C275&gt;D275,D275&gt;E275),"TOR &gt; SM &gt; BNN",IF(AND(C275&gt;E275,E275&gt;D275),"TOR &gt; BNN &gt; SM",IF(AND(D275&gt;C275,C275&gt;E275),"SM &gt; TOR &gt; BNN",IF(AND(D275&gt;E275,E275&gt;C275),"SM &gt; BNN &gt; TOR",IF(AND(C275=D275,D275=E275),"TOR = SM = BNN","Comb. diferentes")))))</f>
        <v>SM &gt; TOR &gt; BNN</v>
      </c>
      <c r="BD275" s="137" t="str">
        <f>IF(OR(AE275="",AQ275="-"),"",IF(AE275&lt;=0.25,"Tipo 1 (≤0,25) uT",IF(AE275&lt;=0.5,"Tipo 2 (0,25-0,50) uT",IF(AE275&lt;=0.75,"Tipo 3 (0,50-0,75) uT","Tipo 4 (&gt;0,75) uT"))))</f>
        <v>Tipo 1 (≤0,25) uT</v>
      </c>
      <c r="BE275" s="137" t="str">
        <f t="shared" si="28"/>
        <v>Tipo 1 (≤0,25) uT</v>
      </c>
      <c r="BF275" s="137" t="str">
        <f>IF(OR(AF275="",AQ275="-"),"",IF(AF275&lt;=0.25,"Tipo 1 (≤0,25) uT",IF(AF275&lt;=0.5,"Tipo 2 (0,25-0,50) uT",IF(AF275&lt;=0.75,"Tipo 3 (0,50-0,75) uT","Tipo 4 (&gt;0,75) uT"))))</f>
        <v>Tipo 1 (≤0,25) uT</v>
      </c>
      <c r="BG275" s="137" t="str">
        <f t="shared" si="29"/>
        <v>Tipo 1 (≤0,25) uT</v>
      </c>
      <c r="BH275" s="137" t="str">
        <f>IF(OR(R275="",R275="-"),"",IF(R275&lt;=0.25,"Tipo 1 (≤0,25) uT",IF(R275&lt;=0.5,"Tipo 2 (0,25-0,50) uT",IF(R275&lt;=0.75,"Tipo 3 (0,50-0,75) uT","Tipo 4 (&gt;0,75) uT"))))</f>
        <v>Tipo 1 (≤0,25) uT</v>
      </c>
    </row>
    <row r="276" spans="1:60" x14ac:dyDescent="0.3">
      <c r="A276" s="73">
        <v>46289</v>
      </c>
      <c r="B276" s="141">
        <v>0.3125</v>
      </c>
      <c r="C276" s="118">
        <v>386</v>
      </c>
      <c r="D276" s="118">
        <v>1655</v>
      </c>
      <c r="E276" s="118">
        <v>200</v>
      </c>
      <c r="F276" s="118">
        <v>2275</v>
      </c>
      <c r="G276" s="146" t="s">
        <v>100</v>
      </c>
      <c r="H276" s="124">
        <v>9.1999999999999993</v>
      </c>
      <c r="I276" s="118">
        <v>-51</v>
      </c>
      <c r="J276" s="9">
        <v>90</v>
      </c>
      <c r="K276" s="118">
        <v>90</v>
      </c>
      <c r="L276" s="118">
        <v>90</v>
      </c>
      <c r="M276" s="124">
        <v>24.6</v>
      </c>
      <c r="N276" s="124">
        <v>6.4</v>
      </c>
      <c r="O276" s="81">
        <v>2.42</v>
      </c>
      <c r="P276" s="118">
        <v>18</v>
      </c>
      <c r="Q276" s="124">
        <v>8.3000000000000007</v>
      </c>
      <c r="R276" s="9">
        <v>0.09</v>
      </c>
      <c r="S276" s="79">
        <v>22.36</v>
      </c>
      <c r="T276" s="79">
        <v>0.88</v>
      </c>
      <c r="U276" s="79">
        <v>0.7</v>
      </c>
      <c r="V276" s="85">
        <f t="shared" si="30"/>
        <v>2041.8125</v>
      </c>
      <c r="W276" s="85">
        <f t="shared" si="31"/>
        <v>1560.1330004000001</v>
      </c>
      <c r="X276" s="85">
        <f t="shared" si="32"/>
        <v>0.76409219769200165</v>
      </c>
      <c r="Y276" s="118">
        <v>3</v>
      </c>
      <c r="Z276" s="118">
        <v>4</v>
      </c>
      <c r="AA276" s="124">
        <v>6.2</v>
      </c>
      <c r="AB276" s="118">
        <v>20.5</v>
      </c>
      <c r="AC276" s="124">
        <v>6.1</v>
      </c>
      <c r="AD276" s="124">
        <v>5.2</v>
      </c>
      <c r="AE276" s="81">
        <v>0.1</v>
      </c>
      <c r="AF276" s="81">
        <v>0.14000000000000001</v>
      </c>
      <c r="AG276" s="85">
        <f>(O276+0.3*H276+2)*(F276/2/AK276)</f>
        <v>2041.8125</v>
      </c>
      <c r="AH276" s="85">
        <f t="shared" si="33"/>
        <v>1781.8594559999999</v>
      </c>
      <c r="AI276" s="85">
        <f t="shared" si="34"/>
        <v>0.8726851539992041</v>
      </c>
      <c r="AJ276" s="118">
        <v>3</v>
      </c>
      <c r="AK276" s="118">
        <v>4</v>
      </c>
      <c r="AL276" s="124">
        <v>6.4</v>
      </c>
      <c r="AM276" s="118">
        <v>22.5</v>
      </c>
      <c r="AN276" s="124">
        <v>6.1</v>
      </c>
      <c r="AO276" s="124">
        <v>5.9</v>
      </c>
      <c r="AP276" s="81">
        <v>0.18</v>
      </c>
      <c r="AQ276" s="81">
        <v>0.2</v>
      </c>
      <c r="AR276" s="132">
        <f>SUM(C276:E276)</f>
        <v>2241</v>
      </c>
      <c r="AS276" s="134">
        <f>C276/AR276</f>
        <v>0.17224453369031684</v>
      </c>
      <c r="AT276" s="134">
        <f>D276/AR276</f>
        <v>0.73850959393128068</v>
      </c>
      <c r="AU276" s="134">
        <f>E276/AR276</f>
        <v>8.9245872378402494E-2</v>
      </c>
      <c r="AV276" s="151">
        <f>IF(AND(F276&lt;&gt;"",Z276&lt;&gt;""),AB276/(F276/2/Z276),"")</f>
        <v>7.2087912087912084E-2</v>
      </c>
      <c r="AW276" s="151">
        <f>IF(AND(F276&lt;&gt;"",AK276&lt;&gt;""),AM276/(F276/2/AK276),"")</f>
        <v>7.9120879120879117E-2</v>
      </c>
      <c r="AX276" s="41">
        <f>IF(AND(AQ276&lt;&gt;"",1-(AQ276/O276)&gt;0),1-(AQ276/O276),"")</f>
        <v>0.9173553719008265</v>
      </c>
      <c r="AY276" s="41">
        <f>IF(AND(AF276&lt;&gt;"",1-(AF276/O276)&gt;0),1-(AF276/O276),"")</f>
        <v>0.94214876033057848</v>
      </c>
      <c r="AZ276" s="136" t="str">
        <f>IF(Q276="","",IF(Q276&lt;2.5,"Alc. Bruta &lt; 2,5 mg/L",IF(Q276&lt;5,"2,5 ≤ Alc. Bruta &lt; 5,0 mg/L",IF(Q276&lt;7.5,"5,0 ≤ Alc. Bruta &lt; 7,5 mg/L",IF(Q276&lt;10,"7,5 ≤ Alc. Bruta &lt; 10,0 mg/L",IF(Q276&lt;15,"10,0 ≤ Alca. Bruta &lt; 15,0 mg/L","Alc. Bruta &gt; 15 mg/L"))))))</f>
        <v>7,5 ≤ Alc. Bruta &lt; 10,0 mg/L</v>
      </c>
      <c r="BA276" s="136" t="str">
        <f>IF(P276="","",IF(P276&lt;5,"Cor &lt;5 uC",IF(P276&lt;10,"5 ≤ Cor &lt; 10 uC",IF(P276&lt;15,"10 ≤ Cor &lt;15 uC",IF(P276&lt;30,"15 ≤ Cor &lt; 30 uC",IF(P276&lt;50,"30 ≤ Cor &lt; 50 uC","Cor &gt; 50 uC"))))))</f>
        <v>15 ≤ Cor &lt; 30 uC</v>
      </c>
      <c r="BB276" s="137" t="str">
        <f>IF(O276="","",IF(O276&lt;2.5,"Turbidez &lt; 2,5 uT",IF(O276&lt;5,"2,5 ≤ Turb &lt; 5,0 uT",IF(O276&lt;7.5,"5,0 ≤ Turb &lt; 7,5 uT",IF(O276&lt;10,"7,5 ≤ Turb &lt; 10,0 uT",IF(O276&lt;15,"10,0 ≤ Turb &lt; 15,0 uT","Turb &gt; 15 uT"))))))</f>
        <v>Turbidez &lt; 2,5 uT</v>
      </c>
      <c r="BC276" s="138" t="str">
        <f>IF(AND(C276&gt;D276,D276&gt;E276),"TOR &gt; SM &gt; BNN",IF(AND(C276&gt;E276,E276&gt;D276),"TOR &gt; BNN &gt; SM",IF(AND(D276&gt;C276,C276&gt;E276),"SM &gt; TOR &gt; BNN",IF(AND(D276&gt;E276,E276&gt;C276),"SM &gt; BNN &gt; TOR",IF(AND(C276=D276,D276=E276),"TOR = SM = BNN","Comb. diferentes")))))</f>
        <v>SM &gt; TOR &gt; BNN</v>
      </c>
      <c r="BD276" s="137" t="str">
        <f>IF(OR(AE276="",AQ276="-"),"",IF(AE276&lt;=0.25,"Tipo 1 (≤0,25) uT",IF(AE276&lt;=0.5,"Tipo 2 (0,25-0,50) uT",IF(AE276&lt;=0.75,"Tipo 3 (0,50-0,75) uT","Tipo 4 (&gt;0,75) uT"))))</f>
        <v>Tipo 1 (≤0,25) uT</v>
      </c>
      <c r="BE276" s="137" t="str">
        <f t="shared" si="28"/>
        <v>Tipo 1 (≤0,25) uT</v>
      </c>
      <c r="BF276" s="137" t="str">
        <f>IF(OR(AF276="",AQ276="-"),"",IF(AF276&lt;=0.25,"Tipo 1 (≤0,25) uT",IF(AF276&lt;=0.5,"Tipo 2 (0,25-0,50) uT",IF(AF276&lt;=0.75,"Tipo 3 (0,50-0,75) uT","Tipo 4 (&gt;0,75) uT"))))</f>
        <v>Tipo 1 (≤0,25) uT</v>
      </c>
      <c r="BG276" s="137" t="str">
        <f t="shared" si="29"/>
        <v>Tipo 1 (≤0,25) uT</v>
      </c>
      <c r="BH276" s="137" t="str">
        <f>IF(OR(R276="",R276="-"),"",IF(R276&lt;=0.25,"Tipo 1 (≤0,25) uT",IF(R276&lt;=0.5,"Tipo 2 (0,25-0,50) uT",IF(R276&lt;=0.75,"Tipo 3 (0,50-0,75) uT","Tipo 4 (&gt;0,75) uT"))))</f>
        <v>Tipo 1 (≤0,25) uT</v>
      </c>
    </row>
    <row r="277" spans="1:60" x14ac:dyDescent="0.3">
      <c r="A277" s="74">
        <v>46289</v>
      </c>
      <c r="B277" s="139">
        <v>0.39583333333333331</v>
      </c>
      <c r="C277" s="116">
        <v>370</v>
      </c>
      <c r="D277" s="116">
        <v>1687</v>
      </c>
      <c r="E277" s="116">
        <v>200</v>
      </c>
      <c r="F277" s="116">
        <v>2248</v>
      </c>
      <c r="G277" s="144" t="s">
        <v>100</v>
      </c>
      <c r="H277" s="122">
        <v>9.1999999999999993</v>
      </c>
      <c r="I277" s="116">
        <v>-63</v>
      </c>
      <c r="J277" s="10">
        <v>90</v>
      </c>
      <c r="K277" s="116">
        <v>90</v>
      </c>
      <c r="L277" s="116">
        <v>90</v>
      </c>
      <c r="M277" s="122">
        <v>24.8</v>
      </c>
      <c r="N277" s="122">
        <v>6.4</v>
      </c>
      <c r="O277" s="79">
        <v>1.55</v>
      </c>
      <c r="P277" s="116">
        <v>13</v>
      </c>
      <c r="Q277" s="122">
        <v>7.3</v>
      </c>
      <c r="R277" s="10">
        <v>0.09</v>
      </c>
      <c r="S277" s="79">
        <v>22.36</v>
      </c>
      <c r="T277" s="79">
        <v>0.88</v>
      </c>
      <c r="U277" s="79">
        <v>0.7</v>
      </c>
      <c r="V277" s="85">
        <f t="shared" si="30"/>
        <v>1773.11</v>
      </c>
      <c r="W277" s="85">
        <f t="shared" si="31"/>
        <v>1522.080976</v>
      </c>
      <c r="X277" s="85">
        <f t="shared" si="32"/>
        <v>0.85842444969573239</v>
      </c>
      <c r="Y277" s="116">
        <v>3</v>
      </c>
      <c r="Z277" s="116">
        <v>4</v>
      </c>
      <c r="AA277" s="122">
        <v>6.2</v>
      </c>
      <c r="AB277" s="116">
        <v>20</v>
      </c>
      <c r="AC277" s="122">
        <v>6.1</v>
      </c>
      <c r="AD277" s="122">
        <v>5.2</v>
      </c>
      <c r="AE277" s="79">
        <v>0.11</v>
      </c>
      <c r="AF277" s="79">
        <v>0.14000000000000001</v>
      </c>
      <c r="AG277" s="85">
        <f>(O277+0.3*H277+2)*(F277/2/AK277)</f>
        <v>1773.11</v>
      </c>
      <c r="AH277" s="85">
        <f t="shared" si="33"/>
        <v>1708.2758263999997</v>
      </c>
      <c r="AI277" s="85">
        <f t="shared" si="34"/>
        <v>0.96343477077000284</v>
      </c>
      <c r="AJ277" s="116">
        <v>3</v>
      </c>
      <c r="AK277" s="116">
        <v>4</v>
      </c>
      <c r="AL277" s="122">
        <v>6.3</v>
      </c>
      <c r="AM277" s="116">
        <v>22</v>
      </c>
      <c r="AN277" s="122">
        <v>6.1</v>
      </c>
      <c r="AO277" s="122">
        <v>5.2</v>
      </c>
      <c r="AP277" s="79">
        <v>0.19</v>
      </c>
      <c r="AQ277" s="79">
        <v>0.2</v>
      </c>
      <c r="AR277" s="132">
        <f>SUM(C277:E277)</f>
        <v>2257</v>
      </c>
      <c r="AS277" s="134">
        <f>C277/AR277</f>
        <v>0.16393442622950818</v>
      </c>
      <c r="AT277" s="134">
        <f>D277/AR277</f>
        <v>0.74745237040319013</v>
      </c>
      <c r="AU277" s="134">
        <f>E277/AR277</f>
        <v>8.8613203367301732E-2</v>
      </c>
      <c r="AV277" s="151">
        <f>IF(AND(F277&lt;&gt;"",Z277&lt;&gt;""),AB277/(F277/2/Z277),"")</f>
        <v>7.1174377224199295E-2</v>
      </c>
      <c r="AW277" s="151">
        <f>IF(AND(F277&lt;&gt;"",AK277&lt;&gt;""),AM277/(F277/2/AK277),"")</f>
        <v>7.8291814946619215E-2</v>
      </c>
      <c r="AX277" s="41">
        <f>IF(AND(AQ277&lt;&gt;"",1-(AQ277/O277)&gt;0),1-(AQ277/O277),"")</f>
        <v>0.87096774193548387</v>
      </c>
      <c r="AY277" s="41">
        <f>IF(AND(AF277&lt;&gt;"",1-(AF277/O277)&gt;0),1-(AF277/O277),"")</f>
        <v>0.9096774193548387</v>
      </c>
      <c r="AZ277" s="136" t="str">
        <f>IF(Q277="","",IF(Q277&lt;2.5,"Alc. Bruta &lt; 2,5 mg/L",IF(Q277&lt;5,"2,5 ≤ Alc. Bruta &lt; 5,0 mg/L",IF(Q277&lt;7.5,"5,0 ≤ Alc. Bruta &lt; 7,5 mg/L",IF(Q277&lt;10,"7,5 ≤ Alc. Bruta &lt; 10,0 mg/L",IF(Q277&lt;15,"10,0 ≤ Alca. Bruta &lt; 15,0 mg/L","Alc. Bruta &gt; 15 mg/L"))))))</f>
        <v>5,0 ≤ Alc. Bruta &lt; 7,5 mg/L</v>
      </c>
      <c r="BA277" s="136" t="str">
        <f>IF(P277="","",IF(P277&lt;5,"Cor &lt;5 uC",IF(P277&lt;10,"5 ≤ Cor &lt; 10 uC",IF(P277&lt;15,"10 ≤ Cor &lt;15 uC",IF(P277&lt;30,"15 ≤ Cor &lt; 30 uC",IF(P277&lt;50,"30 ≤ Cor &lt; 50 uC","Cor &gt; 50 uC"))))))</f>
        <v>10 ≤ Cor &lt;15 uC</v>
      </c>
      <c r="BB277" s="137" t="str">
        <f>IF(O277="","",IF(O277&lt;2.5,"Turbidez &lt; 2,5 uT",IF(O277&lt;5,"2,5 ≤ Turb &lt; 5,0 uT",IF(O277&lt;7.5,"5,0 ≤ Turb &lt; 7,5 uT",IF(O277&lt;10,"7,5 ≤ Turb &lt; 10,0 uT",IF(O277&lt;15,"10,0 ≤ Turb &lt; 15,0 uT","Turb &gt; 15 uT"))))))</f>
        <v>Turbidez &lt; 2,5 uT</v>
      </c>
      <c r="BC277" s="138" t="str">
        <f>IF(AND(C277&gt;D277,D277&gt;E277),"TOR &gt; SM &gt; BNN",IF(AND(C277&gt;E277,E277&gt;D277),"TOR &gt; BNN &gt; SM",IF(AND(D277&gt;C277,C277&gt;E277),"SM &gt; TOR &gt; BNN",IF(AND(D277&gt;E277,E277&gt;C277),"SM &gt; BNN &gt; TOR",IF(AND(C277=D277,D277=E277),"TOR = SM = BNN","Comb. diferentes")))))</f>
        <v>SM &gt; TOR &gt; BNN</v>
      </c>
      <c r="BD277" s="137" t="str">
        <f>IF(OR(AE277="",AQ277="-"),"",IF(AE277&lt;=0.25,"Tipo 1 (≤0,25) uT",IF(AE277&lt;=0.5,"Tipo 2 (0,25-0,50) uT",IF(AE277&lt;=0.75,"Tipo 3 (0,50-0,75) uT","Tipo 4 (&gt;0,75) uT"))))</f>
        <v>Tipo 1 (≤0,25) uT</v>
      </c>
      <c r="BE277" s="137" t="str">
        <f t="shared" si="28"/>
        <v>Tipo 1 (≤0,25) uT</v>
      </c>
      <c r="BF277" s="137" t="str">
        <f>IF(OR(AF277="",AQ277="-"),"",IF(AF277&lt;=0.25,"Tipo 1 (≤0,25) uT",IF(AF277&lt;=0.5,"Tipo 2 (0,25-0,50) uT",IF(AF277&lt;=0.75,"Tipo 3 (0,50-0,75) uT","Tipo 4 (&gt;0,75) uT"))))</f>
        <v>Tipo 1 (≤0,25) uT</v>
      </c>
      <c r="BG277" s="137" t="str">
        <f t="shared" si="29"/>
        <v>Tipo 1 (≤0,25) uT</v>
      </c>
      <c r="BH277" s="137" t="str">
        <f>IF(OR(R277="",R277="-"),"",IF(R277&lt;=0.25,"Tipo 1 (≤0,25) uT",IF(R277&lt;=0.5,"Tipo 2 (0,25-0,50) uT",IF(R277&lt;=0.75,"Tipo 3 (0,50-0,75) uT","Tipo 4 (&gt;0,75) uT"))))</f>
        <v>Tipo 1 (≤0,25) uT</v>
      </c>
    </row>
    <row r="278" spans="1:60" x14ac:dyDescent="0.3">
      <c r="A278" s="74">
        <v>46289</v>
      </c>
      <c r="B278" s="139">
        <v>0.47916666666666669</v>
      </c>
      <c r="C278" s="116">
        <v>358</v>
      </c>
      <c r="D278" s="116">
        <v>1651</v>
      </c>
      <c r="E278" s="116">
        <v>200</v>
      </c>
      <c r="F278" s="116">
        <v>2298</v>
      </c>
      <c r="G278" s="144" t="s">
        <v>100</v>
      </c>
      <c r="H278" s="122">
        <v>9.1999999999999993</v>
      </c>
      <c r="I278" s="116">
        <v>-37</v>
      </c>
      <c r="J278" s="10">
        <v>90</v>
      </c>
      <c r="K278" s="116">
        <v>90</v>
      </c>
      <c r="L278" s="116">
        <v>90</v>
      </c>
      <c r="M278" s="122">
        <v>26.3</v>
      </c>
      <c r="N278" s="122">
        <v>6.4</v>
      </c>
      <c r="O278" s="79">
        <v>1.39</v>
      </c>
      <c r="P278" s="116">
        <v>11</v>
      </c>
      <c r="Q278" s="122">
        <v>7.3</v>
      </c>
      <c r="R278" s="10">
        <v>0.1</v>
      </c>
      <c r="S278" s="79">
        <v>22.36</v>
      </c>
      <c r="T278" s="79">
        <v>0.88</v>
      </c>
      <c r="U278" s="79">
        <v>0.7</v>
      </c>
      <c r="V278" s="85">
        <f t="shared" si="30"/>
        <v>1766.5874999999999</v>
      </c>
      <c r="W278" s="85">
        <f t="shared" si="31"/>
        <v>1598.1850248000001</v>
      </c>
      <c r="X278" s="85">
        <f t="shared" si="32"/>
        <v>0.90467357252329716</v>
      </c>
      <c r="Y278" s="116">
        <v>3</v>
      </c>
      <c r="Z278" s="116">
        <v>4</v>
      </c>
      <c r="AA278" s="122">
        <v>6.2</v>
      </c>
      <c r="AB278" s="116">
        <v>21</v>
      </c>
      <c r="AC278" s="122">
        <v>6.1</v>
      </c>
      <c r="AD278" s="122">
        <v>4.8</v>
      </c>
      <c r="AE278" s="79">
        <v>0.14000000000000001</v>
      </c>
      <c r="AF278" s="79">
        <v>0.14000000000000001</v>
      </c>
      <c r="AG278" s="85">
        <f>(O278+0.3*H278+2)*(F278/2/AK278)</f>
        <v>1766.5874999999999</v>
      </c>
      <c r="AH278" s="85">
        <f t="shared" si="33"/>
        <v>1785.9247275999996</v>
      </c>
      <c r="AI278" s="85">
        <f t="shared" si="34"/>
        <v>1.0109460910370982</v>
      </c>
      <c r="AJ278" s="116">
        <v>3</v>
      </c>
      <c r="AK278" s="116">
        <v>4</v>
      </c>
      <c r="AL278" s="122">
        <v>6.3</v>
      </c>
      <c r="AM278" s="116">
        <v>23</v>
      </c>
      <c r="AN278" s="122">
        <v>6.1</v>
      </c>
      <c r="AO278" s="122">
        <v>5.0999999999999996</v>
      </c>
      <c r="AP278" s="79">
        <v>0.24</v>
      </c>
      <c r="AQ278" s="79">
        <v>0.21</v>
      </c>
      <c r="AR278" s="132">
        <f>SUM(C278:E278)</f>
        <v>2209</v>
      </c>
      <c r="AS278" s="134">
        <f>C278/AR278</f>
        <v>0.16206428248076052</v>
      </c>
      <c r="AT278" s="134">
        <f>D278/AR278</f>
        <v>0.74739701222272525</v>
      </c>
      <c r="AU278" s="134">
        <f>E278/AR278</f>
        <v>9.0538705296514255E-2</v>
      </c>
      <c r="AV278" s="151">
        <f>IF(AND(F278&lt;&gt;"",Z278&lt;&gt;""),AB278/(F278/2/Z278),"")</f>
        <v>7.3107049608355096E-2</v>
      </c>
      <c r="AW278" s="151">
        <f>IF(AND(F278&lt;&gt;"",AK278&lt;&gt;""),AM278/(F278/2/AK278),"")</f>
        <v>8.0069625761531774E-2</v>
      </c>
      <c r="AX278" s="41">
        <f>IF(AND(AQ278&lt;&gt;"",1-(AQ278/O278)&gt;0),1-(AQ278/O278),"")</f>
        <v>0.84892086330935257</v>
      </c>
      <c r="AY278" s="41">
        <f>IF(AND(AF278&lt;&gt;"",1-(AF278/O278)&gt;0),1-(AF278/O278),"")</f>
        <v>0.89928057553956831</v>
      </c>
      <c r="AZ278" s="136" t="str">
        <f>IF(Q278="","",IF(Q278&lt;2.5,"Alc. Bruta &lt; 2,5 mg/L",IF(Q278&lt;5,"2,5 ≤ Alc. Bruta &lt; 5,0 mg/L",IF(Q278&lt;7.5,"5,0 ≤ Alc. Bruta &lt; 7,5 mg/L",IF(Q278&lt;10,"7,5 ≤ Alc. Bruta &lt; 10,0 mg/L",IF(Q278&lt;15,"10,0 ≤ Alca. Bruta &lt; 15,0 mg/L","Alc. Bruta &gt; 15 mg/L"))))))</f>
        <v>5,0 ≤ Alc. Bruta &lt; 7,5 mg/L</v>
      </c>
      <c r="BA278" s="136" t="str">
        <f>IF(P278="","",IF(P278&lt;5,"Cor &lt;5 uC",IF(P278&lt;10,"5 ≤ Cor &lt; 10 uC",IF(P278&lt;15,"10 ≤ Cor &lt;15 uC",IF(P278&lt;30,"15 ≤ Cor &lt; 30 uC",IF(P278&lt;50,"30 ≤ Cor &lt; 50 uC","Cor &gt; 50 uC"))))))</f>
        <v>10 ≤ Cor &lt;15 uC</v>
      </c>
      <c r="BB278" s="137" t="str">
        <f>IF(O278="","",IF(O278&lt;2.5,"Turbidez &lt; 2,5 uT",IF(O278&lt;5,"2,5 ≤ Turb &lt; 5,0 uT",IF(O278&lt;7.5,"5,0 ≤ Turb &lt; 7,5 uT",IF(O278&lt;10,"7,5 ≤ Turb &lt; 10,0 uT",IF(O278&lt;15,"10,0 ≤ Turb &lt; 15,0 uT","Turb &gt; 15 uT"))))))</f>
        <v>Turbidez &lt; 2,5 uT</v>
      </c>
      <c r="BC278" s="138" t="str">
        <f>IF(AND(C278&gt;D278,D278&gt;E278),"TOR &gt; SM &gt; BNN",IF(AND(C278&gt;E278,E278&gt;D278),"TOR &gt; BNN &gt; SM",IF(AND(D278&gt;C278,C278&gt;E278),"SM &gt; TOR &gt; BNN",IF(AND(D278&gt;E278,E278&gt;C278),"SM &gt; BNN &gt; TOR",IF(AND(C278=D278,D278=E278),"TOR = SM = BNN","Comb. diferentes")))))</f>
        <v>SM &gt; TOR &gt; BNN</v>
      </c>
      <c r="BD278" s="137" t="str">
        <f>IF(OR(AE278="",AQ278="-"),"",IF(AE278&lt;=0.25,"Tipo 1 (≤0,25) uT",IF(AE278&lt;=0.5,"Tipo 2 (0,25-0,50) uT",IF(AE278&lt;=0.75,"Tipo 3 (0,50-0,75) uT","Tipo 4 (&gt;0,75) uT"))))</f>
        <v>Tipo 1 (≤0,25) uT</v>
      </c>
      <c r="BE278" s="137" t="str">
        <f t="shared" si="28"/>
        <v>Tipo 1 (≤0,25) uT</v>
      </c>
      <c r="BF278" s="137" t="str">
        <f>IF(OR(AF278="",AQ278="-"),"",IF(AF278&lt;=0.25,"Tipo 1 (≤0,25) uT",IF(AF278&lt;=0.5,"Tipo 2 (0,25-0,50) uT",IF(AF278&lt;=0.75,"Tipo 3 (0,50-0,75) uT","Tipo 4 (&gt;0,75) uT"))))</f>
        <v>Tipo 1 (≤0,25) uT</v>
      </c>
      <c r="BG278" s="137" t="str">
        <f t="shared" si="29"/>
        <v>Tipo 1 (≤0,25) uT</v>
      </c>
      <c r="BH278" s="137" t="str">
        <f>IF(OR(R278="",R278="-"),"",IF(R278&lt;=0.25,"Tipo 1 (≤0,25) uT",IF(R278&lt;=0.5,"Tipo 2 (0,25-0,50) uT",IF(R278&lt;=0.75,"Tipo 3 (0,50-0,75) uT","Tipo 4 (&gt;0,75) uT"))))</f>
        <v>Tipo 1 (≤0,25) uT</v>
      </c>
    </row>
    <row r="279" spans="1:60" x14ac:dyDescent="0.3">
      <c r="A279" s="74">
        <v>46289</v>
      </c>
      <c r="B279" s="139">
        <v>0.64583333333333337</v>
      </c>
      <c r="C279" s="116">
        <v>288</v>
      </c>
      <c r="D279" s="116">
        <v>1876</v>
      </c>
      <c r="E279" s="116">
        <v>200</v>
      </c>
      <c r="F279" s="116">
        <v>2240</v>
      </c>
      <c r="G279" s="144" t="s">
        <v>100</v>
      </c>
      <c r="H279" s="122">
        <v>9.1999999999999993</v>
      </c>
      <c r="I279" s="116">
        <v>-42</v>
      </c>
      <c r="J279" s="10">
        <v>90</v>
      </c>
      <c r="K279" s="116">
        <v>90</v>
      </c>
      <c r="L279" s="116">
        <v>90</v>
      </c>
      <c r="M279" s="122">
        <v>27.2</v>
      </c>
      <c r="N279" s="122">
        <v>6.4</v>
      </c>
      <c r="O279" s="79">
        <v>1.29</v>
      </c>
      <c r="P279" s="116">
        <v>10</v>
      </c>
      <c r="Q279" s="122">
        <v>7.5</v>
      </c>
      <c r="R279" s="10">
        <v>0.10299999999999999</v>
      </c>
      <c r="S279" s="79">
        <v>22.36</v>
      </c>
      <c r="T279" s="79">
        <v>0.88</v>
      </c>
      <c r="U279" s="79">
        <v>0.7</v>
      </c>
      <c r="V279" s="85">
        <f t="shared" si="30"/>
        <v>1694</v>
      </c>
      <c r="W279" s="85">
        <f t="shared" si="31"/>
        <v>1491.1839279999999</v>
      </c>
      <c r="X279" s="85">
        <f t="shared" si="32"/>
        <v>0.88027386540731989</v>
      </c>
      <c r="Y279" s="116"/>
      <c r="Z279" s="116">
        <v>4</v>
      </c>
      <c r="AA279" s="122">
        <v>6.1</v>
      </c>
      <c r="AB279" s="116">
        <v>20</v>
      </c>
      <c r="AC279" s="122">
        <v>6.1</v>
      </c>
      <c r="AD279" s="122">
        <v>4.8</v>
      </c>
      <c r="AE279" s="79">
        <v>0.11</v>
      </c>
      <c r="AF279" s="79">
        <v>0.06</v>
      </c>
      <c r="AG279" s="85">
        <f>(O279+0.3*H279+2)*(F279/2/AK279)</f>
        <v>1694</v>
      </c>
      <c r="AH279" s="85">
        <f t="shared" si="33"/>
        <v>1821.4563327999999</v>
      </c>
      <c r="AI279" s="85">
        <f t="shared" si="34"/>
        <v>1.075239865879575</v>
      </c>
      <c r="AJ279" s="116">
        <v>3</v>
      </c>
      <c r="AK279" s="116">
        <v>4</v>
      </c>
      <c r="AL279" s="122">
        <v>6.4</v>
      </c>
      <c r="AM279" s="116">
        <v>23</v>
      </c>
      <c r="AN279" s="122">
        <v>6.1</v>
      </c>
      <c r="AO279" s="122">
        <v>4.8</v>
      </c>
      <c r="AP279" s="79">
        <v>0.12</v>
      </c>
      <c r="AQ279" s="79">
        <v>0.26</v>
      </c>
      <c r="AR279" s="132">
        <f>SUM(C279:E279)</f>
        <v>2364</v>
      </c>
      <c r="AS279" s="134">
        <f>C279/AR279</f>
        <v>0.12182741116751269</v>
      </c>
      <c r="AT279" s="134">
        <f>D279/AR279</f>
        <v>0.79357021996615906</v>
      </c>
      <c r="AU279" s="134">
        <f>E279/AR279</f>
        <v>8.4602368866328256E-2</v>
      </c>
      <c r="AV279" s="151">
        <f>IF(AND(F279&lt;&gt;"",Z279&lt;&gt;""),AB279/(F279/2/Z279),"")</f>
        <v>7.1428571428571425E-2</v>
      </c>
      <c r="AW279" s="151">
        <f>IF(AND(F279&lt;&gt;"",AK279&lt;&gt;""),AM279/(F279/2/AK279),"")</f>
        <v>8.2142857142857142E-2</v>
      </c>
      <c r="AX279" s="41">
        <f>IF(AND(AQ279&lt;&gt;"",1-(AQ279/O279)&gt;0),1-(AQ279/O279),"")</f>
        <v>0.79844961240310075</v>
      </c>
      <c r="AY279" s="41">
        <f>IF(AND(AF279&lt;&gt;"",1-(AF279/O279)&gt;0),1-(AF279/O279),"")</f>
        <v>0.95348837209302328</v>
      </c>
      <c r="AZ279" s="136" t="str">
        <f>IF(Q279="","",IF(Q279&lt;2.5,"Alc. Bruta &lt; 2,5 mg/L",IF(Q279&lt;5,"2,5 ≤ Alc. Bruta &lt; 5,0 mg/L",IF(Q279&lt;7.5,"5,0 ≤ Alc. Bruta &lt; 7,5 mg/L",IF(Q279&lt;10,"7,5 ≤ Alc. Bruta &lt; 10,0 mg/L",IF(Q279&lt;15,"10,0 ≤ Alca. Bruta &lt; 15,0 mg/L","Alc. Bruta &gt; 15 mg/L"))))))</f>
        <v>7,5 ≤ Alc. Bruta &lt; 10,0 mg/L</v>
      </c>
      <c r="BA279" s="136" t="str">
        <f>IF(P279="","",IF(P279&lt;5,"Cor &lt;5 uC",IF(P279&lt;10,"5 ≤ Cor &lt; 10 uC",IF(P279&lt;15,"10 ≤ Cor &lt;15 uC",IF(P279&lt;30,"15 ≤ Cor &lt; 30 uC",IF(P279&lt;50,"30 ≤ Cor &lt; 50 uC","Cor &gt; 50 uC"))))))</f>
        <v>10 ≤ Cor &lt;15 uC</v>
      </c>
      <c r="BB279" s="137" t="str">
        <f>IF(O279="","",IF(O279&lt;2.5,"Turbidez &lt; 2,5 uT",IF(O279&lt;5,"2,5 ≤ Turb &lt; 5,0 uT",IF(O279&lt;7.5,"5,0 ≤ Turb &lt; 7,5 uT",IF(O279&lt;10,"7,5 ≤ Turb &lt; 10,0 uT",IF(O279&lt;15,"10,0 ≤ Turb &lt; 15,0 uT","Turb &gt; 15 uT"))))))</f>
        <v>Turbidez &lt; 2,5 uT</v>
      </c>
      <c r="BC279" s="138" t="str">
        <f>IF(AND(C279&gt;D279,D279&gt;E279),"TOR &gt; SM &gt; BNN",IF(AND(C279&gt;E279,E279&gt;D279),"TOR &gt; BNN &gt; SM",IF(AND(D279&gt;C279,C279&gt;E279),"SM &gt; TOR &gt; BNN",IF(AND(D279&gt;E279,E279&gt;C279),"SM &gt; BNN &gt; TOR",IF(AND(C279=D279,D279=E279),"TOR = SM = BNN","Comb. diferentes")))))</f>
        <v>SM &gt; TOR &gt; BNN</v>
      </c>
      <c r="BD279" s="137" t="str">
        <f>IF(OR(AE279="",AQ279="-"),"",IF(AE279&lt;=0.25,"Tipo 1 (≤0,25) uT",IF(AE279&lt;=0.5,"Tipo 2 (0,25-0,50) uT",IF(AE279&lt;=0.75,"Tipo 3 (0,50-0,75) uT","Tipo 4 (&gt;0,75) uT"))))</f>
        <v>Tipo 1 (≤0,25) uT</v>
      </c>
      <c r="BE279" s="137" t="str">
        <f t="shared" si="28"/>
        <v>Tipo 1 (≤0,25) uT</v>
      </c>
      <c r="BF279" s="137" t="str">
        <f>IF(OR(AF279="",AQ279="-"),"",IF(AF279&lt;=0.25,"Tipo 1 (≤0,25) uT",IF(AF279&lt;=0.5,"Tipo 2 (0,25-0,50) uT",IF(AF279&lt;=0.75,"Tipo 3 (0,50-0,75) uT","Tipo 4 (&gt;0,75) uT"))))</f>
        <v>Tipo 1 (≤0,25) uT</v>
      </c>
      <c r="BG279" s="137" t="str">
        <f t="shared" si="29"/>
        <v>Tipo 2 (0,25-0,50) uT</v>
      </c>
      <c r="BH279" s="137" t="str">
        <f>IF(OR(R279="",R279="-"),"",IF(R279&lt;=0.25,"Tipo 1 (≤0,25) uT",IF(R279&lt;=0.5,"Tipo 2 (0,25-0,50) uT",IF(R279&lt;=0.75,"Tipo 3 (0,50-0,75) uT","Tipo 4 (&gt;0,75) uT"))))</f>
        <v>Tipo 1 (≤0,25) uT</v>
      </c>
    </row>
    <row r="280" spans="1:60" x14ac:dyDescent="0.3">
      <c r="A280" s="74">
        <v>46289</v>
      </c>
      <c r="B280" s="139">
        <v>0.72916666666666663</v>
      </c>
      <c r="C280" s="116">
        <v>292</v>
      </c>
      <c r="D280" s="116">
        <v>1816</v>
      </c>
      <c r="E280" s="116">
        <v>199</v>
      </c>
      <c r="F280" s="116">
        <v>2277</v>
      </c>
      <c r="G280" s="144" t="s">
        <v>100</v>
      </c>
      <c r="H280" s="122">
        <v>9.1999999999999993</v>
      </c>
      <c r="I280" s="116">
        <v>-31</v>
      </c>
      <c r="J280" s="10">
        <v>90</v>
      </c>
      <c r="K280" s="116">
        <v>90</v>
      </c>
      <c r="L280" s="116">
        <v>90</v>
      </c>
      <c r="M280" s="122">
        <v>26.8</v>
      </c>
      <c r="N280" s="122">
        <v>6.4</v>
      </c>
      <c r="O280" s="79">
        <v>1.35</v>
      </c>
      <c r="P280" s="116">
        <v>10</v>
      </c>
      <c r="Q280" s="122">
        <v>7.5</v>
      </c>
      <c r="R280" s="10">
        <v>0.1</v>
      </c>
      <c r="S280" s="79">
        <v>22.36</v>
      </c>
      <c r="T280" s="79">
        <v>0.88</v>
      </c>
      <c r="U280" s="79">
        <v>0.7</v>
      </c>
      <c r="V280" s="85">
        <f t="shared" si="30"/>
        <v>1739.0587499999999</v>
      </c>
      <c r="W280" s="85">
        <f t="shared" si="31"/>
        <v>1491.1839279999999</v>
      </c>
      <c r="X280" s="85">
        <f t="shared" si="32"/>
        <v>0.85746610228090336</v>
      </c>
      <c r="Y280" s="116">
        <v>3</v>
      </c>
      <c r="Z280" s="116">
        <v>4</v>
      </c>
      <c r="AA280" s="122">
        <v>6.1</v>
      </c>
      <c r="AB280" s="116">
        <v>20</v>
      </c>
      <c r="AC280" s="122">
        <v>6.1</v>
      </c>
      <c r="AD280" s="122">
        <v>4.7</v>
      </c>
      <c r="AE280" s="79">
        <v>0.12</v>
      </c>
      <c r="AF280" s="79">
        <v>0.17</v>
      </c>
      <c r="AG280" s="85">
        <f>(O280+0.3*H280+2)*(F280/2/AK280)</f>
        <v>1739.0587499999999</v>
      </c>
      <c r="AH280" s="85">
        <f t="shared" si="33"/>
        <v>1785.9247275999996</v>
      </c>
      <c r="AI280" s="85">
        <f t="shared" si="34"/>
        <v>1.026949047926069</v>
      </c>
      <c r="AJ280" s="116">
        <v>3</v>
      </c>
      <c r="AK280" s="116">
        <v>4</v>
      </c>
      <c r="AL280" s="122">
        <v>6.3</v>
      </c>
      <c r="AM280" s="116">
        <v>23</v>
      </c>
      <c r="AN280" s="122">
        <v>6.1</v>
      </c>
      <c r="AO280" s="122">
        <v>4.9000000000000004</v>
      </c>
      <c r="AP280" s="79">
        <v>0.11</v>
      </c>
      <c r="AQ280" s="79">
        <v>0.21</v>
      </c>
      <c r="AR280" s="132">
        <f>SUM(C280:E280)</f>
        <v>2307</v>
      </c>
      <c r="AS280" s="134">
        <f>C280/AR280</f>
        <v>0.12657130472475075</v>
      </c>
      <c r="AT280" s="134">
        <f>D280/AR280</f>
        <v>0.7871694841785869</v>
      </c>
      <c r="AU280" s="134">
        <f>E280/AR280</f>
        <v>8.6259211096662333E-2</v>
      </c>
      <c r="AV280" s="151">
        <f>IF(AND(F280&lt;&gt;"",Z280&lt;&gt;""),AB280/(F280/2/Z280),"")</f>
        <v>7.026789635485288E-2</v>
      </c>
      <c r="AW280" s="151">
        <f>IF(AND(F280&lt;&gt;"",AK280&lt;&gt;""),AM280/(F280/2/AK280),"")</f>
        <v>8.0808080808080815E-2</v>
      </c>
      <c r="AX280" s="41">
        <f>IF(AND(AQ280&lt;&gt;"",1-(AQ280/O280)&gt;0),1-(AQ280/O280),"")</f>
        <v>0.84444444444444444</v>
      </c>
      <c r="AY280" s="41">
        <f>IF(AND(AF280&lt;&gt;"",1-(AF280/O280)&gt;0),1-(AF280/O280),"")</f>
        <v>0.87407407407407411</v>
      </c>
      <c r="AZ280" s="136" t="str">
        <f>IF(Q280="","",IF(Q280&lt;2.5,"Alc. Bruta &lt; 2,5 mg/L",IF(Q280&lt;5,"2,5 ≤ Alc. Bruta &lt; 5,0 mg/L",IF(Q280&lt;7.5,"5,0 ≤ Alc. Bruta &lt; 7,5 mg/L",IF(Q280&lt;10,"7,5 ≤ Alc. Bruta &lt; 10,0 mg/L",IF(Q280&lt;15,"10,0 ≤ Alca. Bruta &lt; 15,0 mg/L","Alc. Bruta &gt; 15 mg/L"))))))</f>
        <v>7,5 ≤ Alc. Bruta &lt; 10,0 mg/L</v>
      </c>
      <c r="BA280" s="136" t="str">
        <f>IF(P280="","",IF(P280&lt;5,"Cor &lt;5 uC",IF(P280&lt;10,"5 ≤ Cor &lt; 10 uC",IF(P280&lt;15,"10 ≤ Cor &lt;15 uC",IF(P280&lt;30,"15 ≤ Cor &lt; 30 uC",IF(P280&lt;50,"30 ≤ Cor &lt; 50 uC","Cor &gt; 50 uC"))))))</f>
        <v>10 ≤ Cor &lt;15 uC</v>
      </c>
      <c r="BB280" s="137" t="str">
        <f>IF(O280="","",IF(O280&lt;2.5,"Turbidez &lt; 2,5 uT",IF(O280&lt;5,"2,5 ≤ Turb &lt; 5,0 uT",IF(O280&lt;7.5,"5,0 ≤ Turb &lt; 7,5 uT",IF(O280&lt;10,"7,5 ≤ Turb &lt; 10,0 uT",IF(O280&lt;15,"10,0 ≤ Turb &lt; 15,0 uT","Turb &gt; 15 uT"))))))</f>
        <v>Turbidez &lt; 2,5 uT</v>
      </c>
      <c r="BC280" s="138" t="str">
        <f>IF(AND(C280&gt;D280,D280&gt;E280),"TOR &gt; SM &gt; BNN",IF(AND(C280&gt;E280,E280&gt;D280),"TOR &gt; BNN &gt; SM",IF(AND(D280&gt;C280,C280&gt;E280),"SM &gt; TOR &gt; BNN",IF(AND(D280&gt;E280,E280&gt;C280),"SM &gt; BNN &gt; TOR",IF(AND(C280=D280,D280=E280),"TOR = SM = BNN","Comb. diferentes")))))</f>
        <v>SM &gt; TOR &gt; BNN</v>
      </c>
      <c r="BD280" s="137" t="str">
        <f>IF(OR(AE280="",AQ280="-"),"",IF(AE280&lt;=0.25,"Tipo 1 (≤0,25) uT",IF(AE280&lt;=0.5,"Tipo 2 (0,25-0,50) uT",IF(AE280&lt;=0.75,"Tipo 3 (0,50-0,75) uT","Tipo 4 (&gt;0,75) uT"))))</f>
        <v>Tipo 1 (≤0,25) uT</v>
      </c>
      <c r="BE280" s="137" t="str">
        <f t="shared" si="28"/>
        <v>Tipo 1 (≤0,25) uT</v>
      </c>
      <c r="BF280" s="137" t="str">
        <f>IF(OR(AF280="",AQ280="-"),"",IF(AF280&lt;=0.25,"Tipo 1 (≤0,25) uT",IF(AF280&lt;=0.5,"Tipo 2 (0,25-0,50) uT",IF(AF280&lt;=0.75,"Tipo 3 (0,50-0,75) uT","Tipo 4 (&gt;0,75) uT"))))</f>
        <v>Tipo 1 (≤0,25) uT</v>
      </c>
      <c r="BG280" s="137" t="str">
        <f t="shared" si="29"/>
        <v>Tipo 1 (≤0,25) uT</v>
      </c>
      <c r="BH280" s="137" t="str">
        <f>IF(OR(R280="",R280="-"),"",IF(R280&lt;=0.25,"Tipo 1 (≤0,25) uT",IF(R280&lt;=0.5,"Tipo 2 (0,25-0,50) uT",IF(R280&lt;=0.75,"Tipo 3 (0,50-0,75) uT","Tipo 4 (&gt;0,75) uT"))))</f>
        <v>Tipo 1 (≤0,25) uT</v>
      </c>
    </row>
    <row r="281" spans="1:60" x14ac:dyDescent="0.3">
      <c r="A281" s="74">
        <v>46289</v>
      </c>
      <c r="B281" s="139">
        <v>0.8125</v>
      </c>
      <c r="C281" s="116">
        <v>293</v>
      </c>
      <c r="D281" s="116">
        <v>1735</v>
      </c>
      <c r="E281" s="116">
        <v>199</v>
      </c>
      <c r="F281" s="116">
        <v>2276</v>
      </c>
      <c r="G281" s="144" t="s">
        <v>100</v>
      </c>
      <c r="H281" s="122">
        <v>9.1999999999999993</v>
      </c>
      <c r="I281" s="116">
        <v>-22</v>
      </c>
      <c r="J281" s="10">
        <v>90</v>
      </c>
      <c r="K281" s="116">
        <v>90</v>
      </c>
      <c r="L281" s="116">
        <v>90</v>
      </c>
      <c r="M281" s="122">
        <v>26</v>
      </c>
      <c r="N281" s="122">
        <v>6.3</v>
      </c>
      <c r="O281" s="79">
        <v>1.37</v>
      </c>
      <c r="P281" s="116">
        <v>11</v>
      </c>
      <c r="Q281" s="122">
        <v>5.8</v>
      </c>
      <c r="R281" s="10">
        <v>0.11</v>
      </c>
      <c r="S281" s="79">
        <v>22.36</v>
      </c>
      <c r="T281" s="79">
        <v>0.88</v>
      </c>
      <c r="U281" s="79">
        <v>0.7</v>
      </c>
      <c r="V281" s="85">
        <f t="shared" si="30"/>
        <v>1743.9849999999999</v>
      </c>
      <c r="W281" s="85">
        <f t="shared" si="31"/>
        <v>1565.7431243999997</v>
      </c>
      <c r="X281" s="85">
        <f t="shared" si="32"/>
        <v>0.89779621063254544</v>
      </c>
      <c r="Y281" s="116">
        <v>3</v>
      </c>
      <c r="Z281" s="116">
        <v>4</v>
      </c>
      <c r="AA281" s="122">
        <v>6.1</v>
      </c>
      <c r="AB281" s="116">
        <v>21</v>
      </c>
      <c r="AC281" s="122">
        <v>6</v>
      </c>
      <c r="AD281" s="122">
        <v>4.7</v>
      </c>
      <c r="AE281" s="79">
        <v>0.21</v>
      </c>
      <c r="AF281" s="79">
        <v>0.18</v>
      </c>
      <c r="AG281" s="85">
        <f>(O281+0.3*H281+2)*(F281/2/AK281)</f>
        <v>1743.9849999999999</v>
      </c>
      <c r="AH281" s="85">
        <f t="shared" si="33"/>
        <v>1821.4563327999999</v>
      </c>
      <c r="AI281" s="85">
        <f t="shared" si="34"/>
        <v>1.0444220178499242</v>
      </c>
      <c r="AJ281" s="116">
        <v>3</v>
      </c>
      <c r="AK281" s="116">
        <v>4</v>
      </c>
      <c r="AL281" s="122">
        <v>6.4</v>
      </c>
      <c r="AM281" s="116">
        <v>23</v>
      </c>
      <c r="AN281" s="122">
        <v>6.1</v>
      </c>
      <c r="AO281" s="122">
        <v>5</v>
      </c>
      <c r="AP281" s="79">
        <v>0.16</v>
      </c>
      <c r="AQ281" s="79">
        <v>0.21</v>
      </c>
      <c r="AR281" s="132">
        <f>SUM(C281:E281)</f>
        <v>2227</v>
      </c>
      <c r="AS281" s="134">
        <f>C281/AR281</f>
        <v>0.1315671306690615</v>
      </c>
      <c r="AT281" s="134">
        <f>D281/AR281</f>
        <v>0.77907498877413561</v>
      </c>
      <c r="AU281" s="134">
        <f>E281/AR281</f>
        <v>8.9357880556802868E-2</v>
      </c>
      <c r="AV281" s="151">
        <f>IF(AND(F281&lt;&gt;"",Z281&lt;&gt;""),AB281/(F281/2/Z281),"")</f>
        <v>7.3813708260105443E-2</v>
      </c>
      <c r="AW281" s="151">
        <f>IF(AND(F281&lt;&gt;"",AK281&lt;&gt;""),AM281/(F281/2/AK281),"")</f>
        <v>8.0843585237258347E-2</v>
      </c>
      <c r="AX281" s="41">
        <f>IF(AND(AQ281&lt;&gt;"",1-(AQ281/O281)&gt;0),1-(AQ281/O281),"")</f>
        <v>0.84671532846715336</v>
      </c>
      <c r="AY281" s="41">
        <f>IF(AND(AF281&lt;&gt;"",1-(AF281/O281)&gt;0),1-(AF281/O281),"")</f>
        <v>0.86861313868613144</v>
      </c>
      <c r="AZ281" s="136" t="str">
        <f>IF(Q281="","",IF(Q281&lt;2.5,"Alc. Bruta &lt; 2,5 mg/L",IF(Q281&lt;5,"2,5 ≤ Alc. Bruta &lt; 5,0 mg/L",IF(Q281&lt;7.5,"5,0 ≤ Alc. Bruta &lt; 7,5 mg/L",IF(Q281&lt;10,"7,5 ≤ Alc. Bruta &lt; 10,0 mg/L",IF(Q281&lt;15,"10,0 ≤ Alca. Bruta &lt; 15,0 mg/L","Alc. Bruta &gt; 15 mg/L"))))))</f>
        <v>5,0 ≤ Alc. Bruta &lt; 7,5 mg/L</v>
      </c>
      <c r="BA281" s="136" t="str">
        <f>IF(P281="","",IF(P281&lt;5,"Cor &lt;5 uC",IF(P281&lt;10,"5 ≤ Cor &lt; 10 uC",IF(P281&lt;15,"10 ≤ Cor &lt;15 uC",IF(P281&lt;30,"15 ≤ Cor &lt; 30 uC",IF(P281&lt;50,"30 ≤ Cor &lt; 50 uC","Cor &gt; 50 uC"))))))</f>
        <v>10 ≤ Cor &lt;15 uC</v>
      </c>
      <c r="BB281" s="137" t="str">
        <f>IF(O281="","",IF(O281&lt;2.5,"Turbidez &lt; 2,5 uT",IF(O281&lt;5,"2,5 ≤ Turb &lt; 5,0 uT",IF(O281&lt;7.5,"5,0 ≤ Turb &lt; 7,5 uT",IF(O281&lt;10,"7,5 ≤ Turb &lt; 10,0 uT",IF(O281&lt;15,"10,0 ≤ Turb &lt; 15,0 uT","Turb &gt; 15 uT"))))))</f>
        <v>Turbidez &lt; 2,5 uT</v>
      </c>
      <c r="BC281" s="138" t="str">
        <f>IF(AND(C281&gt;D281,D281&gt;E281),"TOR &gt; SM &gt; BNN",IF(AND(C281&gt;E281,E281&gt;D281),"TOR &gt; BNN &gt; SM",IF(AND(D281&gt;C281,C281&gt;E281),"SM &gt; TOR &gt; BNN",IF(AND(D281&gt;E281,E281&gt;C281),"SM &gt; BNN &gt; TOR",IF(AND(C281=D281,D281=E281),"TOR = SM = BNN","Comb. diferentes")))))</f>
        <v>SM &gt; TOR &gt; BNN</v>
      </c>
      <c r="BD281" s="137" t="str">
        <f>IF(OR(AE281="",AQ281="-"),"",IF(AE281&lt;=0.25,"Tipo 1 (≤0,25) uT",IF(AE281&lt;=0.5,"Tipo 2 (0,25-0,50) uT",IF(AE281&lt;=0.75,"Tipo 3 (0,50-0,75) uT","Tipo 4 (&gt;0,75) uT"))))</f>
        <v>Tipo 1 (≤0,25) uT</v>
      </c>
      <c r="BE281" s="137" t="str">
        <f t="shared" si="28"/>
        <v>Tipo 1 (≤0,25) uT</v>
      </c>
      <c r="BF281" s="137" t="str">
        <f>IF(OR(AF281="",AQ281="-"),"",IF(AF281&lt;=0.25,"Tipo 1 (≤0,25) uT",IF(AF281&lt;=0.5,"Tipo 2 (0,25-0,50) uT",IF(AF281&lt;=0.75,"Tipo 3 (0,50-0,75) uT","Tipo 4 (&gt;0,75) uT"))))</f>
        <v>Tipo 1 (≤0,25) uT</v>
      </c>
      <c r="BG281" s="137" t="str">
        <f t="shared" si="29"/>
        <v>Tipo 1 (≤0,25) uT</v>
      </c>
      <c r="BH281" s="137" t="str">
        <f>IF(OR(R281="",R281="-"),"",IF(R281&lt;=0.25,"Tipo 1 (≤0,25) uT",IF(R281&lt;=0.5,"Tipo 2 (0,25-0,50) uT",IF(R281&lt;=0.75,"Tipo 3 (0,50-0,75) uT","Tipo 4 (&gt;0,75) uT"))))</f>
        <v>Tipo 1 (≤0,25) uT</v>
      </c>
    </row>
    <row r="282" spans="1:60" x14ac:dyDescent="0.3">
      <c r="A282" s="74">
        <v>46289</v>
      </c>
      <c r="B282" s="139">
        <v>0.89583333333333337</v>
      </c>
      <c r="C282" s="116">
        <v>287</v>
      </c>
      <c r="D282" s="116">
        <v>1724</v>
      </c>
      <c r="E282" s="116">
        <v>200</v>
      </c>
      <c r="F282" s="116">
        <v>2282</v>
      </c>
      <c r="G282" s="144" t="s">
        <v>100</v>
      </c>
      <c r="H282" s="122">
        <v>9.1999999999999993</v>
      </c>
      <c r="I282" s="116">
        <v>-27</v>
      </c>
      <c r="J282" s="10">
        <v>90</v>
      </c>
      <c r="K282" s="116">
        <v>90</v>
      </c>
      <c r="L282" s="116">
        <v>90</v>
      </c>
      <c r="M282" s="122">
        <v>25.7</v>
      </c>
      <c r="N282" s="122">
        <v>6.6</v>
      </c>
      <c r="O282" s="79">
        <v>1.39</v>
      </c>
      <c r="P282" s="116">
        <v>11</v>
      </c>
      <c r="Q282" s="122">
        <v>5.9</v>
      </c>
      <c r="R282" s="10">
        <v>0.12</v>
      </c>
      <c r="S282" s="79">
        <v>22.36</v>
      </c>
      <c r="T282" s="79">
        <v>0.88</v>
      </c>
      <c r="U282" s="79">
        <v>0.7</v>
      </c>
      <c r="V282" s="85">
        <f t="shared" si="30"/>
        <v>1754.2874999999999</v>
      </c>
      <c r="W282" s="85">
        <f t="shared" si="31"/>
        <v>1460.2868799999999</v>
      </c>
      <c r="X282" s="85">
        <f t="shared" si="32"/>
        <v>0.83241024062475499</v>
      </c>
      <c r="Y282" s="116">
        <v>3</v>
      </c>
      <c r="Z282" s="116">
        <v>4</v>
      </c>
      <c r="AA282" s="122">
        <v>6</v>
      </c>
      <c r="AB282" s="116">
        <v>20</v>
      </c>
      <c r="AC282" s="122">
        <v>6.1</v>
      </c>
      <c r="AD282" s="122">
        <v>4.2</v>
      </c>
      <c r="AE282" s="79">
        <v>0.17</v>
      </c>
      <c r="AF282" s="79">
        <v>0.19</v>
      </c>
      <c r="AG282" s="85">
        <f>(O282+0.3*H282+2)*(F282/2/AK282)</f>
        <v>1754.2874999999999</v>
      </c>
      <c r="AH282" s="85">
        <f t="shared" si="33"/>
        <v>1821.4563327999999</v>
      </c>
      <c r="AI282" s="85">
        <f t="shared" si="34"/>
        <v>1.0382883836315313</v>
      </c>
      <c r="AJ282" s="116">
        <v>3</v>
      </c>
      <c r="AK282" s="116">
        <v>4</v>
      </c>
      <c r="AL282" s="122">
        <v>6.4</v>
      </c>
      <c r="AM282" s="116">
        <v>23</v>
      </c>
      <c r="AN282" s="122">
        <v>6</v>
      </c>
      <c r="AO282" s="122">
        <v>5.5</v>
      </c>
      <c r="AP282" s="79">
        <v>0.11</v>
      </c>
      <c r="AQ282" s="79">
        <v>0.19</v>
      </c>
      <c r="AR282" s="132">
        <f>SUM(C282:E282)</f>
        <v>2211</v>
      </c>
      <c r="AS282" s="134">
        <f>C282/AR282</f>
        <v>0.12980551786521935</v>
      </c>
      <c r="AT282" s="134">
        <f>D282/AR282</f>
        <v>0.77973767526006332</v>
      </c>
      <c r="AU282" s="134">
        <f>E282/AR282</f>
        <v>9.0456806874717327E-2</v>
      </c>
      <c r="AV282" s="151">
        <f>IF(AND(F282&lt;&gt;"",Z282&lt;&gt;""),AB282/(F282/2/Z282),"")</f>
        <v>7.0113935144609993E-2</v>
      </c>
      <c r="AW282" s="151">
        <f>IF(AND(F282&lt;&gt;"",AK282&lt;&gt;""),AM282/(F282/2/AK282),"")</f>
        <v>8.0631025416301488E-2</v>
      </c>
      <c r="AX282" s="41">
        <f>IF(AND(AQ282&lt;&gt;"",1-(AQ282/O282)&gt;0),1-(AQ282/O282),"")</f>
        <v>0.86330935251798557</v>
      </c>
      <c r="AY282" s="41">
        <f>IF(AND(AF282&lt;&gt;"",1-(AF282/O282)&gt;0),1-(AF282/O282),"")</f>
        <v>0.86330935251798557</v>
      </c>
      <c r="AZ282" s="136" t="str">
        <f>IF(Q282="","",IF(Q282&lt;2.5,"Alc. Bruta &lt; 2,5 mg/L",IF(Q282&lt;5,"2,5 ≤ Alc. Bruta &lt; 5,0 mg/L",IF(Q282&lt;7.5,"5,0 ≤ Alc. Bruta &lt; 7,5 mg/L",IF(Q282&lt;10,"7,5 ≤ Alc. Bruta &lt; 10,0 mg/L",IF(Q282&lt;15,"10,0 ≤ Alca. Bruta &lt; 15,0 mg/L","Alc. Bruta &gt; 15 mg/L"))))))</f>
        <v>5,0 ≤ Alc. Bruta &lt; 7,5 mg/L</v>
      </c>
      <c r="BA282" s="136" t="str">
        <f>IF(P282="","",IF(P282&lt;5,"Cor &lt;5 uC",IF(P282&lt;10,"5 ≤ Cor &lt; 10 uC",IF(P282&lt;15,"10 ≤ Cor &lt;15 uC",IF(P282&lt;30,"15 ≤ Cor &lt; 30 uC",IF(P282&lt;50,"30 ≤ Cor &lt; 50 uC","Cor &gt; 50 uC"))))))</f>
        <v>10 ≤ Cor &lt;15 uC</v>
      </c>
      <c r="BB282" s="137" t="str">
        <f>IF(O282="","",IF(O282&lt;2.5,"Turbidez &lt; 2,5 uT",IF(O282&lt;5,"2,5 ≤ Turb &lt; 5,0 uT",IF(O282&lt;7.5,"5,0 ≤ Turb &lt; 7,5 uT",IF(O282&lt;10,"7,5 ≤ Turb &lt; 10,0 uT",IF(O282&lt;15,"10,0 ≤ Turb &lt; 15,0 uT","Turb &gt; 15 uT"))))))</f>
        <v>Turbidez &lt; 2,5 uT</v>
      </c>
      <c r="BC282" s="138" t="str">
        <f>IF(AND(C282&gt;D282,D282&gt;E282),"TOR &gt; SM &gt; BNN",IF(AND(C282&gt;E282,E282&gt;D282),"TOR &gt; BNN &gt; SM",IF(AND(D282&gt;C282,C282&gt;E282),"SM &gt; TOR &gt; BNN",IF(AND(D282&gt;E282,E282&gt;C282),"SM &gt; BNN &gt; TOR",IF(AND(C282=D282,D282=E282),"TOR = SM = BNN","Comb. diferentes")))))</f>
        <v>SM &gt; TOR &gt; BNN</v>
      </c>
      <c r="BD282" s="137" t="str">
        <f>IF(OR(AE282="",AQ282="-"),"",IF(AE282&lt;=0.25,"Tipo 1 (≤0,25) uT",IF(AE282&lt;=0.5,"Tipo 2 (0,25-0,50) uT",IF(AE282&lt;=0.75,"Tipo 3 (0,50-0,75) uT","Tipo 4 (&gt;0,75) uT"))))</f>
        <v>Tipo 1 (≤0,25) uT</v>
      </c>
      <c r="BE282" s="137" t="str">
        <f t="shared" si="28"/>
        <v>Tipo 1 (≤0,25) uT</v>
      </c>
      <c r="BF282" s="137" t="str">
        <f>IF(OR(AF282="",AQ282="-"),"",IF(AF282&lt;=0.25,"Tipo 1 (≤0,25) uT",IF(AF282&lt;=0.5,"Tipo 2 (0,25-0,50) uT",IF(AF282&lt;=0.75,"Tipo 3 (0,50-0,75) uT","Tipo 4 (&gt;0,75) uT"))))</f>
        <v>Tipo 1 (≤0,25) uT</v>
      </c>
      <c r="BG282" s="137" t="str">
        <f t="shared" si="29"/>
        <v>Tipo 1 (≤0,25) uT</v>
      </c>
      <c r="BH282" s="137" t="str">
        <f>IF(OR(R282="",R282="-"),"",IF(R282&lt;=0.25,"Tipo 1 (≤0,25) uT",IF(R282&lt;=0.5,"Tipo 2 (0,25-0,50) uT",IF(R282&lt;=0.75,"Tipo 3 (0,50-0,75) uT","Tipo 4 (&gt;0,75) uT"))))</f>
        <v>Tipo 1 (≤0,25) uT</v>
      </c>
    </row>
    <row r="283" spans="1:60" x14ac:dyDescent="0.3">
      <c r="A283" s="74">
        <v>46290</v>
      </c>
      <c r="B283" s="139">
        <v>6.25E-2</v>
      </c>
      <c r="C283" s="116">
        <v>360</v>
      </c>
      <c r="D283" s="116">
        <v>1497</v>
      </c>
      <c r="E283" s="116">
        <v>275</v>
      </c>
      <c r="F283" s="116">
        <v>2178</v>
      </c>
      <c r="G283" s="144" t="s">
        <v>100</v>
      </c>
      <c r="H283" s="122">
        <v>9.1999999999999993</v>
      </c>
      <c r="I283" s="116">
        <v>-50</v>
      </c>
      <c r="J283" s="10">
        <v>90</v>
      </c>
      <c r="K283" s="116">
        <v>90</v>
      </c>
      <c r="L283" s="116">
        <v>90</v>
      </c>
      <c r="M283" s="122">
        <v>25</v>
      </c>
      <c r="N283" s="122">
        <v>6.5</v>
      </c>
      <c r="O283" s="79">
        <v>4.29</v>
      </c>
      <c r="P283" s="116">
        <v>13</v>
      </c>
      <c r="Q283" s="122">
        <v>6.9</v>
      </c>
      <c r="R283" s="10">
        <v>0.11</v>
      </c>
      <c r="S283" s="79">
        <v>22.36</v>
      </c>
      <c r="T283" s="79">
        <v>0.88</v>
      </c>
      <c r="U283" s="79">
        <v>0.7</v>
      </c>
      <c r="V283" s="85">
        <f t="shared" si="30"/>
        <v>2463.8625000000002</v>
      </c>
      <c r="W283" s="85">
        <f t="shared" si="31"/>
        <v>1533.3012239999998</v>
      </c>
      <c r="X283" s="85">
        <f t="shared" si="32"/>
        <v>0.62231606836826314</v>
      </c>
      <c r="Y283" s="116">
        <v>3</v>
      </c>
      <c r="Z283" s="116">
        <v>4</v>
      </c>
      <c r="AA283" s="122">
        <v>6</v>
      </c>
      <c r="AB283" s="116">
        <v>21</v>
      </c>
      <c r="AC283" s="122">
        <v>6.4</v>
      </c>
      <c r="AD283" s="122">
        <v>6.1</v>
      </c>
      <c r="AE283" s="79"/>
      <c r="AF283" s="79">
        <v>0.22</v>
      </c>
      <c r="AG283" s="85">
        <f>(O283+0.3*H283+2)*(F283/2/AK283)</f>
        <v>2463.8625000000002</v>
      </c>
      <c r="AH283" s="85">
        <f t="shared" si="33"/>
        <v>1821.4563327999999</v>
      </c>
      <c r="AI283" s="85">
        <f t="shared" si="34"/>
        <v>0.73926866162377158</v>
      </c>
      <c r="AJ283" s="116">
        <v>3</v>
      </c>
      <c r="AK283" s="116">
        <v>4</v>
      </c>
      <c r="AL283" s="122">
        <v>6.4</v>
      </c>
      <c r="AM283" s="116">
        <v>23</v>
      </c>
      <c r="AN283" s="122">
        <v>6.3</v>
      </c>
      <c r="AO283" s="122">
        <v>5.8</v>
      </c>
      <c r="AP283" s="79"/>
      <c r="AQ283" s="79">
        <v>0.25</v>
      </c>
      <c r="AR283" s="132">
        <f>SUM(C283:E283)</f>
        <v>2132</v>
      </c>
      <c r="AS283" s="134">
        <f>C283/AR283</f>
        <v>0.16885553470919323</v>
      </c>
      <c r="AT283" s="134">
        <f>D283/AR283</f>
        <v>0.7021575984990619</v>
      </c>
      <c r="AU283" s="134">
        <f>E283/AR283</f>
        <v>0.12898686679174484</v>
      </c>
      <c r="AV283" s="151">
        <f>IF(AND(F283&lt;&gt;"",Z283&lt;&gt;""),AB283/(F283/2/Z283),"")</f>
        <v>7.7134986225895319E-2</v>
      </c>
      <c r="AW283" s="151">
        <f>IF(AND(F283&lt;&gt;"",AK283&lt;&gt;""),AM283/(F283/2/AK283),"")</f>
        <v>8.4481175390266297E-2</v>
      </c>
      <c r="AX283" s="41">
        <f>IF(AND(AQ283&lt;&gt;"",1-(AQ283/O283)&gt;0),1-(AQ283/O283),"")</f>
        <v>0.9417249417249417</v>
      </c>
      <c r="AY283" s="41">
        <f>IF(AND(AF283&lt;&gt;"",1-(AF283/O283)&gt;0),1-(AF283/O283),"")</f>
        <v>0.94871794871794868</v>
      </c>
      <c r="AZ283" s="136" t="str">
        <f>IF(Q283="","",IF(Q283&lt;2.5,"Alc. Bruta &lt; 2,5 mg/L",IF(Q283&lt;5,"2,5 ≤ Alc. Bruta &lt; 5,0 mg/L",IF(Q283&lt;7.5,"5,0 ≤ Alc. Bruta &lt; 7,5 mg/L",IF(Q283&lt;10,"7,5 ≤ Alc. Bruta &lt; 10,0 mg/L",IF(Q283&lt;15,"10,0 ≤ Alca. Bruta &lt; 15,0 mg/L","Alc. Bruta &gt; 15 mg/L"))))))</f>
        <v>5,0 ≤ Alc. Bruta &lt; 7,5 mg/L</v>
      </c>
      <c r="BA283" s="136" t="str">
        <f>IF(P283="","",IF(P283&lt;5,"Cor &lt;5 uC",IF(P283&lt;10,"5 ≤ Cor &lt; 10 uC",IF(P283&lt;15,"10 ≤ Cor &lt;15 uC",IF(P283&lt;30,"15 ≤ Cor &lt; 30 uC",IF(P283&lt;50,"30 ≤ Cor &lt; 50 uC","Cor &gt; 50 uC"))))))</f>
        <v>10 ≤ Cor &lt;15 uC</v>
      </c>
      <c r="BB283" s="137" t="str">
        <f>IF(O283="","",IF(O283&lt;2.5,"Turbidez &lt; 2,5 uT",IF(O283&lt;5,"2,5 ≤ Turb &lt; 5,0 uT",IF(O283&lt;7.5,"5,0 ≤ Turb &lt; 7,5 uT",IF(O283&lt;10,"7,5 ≤ Turb &lt; 10,0 uT",IF(O283&lt;15,"10,0 ≤ Turb &lt; 15,0 uT","Turb &gt; 15 uT"))))))</f>
        <v>2,5 ≤ Turb &lt; 5,0 uT</v>
      </c>
      <c r="BC283" s="138" t="str">
        <f>IF(AND(C283&gt;D283,D283&gt;E283),"TOR &gt; SM &gt; BNN",IF(AND(C283&gt;E283,E283&gt;D283),"TOR &gt; BNN &gt; SM",IF(AND(D283&gt;C283,C283&gt;E283),"SM &gt; TOR &gt; BNN",IF(AND(D283&gt;E283,E283&gt;C283),"SM &gt; BNN &gt; TOR",IF(AND(C283=D283,D283=E283),"TOR = SM = BNN","Comb. diferentes")))))</f>
        <v>SM &gt; TOR &gt; BNN</v>
      </c>
      <c r="BD283" s="137" t="str">
        <f>IF(OR(AE283="",AQ283="-"),"",IF(AE283&lt;=0.25,"Tipo 1 (≤0,25) uT",IF(AE283&lt;=0.5,"Tipo 2 (0,25-0,50) uT",IF(AE283&lt;=0.75,"Tipo 3 (0,50-0,75) uT","Tipo 4 (&gt;0,75) uT"))))</f>
        <v/>
      </c>
      <c r="BE283" s="137" t="str">
        <f t="shared" si="28"/>
        <v/>
      </c>
      <c r="BF283" s="137" t="str">
        <f>IF(OR(AF283="",AQ283="-"),"",IF(AF283&lt;=0.25,"Tipo 1 (≤0,25) uT",IF(AF283&lt;=0.5,"Tipo 2 (0,25-0,50) uT",IF(AF283&lt;=0.75,"Tipo 3 (0,50-0,75) uT","Tipo 4 (&gt;0,75) uT"))))</f>
        <v>Tipo 1 (≤0,25) uT</v>
      </c>
      <c r="BG283" s="137" t="str">
        <f t="shared" si="29"/>
        <v>Tipo 1 (≤0,25) uT</v>
      </c>
      <c r="BH283" s="137" t="str">
        <f>IF(OR(R283="",R283="-"),"",IF(R283&lt;=0.25,"Tipo 1 (≤0,25) uT",IF(R283&lt;=0.5,"Tipo 2 (0,25-0,50) uT",IF(R283&lt;=0.75,"Tipo 3 (0,50-0,75) uT","Tipo 4 (&gt;0,75) uT"))))</f>
        <v>Tipo 1 (≤0,25) uT</v>
      </c>
    </row>
    <row r="284" spans="1:60" x14ac:dyDescent="0.3">
      <c r="A284" s="74">
        <v>46290</v>
      </c>
      <c r="B284" s="139">
        <v>0.14583333333333334</v>
      </c>
      <c r="C284" s="116">
        <v>364</v>
      </c>
      <c r="D284" s="116">
        <v>1542</v>
      </c>
      <c r="E284" s="116">
        <v>276</v>
      </c>
      <c r="F284" s="116">
        <v>2187</v>
      </c>
      <c r="G284" s="144" t="s">
        <v>100</v>
      </c>
      <c r="H284" s="122">
        <v>9.5</v>
      </c>
      <c r="I284" s="116">
        <v>-51</v>
      </c>
      <c r="J284" s="10">
        <v>90</v>
      </c>
      <c r="K284" s="116">
        <v>90</v>
      </c>
      <c r="L284" s="116">
        <v>90</v>
      </c>
      <c r="M284" s="122">
        <v>25</v>
      </c>
      <c r="N284" s="122">
        <v>6.6</v>
      </c>
      <c r="O284" s="79">
        <v>1.36</v>
      </c>
      <c r="P284" s="116">
        <v>11</v>
      </c>
      <c r="Q284" s="122">
        <v>6.1</v>
      </c>
      <c r="R284" s="10">
        <v>0.08</v>
      </c>
      <c r="S284" s="79">
        <v>22.36</v>
      </c>
      <c r="T284" s="79">
        <v>0.88</v>
      </c>
      <c r="U284" s="79">
        <v>0.7</v>
      </c>
      <c r="V284" s="85">
        <f t="shared" si="30"/>
        <v>1697.6587500000001</v>
      </c>
      <c r="W284" s="85">
        <f t="shared" si="31"/>
        <v>1533.3012239999998</v>
      </c>
      <c r="X284" s="85">
        <f t="shared" si="32"/>
        <v>0.90318576922482197</v>
      </c>
      <c r="Y284" s="116">
        <v>3</v>
      </c>
      <c r="Z284" s="116">
        <v>4</v>
      </c>
      <c r="AA284" s="122">
        <v>6</v>
      </c>
      <c r="AB284" s="116">
        <v>21</v>
      </c>
      <c r="AC284" s="122">
        <v>6.1</v>
      </c>
      <c r="AD284" s="122">
        <v>5.5</v>
      </c>
      <c r="AE284" s="79"/>
      <c r="AF284" s="79">
        <v>0.16</v>
      </c>
      <c r="AG284" s="85">
        <f>(O284+0.3*H284+2)*(F284/2/AK284)</f>
        <v>1697.6587500000001</v>
      </c>
      <c r="AH284" s="85">
        <f t="shared" si="33"/>
        <v>1742.2625791999999</v>
      </c>
      <c r="AI284" s="85">
        <f t="shared" si="34"/>
        <v>1.0262737309250165</v>
      </c>
      <c r="AJ284" s="116">
        <v>3</v>
      </c>
      <c r="AK284" s="116">
        <v>4</v>
      </c>
      <c r="AL284" s="122">
        <v>6.4</v>
      </c>
      <c r="AM284" s="116">
        <v>22</v>
      </c>
      <c r="AN284" s="122">
        <v>6.1</v>
      </c>
      <c r="AO284" s="122">
        <v>5.3</v>
      </c>
      <c r="AP284" s="79"/>
      <c r="AQ284" s="79">
        <v>0.19</v>
      </c>
      <c r="AR284" s="132">
        <f>SUM(C284:E284)</f>
        <v>2182</v>
      </c>
      <c r="AS284" s="134">
        <f>C284/AR284</f>
        <v>0.16681943171402383</v>
      </c>
      <c r="AT284" s="134">
        <f>D284/AR284</f>
        <v>0.70669110907424382</v>
      </c>
      <c r="AU284" s="134">
        <f>E284/AR284</f>
        <v>0.12648945921173235</v>
      </c>
      <c r="AV284" s="151">
        <f>IF(AND(F284&lt;&gt;"",Z284&lt;&gt;""),AB284/(F284/2/Z284),"")</f>
        <v>7.6817558299039787E-2</v>
      </c>
      <c r="AW284" s="151">
        <f>IF(AND(F284&lt;&gt;"",AK284&lt;&gt;""),AM284/(F284/2/AK284),"")</f>
        <v>8.0475537265660729E-2</v>
      </c>
      <c r="AX284" s="41">
        <f>IF(AND(AQ284&lt;&gt;"",1-(AQ284/O284)&gt;0),1-(AQ284/O284),"")</f>
        <v>0.86029411764705888</v>
      </c>
      <c r="AY284" s="41">
        <f>IF(AND(AF284&lt;&gt;"",1-(AF284/O284)&gt;0),1-(AF284/O284),"")</f>
        <v>0.88235294117647056</v>
      </c>
      <c r="AZ284" s="136" t="str">
        <f>IF(Q284="","",IF(Q284&lt;2.5,"Alc. Bruta &lt; 2,5 mg/L",IF(Q284&lt;5,"2,5 ≤ Alc. Bruta &lt; 5,0 mg/L",IF(Q284&lt;7.5,"5,0 ≤ Alc. Bruta &lt; 7,5 mg/L",IF(Q284&lt;10,"7,5 ≤ Alc. Bruta &lt; 10,0 mg/L",IF(Q284&lt;15,"10,0 ≤ Alca. Bruta &lt; 15,0 mg/L","Alc. Bruta &gt; 15 mg/L"))))))</f>
        <v>5,0 ≤ Alc. Bruta &lt; 7,5 mg/L</v>
      </c>
      <c r="BA284" s="136" t="str">
        <f>IF(P284="","",IF(P284&lt;5,"Cor &lt;5 uC",IF(P284&lt;10,"5 ≤ Cor &lt; 10 uC",IF(P284&lt;15,"10 ≤ Cor &lt;15 uC",IF(P284&lt;30,"15 ≤ Cor &lt; 30 uC",IF(P284&lt;50,"30 ≤ Cor &lt; 50 uC","Cor &gt; 50 uC"))))))</f>
        <v>10 ≤ Cor &lt;15 uC</v>
      </c>
      <c r="BB284" s="137" t="str">
        <f>IF(O284="","",IF(O284&lt;2.5,"Turbidez &lt; 2,5 uT",IF(O284&lt;5,"2,5 ≤ Turb &lt; 5,0 uT",IF(O284&lt;7.5,"5,0 ≤ Turb &lt; 7,5 uT",IF(O284&lt;10,"7,5 ≤ Turb &lt; 10,0 uT",IF(O284&lt;15,"10,0 ≤ Turb &lt; 15,0 uT","Turb &gt; 15 uT"))))))</f>
        <v>Turbidez &lt; 2,5 uT</v>
      </c>
      <c r="BC284" s="138" t="str">
        <f>IF(AND(C284&gt;D284,D284&gt;E284),"TOR &gt; SM &gt; BNN",IF(AND(C284&gt;E284,E284&gt;D284),"TOR &gt; BNN &gt; SM",IF(AND(D284&gt;C284,C284&gt;E284),"SM &gt; TOR &gt; BNN",IF(AND(D284&gt;E284,E284&gt;C284),"SM &gt; BNN &gt; TOR",IF(AND(C284=D284,D284=E284),"TOR = SM = BNN","Comb. diferentes")))))</f>
        <v>SM &gt; TOR &gt; BNN</v>
      </c>
      <c r="BD284" s="137" t="str">
        <f>IF(OR(AE284="",AQ284="-"),"",IF(AE284&lt;=0.25,"Tipo 1 (≤0,25) uT",IF(AE284&lt;=0.5,"Tipo 2 (0,25-0,50) uT",IF(AE284&lt;=0.75,"Tipo 3 (0,50-0,75) uT","Tipo 4 (&gt;0,75) uT"))))</f>
        <v/>
      </c>
      <c r="BE284" s="137" t="str">
        <f t="shared" si="28"/>
        <v/>
      </c>
      <c r="BF284" s="137" t="str">
        <f>IF(OR(AF284="",AQ284="-"),"",IF(AF284&lt;=0.25,"Tipo 1 (≤0,25) uT",IF(AF284&lt;=0.5,"Tipo 2 (0,25-0,50) uT",IF(AF284&lt;=0.75,"Tipo 3 (0,50-0,75) uT","Tipo 4 (&gt;0,75) uT"))))</f>
        <v>Tipo 1 (≤0,25) uT</v>
      </c>
      <c r="BG284" s="137" t="str">
        <f t="shared" si="29"/>
        <v>Tipo 1 (≤0,25) uT</v>
      </c>
      <c r="BH284" s="137" t="str">
        <f>IF(OR(R284="",R284="-"),"",IF(R284&lt;=0.25,"Tipo 1 (≤0,25) uT",IF(R284&lt;=0.5,"Tipo 2 (0,25-0,50) uT",IF(R284&lt;=0.75,"Tipo 3 (0,50-0,75) uT","Tipo 4 (&gt;0,75) uT"))))</f>
        <v>Tipo 1 (≤0,25) uT</v>
      </c>
    </row>
    <row r="285" spans="1:60" ht="15" thickBot="1" x14ac:dyDescent="0.35">
      <c r="A285" s="75">
        <v>46290</v>
      </c>
      <c r="B285" s="140">
        <v>0.22916666666666666</v>
      </c>
      <c r="C285" s="117">
        <v>358</v>
      </c>
      <c r="D285" s="117">
        <v>1575</v>
      </c>
      <c r="E285" s="117">
        <v>277</v>
      </c>
      <c r="F285" s="117">
        <v>2188</v>
      </c>
      <c r="G285" s="145" t="s">
        <v>100</v>
      </c>
      <c r="H285" s="123">
        <v>9.5</v>
      </c>
      <c r="I285" s="117">
        <v>-52</v>
      </c>
      <c r="J285" s="11">
        <v>90</v>
      </c>
      <c r="K285" s="117">
        <v>90</v>
      </c>
      <c r="L285" s="117">
        <v>90</v>
      </c>
      <c r="M285" s="123">
        <v>24.9</v>
      </c>
      <c r="N285" s="123">
        <v>6.4</v>
      </c>
      <c r="O285" s="80">
        <v>1.3</v>
      </c>
      <c r="P285" s="117">
        <v>10</v>
      </c>
      <c r="Q285" s="123">
        <v>6.4</v>
      </c>
      <c r="R285" s="11">
        <v>0.08</v>
      </c>
      <c r="S285" s="79">
        <v>22.36</v>
      </c>
      <c r="T285" s="79">
        <v>0.88</v>
      </c>
      <c r="U285" s="79">
        <v>0.7</v>
      </c>
      <c r="V285" s="85">
        <f t="shared" si="30"/>
        <v>1682.0250000000001</v>
      </c>
      <c r="W285" s="85">
        <f t="shared" si="31"/>
        <v>1533.3012239999998</v>
      </c>
      <c r="X285" s="85">
        <f t="shared" si="32"/>
        <v>0.9115805199090381</v>
      </c>
      <c r="Y285" s="117">
        <v>3</v>
      </c>
      <c r="Z285" s="117">
        <v>4</v>
      </c>
      <c r="AA285" s="123">
        <v>6</v>
      </c>
      <c r="AB285" s="117">
        <v>21</v>
      </c>
      <c r="AC285" s="123">
        <v>6.2</v>
      </c>
      <c r="AD285" s="123">
        <v>4.5999999999999996</v>
      </c>
      <c r="AE285" s="80"/>
      <c r="AF285" s="80">
        <v>0.15</v>
      </c>
      <c r="AG285" s="85">
        <f>(O285+0.3*H285+2)*(F285/2/AK285)</f>
        <v>1682.0250000000001</v>
      </c>
      <c r="AH285" s="85">
        <f t="shared" si="33"/>
        <v>1742.2625791999999</v>
      </c>
      <c r="AI285" s="85">
        <f t="shared" si="34"/>
        <v>1.0358125350098839</v>
      </c>
      <c r="AJ285" s="117">
        <v>3</v>
      </c>
      <c r="AK285" s="117">
        <v>4</v>
      </c>
      <c r="AL285" s="123">
        <v>6.4</v>
      </c>
      <c r="AM285" s="117">
        <v>22</v>
      </c>
      <c r="AN285" s="123">
        <v>6</v>
      </c>
      <c r="AO285" s="123">
        <v>5.9</v>
      </c>
      <c r="AP285" s="80"/>
      <c r="AQ285" s="80">
        <v>0.2</v>
      </c>
      <c r="AR285" s="132">
        <f>SUM(C285:E285)</f>
        <v>2210</v>
      </c>
      <c r="AS285" s="134">
        <f>C285/AR285</f>
        <v>0.16199095022624435</v>
      </c>
      <c r="AT285" s="134">
        <f>D285/AR285</f>
        <v>0.71266968325791857</v>
      </c>
      <c r="AU285" s="134">
        <f>E285/AR285</f>
        <v>0.1253393665158371</v>
      </c>
      <c r="AV285" s="151">
        <f>IF(AND(F285&lt;&gt;"",Z285&lt;&gt;""),AB285/(F285/2/Z285),"")</f>
        <v>7.6782449725776969E-2</v>
      </c>
      <c r="AW285" s="151">
        <f>IF(AND(F285&lt;&gt;"",AK285&lt;&gt;""),AM285/(F285/2/AK285),"")</f>
        <v>8.0438756855575874E-2</v>
      </c>
      <c r="AX285" s="41">
        <f>IF(AND(AQ285&lt;&gt;"",1-(AQ285/O285)&gt;0),1-(AQ285/O285),"")</f>
        <v>0.84615384615384615</v>
      </c>
      <c r="AY285" s="41">
        <f>IF(AND(AF285&lt;&gt;"",1-(AF285/O285)&gt;0),1-(AF285/O285),"")</f>
        <v>0.88461538461538458</v>
      </c>
      <c r="AZ285" s="136" t="str">
        <f>IF(Q285="","",IF(Q285&lt;2.5,"Alc. Bruta &lt; 2,5 mg/L",IF(Q285&lt;5,"2,5 ≤ Alc. Bruta &lt; 5,0 mg/L",IF(Q285&lt;7.5,"5,0 ≤ Alc. Bruta &lt; 7,5 mg/L",IF(Q285&lt;10,"7,5 ≤ Alc. Bruta &lt; 10,0 mg/L",IF(Q285&lt;15,"10,0 ≤ Alca. Bruta &lt; 15,0 mg/L","Alc. Bruta &gt; 15 mg/L"))))))</f>
        <v>5,0 ≤ Alc. Bruta &lt; 7,5 mg/L</v>
      </c>
      <c r="BA285" s="136" t="str">
        <f>IF(P285="","",IF(P285&lt;5,"Cor &lt;5 uC",IF(P285&lt;10,"5 ≤ Cor &lt; 10 uC",IF(P285&lt;15,"10 ≤ Cor &lt;15 uC",IF(P285&lt;30,"15 ≤ Cor &lt; 30 uC",IF(P285&lt;50,"30 ≤ Cor &lt; 50 uC","Cor &gt; 50 uC"))))))</f>
        <v>10 ≤ Cor &lt;15 uC</v>
      </c>
      <c r="BB285" s="137" t="str">
        <f>IF(O285="","",IF(O285&lt;2.5,"Turbidez &lt; 2,5 uT",IF(O285&lt;5,"2,5 ≤ Turb &lt; 5,0 uT",IF(O285&lt;7.5,"5,0 ≤ Turb &lt; 7,5 uT",IF(O285&lt;10,"7,5 ≤ Turb &lt; 10,0 uT",IF(O285&lt;15,"10,0 ≤ Turb &lt; 15,0 uT","Turb &gt; 15 uT"))))))</f>
        <v>Turbidez &lt; 2,5 uT</v>
      </c>
      <c r="BC285" s="138" t="str">
        <f>IF(AND(C285&gt;D285,D285&gt;E285),"TOR &gt; SM &gt; BNN",IF(AND(C285&gt;E285,E285&gt;D285),"TOR &gt; BNN &gt; SM",IF(AND(D285&gt;C285,C285&gt;E285),"SM &gt; TOR &gt; BNN",IF(AND(D285&gt;E285,E285&gt;C285),"SM &gt; BNN &gt; TOR",IF(AND(C285=D285,D285=E285),"TOR = SM = BNN","Comb. diferentes")))))</f>
        <v>SM &gt; TOR &gt; BNN</v>
      </c>
      <c r="BD285" s="137" t="str">
        <f>IF(OR(AE285="",AQ285="-"),"",IF(AE285&lt;=0.25,"Tipo 1 (≤0,25) uT",IF(AE285&lt;=0.5,"Tipo 2 (0,25-0,50) uT",IF(AE285&lt;=0.75,"Tipo 3 (0,50-0,75) uT","Tipo 4 (&gt;0,75) uT"))))</f>
        <v/>
      </c>
      <c r="BE285" s="137" t="str">
        <f t="shared" si="28"/>
        <v/>
      </c>
      <c r="BF285" s="137" t="str">
        <f>IF(OR(AF285="",AQ285="-"),"",IF(AF285&lt;=0.25,"Tipo 1 (≤0,25) uT",IF(AF285&lt;=0.5,"Tipo 2 (0,25-0,50) uT",IF(AF285&lt;=0.75,"Tipo 3 (0,50-0,75) uT","Tipo 4 (&gt;0,75) uT"))))</f>
        <v>Tipo 1 (≤0,25) uT</v>
      </c>
      <c r="BG285" s="137" t="str">
        <f t="shared" si="29"/>
        <v>Tipo 1 (≤0,25) uT</v>
      </c>
      <c r="BH285" s="137" t="str">
        <f>IF(OR(R285="",R285="-"),"",IF(R285&lt;=0.25,"Tipo 1 (≤0,25) uT",IF(R285&lt;=0.5,"Tipo 2 (0,25-0,50) uT",IF(R285&lt;=0.75,"Tipo 3 (0,50-0,75) uT","Tipo 4 (&gt;0,75) uT"))))</f>
        <v>Tipo 1 (≤0,25) uT</v>
      </c>
    </row>
    <row r="286" spans="1:60" x14ac:dyDescent="0.3">
      <c r="A286" s="73">
        <v>46290</v>
      </c>
      <c r="B286" s="141">
        <v>0.3125</v>
      </c>
      <c r="C286" s="118">
        <v>352</v>
      </c>
      <c r="D286" s="118">
        <v>1570</v>
      </c>
      <c r="E286" s="118">
        <v>275</v>
      </c>
      <c r="F286" s="118">
        <v>2171</v>
      </c>
      <c r="G286" s="146" t="s">
        <v>100</v>
      </c>
      <c r="H286" s="124">
        <v>9.5</v>
      </c>
      <c r="I286" s="118">
        <v>-47</v>
      </c>
      <c r="J286" s="9">
        <v>90</v>
      </c>
      <c r="K286" s="118">
        <v>90</v>
      </c>
      <c r="L286" s="118">
        <v>90</v>
      </c>
      <c r="M286" s="124">
        <v>24.3</v>
      </c>
      <c r="N286" s="124">
        <v>6.6</v>
      </c>
      <c r="O286" s="81">
        <v>1.53</v>
      </c>
      <c r="P286" s="118">
        <v>14</v>
      </c>
      <c r="Q286" s="124">
        <v>7.1</v>
      </c>
      <c r="R286" s="10">
        <v>0.12</v>
      </c>
      <c r="S286" s="79">
        <v>22.36</v>
      </c>
      <c r="T286" s="79">
        <v>0.88</v>
      </c>
      <c r="U286" s="79">
        <v>0.7</v>
      </c>
      <c r="V286" s="85">
        <f t="shared" si="30"/>
        <v>1731.3724999999999</v>
      </c>
      <c r="W286" s="85">
        <f t="shared" si="31"/>
        <v>1525.6609443711998</v>
      </c>
      <c r="X286" s="85">
        <f t="shared" si="32"/>
        <v>0.88118584785838971</v>
      </c>
      <c r="Y286" s="118">
        <v>3</v>
      </c>
      <c r="Z286" s="118">
        <v>4</v>
      </c>
      <c r="AA286" s="124">
        <v>6.04</v>
      </c>
      <c r="AB286" s="118">
        <v>20.72</v>
      </c>
      <c r="AC286" s="124">
        <v>6.2</v>
      </c>
      <c r="AD286" s="124">
        <v>6.6</v>
      </c>
      <c r="AE286" s="81"/>
      <c r="AF286" s="81">
        <v>0.17</v>
      </c>
      <c r="AG286" s="85">
        <f>(O286+0.3*H286+2)*(F286/2/AK286)</f>
        <v>1731.3724999999999</v>
      </c>
      <c r="AH286" s="85">
        <f t="shared" si="33"/>
        <v>1790.6845768239996</v>
      </c>
      <c r="AI286" s="85">
        <f t="shared" si="34"/>
        <v>1.0342572593846786</v>
      </c>
      <c r="AJ286" s="118">
        <v>3</v>
      </c>
      <c r="AK286" s="118">
        <v>4</v>
      </c>
      <c r="AL286" s="124">
        <v>6.38</v>
      </c>
      <c r="AM286" s="118">
        <v>22.7</v>
      </c>
      <c r="AN286" s="124">
        <v>6.3</v>
      </c>
      <c r="AO286" s="124">
        <v>5</v>
      </c>
      <c r="AP286" s="81"/>
      <c r="AQ286" s="81">
        <v>0.21</v>
      </c>
      <c r="AR286" s="132">
        <f>SUM(C286:E286)</f>
        <v>2197</v>
      </c>
      <c r="AS286" s="134">
        <f>C286/AR286</f>
        <v>0.16021847974510697</v>
      </c>
      <c r="AT286" s="134">
        <f>D286/AR286</f>
        <v>0.71461083295402827</v>
      </c>
      <c r="AU286" s="134">
        <f>E286/AR286</f>
        <v>0.12517068730086481</v>
      </c>
      <c r="AV286" s="151">
        <f>IF(AND(F286&lt;&gt;"",Z286&lt;&gt;""),AB286/(F286/2/Z286),"")</f>
        <v>7.6351911561492389E-2</v>
      </c>
      <c r="AW286" s="151">
        <f>IF(AND(F286&lt;&gt;"",AK286&lt;&gt;""),AM286/(F286/2/AK286),"")</f>
        <v>8.3648088438507601E-2</v>
      </c>
      <c r="AX286" s="41">
        <f>IF(AND(AQ286&lt;&gt;"",1-(AQ286/O286)&gt;0),1-(AQ286/O286),"")</f>
        <v>0.86274509803921573</v>
      </c>
      <c r="AY286" s="41">
        <f>IF(AND(AF286&lt;&gt;"",1-(AF286/O286)&gt;0),1-(AF286/O286),"")</f>
        <v>0.88888888888888884</v>
      </c>
      <c r="AZ286" s="136" t="str">
        <f>IF(Q286="","",IF(Q286&lt;2.5,"Alc. Bruta &lt; 2,5 mg/L",IF(Q286&lt;5,"2,5 ≤ Alc. Bruta &lt; 5,0 mg/L",IF(Q286&lt;7.5,"5,0 ≤ Alc. Bruta &lt; 7,5 mg/L",IF(Q286&lt;10,"7,5 ≤ Alc. Bruta &lt; 10,0 mg/L",IF(Q286&lt;15,"10,0 ≤ Alca. Bruta &lt; 15,0 mg/L","Alc. Bruta &gt; 15 mg/L"))))))</f>
        <v>5,0 ≤ Alc. Bruta &lt; 7,5 mg/L</v>
      </c>
      <c r="BA286" s="136" t="str">
        <f>IF(P286="","",IF(P286&lt;5,"Cor &lt;5 uC",IF(P286&lt;10,"5 ≤ Cor &lt; 10 uC",IF(P286&lt;15,"10 ≤ Cor &lt;15 uC",IF(P286&lt;30,"15 ≤ Cor &lt; 30 uC",IF(P286&lt;50,"30 ≤ Cor &lt; 50 uC","Cor &gt; 50 uC"))))))</f>
        <v>10 ≤ Cor &lt;15 uC</v>
      </c>
      <c r="BB286" s="137" t="str">
        <f>IF(O286="","",IF(O286&lt;2.5,"Turbidez &lt; 2,5 uT",IF(O286&lt;5,"2,5 ≤ Turb &lt; 5,0 uT",IF(O286&lt;7.5,"5,0 ≤ Turb &lt; 7,5 uT",IF(O286&lt;10,"7,5 ≤ Turb &lt; 10,0 uT",IF(O286&lt;15,"10,0 ≤ Turb &lt; 15,0 uT","Turb &gt; 15 uT"))))))</f>
        <v>Turbidez &lt; 2,5 uT</v>
      </c>
      <c r="BC286" s="138" t="str">
        <f>IF(AND(C286&gt;D286,D286&gt;E286),"TOR &gt; SM &gt; BNN",IF(AND(C286&gt;E286,E286&gt;D286),"TOR &gt; BNN &gt; SM",IF(AND(D286&gt;C286,C286&gt;E286),"SM &gt; TOR &gt; BNN",IF(AND(D286&gt;E286,E286&gt;C286),"SM &gt; BNN &gt; TOR",IF(AND(C286=D286,D286=E286),"TOR = SM = BNN","Comb. diferentes")))))</f>
        <v>SM &gt; TOR &gt; BNN</v>
      </c>
      <c r="BD286" s="137" t="str">
        <f>IF(OR(AE286="",AQ286="-"),"",IF(AE286&lt;=0.25,"Tipo 1 (≤0,25) uT",IF(AE286&lt;=0.5,"Tipo 2 (0,25-0,50) uT",IF(AE286&lt;=0.75,"Tipo 3 (0,50-0,75) uT","Tipo 4 (&gt;0,75) uT"))))</f>
        <v/>
      </c>
      <c r="BE286" s="137" t="str">
        <f t="shared" si="28"/>
        <v/>
      </c>
      <c r="BF286" s="137" t="str">
        <f>IF(OR(AF286="",AQ286="-"),"",IF(AF286&lt;=0.25,"Tipo 1 (≤0,25) uT",IF(AF286&lt;=0.5,"Tipo 2 (0,25-0,50) uT",IF(AF286&lt;=0.75,"Tipo 3 (0,50-0,75) uT","Tipo 4 (&gt;0,75) uT"))))</f>
        <v>Tipo 1 (≤0,25) uT</v>
      </c>
      <c r="BG286" s="137" t="str">
        <f t="shared" si="29"/>
        <v>Tipo 1 (≤0,25) uT</v>
      </c>
      <c r="BH286" s="137" t="str">
        <f>IF(OR(R286="",R286="-"),"",IF(R286&lt;=0.25,"Tipo 1 (≤0,25) uT",IF(R286&lt;=0.5,"Tipo 2 (0,25-0,50) uT",IF(R286&lt;=0.75,"Tipo 3 (0,50-0,75) uT","Tipo 4 (&gt;0,75) uT"))))</f>
        <v>Tipo 1 (≤0,25) uT</v>
      </c>
    </row>
    <row r="287" spans="1:60" x14ac:dyDescent="0.3">
      <c r="A287" s="74">
        <v>46290</v>
      </c>
      <c r="B287" s="139">
        <v>0.47916666666666669</v>
      </c>
      <c r="C287" s="116">
        <v>366</v>
      </c>
      <c r="D287" s="116">
        <v>1548</v>
      </c>
      <c r="E287" s="116">
        <v>276</v>
      </c>
      <c r="F287" s="116">
        <v>2204</v>
      </c>
      <c r="G287" s="144" t="s">
        <v>100</v>
      </c>
      <c r="H287" s="122">
        <v>9.5</v>
      </c>
      <c r="I287" s="116">
        <v>-56</v>
      </c>
      <c r="J287" s="10">
        <v>90</v>
      </c>
      <c r="K287" s="116">
        <v>90</v>
      </c>
      <c r="L287" s="116">
        <v>90</v>
      </c>
      <c r="M287" s="122">
        <v>26.2</v>
      </c>
      <c r="N287" s="122">
        <v>6.6</v>
      </c>
      <c r="O287" s="79">
        <v>1.29</v>
      </c>
      <c r="P287" s="116">
        <v>12</v>
      </c>
      <c r="Q287" s="122">
        <v>6.8</v>
      </c>
      <c r="R287" s="10">
        <v>0.12</v>
      </c>
      <c r="S287" s="79">
        <v>22.36</v>
      </c>
      <c r="T287" s="79">
        <v>0.88</v>
      </c>
      <c r="U287" s="79">
        <v>0.7</v>
      </c>
      <c r="V287" s="85">
        <f t="shared" si="30"/>
        <v>1691.5700000000002</v>
      </c>
      <c r="W287" s="85">
        <f t="shared" si="31"/>
        <v>1523.9295661927999</v>
      </c>
      <c r="X287" s="85">
        <f t="shared" si="32"/>
        <v>0.90089654356177973</v>
      </c>
      <c r="Y287" s="116">
        <v>3</v>
      </c>
      <c r="Z287" s="116">
        <v>4</v>
      </c>
      <c r="AA287" s="122">
        <v>6.03</v>
      </c>
      <c r="AB287" s="116">
        <v>20.74</v>
      </c>
      <c r="AC287" s="122">
        <v>6.3</v>
      </c>
      <c r="AD287" s="122">
        <v>5.3</v>
      </c>
      <c r="AE287" s="79"/>
      <c r="AF287" s="79">
        <v>0.14000000000000001</v>
      </c>
      <c r="AG287" s="85">
        <f>(O287+0.3*H287+2)*(F287/2/AK287)</f>
        <v>1691.5700000000002</v>
      </c>
      <c r="AH287" s="85">
        <f t="shared" si="33"/>
        <v>1780.9617377760001</v>
      </c>
      <c r="AI287" s="85">
        <f t="shared" si="34"/>
        <v>1.0528454263057396</v>
      </c>
      <c r="AJ287" s="116">
        <v>3</v>
      </c>
      <c r="AK287" s="116">
        <v>4</v>
      </c>
      <c r="AL287" s="122">
        <v>6.33</v>
      </c>
      <c r="AM287" s="116">
        <v>22.8</v>
      </c>
      <c r="AN287" s="122">
        <v>6.4</v>
      </c>
      <c r="AO287" s="122">
        <v>5.2</v>
      </c>
      <c r="AP287" s="79"/>
      <c r="AQ287" s="79">
        <v>0.2</v>
      </c>
      <c r="AR287" s="132">
        <f>SUM(C287:E287)</f>
        <v>2190</v>
      </c>
      <c r="AS287" s="134">
        <f>C287/AR287</f>
        <v>0.16712328767123288</v>
      </c>
      <c r="AT287" s="134">
        <f>D287/AR287</f>
        <v>0.70684931506849313</v>
      </c>
      <c r="AU287" s="134">
        <f>E287/AR287</f>
        <v>0.12602739726027398</v>
      </c>
      <c r="AV287" s="151">
        <f>IF(AND(F287&lt;&gt;"",Z287&lt;&gt;""),AB287/(F287/2/Z287),"")</f>
        <v>7.5281306715063515E-2</v>
      </c>
      <c r="AW287" s="151">
        <f>IF(AND(F287&lt;&gt;"",AK287&lt;&gt;""),AM287/(F287/2/AK287),"")</f>
        <v>8.2758620689655171E-2</v>
      </c>
      <c r="AX287" s="41">
        <f>IF(AND(AQ287&lt;&gt;"",1-(AQ287/O287)&gt;0),1-(AQ287/O287),"")</f>
        <v>0.84496124031007747</v>
      </c>
      <c r="AY287" s="41">
        <f>IF(AND(AF287&lt;&gt;"",1-(AF287/O287)&gt;0),1-(AF287/O287),"")</f>
        <v>0.89147286821705429</v>
      </c>
      <c r="AZ287" s="136" t="str">
        <f>IF(Q287="","",IF(Q287&lt;2.5,"Alc. Bruta &lt; 2,5 mg/L",IF(Q287&lt;5,"2,5 ≤ Alc. Bruta &lt; 5,0 mg/L",IF(Q287&lt;7.5,"5,0 ≤ Alc. Bruta &lt; 7,5 mg/L",IF(Q287&lt;10,"7,5 ≤ Alc. Bruta &lt; 10,0 mg/L",IF(Q287&lt;15,"10,0 ≤ Alca. Bruta &lt; 15,0 mg/L","Alc. Bruta &gt; 15 mg/L"))))))</f>
        <v>5,0 ≤ Alc. Bruta &lt; 7,5 mg/L</v>
      </c>
      <c r="BA287" s="136" t="str">
        <f>IF(P287="","",IF(P287&lt;5,"Cor &lt;5 uC",IF(P287&lt;10,"5 ≤ Cor &lt; 10 uC",IF(P287&lt;15,"10 ≤ Cor &lt;15 uC",IF(P287&lt;30,"15 ≤ Cor &lt; 30 uC",IF(P287&lt;50,"30 ≤ Cor &lt; 50 uC","Cor &gt; 50 uC"))))))</f>
        <v>10 ≤ Cor &lt;15 uC</v>
      </c>
      <c r="BB287" s="137" t="str">
        <f>IF(O287="","",IF(O287&lt;2.5,"Turbidez &lt; 2,5 uT",IF(O287&lt;5,"2,5 ≤ Turb &lt; 5,0 uT",IF(O287&lt;7.5,"5,0 ≤ Turb &lt; 7,5 uT",IF(O287&lt;10,"7,5 ≤ Turb &lt; 10,0 uT",IF(O287&lt;15,"10,0 ≤ Turb &lt; 15,0 uT","Turb &gt; 15 uT"))))))</f>
        <v>Turbidez &lt; 2,5 uT</v>
      </c>
      <c r="BC287" s="138" t="str">
        <f>IF(AND(C287&gt;D287,D287&gt;E287),"TOR &gt; SM &gt; BNN",IF(AND(C287&gt;E287,E287&gt;D287),"TOR &gt; BNN &gt; SM",IF(AND(D287&gt;C287,C287&gt;E287),"SM &gt; TOR &gt; BNN",IF(AND(D287&gt;E287,E287&gt;C287),"SM &gt; BNN &gt; TOR",IF(AND(C287=D287,D287=E287),"TOR = SM = BNN","Comb. diferentes")))))</f>
        <v>SM &gt; TOR &gt; BNN</v>
      </c>
      <c r="BD287" s="137" t="str">
        <f>IF(OR(AE287="",AQ287="-"),"",IF(AE287&lt;=0.25,"Tipo 1 (≤0,25) uT",IF(AE287&lt;=0.5,"Tipo 2 (0,25-0,50) uT",IF(AE287&lt;=0.75,"Tipo 3 (0,50-0,75) uT","Tipo 4 (&gt;0,75) uT"))))</f>
        <v/>
      </c>
      <c r="BE287" s="137" t="str">
        <f t="shared" si="28"/>
        <v/>
      </c>
      <c r="BF287" s="137" t="str">
        <f>IF(OR(AF287="",AQ287="-"),"",IF(AF287&lt;=0.25,"Tipo 1 (≤0,25) uT",IF(AF287&lt;=0.5,"Tipo 2 (0,25-0,50) uT",IF(AF287&lt;=0.75,"Tipo 3 (0,50-0,75) uT","Tipo 4 (&gt;0,75) uT"))))</f>
        <v>Tipo 1 (≤0,25) uT</v>
      </c>
      <c r="BG287" s="137" t="str">
        <f t="shared" si="29"/>
        <v>Tipo 1 (≤0,25) uT</v>
      </c>
      <c r="BH287" s="137" t="str">
        <f>IF(OR(R287="",R287="-"),"",IF(R287&lt;=0.25,"Tipo 1 (≤0,25) uT",IF(R287&lt;=0.5,"Tipo 2 (0,25-0,50) uT",IF(R287&lt;=0.75,"Tipo 3 (0,50-0,75) uT","Tipo 4 (&gt;0,75) uT"))))</f>
        <v>Tipo 1 (≤0,25) uT</v>
      </c>
    </row>
    <row r="288" spans="1:60" x14ac:dyDescent="0.3">
      <c r="A288" s="74">
        <v>46290</v>
      </c>
      <c r="B288" s="139">
        <v>0.72916666666666663</v>
      </c>
      <c r="C288" s="116">
        <v>362</v>
      </c>
      <c r="D288" s="116">
        <v>1550</v>
      </c>
      <c r="E288" s="116">
        <v>275</v>
      </c>
      <c r="F288" s="116">
        <v>2206</v>
      </c>
      <c r="G288" s="144" t="s">
        <v>100</v>
      </c>
      <c r="H288" s="122">
        <v>9.5</v>
      </c>
      <c r="I288" s="116">
        <v>-48</v>
      </c>
      <c r="J288" s="10">
        <v>90</v>
      </c>
      <c r="K288" s="116">
        <v>90</v>
      </c>
      <c r="L288" s="116">
        <v>90</v>
      </c>
      <c r="M288" s="122">
        <v>26.9</v>
      </c>
      <c r="N288" s="122">
        <v>5.8</v>
      </c>
      <c r="O288" s="79">
        <v>1.23</v>
      </c>
      <c r="P288" s="116">
        <v>10</v>
      </c>
      <c r="Q288" s="122">
        <v>6.9</v>
      </c>
      <c r="R288" s="10">
        <v>0.12</v>
      </c>
      <c r="S288" s="79">
        <v>22.36</v>
      </c>
      <c r="T288" s="79">
        <v>0.88</v>
      </c>
      <c r="U288" s="79">
        <v>0.7</v>
      </c>
      <c r="V288" s="85">
        <f t="shared" si="30"/>
        <v>1676.56</v>
      </c>
      <c r="W288" s="85">
        <f t="shared" si="31"/>
        <v>1530.5839876079997</v>
      </c>
      <c r="X288" s="85">
        <f t="shared" si="32"/>
        <v>0.91293123276709442</v>
      </c>
      <c r="Y288" s="116">
        <v>3</v>
      </c>
      <c r="Z288" s="116">
        <v>4</v>
      </c>
      <c r="AA288" s="122">
        <v>6.06</v>
      </c>
      <c r="AB288" s="116">
        <v>20.7</v>
      </c>
      <c r="AC288" s="122">
        <v>6.3</v>
      </c>
      <c r="AD288" s="122">
        <v>5.0999999999999996</v>
      </c>
      <c r="AE288" s="79">
        <v>0.21</v>
      </c>
      <c r="AF288" s="79">
        <v>0.14000000000000001</v>
      </c>
      <c r="AG288" s="85">
        <f>(O288+0.3*H288+2)*(F288/2/AK288)</f>
        <v>1676.56</v>
      </c>
      <c r="AH288" s="85">
        <f t="shared" si="33"/>
        <v>1770.4232658527997</v>
      </c>
      <c r="AI288" s="85">
        <f t="shared" si="34"/>
        <v>1.0559856288190101</v>
      </c>
      <c r="AJ288" s="116">
        <v>3</v>
      </c>
      <c r="AK288" s="116">
        <v>4</v>
      </c>
      <c r="AL288" s="122">
        <v>6.32</v>
      </c>
      <c r="AM288" s="116">
        <v>22.71</v>
      </c>
      <c r="AN288" s="122">
        <v>6.3</v>
      </c>
      <c r="AO288" s="122">
        <v>5.4</v>
      </c>
      <c r="AP288" s="79">
        <v>0.24</v>
      </c>
      <c r="AQ288" s="79">
        <v>0.19</v>
      </c>
      <c r="AR288" s="132">
        <f>SUM(C288:E288)</f>
        <v>2187</v>
      </c>
      <c r="AS288" s="134">
        <f>C288/AR288</f>
        <v>0.16552354823959761</v>
      </c>
      <c r="AT288" s="134">
        <f>D288/AR288</f>
        <v>0.70873342478280754</v>
      </c>
      <c r="AU288" s="134">
        <f>E288/AR288</f>
        <v>0.12574302697759487</v>
      </c>
      <c r="AV288" s="151">
        <f>IF(AND(F288&lt;&gt;"",Z288&lt;&gt;""),AB288/(F288/2/Z288),"")</f>
        <v>7.5067996373526749E-2</v>
      </c>
      <c r="AW288" s="151">
        <f>IF(AND(F288&lt;&gt;"",AK288&lt;&gt;""),AM288/(F288/2/AK288),"")</f>
        <v>8.2357207615593842E-2</v>
      </c>
      <c r="AX288" s="41">
        <f>IF(AND(AQ288&lt;&gt;"",1-(AQ288/O288)&gt;0),1-(AQ288/O288),"")</f>
        <v>0.84552845528455278</v>
      </c>
      <c r="AY288" s="41">
        <f>IF(AND(AF288&lt;&gt;"",1-(AF288/O288)&gt;0),1-(AF288/O288),"")</f>
        <v>0.88617886178861793</v>
      </c>
      <c r="AZ288" s="136" t="str">
        <f>IF(Q288="","",IF(Q288&lt;2.5,"Alc. Bruta &lt; 2,5 mg/L",IF(Q288&lt;5,"2,5 ≤ Alc. Bruta &lt; 5,0 mg/L",IF(Q288&lt;7.5,"5,0 ≤ Alc. Bruta &lt; 7,5 mg/L",IF(Q288&lt;10,"7,5 ≤ Alc. Bruta &lt; 10,0 mg/L",IF(Q288&lt;15,"10,0 ≤ Alca. Bruta &lt; 15,0 mg/L","Alc. Bruta &gt; 15 mg/L"))))))</f>
        <v>5,0 ≤ Alc. Bruta &lt; 7,5 mg/L</v>
      </c>
      <c r="BA288" s="136" t="str">
        <f>IF(P288="","",IF(P288&lt;5,"Cor &lt;5 uC",IF(P288&lt;10,"5 ≤ Cor &lt; 10 uC",IF(P288&lt;15,"10 ≤ Cor &lt;15 uC",IF(P288&lt;30,"15 ≤ Cor &lt; 30 uC",IF(P288&lt;50,"30 ≤ Cor &lt; 50 uC","Cor &gt; 50 uC"))))))</f>
        <v>10 ≤ Cor &lt;15 uC</v>
      </c>
      <c r="BB288" s="137" t="str">
        <f>IF(O288="","",IF(O288&lt;2.5,"Turbidez &lt; 2,5 uT",IF(O288&lt;5,"2,5 ≤ Turb &lt; 5,0 uT",IF(O288&lt;7.5,"5,0 ≤ Turb &lt; 7,5 uT",IF(O288&lt;10,"7,5 ≤ Turb &lt; 10,0 uT",IF(O288&lt;15,"10,0 ≤ Turb &lt; 15,0 uT","Turb &gt; 15 uT"))))))</f>
        <v>Turbidez &lt; 2,5 uT</v>
      </c>
      <c r="BC288" s="138" t="str">
        <f>IF(AND(C288&gt;D288,D288&gt;E288),"TOR &gt; SM &gt; BNN",IF(AND(C288&gt;E288,E288&gt;D288),"TOR &gt; BNN &gt; SM",IF(AND(D288&gt;C288,C288&gt;E288),"SM &gt; TOR &gt; BNN",IF(AND(D288&gt;E288,E288&gt;C288),"SM &gt; BNN &gt; TOR",IF(AND(C288=D288,D288=E288),"TOR = SM = BNN","Comb. diferentes")))))</f>
        <v>SM &gt; TOR &gt; BNN</v>
      </c>
      <c r="BD288" s="137" t="str">
        <f>IF(OR(AE288="",AQ288="-"),"",IF(AE288&lt;=0.25,"Tipo 1 (≤0,25) uT",IF(AE288&lt;=0.5,"Tipo 2 (0,25-0,50) uT",IF(AE288&lt;=0.75,"Tipo 3 (0,50-0,75) uT","Tipo 4 (&gt;0,75) uT"))))</f>
        <v>Tipo 1 (≤0,25) uT</v>
      </c>
      <c r="BE288" s="137" t="str">
        <f t="shared" si="28"/>
        <v>Tipo 1 (≤0,25) uT</v>
      </c>
      <c r="BF288" s="137" t="str">
        <f>IF(OR(AF288="",AQ288="-"),"",IF(AF288&lt;=0.25,"Tipo 1 (≤0,25) uT",IF(AF288&lt;=0.5,"Tipo 2 (0,25-0,50) uT",IF(AF288&lt;=0.75,"Tipo 3 (0,50-0,75) uT","Tipo 4 (&gt;0,75) uT"))))</f>
        <v>Tipo 1 (≤0,25) uT</v>
      </c>
      <c r="BG288" s="137" t="str">
        <f t="shared" si="29"/>
        <v>Tipo 1 (≤0,25) uT</v>
      </c>
      <c r="BH288" s="137" t="str">
        <f>IF(OR(R288="",R288="-"),"",IF(R288&lt;=0.25,"Tipo 1 (≤0,25) uT",IF(R288&lt;=0.5,"Tipo 2 (0,25-0,50) uT",IF(R288&lt;=0.75,"Tipo 3 (0,50-0,75) uT","Tipo 4 (&gt;0,75) uT"))))</f>
        <v>Tipo 1 (≤0,25) uT</v>
      </c>
    </row>
    <row r="289" spans="1:60" x14ac:dyDescent="0.3">
      <c r="A289" s="74">
        <v>46290</v>
      </c>
      <c r="B289" s="139">
        <v>0.8125</v>
      </c>
      <c r="C289" s="116">
        <v>367</v>
      </c>
      <c r="D289" s="116">
        <v>1510</v>
      </c>
      <c r="E289" s="116">
        <v>197</v>
      </c>
      <c r="F289" s="116">
        <v>2260</v>
      </c>
      <c r="G289" s="144" t="s">
        <v>100</v>
      </c>
      <c r="H289" s="122">
        <v>9.5</v>
      </c>
      <c r="I289" s="116">
        <v>-86</v>
      </c>
      <c r="J289" s="10">
        <v>90</v>
      </c>
      <c r="K289" s="116">
        <v>90</v>
      </c>
      <c r="L289" s="116">
        <v>90</v>
      </c>
      <c r="M289" s="122">
        <v>26.5</v>
      </c>
      <c r="N289" s="122">
        <v>6.5</v>
      </c>
      <c r="O289" s="79">
        <v>1.24</v>
      </c>
      <c r="P289" s="116">
        <v>11</v>
      </c>
      <c r="Q289" s="122">
        <v>6.3</v>
      </c>
      <c r="R289" s="10">
        <v>0.08</v>
      </c>
      <c r="S289" s="79">
        <v>22.36</v>
      </c>
      <c r="T289" s="79">
        <v>0.88</v>
      </c>
      <c r="U289" s="79">
        <v>0.7</v>
      </c>
      <c r="V289" s="85">
        <f t="shared" si="30"/>
        <v>1720.425</v>
      </c>
      <c r="W289" s="85">
        <f t="shared" si="31"/>
        <v>1565.7431243999997</v>
      </c>
      <c r="X289" s="85">
        <f t="shared" si="32"/>
        <v>0.91009089288983813</v>
      </c>
      <c r="Y289" s="116">
        <v>3</v>
      </c>
      <c r="Z289" s="116">
        <v>4</v>
      </c>
      <c r="AA289" s="122">
        <v>6.1</v>
      </c>
      <c r="AB289" s="116">
        <v>21</v>
      </c>
      <c r="AC289" s="122">
        <v>6.2</v>
      </c>
      <c r="AD289" s="122">
        <v>4.9000000000000004</v>
      </c>
      <c r="AE289" s="79">
        <v>0.28000000000000003</v>
      </c>
      <c r="AF289" s="79">
        <v>0.14000000000000001</v>
      </c>
      <c r="AG289" s="85">
        <f>(O289+0.3*H289+2)*(F289/2/AK289)</f>
        <v>1720.425</v>
      </c>
      <c r="AH289" s="85">
        <f t="shared" si="33"/>
        <v>1821.4563327999999</v>
      </c>
      <c r="AI289" s="85">
        <f t="shared" si="34"/>
        <v>1.0587246365287646</v>
      </c>
      <c r="AJ289" s="116">
        <v>3</v>
      </c>
      <c r="AK289" s="116">
        <v>4</v>
      </c>
      <c r="AL289" s="122">
        <v>6.4</v>
      </c>
      <c r="AM289" s="116">
        <v>23</v>
      </c>
      <c r="AN289" s="122">
        <v>6.2</v>
      </c>
      <c r="AO289" s="122">
        <v>4.7</v>
      </c>
      <c r="AP289" s="79">
        <v>0.24</v>
      </c>
      <c r="AQ289" s="79">
        <v>0.19</v>
      </c>
      <c r="AR289" s="132">
        <f>SUM(C289:E289)</f>
        <v>2074</v>
      </c>
      <c r="AS289" s="134">
        <f>C289/AR289</f>
        <v>0.17695274831243973</v>
      </c>
      <c r="AT289" s="134">
        <f>D289/AR289</f>
        <v>0.72806171648987461</v>
      </c>
      <c r="AU289" s="134">
        <f>E289/AR289</f>
        <v>9.4985535197685628E-2</v>
      </c>
      <c r="AV289" s="151">
        <f>IF(AND(F289&lt;&gt;"",Z289&lt;&gt;""),AB289/(F289/2/Z289),"")</f>
        <v>7.4336283185840707E-2</v>
      </c>
      <c r="AW289" s="151">
        <f>IF(AND(F289&lt;&gt;"",AK289&lt;&gt;""),AM289/(F289/2/AK289),"")</f>
        <v>8.1415929203539822E-2</v>
      </c>
      <c r="AX289" s="41">
        <f>IF(AND(AQ289&lt;&gt;"",1-(AQ289/O289)&gt;0),1-(AQ289/O289),"")</f>
        <v>0.84677419354838712</v>
      </c>
      <c r="AY289" s="41">
        <f>IF(AND(AF289&lt;&gt;"",1-(AF289/O289)&gt;0),1-(AF289/O289),"")</f>
        <v>0.88709677419354838</v>
      </c>
      <c r="AZ289" s="136" t="str">
        <f>IF(Q289="","",IF(Q289&lt;2.5,"Alc. Bruta &lt; 2,5 mg/L",IF(Q289&lt;5,"2,5 ≤ Alc. Bruta &lt; 5,0 mg/L",IF(Q289&lt;7.5,"5,0 ≤ Alc. Bruta &lt; 7,5 mg/L",IF(Q289&lt;10,"7,5 ≤ Alc. Bruta &lt; 10,0 mg/L",IF(Q289&lt;15,"10,0 ≤ Alca. Bruta &lt; 15,0 mg/L","Alc. Bruta &gt; 15 mg/L"))))))</f>
        <v>5,0 ≤ Alc. Bruta &lt; 7,5 mg/L</v>
      </c>
      <c r="BA289" s="136" t="str">
        <f>IF(P289="","",IF(P289&lt;5,"Cor &lt;5 uC",IF(P289&lt;10,"5 ≤ Cor &lt; 10 uC",IF(P289&lt;15,"10 ≤ Cor &lt;15 uC",IF(P289&lt;30,"15 ≤ Cor &lt; 30 uC",IF(P289&lt;50,"30 ≤ Cor &lt; 50 uC","Cor &gt; 50 uC"))))))</f>
        <v>10 ≤ Cor &lt;15 uC</v>
      </c>
      <c r="BB289" s="137" t="str">
        <f>IF(O289="","",IF(O289&lt;2.5,"Turbidez &lt; 2,5 uT",IF(O289&lt;5,"2,5 ≤ Turb &lt; 5,0 uT",IF(O289&lt;7.5,"5,0 ≤ Turb &lt; 7,5 uT",IF(O289&lt;10,"7,5 ≤ Turb &lt; 10,0 uT",IF(O289&lt;15,"10,0 ≤ Turb &lt; 15,0 uT","Turb &gt; 15 uT"))))))</f>
        <v>Turbidez &lt; 2,5 uT</v>
      </c>
      <c r="BC289" s="138" t="str">
        <f>IF(AND(C289&gt;D289,D289&gt;E289),"TOR &gt; SM &gt; BNN",IF(AND(C289&gt;E289,E289&gt;D289),"TOR &gt; BNN &gt; SM",IF(AND(D289&gt;C289,C289&gt;E289),"SM &gt; TOR &gt; BNN",IF(AND(D289&gt;E289,E289&gt;C289),"SM &gt; BNN &gt; TOR",IF(AND(C289=D289,D289=E289),"TOR = SM = BNN","Comb. diferentes")))))</f>
        <v>SM &gt; TOR &gt; BNN</v>
      </c>
      <c r="BD289" s="137" t="str">
        <f>IF(OR(AE289="",AQ289="-"),"",IF(AE289&lt;=0.25,"Tipo 1 (≤0,25) uT",IF(AE289&lt;=0.5,"Tipo 2 (0,25-0,50) uT",IF(AE289&lt;=0.75,"Tipo 3 (0,50-0,75) uT","Tipo 4 (&gt;0,75) uT"))))</f>
        <v>Tipo 2 (0,25-0,50) uT</v>
      </c>
      <c r="BE289" s="137" t="str">
        <f t="shared" si="28"/>
        <v>Tipo 1 (≤0,25) uT</v>
      </c>
      <c r="BF289" s="137" t="str">
        <f>IF(OR(AF289="",AQ289="-"),"",IF(AF289&lt;=0.25,"Tipo 1 (≤0,25) uT",IF(AF289&lt;=0.5,"Tipo 2 (0,25-0,50) uT",IF(AF289&lt;=0.75,"Tipo 3 (0,50-0,75) uT","Tipo 4 (&gt;0,75) uT"))))</f>
        <v>Tipo 1 (≤0,25) uT</v>
      </c>
      <c r="BG289" s="137" t="str">
        <f t="shared" si="29"/>
        <v>Tipo 1 (≤0,25) uT</v>
      </c>
      <c r="BH289" s="137" t="str">
        <f>IF(OR(R289="",R289="-"),"",IF(R289&lt;=0.25,"Tipo 1 (≤0,25) uT",IF(R289&lt;=0.5,"Tipo 2 (0,25-0,50) uT",IF(R289&lt;=0.75,"Tipo 3 (0,50-0,75) uT","Tipo 4 (&gt;0,75) uT"))))</f>
        <v>Tipo 1 (≤0,25) uT</v>
      </c>
    </row>
    <row r="290" spans="1:60" x14ac:dyDescent="0.3">
      <c r="A290" s="74">
        <v>46290</v>
      </c>
      <c r="B290" s="139">
        <v>0.89583333333333337</v>
      </c>
      <c r="C290" s="116">
        <v>356</v>
      </c>
      <c r="D290" s="116">
        <v>1539</v>
      </c>
      <c r="E290" s="116">
        <v>274</v>
      </c>
      <c r="F290" s="116">
        <v>2271</v>
      </c>
      <c r="G290" s="144" t="s">
        <v>100</v>
      </c>
      <c r="H290" s="122">
        <v>9.5</v>
      </c>
      <c r="I290" s="116">
        <v>-91</v>
      </c>
      <c r="J290" s="10">
        <v>90</v>
      </c>
      <c r="K290" s="116">
        <v>90</v>
      </c>
      <c r="L290" s="116">
        <v>90</v>
      </c>
      <c r="M290" s="122">
        <v>25.9</v>
      </c>
      <c r="N290" s="122">
        <v>6.4</v>
      </c>
      <c r="O290" s="79">
        <v>1.29</v>
      </c>
      <c r="P290" s="116">
        <v>12</v>
      </c>
      <c r="Q290" s="122">
        <v>6.6</v>
      </c>
      <c r="R290" s="10">
        <v>0.11</v>
      </c>
      <c r="S290" s="79">
        <v>22.36</v>
      </c>
      <c r="T290" s="79">
        <v>0.88</v>
      </c>
      <c r="U290" s="79">
        <v>0.7</v>
      </c>
      <c r="V290" s="85">
        <f t="shared" si="30"/>
        <v>1742.9925000000001</v>
      </c>
      <c r="W290" s="85">
        <f t="shared" si="31"/>
        <v>1565.7431243999997</v>
      </c>
      <c r="X290" s="85">
        <f t="shared" si="32"/>
        <v>0.89830743643475208</v>
      </c>
      <c r="Y290" s="116">
        <v>3</v>
      </c>
      <c r="Z290" s="116">
        <v>4</v>
      </c>
      <c r="AA290" s="122">
        <v>6.1</v>
      </c>
      <c r="AB290" s="116">
        <v>21</v>
      </c>
      <c r="AC290" s="122">
        <v>6.1</v>
      </c>
      <c r="AD290" s="122">
        <v>5.8</v>
      </c>
      <c r="AE290" s="79">
        <v>0.23</v>
      </c>
      <c r="AF290" s="79">
        <v>0.15</v>
      </c>
      <c r="AG290" s="85">
        <f>(O290+0.3*H290+2)*(F290/2/AK290)</f>
        <v>1742.9925000000001</v>
      </c>
      <c r="AH290" s="85">
        <f t="shared" si="33"/>
        <v>1821.4563327999999</v>
      </c>
      <c r="AI290" s="85">
        <f t="shared" si="34"/>
        <v>1.0450167357576121</v>
      </c>
      <c r="AJ290" s="116">
        <v>3</v>
      </c>
      <c r="AK290" s="116">
        <v>4</v>
      </c>
      <c r="AL290" s="122">
        <v>6.4</v>
      </c>
      <c r="AM290" s="116">
        <v>23</v>
      </c>
      <c r="AN290" s="122">
        <v>6.2</v>
      </c>
      <c r="AO290" s="122">
        <v>5.2</v>
      </c>
      <c r="AP290" s="79">
        <v>0.24</v>
      </c>
      <c r="AQ290" s="79">
        <v>0.2</v>
      </c>
      <c r="AR290" s="132">
        <f>SUM(C290:E290)</f>
        <v>2169</v>
      </c>
      <c r="AS290" s="134">
        <f>C290/AR290</f>
        <v>0.16413093591516828</v>
      </c>
      <c r="AT290" s="134">
        <f>D290/AR290</f>
        <v>0.70954356846473032</v>
      </c>
      <c r="AU290" s="134">
        <f>E290/AR290</f>
        <v>0.12632549562010142</v>
      </c>
      <c r="AV290" s="151">
        <f>IF(AND(F290&lt;&gt;"",Z290&lt;&gt;""),AB290/(F290/2/Z290),"")</f>
        <v>7.3976221928665792E-2</v>
      </c>
      <c r="AW290" s="151">
        <f>IF(AND(F290&lt;&gt;"",AK290&lt;&gt;""),AM290/(F290/2/AK290),"")</f>
        <v>8.1021576398062525E-2</v>
      </c>
      <c r="AX290" s="41">
        <f>IF(AND(AQ290&lt;&gt;"",1-(AQ290/O290)&gt;0),1-(AQ290/O290),"")</f>
        <v>0.84496124031007747</v>
      </c>
      <c r="AY290" s="41">
        <f>IF(AND(AF290&lt;&gt;"",1-(AF290/O290)&gt;0),1-(AF290/O290),"")</f>
        <v>0.88372093023255816</v>
      </c>
      <c r="AZ290" s="136" t="str">
        <f>IF(Q290="","",IF(Q290&lt;2.5,"Alc. Bruta &lt; 2,5 mg/L",IF(Q290&lt;5,"2,5 ≤ Alc. Bruta &lt; 5,0 mg/L",IF(Q290&lt;7.5,"5,0 ≤ Alc. Bruta &lt; 7,5 mg/L",IF(Q290&lt;10,"7,5 ≤ Alc. Bruta &lt; 10,0 mg/L",IF(Q290&lt;15,"10,0 ≤ Alca. Bruta &lt; 15,0 mg/L","Alc. Bruta &gt; 15 mg/L"))))))</f>
        <v>5,0 ≤ Alc. Bruta &lt; 7,5 mg/L</v>
      </c>
      <c r="BA290" s="136" t="str">
        <f>IF(P290="","",IF(P290&lt;5,"Cor &lt;5 uC",IF(P290&lt;10,"5 ≤ Cor &lt; 10 uC",IF(P290&lt;15,"10 ≤ Cor &lt;15 uC",IF(P290&lt;30,"15 ≤ Cor &lt; 30 uC",IF(P290&lt;50,"30 ≤ Cor &lt; 50 uC","Cor &gt; 50 uC"))))))</f>
        <v>10 ≤ Cor &lt;15 uC</v>
      </c>
      <c r="BB290" s="137" t="str">
        <f>IF(O290="","",IF(O290&lt;2.5,"Turbidez &lt; 2,5 uT",IF(O290&lt;5,"2,5 ≤ Turb &lt; 5,0 uT",IF(O290&lt;7.5,"5,0 ≤ Turb &lt; 7,5 uT",IF(O290&lt;10,"7,5 ≤ Turb &lt; 10,0 uT",IF(O290&lt;15,"10,0 ≤ Turb &lt; 15,0 uT","Turb &gt; 15 uT"))))))</f>
        <v>Turbidez &lt; 2,5 uT</v>
      </c>
      <c r="BC290" s="138" t="str">
        <f>IF(AND(C290&gt;D290,D290&gt;E290),"TOR &gt; SM &gt; BNN",IF(AND(C290&gt;E290,E290&gt;D290),"TOR &gt; BNN &gt; SM",IF(AND(D290&gt;C290,C290&gt;E290),"SM &gt; TOR &gt; BNN",IF(AND(D290&gt;E290,E290&gt;C290),"SM &gt; BNN &gt; TOR",IF(AND(C290=D290,D290=E290),"TOR = SM = BNN","Comb. diferentes")))))</f>
        <v>SM &gt; TOR &gt; BNN</v>
      </c>
      <c r="BD290" s="137" t="str">
        <f>IF(OR(AE290="",AQ290="-"),"",IF(AE290&lt;=0.25,"Tipo 1 (≤0,25) uT",IF(AE290&lt;=0.5,"Tipo 2 (0,25-0,50) uT",IF(AE290&lt;=0.75,"Tipo 3 (0,50-0,75) uT","Tipo 4 (&gt;0,75) uT"))))</f>
        <v>Tipo 1 (≤0,25) uT</v>
      </c>
      <c r="BE290" s="137" t="str">
        <f t="shared" si="28"/>
        <v>Tipo 1 (≤0,25) uT</v>
      </c>
      <c r="BF290" s="137" t="str">
        <f>IF(OR(AF290="",AQ290="-"),"",IF(AF290&lt;=0.25,"Tipo 1 (≤0,25) uT",IF(AF290&lt;=0.5,"Tipo 2 (0,25-0,50) uT",IF(AF290&lt;=0.75,"Tipo 3 (0,50-0,75) uT","Tipo 4 (&gt;0,75) uT"))))</f>
        <v>Tipo 1 (≤0,25) uT</v>
      </c>
      <c r="BG290" s="137" t="str">
        <f t="shared" si="29"/>
        <v>Tipo 1 (≤0,25) uT</v>
      </c>
      <c r="BH290" s="137" t="str">
        <f>IF(OR(R290="",R290="-"),"",IF(R290&lt;=0.25,"Tipo 1 (≤0,25) uT",IF(R290&lt;=0.5,"Tipo 2 (0,25-0,50) uT",IF(R290&lt;=0.75,"Tipo 3 (0,50-0,75) uT","Tipo 4 (&gt;0,75) uT"))))</f>
        <v>Tipo 1 (≤0,25) uT</v>
      </c>
    </row>
    <row r="291" spans="1:60" x14ac:dyDescent="0.3">
      <c r="A291" s="74">
        <v>46291</v>
      </c>
      <c r="B291" s="139">
        <v>6.25E-2</v>
      </c>
      <c r="C291" s="116">
        <v>367</v>
      </c>
      <c r="D291" s="116">
        <v>1543</v>
      </c>
      <c r="E291" s="116">
        <v>277</v>
      </c>
      <c r="F291" s="116">
        <v>2245</v>
      </c>
      <c r="G291" s="144" t="s">
        <v>100</v>
      </c>
      <c r="H291" s="122">
        <v>9.5</v>
      </c>
      <c r="I291" s="116">
        <v>-92</v>
      </c>
      <c r="J291" s="10">
        <v>90</v>
      </c>
      <c r="K291" s="116">
        <v>90</v>
      </c>
      <c r="L291" s="116">
        <v>90</v>
      </c>
      <c r="M291" s="122">
        <v>25.8</v>
      </c>
      <c r="N291" s="122">
        <v>6.5</v>
      </c>
      <c r="O291" s="79">
        <v>1.25</v>
      </c>
      <c r="P291" s="116">
        <v>8</v>
      </c>
      <c r="Q291" s="122">
        <v>6.4</v>
      </c>
      <c r="R291" s="10">
        <v>0.09</v>
      </c>
      <c r="S291" s="79">
        <v>22.36</v>
      </c>
      <c r="T291" s="79">
        <v>0.88</v>
      </c>
      <c r="U291" s="79">
        <v>0.7</v>
      </c>
      <c r="V291" s="85">
        <f t="shared" si="30"/>
        <v>1711.8125</v>
      </c>
      <c r="W291" s="85">
        <f t="shared" si="31"/>
        <v>1565.7431243999997</v>
      </c>
      <c r="X291" s="85">
        <f t="shared" si="32"/>
        <v>0.9146697575815107</v>
      </c>
      <c r="Y291" s="116">
        <v>3</v>
      </c>
      <c r="Z291" s="116">
        <v>4</v>
      </c>
      <c r="AA291" s="122">
        <v>6.1</v>
      </c>
      <c r="AB291" s="116">
        <v>21</v>
      </c>
      <c r="AC291" s="122">
        <v>6.1</v>
      </c>
      <c r="AD291" s="122">
        <v>5.9</v>
      </c>
      <c r="AE291" s="79">
        <v>0.21</v>
      </c>
      <c r="AF291" s="79">
        <v>0.14000000000000001</v>
      </c>
      <c r="AG291" s="85">
        <f>(O291+0.3*H291+2)*(F291/2/AK291)</f>
        <v>1711.8125</v>
      </c>
      <c r="AH291" s="85">
        <f t="shared" si="33"/>
        <v>1821.4563327999999</v>
      </c>
      <c r="AI291" s="85">
        <f t="shared" si="34"/>
        <v>1.0640513098251123</v>
      </c>
      <c r="AJ291" s="116">
        <v>3</v>
      </c>
      <c r="AK291" s="116">
        <v>4</v>
      </c>
      <c r="AL291" s="122">
        <v>6.4</v>
      </c>
      <c r="AM291" s="116">
        <v>23</v>
      </c>
      <c r="AN291" s="122">
        <v>6.2</v>
      </c>
      <c r="AO291" s="122">
        <v>5.7</v>
      </c>
      <c r="AP291" s="79">
        <v>0.19</v>
      </c>
      <c r="AQ291" s="79">
        <v>0.2</v>
      </c>
      <c r="AR291" s="132">
        <f>SUM(C291:E291)</f>
        <v>2187</v>
      </c>
      <c r="AS291" s="134">
        <f>C291/AR291</f>
        <v>0.1678097850937357</v>
      </c>
      <c r="AT291" s="134">
        <f>D291/AR291</f>
        <v>0.70553269318701417</v>
      </c>
      <c r="AU291" s="134">
        <f>E291/AR291</f>
        <v>0.12665752171925013</v>
      </c>
      <c r="AV291" s="151">
        <f>IF(AND(F291&lt;&gt;"",Z291&lt;&gt;""),AB291/(F291/2/Z291),"")</f>
        <v>7.483296213808463E-2</v>
      </c>
      <c r="AW291" s="151">
        <f>IF(AND(F291&lt;&gt;"",AK291&lt;&gt;""),AM291/(F291/2/AK291),"")</f>
        <v>8.195991091314031E-2</v>
      </c>
      <c r="AX291" s="41">
        <f>IF(AND(AQ291&lt;&gt;"",1-(AQ291/O291)&gt;0),1-(AQ291/O291),"")</f>
        <v>0.84</v>
      </c>
      <c r="AY291" s="41">
        <f>IF(AND(AF291&lt;&gt;"",1-(AF291/O291)&gt;0),1-(AF291/O291),"")</f>
        <v>0.88800000000000001</v>
      </c>
      <c r="AZ291" s="136" t="str">
        <f>IF(Q291="","",IF(Q291&lt;2.5,"Alc. Bruta &lt; 2,5 mg/L",IF(Q291&lt;5,"2,5 ≤ Alc. Bruta &lt; 5,0 mg/L",IF(Q291&lt;7.5,"5,0 ≤ Alc. Bruta &lt; 7,5 mg/L",IF(Q291&lt;10,"7,5 ≤ Alc. Bruta &lt; 10,0 mg/L",IF(Q291&lt;15,"10,0 ≤ Alca. Bruta &lt; 15,0 mg/L","Alc. Bruta &gt; 15 mg/L"))))))</f>
        <v>5,0 ≤ Alc. Bruta &lt; 7,5 mg/L</v>
      </c>
      <c r="BA291" s="136" t="str">
        <f>IF(P291="","",IF(P291&lt;5,"Cor &lt;5 uC",IF(P291&lt;10,"5 ≤ Cor &lt; 10 uC",IF(P291&lt;15,"10 ≤ Cor &lt;15 uC",IF(P291&lt;30,"15 ≤ Cor &lt; 30 uC",IF(P291&lt;50,"30 ≤ Cor &lt; 50 uC","Cor &gt; 50 uC"))))))</f>
        <v>5 ≤ Cor &lt; 10 uC</v>
      </c>
      <c r="BB291" s="137" t="str">
        <f>IF(O291="","",IF(O291&lt;2.5,"Turbidez &lt; 2,5 uT",IF(O291&lt;5,"2,5 ≤ Turb &lt; 5,0 uT",IF(O291&lt;7.5,"5,0 ≤ Turb &lt; 7,5 uT",IF(O291&lt;10,"7,5 ≤ Turb &lt; 10,0 uT",IF(O291&lt;15,"10,0 ≤ Turb &lt; 15,0 uT","Turb &gt; 15 uT"))))))</f>
        <v>Turbidez &lt; 2,5 uT</v>
      </c>
      <c r="BC291" s="138" t="str">
        <f>IF(AND(C291&gt;D291,D291&gt;E291),"TOR &gt; SM &gt; BNN",IF(AND(C291&gt;E291,E291&gt;D291),"TOR &gt; BNN &gt; SM",IF(AND(D291&gt;C291,C291&gt;E291),"SM &gt; TOR &gt; BNN",IF(AND(D291&gt;E291,E291&gt;C291),"SM &gt; BNN &gt; TOR",IF(AND(C291=D291,D291=E291),"TOR = SM = BNN","Comb. diferentes")))))</f>
        <v>SM &gt; TOR &gt; BNN</v>
      </c>
      <c r="BD291" s="137" t="str">
        <f>IF(OR(AE291="",AQ291="-"),"",IF(AE291&lt;=0.25,"Tipo 1 (≤0,25) uT",IF(AE291&lt;=0.5,"Tipo 2 (0,25-0,50) uT",IF(AE291&lt;=0.75,"Tipo 3 (0,50-0,75) uT","Tipo 4 (&gt;0,75) uT"))))</f>
        <v>Tipo 1 (≤0,25) uT</v>
      </c>
      <c r="BE291" s="137" t="str">
        <f t="shared" si="28"/>
        <v>Tipo 1 (≤0,25) uT</v>
      </c>
      <c r="BF291" s="137" t="str">
        <f>IF(OR(AF291="",AQ291="-"),"",IF(AF291&lt;=0.25,"Tipo 1 (≤0,25) uT",IF(AF291&lt;=0.5,"Tipo 2 (0,25-0,50) uT",IF(AF291&lt;=0.75,"Tipo 3 (0,50-0,75) uT","Tipo 4 (&gt;0,75) uT"))))</f>
        <v>Tipo 1 (≤0,25) uT</v>
      </c>
      <c r="BG291" s="137" t="str">
        <f t="shared" si="29"/>
        <v>Tipo 1 (≤0,25) uT</v>
      </c>
      <c r="BH291" s="137" t="str">
        <f>IF(OR(R291="",R291="-"),"",IF(R291&lt;=0.25,"Tipo 1 (≤0,25) uT",IF(R291&lt;=0.5,"Tipo 2 (0,25-0,50) uT",IF(R291&lt;=0.75,"Tipo 3 (0,50-0,75) uT","Tipo 4 (&gt;0,75) uT"))))</f>
        <v>Tipo 1 (≤0,25) uT</v>
      </c>
    </row>
    <row r="292" spans="1:60" x14ac:dyDescent="0.3">
      <c r="A292" s="74">
        <v>46291</v>
      </c>
      <c r="B292" s="139">
        <v>0.14583333333333334</v>
      </c>
      <c r="C292" s="116">
        <v>370</v>
      </c>
      <c r="D292" s="116">
        <v>1561</v>
      </c>
      <c r="E292" s="116">
        <v>277</v>
      </c>
      <c r="F292" s="116">
        <v>2316</v>
      </c>
      <c r="G292" s="144" t="s">
        <v>100</v>
      </c>
      <c r="H292" s="122">
        <v>9.5</v>
      </c>
      <c r="I292" s="116">
        <v>-93</v>
      </c>
      <c r="J292" s="10">
        <v>90</v>
      </c>
      <c r="K292" s="116">
        <v>90</v>
      </c>
      <c r="L292" s="116">
        <v>90</v>
      </c>
      <c r="M292" s="122">
        <v>25.5</v>
      </c>
      <c r="N292" s="122">
        <v>6.4</v>
      </c>
      <c r="O292" s="79">
        <v>1.21</v>
      </c>
      <c r="P292" s="116">
        <v>10</v>
      </c>
      <c r="Q292" s="122">
        <v>6.5</v>
      </c>
      <c r="R292" s="10">
        <v>0.08</v>
      </c>
      <c r="S292" s="79">
        <v>22.36</v>
      </c>
      <c r="T292" s="79">
        <v>0.88</v>
      </c>
      <c r="U292" s="79">
        <v>0.7</v>
      </c>
      <c r="V292" s="85">
        <f t="shared" si="30"/>
        <v>1754.3700000000001</v>
      </c>
      <c r="W292" s="85">
        <f t="shared" si="31"/>
        <v>1565.7431243999997</v>
      </c>
      <c r="X292" s="85">
        <f t="shared" si="32"/>
        <v>0.8924817024914925</v>
      </c>
      <c r="Y292" s="116">
        <v>3</v>
      </c>
      <c r="Z292" s="116">
        <v>4</v>
      </c>
      <c r="AA292" s="122">
        <v>6.1</v>
      </c>
      <c r="AB292" s="116">
        <v>21</v>
      </c>
      <c r="AC292" s="122">
        <v>6.4</v>
      </c>
      <c r="AD292" s="122">
        <v>5.7</v>
      </c>
      <c r="AE292" s="79">
        <v>0.24</v>
      </c>
      <c r="AF292" s="79">
        <v>0.14000000000000001</v>
      </c>
      <c r="AG292" s="85">
        <f>(O292+0.3*H292+2)*(F292/2/AK292)</f>
        <v>1754.3700000000001</v>
      </c>
      <c r="AH292" s="85">
        <f t="shared" si="33"/>
        <v>1821.4563327999999</v>
      </c>
      <c r="AI292" s="85">
        <f t="shared" si="34"/>
        <v>1.0382395576759746</v>
      </c>
      <c r="AJ292" s="116">
        <v>3</v>
      </c>
      <c r="AK292" s="116">
        <v>4</v>
      </c>
      <c r="AL292" s="122">
        <v>6.4</v>
      </c>
      <c r="AM292" s="116">
        <v>23</v>
      </c>
      <c r="AN292" s="122">
        <v>6.1</v>
      </c>
      <c r="AO292" s="122">
        <v>5.5</v>
      </c>
      <c r="AP292" s="79">
        <v>0.3</v>
      </c>
      <c r="AQ292" s="79">
        <v>0.19</v>
      </c>
      <c r="AR292" s="132">
        <f>SUM(C292:E292)</f>
        <v>2208</v>
      </c>
      <c r="AS292" s="134">
        <f>C292/AR292</f>
        <v>0.16757246376811594</v>
      </c>
      <c r="AT292" s="134">
        <f>D292/AR292</f>
        <v>0.70697463768115942</v>
      </c>
      <c r="AU292" s="134">
        <f>E292/AR292</f>
        <v>0.12545289855072464</v>
      </c>
      <c r="AV292" s="151">
        <f>IF(AND(F292&lt;&gt;"",Z292&lt;&gt;""),AB292/(F292/2/Z292),"")</f>
        <v>7.2538860103626937E-2</v>
      </c>
      <c r="AW292" s="151">
        <f>IF(AND(F292&lt;&gt;"",AK292&lt;&gt;""),AM292/(F292/2/AK292),"")</f>
        <v>7.9447322970639028E-2</v>
      </c>
      <c r="AX292" s="41">
        <f>IF(AND(AQ292&lt;&gt;"",1-(AQ292/O292)&gt;0),1-(AQ292/O292),"")</f>
        <v>0.84297520661157022</v>
      </c>
      <c r="AY292" s="41">
        <f>IF(AND(AF292&lt;&gt;"",1-(AF292/O292)&gt;0),1-(AF292/O292),"")</f>
        <v>0.88429752066115697</v>
      </c>
      <c r="AZ292" s="136" t="str">
        <f>IF(Q292="","",IF(Q292&lt;2.5,"Alc. Bruta &lt; 2,5 mg/L",IF(Q292&lt;5,"2,5 ≤ Alc. Bruta &lt; 5,0 mg/L",IF(Q292&lt;7.5,"5,0 ≤ Alc. Bruta &lt; 7,5 mg/L",IF(Q292&lt;10,"7,5 ≤ Alc. Bruta &lt; 10,0 mg/L",IF(Q292&lt;15,"10,0 ≤ Alca. Bruta &lt; 15,0 mg/L","Alc. Bruta &gt; 15 mg/L"))))))</f>
        <v>5,0 ≤ Alc. Bruta &lt; 7,5 mg/L</v>
      </c>
      <c r="BA292" s="136" t="str">
        <f>IF(P292="","",IF(P292&lt;5,"Cor &lt;5 uC",IF(P292&lt;10,"5 ≤ Cor &lt; 10 uC",IF(P292&lt;15,"10 ≤ Cor &lt;15 uC",IF(P292&lt;30,"15 ≤ Cor &lt; 30 uC",IF(P292&lt;50,"30 ≤ Cor &lt; 50 uC","Cor &gt; 50 uC"))))))</f>
        <v>10 ≤ Cor &lt;15 uC</v>
      </c>
      <c r="BB292" s="137" t="str">
        <f>IF(O292="","",IF(O292&lt;2.5,"Turbidez &lt; 2,5 uT",IF(O292&lt;5,"2,5 ≤ Turb &lt; 5,0 uT",IF(O292&lt;7.5,"5,0 ≤ Turb &lt; 7,5 uT",IF(O292&lt;10,"7,5 ≤ Turb &lt; 10,0 uT",IF(O292&lt;15,"10,0 ≤ Turb &lt; 15,0 uT","Turb &gt; 15 uT"))))))</f>
        <v>Turbidez &lt; 2,5 uT</v>
      </c>
      <c r="BC292" s="138" t="str">
        <f>IF(AND(C292&gt;D292,D292&gt;E292),"TOR &gt; SM &gt; BNN",IF(AND(C292&gt;E292,E292&gt;D292),"TOR &gt; BNN &gt; SM",IF(AND(D292&gt;C292,C292&gt;E292),"SM &gt; TOR &gt; BNN",IF(AND(D292&gt;E292,E292&gt;C292),"SM &gt; BNN &gt; TOR",IF(AND(C292=D292,D292=E292),"TOR = SM = BNN","Comb. diferentes")))))</f>
        <v>SM &gt; TOR &gt; BNN</v>
      </c>
      <c r="BD292" s="137" t="str">
        <f>IF(OR(AE292="",AQ292="-"),"",IF(AE292&lt;=0.25,"Tipo 1 (≤0,25) uT",IF(AE292&lt;=0.5,"Tipo 2 (0,25-0,50) uT",IF(AE292&lt;=0.75,"Tipo 3 (0,50-0,75) uT","Tipo 4 (&gt;0,75) uT"))))</f>
        <v>Tipo 1 (≤0,25) uT</v>
      </c>
      <c r="BE292" s="137" t="str">
        <f t="shared" si="28"/>
        <v>Tipo 2 (0,25-0,50) uT</v>
      </c>
      <c r="BF292" s="137" t="str">
        <f>IF(OR(AF292="",AQ292="-"),"",IF(AF292&lt;=0.25,"Tipo 1 (≤0,25) uT",IF(AF292&lt;=0.5,"Tipo 2 (0,25-0,50) uT",IF(AF292&lt;=0.75,"Tipo 3 (0,50-0,75) uT","Tipo 4 (&gt;0,75) uT"))))</f>
        <v>Tipo 1 (≤0,25) uT</v>
      </c>
      <c r="BG292" s="137" t="str">
        <f t="shared" si="29"/>
        <v>Tipo 1 (≤0,25) uT</v>
      </c>
      <c r="BH292" s="137" t="str">
        <f>IF(OR(R292="",R292="-"),"",IF(R292&lt;=0.25,"Tipo 1 (≤0,25) uT",IF(R292&lt;=0.5,"Tipo 2 (0,25-0,50) uT",IF(R292&lt;=0.75,"Tipo 3 (0,50-0,75) uT","Tipo 4 (&gt;0,75) uT"))))</f>
        <v>Tipo 1 (≤0,25) uT</v>
      </c>
    </row>
    <row r="293" spans="1:60" ht="15" thickBot="1" x14ac:dyDescent="0.35">
      <c r="A293" s="75">
        <v>46291</v>
      </c>
      <c r="B293" s="140">
        <v>0.22916666666666666</v>
      </c>
      <c r="C293" s="117">
        <v>373</v>
      </c>
      <c r="D293" s="117">
        <v>1525</v>
      </c>
      <c r="E293" s="117">
        <v>276</v>
      </c>
      <c r="F293" s="117">
        <v>2245</v>
      </c>
      <c r="G293" s="145" t="s">
        <v>100</v>
      </c>
      <c r="H293" s="123">
        <v>9.5</v>
      </c>
      <c r="I293" s="117">
        <v>-92</v>
      </c>
      <c r="J293" s="11">
        <v>90</v>
      </c>
      <c r="K293" s="117">
        <v>90</v>
      </c>
      <c r="L293" s="117">
        <v>90</v>
      </c>
      <c r="M293" s="123">
        <v>25.1</v>
      </c>
      <c r="N293" s="123">
        <v>6.4</v>
      </c>
      <c r="O293" s="80">
        <v>1.27</v>
      </c>
      <c r="P293" s="117">
        <v>11</v>
      </c>
      <c r="Q293" s="123">
        <v>6.9</v>
      </c>
      <c r="R293" s="11">
        <v>0.08</v>
      </c>
      <c r="S293" s="79">
        <v>22.36</v>
      </c>
      <c r="T293" s="79">
        <v>0.88</v>
      </c>
      <c r="U293" s="79">
        <v>0.7</v>
      </c>
      <c r="V293" s="85">
        <f t="shared" si="30"/>
        <v>1717.425</v>
      </c>
      <c r="W293" s="85">
        <f t="shared" si="31"/>
        <v>1565.7431243999997</v>
      </c>
      <c r="X293" s="85">
        <f t="shared" si="32"/>
        <v>0.9116806407266691</v>
      </c>
      <c r="Y293" s="117">
        <v>2</v>
      </c>
      <c r="Z293" s="117">
        <v>4</v>
      </c>
      <c r="AA293" s="123">
        <v>6.1</v>
      </c>
      <c r="AB293" s="117">
        <v>21</v>
      </c>
      <c r="AC293" s="123">
        <v>6.1</v>
      </c>
      <c r="AD293" s="123">
        <v>5.5</v>
      </c>
      <c r="AE293" s="80">
        <v>0.19</v>
      </c>
      <c r="AF293" s="80">
        <v>0.14000000000000001</v>
      </c>
      <c r="AG293" s="85">
        <f>(O293+0.3*H293+2)*(F293/2/AK293)</f>
        <v>1717.425</v>
      </c>
      <c r="AH293" s="85">
        <f t="shared" si="33"/>
        <v>1821.4563327999999</v>
      </c>
      <c r="AI293" s="85">
        <f t="shared" si="34"/>
        <v>1.0605740179629386</v>
      </c>
      <c r="AJ293" s="117">
        <v>3</v>
      </c>
      <c r="AK293" s="117">
        <v>4</v>
      </c>
      <c r="AL293" s="123">
        <v>6.4</v>
      </c>
      <c r="AM293" s="117">
        <v>23</v>
      </c>
      <c r="AN293" s="123">
        <v>6.1</v>
      </c>
      <c r="AO293" s="123">
        <v>5.2</v>
      </c>
      <c r="AP293" s="80">
        <v>0.24</v>
      </c>
      <c r="AQ293" s="80">
        <v>0.19</v>
      </c>
      <c r="AR293" s="132">
        <f>SUM(C293:E293)</f>
        <v>2174</v>
      </c>
      <c r="AS293" s="134">
        <f>C293/AR293</f>
        <v>0.17157313707451702</v>
      </c>
      <c r="AT293" s="134">
        <f>D293/AR293</f>
        <v>0.70147194112235511</v>
      </c>
      <c r="AU293" s="134">
        <f>E293/AR293</f>
        <v>0.12695492180312787</v>
      </c>
      <c r="AV293" s="151">
        <f>IF(AND(F293&lt;&gt;"",Z293&lt;&gt;""),AB293/(F293/2/Z293),"")</f>
        <v>7.483296213808463E-2</v>
      </c>
      <c r="AW293" s="151">
        <f>IF(AND(F293&lt;&gt;"",AK293&lt;&gt;""),AM293/(F293/2/AK293),"")</f>
        <v>8.195991091314031E-2</v>
      </c>
      <c r="AX293" s="41">
        <f>IF(AND(AQ293&lt;&gt;"",1-(AQ293/O293)&gt;0),1-(AQ293/O293),"")</f>
        <v>0.85039370078740162</v>
      </c>
      <c r="AY293" s="41">
        <f>IF(AND(AF293&lt;&gt;"",1-(AF293/O293)&gt;0),1-(AF293/O293),"")</f>
        <v>0.88976377952755903</v>
      </c>
      <c r="AZ293" s="136" t="str">
        <f>IF(Q293="","",IF(Q293&lt;2.5,"Alc. Bruta &lt; 2,5 mg/L",IF(Q293&lt;5,"2,5 ≤ Alc. Bruta &lt; 5,0 mg/L",IF(Q293&lt;7.5,"5,0 ≤ Alc. Bruta &lt; 7,5 mg/L",IF(Q293&lt;10,"7,5 ≤ Alc. Bruta &lt; 10,0 mg/L",IF(Q293&lt;15,"10,0 ≤ Alca. Bruta &lt; 15,0 mg/L","Alc. Bruta &gt; 15 mg/L"))))))</f>
        <v>5,0 ≤ Alc. Bruta &lt; 7,5 mg/L</v>
      </c>
      <c r="BA293" s="136" t="str">
        <f>IF(P293="","",IF(P293&lt;5,"Cor &lt;5 uC",IF(P293&lt;10,"5 ≤ Cor &lt; 10 uC",IF(P293&lt;15,"10 ≤ Cor &lt;15 uC",IF(P293&lt;30,"15 ≤ Cor &lt; 30 uC",IF(P293&lt;50,"30 ≤ Cor &lt; 50 uC","Cor &gt; 50 uC"))))))</f>
        <v>10 ≤ Cor &lt;15 uC</v>
      </c>
      <c r="BB293" s="137" t="str">
        <f>IF(O293="","",IF(O293&lt;2.5,"Turbidez &lt; 2,5 uT",IF(O293&lt;5,"2,5 ≤ Turb &lt; 5,0 uT",IF(O293&lt;7.5,"5,0 ≤ Turb &lt; 7,5 uT",IF(O293&lt;10,"7,5 ≤ Turb &lt; 10,0 uT",IF(O293&lt;15,"10,0 ≤ Turb &lt; 15,0 uT","Turb &gt; 15 uT"))))))</f>
        <v>Turbidez &lt; 2,5 uT</v>
      </c>
      <c r="BC293" s="138" t="str">
        <f>IF(AND(C293&gt;D293,D293&gt;E293),"TOR &gt; SM &gt; BNN",IF(AND(C293&gt;E293,E293&gt;D293),"TOR &gt; BNN &gt; SM",IF(AND(D293&gt;C293,C293&gt;E293),"SM &gt; TOR &gt; BNN",IF(AND(D293&gt;E293,E293&gt;C293),"SM &gt; BNN &gt; TOR",IF(AND(C293=D293,D293=E293),"TOR = SM = BNN","Comb. diferentes")))))</f>
        <v>SM &gt; TOR &gt; BNN</v>
      </c>
      <c r="BD293" s="137" t="str">
        <f>IF(OR(AE293="",AQ293="-"),"",IF(AE293&lt;=0.25,"Tipo 1 (≤0,25) uT",IF(AE293&lt;=0.5,"Tipo 2 (0,25-0,50) uT",IF(AE293&lt;=0.75,"Tipo 3 (0,50-0,75) uT","Tipo 4 (&gt;0,75) uT"))))</f>
        <v>Tipo 1 (≤0,25) uT</v>
      </c>
      <c r="BE293" s="137" t="str">
        <f t="shared" si="28"/>
        <v>Tipo 1 (≤0,25) uT</v>
      </c>
      <c r="BF293" s="137" t="str">
        <f>IF(OR(AF293="",AQ293="-"),"",IF(AF293&lt;=0.25,"Tipo 1 (≤0,25) uT",IF(AF293&lt;=0.5,"Tipo 2 (0,25-0,50) uT",IF(AF293&lt;=0.75,"Tipo 3 (0,50-0,75) uT","Tipo 4 (&gt;0,75) uT"))))</f>
        <v>Tipo 1 (≤0,25) uT</v>
      </c>
      <c r="BG293" s="137" t="str">
        <f t="shared" si="29"/>
        <v>Tipo 1 (≤0,25) uT</v>
      </c>
      <c r="BH293" s="137" t="str">
        <f>IF(OR(R293="",R293="-"),"",IF(R293&lt;=0.25,"Tipo 1 (≤0,25) uT",IF(R293&lt;=0.5,"Tipo 2 (0,25-0,50) uT",IF(R293&lt;=0.75,"Tipo 3 (0,50-0,75) uT","Tipo 4 (&gt;0,75) uT"))))</f>
        <v>Tipo 1 (≤0,25) uT</v>
      </c>
    </row>
    <row r="294" spans="1:60" x14ac:dyDescent="0.3">
      <c r="A294" s="73">
        <v>46291</v>
      </c>
      <c r="B294" s="141">
        <v>0.3125</v>
      </c>
      <c r="C294" s="118">
        <v>309</v>
      </c>
      <c r="D294" s="118">
        <v>1621</v>
      </c>
      <c r="E294" s="118">
        <v>276</v>
      </c>
      <c r="F294" s="118">
        <v>2180</v>
      </c>
      <c r="G294" s="146" t="s">
        <v>100</v>
      </c>
      <c r="H294" s="124">
        <v>9.5</v>
      </c>
      <c r="I294" s="118">
        <v>-95</v>
      </c>
      <c r="J294" s="9">
        <v>90</v>
      </c>
      <c r="K294" s="118">
        <v>90</v>
      </c>
      <c r="L294" s="118">
        <v>90</v>
      </c>
      <c r="M294" s="124">
        <v>24.9</v>
      </c>
      <c r="N294" s="124">
        <v>6.5</v>
      </c>
      <c r="O294" s="81">
        <v>1.1499999999999999</v>
      </c>
      <c r="P294" s="118">
        <v>10</v>
      </c>
      <c r="Q294" s="124">
        <v>7.5</v>
      </c>
      <c r="R294" s="9">
        <v>0.08</v>
      </c>
      <c r="S294" s="79">
        <v>22.36</v>
      </c>
      <c r="T294" s="79">
        <v>0.88</v>
      </c>
      <c r="U294" s="79">
        <v>0.7</v>
      </c>
      <c r="V294" s="85">
        <f t="shared" si="30"/>
        <v>1635</v>
      </c>
      <c r="W294" s="85">
        <f t="shared" si="31"/>
        <v>1630.6269251999997</v>
      </c>
      <c r="X294" s="85">
        <f t="shared" si="32"/>
        <v>0.99732533651376132</v>
      </c>
      <c r="Y294" s="118">
        <v>3</v>
      </c>
      <c r="Z294" s="118">
        <v>4</v>
      </c>
      <c r="AA294" s="124">
        <v>6.3</v>
      </c>
      <c r="AB294" s="118">
        <v>21</v>
      </c>
      <c r="AC294" s="124">
        <v>6.2</v>
      </c>
      <c r="AD294" s="124">
        <v>5.3</v>
      </c>
      <c r="AE294" s="81">
        <v>0.13</v>
      </c>
      <c r="AF294" s="81">
        <v>0.14000000000000001</v>
      </c>
      <c r="AG294" s="85">
        <f>(O294+0.3*H294+2)*(F294/2/AK294)</f>
        <v>1635</v>
      </c>
      <c r="AH294" s="85">
        <f t="shared" si="33"/>
        <v>1785.9247275999996</v>
      </c>
      <c r="AI294" s="85">
        <f t="shared" si="34"/>
        <v>1.0923087018960242</v>
      </c>
      <c r="AJ294" s="118">
        <v>3</v>
      </c>
      <c r="AK294" s="118">
        <v>4</v>
      </c>
      <c r="AL294" s="124">
        <v>6.3</v>
      </c>
      <c r="AM294" s="118">
        <v>23</v>
      </c>
      <c r="AN294" s="124">
        <v>6.1</v>
      </c>
      <c r="AO294" s="124">
        <v>5.7</v>
      </c>
      <c r="AP294" s="81">
        <v>0.15</v>
      </c>
      <c r="AQ294" s="81">
        <v>0.2</v>
      </c>
      <c r="AR294" s="132">
        <f>SUM(C294:E294)</f>
        <v>2206</v>
      </c>
      <c r="AS294" s="134">
        <f>C294/AR294</f>
        <v>0.14007252946509519</v>
      </c>
      <c r="AT294" s="134">
        <f>D294/AR294</f>
        <v>0.73481414324569361</v>
      </c>
      <c r="AU294" s="134">
        <f>E294/AR294</f>
        <v>0.12511332728921123</v>
      </c>
      <c r="AV294" s="151">
        <f>IF(AND(F294&lt;&gt;"",Z294&lt;&gt;""),AB294/(F294/2/Z294),"")</f>
        <v>7.7064220183486243E-2</v>
      </c>
      <c r="AW294" s="151">
        <f>IF(AND(F294&lt;&gt;"",AK294&lt;&gt;""),AM294/(F294/2/AK294),"")</f>
        <v>8.4403669724770647E-2</v>
      </c>
      <c r="AX294" s="41">
        <f>IF(AND(AQ294&lt;&gt;"",1-(AQ294/O294)&gt;0),1-(AQ294/O294),"")</f>
        <v>0.82608695652173914</v>
      </c>
      <c r="AY294" s="41">
        <f>IF(AND(AF294&lt;&gt;"",1-(AF294/O294)&gt;0),1-(AF294/O294),"")</f>
        <v>0.87826086956521743</v>
      </c>
      <c r="AZ294" s="136" t="str">
        <f>IF(Q294="","",IF(Q294&lt;2.5,"Alc. Bruta &lt; 2,5 mg/L",IF(Q294&lt;5,"2,5 ≤ Alc. Bruta &lt; 5,0 mg/L",IF(Q294&lt;7.5,"5,0 ≤ Alc. Bruta &lt; 7,5 mg/L",IF(Q294&lt;10,"7,5 ≤ Alc. Bruta &lt; 10,0 mg/L",IF(Q294&lt;15,"10,0 ≤ Alca. Bruta &lt; 15,0 mg/L","Alc. Bruta &gt; 15 mg/L"))))))</f>
        <v>7,5 ≤ Alc. Bruta &lt; 10,0 mg/L</v>
      </c>
      <c r="BA294" s="136" t="str">
        <f>IF(P294="","",IF(P294&lt;5,"Cor &lt;5 uC",IF(P294&lt;10,"5 ≤ Cor &lt; 10 uC",IF(P294&lt;15,"10 ≤ Cor &lt;15 uC",IF(P294&lt;30,"15 ≤ Cor &lt; 30 uC",IF(P294&lt;50,"30 ≤ Cor &lt; 50 uC","Cor &gt; 50 uC"))))))</f>
        <v>10 ≤ Cor &lt;15 uC</v>
      </c>
      <c r="BB294" s="137" t="str">
        <f>IF(O294="","",IF(O294&lt;2.5,"Turbidez &lt; 2,5 uT",IF(O294&lt;5,"2,5 ≤ Turb &lt; 5,0 uT",IF(O294&lt;7.5,"5,0 ≤ Turb &lt; 7,5 uT",IF(O294&lt;10,"7,5 ≤ Turb &lt; 10,0 uT",IF(O294&lt;15,"10,0 ≤ Turb &lt; 15,0 uT","Turb &gt; 15 uT"))))))</f>
        <v>Turbidez &lt; 2,5 uT</v>
      </c>
      <c r="BC294" s="138" t="str">
        <f>IF(AND(C294&gt;D294,D294&gt;E294),"TOR &gt; SM &gt; BNN",IF(AND(C294&gt;E294,E294&gt;D294),"TOR &gt; BNN &gt; SM",IF(AND(D294&gt;C294,C294&gt;E294),"SM &gt; TOR &gt; BNN",IF(AND(D294&gt;E294,E294&gt;C294),"SM &gt; BNN &gt; TOR",IF(AND(C294=D294,D294=E294),"TOR = SM = BNN","Comb. diferentes")))))</f>
        <v>SM &gt; TOR &gt; BNN</v>
      </c>
      <c r="BD294" s="137" t="str">
        <f>IF(OR(AE294="",AQ294="-"),"",IF(AE294&lt;=0.25,"Tipo 1 (≤0,25) uT",IF(AE294&lt;=0.5,"Tipo 2 (0,25-0,50) uT",IF(AE294&lt;=0.75,"Tipo 3 (0,50-0,75) uT","Tipo 4 (&gt;0,75) uT"))))</f>
        <v>Tipo 1 (≤0,25) uT</v>
      </c>
      <c r="BE294" s="137" t="str">
        <f t="shared" si="28"/>
        <v>Tipo 1 (≤0,25) uT</v>
      </c>
      <c r="BF294" s="137" t="str">
        <f>IF(OR(AF294="",AQ294="-"),"",IF(AF294&lt;=0.25,"Tipo 1 (≤0,25) uT",IF(AF294&lt;=0.5,"Tipo 2 (0,25-0,50) uT",IF(AF294&lt;=0.75,"Tipo 3 (0,50-0,75) uT","Tipo 4 (&gt;0,75) uT"))))</f>
        <v>Tipo 1 (≤0,25) uT</v>
      </c>
      <c r="BG294" s="137" t="str">
        <f t="shared" si="29"/>
        <v>Tipo 1 (≤0,25) uT</v>
      </c>
      <c r="BH294" s="137" t="str">
        <f>IF(OR(R294="",R294="-"),"",IF(R294&lt;=0.25,"Tipo 1 (≤0,25) uT",IF(R294&lt;=0.5,"Tipo 2 (0,25-0,50) uT",IF(R294&lt;=0.75,"Tipo 3 (0,50-0,75) uT","Tipo 4 (&gt;0,75) uT"))))</f>
        <v>Tipo 1 (≤0,25) uT</v>
      </c>
    </row>
    <row r="295" spans="1:60" x14ac:dyDescent="0.3">
      <c r="A295" s="74">
        <v>46291</v>
      </c>
      <c r="B295" s="139">
        <v>0.39583333333333331</v>
      </c>
      <c r="C295" s="116">
        <v>240</v>
      </c>
      <c r="D295" s="116">
        <v>1660</v>
      </c>
      <c r="E295" s="116">
        <v>277</v>
      </c>
      <c r="F295" s="116">
        <v>2174</v>
      </c>
      <c r="G295" s="144" t="s">
        <v>100</v>
      </c>
      <c r="H295" s="122">
        <v>9.5</v>
      </c>
      <c r="I295" s="116">
        <v>-90</v>
      </c>
      <c r="J295" s="10">
        <v>90</v>
      </c>
      <c r="K295" s="116">
        <v>90</v>
      </c>
      <c r="L295" s="116">
        <v>90</v>
      </c>
      <c r="M295" s="122">
        <v>25.5</v>
      </c>
      <c r="N295" s="122">
        <v>6.5</v>
      </c>
      <c r="O295" s="79">
        <v>1.2</v>
      </c>
      <c r="P295" s="116">
        <v>11</v>
      </c>
      <c r="Q295" s="122">
        <v>7.6</v>
      </c>
      <c r="R295" s="10">
        <v>0.1</v>
      </c>
      <c r="S295" s="79">
        <v>22.36</v>
      </c>
      <c r="T295" s="79">
        <v>0.88</v>
      </c>
      <c r="U295" s="79">
        <v>0.7</v>
      </c>
      <c r="V295" s="85">
        <f t="shared" si="30"/>
        <v>1644.0874999999999</v>
      </c>
      <c r="W295" s="85">
        <f t="shared" si="31"/>
        <v>1598.1850248000001</v>
      </c>
      <c r="X295" s="85">
        <f t="shared" si="32"/>
        <v>0.97208027236993177</v>
      </c>
      <c r="Y295" s="116">
        <v>3</v>
      </c>
      <c r="Z295" s="116">
        <v>4</v>
      </c>
      <c r="AA295" s="122">
        <v>6.2</v>
      </c>
      <c r="AB295" s="116">
        <v>21</v>
      </c>
      <c r="AC295" s="122">
        <v>6.2</v>
      </c>
      <c r="AD295" s="122">
        <v>5.4</v>
      </c>
      <c r="AE295" s="79">
        <v>0.18</v>
      </c>
      <c r="AF295" s="79">
        <v>0.14000000000000001</v>
      </c>
      <c r="AG295" s="85">
        <f>(O295+0.3*H295+2)*(F295/2/AK295)</f>
        <v>1644.0874999999999</v>
      </c>
      <c r="AH295" s="85">
        <f t="shared" si="33"/>
        <v>1708.2758263999997</v>
      </c>
      <c r="AI295" s="85">
        <f t="shared" si="34"/>
        <v>1.0390419161997155</v>
      </c>
      <c r="AJ295" s="116">
        <v>3</v>
      </c>
      <c r="AK295" s="116">
        <v>4</v>
      </c>
      <c r="AL295" s="122">
        <v>6.3</v>
      </c>
      <c r="AM295" s="116">
        <v>22</v>
      </c>
      <c r="AN295" s="122">
        <v>6.2</v>
      </c>
      <c r="AO295" s="122">
        <v>5.5</v>
      </c>
      <c r="AP295" s="79">
        <v>0.19</v>
      </c>
      <c r="AQ295" s="79">
        <v>0.21</v>
      </c>
      <c r="AR295" s="132">
        <f>SUM(C295:E295)</f>
        <v>2177</v>
      </c>
      <c r="AS295" s="134">
        <f>C295/AR295</f>
        <v>0.11024345429490125</v>
      </c>
      <c r="AT295" s="134">
        <f>D295/AR295</f>
        <v>0.76251722553973356</v>
      </c>
      <c r="AU295" s="134">
        <f>E295/AR295</f>
        <v>0.12723932016536518</v>
      </c>
      <c r="AV295" s="151">
        <f>IF(AND(F295&lt;&gt;"",Z295&lt;&gt;""),AB295/(F295/2/Z295),"")</f>
        <v>7.7276908923643056E-2</v>
      </c>
      <c r="AW295" s="151">
        <f>IF(AND(F295&lt;&gt;"",AK295&lt;&gt;""),AM295/(F295/2/AK295),"")</f>
        <v>8.0956761729530813E-2</v>
      </c>
      <c r="AX295" s="41">
        <f>IF(AND(AQ295&lt;&gt;"",1-(AQ295/O295)&gt;0),1-(AQ295/O295),"")</f>
        <v>0.82499999999999996</v>
      </c>
      <c r="AY295" s="41">
        <f>IF(AND(AF295&lt;&gt;"",1-(AF295/O295)&gt;0),1-(AF295/O295),"")</f>
        <v>0.8833333333333333</v>
      </c>
      <c r="AZ295" s="136" t="str">
        <f>IF(Q295="","",IF(Q295&lt;2.5,"Alc. Bruta &lt; 2,5 mg/L",IF(Q295&lt;5,"2,5 ≤ Alc. Bruta &lt; 5,0 mg/L",IF(Q295&lt;7.5,"5,0 ≤ Alc. Bruta &lt; 7,5 mg/L",IF(Q295&lt;10,"7,5 ≤ Alc. Bruta &lt; 10,0 mg/L",IF(Q295&lt;15,"10,0 ≤ Alca. Bruta &lt; 15,0 mg/L","Alc. Bruta &gt; 15 mg/L"))))))</f>
        <v>7,5 ≤ Alc. Bruta &lt; 10,0 mg/L</v>
      </c>
      <c r="BA295" s="136" t="str">
        <f>IF(P295="","",IF(P295&lt;5,"Cor &lt;5 uC",IF(P295&lt;10,"5 ≤ Cor &lt; 10 uC",IF(P295&lt;15,"10 ≤ Cor &lt;15 uC",IF(P295&lt;30,"15 ≤ Cor &lt; 30 uC",IF(P295&lt;50,"30 ≤ Cor &lt; 50 uC","Cor &gt; 50 uC"))))))</f>
        <v>10 ≤ Cor &lt;15 uC</v>
      </c>
      <c r="BB295" s="137" t="str">
        <f>IF(O295="","",IF(O295&lt;2.5,"Turbidez &lt; 2,5 uT",IF(O295&lt;5,"2,5 ≤ Turb &lt; 5,0 uT",IF(O295&lt;7.5,"5,0 ≤ Turb &lt; 7,5 uT",IF(O295&lt;10,"7,5 ≤ Turb &lt; 10,0 uT",IF(O295&lt;15,"10,0 ≤ Turb &lt; 15,0 uT","Turb &gt; 15 uT"))))))</f>
        <v>Turbidez &lt; 2,5 uT</v>
      </c>
      <c r="BC295" s="138" t="str">
        <f>IF(AND(C295&gt;D295,D295&gt;E295),"TOR &gt; SM &gt; BNN",IF(AND(C295&gt;E295,E295&gt;D295),"TOR &gt; BNN &gt; SM",IF(AND(D295&gt;C295,C295&gt;E295),"SM &gt; TOR &gt; BNN",IF(AND(D295&gt;E295,E295&gt;C295),"SM &gt; BNN &gt; TOR",IF(AND(C295=D295,D295=E295),"TOR = SM = BNN","Comb. diferentes")))))</f>
        <v>SM &gt; BNN &gt; TOR</v>
      </c>
      <c r="BD295" s="137" t="str">
        <f>IF(OR(AE295="",AQ295="-"),"",IF(AE295&lt;=0.25,"Tipo 1 (≤0,25) uT",IF(AE295&lt;=0.5,"Tipo 2 (0,25-0,50) uT",IF(AE295&lt;=0.75,"Tipo 3 (0,50-0,75) uT","Tipo 4 (&gt;0,75) uT"))))</f>
        <v>Tipo 1 (≤0,25) uT</v>
      </c>
      <c r="BE295" s="137" t="str">
        <f t="shared" si="28"/>
        <v>Tipo 1 (≤0,25) uT</v>
      </c>
      <c r="BF295" s="137" t="str">
        <f>IF(OR(AF295="",AQ295="-"),"",IF(AF295&lt;=0.25,"Tipo 1 (≤0,25) uT",IF(AF295&lt;=0.5,"Tipo 2 (0,25-0,50) uT",IF(AF295&lt;=0.75,"Tipo 3 (0,50-0,75) uT","Tipo 4 (&gt;0,75) uT"))))</f>
        <v>Tipo 1 (≤0,25) uT</v>
      </c>
      <c r="BG295" s="137" t="str">
        <f t="shared" si="29"/>
        <v>Tipo 1 (≤0,25) uT</v>
      </c>
      <c r="BH295" s="137" t="str">
        <f>IF(OR(R295="",R295="-"),"",IF(R295&lt;=0.25,"Tipo 1 (≤0,25) uT",IF(R295&lt;=0.5,"Tipo 2 (0,25-0,50) uT",IF(R295&lt;=0.75,"Tipo 3 (0,50-0,75) uT","Tipo 4 (&gt;0,75) uT"))))</f>
        <v>Tipo 1 (≤0,25) uT</v>
      </c>
    </row>
    <row r="296" spans="1:60" x14ac:dyDescent="0.3">
      <c r="A296" s="74">
        <v>46291</v>
      </c>
      <c r="B296" s="139">
        <v>0.47916666666666669</v>
      </c>
      <c r="C296" s="116">
        <v>238</v>
      </c>
      <c r="D296" s="116">
        <v>1630</v>
      </c>
      <c r="E296" s="116">
        <v>277</v>
      </c>
      <c r="F296" s="116">
        <v>2276</v>
      </c>
      <c r="G296" s="144" t="s">
        <v>100</v>
      </c>
      <c r="H296" s="122">
        <v>9.5</v>
      </c>
      <c r="I296" s="116">
        <v>-94</v>
      </c>
      <c r="J296" s="10">
        <v>90</v>
      </c>
      <c r="K296" s="116">
        <v>90</v>
      </c>
      <c r="L296" s="116">
        <v>90</v>
      </c>
      <c r="M296" s="122">
        <v>26.3</v>
      </c>
      <c r="N296" s="122">
        <v>6.5</v>
      </c>
      <c r="O296" s="79">
        <v>1.1399999999999999</v>
      </c>
      <c r="P296" s="116">
        <v>10</v>
      </c>
      <c r="Q296" s="122">
        <v>7.8</v>
      </c>
      <c r="R296" s="10">
        <v>0.11</v>
      </c>
      <c r="S296" s="79">
        <v>22.36</v>
      </c>
      <c r="T296" s="79">
        <v>0.88</v>
      </c>
      <c r="U296" s="79">
        <v>0.7</v>
      </c>
      <c r="V296" s="85">
        <f t="shared" si="30"/>
        <v>1704.155</v>
      </c>
      <c r="W296" s="85">
        <f t="shared" si="31"/>
        <v>1522.080976</v>
      </c>
      <c r="X296" s="85">
        <f t="shared" si="32"/>
        <v>0.89315876548788109</v>
      </c>
      <c r="Y296" s="116">
        <v>3</v>
      </c>
      <c r="Z296" s="116">
        <v>4</v>
      </c>
      <c r="AA296" s="122">
        <v>6.2</v>
      </c>
      <c r="AB296" s="116">
        <v>20</v>
      </c>
      <c r="AC296" s="122">
        <v>6.2</v>
      </c>
      <c r="AD296" s="122">
        <v>5.5</v>
      </c>
      <c r="AE296" s="79">
        <v>0.22</v>
      </c>
      <c r="AF296" s="79">
        <v>0.15</v>
      </c>
      <c r="AG296" s="85">
        <f>(O296+0.3*H296+2)*(F296/2/AK296)</f>
        <v>1704.155</v>
      </c>
      <c r="AH296" s="85">
        <f t="shared" si="33"/>
        <v>1708.2758263999997</v>
      </c>
      <c r="AI296" s="85">
        <f t="shared" si="34"/>
        <v>1.0024181053953425</v>
      </c>
      <c r="AJ296" s="116">
        <v>3</v>
      </c>
      <c r="AK296" s="116">
        <v>4</v>
      </c>
      <c r="AL296" s="122">
        <v>6.3</v>
      </c>
      <c r="AM296" s="116">
        <v>22</v>
      </c>
      <c r="AN296" s="122">
        <v>6.2</v>
      </c>
      <c r="AO296" s="122">
        <v>5.4</v>
      </c>
      <c r="AP296" s="79">
        <v>0.25</v>
      </c>
      <c r="AQ296" s="79">
        <v>0.24</v>
      </c>
      <c r="AR296" s="132">
        <f>SUM(C296:E296)</f>
        <v>2145</v>
      </c>
      <c r="AS296" s="134">
        <f>C296/AR296</f>
        <v>0.11095571095571095</v>
      </c>
      <c r="AT296" s="134">
        <f>D296/AR296</f>
        <v>0.75990675990675993</v>
      </c>
      <c r="AU296" s="134">
        <f>E296/AR296</f>
        <v>0.12913752913752913</v>
      </c>
      <c r="AV296" s="151">
        <f>IF(AND(F296&lt;&gt;"",Z296&lt;&gt;""),AB296/(F296/2/Z296),"")</f>
        <v>7.0298769771529004E-2</v>
      </c>
      <c r="AW296" s="151">
        <f>IF(AND(F296&lt;&gt;"",AK296&lt;&gt;""),AM296/(F296/2/AK296),"")</f>
        <v>7.7328646748681895E-2</v>
      </c>
      <c r="AX296" s="41">
        <f>IF(AND(AQ296&lt;&gt;"",1-(AQ296/O296)&gt;0),1-(AQ296/O296),"")</f>
        <v>0.78947368421052633</v>
      </c>
      <c r="AY296" s="41">
        <f>IF(AND(AF296&lt;&gt;"",1-(AF296/O296)&gt;0),1-(AF296/O296),"")</f>
        <v>0.86842105263157898</v>
      </c>
      <c r="AZ296" s="136" t="str">
        <f>IF(Q296="","",IF(Q296&lt;2.5,"Alc. Bruta &lt; 2,5 mg/L",IF(Q296&lt;5,"2,5 ≤ Alc. Bruta &lt; 5,0 mg/L",IF(Q296&lt;7.5,"5,0 ≤ Alc. Bruta &lt; 7,5 mg/L",IF(Q296&lt;10,"7,5 ≤ Alc. Bruta &lt; 10,0 mg/L",IF(Q296&lt;15,"10,0 ≤ Alca. Bruta &lt; 15,0 mg/L","Alc. Bruta &gt; 15 mg/L"))))))</f>
        <v>7,5 ≤ Alc. Bruta &lt; 10,0 mg/L</v>
      </c>
      <c r="BA296" s="136" t="str">
        <f>IF(P296="","",IF(P296&lt;5,"Cor &lt;5 uC",IF(P296&lt;10,"5 ≤ Cor &lt; 10 uC",IF(P296&lt;15,"10 ≤ Cor &lt;15 uC",IF(P296&lt;30,"15 ≤ Cor &lt; 30 uC",IF(P296&lt;50,"30 ≤ Cor &lt; 50 uC","Cor &gt; 50 uC"))))))</f>
        <v>10 ≤ Cor &lt;15 uC</v>
      </c>
      <c r="BB296" s="137" t="str">
        <f>IF(O296="","",IF(O296&lt;2.5,"Turbidez &lt; 2,5 uT",IF(O296&lt;5,"2,5 ≤ Turb &lt; 5,0 uT",IF(O296&lt;7.5,"5,0 ≤ Turb &lt; 7,5 uT",IF(O296&lt;10,"7,5 ≤ Turb &lt; 10,0 uT",IF(O296&lt;15,"10,0 ≤ Turb &lt; 15,0 uT","Turb &gt; 15 uT"))))))</f>
        <v>Turbidez &lt; 2,5 uT</v>
      </c>
      <c r="BC296" s="138" t="str">
        <f>IF(AND(C296&gt;D296,D296&gt;E296),"TOR &gt; SM &gt; BNN",IF(AND(C296&gt;E296,E296&gt;D296),"TOR &gt; BNN &gt; SM",IF(AND(D296&gt;C296,C296&gt;E296),"SM &gt; TOR &gt; BNN",IF(AND(D296&gt;E296,E296&gt;C296),"SM &gt; BNN &gt; TOR",IF(AND(C296=D296,D296=E296),"TOR = SM = BNN","Comb. diferentes")))))</f>
        <v>SM &gt; BNN &gt; TOR</v>
      </c>
      <c r="BD296" s="137" t="str">
        <f>IF(OR(AE296="",AQ296="-"),"",IF(AE296&lt;=0.25,"Tipo 1 (≤0,25) uT",IF(AE296&lt;=0.5,"Tipo 2 (0,25-0,50) uT",IF(AE296&lt;=0.75,"Tipo 3 (0,50-0,75) uT","Tipo 4 (&gt;0,75) uT"))))</f>
        <v>Tipo 1 (≤0,25) uT</v>
      </c>
      <c r="BE296" s="137" t="str">
        <f t="shared" si="28"/>
        <v>Tipo 1 (≤0,25) uT</v>
      </c>
      <c r="BF296" s="137" t="str">
        <f>IF(OR(AF296="",AQ296="-"),"",IF(AF296&lt;=0.25,"Tipo 1 (≤0,25) uT",IF(AF296&lt;=0.5,"Tipo 2 (0,25-0,50) uT",IF(AF296&lt;=0.75,"Tipo 3 (0,50-0,75) uT","Tipo 4 (&gt;0,75) uT"))))</f>
        <v>Tipo 1 (≤0,25) uT</v>
      </c>
      <c r="BG296" s="137" t="str">
        <f t="shared" si="29"/>
        <v>Tipo 1 (≤0,25) uT</v>
      </c>
      <c r="BH296" s="137" t="str">
        <f>IF(OR(R296="",R296="-"),"",IF(R296&lt;=0.25,"Tipo 1 (≤0,25) uT",IF(R296&lt;=0.5,"Tipo 2 (0,25-0,50) uT",IF(R296&lt;=0.75,"Tipo 3 (0,50-0,75) uT","Tipo 4 (&gt;0,75) uT"))))</f>
        <v>Tipo 1 (≤0,25) uT</v>
      </c>
    </row>
    <row r="297" spans="1:60" x14ac:dyDescent="0.3">
      <c r="A297" s="74">
        <v>46291</v>
      </c>
      <c r="B297" s="139">
        <v>0.64583333333333337</v>
      </c>
      <c r="C297" s="116">
        <v>247</v>
      </c>
      <c r="D297" s="116">
        <v>1686</v>
      </c>
      <c r="E297" s="116">
        <v>276</v>
      </c>
      <c r="F297" s="116">
        <v>2188</v>
      </c>
      <c r="G297" s="144" t="s">
        <v>100</v>
      </c>
      <c r="H297" s="122">
        <v>9.1999999999999993</v>
      </c>
      <c r="I297" s="116">
        <v>-83</v>
      </c>
      <c r="J297" s="10">
        <v>90</v>
      </c>
      <c r="K297" s="116">
        <v>90</v>
      </c>
      <c r="L297" s="116">
        <v>90</v>
      </c>
      <c r="M297" s="122">
        <v>27</v>
      </c>
      <c r="N297" s="122">
        <v>6.4</v>
      </c>
      <c r="O297" s="79">
        <v>1.1200000000000001</v>
      </c>
      <c r="P297" s="116">
        <v>10</v>
      </c>
      <c r="Q297" s="122">
        <v>7.9</v>
      </c>
      <c r="R297" s="10">
        <v>0.11</v>
      </c>
      <c r="S297" s="79">
        <v>22.36</v>
      </c>
      <c r="T297" s="79">
        <v>0.88</v>
      </c>
      <c r="U297" s="79">
        <v>0.7</v>
      </c>
      <c r="V297" s="85">
        <f t="shared" si="30"/>
        <v>1608.18</v>
      </c>
      <c r="W297" s="85">
        <f t="shared" si="31"/>
        <v>1598.1850248000001</v>
      </c>
      <c r="X297" s="85">
        <f t="shared" si="32"/>
        <v>0.99378491512144163</v>
      </c>
      <c r="Y297" s="116">
        <v>3</v>
      </c>
      <c r="Z297" s="116">
        <v>4</v>
      </c>
      <c r="AA297" s="122">
        <v>6.2</v>
      </c>
      <c r="AB297" s="116">
        <v>21</v>
      </c>
      <c r="AC297" s="122">
        <v>6.2</v>
      </c>
      <c r="AD297" s="122">
        <v>5.2</v>
      </c>
      <c r="AE297" s="79">
        <v>0.15</v>
      </c>
      <c r="AF297" s="79">
        <v>0.15</v>
      </c>
      <c r="AG297" s="85">
        <f>(O297+0.3*H297+2)*(F297/2/AK297)</f>
        <v>1608.18</v>
      </c>
      <c r="AH297" s="85">
        <f t="shared" si="33"/>
        <v>1674.2890735999999</v>
      </c>
      <c r="AI297" s="85">
        <f t="shared" si="34"/>
        <v>1.0411080063177007</v>
      </c>
      <c r="AJ297" s="116">
        <v>3</v>
      </c>
      <c r="AK297" s="116">
        <v>4</v>
      </c>
      <c r="AL297" s="122">
        <v>6.2</v>
      </c>
      <c r="AM297" s="116">
        <v>22</v>
      </c>
      <c r="AN297" s="122">
        <v>6.2</v>
      </c>
      <c r="AO297" s="122">
        <v>5.6</v>
      </c>
      <c r="AP297" s="79">
        <v>0.19</v>
      </c>
      <c r="AQ297" s="79">
        <v>0.21</v>
      </c>
      <c r="AR297" s="132">
        <f>SUM(C297:E297)</f>
        <v>2209</v>
      </c>
      <c r="AS297" s="134">
        <f>C297/AR297</f>
        <v>0.11181530104119511</v>
      </c>
      <c r="AT297" s="134">
        <f>D297/AR297</f>
        <v>0.76324128564961524</v>
      </c>
      <c r="AU297" s="134">
        <f>E297/AR297</f>
        <v>0.12494341330918968</v>
      </c>
      <c r="AV297" s="151">
        <f>IF(AND(F297&lt;&gt;"",Z297&lt;&gt;""),AB297/(F297/2/Z297),"")</f>
        <v>7.6782449725776969E-2</v>
      </c>
      <c r="AW297" s="151">
        <f>IF(AND(F297&lt;&gt;"",AK297&lt;&gt;""),AM297/(F297/2/AK297),"")</f>
        <v>8.0438756855575874E-2</v>
      </c>
      <c r="AX297" s="41">
        <f>IF(AND(AQ297&lt;&gt;"",1-(AQ297/O297)&gt;0),1-(AQ297/O297),"")</f>
        <v>0.8125</v>
      </c>
      <c r="AY297" s="41">
        <f>IF(AND(AF297&lt;&gt;"",1-(AF297/O297)&gt;0),1-(AF297/O297),"")</f>
        <v>0.8660714285714286</v>
      </c>
      <c r="AZ297" s="136" t="str">
        <f>IF(Q297="","",IF(Q297&lt;2.5,"Alc. Bruta &lt; 2,5 mg/L",IF(Q297&lt;5,"2,5 ≤ Alc. Bruta &lt; 5,0 mg/L",IF(Q297&lt;7.5,"5,0 ≤ Alc. Bruta &lt; 7,5 mg/L",IF(Q297&lt;10,"7,5 ≤ Alc. Bruta &lt; 10,0 mg/L",IF(Q297&lt;15,"10,0 ≤ Alca. Bruta &lt; 15,0 mg/L","Alc. Bruta &gt; 15 mg/L"))))))</f>
        <v>7,5 ≤ Alc. Bruta &lt; 10,0 mg/L</v>
      </c>
      <c r="BA297" s="136" t="str">
        <f>IF(P297="","",IF(P297&lt;5,"Cor &lt;5 uC",IF(P297&lt;10,"5 ≤ Cor &lt; 10 uC",IF(P297&lt;15,"10 ≤ Cor &lt;15 uC",IF(P297&lt;30,"15 ≤ Cor &lt; 30 uC",IF(P297&lt;50,"30 ≤ Cor &lt; 50 uC","Cor &gt; 50 uC"))))))</f>
        <v>10 ≤ Cor &lt;15 uC</v>
      </c>
      <c r="BB297" s="137" t="str">
        <f>IF(O297="","",IF(O297&lt;2.5,"Turbidez &lt; 2,5 uT",IF(O297&lt;5,"2,5 ≤ Turb &lt; 5,0 uT",IF(O297&lt;7.5,"5,0 ≤ Turb &lt; 7,5 uT",IF(O297&lt;10,"7,5 ≤ Turb &lt; 10,0 uT",IF(O297&lt;15,"10,0 ≤ Turb &lt; 15,0 uT","Turb &gt; 15 uT"))))))</f>
        <v>Turbidez &lt; 2,5 uT</v>
      </c>
      <c r="BC297" s="138" t="str">
        <f>IF(AND(C297&gt;D297,D297&gt;E297),"TOR &gt; SM &gt; BNN",IF(AND(C297&gt;E297,E297&gt;D297),"TOR &gt; BNN &gt; SM",IF(AND(D297&gt;C297,C297&gt;E297),"SM &gt; TOR &gt; BNN",IF(AND(D297&gt;E297,E297&gt;C297),"SM &gt; BNN &gt; TOR",IF(AND(C297=D297,D297=E297),"TOR = SM = BNN","Comb. diferentes")))))</f>
        <v>SM &gt; BNN &gt; TOR</v>
      </c>
      <c r="BD297" s="137" t="str">
        <f>IF(OR(AE297="",AQ297="-"),"",IF(AE297&lt;=0.25,"Tipo 1 (≤0,25) uT",IF(AE297&lt;=0.5,"Tipo 2 (0,25-0,50) uT",IF(AE297&lt;=0.75,"Tipo 3 (0,50-0,75) uT","Tipo 4 (&gt;0,75) uT"))))</f>
        <v>Tipo 1 (≤0,25) uT</v>
      </c>
      <c r="BE297" s="137" t="str">
        <f t="shared" si="28"/>
        <v>Tipo 1 (≤0,25) uT</v>
      </c>
      <c r="BF297" s="137" t="str">
        <f>IF(OR(AF297="",AQ297="-"),"",IF(AF297&lt;=0.25,"Tipo 1 (≤0,25) uT",IF(AF297&lt;=0.5,"Tipo 2 (0,25-0,50) uT",IF(AF297&lt;=0.75,"Tipo 3 (0,50-0,75) uT","Tipo 4 (&gt;0,75) uT"))))</f>
        <v>Tipo 1 (≤0,25) uT</v>
      </c>
      <c r="BG297" s="137" t="str">
        <f t="shared" si="29"/>
        <v>Tipo 1 (≤0,25) uT</v>
      </c>
      <c r="BH297" s="137" t="str">
        <f>IF(OR(R297="",R297="-"),"",IF(R297&lt;=0.25,"Tipo 1 (≤0,25) uT",IF(R297&lt;=0.5,"Tipo 2 (0,25-0,50) uT",IF(R297&lt;=0.75,"Tipo 3 (0,50-0,75) uT","Tipo 4 (&gt;0,75) uT"))))</f>
        <v>Tipo 1 (≤0,25) uT</v>
      </c>
    </row>
    <row r="298" spans="1:60" x14ac:dyDescent="0.3">
      <c r="A298" s="74">
        <v>46291</v>
      </c>
      <c r="B298" s="139">
        <v>0.72916666666666663</v>
      </c>
      <c r="C298" s="116">
        <v>308</v>
      </c>
      <c r="D298" s="116">
        <v>1592</v>
      </c>
      <c r="E298" s="116">
        <v>276</v>
      </c>
      <c r="F298" s="116">
        <v>2192</v>
      </c>
      <c r="G298" s="144" t="s">
        <v>100</v>
      </c>
      <c r="H298" s="122">
        <v>8</v>
      </c>
      <c r="I298" s="116">
        <v>-80</v>
      </c>
      <c r="J298" s="10">
        <v>90</v>
      </c>
      <c r="K298" s="116">
        <v>90</v>
      </c>
      <c r="L298" s="116">
        <v>90</v>
      </c>
      <c r="M298" s="122">
        <v>27.1</v>
      </c>
      <c r="N298" s="122">
        <v>6.4</v>
      </c>
      <c r="O298" s="79">
        <v>1.1499999999999999</v>
      </c>
      <c r="P298" s="116">
        <v>10</v>
      </c>
      <c r="Q298" s="122">
        <v>7.8</v>
      </c>
      <c r="R298" s="10">
        <v>0.08</v>
      </c>
      <c r="S298" s="79">
        <v>22.36</v>
      </c>
      <c r="T298" s="79">
        <v>0.88</v>
      </c>
      <c r="U298" s="79">
        <v>0.7</v>
      </c>
      <c r="V298" s="85">
        <f t="shared" si="30"/>
        <v>1520.7</v>
      </c>
      <c r="W298" s="85">
        <f t="shared" si="31"/>
        <v>1522.080976</v>
      </c>
      <c r="X298" s="85">
        <f t="shared" si="32"/>
        <v>1.0009081186295785</v>
      </c>
      <c r="Y298" s="116">
        <v>3</v>
      </c>
      <c r="Z298" s="116">
        <v>4</v>
      </c>
      <c r="AA298" s="122">
        <v>6.2</v>
      </c>
      <c r="AB298" s="116">
        <v>20</v>
      </c>
      <c r="AC298" s="122">
        <v>6.2</v>
      </c>
      <c r="AD298" s="122">
        <v>5.4</v>
      </c>
      <c r="AE298" s="79">
        <v>0.14000000000000001</v>
      </c>
      <c r="AF298" s="79">
        <v>0.16</v>
      </c>
      <c r="AG298" s="85">
        <f>(O298+0.3*H298+2)*(F298/2/AK298)</f>
        <v>1520.7</v>
      </c>
      <c r="AH298" s="85">
        <f t="shared" si="33"/>
        <v>1785.9247275999996</v>
      </c>
      <c r="AI298" s="85">
        <f t="shared" si="34"/>
        <v>1.1744096321430917</v>
      </c>
      <c r="AJ298" s="116">
        <v>3</v>
      </c>
      <c r="AK298" s="116">
        <v>4</v>
      </c>
      <c r="AL298" s="122">
        <v>6.3</v>
      </c>
      <c r="AM298" s="116">
        <v>23</v>
      </c>
      <c r="AN298" s="122">
        <v>6.2</v>
      </c>
      <c r="AO298" s="122">
        <v>5.5</v>
      </c>
      <c r="AP298" s="79">
        <v>0.2</v>
      </c>
      <c r="AQ298" s="79">
        <v>0.24</v>
      </c>
      <c r="AR298" s="132">
        <f>SUM(C298:E298)</f>
        <v>2176</v>
      </c>
      <c r="AS298" s="134">
        <f>C298/AR298</f>
        <v>0.14154411764705882</v>
      </c>
      <c r="AT298" s="134">
        <f>D298/AR298</f>
        <v>0.73161764705882348</v>
      </c>
      <c r="AU298" s="134">
        <f>E298/AR298</f>
        <v>0.12683823529411764</v>
      </c>
      <c r="AV298" s="151">
        <f>IF(AND(F298&lt;&gt;"",Z298&lt;&gt;""),AB298/(F298/2/Z298),"")</f>
        <v>7.2992700729927001E-2</v>
      </c>
      <c r="AW298" s="151">
        <f>IF(AND(F298&lt;&gt;"",AK298&lt;&gt;""),AM298/(F298/2/AK298),"")</f>
        <v>8.3941605839416053E-2</v>
      </c>
      <c r="AX298" s="41">
        <f>IF(AND(AQ298&lt;&gt;"",1-(AQ298/O298)&gt;0),1-(AQ298/O298),"")</f>
        <v>0.79130434782608694</v>
      </c>
      <c r="AY298" s="41">
        <f>IF(AND(AF298&lt;&gt;"",1-(AF298/O298)&gt;0),1-(AF298/O298),"")</f>
        <v>0.86086956521739133</v>
      </c>
      <c r="AZ298" s="136" t="str">
        <f>IF(Q298="","",IF(Q298&lt;2.5,"Alc. Bruta &lt; 2,5 mg/L",IF(Q298&lt;5,"2,5 ≤ Alc. Bruta &lt; 5,0 mg/L",IF(Q298&lt;7.5,"5,0 ≤ Alc. Bruta &lt; 7,5 mg/L",IF(Q298&lt;10,"7,5 ≤ Alc. Bruta &lt; 10,0 mg/L",IF(Q298&lt;15,"10,0 ≤ Alca. Bruta &lt; 15,0 mg/L","Alc. Bruta &gt; 15 mg/L"))))))</f>
        <v>7,5 ≤ Alc. Bruta &lt; 10,0 mg/L</v>
      </c>
      <c r="BA298" s="136" t="str">
        <f>IF(P298="","",IF(P298&lt;5,"Cor &lt;5 uC",IF(P298&lt;10,"5 ≤ Cor &lt; 10 uC",IF(P298&lt;15,"10 ≤ Cor &lt;15 uC",IF(P298&lt;30,"15 ≤ Cor &lt; 30 uC",IF(P298&lt;50,"30 ≤ Cor &lt; 50 uC","Cor &gt; 50 uC"))))))</f>
        <v>10 ≤ Cor &lt;15 uC</v>
      </c>
      <c r="BB298" s="137" t="str">
        <f>IF(O298="","",IF(O298&lt;2.5,"Turbidez &lt; 2,5 uT",IF(O298&lt;5,"2,5 ≤ Turb &lt; 5,0 uT",IF(O298&lt;7.5,"5,0 ≤ Turb &lt; 7,5 uT",IF(O298&lt;10,"7,5 ≤ Turb &lt; 10,0 uT",IF(O298&lt;15,"10,0 ≤ Turb &lt; 15,0 uT","Turb &gt; 15 uT"))))))</f>
        <v>Turbidez &lt; 2,5 uT</v>
      </c>
      <c r="BC298" s="138" t="str">
        <f>IF(AND(C298&gt;D298,D298&gt;E298),"TOR &gt; SM &gt; BNN",IF(AND(C298&gt;E298,E298&gt;D298),"TOR &gt; BNN &gt; SM",IF(AND(D298&gt;C298,C298&gt;E298),"SM &gt; TOR &gt; BNN",IF(AND(D298&gt;E298,E298&gt;C298),"SM &gt; BNN &gt; TOR",IF(AND(C298=D298,D298=E298),"TOR = SM = BNN","Comb. diferentes")))))</f>
        <v>SM &gt; TOR &gt; BNN</v>
      </c>
      <c r="BD298" s="137" t="str">
        <f>IF(OR(AE298="",AQ298="-"),"",IF(AE298&lt;=0.25,"Tipo 1 (≤0,25) uT",IF(AE298&lt;=0.5,"Tipo 2 (0,25-0,50) uT",IF(AE298&lt;=0.75,"Tipo 3 (0,50-0,75) uT","Tipo 4 (&gt;0,75) uT"))))</f>
        <v>Tipo 1 (≤0,25) uT</v>
      </c>
      <c r="BE298" s="137" t="str">
        <f t="shared" si="28"/>
        <v>Tipo 1 (≤0,25) uT</v>
      </c>
      <c r="BF298" s="137" t="str">
        <f>IF(OR(AF298="",AQ298="-"),"",IF(AF298&lt;=0.25,"Tipo 1 (≤0,25) uT",IF(AF298&lt;=0.5,"Tipo 2 (0,25-0,50) uT",IF(AF298&lt;=0.75,"Tipo 3 (0,50-0,75) uT","Tipo 4 (&gt;0,75) uT"))))</f>
        <v>Tipo 1 (≤0,25) uT</v>
      </c>
      <c r="BG298" s="137" t="str">
        <f t="shared" si="29"/>
        <v>Tipo 1 (≤0,25) uT</v>
      </c>
      <c r="BH298" s="137" t="str">
        <f>IF(OR(R298="",R298="-"),"",IF(R298&lt;=0.25,"Tipo 1 (≤0,25) uT",IF(R298&lt;=0.5,"Tipo 2 (0,25-0,50) uT",IF(R298&lt;=0.75,"Tipo 3 (0,50-0,75) uT","Tipo 4 (&gt;0,75) uT"))))</f>
        <v>Tipo 1 (≤0,25) uT</v>
      </c>
    </row>
    <row r="299" spans="1:60" x14ac:dyDescent="0.3">
      <c r="A299" s="74">
        <v>46291</v>
      </c>
      <c r="B299" s="139">
        <v>0.8125</v>
      </c>
      <c r="C299" s="116">
        <v>303</v>
      </c>
      <c r="D299" s="116">
        <v>1587</v>
      </c>
      <c r="E299" s="116">
        <v>275</v>
      </c>
      <c r="F299" s="116">
        <v>2175</v>
      </c>
      <c r="G299" s="144" t="s">
        <v>100</v>
      </c>
      <c r="H299" s="122">
        <v>9.1999999999999993</v>
      </c>
      <c r="I299" s="116">
        <v>-75</v>
      </c>
      <c r="J299" s="10">
        <v>90</v>
      </c>
      <c r="K299" s="116">
        <v>90</v>
      </c>
      <c r="L299" s="116">
        <v>90</v>
      </c>
      <c r="M299" s="122">
        <v>25.8</v>
      </c>
      <c r="N299" s="122">
        <v>6.4</v>
      </c>
      <c r="O299" s="79">
        <v>1.1200000000000001</v>
      </c>
      <c r="P299" s="116">
        <v>11</v>
      </c>
      <c r="Q299" s="122">
        <v>8.1999999999999993</v>
      </c>
      <c r="R299" s="10">
        <v>0.15</v>
      </c>
      <c r="S299" s="79">
        <v>22.36</v>
      </c>
      <c r="T299" s="79">
        <v>0.88</v>
      </c>
      <c r="U299" s="79">
        <v>0.7</v>
      </c>
      <c r="V299" s="85">
        <f t="shared" si="30"/>
        <v>1598.625</v>
      </c>
      <c r="W299" s="85">
        <f t="shared" si="31"/>
        <v>1533.3012239999998</v>
      </c>
      <c r="X299" s="85">
        <f t="shared" si="32"/>
        <v>0.95913752380952366</v>
      </c>
      <c r="Y299" s="116">
        <v>3</v>
      </c>
      <c r="Z299" s="116">
        <v>4</v>
      </c>
      <c r="AA299" s="122">
        <v>6</v>
      </c>
      <c r="AB299" s="116">
        <v>21</v>
      </c>
      <c r="AC299" s="122">
        <v>6.3</v>
      </c>
      <c r="AD299" s="122">
        <v>5.7</v>
      </c>
      <c r="AE299" s="79">
        <v>0.1</v>
      </c>
      <c r="AF299" s="79">
        <v>0.15</v>
      </c>
      <c r="AG299" s="85">
        <f>(O299+0.3*H299+2)*(F299/2/AK299)</f>
        <v>1598.625</v>
      </c>
      <c r="AH299" s="85">
        <f t="shared" si="33"/>
        <v>1785.9247275999996</v>
      </c>
      <c r="AI299" s="85">
        <f t="shared" si="34"/>
        <v>1.1171630167174913</v>
      </c>
      <c r="AJ299" s="116">
        <v>3</v>
      </c>
      <c r="AK299" s="116">
        <v>4</v>
      </c>
      <c r="AL299" s="122">
        <v>6.3</v>
      </c>
      <c r="AM299" s="116">
        <v>23</v>
      </c>
      <c r="AN299" s="122">
        <v>6.3</v>
      </c>
      <c r="AO299" s="122">
        <v>5.8</v>
      </c>
      <c r="AP299" s="79">
        <v>0.13</v>
      </c>
      <c r="AQ299" s="79">
        <v>0.17</v>
      </c>
      <c r="AR299" s="132">
        <f>SUM(C299:E299)</f>
        <v>2165</v>
      </c>
      <c r="AS299" s="134">
        <f>C299/AR299</f>
        <v>0.13995381062355658</v>
      </c>
      <c r="AT299" s="134">
        <f>D299/AR299</f>
        <v>0.73302540415704387</v>
      </c>
      <c r="AU299" s="134">
        <f>E299/AR299</f>
        <v>0.12702078521939955</v>
      </c>
      <c r="AV299" s="151">
        <f>IF(AND(F299&lt;&gt;"",Z299&lt;&gt;""),AB299/(F299/2/Z299),"")</f>
        <v>7.7241379310344832E-2</v>
      </c>
      <c r="AW299" s="151">
        <f>IF(AND(F299&lt;&gt;"",AK299&lt;&gt;""),AM299/(F299/2/AK299),"")</f>
        <v>8.4597701149425289E-2</v>
      </c>
      <c r="AX299" s="41">
        <f>IF(AND(AQ299&lt;&gt;"",1-(AQ299/O299)&gt;0),1-(AQ299/O299),"")</f>
        <v>0.8482142857142857</v>
      </c>
      <c r="AY299" s="41">
        <f>IF(AND(AF299&lt;&gt;"",1-(AF299/O299)&gt;0),1-(AF299/O299),"")</f>
        <v>0.8660714285714286</v>
      </c>
      <c r="AZ299" s="136" t="str">
        <f>IF(Q299="","",IF(Q299&lt;2.5,"Alc. Bruta &lt; 2,5 mg/L",IF(Q299&lt;5,"2,5 ≤ Alc. Bruta &lt; 5,0 mg/L",IF(Q299&lt;7.5,"5,0 ≤ Alc. Bruta &lt; 7,5 mg/L",IF(Q299&lt;10,"7,5 ≤ Alc. Bruta &lt; 10,0 mg/L",IF(Q299&lt;15,"10,0 ≤ Alca. Bruta &lt; 15,0 mg/L","Alc. Bruta &gt; 15 mg/L"))))))</f>
        <v>7,5 ≤ Alc. Bruta &lt; 10,0 mg/L</v>
      </c>
      <c r="BA299" s="136" t="str">
        <f>IF(P299="","",IF(P299&lt;5,"Cor &lt;5 uC",IF(P299&lt;10,"5 ≤ Cor &lt; 10 uC",IF(P299&lt;15,"10 ≤ Cor &lt;15 uC",IF(P299&lt;30,"15 ≤ Cor &lt; 30 uC",IF(P299&lt;50,"30 ≤ Cor &lt; 50 uC","Cor &gt; 50 uC"))))))</f>
        <v>10 ≤ Cor &lt;15 uC</v>
      </c>
      <c r="BB299" s="137" t="str">
        <f>IF(O299="","",IF(O299&lt;2.5,"Turbidez &lt; 2,5 uT",IF(O299&lt;5,"2,5 ≤ Turb &lt; 5,0 uT",IF(O299&lt;7.5,"5,0 ≤ Turb &lt; 7,5 uT",IF(O299&lt;10,"7,5 ≤ Turb &lt; 10,0 uT",IF(O299&lt;15,"10,0 ≤ Turb &lt; 15,0 uT","Turb &gt; 15 uT"))))))</f>
        <v>Turbidez &lt; 2,5 uT</v>
      </c>
      <c r="BC299" s="138" t="str">
        <f>IF(AND(C299&gt;D299,D299&gt;E299),"TOR &gt; SM &gt; BNN",IF(AND(C299&gt;E299,E299&gt;D299),"TOR &gt; BNN &gt; SM",IF(AND(D299&gt;C299,C299&gt;E299),"SM &gt; TOR &gt; BNN",IF(AND(D299&gt;E299,E299&gt;C299),"SM &gt; BNN &gt; TOR",IF(AND(C299=D299,D299=E299),"TOR = SM = BNN","Comb. diferentes")))))</f>
        <v>SM &gt; TOR &gt; BNN</v>
      </c>
      <c r="BD299" s="137" t="str">
        <f>IF(OR(AE299="",AQ299="-"),"",IF(AE299&lt;=0.25,"Tipo 1 (≤0,25) uT",IF(AE299&lt;=0.5,"Tipo 2 (0,25-0,50) uT",IF(AE299&lt;=0.75,"Tipo 3 (0,50-0,75) uT","Tipo 4 (&gt;0,75) uT"))))</f>
        <v>Tipo 1 (≤0,25) uT</v>
      </c>
      <c r="BE299" s="137" t="str">
        <f t="shared" si="28"/>
        <v>Tipo 1 (≤0,25) uT</v>
      </c>
      <c r="BF299" s="137" t="str">
        <f>IF(OR(AF299="",AQ299="-"),"",IF(AF299&lt;=0.25,"Tipo 1 (≤0,25) uT",IF(AF299&lt;=0.5,"Tipo 2 (0,25-0,50) uT",IF(AF299&lt;=0.75,"Tipo 3 (0,50-0,75) uT","Tipo 4 (&gt;0,75) uT"))))</f>
        <v>Tipo 1 (≤0,25) uT</v>
      </c>
      <c r="BG299" s="137" t="str">
        <f t="shared" si="29"/>
        <v>Tipo 1 (≤0,25) uT</v>
      </c>
      <c r="BH299" s="137" t="str">
        <f>IF(OR(R299="",R299="-"),"",IF(R299&lt;=0.25,"Tipo 1 (≤0,25) uT",IF(R299&lt;=0.5,"Tipo 2 (0,25-0,50) uT",IF(R299&lt;=0.75,"Tipo 3 (0,50-0,75) uT","Tipo 4 (&gt;0,75) uT"))))</f>
        <v>Tipo 1 (≤0,25) uT</v>
      </c>
    </row>
    <row r="300" spans="1:60" x14ac:dyDescent="0.3">
      <c r="A300" s="74">
        <v>46291</v>
      </c>
      <c r="B300" s="139">
        <v>0.89583333333333337</v>
      </c>
      <c r="C300" s="116">
        <v>299</v>
      </c>
      <c r="D300" s="116">
        <v>1592</v>
      </c>
      <c r="E300" s="116">
        <v>276</v>
      </c>
      <c r="F300" s="116">
        <v>2167</v>
      </c>
      <c r="G300" s="144" t="s">
        <v>100</v>
      </c>
      <c r="H300" s="122">
        <v>9.1999999999999993</v>
      </c>
      <c r="I300" s="116">
        <v>-68</v>
      </c>
      <c r="J300" s="10">
        <v>90</v>
      </c>
      <c r="K300" s="116">
        <v>90</v>
      </c>
      <c r="L300" s="116">
        <v>90</v>
      </c>
      <c r="M300" s="122">
        <v>26.4</v>
      </c>
      <c r="N300" s="122">
        <v>6.4</v>
      </c>
      <c r="O300" s="79">
        <v>1.1599999999999999</v>
      </c>
      <c r="P300" s="116">
        <v>10</v>
      </c>
      <c r="Q300" s="122">
        <v>7.1</v>
      </c>
      <c r="R300" s="10">
        <v>0.08</v>
      </c>
      <c r="S300" s="79">
        <v>22.36</v>
      </c>
      <c r="T300" s="79">
        <v>0.88</v>
      </c>
      <c r="U300" s="79">
        <v>0.7</v>
      </c>
      <c r="V300" s="85">
        <f t="shared" si="30"/>
        <v>1603.58</v>
      </c>
      <c r="W300" s="85">
        <f t="shared" si="31"/>
        <v>1533.3012239999998</v>
      </c>
      <c r="X300" s="85">
        <f t="shared" si="32"/>
        <v>0.95617382606418133</v>
      </c>
      <c r="Y300" s="116">
        <v>3</v>
      </c>
      <c r="Z300" s="116">
        <v>4</v>
      </c>
      <c r="AA300" s="122">
        <v>6</v>
      </c>
      <c r="AB300" s="116">
        <v>21</v>
      </c>
      <c r="AC300" s="122">
        <v>6</v>
      </c>
      <c r="AD300" s="122">
        <v>5.5</v>
      </c>
      <c r="AE300" s="79">
        <v>0.13</v>
      </c>
      <c r="AF300" s="79">
        <v>0.13</v>
      </c>
      <c r="AG300" s="85">
        <f>(O300+0.3*H300+2)*(F300/2/AK300)</f>
        <v>1603.58</v>
      </c>
      <c r="AH300" s="85">
        <f t="shared" si="33"/>
        <v>1821.4563327999999</v>
      </c>
      <c r="AI300" s="85">
        <f t="shared" si="34"/>
        <v>1.1358687017797677</v>
      </c>
      <c r="AJ300" s="116">
        <v>3</v>
      </c>
      <c r="AK300" s="116">
        <v>4</v>
      </c>
      <c r="AL300" s="122">
        <v>6.4</v>
      </c>
      <c r="AM300" s="116">
        <v>23</v>
      </c>
      <c r="AN300" s="122">
        <v>6.1</v>
      </c>
      <c r="AO300" s="122">
        <v>5.5</v>
      </c>
      <c r="AP300" s="79">
        <v>0.1</v>
      </c>
      <c r="AQ300" s="79">
        <v>0.19</v>
      </c>
      <c r="AR300" s="132">
        <f>SUM(C300:E300)</f>
        <v>2167</v>
      </c>
      <c r="AS300" s="134">
        <f>C300/AR300</f>
        <v>0.137978772496539</v>
      </c>
      <c r="AT300" s="134">
        <f>D300/AR300</f>
        <v>0.73465620673742504</v>
      </c>
      <c r="AU300" s="134">
        <f>E300/AR300</f>
        <v>0.12736502076603601</v>
      </c>
      <c r="AV300" s="151">
        <f>IF(AND(F300&lt;&gt;"",Z300&lt;&gt;""),AB300/(F300/2/Z300),"")</f>
        <v>7.7526534379326259E-2</v>
      </c>
      <c r="AW300" s="151">
        <f>IF(AND(F300&lt;&gt;"",AK300&lt;&gt;""),AM300/(F300/2/AK300),"")</f>
        <v>8.4910013844023996E-2</v>
      </c>
      <c r="AX300" s="41">
        <f>IF(AND(AQ300&lt;&gt;"",1-(AQ300/O300)&gt;0),1-(AQ300/O300),"")</f>
        <v>0.83620689655172409</v>
      </c>
      <c r="AY300" s="41">
        <f>IF(AND(AF300&lt;&gt;"",1-(AF300/O300)&gt;0),1-(AF300/O300),"")</f>
        <v>0.88793103448275856</v>
      </c>
      <c r="AZ300" s="136" t="str">
        <f>IF(Q300="","",IF(Q300&lt;2.5,"Alc. Bruta &lt; 2,5 mg/L",IF(Q300&lt;5,"2,5 ≤ Alc. Bruta &lt; 5,0 mg/L",IF(Q300&lt;7.5,"5,0 ≤ Alc. Bruta &lt; 7,5 mg/L",IF(Q300&lt;10,"7,5 ≤ Alc. Bruta &lt; 10,0 mg/L",IF(Q300&lt;15,"10,0 ≤ Alca. Bruta &lt; 15,0 mg/L","Alc. Bruta &gt; 15 mg/L"))))))</f>
        <v>5,0 ≤ Alc. Bruta &lt; 7,5 mg/L</v>
      </c>
      <c r="BA300" s="136" t="str">
        <f>IF(P300="","",IF(P300&lt;5,"Cor &lt;5 uC",IF(P300&lt;10,"5 ≤ Cor &lt; 10 uC",IF(P300&lt;15,"10 ≤ Cor &lt;15 uC",IF(P300&lt;30,"15 ≤ Cor &lt; 30 uC",IF(P300&lt;50,"30 ≤ Cor &lt; 50 uC","Cor &gt; 50 uC"))))))</f>
        <v>10 ≤ Cor &lt;15 uC</v>
      </c>
      <c r="BB300" s="137" t="str">
        <f>IF(O300="","",IF(O300&lt;2.5,"Turbidez &lt; 2,5 uT",IF(O300&lt;5,"2,5 ≤ Turb &lt; 5,0 uT",IF(O300&lt;7.5,"5,0 ≤ Turb &lt; 7,5 uT",IF(O300&lt;10,"7,5 ≤ Turb &lt; 10,0 uT",IF(O300&lt;15,"10,0 ≤ Turb &lt; 15,0 uT","Turb &gt; 15 uT"))))))</f>
        <v>Turbidez &lt; 2,5 uT</v>
      </c>
      <c r="BC300" s="138" t="str">
        <f>IF(AND(C300&gt;D300,D300&gt;E300),"TOR &gt; SM &gt; BNN",IF(AND(C300&gt;E300,E300&gt;D300),"TOR &gt; BNN &gt; SM",IF(AND(D300&gt;C300,C300&gt;E300),"SM &gt; TOR &gt; BNN",IF(AND(D300&gt;E300,E300&gt;C300),"SM &gt; BNN &gt; TOR",IF(AND(C300=D300,D300=E300),"TOR = SM = BNN","Comb. diferentes")))))</f>
        <v>SM &gt; TOR &gt; BNN</v>
      </c>
      <c r="BD300" s="137" t="str">
        <f>IF(OR(AE300="",AQ300="-"),"",IF(AE300&lt;=0.25,"Tipo 1 (≤0,25) uT",IF(AE300&lt;=0.5,"Tipo 2 (0,25-0,50) uT",IF(AE300&lt;=0.75,"Tipo 3 (0,50-0,75) uT","Tipo 4 (&gt;0,75) uT"))))</f>
        <v>Tipo 1 (≤0,25) uT</v>
      </c>
      <c r="BE300" s="137" t="str">
        <f t="shared" si="28"/>
        <v>Tipo 1 (≤0,25) uT</v>
      </c>
      <c r="BF300" s="137" t="str">
        <f>IF(OR(AF300="",AQ300="-"),"",IF(AF300&lt;=0.25,"Tipo 1 (≤0,25) uT",IF(AF300&lt;=0.5,"Tipo 2 (0,25-0,50) uT",IF(AF300&lt;=0.75,"Tipo 3 (0,50-0,75) uT","Tipo 4 (&gt;0,75) uT"))))</f>
        <v>Tipo 1 (≤0,25) uT</v>
      </c>
      <c r="BG300" s="137" t="str">
        <f t="shared" si="29"/>
        <v>Tipo 1 (≤0,25) uT</v>
      </c>
      <c r="BH300" s="137" t="str">
        <f>IF(OR(R300="",R300="-"),"",IF(R300&lt;=0.25,"Tipo 1 (≤0,25) uT",IF(R300&lt;=0.5,"Tipo 2 (0,25-0,50) uT",IF(R300&lt;=0.75,"Tipo 3 (0,50-0,75) uT","Tipo 4 (&gt;0,75) uT"))))</f>
        <v>Tipo 1 (≤0,25) uT</v>
      </c>
    </row>
    <row r="301" spans="1:60" x14ac:dyDescent="0.3">
      <c r="A301" s="74">
        <v>46292</v>
      </c>
      <c r="B301" s="139">
        <v>6.25E-2</v>
      </c>
      <c r="C301" s="116">
        <v>311</v>
      </c>
      <c r="D301" s="116">
        <v>1600</v>
      </c>
      <c r="E301" s="116">
        <v>276</v>
      </c>
      <c r="F301" s="116">
        <v>2180</v>
      </c>
      <c r="G301" s="144" t="s">
        <v>100</v>
      </c>
      <c r="H301" s="122">
        <v>9.1999999999999993</v>
      </c>
      <c r="I301" s="116">
        <v>-56</v>
      </c>
      <c r="J301" s="10">
        <v>90</v>
      </c>
      <c r="K301" s="116">
        <v>90</v>
      </c>
      <c r="L301" s="116">
        <v>90</v>
      </c>
      <c r="M301" s="122">
        <v>25.8</v>
      </c>
      <c r="N301" s="122">
        <v>6.3</v>
      </c>
      <c r="O301" s="79">
        <v>1.28</v>
      </c>
      <c r="P301" s="116">
        <v>11</v>
      </c>
      <c r="Q301" s="122">
        <v>8.4</v>
      </c>
      <c r="R301" s="10">
        <v>0.08</v>
      </c>
      <c r="S301" s="79">
        <v>22.36</v>
      </c>
      <c r="T301" s="79">
        <v>0.88</v>
      </c>
      <c r="U301" s="79">
        <v>0.7</v>
      </c>
      <c r="V301" s="85">
        <f t="shared" si="30"/>
        <v>1645.9</v>
      </c>
      <c r="W301" s="85">
        <f t="shared" si="31"/>
        <v>1533.3012239999998</v>
      </c>
      <c r="X301" s="85">
        <f t="shared" si="32"/>
        <v>0.93158832492861032</v>
      </c>
      <c r="Y301" s="116">
        <v>3</v>
      </c>
      <c r="Z301" s="116">
        <v>4</v>
      </c>
      <c r="AA301" s="122">
        <v>6</v>
      </c>
      <c r="AB301" s="116">
        <v>21</v>
      </c>
      <c r="AC301" s="122">
        <v>6.2</v>
      </c>
      <c r="AD301" s="122">
        <v>5.9</v>
      </c>
      <c r="AE301" s="79">
        <v>0.12</v>
      </c>
      <c r="AF301" s="79">
        <v>0.14000000000000001</v>
      </c>
      <c r="AG301" s="85">
        <f>(O301+0.3*H301+2)*(F301/2/AK301)</f>
        <v>1645.9</v>
      </c>
      <c r="AH301" s="85">
        <f t="shared" si="33"/>
        <v>1821.4563327999999</v>
      </c>
      <c r="AI301" s="85">
        <f t="shared" si="34"/>
        <v>1.1066628183972294</v>
      </c>
      <c r="AJ301" s="116">
        <v>3</v>
      </c>
      <c r="AK301" s="116">
        <v>4</v>
      </c>
      <c r="AL301" s="122">
        <v>6.4</v>
      </c>
      <c r="AM301" s="116">
        <v>23</v>
      </c>
      <c r="AN301" s="122">
        <v>6.1</v>
      </c>
      <c r="AO301" s="122">
        <v>5.4</v>
      </c>
      <c r="AP301" s="79">
        <v>0.14000000000000001</v>
      </c>
      <c r="AQ301" s="79">
        <v>0.22</v>
      </c>
      <c r="AR301" s="132">
        <f>SUM(C301:E301)</f>
        <v>2187</v>
      </c>
      <c r="AS301" s="134">
        <f>C301/AR301</f>
        <v>0.14220393232738912</v>
      </c>
      <c r="AT301" s="134">
        <f>D301/AR301</f>
        <v>0.73159579332418834</v>
      </c>
      <c r="AU301" s="134">
        <f>E301/AR301</f>
        <v>0.12620027434842249</v>
      </c>
      <c r="AV301" s="151">
        <f>IF(AND(F301&lt;&gt;"",Z301&lt;&gt;""),AB301/(F301/2/Z301),"")</f>
        <v>7.7064220183486243E-2</v>
      </c>
      <c r="AW301" s="151">
        <f>IF(AND(F301&lt;&gt;"",AK301&lt;&gt;""),AM301/(F301/2/AK301),"")</f>
        <v>8.4403669724770647E-2</v>
      </c>
      <c r="AX301" s="41">
        <f>IF(AND(AQ301&lt;&gt;"",1-(AQ301/O301)&gt;0),1-(AQ301/O301),"")</f>
        <v>0.828125</v>
      </c>
      <c r="AY301" s="41">
        <f>IF(AND(AF301&lt;&gt;"",1-(AF301/O301)&gt;0),1-(AF301/O301),"")</f>
        <v>0.890625</v>
      </c>
      <c r="AZ301" s="136" t="str">
        <f>IF(Q301="","",IF(Q301&lt;2.5,"Alc. Bruta &lt; 2,5 mg/L",IF(Q301&lt;5,"2,5 ≤ Alc. Bruta &lt; 5,0 mg/L",IF(Q301&lt;7.5,"5,0 ≤ Alc. Bruta &lt; 7,5 mg/L",IF(Q301&lt;10,"7,5 ≤ Alc. Bruta &lt; 10,0 mg/L",IF(Q301&lt;15,"10,0 ≤ Alca. Bruta &lt; 15,0 mg/L","Alc. Bruta &gt; 15 mg/L"))))))</f>
        <v>7,5 ≤ Alc. Bruta &lt; 10,0 mg/L</v>
      </c>
      <c r="BA301" s="136" t="str">
        <f>IF(P301="","",IF(P301&lt;5,"Cor &lt;5 uC",IF(P301&lt;10,"5 ≤ Cor &lt; 10 uC",IF(P301&lt;15,"10 ≤ Cor &lt;15 uC",IF(P301&lt;30,"15 ≤ Cor &lt; 30 uC",IF(P301&lt;50,"30 ≤ Cor &lt; 50 uC","Cor &gt; 50 uC"))))))</f>
        <v>10 ≤ Cor &lt;15 uC</v>
      </c>
      <c r="BB301" s="137" t="str">
        <f>IF(O301="","",IF(O301&lt;2.5,"Turbidez &lt; 2,5 uT",IF(O301&lt;5,"2,5 ≤ Turb &lt; 5,0 uT",IF(O301&lt;7.5,"5,0 ≤ Turb &lt; 7,5 uT",IF(O301&lt;10,"7,5 ≤ Turb &lt; 10,0 uT",IF(O301&lt;15,"10,0 ≤ Turb &lt; 15,0 uT","Turb &gt; 15 uT"))))))</f>
        <v>Turbidez &lt; 2,5 uT</v>
      </c>
      <c r="BC301" s="138" t="str">
        <f>IF(AND(C301&gt;D301,D301&gt;E301),"TOR &gt; SM &gt; BNN",IF(AND(C301&gt;E301,E301&gt;D301),"TOR &gt; BNN &gt; SM",IF(AND(D301&gt;C301,C301&gt;E301),"SM &gt; TOR &gt; BNN",IF(AND(D301&gt;E301,E301&gt;C301),"SM &gt; BNN &gt; TOR",IF(AND(C301=D301,D301=E301),"TOR = SM = BNN","Comb. diferentes")))))</f>
        <v>SM &gt; TOR &gt; BNN</v>
      </c>
      <c r="BD301" s="137" t="str">
        <f>IF(OR(AE301="",AQ301="-"),"",IF(AE301&lt;=0.25,"Tipo 1 (≤0,25) uT",IF(AE301&lt;=0.5,"Tipo 2 (0,25-0,50) uT",IF(AE301&lt;=0.75,"Tipo 3 (0,50-0,75) uT","Tipo 4 (&gt;0,75) uT"))))</f>
        <v>Tipo 1 (≤0,25) uT</v>
      </c>
      <c r="BE301" s="137" t="str">
        <f t="shared" si="28"/>
        <v>Tipo 1 (≤0,25) uT</v>
      </c>
      <c r="BF301" s="137" t="str">
        <f>IF(OR(AF301="",AQ301="-"),"",IF(AF301&lt;=0.25,"Tipo 1 (≤0,25) uT",IF(AF301&lt;=0.5,"Tipo 2 (0,25-0,50) uT",IF(AF301&lt;=0.75,"Tipo 3 (0,50-0,75) uT","Tipo 4 (&gt;0,75) uT"))))</f>
        <v>Tipo 1 (≤0,25) uT</v>
      </c>
      <c r="BG301" s="137" t="str">
        <f t="shared" si="29"/>
        <v>Tipo 1 (≤0,25) uT</v>
      </c>
      <c r="BH301" s="137" t="str">
        <f>IF(OR(R301="",R301="-"),"",IF(R301&lt;=0.25,"Tipo 1 (≤0,25) uT",IF(R301&lt;=0.5,"Tipo 2 (0,25-0,50) uT",IF(R301&lt;=0.75,"Tipo 3 (0,50-0,75) uT","Tipo 4 (&gt;0,75) uT"))))</f>
        <v>Tipo 1 (≤0,25) uT</v>
      </c>
    </row>
    <row r="302" spans="1:60" x14ac:dyDescent="0.3">
      <c r="A302" s="74">
        <v>46292</v>
      </c>
      <c r="B302" s="139">
        <v>0.14583333333333334</v>
      </c>
      <c r="C302" s="116">
        <v>340</v>
      </c>
      <c r="D302" s="116">
        <v>1041</v>
      </c>
      <c r="E302" s="116">
        <v>301</v>
      </c>
      <c r="F302" s="116">
        <v>1708</v>
      </c>
      <c r="G302" s="144" t="s">
        <v>100</v>
      </c>
      <c r="H302" s="122">
        <v>9.1999999999999993</v>
      </c>
      <c r="I302" s="116">
        <v>-50</v>
      </c>
      <c r="J302" s="10">
        <v>90</v>
      </c>
      <c r="K302" s="116">
        <v>90</v>
      </c>
      <c r="L302" s="116">
        <v>90</v>
      </c>
      <c r="M302" s="122">
        <v>25.5</v>
      </c>
      <c r="N302" s="122">
        <v>6.3</v>
      </c>
      <c r="O302" s="79">
        <v>1.26</v>
      </c>
      <c r="P302" s="116">
        <v>10</v>
      </c>
      <c r="Q302" s="122">
        <v>7.3</v>
      </c>
      <c r="R302" s="10">
        <v>0.08</v>
      </c>
      <c r="S302" s="79">
        <v>22.36</v>
      </c>
      <c r="T302" s="79">
        <v>0.88</v>
      </c>
      <c r="U302" s="79">
        <v>0.7</v>
      </c>
      <c r="V302" s="85">
        <f t="shared" si="30"/>
        <v>1285.27</v>
      </c>
      <c r="W302" s="85">
        <f t="shared" si="31"/>
        <v>1533.3012239999998</v>
      </c>
      <c r="X302" s="85">
        <f t="shared" si="32"/>
        <v>1.1929798594847774</v>
      </c>
      <c r="Y302" s="116">
        <v>3</v>
      </c>
      <c r="Z302" s="116">
        <v>4</v>
      </c>
      <c r="AA302" s="122">
        <v>6</v>
      </c>
      <c r="AB302" s="116">
        <v>21</v>
      </c>
      <c r="AC302" s="122">
        <v>6.1</v>
      </c>
      <c r="AD302" s="122">
        <v>5.7</v>
      </c>
      <c r="AE302" s="79">
        <v>0.12</v>
      </c>
      <c r="AF302" s="79">
        <v>0.13</v>
      </c>
      <c r="AG302" s="85">
        <f>(O302+0.3*H302+2)*(F302/2/AK302)</f>
        <v>1285.27</v>
      </c>
      <c r="AH302" s="85">
        <f t="shared" si="33"/>
        <v>1785.9247275999996</v>
      </c>
      <c r="AI302" s="85">
        <f t="shared" si="34"/>
        <v>1.3895327266644359</v>
      </c>
      <c r="AJ302" s="116">
        <v>3</v>
      </c>
      <c r="AK302" s="116">
        <v>4</v>
      </c>
      <c r="AL302" s="122">
        <v>6.3</v>
      </c>
      <c r="AM302" s="116">
        <v>23</v>
      </c>
      <c r="AN302" s="122">
        <v>6.1</v>
      </c>
      <c r="AO302" s="122">
        <v>5.6</v>
      </c>
      <c r="AP302" s="79">
        <v>0.12</v>
      </c>
      <c r="AQ302" s="79">
        <v>0.23</v>
      </c>
      <c r="AR302" s="132">
        <f>SUM(C302:E302)</f>
        <v>1682</v>
      </c>
      <c r="AS302" s="134">
        <f>C302/AR302</f>
        <v>0.20214030915576695</v>
      </c>
      <c r="AT302" s="134">
        <f>D302/AR302</f>
        <v>0.61890606420927463</v>
      </c>
      <c r="AU302" s="134">
        <f>E302/AR302</f>
        <v>0.1789536266349584</v>
      </c>
      <c r="AV302" s="151">
        <f>IF(AND(F302&lt;&gt;"",Z302&lt;&gt;""),AB302/(F302/2/Z302),"")</f>
        <v>9.8360655737704916E-2</v>
      </c>
      <c r="AW302" s="151">
        <f>IF(AND(F302&lt;&gt;"",AK302&lt;&gt;""),AM302/(F302/2/AK302),"")</f>
        <v>0.10772833723653395</v>
      </c>
      <c r="AX302" s="41">
        <f>IF(AND(AQ302&lt;&gt;"",1-(AQ302/O302)&gt;0),1-(AQ302/O302),"")</f>
        <v>0.81746031746031744</v>
      </c>
      <c r="AY302" s="41">
        <f>IF(AND(AF302&lt;&gt;"",1-(AF302/O302)&gt;0),1-(AF302/O302),"")</f>
        <v>0.89682539682539686</v>
      </c>
      <c r="AZ302" s="136" t="str">
        <f>IF(Q302="","",IF(Q302&lt;2.5,"Alc. Bruta &lt; 2,5 mg/L",IF(Q302&lt;5,"2,5 ≤ Alc. Bruta &lt; 5,0 mg/L",IF(Q302&lt;7.5,"5,0 ≤ Alc. Bruta &lt; 7,5 mg/L",IF(Q302&lt;10,"7,5 ≤ Alc. Bruta &lt; 10,0 mg/L",IF(Q302&lt;15,"10,0 ≤ Alca. Bruta &lt; 15,0 mg/L","Alc. Bruta &gt; 15 mg/L"))))))</f>
        <v>5,0 ≤ Alc. Bruta &lt; 7,5 mg/L</v>
      </c>
      <c r="BA302" s="136" t="str">
        <f>IF(P302="","",IF(P302&lt;5,"Cor &lt;5 uC",IF(P302&lt;10,"5 ≤ Cor &lt; 10 uC",IF(P302&lt;15,"10 ≤ Cor &lt;15 uC",IF(P302&lt;30,"15 ≤ Cor &lt; 30 uC",IF(P302&lt;50,"30 ≤ Cor &lt; 50 uC","Cor &gt; 50 uC"))))))</f>
        <v>10 ≤ Cor &lt;15 uC</v>
      </c>
      <c r="BB302" s="137" t="str">
        <f>IF(O302="","",IF(O302&lt;2.5,"Turbidez &lt; 2,5 uT",IF(O302&lt;5,"2,5 ≤ Turb &lt; 5,0 uT",IF(O302&lt;7.5,"5,0 ≤ Turb &lt; 7,5 uT",IF(O302&lt;10,"7,5 ≤ Turb &lt; 10,0 uT",IF(O302&lt;15,"10,0 ≤ Turb &lt; 15,0 uT","Turb &gt; 15 uT"))))))</f>
        <v>Turbidez &lt; 2,5 uT</v>
      </c>
      <c r="BC302" s="138" t="str">
        <f>IF(AND(C302&gt;D302,D302&gt;E302),"TOR &gt; SM &gt; BNN",IF(AND(C302&gt;E302,E302&gt;D302),"TOR &gt; BNN &gt; SM",IF(AND(D302&gt;C302,C302&gt;E302),"SM &gt; TOR &gt; BNN",IF(AND(D302&gt;E302,E302&gt;C302),"SM &gt; BNN &gt; TOR",IF(AND(C302=D302,D302=E302),"TOR = SM = BNN","Comb. diferentes")))))</f>
        <v>SM &gt; TOR &gt; BNN</v>
      </c>
      <c r="BD302" s="137" t="str">
        <f>IF(OR(AE302="",AQ302="-"),"",IF(AE302&lt;=0.25,"Tipo 1 (≤0,25) uT",IF(AE302&lt;=0.5,"Tipo 2 (0,25-0,50) uT",IF(AE302&lt;=0.75,"Tipo 3 (0,50-0,75) uT","Tipo 4 (&gt;0,75) uT"))))</f>
        <v>Tipo 1 (≤0,25) uT</v>
      </c>
      <c r="BE302" s="137" t="str">
        <f t="shared" si="28"/>
        <v>Tipo 1 (≤0,25) uT</v>
      </c>
      <c r="BF302" s="137" t="str">
        <f>IF(OR(AF302="",AQ302="-"),"",IF(AF302&lt;=0.25,"Tipo 1 (≤0,25) uT",IF(AF302&lt;=0.5,"Tipo 2 (0,25-0,50) uT",IF(AF302&lt;=0.75,"Tipo 3 (0,50-0,75) uT","Tipo 4 (&gt;0,75) uT"))))</f>
        <v>Tipo 1 (≤0,25) uT</v>
      </c>
      <c r="BG302" s="137" t="str">
        <f t="shared" si="29"/>
        <v>Tipo 1 (≤0,25) uT</v>
      </c>
      <c r="BH302" s="137" t="str">
        <f>IF(OR(R302="",R302="-"),"",IF(R302&lt;=0.25,"Tipo 1 (≤0,25) uT",IF(R302&lt;=0.5,"Tipo 2 (0,25-0,50) uT",IF(R302&lt;=0.75,"Tipo 3 (0,50-0,75) uT","Tipo 4 (&gt;0,75) uT"))))</f>
        <v>Tipo 1 (≤0,25) uT</v>
      </c>
    </row>
    <row r="303" spans="1:60" ht="15" thickBot="1" x14ac:dyDescent="0.35">
      <c r="A303" s="75">
        <v>46292</v>
      </c>
      <c r="B303" s="140">
        <v>0.22916666666666666</v>
      </c>
      <c r="C303" s="117">
        <v>317</v>
      </c>
      <c r="D303" s="117">
        <v>1047</v>
      </c>
      <c r="E303" s="117">
        <v>301</v>
      </c>
      <c r="F303" s="117">
        <v>1698</v>
      </c>
      <c r="G303" s="145" t="s">
        <v>100</v>
      </c>
      <c r="H303" s="123">
        <v>9.1999999999999993</v>
      </c>
      <c r="I303" s="117">
        <v>-47</v>
      </c>
      <c r="J303" s="11">
        <v>90</v>
      </c>
      <c r="K303" s="117">
        <v>90</v>
      </c>
      <c r="L303" s="117">
        <v>90</v>
      </c>
      <c r="M303" s="123">
        <v>25</v>
      </c>
      <c r="N303" s="123">
        <v>6.4</v>
      </c>
      <c r="O303" s="80">
        <v>1.31</v>
      </c>
      <c r="P303" s="117">
        <v>11</v>
      </c>
      <c r="Q303" s="123">
        <v>8.6999999999999993</v>
      </c>
      <c r="R303" s="11">
        <v>0.08</v>
      </c>
      <c r="S303" s="79">
        <v>22.36</v>
      </c>
      <c r="T303" s="79">
        <v>0.88</v>
      </c>
      <c r="U303" s="79">
        <v>0.7</v>
      </c>
      <c r="V303" s="85">
        <f t="shared" si="30"/>
        <v>1288.3575000000001</v>
      </c>
      <c r="W303" s="85">
        <f t="shared" si="31"/>
        <v>1533.3012239999998</v>
      </c>
      <c r="X303" s="85">
        <f t="shared" si="32"/>
        <v>1.1901209283913818</v>
      </c>
      <c r="Y303" s="117">
        <v>3</v>
      </c>
      <c r="Z303" s="117">
        <v>4</v>
      </c>
      <c r="AA303" s="123">
        <v>6</v>
      </c>
      <c r="AB303" s="117">
        <v>21</v>
      </c>
      <c r="AC303" s="123">
        <v>6.2</v>
      </c>
      <c r="AD303" s="123">
        <v>6.6</v>
      </c>
      <c r="AE303" s="80">
        <v>0.13</v>
      </c>
      <c r="AF303" s="80">
        <v>0.17</v>
      </c>
      <c r="AG303" s="85">
        <f>(O303+0.3*H303+2)*(F303/2/AK303)</f>
        <v>1288.3575000000001</v>
      </c>
      <c r="AH303" s="85">
        <f t="shared" si="33"/>
        <v>1821.4563327999999</v>
      </c>
      <c r="AI303" s="85">
        <f t="shared" si="34"/>
        <v>1.4137817591778679</v>
      </c>
      <c r="AJ303" s="117">
        <v>3</v>
      </c>
      <c r="AK303" s="117">
        <v>4</v>
      </c>
      <c r="AL303" s="123">
        <v>6.4</v>
      </c>
      <c r="AM303" s="117">
        <v>23</v>
      </c>
      <c r="AN303" s="123">
        <v>6.2</v>
      </c>
      <c r="AO303" s="123">
        <v>6.5</v>
      </c>
      <c r="AP303" s="80">
        <v>0.15</v>
      </c>
      <c r="AQ303" s="80">
        <v>0.22</v>
      </c>
      <c r="AR303" s="132">
        <f>SUM(C303:E303)</f>
        <v>1665</v>
      </c>
      <c r="AS303" s="134">
        <f>C303/AR303</f>
        <v>0.19039039039039038</v>
      </c>
      <c r="AT303" s="134">
        <f>D303/AR303</f>
        <v>0.62882882882882885</v>
      </c>
      <c r="AU303" s="134">
        <f>E303/AR303</f>
        <v>0.18078078078078078</v>
      </c>
      <c r="AV303" s="151">
        <f>IF(AND(F303&lt;&gt;"",Z303&lt;&gt;""),AB303/(F303/2/Z303),"")</f>
        <v>9.8939929328621903E-2</v>
      </c>
      <c r="AW303" s="151">
        <f>IF(AND(F303&lt;&gt;"",AK303&lt;&gt;""),AM303/(F303/2/AK303),"")</f>
        <v>0.10836277974087162</v>
      </c>
      <c r="AX303" s="41">
        <f>IF(AND(AQ303&lt;&gt;"",1-(AQ303/O303)&gt;0),1-(AQ303/O303),"")</f>
        <v>0.83206106870229002</v>
      </c>
      <c r="AY303" s="41">
        <f>IF(AND(AF303&lt;&gt;"",1-(AF303/O303)&gt;0),1-(AF303/O303),"")</f>
        <v>0.87022900763358779</v>
      </c>
      <c r="AZ303" s="136" t="str">
        <f>IF(Q303="","",IF(Q303&lt;2.5,"Alc. Bruta &lt; 2,5 mg/L",IF(Q303&lt;5,"2,5 ≤ Alc. Bruta &lt; 5,0 mg/L",IF(Q303&lt;7.5,"5,0 ≤ Alc. Bruta &lt; 7,5 mg/L",IF(Q303&lt;10,"7,5 ≤ Alc. Bruta &lt; 10,0 mg/L",IF(Q303&lt;15,"10,0 ≤ Alca. Bruta &lt; 15,0 mg/L","Alc. Bruta &gt; 15 mg/L"))))))</f>
        <v>7,5 ≤ Alc. Bruta &lt; 10,0 mg/L</v>
      </c>
      <c r="BA303" s="136" t="str">
        <f>IF(P303="","",IF(P303&lt;5,"Cor &lt;5 uC",IF(P303&lt;10,"5 ≤ Cor &lt; 10 uC",IF(P303&lt;15,"10 ≤ Cor &lt;15 uC",IF(P303&lt;30,"15 ≤ Cor &lt; 30 uC",IF(P303&lt;50,"30 ≤ Cor &lt; 50 uC","Cor &gt; 50 uC"))))))</f>
        <v>10 ≤ Cor &lt;15 uC</v>
      </c>
      <c r="BB303" s="137" t="str">
        <f>IF(O303="","",IF(O303&lt;2.5,"Turbidez &lt; 2,5 uT",IF(O303&lt;5,"2,5 ≤ Turb &lt; 5,0 uT",IF(O303&lt;7.5,"5,0 ≤ Turb &lt; 7,5 uT",IF(O303&lt;10,"7,5 ≤ Turb &lt; 10,0 uT",IF(O303&lt;15,"10,0 ≤ Turb &lt; 15,0 uT","Turb &gt; 15 uT"))))))</f>
        <v>Turbidez &lt; 2,5 uT</v>
      </c>
      <c r="BC303" s="138" t="str">
        <f>IF(AND(C303&gt;D303,D303&gt;E303),"TOR &gt; SM &gt; BNN",IF(AND(C303&gt;E303,E303&gt;D303),"TOR &gt; BNN &gt; SM",IF(AND(D303&gt;C303,C303&gt;E303),"SM &gt; TOR &gt; BNN",IF(AND(D303&gt;E303,E303&gt;C303),"SM &gt; BNN &gt; TOR",IF(AND(C303=D303,D303=E303),"TOR = SM = BNN","Comb. diferentes")))))</f>
        <v>SM &gt; TOR &gt; BNN</v>
      </c>
      <c r="BD303" s="137" t="str">
        <f>IF(OR(AE303="",AQ303="-"),"",IF(AE303&lt;=0.25,"Tipo 1 (≤0,25) uT",IF(AE303&lt;=0.5,"Tipo 2 (0,25-0,50) uT",IF(AE303&lt;=0.75,"Tipo 3 (0,50-0,75) uT","Tipo 4 (&gt;0,75) uT"))))</f>
        <v>Tipo 1 (≤0,25) uT</v>
      </c>
      <c r="BE303" s="137" t="str">
        <f t="shared" si="28"/>
        <v>Tipo 1 (≤0,25) uT</v>
      </c>
      <c r="BF303" s="137" t="str">
        <f>IF(OR(AF303="",AQ303="-"),"",IF(AF303&lt;=0.25,"Tipo 1 (≤0,25) uT",IF(AF303&lt;=0.5,"Tipo 2 (0,25-0,50) uT",IF(AF303&lt;=0.75,"Tipo 3 (0,50-0,75) uT","Tipo 4 (&gt;0,75) uT"))))</f>
        <v>Tipo 1 (≤0,25) uT</v>
      </c>
      <c r="BG303" s="137" t="str">
        <f t="shared" si="29"/>
        <v>Tipo 1 (≤0,25) uT</v>
      </c>
      <c r="BH303" s="137" t="str">
        <f>IF(OR(R303="",R303="-"),"",IF(R303&lt;=0.25,"Tipo 1 (≤0,25) uT",IF(R303&lt;=0.5,"Tipo 2 (0,25-0,50) uT",IF(R303&lt;=0.75,"Tipo 3 (0,50-0,75) uT","Tipo 4 (&gt;0,75) uT"))))</f>
        <v>Tipo 1 (≤0,25) uT</v>
      </c>
    </row>
    <row r="304" spans="1:60" x14ac:dyDescent="0.3">
      <c r="A304" s="73">
        <v>46292</v>
      </c>
      <c r="B304" s="141">
        <v>0.3125</v>
      </c>
      <c r="C304" s="118">
        <v>290</v>
      </c>
      <c r="D304" s="118">
        <v>380</v>
      </c>
      <c r="E304" s="118">
        <v>500</v>
      </c>
      <c r="F304" s="118">
        <v>1000</v>
      </c>
      <c r="G304" s="146" t="s">
        <v>100</v>
      </c>
      <c r="H304" s="124">
        <v>9.1999999999999993</v>
      </c>
      <c r="I304" s="118">
        <v>-47</v>
      </c>
      <c r="J304" s="9">
        <v>90</v>
      </c>
      <c r="K304" s="118">
        <v>90</v>
      </c>
      <c r="L304" s="118">
        <v>90</v>
      </c>
      <c r="M304" s="124">
        <v>25.5</v>
      </c>
      <c r="N304" s="124">
        <v>6.5</v>
      </c>
      <c r="O304" s="81">
        <v>1.28</v>
      </c>
      <c r="P304" s="118">
        <v>10</v>
      </c>
      <c r="Q304" s="124">
        <v>7.3</v>
      </c>
      <c r="R304" s="9">
        <v>0.08</v>
      </c>
      <c r="S304" s="79">
        <v>22.36</v>
      </c>
      <c r="T304" s="79">
        <v>0.88</v>
      </c>
      <c r="U304" s="79">
        <v>0.7</v>
      </c>
      <c r="V304" s="85">
        <f t="shared" si="30"/>
        <v>1510</v>
      </c>
      <c r="W304" s="85">
        <f t="shared" si="31"/>
        <v>1453.2949080000001</v>
      </c>
      <c r="X304" s="85">
        <f t="shared" si="32"/>
        <v>0.96244695894039745</v>
      </c>
      <c r="Y304" s="118">
        <v>2</v>
      </c>
      <c r="Z304" s="118">
        <v>2</v>
      </c>
      <c r="AA304" s="124">
        <v>6.5</v>
      </c>
      <c r="AB304" s="118">
        <v>18</v>
      </c>
      <c r="AC304" s="124">
        <v>6.2</v>
      </c>
      <c r="AD304" s="124">
        <v>5</v>
      </c>
      <c r="AE304" s="81">
        <v>0.13</v>
      </c>
      <c r="AF304" s="81">
        <v>0.14000000000000001</v>
      </c>
      <c r="AG304" s="85">
        <f>(O304+0.3*H304+2)*(F304/2/AK304)</f>
        <v>1510</v>
      </c>
      <c r="AH304" s="85">
        <f t="shared" si="33"/>
        <v>1941.2225299999996</v>
      </c>
      <c r="AI304" s="85">
        <f t="shared" si="34"/>
        <v>1.2855778344370858</v>
      </c>
      <c r="AJ304" s="118">
        <v>2</v>
      </c>
      <c r="AK304" s="118">
        <v>2</v>
      </c>
      <c r="AL304" s="124">
        <v>6.3</v>
      </c>
      <c r="AM304" s="118">
        <v>25</v>
      </c>
      <c r="AN304" s="124">
        <v>6.2</v>
      </c>
      <c r="AO304" s="124">
        <v>5.4</v>
      </c>
      <c r="AP304" s="81">
        <v>0.11</v>
      </c>
      <c r="AQ304" s="81">
        <v>0.24</v>
      </c>
      <c r="AR304" s="132">
        <f>SUM(C304:E304)</f>
        <v>1170</v>
      </c>
      <c r="AS304" s="134">
        <f>C304/AR304</f>
        <v>0.24786324786324787</v>
      </c>
      <c r="AT304" s="134">
        <f>D304/AR304</f>
        <v>0.3247863247863248</v>
      </c>
      <c r="AU304" s="134">
        <f>E304/AR304</f>
        <v>0.42735042735042733</v>
      </c>
      <c r="AV304" s="151">
        <f>IF(AND(F304&lt;&gt;"",Z304&lt;&gt;""),AB304/(F304/2/Z304),"")</f>
        <v>7.1999999999999995E-2</v>
      </c>
      <c r="AW304" s="151">
        <f>IF(AND(F304&lt;&gt;"",AK304&lt;&gt;""),AM304/(F304/2/AK304),"")</f>
        <v>0.1</v>
      </c>
      <c r="AX304" s="41">
        <f>IF(AND(AQ304&lt;&gt;"",1-(AQ304/O304)&gt;0),1-(AQ304/O304),"")</f>
        <v>0.8125</v>
      </c>
      <c r="AY304" s="41">
        <f>IF(AND(AF304&lt;&gt;"",1-(AF304/O304)&gt;0),1-(AF304/O304),"")</f>
        <v>0.890625</v>
      </c>
      <c r="AZ304" s="136" t="str">
        <f>IF(Q304="","",IF(Q304&lt;2.5,"Alc. Bruta &lt; 2,5 mg/L",IF(Q304&lt;5,"2,5 ≤ Alc. Bruta &lt; 5,0 mg/L",IF(Q304&lt;7.5,"5,0 ≤ Alc. Bruta &lt; 7,5 mg/L",IF(Q304&lt;10,"7,5 ≤ Alc. Bruta &lt; 10,0 mg/L",IF(Q304&lt;15,"10,0 ≤ Alca. Bruta &lt; 15,0 mg/L","Alc. Bruta &gt; 15 mg/L"))))))</f>
        <v>5,0 ≤ Alc. Bruta &lt; 7,5 mg/L</v>
      </c>
      <c r="BA304" s="136" t="str">
        <f>IF(P304="","",IF(P304&lt;5,"Cor &lt;5 uC",IF(P304&lt;10,"5 ≤ Cor &lt; 10 uC",IF(P304&lt;15,"10 ≤ Cor &lt;15 uC",IF(P304&lt;30,"15 ≤ Cor &lt; 30 uC",IF(P304&lt;50,"30 ≤ Cor &lt; 50 uC","Cor &gt; 50 uC"))))))</f>
        <v>10 ≤ Cor &lt;15 uC</v>
      </c>
      <c r="BB304" s="137" t="str">
        <f>IF(O304="","",IF(O304&lt;2.5,"Turbidez &lt; 2,5 uT",IF(O304&lt;5,"2,5 ≤ Turb &lt; 5,0 uT",IF(O304&lt;7.5,"5,0 ≤ Turb &lt; 7,5 uT",IF(O304&lt;10,"7,5 ≤ Turb &lt; 10,0 uT",IF(O304&lt;15,"10,0 ≤ Turb &lt; 15,0 uT","Turb &gt; 15 uT"))))))</f>
        <v>Turbidez &lt; 2,5 uT</v>
      </c>
      <c r="BC304" s="138" t="str">
        <f>IF(AND(C304&gt;D304,D304&gt;E304),"TOR &gt; SM &gt; BNN",IF(AND(C304&gt;E304,E304&gt;D304),"TOR &gt; BNN &gt; SM",IF(AND(D304&gt;C304,C304&gt;E304),"SM &gt; TOR &gt; BNN",IF(AND(D304&gt;E304,E304&gt;C304),"SM &gt; BNN &gt; TOR",IF(AND(C304=D304,D304=E304),"TOR = SM = BNN","Comb. diferentes")))))</f>
        <v>Comb. diferentes</v>
      </c>
      <c r="BD304" s="137" t="str">
        <f>IF(OR(AE304="",AQ304="-"),"",IF(AE304&lt;=0.25,"Tipo 1 (≤0,25) uT",IF(AE304&lt;=0.5,"Tipo 2 (0,25-0,50) uT",IF(AE304&lt;=0.75,"Tipo 3 (0,50-0,75) uT","Tipo 4 (&gt;0,75) uT"))))</f>
        <v>Tipo 1 (≤0,25) uT</v>
      </c>
      <c r="BE304" s="137" t="str">
        <f t="shared" si="28"/>
        <v>Tipo 1 (≤0,25) uT</v>
      </c>
      <c r="BF304" s="137" t="str">
        <f>IF(OR(AF304="",AQ304="-"),"",IF(AF304&lt;=0.25,"Tipo 1 (≤0,25) uT",IF(AF304&lt;=0.5,"Tipo 2 (0,25-0,50) uT",IF(AF304&lt;=0.75,"Tipo 3 (0,50-0,75) uT","Tipo 4 (&gt;0,75) uT"))))</f>
        <v>Tipo 1 (≤0,25) uT</v>
      </c>
      <c r="BG304" s="137" t="str">
        <f t="shared" si="29"/>
        <v>Tipo 1 (≤0,25) uT</v>
      </c>
      <c r="BH304" s="137" t="str">
        <f>IF(OR(R304="",R304="-"),"",IF(R304&lt;=0.25,"Tipo 1 (≤0,25) uT",IF(R304&lt;=0.5,"Tipo 2 (0,25-0,50) uT",IF(R304&lt;=0.75,"Tipo 3 (0,50-0,75) uT","Tipo 4 (&gt;0,75) uT"))))</f>
        <v>Tipo 1 (≤0,25) uT</v>
      </c>
    </row>
    <row r="305" spans="1:60" x14ac:dyDescent="0.3">
      <c r="A305" s="74">
        <v>46292</v>
      </c>
      <c r="B305" s="139">
        <v>0.39583333333333331</v>
      </c>
      <c r="C305" s="116">
        <v>292</v>
      </c>
      <c r="D305" s="116">
        <v>400</v>
      </c>
      <c r="E305" s="116">
        <v>300</v>
      </c>
      <c r="F305" s="116">
        <v>980</v>
      </c>
      <c r="G305" s="144" t="s">
        <v>100</v>
      </c>
      <c r="H305" s="122">
        <v>9.1999999999999993</v>
      </c>
      <c r="I305" s="116">
        <v>-39</v>
      </c>
      <c r="J305" s="10">
        <v>90</v>
      </c>
      <c r="K305" s="116">
        <v>90</v>
      </c>
      <c r="L305" s="116">
        <v>90</v>
      </c>
      <c r="M305" s="122">
        <v>25.8</v>
      </c>
      <c r="N305" s="122">
        <v>6.4</v>
      </c>
      <c r="O305" s="79">
        <v>1.34</v>
      </c>
      <c r="P305" s="116">
        <v>10</v>
      </c>
      <c r="Q305" s="122">
        <v>8.8000000000000007</v>
      </c>
      <c r="R305" s="10">
        <v>0.08</v>
      </c>
      <c r="S305" s="79">
        <v>22.36</v>
      </c>
      <c r="T305" s="79">
        <v>0.88</v>
      </c>
      <c r="U305" s="79">
        <v>0.7</v>
      </c>
      <c r="V305" s="85">
        <f t="shared" si="30"/>
        <v>1494.5</v>
      </c>
      <c r="W305" s="85">
        <f t="shared" si="31"/>
        <v>1453.2949080000001</v>
      </c>
      <c r="X305" s="85">
        <f t="shared" si="32"/>
        <v>0.97242884442957511</v>
      </c>
      <c r="Y305" s="116">
        <v>2</v>
      </c>
      <c r="Z305" s="116">
        <v>2</v>
      </c>
      <c r="AA305" s="122">
        <v>6.5</v>
      </c>
      <c r="AB305" s="116">
        <v>18</v>
      </c>
      <c r="AC305" s="122">
        <v>6.2</v>
      </c>
      <c r="AD305" s="122">
        <v>7.5</v>
      </c>
      <c r="AE305" s="79">
        <v>0.15</v>
      </c>
      <c r="AF305" s="79">
        <v>0.14000000000000001</v>
      </c>
      <c r="AG305" s="85">
        <f>(O305+0.3*H305+2)*(F305/2/AK305)</f>
        <v>1494.5</v>
      </c>
      <c r="AH305" s="85">
        <f t="shared" si="33"/>
        <v>1941.2225299999996</v>
      </c>
      <c r="AI305" s="85">
        <f t="shared" si="34"/>
        <v>1.298911027099364</v>
      </c>
      <c r="AJ305" s="116">
        <v>2</v>
      </c>
      <c r="AK305" s="116">
        <v>2</v>
      </c>
      <c r="AL305" s="122">
        <v>6.3</v>
      </c>
      <c r="AM305" s="116">
        <v>25</v>
      </c>
      <c r="AN305" s="122">
        <v>6.2</v>
      </c>
      <c r="AO305" s="122">
        <v>8.1</v>
      </c>
      <c r="AP305" s="79">
        <v>7.0000000000000007E-2</v>
      </c>
      <c r="AQ305" s="79">
        <v>0.17</v>
      </c>
      <c r="AR305" s="132">
        <f>SUM(C305:E305)</f>
        <v>992</v>
      </c>
      <c r="AS305" s="134">
        <f>C305/AR305</f>
        <v>0.29435483870967744</v>
      </c>
      <c r="AT305" s="134">
        <f>D305/AR305</f>
        <v>0.40322580645161288</v>
      </c>
      <c r="AU305" s="134">
        <f>E305/AR305</f>
        <v>0.30241935483870969</v>
      </c>
      <c r="AV305" s="151">
        <f>IF(AND(F305&lt;&gt;"",Z305&lt;&gt;""),AB305/(F305/2/Z305),"")</f>
        <v>7.3469387755102047E-2</v>
      </c>
      <c r="AW305" s="151">
        <f>IF(AND(F305&lt;&gt;"",AK305&lt;&gt;""),AM305/(F305/2/AK305),"")</f>
        <v>0.10204081632653061</v>
      </c>
      <c r="AX305" s="41">
        <f>IF(AND(AQ305&lt;&gt;"",1-(AQ305/O305)&gt;0),1-(AQ305/O305),"")</f>
        <v>0.87313432835820892</v>
      </c>
      <c r="AY305" s="41">
        <f>IF(AND(AF305&lt;&gt;"",1-(AF305/O305)&gt;0),1-(AF305/O305),"")</f>
        <v>0.89552238805970152</v>
      </c>
      <c r="AZ305" s="136" t="str">
        <f>IF(Q305="","",IF(Q305&lt;2.5,"Alc. Bruta &lt; 2,5 mg/L",IF(Q305&lt;5,"2,5 ≤ Alc. Bruta &lt; 5,0 mg/L",IF(Q305&lt;7.5,"5,0 ≤ Alc. Bruta &lt; 7,5 mg/L",IF(Q305&lt;10,"7,5 ≤ Alc. Bruta &lt; 10,0 mg/L",IF(Q305&lt;15,"10,0 ≤ Alca. Bruta &lt; 15,0 mg/L","Alc. Bruta &gt; 15 mg/L"))))))</f>
        <v>7,5 ≤ Alc. Bruta &lt; 10,0 mg/L</v>
      </c>
      <c r="BA305" s="136" t="str">
        <f>IF(P305="","",IF(P305&lt;5,"Cor &lt;5 uC",IF(P305&lt;10,"5 ≤ Cor &lt; 10 uC",IF(P305&lt;15,"10 ≤ Cor &lt;15 uC",IF(P305&lt;30,"15 ≤ Cor &lt; 30 uC",IF(P305&lt;50,"30 ≤ Cor &lt; 50 uC","Cor &gt; 50 uC"))))))</f>
        <v>10 ≤ Cor &lt;15 uC</v>
      </c>
      <c r="BB305" s="137" t="str">
        <f>IF(O305="","",IF(O305&lt;2.5,"Turbidez &lt; 2,5 uT",IF(O305&lt;5,"2,5 ≤ Turb &lt; 5,0 uT",IF(O305&lt;7.5,"5,0 ≤ Turb &lt; 7,5 uT",IF(O305&lt;10,"7,5 ≤ Turb &lt; 10,0 uT",IF(O305&lt;15,"10,0 ≤ Turb &lt; 15,0 uT","Turb &gt; 15 uT"))))))</f>
        <v>Turbidez &lt; 2,5 uT</v>
      </c>
      <c r="BC305" s="138" t="str">
        <f>IF(AND(C305&gt;D305,D305&gt;E305),"TOR &gt; SM &gt; BNN",IF(AND(C305&gt;E305,E305&gt;D305),"TOR &gt; BNN &gt; SM",IF(AND(D305&gt;C305,C305&gt;E305),"SM &gt; TOR &gt; BNN",IF(AND(D305&gt;E305,E305&gt;C305),"SM &gt; BNN &gt; TOR",IF(AND(C305=D305,D305=E305),"TOR = SM = BNN","Comb. diferentes")))))</f>
        <v>SM &gt; BNN &gt; TOR</v>
      </c>
      <c r="BD305" s="137" t="str">
        <f>IF(OR(AE305="",AQ305="-"),"",IF(AE305&lt;=0.25,"Tipo 1 (≤0,25) uT",IF(AE305&lt;=0.5,"Tipo 2 (0,25-0,50) uT",IF(AE305&lt;=0.75,"Tipo 3 (0,50-0,75) uT","Tipo 4 (&gt;0,75) uT"))))</f>
        <v>Tipo 1 (≤0,25) uT</v>
      </c>
      <c r="BE305" s="137" t="str">
        <f t="shared" si="28"/>
        <v>Tipo 1 (≤0,25) uT</v>
      </c>
      <c r="BF305" s="137" t="str">
        <f>IF(OR(AF305="",AQ305="-"),"",IF(AF305&lt;=0.25,"Tipo 1 (≤0,25) uT",IF(AF305&lt;=0.5,"Tipo 2 (0,25-0,50) uT",IF(AF305&lt;=0.75,"Tipo 3 (0,50-0,75) uT","Tipo 4 (&gt;0,75) uT"))))</f>
        <v>Tipo 1 (≤0,25) uT</v>
      </c>
      <c r="BG305" s="137" t="str">
        <f t="shared" si="29"/>
        <v>Tipo 1 (≤0,25) uT</v>
      </c>
      <c r="BH305" s="137" t="str">
        <f>IF(OR(R305="",R305="-"),"",IF(R305&lt;=0.25,"Tipo 1 (≤0,25) uT",IF(R305&lt;=0.5,"Tipo 2 (0,25-0,50) uT",IF(R305&lt;=0.75,"Tipo 3 (0,50-0,75) uT","Tipo 4 (&gt;0,75) uT"))))</f>
        <v>Tipo 1 (≤0,25) uT</v>
      </c>
    </row>
    <row r="306" spans="1:60" x14ac:dyDescent="0.3">
      <c r="A306" s="74">
        <v>46292</v>
      </c>
      <c r="B306" s="139">
        <v>0.47916666666666669</v>
      </c>
      <c r="C306" s="116">
        <v>350</v>
      </c>
      <c r="D306" s="116">
        <v>280</v>
      </c>
      <c r="E306" s="116">
        <v>300</v>
      </c>
      <c r="F306" s="116">
        <v>950</v>
      </c>
      <c r="G306" s="144" t="s">
        <v>100</v>
      </c>
      <c r="H306" s="122">
        <v>9.1999999999999993</v>
      </c>
      <c r="I306" s="116">
        <v>-28</v>
      </c>
      <c r="J306" s="10">
        <v>90</v>
      </c>
      <c r="K306" s="116">
        <v>90</v>
      </c>
      <c r="L306" s="116">
        <v>90</v>
      </c>
      <c r="M306" s="122">
        <v>26.8</v>
      </c>
      <c r="N306" s="122">
        <v>6.5</v>
      </c>
      <c r="O306" s="79">
        <v>1.25</v>
      </c>
      <c r="P306" s="116">
        <v>10</v>
      </c>
      <c r="Q306" s="122">
        <v>9.5</v>
      </c>
      <c r="R306" s="10">
        <v>0.08</v>
      </c>
      <c r="S306" s="79">
        <v>22.36</v>
      </c>
      <c r="T306" s="79">
        <v>0.88</v>
      </c>
      <c r="U306" s="79">
        <v>0.7</v>
      </c>
      <c r="V306" s="85">
        <f t="shared" si="30"/>
        <v>1427.375</v>
      </c>
      <c r="W306" s="85">
        <f t="shared" si="31"/>
        <v>1453.2949080000001</v>
      </c>
      <c r="X306" s="85">
        <f t="shared" si="32"/>
        <v>1.018159143883002</v>
      </c>
      <c r="Y306" s="116">
        <v>2</v>
      </c>
      <c r="Z306" s="116">
        <v>2</v>
      </c>
      <c r="AA306" s="122">
        <v>6.5</v>
      </c>
      <c r="AB306" s="116">
        <v>18</v>
      </c>
      <c r="AC306" s="122">
        <v>6.4</v>
      </c>
      <c r="AD306" s="122">
        <v>7.1</v>
      </c>
      <c r="AE306" s="79">
        <v>0.12</v>
      </c>
      <c r="AF306" s="79">
        <v>0.13</v>
      </c>
      <c r="AG306" s="85">
        <f>(O306+0.3*H306+2)*(F306/2/AK306)</f>
        <v>1427.375</v>
      </c>
      <c r="AH306" s="85">
        <f t="shared" si="33"/>
        <v>1941.2225299999996</v>
      </c>
      <c r="AI306" s="85">
        <f t="shared" si="34"/>
        <v>1.3599947666170416</v>
      </c>
      <c r="AJ306" s="116">
        <v>2</v>
      </c>
      <c r="AK306" s="116">
        <v>2</v>
      </c>
      <c r="AL306" s="122">
        <v>6.3</v>
      </c>
      <c r="AM306" s="116">
        <v>25</v>
      </c>
      <c r="AN306" s="122">
        <v>6.4</v>
      </c>
      <c r="AO306" s="122">
        <v>7.1</v>
      </c>
      <c r="AP306" s="79">
        <v>0.09</v>
      </c>
      <c r="AQ306" s="79">
        <v>0.12</v>
      </c>
      <c r="AR306" s="132">
        <f>SUM(C306:E306)</f>
        <v>930</v>
      </c>
      <c r="AS306" s="134">
        <f>C306/AR306</f>
        <v>0.37634408602150538</v>
      </c>
      <c r="AT306" s="134">
        <f>D306/AR306</f>
        <v>0.30107526881720431</v>
      </c>
      <c r="AU306" s="134">
        <f>E306/AR306</f>
        <v>0.32258064516129031</v>
      </c>
      <c r="AV306" s="151">
        <f>IF(AND(F306&lt;&gt;"",Z306&lt;&gt;""),AB306/(F306/2/Z306),"")</f>
        <v>7.5789473684210532E-2</v>
      </c>
      <c r="AW306" s="151">
        <f>IF(AND(F306&lt;&gt;"",AK306&lt;&gt;""),AM306/(F306/2/AK306),"")</f>
        <v>0.10526315789473684</v>
      </c>
      <c r="AX306" s="41">
        <f>IF(AND(AQ306&lt;&gt;"",1-(AQ306/O306)&gt;0),1-(AQ306/O306),"")</f>
        <v>0.90400000000000003</v>
      </c>
      <c r="AY306" s="41">
        <f>IF(AND(AF306&lt;&gt;"",1-(AF306/O306)&gt;0),1-(AF306/O306),"")</f>
        <v>0.89600000000000002</v>
      </c>
      <c r="AZ306" s="136" t="str">
        <f>IF(Q306="","",IF(Q306&lt;2.5,"Alc. Bruta &lt; 2,5 mg/L",IF(Q306&lt;5,"2,5 ≤ Alc. Bruta &lt; 5,0 mg/L",IF(Q306&lt;7.5,"5,0 ≤ Alc. Bruta &lt; 7,5 mg/L",IF(Q306&lt;10,"7,5 ≤ Alc. Bruta &lt; 10,0 mg/L",IF(Q306&lt;15,"10,0 ≤ Alca. Bruta &lt; 15,0 mg/L","Alc. Bruta &gt; 15 mg/L"))))))</f>
        <v>7,5 ≤ Alc. Bruta &lt; 10,0 mg/L</v>
      </c>
      <c r="BA306" s="136" t="str">
        <f>IF(P306="","",IF(P306&lt;5,"Cor &lt;5 uC",IF(P306&lt;10,"5 ≤ Cor &lt; 10 uC",IF(P306&lt;15,"10 ≤ Cor &lt;15 uC",IF(P306&lt;30,"15 ≤ Cor &lt; 30 uC",IF(P306&lt;50,"30 ≤ Cor &lt; 50 uC","Cor &gt; 50 uC"))))))</f>
        <v>10 ≤ Cor &lt;15 uC</v>
      </c>
      <c r="BB306" s="137" t="str">
        <f>IF(O306="","",IF(O306&lt;2.5,"Turbidez &lt; 2,5 uT",IF(O306&lt;5,"2,5 ≤ Turb &lt; 5,0 uT",IF(O306&lt;7.5,"5,0 ≤ Turb &lt; 7,5 uT",IF(O306&lt;10,"7,5 ≤ Turb &lt; 10,0 uT",IF(O306&lt;15,"10,0 ≤ Turb &lt; 15,0 uT","Turb &gt; 15 uT"))))))</f>
        <v>Turbidez &lt; 2,5 uT</v>
      </c>
      <c r="BC306" s="138" t="str">
        <f>IF(AND(C306&gt;D306,D306&gt;E306),"TOR &gt; SM &gt; BNN",IF(AND(C306&gt;E306,E306&gt;D306),"TOR &gt; BNN &gt; SM",IF(AND(D306&gt;C306,C306&gt;E306),"SM &gt; TOR &gt; BNN",IF(AND(D306&gt;E306,E306&gt;C306),"SM &gt; BNN &gt; TOR",IF(AND(C306=D306,D306=E306),"TOR = SM = BNN","Comb. diferentes")))))</f>
        <v>TOR &gt; BNN &gt; SM</v>
      </c>
      <c r="BD306" s="137" t="str">
        <f>IF(OR(AE306="",AQ306="-"),"",IF(AE306&lt;=0.25,"Tipo 1 (≤0,25) uT",IF(AE306&lt;=0.5,"Tipo 2 (0,25-0,50) uT",IF(AE306&lt;=0.75,"Tipo 3 (0,50-0,75) uT","Tipo 4 (&gt;0,75) uT"))))</f>
        <v>Tipo 1 (≤0,25) uT</v>
      </c>
      <c r="BE306" s="137" t="str">
        <f t="shared" si="28"/>
        <v>Tipo 1 (≤0,25) uT</v>
      </c>
      <c r="BF306" s="137" t="str">
        <f>IF(OR(AF306="",AQ306="-"),"",IF(AF306&lt;=0.25,"Tipo 1 (≤0,25) uT",IF(AF306&lt;=0.5,"Tipo 2 (0,25-0,50) uT",IF(AF306&lt;=0.75,"Tipo 3 (0,50-0,75) uT","Tipo 4 (&gt;0,75) uT"))))</f>
        <v>Tipo 1 (≤0,25) uT</v>
      </c>
      <c r="BG306" s="137" t="str">
        <f t="shared" si="29"/>
        <v>Tipo 1 (≤0,25) uT</v>
      </c>
      <c r="BH306" s="137" t="str">
        <f>IF(OR(R306="",R306="-"),"",IF(R306&lt;=0.25,"Tipo 1 (≤0,25) uT",IF(R306&lt;=0.5,"Tipo 2 (0,25-0,50) uT",IF(R306&lt;=0.75,"Tipo 3 (0,50-0,75) uT","Tipo 4 (&gt;0,75) uT"))))</f>
        <v>Tipo 1 (≤0,25) uT</v>
      </c>
    </row>
    <row r="307" spans="1:60" x14ac:dyDescent="0.3">
      <c r="A307" s="74">
        <v>46292</v>
      </c>
      <c r="B307" s="139">
        <v>0.64583333333333337</v>
      </c>
      <c r="C307" s="116">
        <v>330</v>
      </c>
      <c r="D307" s="116">
        <v>1180</v>
      </c>
      <c r="E307" s="116">
        <v>300</v>
      </c>
      <c r="F307" s="116">
        <v>1780</v>
      </c>
      <c r="G307" s="144" t="s">
        <v>100</v>
      </c>
      <c r="H307" s="122">
        <v>9.1999999999999993</v>
      </c>
      <c r="I307" s="116">
        <v>-15</v>
      </c>
      <c r="J307" s="10">
        <v>90</v>
      </c>
      <c r="K307" s="116">
        <v>90</v>
      </c>
      <c r="L307" s="116">
        <v>90</v>
      </c>
      <c r="M307" s="122">
        <v>28.3</v>
      </c>
      <c r="N307" s="122">
        <v>6.4</v>
      </c>
      <c r="O307" s="79">
        <v>1.24</v>
      </c>
      <c r="P307" s="116">
        <v>9</v>
      </c>
      <c r="Q307" s="122">
        <v>7.2</v>
      </c>
      <c r="R307" s="10">
        <v>0.06</v>
      </c>
      <c r="S307" s="79">
        <v>22.36</v>
      </c>
      <c r="T307" s="79">
        <v>0.88</v>
      </c>
      <c r="U307" s="79">
        <v>0.7</v>
      </c>
      <c r="V307" s="85">
        <f t="shared" si="30"/>
        <v>1335</v>
      </c>
      <c r="W307" s="85">
        <f t="shared" si="31"/>
        <v>1565.7431243999997</v>
      </c>
      <c r="X307" s="85">
        <f t="shared" si="32"/>
        <v>1.172841291685393</v>
      </c>
      <c r="Y307" s="116">
        <v>2</v>
      </c>
      <c r="Z307" s="116">
        <v>4</v>
      </c>
      <c r="AA307" s="122">
        <v>6.1</v>
      </c>
      <c r="AB307" s="116">
        <v>21</v>
      </c>
      <c r="AC307" s="122">
        <v>6.1</v>
      </c>
      <c r="AD307" s="122">
        <v>5.0999999999999996</v>
      </c>
      <c r="AE307" s="79">
        <v>0.1</v>
      </c>
      <c r="AF307" s="79">
        <v>0.17</v>
      </c>
      <c r="AG307" s="85">
        <f>(O307+0.3*H307+2)*(F307/2/AK307)</f>
        <v>1780</v>
      </c>
      <c r="AH307" s="85">
        <f t="shared" si="33"/>
        <v>1742.2625791999999</v>
      </c>
      <c r="AI307" s="85">
        <f t="shared" si="34"/>
        <v>0.9787992017977527</v>
      </c>
      <c r="AJ307" s="116">
        <v>2</v>
      </c>
      <c r="AK307" s="116">
        <v>3</v>
      </c>
      <c r="AL307" s="122">
        <v>6.4</v>
      </c>
      <c r="AM307" s="116">
        <v>22</v>
      </c>
      <c r="AN307" s="122">
        <v>6.1</v>
      </c>
      <c r="AO307" s="122">
        <v>5.5</v>
      </c>
      <c r="AP307" s="79">
        <v>0.13</v>
      </c>
      <c r="AQ307" s="79">
        <v>0.18</v>
      </c>
      <c r="AR307" s="132">
        <f>SUM(C307:E307)</f>
        <v>1810</v>
      </c>
      <c r="AS307" s="134">
        <f>C307/AR307</f>
        <v>0.18232044198895028</v>
      </c>
      <c r="AT307" s="134">
        <f>D307/AR307</f>
        <v>0.65193370165745856</v>
      </c>
      <c r="AU307" s="134">
        <f>E307/AR307</f>
        <v>0.16574585635359115</v>
      </c>
      <c r="AV307" s="151">
        <f>IF(AND(F307&lt;&gt;"",Z307&lt;&gt;""),AB307/(F307/2/Z307),"")</f>
        <v>9.4382022471910118E-2</v>
      </c>
      <c r="AW307" s="151">
        <f>IF(AND(F307&lt;&gt;"",AK307&lt;&gt;""),AM307/(F307/2/AK307),"")</f>
        <v>7.4157303370786506E-2</v>
      </c>
      <c r="AX307" s="41">
        <f>IF(AND(AQ307&lt;&gt;"",1-(AQ307/O307)&gt;0),1-(AQ307/O307),"")</f>
        <v>0.85483870967741937</v>
      </c>
      <c r="AY307" s="41">
        <f>IF(AND(AF307&lt;&gt;"",1-(AF307/O307)&gt;0),1-(AF307/O307),"")</f>
        <v>0.86290322580645162</v>
      </c>
      <c r="AZ307" s="136" t="str">
        <f>IF(Q307="","",IF(Q307&lt;2.5,"Alc. Bruta &lt; 2,5 mg/L",IF(Q307&lt;5,"2,5 ≤ Alc. Bruta &lt; 5,0 mg/L",IF(Q307&lt;7.5,"5,0 ≤ Alc. Bruta &lt; 7,5 mg/L",IF(Q307&lt;10,"7,5 ≤ Alc. Bruta &lt; 10,0 mg/L",IF(Q307&lt;15,"10,0 ≤ Alca. Bruta &lt; 15,0 mg/L","Alc. Bruta &gt; 15 mg/L"))))))</f>
        <v>5,0 ≤ Alc. Bruta &lt; 7,5 mg/L</v>
      </c>
      <c r="BA307" s="136" t="str">
        <f>IF(P307="","",IF(P307&lt;5,"Cor &lt;5 uC",IF(P307&lt;10,"5 ≤ Cor &lt; 10 uC",IF(P307&lt;15,"10 ≤ Cor &lt;15 uC",IF(P307&lt;30,"15 ≤ Cor &lt; 30 uC",IF(P307&lt;50,"30 ≤ Cor &lt; 50 uC","Cor &gt; 50 uC"))))))</f>
        <v>5 ≤ Cor &lt; 10 uC</v>
      </c>
      <c r="BB307" s="137" t="str">
        <f>IF(O307="","",IF(O307&lt;2.5,"Turbidez &lt; 2,5 uT",IF(O307&lt;5,"2,5 ≤ Turb &lt; 5,0 uT",IF(O307&lt;7.5,"5,0 ≤ Turb &lt; 7,5 uT",IF(O307&lt;10,"7,5 ≤ Turb &lt; 10,0 uT",IF(O307&lt;15,"10,0 ≤ Turb &lt; 15,0 uT","Turb &gt; 15 uT"))))))</f>
        <v>Turbidez &lt; 2,5 uT</v>
      </c>
      <c r="BC307" s="138" t="str">
        <f>IF(AND(C307&gt;D307,D307&gt;E307),"TOR &gt; SM &gt; BNN",IF(AND(C307&gt;E307,E307&gt;D307),"TOR &gt; BNN &gt; SM",IF(AND(D307&gt;C307,C307&gt;E307),"SM &gt; TOR &gt; BNN",IF(AND(D307&gt;E307,E307&gt;C307),"SM &gt; BNN &gt; TOR",IF(AND(C307=D307,D307=E307),"TOR = SM = BNN","Comb. diferentes")))))</f>
        <v>SM &gt; TOR &gt; BNN</v>
      </c>
      <c r="BD307" s="137" t="str">
        <f>IF(OR(AE307="",AQ307="-"),"",IF(AE307&lt;=0.25,"Tipo 1 (≤0,25) uT",IF(AE307&lt;=0.5,"Tipo 2 (0,25-0,50) uT",IF(AE307&lt;=0.75,"Tipo 3 (0,50-0,75) uT","Tipo 4 (&gt;0,75) uT"))))</f>
        <v>Tipo 1 (≤0,25) uT</v>
      </c>
      <c r="BE307" s="137" t="str">
        <f t="shared" si="28"/>
        <v>Tipo 1 (≤0,25) uT</v>
      </c>
      <c r="BF307" s="137" t="str">
        <f>IF(OR(AF307="",AQ307="-"),"",IF(AF307&lt;=0.25,"Tipo 1 (≤0,25) uT",IF(AF307&lt;=0.5,"Tipo 2 (0,25-0,50) uT",IF(AF307&lt;=0.75,"Tipo 3 (0,50-0,75) uT","Tipo 4 (&gt;0,75) uT"))))</f>
        <v>Tipo 1 (≤0,25) uT</v>
      </c>
      <c r="BG307" s="137" t="str">
        <f t="shared" si="29"/>
        <v>Tipo 1 (≤0,25) uT</v>
      </c>
      <c r="BH307" s="137" t="str">
        <f>IF(OR(R307="",R307="-"),"",IF(R307&lt;=0.25,"Tipo 1 (≤0,25) uT",IF(R307&lt;=0.5,"Tipo 2 (0,25-0,50) uT",IF(R307&lt;=0.75,"Tipo 3 (0,50-0,75) uT","Tipo 4 (&gt;0,75) uT"))))</f>
        <v>Tipo 1 (≤0,25) uT</v>
      </c>
    </row>
    <row r="308" spans="1:60" x14ac:dyDescent="0.3">
      <c r="A308" s="74">
        <v>46292</v>
      </c>
      <c r="B308" s="139">
        <v>0.72916666666666663</v>
      </c>
      <c r="C308" s="116">
        <v>314</v>
      </c>
      <c r="D308" s="116">
        <v>1172</v>
      </c>
      <c r="E308" s="116">
        <v>292</v>
      </c>
      <c r="F308" s="116">
        <v>1770</v>
      </c>
      <c r="G308" s="144" t="s">
        <v>100</v>
      </c>
      <c r="H308" s="122">
        <v>9.1999999999999993</v>
      </c>
      <c r="I308" s="116">
        <v>-5</v>
      </c>
      <c r="J308" s="10">
        <v>90</v>
      </c>
      <c r="K308" s="116">
        <v>90</v>
      </c>
      <c r="L308" s="116">
        <v>90</v>
      </c>
      <c r="M308" s="122">
        <v>27.7</v>
      </c>
      <c r="N308" s="122">
        <v>6.4</v>
      </c>
      <c r="O308" s="79">
        <v>1.48</v>
      </c>
      <c r="P308" s="116">
        <v>10</v>
      </c>
      <c r="Q308" s="122">
        <v>6.8</v>
      </c>
      <c r="R308" s="10">
        <v>0.08</v>
      </c>
      <c r="S308" s="79">
        <v>22.36</v>
      </c>
      <c r="T308" s="79">
        <v>0.88</v>
      </c>
      <c r="U308" s="79">
        <v>0.7</v>
      </c>
      <c r="V308" s="85">
        <f t="shared" si="30"/>
        <v>1380.6000000000001</v>
      </c>
      <c r="W308" s="85">
        <f t="shared" si="31"/>
        <v>1565.7431243999997</v>
      </c>
      <c r="X308" s="85">
        <f t="shared" si="32"/>
        <v>1.1341033785310732</v>
      </c>
      <c r="Y308" s="116">
        <v>2</v>
      </c>
      <c r="Z308" s="116">
        <v>4</v>
      </c>
      <c r="AA308" s="122">
        <v>6.1</v>
      </c>
      <c r="AB308" s="116">
        <v>21</v>
      </c>
      <c r="AC308" s="122">
        <v>6.2</v>
      </c>
      <c r="AD308" s="122">
        <v>5.5</v>
      </c>
      <c r="AE308" s="79">
        <v>0.11</v>
      </c>
      <c r="AF308" s="79">
        <v>0.15</v>
      </c>
      <c r="AG308" s="85">
        <f>(O308+0.3*H308+2)*(F308/2/AK308)</f>
        <v>1840.8</v>
      </c>
      <c r="AH308" s="85">
        <f t="shared" si="33"/>
        <v>1742.2625791999999</v>
      </c>
      <c r="AI308" s="85">
        <f t="shared" si="34"/>
        <v>0.94647032768361583</v>
      </c>
      <c r="AJ308" s="116">
        <v>2</v>
      </c>
      <c r="AK308" s="116">
        <v>3</v>
      </c>
      <c r="AL308" s="122">
        <v>6.4</v>
      </c>
      <c r="AM308" s="116">
        <v>22</v>
      </c>
      <c r="AN308" s="122">
        <v>6.2</v>
      </c>
      <c r="AO308" s="122">
        <v>5.7</v>
      </c>
      <c r="AP308" s="79">
        <v>0.09</v>
      </c>
      <c r="AQ308" s="79">
        <v>0.19</v>
      </c>
      <c r="AR308" s="132">
        <f>SUM(C308:E308)</f>
        <v>1778</v>
      </c>
      <c r="AS308" s="134">
        <f>C308/AR308</f>
        <v>0.1766029246344207</v>
      </c>
      <c r="AT308" s="134">
        <f>D308/AR308</f>
        <v>0.65916760404949382</v>
      </c>
      <c r="AU308" s="134">
        <f>E308/AR308</f>
        <v>0.16422947131608548</v>
      </c>
      <c r="AV308" s="151">
        <f>IF(AND(F308&lt;&gt;"",Z308&lt;&gt;""),AB308/(F308/2/Z308),"")</f>
        <v>9.4915254237288138E-2</v>
      </c>
      <c r="AW308" s="151">
        <f>IF(AND(F308&lt;&gt;"",AK308&lt;&gt;""),AM308/(F308/2/AK308),"")</f>
        <v>7.4576271186440682E-2</v>
      </c>
      <c r="AX308" s="41">
        <f>IF(AND(AQ308&lt;&gt;"",1-(AQ308/O308)&gt;0),1-(AQ308/O308),"")</f>
        <v>0.8716216216216216</v>
      </c>
      <c r="AY308" s="41">
        <f>IF(AND(AF308&lt;&gt;"",1-(AF308/O308)&gt;0),1-(AF308/O308),"")</f>
        <v>0.89864864864864868</v>
      </c>
      <c r="AZ308" s="136" t="str">
        <f>IF(Q308="","",IF(Q308&lt;2.5,"Alc. Bruta &lt; 2,5 mg/L",IF(Q308&lt;5,"2,5 ≤ Alc. Bruta &lt; 5,0 mg/L",IF(Q308&lt;7.5,"5,0 ≤ Alc. Bruta &lt; 7,5 mg/L",IF(Q308&lt;10,"7,5 ≤ Alc. Bruta &lt; 10,0 mg/L",IF(Q308&lt;15,"10,0 ≤ Alca. Bruta &lt; 15,0 mg/L","Alc. Bruta &gt; 15 mg/L"))))))</f>
        <v>5,0 ≤ Alc. Bruta &lt; 7,5 mg/L</v>
      </c>
      <c r="BA308" s="136" t="str">
        <f>IF(P308="","",IF(P308&lt;5,"Cor &lt;5 uC",IF(P308&lt;10,"5 ≤ Cor &lt; 10 uC",IF(P308&lt;15,"10 ≤ Cor &lt;15 uC",IF(P308&lt;30,"15 ≤ Cor &lt; 30 uC",IF(P308&lt;50,"30 ≤ Cor &lt; 50 uC","Cor &gt; 50 uC"))))))</f>
        <v>10 ≤ Cor &lt;15 uC</v>
      </c>
      <c r="BB308" s="137" t="str">
        <f>IF(O308="","",IF(O308&lt;2.5,"Turbidez &lt; 2,5 uT",IF(O308&lt;5,"2,5 ≤ Turb &lt; 5,0 uT",IF(O308&lt;7.5,"5,0 ≤ Turb &lt; 7,5 uT",IF(O308&lt;10,"7,5 ≤ Turb &lt; 10,0 uT",IF(O308&lt;15,"10,0 ≤ Turb &lt; 15,0 uT","Turb &gt; 15 uT"))))))</f>
        <v>Turbidez &lt; 2,5 uT</v>
      </c>
      <c r="BC308" s="138" t="str">
        <f>IF(AND(C308&gt;D308,D308&gt;E308),"TOR &gt; SM &gt; BNN",IF(AND(C308&gt;E308,E308&gt;D308),"TOR &gt; BNN &gt; SM",IF(AND(D308&gt;C308,C308&gt;E308),"SM &gt; TOR &gt; BNN",IF(AND(D308&gt;E308,E308&gt;C308),"SM &gt; BNN &gt; TOR",IF(AND(C308=D308,D308=E308),"TOR = SM = BNN","Comb. diferentes")))))</f>
        <v>SM &gt; TOR &gt; BNN</v>
      </c>
      <c r="BD308" s="137" t="str">
        <f>IF(OR(AE308="",AQ308="-"),"",IF(AE308&lt;=0.25,"Tipo 1 (≤0,25) uT",IF(AE308&lt;=0.5,"Tipo 2 (0,25-0,50) uT",IF(AE308&lt;=0.75,"Tipo 3 (0,50-0,75) uT","Tipo 4 (&gt;0,75) uT"))))</f>
        <v>Tipo 1 (≤0,25) uT</v>
      </c>
      <c r="BE308" s="137" t="str">
        <f t="shared" si="28"/>
        <v>Tipo 1 (≤0,25) uT</v>
      </c>
      <c r="BF308" s="137" t="str">
        <f>IF(OR(AF308="",AQ308="-"),"",IF(AF308&lt;=0.25,"Tipo 1 (≤0,25) uT",IF(AF308&lt;=0.5,"Tipo 2 (0,25-0,50) uT",IF(AF308&lt;=0.75,"Tipo 3 (0,50-0,75) uT","Tipo 4 (&gt;0,75) uT"))))</f>
        <v>Tipo 1 (≤0,25) uT</v>
      </c>
      <c r="BG308" s="137" t="str">
        <f t="shared" si="29"/>
        <v>Tipo 1 (≤0,25) uT</v>
      </c>
      <c r="BH308" s="137" t="str">
        <f>IF(OR(R308="",R308="-"),"",IF(R308&lt;=0.25,"Tipo 1 (≤0,25) uT",IF(R308&lt;=0.5,"Tipo 2 (0,25-0,50) uT",IF(R308&lt;=0.75,"Tipo 3 (0,50-0,75) uT","Tipo 4 (&gt;0,75) uT"))))</f>
        <v>Tipo 1 (≤0,25) uT</v>
      </c>
    </row>
    <row r="309" spans="1:60" x14ac:dyDescent="0.3">
      <c r="A309" s="74">
        <v>46292</v>
      </c>
      <c r="B309" s="139">
        <v>0.8125</v>
      </c>
      <c r="C309" s="116">
        <v>321</v>
      </c>
      <c r="D309" s="116">
        <v>1206</v>
      </c>
      <c r="E309" s="116">
        <v>290</v>
      </c>
      <c r="F309" s="116">
        <v>1800</v>
      </c>
      <c r="G309" s="144" t="s">
        <v>100</v>
      </c>
      <c r="H309" s="122">
        <v>9.1999999999999993</v>
      </c>
      <c r="I309" s="116">
        <v>0.87</v>
      </c>
      <c r="J309" s="10">
        <v>90</v>
      </c>
      <c r="K309" s="116">
        <v>90</v>
      </c>
      <c r="L309" s="116">
        <v>90</v>
      </c>
      <c r="M309" s="122">
        <v>27</v>
      </c>
      <c r="N309" s="122">
        <v>6.4</v>
      </c>
      <c r="O309" s="79">
        <v>1.17</v>
      </c>
      <c r="P309" s="116">
        <v>10</v>
      </c>
      <c r="Q309" s="122">
        <v>7.2</v>
      </c>
      <c r="R309" s="10">
        <v>0.08</v>
      </c>
      <c r="S309" s="79">
        <v>22.36</v>
      </c>
      <c r="T309" s="79">
        <v>0.88</v>
      </c>
      <c r="U309" s="79">
        <v>0.7</v>
      </c>
      <c r="V309" s="85">
        <f t="shared" si="30"/>
        <v>1334.25</v>
      </c>
      <c r="W309" s="85">
        <f t="shared" si="31"/>
        <v>1565.7431243999997</v>
      </c>
      <c r="X309" s="85">
        <f t="shared" si="32"/>
        <v>1.1735005616638559</v>
      </c>
      <c r="Y309" s="116">
        <v>2</v>
      </c>
      <c r="Z309" s="116">
        <v>4</v>
      </c>
      <c r="AA309" s="122">
        <v>6.1</v>
      </c>
      <c r="AB309" s="116">
        <v>21</v>
      </c>
      <c r="AC309" s="122">
        <v>6.1</v>
      </c>
      <c r="AD309" s="122">
        <v>5.6</v>
      </c>
      <c r="AE309" s="79">
        <v>0.1</v>
      </c>
      <c r="AF309" s="79">
        <v>0.14000000000000001</v>
      </c>
      <c r="AG309" s="85">
        <f>(O309+0.3*H309+2)*(F309/2/AK309)</f>
        <v>1779</v>
      </c>
      <c r="AH309" s="85">
        <f t="shared" si="33"/>
        <v>1742.2625791999999</v>
      </c>
      <c r="AI309" s="85">
        <f t="shared" si="34"/>
        <v>0.97934939808881383</v>
      </c>
      <c r="AJ309" s="116">
        <v>2</v>
      </c>
      <c r="AK309" s="116">
        <v>3</v>
      </c>
      <c r="AL309" s="122">
        <v>6.4</v>
      </c>
      <c r="AM309" s="116">
        <v>22</v>
      </c>
      <c r="AN309" s="122">
        <v>6.2</v>
      </c>
      <c r="AO309" s="122">
        <v>5.9</v>
      </c>
      <c r="AP309" s="79">
        <v>0.1</v>
      </c>
      <c r="AQ309" s="79">
        <v>0.17</v>
      </c>
      <c r="AR309" s="132">
        <f>SUM(C309:E309)</f>
        <v>1817</v>
      </c>
      <c r="AS309" s="134">
        <f>C309/AR309</f>
        <v>0.17666483214089157</v>
      </c>
      <c r="AT309" s="134">
        <f>D309/AR309</f>
        <v>0.66373142542652719</v>
      </c>
      <c r="AU309" s="134">
        <f>E309/AR309</f>
        <v>0.15960374243258119</v>
      </c>
      <c r="AV309" s="151">
        <f>IF(AND(F309&lt;&gt;"",Z309&lt;&gt;""),AB309/(F309/2/Z309),"")</f>
        <v>9.3333333333333338E-2</v>
      </c>
      <c r="AW309" s="151">
        <f>IF(AND(F309&lt;&gt;"",AK309&lt;&gt;""),AM309/(F309/2/AK309),"")</f>
        <v>7.3333333333333334E-2</v>
      </c>
      <c r="AX309" s="41">
        <f>IF(AND(AQ309&lt;&gt;"",1-(AQ309/O309)&gt;0),1-(AQ309/O309),"")</f>
        <v>0.85470085470085466</v>
      </c>
      <c r="AY309" s="41">
        <f>IF(AND(AF309&lt;&gt;"",1-(AF309/O309)&gt;0),1-(AF309/O309),"")</f>
        <v>0.88034188034188032</v>
      </c>
      <c r="AZ309" s="136" t="str">
        <f>IF(Q309="","",IF(Q309&lt;2.5,"Alc. Bruta &lt; 2,5 mg/L",IF(Q309&lt;5,"2,5 ≤ Alc. Bruta &lt; 5,0 mg/L",IF(Q309&lt;7.5,"5,0 ≤ Alc. Bruta &lt; 7,5 mg/L",IF(Q309&lt;10,"7,5 ≤ Alc. Bruta &lt; 10,0 mg/L",IF(Q309&lt;15,"10,0 ≤ Alca. Bruta &lt; 15,0 mg/L","Alc. Bruta &gt; 15 mg/L"))))))</f>
        <v>5,0 ≤ Alc. Bruta &lt; 7,5 mg/L</v>
      </c>
      <c r="BA309" s="136" t="str">
        <f>IF(P309="","",IF(P309&lt;5,"Cor &lt;5 uC",IF(P309&lt;10,"5 ≤ Cor &lt; 10 uC",IF(P309&lt;15,"10 ≤ Cor &lt;15 uC",IF(P309&lt;30,"15 ≤ Cor &lt; 30 uC",IF(P309&lt;50,"30 ≤ Cor &lt; 50 uC","Cor &gt; 50 uC"))))))</f>
        <v>10 ≤ Cor &lt;15 uC</v>
      </c>
      <c r="BB309" s="137" t="str">
        <f>IF(O309="","",IF(O309&lt;2.5,"Turbidez &lt; 2,5 uT",IF(O309&lt;5,"2,5 ≤ Turb &lt; 5,0 uT",IF(O309&lt;7.5,"5,0 ≤ Turb &lt; 7,5 uT",IF(O309&lt;10,"7,5 ≤ Turb &lt; 10,0 uT",IF(O309&lt;15,"10,0 ≤ Turb &lt; 15,0 uT","Turb &gt; 15 uT"))))))</f>
        <v>Turbidez &lt; 2,5 uT</v>
      </c>
      <c r="BC309" s="138" t="str">
        <f>IF(AND(C309&gt;D309,D309&gt;E309),"TOR &gt; SM &gt; BNN",IF(AND(C309&gt;E309,E309&gt;D309),"TOR &gt; BNN &gt; SM",IF(AND(D309&gt;C309,C309&gt;E309),"SM &gt; TOR &gt; BNN",IF(AND(D309&gt;E309,E309&gt;C309),"SM &gt; BNN &gt; TOR",IF(AND(C309=D309,D309=E309),"TOR = SM = BNN","Comb. diferentes")))))</f>
        <v>SM &gt; TOR &gt; BNN</v>
      </c>
      <c r="BD309" s="137" t="str">
        <f>IF(OR(AE309="",AQ309="-"),"",IF(AE309&lt;=0.25,"Tipo 1 (≤0,25) uT",IF(AE309&lt;=0.5,"Tipo 2 (0,25-0,50) uT",IF(AE309&lt;=0.75,"Tipo 3 (0,50-0,75) uT","Tipo 4 (&gt;0,75) uT"))))</f>
        <v>Tipo 1 (≤0,25) uT</v>
      </c>
      <c r="BE309" s="137" t="str">
        <f t="shared" si="28"/>
        <v>Tipo 1 (≤0,25) uT</v>
      </c>
      <c r="BF309" s="137" t="str">
        <f>IF(OR(AF309="",AQ309="-"),"",IF(AF309&lt;=0.25,"Tipo 1 (≤0,25) uT",IF(AF309&lt;=0.5,"Tipo 2 (0,25-0,50) uT",IF(AF309&lt;=0.75,"Tipo 3 (0,50-0,75) uT","Tipo 4 (&gt;0,75) uT"))))</f>
        <v>Tipo 1 (≤0,25) uT</v>
      </c>
      <c r="BG309" s="137" t="str">
        <f t="shared" si="29"/>
        <v>Tipo 1 (≤0,25) uT</v>
      </c>
      <c r="BH309" s="137" t="str">
        <f>IF(OR(R309="",R309="-"),"",IF(R309&lt;=0.25,"Tipo 1 (≤0,25) uT",IF(R309&lt;=0.5,"Tipo 2 (0,25-0,50) uT",IF(R309&lt;=0.75,"Tipo 3 (0,50-0,75) uT","Tipo 4 (&gt;0,75) uT"))))</f>
        <v>Tipo 1 (≤0,25) uT</v>
      </c>
    </row>
    <row r="310" spans="1:60" x14ac:dyDescent="0.3">
      <c r="A310" s="74">
        <v>46292</v>
      </c>
      <c r="B310" s="139">
        <v>0.89583333333333337</v>
      </c>
      <c r="C310" s="116">
        <v>317</v>
      </c>
      <c r="D310" s="116">
        <v>1246</v>
      </c>
      <c r="E310" s="116">
        <v>292</v>
      </c>
      <c r="F310" s="116">
        <v>1810</v>
      </c>
      <c r="G310" s="144" t="s">
        <v>100</v>
      </c>
      <c r="H310" s="122">
        <v>9.1999999999999993</v>
      </c>
      <c r="I310" s="116">
        <v>10.99</v>
      </c>
      <c r="J310" s="10">
        <v>90</v>
      </c>
      <c r="K310" s="116">
        <v>90</v>
      </c>
      <c r="L310" s="116">
        <v>90</v>
      </c>
      <c r="M310" s="122">
        <v>26.8</v>
      </c>
      <c r="N310" s="122">
        <v>6.4</v>
      </c>
      <c r="O310" s="79">
        <v>1.21</v>
      </c>
      <c r="P310" s="116">
        <v>10</v>
      </c>
      <c r="Q310" s="122">
        <v>6.9</v>
      </c>
      <c r="R310" s="10">
        <v>0.08</v>
      </c>
      <c r="S310" s="79">
        <v>22.36</v>
      </c>
      <c r="T310" s="79">
        <v>0.88</v>
      </c>
      <c r="U310" s="79">
        <v>0.7</v>
      </c>
      <c r="V310" s="85">
        <f t="shared" si="30"/>
        <v>1350.7124999999999</v>
      </c>
      <c r="W310" s="85">
        <f t="shared" si="31"/>
        <v>1565.7431243999997</v>
      </c>
      <c r="X310" s="85">
        <f t="shared" si="32"/>
        <v>1.1591979228740386</v>
      </c>
      <c r="Y310" s="116">
        <v>2</v>
      </c>
      <c r="Z310" s="116">
        <v>4</v>
      </c>
      <c r="AA310" s="122">
        <v>6.1</v>
      </c>
      <c r="AB310" s="116">
        <v>21</v>
      </c>
      <c r="AC310" s="122">
        <v>6.2</v>
      </c>
      <c r="AD310" s="122">
        <v>5.6</v>
      </c>
      <c r="AE310" s="79">
        <v>0.12</v>
      </c>
      <c r="AF310" s="79">
        <v>0.16</v>
      </c>
      <c r="AG310" s="85">
        <f>(O310+0.3*H310+2)*(F310/2/AK310)</f>
        <v>1800.95</v>
      </c>
      <c r="AH310" s="85">
        <f t="shared" si="33"/>
        <v>1742.2625791999999</v>
      </c>
      <c r="AI310" s="85">
        <f t="shared" si="34"/>
        <v>0.96741307598767312</v>
      </c>
      <c r="AJ310" s="116">
        <v>2</v>
      </c>
      <c r="AK310" s="116">
        <v>3</v>
      </c>
      <c r="AL310" s="122">
        <v>6.4</v>
      </c>
      <c r="AM310" s="116">
        <v>22</v>
      </c>
      <c r="AN310" s="122">
        <v>6.3</v>
      </c>
      <c r="AO310" s="122">
        <v>6</v>
      </c>
      <c r="AP310" s="79">
        <v>0.12</v>
      </c>
      <c r="AQ310" s="79">
        <v>0.2</v>
      </c>
      <c r="AR310" s="132">
        <f>SUM(C310:E310)</f>
        <v>1855</v>
      </c>
      <c r="AS310" s="134">
        <f>C310/AR310</f>
        <v>0.17088948787061994</v>
      </c>
      <c r="AT310" s="134">
        <f>D310/AR310</f>
        <v>0.67169811320754713</v>
      </c>
      <c r="AU310" s="134">
        <f>E310/AR310</f>
        <v>0.1574123989218329</v>
      </c>
      <c r="AV310" s="151">
        <f>IF(AND(F310&lt;&gt;"",Z310&lt;&gt;""),AB310/(F310/2/Z310),"")</f>
        <v>9.2817679558011054E-2</v>
      </c>
      <c r="AW310" s="151">
        <f>IF(AND(F310&lt;&gt;"",AK310&lt;&gt;""),AM310/(F310/2/AK310),"")</f>
        <v>7.2928176795580099E-2</v>
      </c>
      <c r="AX310" s="41">
        <f>IF(AND(AQ310&lt;&gt;"",1-(AQ310/O310)&gt;0),1-(AQ310/O310),"")</f>
        <v>0.83471074380165289</v>
      </c>
      <c r="AY310" s="41">
        <f>IF(AND(AF310&lt;&gt;"",1-(AF310/O310)&gt;0),1-(AF310/O310),"")</f>
        <v>0.86776859504132231</v>
      </c>
      <c r="AZ310" s="136" t="str">
        <f>IF(Q310="","",IF(Q310&lt;2.5,"Alc. Bruta &lt; 2,5 mg/L",IF(Q310&lt;5,"2,5 ≤ Alc. Bruta &lt; 5,0 mg/L",IF(Q310&lt;7.5,"5,0 ≤ Alc. Bruta &lt; 7,5 mg/L",IF(Q310&lt;10,"7,5 ≤ Alc. Bruta &lt; 10,0 mg/L",IF(Q310&lt;15,"10,0 ≤ Alca. Bruta &lt; 15,0 mg/L","Alc. Bruta &gt; 15 mg/L"))))))</f>
        <v>5,0 ≤ Alc. Bruta &lt; 7,5 mg/L</v>
      </c>
      <c r="BA310" s="136" t="str">
        <f>IF(P310="","",IF(P310&lt;5,"Cor &lt;5 uC",IF(P310&lt;10,"5 ≤ Cor &lt; 10 uC",IF(P310&lt;15,"10 ≤ Cor &lt;15 uC",IF(P310&lt;30,"15 ≤ Cor &lt; 30 uC",IF(P310&lt;50,"30 ≤ Cor &lt; 50 uC","Cor &gt; 50 uC"))))))</f>
        <v>10 ≤ Cor &lt;15 uC</v>
      </c>
      <c r="BB310" s="137" t="str">
        <f>IF(O310="","",IF(O310&lt;2.5,"Turbidez &lt; 2,5 uT",IF(O310&lt;5,"2,5 ≤ Turb &lt; 5,0 uT",IF(O310&lt;7.5,"5,0 ≤ Turb &lt; 7,5 uT",IF(O310&lt;10,"7,5 ≤ Turb &lt; 10,0 uT",IF(O310&lt;15,"10,0 ≤ Turb &lt; 15,0 uT","Turb &gt; 15 uT"))))))</f>
        <v>Turbidez &lt; 2,5 uT</v>
      </c>
      <c r="BC310" s="138" t="str">
        <f>IF(AND(C310&gt;D310,D310&gt;E310),"TOR &gt; SM &gt; BNN",IF(AND(C310&gt;E310,E310&gt;D310),"TOR &gt; BNN &gt; SM",IF(AND(D310&gt;C310,C310&gt;E310),"SM &gt; TOR &gt; BNN",IF(AND(D310&gt;E310,E310&gt;C310),"SM &gt; BNN &gt; TOR",IF(AND(C310=D310,D310=E310),"TOR = SM = BNN","Comb. diferentes")))))</f>
        <v>SM &gt; TOR &gt; BNN</v>
      </c>
      <c r="BD310" s="137" t="str">
        <f>IF(OR(AE310="",AQ310="-"),"",IF(AE310&lt;=0.25,"Tipo 1 (≤0,25) uT",IF(AE310&lt;=0.5,"Tipo 2 (0,25-0,50) uT",IF(AE310&lt;=0.75,"Tipo 3 (0,50-0,75) uT","Tipo 4 (&gt;0,75) uT"))))</f>
        <v>Tipo 1 (≤0,25) uT</v>
      </c>
      <c r="BE310" s="137" t="str">
        <f t="shared" si="28"/>
        <v>Tipo 1 (≤0,25) uT</v>
      </c>
      <c r="BF310" s="137" t="str">
        <f>IF(OR(AF310="",AQ310="-"),"",IF(AF310&lt;=0.25,"Tipo 1 (≤0,25) uT",IF(AF310&lt;=0.5,"Tipo 2 (0,25-0,50) uT",IF(AF310&lt;=0.75,"Tipo 3 (0,50-0,75) uT","Tipo 4 (&gt;0,75) uT"))))</f>
        <v>Tipo 1 (≤0,25) uT</v>
      </c>
      <c r="BG310" s="137" t="str">
        <f t="shared" si="29"/>
        <v>Tipo 1 (≤0,25) uT</v>
      </c>
      <c r="BH310" s="137" t="str">
        <f>IF(OR(R310="",R310="-"),"",IF(R310&lt;=0.25,"Tipo 1 (≤0,25) uT",IF(R310&lt;=0.5,"Tipo 2 (0,25-0,50) uT",IF(R310&lt;=0.75,"Tipo 3 (0,50-0,75) uT","Tipo 4 (&gt;0,75) uT"))))</f>
        <v>Tipo 1 (≤0,25) uT</v>
      </c>
    </row>
    <row r="311" spans="1:60" x14ac:dyDescent="0.3">
      <c r="A311" s="74">
        <v>46292</v>
      </c>
      <c r="B311" s="139">
        <v>0.97916666666666663</v>
      </c>
      <c r="C311" s="116">
        <v>190</v>
      </c>
      <c r="D311" s="116">
        <v>1692</v>
      </c>
      <c r="E311" s="116">
        <v>250</v>
      </c>
      <c r="F311" s="116">
        <v>2410</v>
      </c>
      <c r="G311" s="144" t="s">
        <v>100</v>
      </c>
      <c r="H311" s="122">
        <v>9.1999999999999993</v>
      </c>
      <c r="I311" s="116">
        <v>17.100000000000001</v>
      </c>
      <c r="J311" s="10">
        <v>90</v>
      </c>
      <c r="K311" s="116">
        <v>90</v>
      </c>
      <c r="L311" s="116">
        <v>90</v>
      </c>
      <c r="M311" s="122">
        <v>26.6</v>
      </c>
      <c r="N311" s="122">
        <v>6.4</v>
      </c>
      <c r="O311" s="79">
        <v>1.19</v>
      </c>
      <c r="P311" s="116">
        <v>10</v>
      </c>
      <c r="Q311" s="122">
        <v>7</v>
      </c>
      <c r="R311" s="10">
        <v>0.08</v>
      </c>
      <c r="S311" s="79">
        <v>22.36</v>
      </c>
      <c r="T311" s="79">
        <v>0.88</v>
      </c>
      <c r="U311" s="79">
        <v>0.7</v>
      </c>
      <c r="V311" s="85">
        <f t="shared" si="30"/>
        <v>1792.4374999999998</v>
      </c>
      <c r="W311" s="85">
        <f t="shared" si="31"/>
        <v>1565.7431243999997</v>
      </c>
      <c r="X311" s="85">
        <f t="shared" si="32"/>
        <v>0.87352731930680982</v>
      </c>
      <c r="Y311" s="116">
        <v>3</v>
      </c>
      <c r="Z311" s="116">
        <v>4</v>
      </c>
      <c r="AA311" s="122">
        <v>6.1</v>
      </c>
      <c r="AB311" s="116">
        <v>21</v>
      </c>
      <c r="AC311" s="122">
        <v>6.2</v>
      </c>
      <c r="AD311" s="122">
        <v>5.5</v>
      </c>
      <c r="AE311" s="79">
        <v>0.19</v>
      </c>
      <c r="AF311" s="79">
        <v>0.09</v>
      </c>
      <c r="AG311" s="85">
        <f>(O311+0.3*H311+2)*(F311/2/AK311)</f>
        <v>1792.4374999999998</v>
      </c>
      <c r="AH311" s="85">
        <f t="shared" si="33"/>
        <v>1663.0688255999999</v>
      </c>
      <c r="AI311" s="85">
        <f t="shared" si="34"/>
        <v>0.92782528015621191</v>
      </c>
      <c r="AJ311" s="116">
        <v>3</v>
      </c>
      <c r="AK311" s="116">
        <v>4</v>
      </c>
      <c r="AL311" s="122">
        <v>6.4</v>
      </c>
      <c r="AM311" s="116">
        <v>21</v>
      </c>
      <c r="AN311" s="122">
        <v>6.2</v>
      </c>
      <c r="AO311" s="122">
        <v>6.1</v>
      </c>
      <c r="AP311" s="79">
        <v>0.18</v>
      </c>
      <c r="AQ311" s="79">
        <v>0.19</v>
      </c>
      <c r="AR311" s="132">
        <f>SUM(C311:E311)</f>
        <v>2132</v>
      </c>
      <c r="AS311" s="134">
        <f>C311/AR311</f>
        <v>8.9118198874296436E-2</v>
      </c>
      <c r="AT311" s="134">
        <f>D311/AR311</f>
        <v>0.79362101313320821</v>
      </c>
      <c r="AU311" s="134">
        <f>E311/AR311</f>
        <v>0.11726078799249531</v>
      </c>
      <c r="AV311" s="151">
        <f>IF(AND(F311&lt;&gt;"",Z311&lt;&gt;""),AB311/(F311/2/Z311),"")</f>
        <v>6.9709543568464732E-2</v>
      </c>
      <c r="AW311" s="151">
        <f>IF(AND(F311&lt;&gt;"",AK311&lt;&gt;""),AM311/(F311/2/AK311),"")</f>
        <v>6.9709543568464732E-2</v>
      </c>
      <c r="AX311" s="41">
        <f>IF(AND(AQ311&lt;&gt;"",1-(AQ311/O311)&gt;0),1-(AQ311/O311),"")</f>
        <v>0.84033613445378152</v>
      </c>
      <c r="AY311" s="41">
        <f>IF(AND(AF311&lt;&gt;"",1-(AF311/O311)&gt;0),1-(AF311/O311),"")</f>
        <v>0.92436974789915971</v>
      </c>
      <c r="AZ311" s="136" t="str">
        <f>IF(Q311="","",IF(Q311&lt;2.5,"Alc. Bruta &lt; 2,5 mg/L",IF(Q311&lt;5,"2,5 ≤ Alc. Bruta &lt; 5,0 mg/L",IF(Q311&lt;7.5,"5,0 ≤ Alc. Bruta &lt; 7,5 mg/L",IF(Q311&lt;10,"7,5 ≤ Alc. Bruta &lt; 10,0 mg/L",IF(Q311&lt;15,"10,0 ≤ Alca. Bruta &lt; 15,0 mg/L","Alc. Bruta &gt; 15 mg/L"))))))</f>
        <v>5,0 ≤ Alc. Bruta &lt; 7,5 mg/L</v>
      </c>
      <c r="BA311" s="136" t="str">
        <f>IF(P311="","",IF(P311&lt;5,"Cor &lt;5 uC",IF(P311&lt;10,"5 ≤ Cor &lt; 10 uC",IF(P311&lt;15,"10 ≤ Cor &lt;15 uC",IF(P311&lt;30,"15 ≤ Cor &lt; 30 uC",IF(P311&lt;50,"30 ≤ Cor &lt; 50 uC","Cor &gt; 50 uC"))))))</f>
        <v>10 ≤ Cor &lt;15 uC</v>
      </c>
      <c r="BB311" s="137" t="str">
        <f>IF(O311="","",IF(O311&lt;2.5,"Turbidez &lt; 2,5 uT",IF(O311&lt;5,"2,5 ≤ Turb &lt; 5,0 uT",IF(O311&lt;7.5,"5,0 ≤ Turb &lt; 7,5 uT",IF(O311&lt;10,"7,5 ≤ Turb &lt; 10,0 uT",IF(O311&lt;15,"10,0 ≤ Turb &lt; 15,0 uT","Turb &gt; 15 uT"))))))</f>
        <v>Turbidez &lt; 2,5 uT</v>
      </c>
      <c r="BC311" s="138" t="str">
        <f>IF(AND(C311&gt;D311,D311&gt;E311),"TOR &gt; SM &gt; BNN",IF(AND(C311&gt;E311,E311&gt;D311),"TOR &gt; BNN &gt; SM",IF(AND(D311&gt;C311,C311&gt;E311),"SM &gt; TOR &gt; BNN",IF(AND(D311&gt;E311,E311&gt;C311),"SM &gt; BNN &gt; TOR",IF(AND(C311=D311,D311=E311),"TOR = SM = BNN","Comb. diferentes")))))</f>
        <v>SM &gt; BNN &gt; TOR</v>
      </c>
      <c r="BD311" s="137" t="str">
        <f>IF(OR(AE311="",AQ311="-"),"",IF(AE311&lt;=0.25,"Tipo 1 (≤0,25) uT",IF(AE311&lt;=0.5,"Tipo 2 (0,25-0,50) uT",IF(AE311&lt;=0.75,"Tipo 3 (0,50-0,75) uT","Tipo 4 (&gt;0,75) uT"))))</f>
        <v>Tipo 1 (≤0,25) uT</v>
      </c>
      <c r="BE311" s="137" t="str">
        <f t="shared" si="28"/>
        <v>Tipo 1 (≤0,25) uT</v>
      </c>
      <c r="BF311" s="137" t="str">
        <f>IF(OR(AF311="",AQ311="-"),"",IF(AF311&lt;=0.25,"Tipo 1 (≤0,25) uT",IF(AF311&lt;=0.5,"Tipo 2 (0,25-0,50) uT",IF(AF311&lt;=0.75,"Tipo 3 (0,50-0,75) uT","Tipo 4 (&gt;0,75) uT"))))</f>
        <v>Tipo 1 (≤0,25) uT</v>
      </c>
      <c r="BG311" s="137" t="str">
        <f t="shared" si="29"/>
        <v>Tipo 1 (≤0,25) uT</v>
      </c>
      <c r="BH311" s="137" t="str">
        <f>IF(OR(R311="",R311="-"),"",IF(R311&lt;=0.25,"Tipo 1 (≤0,25) uT",IF(R311&lt;=0.5,"Tipo 2 (0,25-0,50) uT",IF(R311&lt;=0.75,"Tipo 3 (0,50-0,75) uT","Tipo 4 (&gt;0,75) uT"))))</f>
        <v>Tipo 1 (≤0,25) uT</v>
      </c>
    </row>
    <row r="312" spans="1:60" x14ac:dyDescent="0.3">
      <c r="A312" s="74">
        <v>46293</v>
      </c>
      <c r="B312" s="139">
        <v>0.14583333333333334</v>
      </c>
      <c r="C312" s="116">
        <v>198</v>
      </c>
      <c r="D312" s="116">
        <v>1677</v>
      </c>
      <c r="E312" s="116">
        <v>250</v>
      </c>
      <c r="F312" s="116">
        <v>2147</v>
      </c>
      <c r="G312" s="144" t="s">
        <v>100</v>
      </c>
      <c r="H312" s="122">
        <v>9.1999999999999993</v>
      </c>
      <c r="I312" s="116">
        <v>26.6</v>
      </c>
      <c r="J312" s="10">
        <v>90</v>
      </c>
      <c r="K312" s="116">
        <v>90</v>
      </c>
      <c r="L312" s="116">
        <v>90</v>
      </c>
      <c r="M312" s="122">
        <v>26.7</v>
      </c>
      <c r="N312" s="122">
        <v>6.3</v>
      </c>
      <c r="O312" s="79">
        <v>1.22</v>
      </c>
      <c r="P312" s="116">
        <v>10</v>
      </c>
      <c r="Q312" s="122">
        <v>6.9</v>
      </c>
      <c r="R312" s="10">
        <v>0.1</v>
      </c>
      <c r="S312" s="79">
        <v>22.36</v>
      </c>
      <c r="T312" s="79">
        <v>0.88</v>
      </c>
      <c r="U312" s="79">
        <v>0.7</v>
      </c>
      <c r="V312" s="85">
        <f t="shared" si="30"/>
        <v>1604.8824999999999</v>
      </c>
      <c r="W312" s="85">
        <f t="shared" si="31"/>
        <v>1565.7431243999997</v>
      </c>
      <c r="X312" s="85">
        <f t="shared" si="32"/>
        <v>0.97561231080780042</v>
      </c>
      <c r="Y312" s="116">
        <v>3</v>
      </c>
      <c r="Z312" s="116">
        <v>4</v>
      </c>
      <c r="AA312" s="122">
        <v>6.1</v>
      </c>
      <c r="AB312" s="116">
        <v>21</v>
      </c>
      <c r="AC312" s="122">
        <v>6.2</v>
      </c>
      <c r="AD312" s="122">
        <v>5.4</v>
      </c>
      <c r="AE312" s="79">
        <v>0.18</v>
      </c>
      <c r="AF312" s="79">
        <v>0.15</v>
      </c>
      <c r="AG312" s="85">
        <f>(O312+0.3*H312+2)*(F312/2/AK312)</f>
        <v>1604.8824999999999</v>
      </c>
      <c r="AH312" s="85">
        <f t="shared" si="33"/>
        <v>1716.0407165199997</v>
      </c>
      <c r="AI312" s="85">
        <f t="shared" si="34"/>
        <v>1.0692625263967921</v>
      </c>
      <c r="AJ312" s="116">
        <v>3</v>
      </c>
      <c r="AK312" s="116">
        <v>4</v>
      </c>
      <c r="AL312" s="122">
        <v>6.3</v>
      </c>
      <c r="AM312" s="116">
        <v>22.1</v>
      </c>
      <c r="AN312" s="122">
        <v>6.3</v>
      </c>
      <c r="AO312" s="122">
        <v>6</v>
      </c>
      <c r="AP312" s="79">
        <v>0.19</v>
      </c>
      <c r="AQ312" s="79">
        <v>0.2</v>
      </c>
      <c r="AR312" s="132">
        <f>SUM(C312:E312)</f>
        <v>2125</v>
      </c>
      <c r="AS312" s="134">
        <f>C312/AR312</f>
        <v>9.3176470588235291E-2</v>
      </c>
      <c r="AT312" s="134">
        <f>D312/AR312</f>
        <v>0.78917647058823526</v>
      </c>
      <c r="AU312" s="134">
        <f>E312/AR312</f>
        <v>0.11764705882352941</v>
      </c>
      <c r="AV312" s="151">
        <f>IF(AND(F312&lt;&gt;"",Z312&lt;&gt;""),AB312/(F312/2/Z312),"")</f>
        <v>7.8248719142990225E-2</v>
      </c>
      <c r="AW312" s="151">
        <f>IF(AND(F312&lt;&gt;"",AK312&lt;&gt;""),AM312/(F312/2/AK312),"")</f>
        <v>8.234746157428971E-2</v>
      </c>
      <c r="AX312" s="41">
        <f>IF(AND(AQ312&lt;&gt;"",1-(AQ312/O312)&gt;0),1-(AQ312/O312),"")</f>
        <v>0.83606557377049184</v>
      </c>
      <c r="AY312" s="41">
        <f>IF(AND(AF312&lt;&gt;"",1-(AF312/O312)&gt;0),1-(AF312/O312),"")</f>
        <v>0.87704918032786883</v>
      </c>
      <c r="AZ312" s="136" t="str">
        <f>IF(Q312="","",IF(Q312&lt;2.5,"Alc. Bruta &lt; 2,5 mg/L",IF(Q312&lt;5,"2,5 ≤ Alc. Bruta &lt; 5,0 mg/L",IF(Q312&lt;7.5,"5,0 ≤ Alc. Bruta &lt; 7,5 mg/L",IF(Q312&lt;10,"7,5 ≤ Alc. Bruta &lt; 10,0 mg/L",IF(Q312&lt;15,"10,0 ≤ Alca. Bruta &lt; 15,0 mg/L","Alc. Bruta &gt; 15 mg/L"))))))</f>
        <v>5,0 ≤ Alc. Bruta &lt; 7,5 mg/L</v>
      </c>
      <c r="BA312" s="136" t="str">
        <f>IF(P312="","",IF(P312&lt;5,"Cor &lt;5 uC",IF(P312&lt;10,"5 ≤ Cor &lt; 10 uC",IF(P312&lt;15,"10 ≤ Cor &lt;15 uC",IF(P312&lt;30,"15 ≤ Cor &lt; 30 uC",IF(P312&lt;50,"30 ≤ Cor &lt; 50 uC","Cor &gt; 50 uC"))))))</f>
        <v>10 ≤ Cor &lt;15 uC</v>
      </c>
      <c r="BB312" s="137" t="str">
        <f>IF(O312="","",IF(O312&lt;2.5,"Turbidez &lt; 2,5 uT",IF(O312&lt;5,"2,5 ≤ Turb &lt; 5,0 uT",IF(O312&lt;7.5,"5,0 ≤ Turb &lt; 7,5 uT",IF(O312&lt;10,"7,5 ≤ Turb &lt; 10,0 uT",IF(O312&lt;15,"10,0 ≤ Turb &lt; 15,0 uT","Turb &gt; 15 uT"))))))</f>
        <v>Turbidez &lt; 2,5 uT</v>
      </c>
      <c r="BC312" s="138" t="str">
        <f>IF(AND(C312&gt;D312,D312&gt;E312),"TOR &gt; SM &gt; BNN",IF(AND(C312&gt;E312,E312&gt;D312),"TOR &gt; BNN &gt; SM",IF(AND(D312&gt;C312,C312&gt;E312),"SM &gt; TOR &gt; BNN",IF(AND(D312&gt;E312,E312&gt;C312),"SM &gt; BNN &gt; TOR",IF(AND(C312=D312,D312=E312),"TOR = SM = BNN","Comb. diferentes")))))</f>
        <v>SM &gt; BNN &gt; TOR</v>
      </c>
      <c r="BD312" s="137" t="str">
        <f>IF(OR(AE312="",AQ312="-"),"",IF(AE312&lt;=0.25,"Tipo 1 (≤0,25) uT",IF(AE312&lt;=0.5,"Tipo 2 (0,25-0,50) uT",IF(AE312&lt;=0.75,"Tipo 3 (0,50-0,75) uT","Tipo 4 (&gt;0,75) uT"))))</f>
        <v>Tipo 1 (≤0,25) uT</v>
      </c>
      <c r="BE312" s="137" t="str">
        <f t="shared" si="28"/>
        <v>Tipo 1 (≤0,25) uT</v>
      </c>
      <c r="BF312" s="137" t="str">
        <f>IF(OR(AF312="",AQ312="-"),"",IF(AF312&lt;=0.25,"Tipo 1 (≤0,25) uT",IF(AF312&lt;=0.5,"Tipo 2 (0,25-0,50) uT",IF(AF312&lt;=0.75,"Tipo 3 (0,50-0,75) uT","Tipo 4 (&gt;0,75) uT"))))</f>
        <v>Tipo 1 (≤0,25) uT</v>
      </c>
      <c r="BG312" s="137" t="str">
        <f t="shared" si="29"/>
        <v>Tipo 1 (≤0,25) uT</v>
      </c>
      <c r="BH312" s="137" t="str">
        <f>IF(OR(R312="",R312="-"),"",IF(R312&lt;=0.25,"Tipo 1 (≤0,25) uT",IF(R312&lt;=0.5,"Tipo 2 (0,25-0,50) uT",IF(R312&lt;=0.75,"Tipo 3 (0,50-0,75) uT","Tipo 4 (&gt;0,75) uT"))))</f>
        <v>Tipo 1 (≤0,25) uT</v>
      </c>
    </row>
    <row r="313" spans="1:60" ht="15" thickBot="1" x14ac:dyDescent="0.35">
      <c r="A313" s="75">
        <v>46293</v>
      </c>
      <c r="B313" s="140">
        <v>0.22916666666666666</v>
      </c>
      <c r="C313" s="117">
        <v>238</v>
      </c>
      <c r="D313" s="117">
        <v>1617</v>
      </c>
      <c r="E313" s="117">
        <v>250</v>
      </c>
      <c r="F313" s="117">
        <v>2156</v>
      </c>
      <c r="G313" s="145" t="s">
        <v>100</v>
      </c>
      <c r="H313" s="123">
        <v>9.1999999999999993</v>
      </c>
      <c r="I313" s="117">
        <v>30</v>
      </c>
      <c r="J313" s="11">
        <v>90</v>
      </c>
      <c r="K313" s="117">
        <v>90</v>
      </c>
      <c r="L313" s="117">
        <v>90</v>
      </c>
      <c r="M313" s="123">
        <v>25.9</v>
      </c>
      <c r="N313" s="123">
        <v>6.5</v>
      </c>
      <c r="O313" s="80">
        <v>2.12</v>
      </c>
      <c r="P313" s="117">
        <v>8</v>
      </c>
      <c r="Q313" s="123">
        <v>7.1</v>
      </c>
      <c r="R313" s="11">
        <v>0.12</v>
      </c>
      <c r="S313" s="79">
        <v>22.36</v>
      </c>
      <c r="T313" s="79">
        <v>0.88</v>
      </c>
      <c r="U313" s="79">
        <v>0.7</v>
      </c>
      <c r="V313" s="85">
        <f t="shared" si="30"/>
        <v>1854.16</v>
      </c>
      <c r="W313" s="85">
        <f t="shared" si="31"/>
        <v>1557.5416127959998</v>
      </c>
      <c r="X313" s="85">
        <f t="shared" si="32"/>
        <v>0.84002546317254156</v>
      </c>
      <c r="Y313" s="117">
        <v>3</v>
      </c>
      <c r="Z313" s="117">
        <v>4</v>
      </c>
      <c r="AA313" s="123">
        <v>6.1</v>
      </c>
      <c r="AB313" s="117">
        <v>20.89</v>
      </c>
      <c r="AC313" s="123">
        <v>6.3</v>
      </c>
      <c r="AD313" s="123">
        <v>5.5</v>
      </c>
      <c r="AE313" s="80">
        <v>0.2</v>
      </c>
      <c r="AF313" s="80">
        <v>0.16</v>
      </c>
      <c r="AG313" s="85">
        <f>(O313+0.3*H313+2)*(F313/2/AK313)</f>
        <v>1854.16</v>
      </c>
      <c r="AH313" s="85">
        <f t="shared" si="33"/>
        <v>1747.1002769999996</v>
      </c>
      <c r="AI313" s="85">
        <f t="shared" si="34"/>
        <v>0.94225971706864531</v>
      </c>
      <c r="AJ313" s="117">
        <v>3</v>
      </c>
      <c r="AK313" s="117">
        <v>4</v>
      </c>
      <c r="AL313" s="123">
        <v>6.3</v>
      </c>
      <c r="AM313" s="117">
        <v>22.5</v>
      </c>
      <c r="AN313" s="123">
        <v>6.3</v>
      </c>
      <c r="AO313" s="123">
        <v>5.2</v>
      </c>
      <c r="AP313" s="80">
        <v>0.26</v>
      </c>
      <c r="AQ313" s="80">
        <v>0.19</v>
      </c>
      <c r="AR313" s="132">
        <f>SUM(C313:E313)</f>
        <v>2105</v>
      </c>
      <c r="AS313" s="134">
        <f>C313/AR313</f>
        <v>0.11306413301662707</v>
      </c>
      <c r="AT313" s="134">
        <f>D313/AR313</f>
        <v>0.76817102137767224</v>
      </c>
      <c r="AU313" s="134">
        <f>E313/AR313</f>
        <v>0.11876484560570071</v>
      </c>
      <c r="AV313" s="151">
        <f>IF(AND(F313&lt;&gt;"",Z313&lt;&gt;""),AB313/(F313/2/Z313),"")</f>
        <v>7.7513914656771807E-2</v>
      </c>
      <c r="AW313" s="151">
        <f>IF(AND(F313&lt;&gt;"",AK313&lt;&gt;""),AM313/(F313/2/AK313),"")</f>
        <v>8.3487940630797772E-2</v>
      </c>
      <c r="AX313" s="41">
        <f>IF(AND(AQ313&lt;&gt;"",1-(AQ313/O313)&gt;0),1-(AQ313/O313),"")</f>
        <v>0.910377358490566</v>
      </c>
      <c r="AY313" s="41">
        <f>IF(AND(AF313&lt;&gt;"",1-(AF313/O313)&gt;0),1-(AF313/O313),"")</f>
        <v>0.92452830188679247</v>
      </c>
      <c r="AZ313" s="136" t="str">
        <f>IF(Q313="","",IF(Q313&lt;2.5,"Alc. Bruta &lt; 2,5 mg/L",IF(Q313&lt;5,"2,5 ≤ Alc. Bruta &lt; 5,0 mg/L",IF(Q313&lt;7.5,"5,0 ≤ Alc. Bruta &lt; 7,5 mg/L",IF(Q313&lt;10,"7,5 ≤ Alc. Bruta &lt; 10,0 mg/L",IF(Q313&lt;15,"10,0 ≤ Alca. Bruta &lt; 15,0 mg/L","Alc. Bruta &gt; 15 mg/L"))))))</f>
        <v>5,0 ≤ Alc. Bruta &lt; 7,5 mg/L</v>
      </c>
      <c r="BA313" s="136" t="str">
        <f>IF(P313="","",IF(P313&lt;5,"Cor &lt;5 uC",IF(P313&lt;10,"5 ≤ Cor &lt; 10 uC",IF(P313&lt;15,"10 ≤ Cor &lt;15 uC",IF(P313&lt;30,"15 ≤ Cor &lt; 30 uC",IF(P313&lt;50,"30 ≤ Cor &lt; 50 uC","Cor &gt; 50 uC"))))))</f>
        <v>5 ≤ Cor &lt; 10 uC</v>
      </c>
      <c r="BB313" s="137" t="str">
        <f>IF(O313="","",IF(O313&lt;2.5,"Turbidez &lt; 2,5 uT",IF(O313&lt;5,"2,5 ≤ Turb &lt; 5,0 uT",IF(O313&lt;7.5,"5,0 ≤ Turb &lt; 7,5 uT",IF(O313&lt;10,"7,5 ≤ Turb &lt; 10,0 uT",IF(O313&lt;15,"10,0 ≤ Turb &lt; 15,0 uT","Turb &gt; 15 uT"))))))</f>
        <v>Turbidez &lt; 2,5 uT</v>
      </c>
      <c r="BC313" s="138" t="str">
        <f>IF(AND(C313&gt;D313,D313&gt;E313),"TOR &gt; SM &gt; BNN",IF(AND(C313&gt;E313,E313&gt;D313),"TOR &gt; BNN &gt; SM",IF(AND(D313&gt;C313,C313&gt;E313),"SM &gt; TOR &gt; BNN",IF(AND(D313&gt;E313,E313&gt;C313),"SM &gt; BNN &gt; TOR",IF(AND(C313=D313,D313=E313),"TOR = SM = BNN","Comb. diferentes")))))</f>
        <v>SM &gt; BNN &gt; TOR</v>
      </c>
      <c r="BD313" s="137" t="str">
        <f>IF(OR(AE313="",AQ313="-"),"",IF(AE313&lt;=0.25,"Tipo 1 (≤0,25) uT",IF(AE313&lt;=0.5,"Tipo 2 (0,25-0,50) uT",IF(AE313&lt;=0.75,"Tipo 3 (0,50-0,75) uT","Tipo 4 (&gt;0,75) uT"))))</f>
        <v>Tipo 1 (≤0,25) uT</v>
      </c>
      <c r="BE313" s="137" t="str">
        <f t="shared" si="28"/>
        <v>Tipo 2 (0,25-0,50) uT</v>
      </c>
      <c r="BF313" s="137" t="str">
        <f>IF(OR(AF313="",AQ313="-"),"",IF(AF313&lt;=0.25,"Tipo 1 (≤0,25) uT",IF(AF313&lt;=0.5,"Tipo 2 (0,25-0,50) uT",IF(AF313&lt;=0.75,"Tipo 3 (0,50-0,75) uT","Tipo 4 (&gt;0,75) uT"))))</f>
        <v>Tipo 1 (≤0,25) uT</v>
      </c>
      <c r="BG313" s="137" t="str">
        <f t="shared" si="29"/>
        <v>Tipo 1 (≤0,25) uT</v>
      </c>
      <c r="BH313" s="137" t="str">
        <f>IF(OR(R313="",R313="-"),"",IF(R313&lt;=0.25,"Tipo 1 (≤0,25) uT",IF(R313&lt;=0.5,"Tipo 2 (0,25-0,50) uT",IF(R313&lt;=0.75,"Tipo 3 (0,50-0,75) uT","Tipo 4 (&gt;0,75) uT"))))</f>
        <v>Tipo 1 (≤0,25) uT</v>
      </c>
    </row>
    <row r="314" spans="1:60" x14ac:dyDescent="0.3">
      <c r="A314" s="74">
        <v>46293</v>
      </c>
      <c r="B314" s="139">
        <v>0.39583333333333331</v>
      </c>
      <c r="C314" s="116">
        <v>236</v>
      </c>
      <c r="D314" s="116">
        <v>1688</v>
      </c>
      <c r="E314" s="116">
        <v>251</v>
      </c>
      <c r="F314" s="116">
        <v>2176</v>
      </c>
      <c r="G314" s="144" t="s">
        <v>100</v>
      </c>
      <c r="H314" s="122">
        <v>9.1999999999999993</v>
      </c>
      <c r="I314" s="116">
        <v>38</v>
      </c>
      <c r="J314" s="10">
        <v>90</v>
      </c>
      <c r="K314" s="116">
        <v>90</v>
      </c>
      <c r="L314" s="116">
        <v>90</v>
      </c>
      <c r="M314" s="122">
        <v>25.2</v>
      </c>
      <c r="N314" s="122">
        <v>6.6</v>
      </c>
      <c r="O314" s="79">
        <v>1.21</v>
      </c>
      <c r="P314" s="116">
        <v>9</v>
      </c>
      <c r="Q314" s="122">
        <v>7.3</v>
      </c>
      <c r="R314" s="10">
        <v>0.08</v>
      </c>
      <c r="S314" s="79">
        <v>22.36</v>
      </c>
      <c r="T314" s="79">
        <v>0.88</v>
      </c>
      <c r="U314" s="79">
        <v>0.7</v>
      </c>
      <c r="V314" s="85">
        <f t="shared" si="30"/>
        <v>1623.84</v>
      </c>
      <c r="W314" s="85">
        <f t="shared" si="31"/>
        <v>1565.7431243999997</v>
      </c>
      <c r="X314" s="85">
        <f t="shared" si="32"/>
        <v>0.96422253694945304</v>
      </c>
      <c r="Y314" s="116">
        <v>3</v>
      </c>
      <c r="Z314" s="116">
        <v>4</v>
      </c>
      <c r="AA314" s="122">
        <v>6.1</v>
      </c>
      <c r="AB314" s="116">
        <v>21</v>
      </c>
      <c r="AC314" s="122">
        <v>6.2</v>
      </c>
      <c r="AD314" s="122">
        <v>4.9000000000000004</v>
      </c>
      <c r="AE314" s="79">
        <v>0.57999999999999996</v>
      </c>
      <c r="AF314" s="79">
        <v>0.17</v>
      </c>
      <c r="AG314" s="85">
        <f>(O314+0.3*H314+2)*(F314/2/AK314)</f>
        <v>1623.84</v>
      </c>
      <c r="AH314" s="85">
        <f t="shared" si="33"/>
        <v>1785.9247275999996</v>
      </c>
      <c r="AI314" s="85">
        <f t="shared" si="34"/>
        <v>1.0998157008079612</v>
      </c>
      <c r="AJ314" s="116">
        <v>3</v>
      </c>
      <c r="AK314" s="116">
        <v>4</v>
      </c>
      <c r="AL314" s="122">
        <v>6.3</v>
      </c>
      <c r="AM314" s="116">
        <v>23</v>
      </c>
      <c r="AN314" s="122">
        <v>6.3</v>
      </c>
      <c r="AO314" s="122">
        <v>5.8</v>
      </c>
      <c r="AP314" s="79">
        <v>0.35</v>
      </c>
      <c r="AQ314" s="79">
        <v>0.22</v>
      </c>
      <c r="AR314" s="132">
        <f>SUM(C314:E314)</f>
        <v>2175</v>
      </c>
      <c r="AS314" s="134">
        <f>C314/AR314</f>
        <v>0.10850574712643678</v>
      </c>
      <c r="AT314" s="134">
        <f>D314/AR314</f>
        <v>0.77609195402298847</v>
      </c>
      <c r="AU314" s="134">
        <f>E314/AR314</f>
        <v>0.11540229885057471</v>
      </c>
      <c r="AV314" s="151">
        <f>IF(AND(F314&lt;&gt;"",Z314&lt;&gt;""),AB314/(F314/2/Z314),"")</f>
        <v>7.720588235294118E-2</v>
      </c>
      <c r="AW314" s="151">
        <f>IF(AND(F314&lt;&gt;"",AK314&lt;&gt;""),AM314/(F314/2/AK314),"")</f>
        <v>8.455882352941177E-2</v>
      </c>
      <c r="AX314" s="41">
        <f>IF(AND(AQ314&lt;&gt;"",1-(AQ314/O314)&gt;0),1-(AQ314/O314),"")</f>
        <v>0.81818181818181812</v>
      </c>
      <c r="AY314" s="41">
        <f>IF(AND(AF314&lt;&gt;"",1-(AF314/O314)&gt;0),1-(AF314/O314),"")</f>
        <v>0.85950413223140498</v>
      </c>
      <c r="AZ314" s="136" t="str">
        <f>IF(Q314="","",IF(Q314&lt;2.5,"Alc. Bruta &lt; 2,5 mg/L",IF(Q314&lt;5,"2,5 ≤ Alc. Bruta &lt; 5,0 mg/L",IF(Q314&lt;7.5,"5,0 ≤ Alc. Bruta &lt; 7,5 mg/L",IF(Q314&lt;10,"7,5 ≤ Alc. Bruta &lt; 10,0 mg/L",IF(Q314&lt;15,"10,0 ≤ Alca. Bruta &lt; 15,0 mg/L","Alc. Bruta &gt; 15 mg/L"))))))</f>
        <v>5,0 ≤ Alc. Bruta &lt; 7,5 mg/L</v>
      </c>
      <c r="BA314" s="136" t="str">
        <f>IF(P314="","",IF(P314&lt;5,"Cor &lt;5 uC",IF(P314&lt;10,"5 ≤ Cor &lt; 10 uC",IF(P314&lt;15,"10 ≤ Cor &lt;15 uC",IF(P314&lt;30,"15 ≤ Cor &lt; 30 uC",IF(P314&lt;50,"30 ≤ Cor &lt; 50 uC","Cor &gt; 50 uC"))))))</f>
        <v>5 ≤ Cor &lt; 10 uC</v>
      </c>
      <c r="BB314" s="137" t="str">
        <f>IF(O314="","",IF(O314&lt;2.5,"Turbidez &lt; 2,5 uT",IF(O314&lt;5,"2,5 ≤ Turb &lt; 5,0 uT",IF(O314&lt;7.5,"5,0 ≤ Turb &lt; 7,5 uT",IF(O314&lt;10,"7,5 ≤ Turb &lt; 10,0 uT",IF(O314&lt;15,"10,0 ≤ Turb &lt; 15,0 uT","Turb &gt; 15 uT"))))))</f>
        <v>Turbidez &lt; 2,5 uT</v>
      </c>
      <c r="BC314" s="138" t="str">
        <f>IF(AND(C314&gt;D314,D314&gt;E314),"TOR &gt; SM &gt; BNN",IF(AND(C314&gt;E314,E314&gt;D314),"TOR &gt; BNN &gt; SM",IF(AND(D314&gt;C314,C314&gt;E314),"SM &gt; TOR &gt; BNN",IF(AND(D314&gt;E314,E314&gt;C314),"SM &gt; BNN &gt; TOR",IF(AND(C314=D314,D314=E314),"TOR = SM = BNN","Comb. diferentes")))))</f>
        <v>SM &gt; BNN &gt; TOR</v>
      </c>
      <c r="BD314" s="137" t="str">
        <f>IF(OR(AE314="",AQ314="-"),"",IF(AE314&lt;=0.25,"Tipo 1 (≤0,25) uT",IF(AE314&lt;=0.5,"Tipo 2 (0,25-0,50) uT",IF(AE314&lt;=0.75,"Tipo 3 (0,50-0,75) uT","Tipo 4 (&gt;0,75) uT"))))</f>
        <v>Tipo 3 (0,50-0,75) uT</v>
      </c>
      <c r="BE314" s="137" t="str">
        <f t="shared" si="28"/>
        <v>Tipo 2 (0,25-0,50) uT</v>
      </c>
      <c r="BF314" s="137" t="str">
        <f>IF(OR(AF314="",AQ314="-"),"",IF(AF314&lt;=0.25,"Tipo 1 (≤0,25) uT",IF(AF314&lt;=0.5,"Tipo 2 (0,25-0,50) uT",IF(AF314&lt;=0.75,"Tipo 3 (0,50-0,75) uT","Tipo 4 (&gt;0,75) uT"))))</f>
        <v>Tipo 1 (≤0,25) uT</v>
      </c>
      <c r="BG314" s="137" t="str">
        <f t="shared" si="29"/>
        <v>Tipo 1 (≤0,25) uT</v>
      </c>
      <c r="BH314" s="137" t="str">
        <f>IF(OR(R314="",R314="-"),"",IF(R314&lt;=0.25,"Tipo 1 (≤0,25) uT",IF(R314&lt;=0.5,"Tipo 2 (0,25-0,50) uT",IF(R314&lt;=0.75,"Tipo 3 (0,50-0,75) uT","Tipo 4 (&gt;0,75) uT"))))</f>
        <v>Tipo 1 (≤0,25) uT</v>
      </c>
    </row>
    <row r="315" spans="1:60" x14ac:dyDescent="0.3">
      <c r="A315" s="74">
        <v>46293</v>
      </c>
      <c r="B315" s="139">
        <v>0.47916666666666669</v>
      </c>
      <c r="C315" s="116">
        <v>240</v>
      </c>
      <c r="D315" s="116">
        <v>1552</v>
      </c>
      <c r="E315" s="116">
        <v>249</v>
      </c>
      <c r="F315" s="116">
        <v>2118</v>
      </c>
      <c r="G315" s="144" t="s">
        <v>100</v>
      </c>
      <c r="H315" s="122">
        <v>9.1999999999999993</v>
      </c>
      <c r="I315" s="116">
        <v>42</v>
      </c>
      <c r="J315" s="10">
        <v>90</v>
      </c>
      <c r="K315" s="116">
        <v>90</v>
      </c>
      <c r="L315" s="116">
        <v>90</v>
      </c>
      <c r="M315" s="122">
        <v>24.9</v>
      </c>
      <c r="N315" s="122">
        <v>6.4</v>
      </c>
      <c r="O315" s="79">
        <v>4.3099999999999996</v>
      </c>
      <c r="P315" s="116">
        <v>9</v>
      </c>
      <c r="Q315" s="122">
        <v>6.8</v>
      </c>
      <c r="R315" s="10">
        <v>0.08</v>
      </c>
      <c r="S315" s="79">
        <v>22.36</v>
      </c>
      <c r="T315" s="79">
        <v>0.88</v>
      </c>
      <c r="U315" s="79">
        <v>0.7</v>
      </c>
      <c r="V315" s="85">
        <f t="shared" si="30"/>
        <v>2401.2825000000003</v>
      </c>
      <c r="W315" s="85">
        <f t="shared" si="31"/>
        <v>1565.7431243999997</v>
      </c>
      <c r="X315" s="85">
        <f t="shared" si="32"/>
        <v>0.65204453220310377</v>
      </c>
      <c r="Y315" s="116">
        <v>3</v>
      </c>
      <c r="Z315" s="116">
        <v>4</v>
      </c>
      <c r="AA315" s="122">
        <v>6.1</v>
      </c>
      <c r="AB315" s="116">
        <v>21</v>
      </c>
      <c r="AC315" s="122">
        <v>6.3</v>
      </c>
      <c r="AD315" s="122">
        <v>5.3</v>
      </c>
      <c r="AE315" s="79">
        <v>0.27</v>
      </c>
      <c r="AF315" s="79">
        <v>0.18</v>
      </c>
      <c r="AG315" s="85">
        <f>(O315+0.3*H315+2)*(F315/2/AK315)</f>
        <v>2401.2825000000003</v>
      </c>
      <c r="AH315" s="85">
        <f t="shared" si="33"/>
        <v>1708.2758263999997</v>
      </c>
      <c r="AI315" s="85">
        <f t="shared" si="34"/>
        <v>0.71140143918926635</v>
      </c>
      <c r="AJ315" s="116">
        <v>3</v>
      </c>
      <c r="AK315" s="116">
        <v>4</v>
      </c>
      <c r="AL315" s="122">
        <v>6.3</v>
      </c>
      <c r="AM315" s="116">
        <v>22</v>
      </c>
      <c r="AN315" s="122">
        <v>6.3</v>
      </c>
      <c r="AO315" s="122">
        <v>4.9000000000000004</v>
      </c>
      <c r="AP315" s="79">
        <v>0.21</v>
      </c>
      <c r="AQ315" s="79">
        <v>0.23</v>
      </c>
      <c r="AR315" s="132">
        <f>SUM(C315:E315)</f>
        <v>2041</v>
      </c>
      <c r="AS315" s="134">
        <f>C315/AR315</f>
        <v>0.11758941695247428</v>
      </c>
      <c r="AT315" s="134">
        <f>D315/AR315</f>
        <v>0.76041156295933365</v>
      </c>
      <c r="AU315" s="134">
        <f>E315/AR315</f>
        <v>0.12199902008819206</v>
      </c>
      <c r="AV315" s="151">
        <f>IF(AND(F315&lt;&gt;"",Z315&lt;&gt;""),AB315/(F315/2/Z315),"")</f>
        <v>7.9320113314447591E-2</v>
      </c>
      <c r="AW315" s="151">
        <f>IF(AND(F315&lt;&gt;"",AK315&lt;&gt;""),AM315/(F315/2/AK315),"")</f>
        <v>8.3097261567516525E-2</v>
      </c>
      <c r="AX315" s="41">
        <f>IF(AND(AQ315&lt;&gt;"",1-(AQ315/O315)&gt;0),1-(AQ315/O315),"")</f>
        <v>0.94663573085846864</v>
      </c>
      <c r="AY315" s="41">
        <f>IF(AND(AF315&lt;&gt;"",1-(AF315/O315)&gt;0),1-(AF315/O315),"")</f>
        <v>0.95823665893271459</v>
      </c>
      <c r="AZ315" s="136" t="str">
        <f>IF(Q315="","",IF(Q315&lt;2.5,"Alc. Bruta &lt; 2,5 mg/L",IF(Q315&lt;5,"2,5 ≤ Alc. Bruta &lt; 5,0 mg/L",IF(Q315&lt;7.5,"5,0 ≤ Alc. Bruta &lt; 7,5 mg/L",IF(Q315&lt;10,"7,5 ≤ Alc. Bruta &lt; 10,0 mg/L",IF(Q315&lt;15,"10,0 ≤ Alca. Bruta &lt; 15,0 mg/L","Alc. Bruta &gt; 15 mg/L"))))))</f>
        <v>5,0 ≤ Alc. Bruta &lt; 7,5 mg/L</v>
      </c>
      <c r="BA315" s="136" t="str">
        <f>IF(P315="","",IF(P315&lt;5,"Cor &lt;5 uC",IF(P315&lt;10,"5 ≤ Cor &lt; 10 uC",IF(P315&lt;15,"10 ≤ Cor &lt;15 uC",IF(P315&lt;30,"15 ≤ Cor &lt; 30 uC",IF(P315&lt;50,"30 ≤ Cor &lt; 50 uC","Cor &gt; 50 uC"))))))</f>
        <v>5 ≤ Cor &lt; 10 uC</v>
      </c>
      <c r="BB315" s="137" t="str">
        <f>IF(O315="","",IF(O315&lt;2.5,"Turbidez &lt; 2,5 uT",IF(O315&lt;5,"2,5 ≤ Turb &lt; 5,0 uT",IF(O315&lt;7.5,"5,0 ≤ Turb &lt; 7,5 uT",IF(O315&lt;10,"7,5 ≤ Turb &lt; 10,0 uT",IF(O315&lt;15,"10,0 ≤ Turb &lt; 15,0 uT","Turb &gt; 15 uT"))))))</f>
        <v>2,5 ≤ Turb &lt; 5,0 uT</v>
      </c>
      <c r="BC315" s="138" t="str">
        <f>IF(AND(C315&gt;D315,D315&gt;E315),"TOR &gt; SM &gt; BNN",IF(AND(C315&gt;E315,E315&gt;D315),"TOR &gt; BNN &gt; SM",IF(AND(D315&gt;C315,C315&gt;E315),"SM &gt; TOR &gt; BNN",IF(AND(D315&gt;E315,E315&gt;C315),"SM &gt; BNN &gt; TOR",IF(AND(C315=D315,D315=E315),"TOR = SM = BNN","Comb. diferentes")))))</f>
        <v>SM &gt; BNN &gt; TOR</v>
      </c>
      <c r="BD315" s="137" t="str">
        <f>IF(OR(AE315="",AQ315="-"),"",IF(AE315&lt;=0.25,"Tipo 1 (≤0,25) uT",IF(AE315&lt;=0.5,"Tipo 2 (0,25-0,50) uT",IF(AE315&lt;=0.75,"Tipo 3 (0,50-0,75) uT","Tipo 4 (&gt;0,75) uT"))))</f>
        <v>Tipo 2 (0,25-0,50) uT</v>
      </c>
      <c r="BE315" s="137" t="str">
        <f t="shared" si="28"/>
        <v>Tipo 1 (≤0,25) uT</v>
      </c>
      <c r="BF315" s="137" t="str">
        <f>IF(OR(AF315="",AQ315="-"),"",IF(AF315&lt;=0.25,"Tipo 1 (≤0,25) uT",IF(AF315&lt;=0.5,"Tipo 2 (0,25-0,50) uT",IF(AF315&lt;=0.75,"Tipo 3 (0,50-0,75) uT","Tipo 4 (&gt;0,75) uT"))))</f>
        <v>Tipo 1 (≤0,25) uT</v>
      </c>
      <c r="BG315" s="137" t="str">
        <f t="shared" si="29"/>
        <v>Tipo 1 (≤0,25) uT</v>
      </c>
      <c r="BH315" s="137" t="str">
        <f>IF(OR(R315="",R315="-"),"",IF(R315&lt;=0.25,"Tipo 1 (≤0,25) uT",IF(R315&lt;=0.5,"Tipo 2 (0,25-0,50) uT",IF(R315&lt;=0.75,"Tipo 3 (0,50-0,75) uT","Tipo 4 (&gt;0,75) uT"))))</f>
        <v>Tipo 1 (≤0,25) uT</v>
      </c>
    </row>
    <row r="316" spans="1:60" x14ac:dyDescent="0.3">
      <c r="A316" s="74">
        <v>46293</v>
      </c>
      <c r="B316" s="139">
        <v>0.64583333333333337</v>
      </c>
      <c r="C316" s="116">
        <v>287</v>
      </c>
      <c r="D316" s="116">
        <v>1555</v>
      </c>
      <c r="E316" s="116">
        <v>249</v>
      </c>
      <c r="F316" s="116">
        <v>2082</v>
      </c>
      <c r="G316" s="144" t="s">
        <v>100</v>
      </c>
      <c r="H316" s="122">
        <v>9.1999999999999993</v>
      </c>
      <c r="I316" s="116">
        <v>34</v>
      </c>
      <c r="J316" s="10">
        <v>90</v>
      </c>
      <c r="K316" s="116">
        <v>90</v>
      </c>
      <c r="L316" s="116">
        <v>90</v>
      </c>
      <c r="M316" s="122">
        <v>25.8</v>
      </c>
      <c r="N316" s="122">
        <v>6.5</v>
      </c>
      <c r="O316" s="79">
        <v>1.85</v>
      </c>
      <c r="P316" s="116">
        <v>14</v>
      </c>
      <c r="Q316" s="122">
        <v>7.7</v>
      </c>
      <c r="R316" s="10">
        <v>0.08</v>
      </c>
      <c r="S316" s="79">
        <v>22.36</v>
      </c>
      <c r="T316" s="79">
        <v>0.88</v>
      </c>
      <c r="U316" s="79">
        <v>0.7</v>
      </c>
      <c r="V316" s="85">
        <f t="shared" si="30"/>
        <v>1720.2524999999998</v>
      </c>
      <c r="W316" s="85">
        <f t="shared" si="31"/>
        <v>1533.3012239999998</v>
      </c>
      <c r="X316" s="85">
        <f t="shared" si="32"/>
        <v>0.89132335165913146</v>
      </c>
      <c r="Y316" s="116">
        <v>3</v>
      </c>
      <c r="Z316" s="116">
        <v>4</v>
      </c>
      <c r="AA316" s="122">
        <v>6</v>
      </c>
      <c r="AB316" s="116">
        <v>21</v>
      </c>
      <c r="AC316" s="122">
        <v>6.1</v>
      </c>
      <c r="AD316" s="122">
        <v>5.3</v>
      </c>
      <c r="AE316" s="79">
        <v>0.11</v>
      </c>
      <c r="AF316" s="79">
        <v>0.16</v>
      </c>
      <c r="AG316" s="85">
        <f>(O316+0.3*H316+2)*(F316/2/AK316)</f>
        <v>1720.2524999999998</v>
      </c>
      <c r="AH316" s="85">
        <f t="shared" si="33"/>
        <v>1742.2625791999999</v>
      </c>
      <c r="AI316" s="85">
        <f t="shared" si="34"/>
        <v>1.0127946793857296</v>
      </c>
      <c r="AJ316" s="116">
        <v>3</v>
      </c>
      <c r="AK316" s="116">
        <v>4</v>
      </c>
      <c r="AL316" s="122">
        <v>6.4</v>
      </c>
      <c r="AM316" s="116">
        <v>22</v>
      </c>
      <c r="AN316" s="122">
        <v>6.5</v>
      </c>
      <c r="AO316" s="122">
        <v>5</v>
      </c>
      <c r="AP316" s="79">
        <v>0.12</v>
      </c>
      <c r="AQ316" s="79">
        <v>0.21</v>
      </c>
      <c r="AR316" s="132">
        <f>SUM(C316:E316)</f>
        <v>2091</v>
      </c>
      <c r="AS316" s="134">
        <f>C316/AR316</f>
        <v>0.13725490196078433</v>
      </c>
      <c r="AT316" s="134">
        <f>D316/AR316</f>
        <v>0.74366331898613103</v>
      </c>
      <c r="AU316" s="134">
        <f>E316/AR316</f>
        <v>0.11908177905308465</v>
      </c>
      <c r="AV316" s="151">
        <f>IF(AND(F316&lt;&gt;"",Z316&lt;&gt;""),AB316/(F316/2/Z316),"")</f>
        <v>8.069164265129683E-2</v>
      </c>
      <c r="AW316" s="151">
        <f>IF(AND(F316&lt;&gt;"",AK316&lt;&gt;""),AM316/(F316/2/AK316),"")</f>
        <v>8.4534101825168101E-2</v>
      </c>
      <c r="AX316" s="41">
        <f>IF(AND(AQ316&lt;&gt;"",1-(AQ316/O316)&gt;0),1-(AQ316/O316),"")</f>
        <v>0.88648648648648654</v>
      </c>
      <c r="AY316" s="41">
        <f>IF(AND(AF316&lt;&gt;"",1-(AF316/O316)&gt;0),1-(AF316/O316),"")</f>
        <v>0.91351351351351351</v>
      </c>
      <c r="AZ316" s="136" t="str">
        <f>IF(Q316="","",IF(Q316&lt;2.5,"Alc. Bruta &lt; 2,5 mg/L",IF(Q316&lt;5,"2,5 ≤ Alc. Bruta &lt; 5,0 mg/L",IF(Q316&lt;7.5,"5,0 ≤ Alc. Bruta &lt; 7,5 mg/L",IF(Q316&lt;10,"7,5 ≤ Alc. Bruta &lt; 10,0 mg/L",IF(Q316&lt;15,"10,0 ≤ Alca. Bruta &lt; 15,0 mg/L","Alc. Bruta &gt; 15 mg/L"))))))</f>
        <v>7,5 ≤ Alc. Bruta &lt; 10,0 mg/L</v>
      </c>
      <c r="BA316" s="136" t="str">
        <f>IF(P316="","",IF(P316&lt;5,"Cor &lt;5 uC",IF(P316&lt;10,"5 ≤ Cor &lt; 10 uC",IF(P316&lt;15,"10 ≤ Cor &lt;15 uC",IF(P316&lt;30,"15 ≤ Cor &lt; 30 uC",IF(P316&lt;50,"30 ≤ Cor &lt; 50 uC","Cor &gt; 50 uC"))))))</f>
        <v>10 ≤ Cor &lt;15 uC</v>
      </c>
      <c r="BB316" s="137" t="str">
        <f>IF(O316="","",IF(O316&lt;2.5,"Turbidez &lt; 2,5 uT",IF(O316&lt;5,"2,5 ≤ Turb &lt; 5,0 uT",IF(O316&lt;7.5,"5,0 ≤ Turb &lt; 7,5 uT",IF(O316&lt;10,"7,5 ≤ Turb &lt; 10,0 uT",IF(O316&lt;15,"10,0 ≤ Turb &lt; 15,0 uT","Turb &gt; 15 uT"))))))</f>
        <v>Turbidez &lt; 2,5 uT</v>
      </c>
      <c r="BC316" s="138" t="str">
        <f>IF(AND(C316&gt;D316,D316&gt;E316),"TOR &gt; SM &gt; BNN",IF(AND(C316&gt;E316,E316&gt;D316),"TOR &gt; BNN &gt; SM",IF(AND(D316&gt;C316,C316&gt;E316),"SM &gt; TOR &gt; BNN",IF(AND(D316&gt;E316,E316&gt;C316),"SM &gt; BNN &gt; TOR",IF(AND(C316=D316,D316=E316),"TOR = SM = BNN","Comb. diferentes")))))</f>
        <v>SM &gt; TOR &gt; BNN</v>
      </c>
      <c r="BD316" s="137" t="str">
        <f>IF(OR(AE316="",AQ316="-"),"",IF(AE316&lt;=0.25,"Tipo 1 (≤0,25) uT",IF(AE316&lt;=0.5,"Tipo 2 (0,25-0,50) uT",IF(AE316&lt;=0.75,"Tipo 3 (0,50-0,75) uT","Tipo 4 (&gt;0,75) uT"))))</f>
        <v>Tipo 1 (≤0,25) uT</v>
      </c>
      <c r="BE316" s="137" t="str">
        <f t="shared" si="28"/>
        <v>Tipo 1 (≤0,25) uT</v>
      </c>
      <c r="BF316" s="137" t="str">
        <f>IF(OR(AF316="",AQ316="-"),"",IF(AF316&lt;=0.25,"Tipo 1 (≤0,25) uT",IF(AF316&lt;=0.5,"Tipo 2 (0,25-0,50) uT",IF(AF316&lt;=0.75,"Tipo 3 (0,50-0,75) uT","Tipo 4 (&gt;0,75) uT"))))</f>
        <v>Tipo 1 (≤0,25) uT</v>
      </c>
      <c r="BG316" s="137" t="str">
        <f t="shared" si="29"/>
        <v>Tipo 1 (≤0,25) uT</v>
      </c>
      <c r="BH316" s="137" t="str">
        <f>IF(OR(R316="",R316="-"),"",IF(R316&lt;=0.25,"Tipo 1 (≤0,25) uT",IF(R316&lt;=0.5,"Tipo 2 (0,25-0,50) uT",IF(R316&lt;=0.75,"Tipo 3 (0,50-0,75) uT","Tipo 4 (&gt;0,75) uT"))))</f>
        <v>Tipo 1 (≤0,25) uT</v>
      </c>
    </row>
    <row r="317" spans="1:60" x14ac:dyDescent="0.3">
      <c r="A317" s="74">
        <v>46293</v>
      </c>
      <c r="B317" s="139">
        <v>0.72916666666666663</v>
      </c>
      <c r="C317" s="116">
        <v>269</v>
      </c>
      <c r="D317" s="116">
        <v>1597</v>
      </c>
      <c r="E317" s="116">
        <v>250</v>
      </c>
      <c r="F317" s="116">
        <v>2079</v>
      </c>
      <c r="G317" s="144" t="s">
        <v>100</v>
      </c>
      <c r="H317" s="122">
        <v>9.1999999999999993</v>
      </c>
      <c r="I317" s="116">
        <v>34</v>
      </c>
      <c r="J317" s="10">
        <v>90</v>
      </c>
      <c r="K317" s="116">
        <v>90</v>
      </c>
      <c r="L317" s="116">
        <v>90</v>
      </c>
      <c r="M317" s="122">
        <v>26.2</v>
      </c>
      <c r="N317" s="122">
        <v>6.5</v>
      </c>
      <c r="O317" s="79">
        <v>1</v>
      </c>
      <c r="P317" s="116">
        <v>14</v>
      </c>
      <c r="Q317" s="122">
        <v>9.1</v>
      </c>
      <c r="R317" s="10">
        <v>0.08</v>
      </c>
      <c r="S317" s="79">
        <v>22.36</v>
      </c>
      <c r="T317" s="79">
        <v>0.88</v>
      </c>
      <c r="U317" s="79">
        <v>0.7</v>
      </c>
      <c r="V317" s="85">
        <f t="shared" si="30"/>
        <v>1496.8799999999999</v>
      </c>
      <c r="W317" s="85">
        <f t="shared" si="31"/>
        <v>1565.7431243999997</v>
      </c>
      <c r="X317" s="85">
        <f t="shared" si="32"/>
        <v>1.0460044388327721</v>
      </c>
      <c r="Y317" s="116">
        <v>3</v>
      </c>
      <c r="Z317" s="116">
        <v>4</v>
      </c>
      <c r="AA317" s="122">
        <v>6.1</v>
      </c>
      <c r="AB317" s="116">
        <v>21</v>
      </c>
      <c r="AC317" s="122">
        <v>6.1</v>
      </c>
      <c r="AD317" s="122">
        <v>5.5</v>
      </c>
      <c r="AE317" s="79">
        <v>0.12</v>
      </c>
      <c r="AF317" s="79">
        <v>0.16</v>
      </c>
      <c r="AG317" s="85">
        <f>(O317+0.3*H317+2)*(F317/2/AK317)</f>
        <v>1496.8799999999999</v>
      </c>
      <c r="AH317" s="85">
        <f t="shared" si="33"/>
        <v>1742.2625791999999</v>
      </c>
      <c r="AI317" s="85">
        <f t="shared" si="34"/>
        <v>1.1639293592004702</v>
      </c>
      <c r="AJ317" s="116">
        <v>3</v>
      </c>
      <c r="AK317" s="116">
        <v>4</v>
      </c>
      <c r="AL317" s="122">
        <v>6.4</v>
      </c>
      <c r="AM317" s="116">
        <v>22</v>
      </c>
      <c r="AN317" s="122">
        <v>6.3</v>
      </c>
      <c r="AO317" s="122">
        <v>5.3</v>
      </c>
      <c r="AP317" s="79">
        <v>0.12</v>
      </c>
      <c r="AQ317" s="79">
        <v>0.2</v>
      </c>
      <c r="AR317" s="132">
        <f>SUM(C317:E317)</f>
        <v>2116</v>
      </c>
      <c r="AS317" s="134">
        <f>C317/AR317</f>
        <v>0.1271266540642722</v>
      </c>
      <c r="AT317" s="134">
        <f>D317/AR317</f>
        <v>0.75472589792060496</v>
      </c>
      <c r="AU317" s="134">
        <f>E317/AR317</f>
        <v>0.11814744801512288</v>
      </c>
      <c r="AV317" s="151">
        <f>IF(AND(F317&lt;&gt;"",Z317&lt;&gt;""),AB317/(F317/2/Z317),"")</f>
        <v>8.0808080808080815E-2</v>
      </c>
      <c r="AW317" s="151">
        <f>IF(AND(F317&lt;&gt;"",AK317&lt;&gt;""),AM317/(F317/2/AK317),"")</f>
        <v>8.4656084656084651E-2</v>
      </c>
      <c r="AX317" s="41">
        <f>IF(AND(AQ317&lt;&gt;"",1-(AQ317/O317)&gt;0),1-(AQ317/O317),"")</f>
        <v>0.8</v>
      </c>
      <c r="AY317" s="41">
        <f>IF(AND(AF317&lt;&gt;"",1-(AF317/O317)&gt;0),1-(AF317/O317),"")</f>
        <v>0.84</v>
      </c>
      <c r="AZ317" s="136" t="str">
        <f>IF(Q317="","",IF(Q317&lt;2.5,"Alc. Bruta &lt; 2,5 mg/L",IF(Q317&lt;5,"2,5 ≤ Alc. Bruta &lt; 5,0 mg/L",IF(Q317&lt;7.5,"5,0 ≤ Alc. Bruta &lt; 7,5 mg/L",IF(Q317&lt;10,"7,5 ≤ Alc. Bruta &lt; 10,0 mg/L",IF(Q317&lt;15,"10,0 ≤ Alca. Bruta &lt; 15,0 mg/L","Alc. Bruta &gt; 15 mg/L"))))))</f>
        <v>7,5 ≤ Alc. Bruta &lt; 10,0 mg/L</v>
      </c>
      <c r="BA317" s="136" t="str">
        <f>IF(P317="","",IF(P317&lt;5,"Cor &lt;5 uC",IF(P317&lt;10,"5 ≤ Cor &lt; 10 uC",IF(P317&lt;15,"10 ≤ Cor &lt;15 uC",IF(P317&lt;30,"15 ≤ Cor &lt; 30 uC",IF(P317&lt;50,"30 ≤ Cor &lt; 50 uC","Cor &gt; 50 uC"))))))</f>
        <v>10 ≤ Cor &lt;15 uC</v>
      </c>
      <c r="BB317" s="137" t="str">
        <f>IF(O317="","",IF(O317&lt;2.5,"Turbidez &lt; 2,5 uT",IF(O317&lt;5,"2,5 ≤ Turb &lt; 5,0 uT",IF(O317&lt;7.5,"5,0 ≤ Turb &lt; 7,5 uT",IF(O317&lt;10,"7,5 ≤ Turb &lt; 10,0 uT",IF(O317&lt;15,"10,0 ≤ Turb &lt; 15,0 uT","Turb &gt; 15 uT"))))))</f>
        <v>Turbidez &lt; 2,5 uT</v>
      </c>
      <c r="BC317" s="138" t="str">
        <f>IF(AND(C317&gt;D317,D317&gt;E317),"TOR &gt; SM &gt; BNN",IF(AND(C317&gt;E317,E317&gt;D317),"TOR &gt; BNN &gt; SM",IF(AND(D317&gt;C317,C317&gt;E317),"SM &gt; TOR &gt; BNN",IF(AND(D317&gt;E317,E317&gt;C317),"SM &gt; BNN &gt; TOR",IF(AND(C317=D317,D317=E317),"TOR = SM = BNN","Comb. diferentes")))))</f>
        <v>SM &gt; TOR &gt; BNN</v>
      </c>
      <c r="BD317" s="137" t="str">
        <f>IF(OR(AE317="",AQ317="-"),"",IF(AE317&lt;=0.25,"Tipo 1 (≤0,25) uT",IF(AE317&lt;=0.5,"Tipo 2 (0,25-0,50) uT",IF(AE317&lt;=0.75,"Tipo 3 (0,50-0,75) uT","Tipo 4 (&gt;0,75) uT"))))</f>
        <v>Tipo 1 (≤0,25) uT</v>
      </c>
      <c r="BE317" s="137" t="str">
        <f t="shared" si="28"/>
        <v>Tipo 1 (≤0,25) uT</v>
      </c>
      <c r="BF317" s="137" t="str">
        <f>IF(OR(AF317="",AQ317="-"),"",IF(AF317&lt;=0.25,"Tipo 1 (≤0,25) uT",IF(AF317&lt;=0.5,"Tipo 2 (0,25-0,50) uT",IF(AF317&lt;=0.75,"Tipo 3 (0,50-0,75) uT","Tipo 4 (&gt;0,75) uT"))))</f>
        <v>Tipo 1 (≤0,25) uT</v>
      </c>
      <c r="BG317" s="137" t="str">
        <f t="shared" si="29"/>
        <v>Tipo 1 (≤0,25) uT</v>
      </c>
      <c r="BH317" s="137" t="str">
        <f>IF(OR(R317="",R317="-"),"",IF(R317&lt;=0.25,"Tipo 1 (≤0,25) uT",IF(R317&lt;=0.5,"Tipo 2 (0,25-0,50) uT",IF(R317&lt;=0.75,"Tipo 3 (0,50-0,75) uT","Tipo 4 (&gt;0,75) uT"))))</f>
        <v>Tipo 1 (≤0,25) uT</v>
      </c>
    </row>
    <row r="318" spans="1:60" x14ac:dyDescent="0.3">
      <c r="A318" s="74">
        <v>46293</v>
      </c>
      <c r="B318" s="139">
        <v>0.8125</v>
      </c>
      <c r="C318" s="116">
        <v>290</v>
      </c>
      <c r="D318" s="116">
        <v>1649</v>
      </c>
      <c r="E318" s="116">
        <v>250</v>
      </c>
      <c r="F318" s="116">
        <v>2207</v>
      </c>
      <c r="G318" s="144" t="s">
        <v>100</v>
      </c>
      <c r="H318" s="122">
        <v>9.1999999999999993</v>
      </c>
      <c r="I318" s="116">
        <v>33</v>
      </c>
      <c r="J318" s="10">
        <v>90</v>
      </c>
      <c r="K318" s="116">
        <v>90</v>
      </c>
      <c r="L318" s="116">
        <v>90</v>
      </c>
      <c r="M318" s="122">
        <v>24.3</v>
      </c>
      <c r="N318" s="122">
        <v>6.4</v>
      </c>
      <c r="O318" s="79">
        <v>4.6100000000000003</v>
      </c>
      <c r="P318" s="116">
        <v>14</v>
      </c>
      <c r="Q318" s="122">
        <v>8.6</v>
      </c>
      <c r="R318" s="10">
        <v>0.09</v>
      </c>
      <c r="S318" s="79">
        <v>22.36</v>
      </c>
      <c r="T318" s="79">
        <v>0.88</v>
      </c>
      <c r="U318" s="79">
        <v>0.7</v>
      </c>
      <c r="V318" s="85">
        <f t="shared" si="30"/>
        <v>2584.9487500000005</v>
      </c>
      <c r="W318" s="85">
        <f t="shared" si="31"/>
        <v>1565.7431243999997</v>
      </c>
      <c r="X318" s="85">
        <f t="shared" si="32"/>
        <v>0.60571534518817804</v>
      </c>
      <c r="Y318" s="116">
        <v>3</v>
      </c>
      <c r="Z318" s="116">
        <v>4</v>
      </c>
      <c r="AA318" s="122">
        <v>6.1</v>
      </c>
      <c r="AB318" s="116">
        <v>21</v>
      </c>
      <c r="AC318" s="122">
        <v>6.1</v>
      </c>
      <c r="AD318" s="122">
        <v>4.7</v>
      </c>
      <c r="AE318" s="79">
        <v>0.19</v>
      </c>
      <c r="AF318" s="79">
        <v>0.14000000000000001</v>
      </c>
      <c r="AG318" s="85">
        <f>(O318+0.3*H318+2)*(F318/2/AK318)</f>
        <v>2584.9487500000005</v>
      </c>
      <c r="AH318" s="85">
        <f t="shared" si="33"/>
        <v>1742.2625791999999</v>
      </c>
      <c r="AI318" s="85">
        <f t="shared" si="34"/>
        <v>0.67400275506429275</v>
      </c>
      <c r="AJ318" s="116">
        <v>3</v>
      </c>
      <c r="AK318" s="116">
        <v>4</v>
      </c>
      <c r="AL318" s="122">
        <v>6.4</v>
      </c>
      <c r="AM318" s="116">
        <v>22</v>
      </c>
      <c r="AN318" s="122">
        <v>6.2</v>
      </c>
      <c r="AO318" s="122">
        <v>6</v>
      </c>
      <c r="AP318" s="79">
        <v>0.24</v>
      </c>
      <c r="AQ318" s="79">
        <v>0.2</v>
      </c>
      <c r="AR318" s="132">
        <f>SUM(C318:E318)</f>
        <v>2189</v>
      </c>
      <c r="AS318" s="134">
        <f>C318/AR318</f>
        <v>0.13248058474189128</v>
      </c>
      <c r="AT318" s="134">
        <f>D318/AR318</f>
        <v>0.75331201461854724</v>
      </c>
      <c r="AU318" s="134">
        <f>E318/AR318</f>
        <v>0.11420740063956145</v>
      </c>
      <c r="AV318" s="151">
        <f>IF(AND(F318&lt;&gt;"",Z318&lt;&gt;""),AB318/(F318/2/Z318),"")</f>
        <v>7.6121431807883999E-2</v>
      </c>
      <c r="AW318" s="151">
        <f>IF(AND(F318&lt;&gt;"",AK318&lt;&gt;""),AM318/(F318/2/AK318),"")</f>
        <v>7.9746261893973713E-2</v>
      </c>
      <c r="AX318" s="41">
        <f>IF(AND(AQ318&lt;&gt;"",1-(AQ318/O318)&gt;0),1-(AQ318/O318),"")</f>
        <v>0.95661605206073752</v>
      </c>
      <c r="AY318" s="41">
        <f>IF(AND(AF318&lt;&gt;"",1-(AF318/O318)&gt;0),1-(AF318/O318),"")</f>
        <v>0.96963123644251625</v>
      </c>
      <c r="AZ318" s="136" t="str">
        <f>IF(Q318="","",IF(Q318&lt;2.5,"Alc. Bruta &lt; 2,5 mg/L",IF(Q318&lt;5,"2,5 ≤ Alc. Bruta &lt; 5,0 mg/L",IF(Q318&lt;7.5,"5,0 ≤ Alc. Bruta &lt; 7,5 mg/L",IF(Q318&lt;10,"7,5 ≤ Alc. Bruta &lt; 10,0 mg/L",IF(Q318&lt;15,"10,0 ≤ Alca. Bruta &lt; 15,0 mg/L","Alc. Bruta &gt; 15 mg/L"))))))</f>
        <v>7,5 ≤ Alc. Bruta &lt; 10,0 mg/L</v>
      </c>
      <c r="BA318" s="136" t="str">
        <f>IF(P318="","",IF(P318&lt;5,"Cor &lt;5 uC",IF(P318&lt;10,"5 ≤ Cor &lt; 10 uC",IF(P318&lt;15,"10 ≤ Cor &lt;15 uC",IF(P318&lt;30,"15 ≤ Cor &lt; 30 uC",IF(P318&lt;50,"30 ≤ Cor &lt; 50 uC","Cor &gt; 50 uC"))))))</f>
        <v>10 ≤ Cor &lt;15 uC</v>
      </c>
      <c r="BB318" s="137" t="str">
        <f>IF(O318="","",IF(O318&lt;2.5,"Turbidez &lt; 2,5 uT",IF(O318&lt;5,"2,5 ≤ Turb &lt; 5,0 uT",IF(O318&lt;7.5,"5,0 ≤ Turb &lt; 7,5 uT",IF(O318&lt;10,"7,5 ≤ Turb &lt; 10,0 uT",IF(O318&lt;15,"10,0 ≤ Turb &lt; 15,0 uT","Turb &gt; 15 uT"))))))</f>
        <v>2,5 ≤ Turb &lt; 5,0 uT</v>
      </c>
      <c r="BC318" s="138" t="str">
        <f>IF(AND(C318&gt;D318,D318&gt;E318),"TOR &gt; SM &gt; BNN",IF(AND(C318&gt;E318,E318&gt;D318),"TOR &gt; BNN &gt; SM",IF(AND(D318&gt;C318,C318&gt;E318),"SM &gt; TOR &gt; BNN",IF(AND(D318&gt;E318,E318&gt;C318),"SM &gt; BNN &gt; TOR",IF(AND(C318=D318,D318=E318),"TOR = SM = BNN","Comb. diferentes")))))</f>
        <v>SM &gt; TOR &gt; BNN</v>
      </c>
      <c r="BD318" s="137" t="str">
        <f>IF(OR(AE318="",AQ318="-"),"",IF(AE318&lt;=0.25,"Tipo 1 (≤0,25) uT",IF(AE318&lt;=0.5,"Tipo 2 (0,25-0,50) uT",IF(AE318&lt;=0.75,"Tipo 3 (0,50-0,75) uT","Tipo 4 (&gt;0,75) uT"))))</f>
        <v>Tipo 1 (≤0,25) uT</v>
      </c>
      <c r="BE318" s="137" t="str">
        <f t="shared" si="28"/>
        <v>Tipo 1 (≤0,25) uT</v>
      </c>
      <c r="BF318" s="137" t="str">
        <f>IF(OR(AF318="",AQ318="-"),"",IF(AF318&lt;=0.25,"Tipo 1 (≤0,25) uT",IF(AF318&lt;=0.5,"Tipo 2 (0,25-0,50) uT",IF(AF318&lt;=0.75,"Tipo 3 (0,50-0,75) uT","Tipo 4 (&gt;0,75) uT"))))</f>
        <v>Tipo 1 (≤0,25) uT</v>
      </c>
      <c r="BG318" s="137" t="str">
        <f t="shared" si="29"/>
        <v>Tipo 1 (≤0,25) uT</v>
      </c>
      <c r="BH318" s="137" t="str">
        <f>IF(OR(R318="",R318="-"),"",IF(R318&lt;=0.25,"Tipo 1 (≤0,25) uT",IF(R318&lt;=0.5,"Tipo 2 (0,25-0,50) uT",IF(R318&lt;=0.75,"Tipo 3 (0,50-0,75) uT","Tipo 4 (&gt;0,75) uT"))))</f>
        <v>Tipo 1 (≤0,25) uT</v>
      </c>
    </row>
    <row r="319" spans="1:60" x14ac:dyDescent="0.3">
      <c r="A319" s="74">
        <v>46293</v>
      </c>
      <c r="B319" s="139">
        <v>0.89583333333333337</v>
      </c>
      <c r="C319" s="116">
        <v>284</v>
      </c>
      <c r="D319" s="116">
        <v>1710</v>
      </c>
      <c r="E319" s="116">
        <v>250</v>
      </c>
      <c r="F319" s="116">
        <v>2228</v>
      </c>
      <c r="G319" s="144" t="s">
        <v>100</v>
      </c>
      <c r="H319" s="122">
        <v>9.1999999999999993</v>
      </c>
      <c r="I319" s="116">
        <v>33</v>
      </c>
      <c r="J319" s="10">
        <v>90</v>
      </c>
      <c r="K319" s="116">
        <v>90</v>
      </c>
      <c r="L319" s="116">
        <v>90</v>
      </c>
      <c r="M319" s="122">
        <v>25.9</v>
      </c>
      <c r="N319" s="122">
        <v>6.4</v>
      </c>
      <c r="O319" s="79">
        <v>1.47</v>
      </c>
      <c r="P319" s="116">
        <v>12</v>
      </c>
      <c r="Q319" s="122">
        <v>7.4</v>
      </c>
      <c r="R319" s="10">
        <v>0.08</v>
      </c>
      <c r="S319" s="79">
        <v>22.36</v>
      </c>
      <c r="T319" s="79">
        <v>0.88</v>
      </c>
      <c r="U319" s="79">
        <v>0.7</v>
      </c>
      <c r="V319" s="85">
        <f t="shared" si="30"/>
        <v>1735.0549999999998</v>
      </c>
      <c r="W319" s="85">
        <f t="shared" si="31"/>
        <v>1565.7431243999997</v>
      </c>
      <c r="X319" s="85">
        <f t="shared" si="32"/>
        <v>0.90241699796260055</v>
      </c>
      <c r="Y319" s="116">
        <v>3</v>
      </c>
      <c r="Z319" s="116">
        <v>4</v>
      </c>
      <c r="AA319" s="122">
        <v>6.1</v>
      </c>
      <c r="AB319" s="116">
        <v>21</v>
      </c>
      <c r="AC319" s="122">
        <v>6.2</v>
      </c>
      <c r="AD319" s="122">
        <v>5.4</v>
      </c>
      <c r="AE319" s="79">
        <v>0.21</v>
      </c>
      <c r="AF319" s="79">
        <v>0.14000000000000001</v>
      </c>
      <c r="AG319" s="85">
        <f>(O319+0.3*H319+2)*(F319/2/AK319)</f>
        <v>1735.0549999999998</v>
      </c>
      <c r="AH319" s="85">
        <f t="shared" si="33"/>
        <v>1708.2758263999997</v>
      </c>
      <c r="AI319" s="85">
        <f t="shared" si="34"/>
        <v>0.98456580707816166</v>
      </c>
      <c r="AJ319" s="116">
        <v>3</v>
      </c>
      <c r="AK319" s="116">
        <v>4</v>
      </c>
      <c r="AL319" s="122">
        <v>6.3</v>
      </c>
      <c r="AM319" s="116">
        <v>22</v>
      </c>
      <c r="AN319" s="122">
        <v>6.2</v>
      </c>
      <c r="AO319" s="122">
        <v>5.6</v>
      </c>
      <c r="AP319" s="79">
        <v>0.2</v>
      </c>
      <c r="AQ319" s="79">
        <v>0.21</v>
      </c>
      <c r="AR319" s="132">
        <f>SUM(C319:E319)</f>
        <v>2244</v>
      </c>
      <c r="AS319" s="134">
        <f>C319/AR319</f>
        <v>0.12655971479500891</v>
      </c>
      <c r="AT319" s="134">
        <f>D319/AR319</f>
        <v>0.76203208556149737</v>
      </c>
      <c r="AU319" s="134">
        <f>E319/AR319</f>
        <v>0.11140819964349376</v>
      </c>
      <c r="AV319" s="151">
        <f>IF(AND(F319&lt;&gt;"",Z319&lt;&gt;""),AB319/(F319/2/Z319),"")</f>
        <v>7.5403949730700179E-2</v>
      </c>
      <c r="AW319" s="151">
        <f>IF(AND(F319&lt;&gt;"",AK319&lt;&gt;""),AM319/(F319/2/AK319),"")</f>
        <v>7.899461400359066E-2</v>
      </c>
      <c r="AX319" s="41">
        <f>IF(AND(AQ319&lt;&gt;"",1-(AQ319/O319)&gt;0),1-(AQ319/O319),"")</f>
        <v>0.85714285714285721</v>
      </c>
      <c r="AY319" s="41">
        <f>IF(AND(AF319&lt;&gt;"",1-(AF319/O319)&gt;0),1-(AF319/O319),"")</f>
        <v>0.90476190476190477</v>
      </c>
      <c r="AZ319" s="136" t="str">
        <f>IF(Q319="","",IF(Q319&lt;2.5,"Alc. Bruta &lt; 2,5 mg/L",IF(Q319&lt;5,"2,5 ≤ Alc. Bruta &lt; 5,0 mg/L",IF(Q319&lt;7.5,"5,0 ≤ Alc. Bruta &lt; 7,5 mg/L",IF(Q319&lt;10,"7,5 ≤ Alc. Bruta &lt; 10,0 mg/L",IF(Q319&lt;15,"10,0 ≤ Alca. Bruta &lt; 15,0 mg/L","Alc. Bruta &gt; 15 mg/L"))))))</f>
        <v>5,0 ≤ Alc. Bruta &lt; 7,5 mg/L</v>
      </c>
      <c r="BA319" s="136" t="str">
        <f>IF(P319="","",IF(P319&lt;5,"Cor &lt;5 uC",IF(P319&lt;10,"5 ≤ Cor &lt; 10 uC",IF(P319&lt;15,"10 ≤ Cor &lt;15 uC",IF(P319&lt;30,"15 ≤ Cor &lt; 30 uC",IF(P319&lt;50,"30 ≤ Cor &lt; 50 uC","Cor &gt; 50 uC"))))))</f>
        <v>10 ≤ Cor &lt;15 uC</v>
      </c>
      <c r="BB319" s="137" t="str">
        <f>IF(O319="","",IF(O319&lt;2.5,"Turbidez &lt; 2,5 uT",IF(O319&lt;5,"2,5 ≤ Turb &lt; 5,0 uT",IF(O319&lt;7.5,"5,0 ≤ Turb &lt; 7,5 uT",IF(O319&lt;10,"7,5 ≤ Turb &lt; 10,0 uT",IF(O319&lt;15,"10,0 ≤ Turb &lt; 15,0 uT","Turb &gt; 15 uT"))))))</f>
        <v>Turbidez &lt; 2,5 uT</v>
      </c>
      <c r="BC319" s="138" t="str">
        <f>IF(AND(C319&gt;D319,D319&gt;E319),"TOR &gt; SM &gt; BNN",IF(AND(C319&gt;E319,E319&gt;D319),"TOR &gt; BNN &gt; SM",IF(AND(D319&gt;C319,C319&gt;E319),"SM &gt; TOR &gt; BNN",IF(AND(D319&gt;E319,E319&gt;C319),"SM &gt; BNN &gt; TOR",IF(AND(C319=D319,D319=E319),"TOR = SM = BNN","Comb. diferentes")))))</f>
        <v>SM &gt; TOR &gt; BNN</v>
      </c>
      <c r="BD319" s="137" t="str">
        <f>IF(OR(AE319="",AQ319="-"),"",IF(AE319&lt;=0.25,"Tipo 1 (≤0,25) uT",IF(AE319&lt;=0.5,"Tipo 2 (0,25-0,50) uT",IF(AE319&lt;=0.75,"Tipo 3 (0,50-0,75) uT","Tipo 4 (&gt;0,75) uT"))))</f>
        <v>Tipo 1 (≤0,25) uT</v>
      </c>
      <c r="BE319" s="137" t="str">
        <f t="shared" si="28"/>
        <v>Tipo 1 (≤0,25) uT</v>
      </c>
      <c r="BF319" s="137" t="str">
        <f>IF(OR(AF319="",AQ319="-"),"",IF(AF319&lt;=0.25,"Tipo 1 (≤0,25) uT",IF(AF319&lt;=0.5,"Tipo 2 (0,25-0,50) uT",IF(AF319&lt;=0.75,"Tipo 3 (0,50-0,75) uT","Tipo 4 (&gt;0,75) uT"))))</f>
        <v>Tipo 1 (≤0,25) uT</v>
      </c>
      <c r="BG319" s="137" t="str">
        <f t="shared" si="29"/>
        <v>Tipo 1 (≤0,25) uT</v>
      </c>
      <c r="BH319" s="137" t="str">
        <f>IF(OR(R319="",R319="-"),"",IF(R319&lt;=0.25,"Tipo 1 (≤0,25) uT",IF(R319&lt;=0.5,"Tipo 2 (0,25-0,50) uT",IF(R319&lt;=0.75,"Tipo 3 (0,50-0,75) uT","Tipo 4 (&gt;0,75) uT"))))</f>
        <v>Tipo 1 (≤0,25) uT</v>
      </c>
    </row>
    <row r="320" spans="1:60" x14ac:dyDescent="0.3">
      <c r="A320" s="74">
        <v>46293</v>
      </c>
      <c r="B320" s="139">
        <v>0.97916666666666663</v>
      </c>
      <c r="C320" s="116">
        <v>281</v>
      </c>
      <c r="D320" s="116">
        <v>1681</v>
      </c>
      <c r="E320" s="116">
        <v>248</v>
      </c>
      <c r="F320" s="116">
        <v>2215</v>
      </c>
      <c r="G320" s="144" t="s">
        <v>100</v>
      </c>
      <c r="H320" s="122">
        <v>9.1999999999999993</v>
      </c>
      <c r="I320" s="116">
        <v>33</v>
      </c>
      <c r="J320" s="10">
        <v>90</v>
      </c>
      <c r="K320" s="116">
        <v>90</v>
      </c>
      <c r="L320" s="116">
        <v>90</v>
      </c>
      <c r="M320" s="122">
        <v>25.8</v>
      </c>
      <c r="N320" s="122">
        <v>6.5</v>
      </c>
      <c r="O320" s="79">
        <v>4.5</v>
      </c>
      <c r="P320" s="116">
        <v>12</v>
      </c>
      <c r="Q320" s="122">
        <v>7.5</v>
      </c>
      <c r="R320" s="10">
        <v>0.08</v>
      </c>
      <c r="S320" s="79">
        <v>22.36</v>
      </c>
      <c r="T320" s="79">
        <v>0.88</v>
      </c>
      <c r="U320" s="79">
        <v>0.7</v>
      </c>
      <c r="V320" s="85">
        <f t="shared" si="30"/>
        <v>2563.8624999999997</v>
      </c>
      <c r="W320" s="85">
        <f t="shared" si="31"/>
        <v>1565.7431243999997</v>
      </c>
      <c r="X320" s="85">
        <f t="shared" si="32"/>
        <v>0.61069699502215891</v>
      </c>
      <c r="Y320" s="116">
        <v>3</v>
      </c>
      <c r="Z320" s="116">
        <v>4</v>
      </c>
      <c r="AA320" s="122">
        <v>6.1</v>
      </c>
      <c r="AB320" s="116">
        <v>21</v>
      </c>
      <c r="AC320" s="122">
        <v>6.1</v>
      </c>
      <c r="AD320" s="122">
        <v>5.7</v>
      </c>
      <c r="AE320" s="79">
        <v>0.2</v>
      </c>
      <c r="AF320" s="79">
        <v>0.14000000000000001</v>
      </c>
      <c r="AG320" s="85">
        <f>(O320+0.3*H320+2)*(F320/2/AK320)</f>
        <v>2563.8624999999997</v>
      </c>
      <c r="AH320" s="85">
        <f t="shared" si="33"/>
        <v>1708.2758263999997</v>
      </c>
      <c r="AI320" s="85">
        <f t="shared" si="34"/>
        <v>0.66628995369291444</v>
      </c>
      <c r="AJ320" s="116">
        <v>3</v>
      </c>
      <c r="AK320" s="116">
        <v>4</v>
      </c>
      <c r="AL320" s="122">
        <v>6.3</v>
      </c>
      <c r="AM320" s="116">
        <v>22</v>
      </c>
      <c r="AN320" s="122">
        <v>6.1</v>
      </c>
      <c r="AO320" s="122">
        <v>5.7</v>
      </c>
      <c r="AP320" s="79">
        <v>0.16</v>
      </c>
      <c r="AQ320" s="79">
        <v>0.21</v>
      </c>
      <c r="AR320" s="132">
        <f>SUM(C320:E320)</f>
        <v>2210</v>
      </c>
      <c r="AS320" s="134">
        <f>C320/AR320</f>
        <v>0.12714932126696832</v>
      </c>
      <c r="AT320" s="134">
        <f>D320/AR320</f>
        <v>0.76063348416289589</v>
      </c>
      <c r="AU320" s="134">
        <f>E320/AR320</f>
        <v>0.11221719457013575</v>
      </c>
      <c r="AV320" s="151">
        <f>IF(AND(F320&lt;&gt;"",Z320&lt;&gt;""),AB320/(F320/2/Z320),"")</f>
        <v>7.584650112866817E-2</v>
      </c>
      <c r="AW320" s="151">
        <f>IF(AND(F320&lt;&gt;"",AK320&lt;&gt;""),AM320/(F320/2/AK320),"")</f>
        <v>7.9458239277652373E-2</v>
      </c>
      <c r="AX320" s="41">
        <f>IF(AND(AQ320&lt;&gt;"",1-(AQ320/O320)&gt;0),1-(AQ320/O320),"")</f>
        <v>0.95333333333333337</v>
      </c>
      <c r="AY320" s="41">
        <f>IF(AND(AF320&lt;&gt;"",1-(AF320/O320)&gt;0),1-(AF320/O320),"")</f>
        <v>0.96888888888888891</v>
      </c>
      <c r="AZ320" s="136" t="str">
        <f>IF(Q320="","",IF(Q320&lt;2.5,"Alc. Bruta &lt; 2,5 mg/L",IF(Q320&lt;5,"2,5 ≤ Alc. Bruta &lt; 5,0 mg/L",IF(Q320&lt;7.5,"5,0 ≤ Alc. Bruta &lt; 7,5 mg/L",IF(Q320&lt;10,"7,5 ≤ Alc. Bruta &lt; 10,0 mg/L",IF(Q320&lt;15,"10,0 ≤ Alca. Bruta &lt; 15,0 mg/L","Alc. Bruta &gt; 15 mg/L"))))))</f>
        <v>7,5 ≤ Alc. Bruta &lt; 10,0 mg/L</v>
      </c>
      <c r="BA320" s="136" t="str">
        <f>IF(P320="","",IF(P320&lt;5,"Cor &lt;5 uC",IF(P320&lt;10,"5 ≤ Cor &lt; 10 uC",IF(P320&lt;15,"10 ≤ Cor &lt;15 uC",IF(P320&lt;30,"15 ≤ Cor &lt; 30 uC",IF(P320&lt;50,"30 ≤ Cor &lt; 50 uC","Cor &gt; 50 uC"))))))</f>
        <v>10 ≤ Cor &lt;15 uC</v>
      </c>
      <c r="BB320" s="137" t="str">
        <f>IF(O320="","",IF(O320&lt;2.5,"Turbidez &lt; 2,5 uT",IF(O320&lt;5,"2,5 ≤ Turb &lt; 5,0 uT",IF(O320&lt;7.5,"5,0 ≤ Turb &lt; 7,5 uT",IF(O320&lt;10,"7,5 ≤ Turb &lt; 10,0 uT",IF(O320&lt;15,"10,0 ≤ Turb &lt; 15,0 uT","Turb &gt; 15 uT"))))))</f>
        <v>2,5 ≤ Turb &lt; 5,0 uT</v>
      </c>
      <c r="BC320" s="138" t="str">
        <f>IF(AND(C320&gt;D320,D320&gt;E320),"TOR &gt; SM &gt; BNN",IF(AND(C320&gt;E320,E320&gt;D320),"TOR &gt; BNN &gt; SM",IF(AND(D320&gt;C320,C320&gt;E320),"SM &gt; TOR &gt; BNN",IF(AND(D320&gt;E320,E320&gt;C320),"SM &gt; BNN &gt; TOR",IF(AND(C320=D320,D320=E320),"TOR = SM = BNN","Comb. diferentes")))))</f>
        <v>SM &gt; TOR &gt; BNN</v>
      </c>
      <c r="BD320" s="137" t="str">
        <f>IF(OR(AE320="",AQ320="-"),"",IF(AE320&lt;=0.25,"Tipo 1 (≤0,25) uT",IF(AE320&lt;=0.5,"Tipo 2 (0,25-0,50) uT",IF(AE320&lt;=0.75,"Tipo 3 (0,50-0,75) uT","Tipo 4 (&gt;0,75) uT"))))</f>
        <v>Tipo 1 (≤0,25) uT</v>
      </c>
      <c r="BE320" s="137" t="str">
        <f t="shared" si="28"/>
        <v>Tipo 1 (≤0,25) uT</v>
      </c>
      <c r="BF320" s="137" t="str">
        <f>IF(OR(AF320="",AQ320="-"),"",IF(AF320&lt;=0.25,"Tipo 1 (≤0,25) uT",IF(AF320&lt;=0.5,"Tipo 2 (0,25-0,50) uT",IF(AF320&lt;=0.75,"Tipo 3 (0,50-0,75) uT","Tipo 4 (&gt;0,75) uT"))))</f>
        <v>Tipo 1 (≤0,25) uT</v>
      </c>
      <c r="BG320" s="137" t="str">
        <f t="shared" si="29"/>
        <v>Tipo 1 (≤0,25) uT</v>
      </c>
      <c r="BH320" s="137" t="str">
        <f>IF(OR(R320="",R320="-"),"",IF(R320&lt;=0.25,"Tipo 1 (≤0,25) uT",IF(R320&lt;=0.5,"Tipo 2 (0,25-0,50) uT",IF(R320&lt;=0.75,"Tipo 3 (0,50-0,75) uT","Tipo 4 (&gt;0,75) uT"))))</f>
        <v>Tipo 1 (≤0,25) uT</v>
      </c>
    </row>
    <row r="321" spans="1:60" x14ac:dyDescent="0.3">
      <c r="A321" s="74">
        <v>46294</v>
      </c>
      <c r="B321" s="139">
        <v>6.25E-2</v>
      </c>
      <c r="C321" s="116">
        <v>285</v>
      </c>
      <c r="D321" s="116">
        <v>1673</v>
      </c>
      <c r="E321" s="116">
        <v>250</v>
      </c>
      <c r="F321" s="116">
        <v>2175</v>
      </c>
      <c r="G321" s="144" t="s">
        <v>100</v>
      </c>
      <c r="H321" s="122">
        <v>9.1999999999999993</v>
      </c>
      <c r="I321" s="116">
        <v>33</v>
      </c>
      <c r="J321" s="10">
        <v>70</v>
      </c>
      <c r="K321" s="116">
        <v>70</v>
      </c>
      <c r="L321" s="116">
        <v>90</v>
      </c>
      <c r="M321" s="122">
        <v>25.3</v>
      </c>
      <c r="N321" s="122">
        <v>6.4</v>
      </c>
      <c r="O321" s="79">
        <v>1.55</v>
      </c>
      <c r="P321" s="116">
        <v>13</v>
      </c>
      <c r="Q321" s="122">
        <v>7.6</v>
      </c>
      <c r="R321" s="10">
        <v>0.08</v>
      </c>
      <c r="S321" s="79">
        <v>22.36</v>
      </c>
      <c r="T321" s="79">
        <v>0.88</v>
      </c>
      <c r="U321" s="79">
        <v>0.7</v>
      </c>
      <c r="V321" s="85">
        <f t="shared" si="30"/>
        <v>1715.53125</v>
      </c>
      <c r="W321" s="85">
        <f t="shared" si="31"/>
        <v>1565.7431243999997</v>
      </c>
      <c r="X321" s="85">
        <f t="shared" si="32"/>
        <v>0.91268703172850962</v>
      </c>
      <c r="Y321" s="116">
        <v>3</v>
      </c>
      <c r="Z321" s="116">
        <v>4</v>
      </c>
      <c r="AA321" s="122">
        <v>6.1</v>
      </c>
      <c r="AB321" s="116">
        <v>21</v>
      </c>
      <c r="AC321" s="122">
        <v>6.1</v>
      </c>
      <c r="AD321" s="122">
        <v>5.5</v>
      </c>
      <c r="AE321" s="79">
        <v>0.19</v>
      </c>
      <c r="AF321" s="79">
        <v>0.13</v>
      </c>
      <c r="AG321" s="85">
        <f>(O321+0.3*H321+2)*(F321/2/AK321)</f>
        <v>1715.53125</v>
      </c>
      <c r="AH321" s="85">
        <f t="shared" si="33"/>
        <v>1742.2625791999999</v>
      </c>
      <c r="AI321" s="85">
        <f t="shared" si="34"/>
        <v>1.0155819541031386</v>
      </c>
      <c r="AJ321" s="116">
        <v>3</v>
      </c>
      <c r="AK321" s="116">
        <v>4</v>
      </c>
      <c r="AL321" s="122">
        <v>6.4</v>
      </c>
      <c r="AM321" s="116">
        <v>22</v>
      </c>
      <c r="AN321" s="122">
        <v>6.1</v>
      </c>
      <c r="AO321" s="122">
        <v>5.8</v>
      </c>
      <c r="AP321" s="79">
        <v>0.18</v>
      </c>
      <c r="AQ321" s="79">
        <v>0.21</v>
      </c>
      <c r="AR321" s="132">
        <f>SUM(C321:E321)</f>
        <v>2208</v>
      </c>
      <c r="AS321" s="134">
        <f>C321/AR321</f>
        <v>0.12907608695652173</v>
      </c>
      <c r="AT321" s="134">
        <f>D321/AR321</f>
        <v>0.75769927536231885</v>
      </c>
      <c r="AU321" s="134">
        <f>E321/AR321</f>
        <v>0.11322463768115942</v>
      </c>
      <c r="AV321" s="151">
        <f>IF(AND(F321&lt;&gt;"",Z321&lt;&gt;""),AB321/(F321/2/Z321),"")</f>
        <v>7.7241379310344832E-2</v>
      </c>
      <c r="AW321" s="151">
        <f>IF(AND(F321&lt;&gt;"",AK321&lt;&gt;""),AM321/(F321/2/AK321),"")</f>
        <v>8.0919540229885054E-2</v>
      </c>
      <c r="AX321" s="41">
        <f>IF(AND(AQ321&lt;&gt;"",1-(AQ321/O321)&gt;0),1-(AQ321/O321),"")</f>
        <v>0.86451612903225805</v>
      </c>
      <c r="AY321" s="41">
        <f>IF(AND(AF321&lt;&gt;"",1-(AF321/O321)&gt;0),1-(AF321/O321),"")</f>
        <v>0.91612903225806452</v>
      </c>
      <c r="AZ321" s="136" t="str">
        <f>IF(Q321="","",IF(Q321&lt;2.5,"Alc. Bruta &lt; 2,5 mg/L",IF(Q321&lt;5,"2,5 ≤ Alc. Bruta &lt; 5,0 mg/L",IF(Q321&lt;7.5,"5,0 ≤ Alc. Bruta &lt; 7,5 mg/L",IF(Q321&lt;10,"7,5 ≤ Alc. Bruta &lt; 10,0 mg/L",IF(Q321&lt;15,"10,0 ≤ Alca. Bruta &lt; 15,0 mg/L","Alc. Bruta &gt; 15 mg/L"))))))</f>
        <v>7,5 ≤ Alc. Bruta &lt; 10,0 mg/L</v>
      </c>
      <c r="BA321" s="136" t="str">
        <f>IF(P321="","",IF(P321&lt;5,"Cor &lt;5 uC",IF(P321&lt;10,"5 ≤ Cor &lt; 10 uC",IF(P321&lt;15,"10 ≤ Cor &lt;15 uC",IF(P321&lt;30,"15 ≤ Cor &lt; 30 uC",IF(P321&lt;50,"30 ≤ Cor &lt; 50 uC","Cor &gt; 50 uC"))))))</f>
        <v>10 ≤ Cor &lt;15 uC</v>
      </c>
      <c r="BB321" s="137" t="str">
        <f>IF(O321="","",IF(O321&lt;2.5,"Turbidez &lt; 2,5 uT",IF(O321&lt;5,"2,5 ≤ Turb &lt; 5,0 uT",IF(O321&lt;7.5,"5,0 ≤ Turb &lt; 7,5 uT",IF(O321&lt;10,"7,5 ≤ Turb &lt; 10,0 uT",IF(O321&lt;15,"10,0 ≤ Turb &lt; 15,0 uT","Turb &gt; 15 uT"))))))</f>
        <v>Turbidez &lt; 2,5 uT</v>
      </c>
      <c r="BC321" s="138" t="str">
        <f>IF(AND(C321&gt;D321,D321&gt;E321),"TOR &gt; SM &gt; BNN",IF(AND(C321&gt;E321,E321&gt;D321),"TOR &gt; BNN &gt; SM",IF(AND(D321&gt;C321,C321&gt;E321),"SM &gt; TOR &gt; BNN",IF(AND(D321&gt;E321,E321&gt;C321),"SM &gt; BNN &gt; TOR",IF(AND(C321=D321,D321=E321),"TOR = SM = BNN","Comb. diferentes")))))</f>
        <v>SM &gt; TOR &gt; BNN</v>
      </c>
      <c r="BD321" s="137" t="str">
        <f>IF(OR(AE321="",AQ321="-"),"",IF(AE321&lt;=0.25,"Tipo 1 (≤0,25) uT",IF(AE321&lt;=0.5,"Tipo 2 (0,25-0,50) uT",IF(AE321&lt;=0.75,"Tipo 3 (0,50-0,75) uT","Tipo 4 (&gt;0,75) uT"))))</f>
        <v>Tipo 1 (≤0,25) uT</v>
      </c>
      <c r="BE321" s="137" t="str">
        <f t="shared" si="28"/>
        <v>Tipo 1 (≤0,25) uT</v>
      </c>
      <c r="BF321" s="137" t="str">
        <f>IF(OR(AF321="",AQ321="-"),"",IF(AF321&lt;=0.25,"Tipo 1 (≤0,25) uT",IF(AF321&lt;=0.5,"Tipo 2 (0,25-0,50) uT",IF(AF321&lt;=0.75,"Tipo 3 (0,50-0,75) uT","Tipo 4 (&gt;0,75) uT"))))</f>
        <v>Tipo 1 (≤0,25) uT</v>
      </c>
      <c r="BG321" s="137" t="str">
        <f t="shared" si="29"/>
        <v>Tipo 1 (≤0,25) uT</v>
      </c>
      <c r="BH321" s="137" t="str">
        <f>IF(OR(R321="",R321="-"),"",IF(R321&lt;=0.25,"Tipo 1 (≤0,25) uT",IF(R321&lt;=0.5,"Tipo 2 (0,25-0,50) uT",IF(R321&lt;=0.75,"Tipo 3 (0,50-0,75) uT","Tipo 4 (&gt;0,75) uT"))))</f>
        <v>Tipo 1 (≤0,25) uT</v>
      </c>
    </row>
    <row r="322" spans="1:60" ht="15" thickBot="1" x14ac:dyDescent="0.35">
      <c r="A322" s="75">
        <v>46294</v>
      </c>
      <c r="B322" s="140">
        <v>0.22916666666666666</v>
      </c>
      <c r="C322" s="117">
        <v>294</v>
      </c>
      <c r="D322" s="117">
        <v>1607</v>
      </c>
      <c r="E322" s="117">
        <v>250</v>
      </c>
      <c r="F322" s="117">
        <v>2170</v>
      </c>
      <c r="G322" s="145" t="s">
        <v>100</v>
      </c>
      <c r="H322" s="123">
        <v>9.1999999999999993</v>
      </c>
      <c r="I322" s="117">
        <v>33</v>
      </c>
      <c r="J322" s="11">
        <v>90</v>
      </c>
      <c r="K322" s="117">
        <v>90</v>
      </c>
      <c r="L322" s="117">
        <v>90</v>
      </c>
      <c r="M322" s="123">
        <v>24.3</v>
      </c>
      <c r="N322" s="123">
        <v>6.4</v>
      </c>
      <c r="O322" s="80">
        <v>1.48</v>
      </c>
      <c r="P322" s="117">
        <v>13</v>
      </c>
      <c r="Q322" s="123">
        <v>6.8</v>
      </c>
      <c r="R322" s="11">
        <v>0.08</v>
      </c>
      <c r="S322" s="79">
        <v>22.36</v>
      </c>
      <c r="T322" s="79">
        <v>0.88</v>
      </c>
      <c r="U322" s="79">
        <v>0.7</v>
      </c>
      <c r="V322" s="85">
        <f t="shared" si="30"/>
        <v>1692.6000000000001</v>
      </c>
      <c r="W322" s="85">
        <f t="shared" si="31"/>
        <v>1565.7431243999997</v>
      </c>
      <c r="X322" s="85">
        <f t="shared" si="32"/>
        <v>0.92505206451612876</v>
      </c>
      <c r="Y322" s="117">
        <v>3</v>
      </c>
      <c r="Z322" s="117">
        <v>4</v>
      </c>
      <c r="AA322" s="123">
        <v>6.1</v>
      </c>
      <c r="AB322" s="116">
        <v>21</v>
      </c>
      <c r="AC322" s="123">
        <v>6.2</v>
      </c>
      <c r="AD322" s="123">
        <v>5.3</v>
      </c>
      <c r="AE322" s="80">
        <v>0.15</v>
      </c>
      <c r="AF322" s="80">
        <v>0.13</v>
      </c>
      <c r="AG322" s="85">
        <f>(O322+0.3*H322+2)*(F322/2/AK322)</f>
        <v>1692.6000000000001</v>
      </c>
      <c r="AH322" s="85">
        <f t="shared" si="33"/>
        <v>1708.2758263999997</v>
      </c>
      <c r="AI322" s="85">
        <f t="shared" si="34"/>
        <v>1.0092613886328723</v>
      </c>
      <c r="AJ322" s="117">
        <v>3</v>
      </c>
      <c r="AK322" s="117">
        <v>4</v>
      </c>
      <c r="AL322" s="123">
        <v>6.3</v>
      </c>
      <c r="AM322" s="117">
        <v>22</v>
      </c>
      <c r="AN322" s="123">
        <v>6.2</v>
      </c>
      <c r="AO322" s="123">
        <v>4.5999999999999996</v>
      </c>
      <c r="AP322" s="80">
        <v>0.17</v>
      </c>
      <c r="AQ322" s="80">
        <v>0.2</v>
      </c>
      <c r="AR322" s="132">
        <f>SUM(C322:E322)</f>
        <v>2151</v>
      </c>
      <c r="AS322" s="134">
        <f>C322/AR322</f>
        <v>0.13668061366806136</v>
      </c>
      <c r="AT322" s="134">
        <f>D322/AR322</f>
        <v>0.74709437470943751</v>
      </c>
      <c r="AU322" s="134">
        <f>E322/AR322</f>
        <v>0.11622501162250116</v>
      </c>
      <c r="AV322" s="151">
        <f>IF(AND(F322&lt;&gt;"",Z322&lt;&gt;""),AB322/(F322/2/Z322),"")</f>
        <v>7.7419354838709681E-2</v>
      </c>
      <c r="AW322" s="151">
        <f>IF(AND(F322&lt;&gt;"",AK322&lt;&gt;""),AM322/(F322/2/AK322),"")</f>
        <v>8.1105990783410145E-2</v>
      </c>
      <c r="AX322" s="41">
        <f>IF(AND(AQ322&lt;&gt;"",1-(AQ322/O322)&gt;0),1-(AQ322/O322),"")</f>
        <v>0.86486486486486491</v>
      </c>
      <c r="AY322" s="41">
        <f>IF(AND(AF322&lt;&gt;"",1-(AF322/O322)&gt;0),1-(AF322/O322),"")</f>
        <v>0.91216216216216217</v>
      </c>
      <c r="AZ322" s="136" t="str">
        <f>IF(Q322="","",IF(Q322&lt;2.5,"Alc. Bruta &lt; 2,5 mg/L",IF(Q322&lt;5,"2,5 ≤ Alc. Bruta &lt; 5,0 mg/L",IF(Q322&lt;7.5,"5,0 ≤ Alc. Bruta &lt; 7,5 mg/L",IF(Q322&lt;10,"7,5 ≤ Alc. Bruta &lt; 10,0 mg/L",IF(Q322&lt;15,"10,0 ≤ Alca. Bruta &lt; 15,0 mg/L","Alc. Bruta &gt; 15 mg/L"))))))</f>
        <v>5,0 ≤ Alc. Bruta &lt; 7,5 mg/L</v>
      </c>
      <c r="BA322" s="136" t="str">
        <f>IF(P322="","",IF(P322&lt;5,"Cor &lt;5 uC",IF(P322&lt;10,"5 ≤ Cor &lt; 10 uC",IF(P322&lt;15,"10 ≤ Cor &lt;15 uC",IF(P322&lt;30,"15 ≤ Cor &lt; 30 uC",IF(P322&lt;50,"30 ≤ Cor &lt; 50 uC","Cor &gt; 50 uC"))))))</f>
        <v>10 ≤ Cor &lt;15 uC</v>
      </c>
      <c r="BB322" s="137" t="str">
        <f>IF(O322="","",IF(O322&lt;2.5,"Turbidez &lt; 2,5 uT",IF(O322&lt;5,"2,5 ≤ Turb &lt; 5,0 uT",IF(O322&lt;7.5,"5,0 ≤ Turb &lt; 7,5 uT",IF(O322&lt;10,"7,5 ≤ Turb &lt; 10,0 uT",IF(O322&lt;15,"10,0 ≤ Turb &lt; 15,0 uT","Turb &gt; 15 uT"))))))</f>
        <v>Turbidez &lt; 2,5 uT</v>
      </c>
      <c r="BC322" s="138" t="str">
        <f>IF(AND(C322&gt;D322,D322&gt;E322),"TOR &gt; SM &gt; BNN",IF(AND(C322&gt;E322,E322&gt;D322),"TOR &gt; BNN &gt; SM",IF(AND(D322&gt;C322,C322&gt;E322),"SM &gt; TOR &gt; BNN",IF(AND(D322&gt;E322,E322&gt;C322),"SM &gt; BNN &gt; TOR",IF(AND(C322=D322,D322=E322),"TOR = SM = BNN","Comb. diferentes")))))</f>
        <v>SM &gt; TOR &gt; BNN</v>
      </c>
      <c r="BD322" s="137" t="str">
        <f>IF(OR(AE322="",AQ322="-"),"",IF(AE322&lt;=0.25,"Tipo 1 (≤0,25) uT",IF(AE322&lt;=0.5,"Tipo 2 (0,25-0,50) uT",IF(AE322&lt;=0.75,"Tipo 3 (0,50-0,75) uT","Tipo 4 (&gt;0,75) uT"))))</f>
        <v>Tipo 1 (≤0,25) uT</v>
      </c>
      <c r="BE322" s="137" t="str">
        <f t="shared" ref="BE322:BE385" si="35">IF(OR(AP322="",AZ322="-"),"",IF(AP322&lt;=0.25,"Tipo 1 (≤0,25) uT",IF(AP322&lt;=0.5,"Tipo 2 (0,25-0,50) uT",IF(AP322&lt;=0.75,"Tipo 3 (0,50-0,75) uT","Tipo 4 (&gt;0,75) uT"))))</f>
        <v>Tipo 1 (≤0,25) uT</v>
      </c>
      <c r="BF322" s="137" t="str">
        <f>IF(OR(AF322="",AQ322="-"),"",IF(AF322&lt;=0.25,"Tipo 1 (≤0,25) uT",IF(AF322&lt;=0.5,"Tipo 2 (0,25-0,50) uT",IF(AF322&lt;=0.75,"Tipo 3 (0,50-0,75) uT","Tipo 4 (&gt;0,75) uT"))))</f>
        <v>Tipo 1 (≤0,25) uT</v>
      </c>
      <c r="BG322" s="137" t="str">
        <f t="shared" ref="BG322:BG385" si="36">IF(OR(AQ322="",AQ322="-"),"",IF(AQ322&lt;=0.25,"Tipo 1 (≤0,25) uT",IF(AQ322&lt;=0.5,"Tipo 2 (0,25-0,50) uT",IF(AQ322&lt;=0.75,"Tipo 3 (0,50-0,75) uT","Tipo 4 (&gt;0,75) uT"))))</f>
        <v>Tipo 1 (≤0,25) uT</v>
      </c>
      <c r="BH322" s="137" t="str">
        <f>IF(OR(R322="",R322="-"),"",IF(R322&lt;=0.25,"Tipo 1 (≤0,25) uT",IF(R322&lt;=0.5,"Tipo 2 (0,25-0,50) uT",IF(R322&lt;=0.75,"Tipo 3 (0,50-0,75) uT","Tipo 4 (&gt;0,75) uT"))))</f>
        <v>Tipo 1 (≤0,25) uT</v>
      </c>
    </row>
    <row r="323" spans="1:60" x14ac:dyDescent="0.3">
      <c r="A323" s="73">
        <v>46294</v>
      </c>
      <c r="B323" s="141">
        <v>0.3125</v>
      </c>
      <c r="C323" s="118">
        <v>331</v>
      </c>
      <c r="D323" s="118">
        <v>1674</v>
      </c>
      <c r="E323" s="118">
        <v>250</v>
      </c>
      <c r="F323" s="118">
        <v>2200</v>
      </c>
      <c r="G323" s="146" t="s">
        <v>100</v>
      </c>
      <c r="H323" s="124">
        <v>9.1999999999999993</v>
      </c>
      <c r="I323" s="118">
        <v>34</v>
      </c>
      <c r="J323" s="9">
        <v>90</v>
      </c>
      <c r="K323" s="118">
        <v>90</v>
      </c>
      <c r="L323" s="118">
        <v>90</v>
      </c>
      <c r="M323" s="124">
        <v>25</v>
      </c>
      <c r="N323" s="124">
        <v>6.5</v>
      </c>
      <c r="O323" s="81">
        <v>1.44</v>
      </c>
      <c r="P323" s="118">
        <v>10</v>
      </c>
      <c r="Q323" s="124">
        <v>9.4</v>
      </c>
      <c r="R323" s="9">
        <v>0.1</v>
      </c>
      <c r="S323" s="79">
        <v>22.36</v>
      </c>
      <c r="T323" s="79">
        <v>0.88</v>
      </c>
      <c r="U323" s="79">
        <v>0.7</v>
      </c>
      <c r="V323" s="85">
        <f t="shared" ref="V323:V386" si="37">(O323+0.3*H323+2)*(F323/2/Z323)</f>
        <v>1704.9999999999998</v>
      </c>
      <c r="W323" s="85">
        <f t="shared" ref="W323:W386" si="38">S323*(U323*AA323*0.987-T323)*AB323</f>
        <v>1491.1839279999999</v>
      </c>
      <c r="X323" s="85">
        <f t="shared" ref="X323:X386" si="39">W323/V323</f>
        <v>0.87459467917888567</v>
      </c>
      <c r="Y323" s="118">
        <v>3</v>
      </c>
      <c r="Z323" s="118">
        <v>4</v>
      </c>
      <c r="AA323" s="124">
        <v>6.1</v>
      </c>
      <c r="AB323" s="118">
        <v>20</v>
      </c>
      <c r="AC323" s="124">
        <v>6.2</v>
      </c>
      <c r="AD323" s="124">
        <v>5.6</v>
      </c>
      <c r="AE323" s="81">
        <v>0.11</v>
      </c>
      <c r="AF323" s="81">
        <v>0.15</v>
      </c>
      <c r="AG323" s="85">
        <f>(O323+0.3*H323+2)*(F323/2/AK323)</f>
        <v>2273.333333333333</v>
      </c>
      <c r="AH323" s="85">
        <f t="shared" ref="AH323:AH386" si="40">S323*(U323*AL323*0.987-T323)*AM323</f>
        <v>1863.5736287999996</v>
      </c>
      <c r="AI323" s="85">
        <f t="shared" ref="AI323:AI386" si="41">AH323/AG323</f>
        <v>0.81975379565982398</v>
      </c>
      <c r="AJ323" s="118">
        <v>2</v>
      </c>
      <c r="AK323" s="118">
        <v>3</v>
      </c>
      <c r="AL323" s="124">
        <v>6.3</v>
      </c>
      <c r="AM323" s="118">
        <v>24</v>
      </c>
      <c r="AN323" s="124">
        <v>6.2</v>
      </c>
      <c r="AO323" s="124">
        <v>5.7</v>
      </c>
      <c r="AP323" s="81">
        <v>0.12</v>
      </c>
      <c r="AQ323" s="81">
        <v>0.23</v>
      </c>
      <c r="AR323" s="132">
        <f>SUM(C323:E323)</f>
        <v>2255</v>
      </c>
      <c r="AS323" s="134">
        <f>C323/AR323</f>
        <v>0.1467849223946785</v>
      </c>
      <c r="AT323" s="134">
        <f>D323/AR323</f>
        <v>0.742350332594235</v>
      </c>
      <c r="AU323" s="134">
        <f>E323/AR323</f>
        <v>0.11086474501108648</v>
      </c>
      <c r="AV323" s="151">
        <f>IF(AND(F323&lt;&gt;"",Z323&lt;&gt;""),AB323/(F323/2/Z323),"")</f>
        <v>7.2727272727272724E-2</v>
      </c>
      <c r="AW323" s="151">
        <f>IF(AND(F323&lt;&gt;"",AK323&lt;&gt;""),AM323/(F323/2/AK323),"")</f>
        <v>6.5454545454545446E-2</v>
      </c>
      <c r="AX323" s="41">
        <f>IF(AND(AQ323&lt;&gt;"",1-(AQ323/O323)&gt;0),1-(AQ323/O323),"")</f>
        <v>0.84027777777777779</v>
      </c>
      <c r="AY323" s="41">
        <f>IF(AND(AF323&lt;&gt;"",1-(AF323/O323)&gt;0),1-(AF323/O323),"")</f>
        <v>0.89583333333333337</v>
      </c>
      <c r="AZ323" s="136" t="str">
        <f>IF(Q323="","",IF(Q323&lt;2.5,"Alc. Bruta &lt; 2,5 mg/L",IF(Q323&lt;5,"2,5 ≤ Alc. Bruta &lt; 5,0 mg/L",IF(Q323&lt;7.5,"5,0 ≤ Alc. Bruta &lt; 7,5 mg/L",IF(Q323&lt;10,"7,5 ≤ Alc. Bruta &lt; 10,0 mg/L",IF(Q323&lt;15,"10,0 ≤ Alca. Bruta &lt; 15,0 mg/L","Alc. Bruta &gt; 15 mg/L"))))))</f>
        <v>7,5 ≤ Alc. Bruta &lt; 10,0 mg/L</v>
      </c>
      <c r="BA323" s="136" t="str">
        <f>IF(P323="","",IF(P323&lt;5,"Cor &lt;5 uC",IF(P323&lt;10,"5 ≤ Cor &lt; 10 uC",IF(P323&lt;15,"10 ≤ Cor &lt;15 uC",IF(P323&lt;30,"15 ≤ Cor &lt; 30 uC",IF(P323&lt;50,"30 ≤ Cor &lt; 50 uC","Cor &gt; 50 uC"))))))</f>
        <v>10 ≤ Cor &lt;15 uC</v>
      </c>
      <c r="BB323" s="137" t="str">
        <f>IF(O323="","",IF(O323&lt;2.5,"Turbidez &lt; 2,5 uT",IF(O323&lt;5,"2,5 ≤ Turb &lt; 5,0 uT",IF(O323&lt;7.5,"5,0 ≤ Turb &lt; 7,5 uT",IF(O323&lt;10,"7,5 ≤ Turb &lt; 10,0 uT",IF(O323&lt;15,"10,0 ≤ Turb &lt; 15,0 uT","Turb &gt; 15 uT"))))))</f>
        <v>Turbidez &lt; 2,5 uT</v>
      </c>
      <c r="BC323" s="138" t="str">
        <f>IF(AND(C323&gt;D323,D323&gt;E323),"TOR &gt; SM &gt; BNN",IF(AND(C323&gt;E323,E323&gt;D323),"TOR &gt; BNN &gt; SM",IF(AND(D323&gt;C323,C323&gt;E323),"SM &gt; TOR &gt; BNN",IF(AND(D323&gt;E323,E323&gt;C323),"SM &gt; BNN &gt; TOR",IF(AND(C323=D323,D323=E323),"TOR = SM = BNN","Comb. diferentes")))))</f>
        <v>SM &gt; TOR &gt; BNN</v>
      </c>
      <c r="BD323" s="137" t="str">
        <f>IF(OR(AE323="",AQ323="-"),"",IF(AE323&lt;=0.25,"Tipo 1 (≤0,25) uT",IF(AE323&lt;=0.5,"Tipo 2 (0,25-0,50) uT",IF(AE323&lt;=0.75,"Tipo 3 (0,50-0,75) uT","Tipo 4 (&gt;0,75) uT"))))</f>
        <v>Tipo 1 (≤0,25) uT</v>
      </c>
      <c r="BE323" s="137" t="str">
        <f t="shared" si="35"/>
        <v>Tipo 1 (≤0,25) uT</v>
      </c>
      <c r="BF323" s="137" t="str">
        <f>IF(OR(AF323="",AQ323="-"),"",IF(AF323&lt;=0.25,"Tipo 1 (≤0,25) uT",IF(AF323&lt;=0.5,"Tipo 2 (0,25-0,50) uT",IF(AF323&lt;=0.75,"Tipo 3 (0,50-0,75) uT","Tipo 4 (&gt;0,75) uT"))))</f>
        <v>Tipo 1 (≤0,25) uT</v>
      </c>
      <c r="BG323" s="137" t="str">
        <f t="shared" si="36"/>
        <v>Tipo 1 (≤0,25) uT</v>
      </c>
      <c r="BH323" s="137" t="str">
        <f>IF(OR(R323="",R323="-"),"",IF(R323&lt;=0.25,"Tipo 1 (≤0,25) uT",IF(R323&lt;=0.5,"Tipo 2 (0,25-0,50) uT",IF(R323&lt;=0.75,"Tipo 3 (0,50-0,75) uT","Tipo 4 (&gt;0,75) uT"))))</f>
        <v>Tipo 1 (≤0,25) uT</v>
      </c>
    </row>
    <row r="324" spans="1:60" x14ac:dyDescent="0.3">
      <c r="A324" s="74">
        <v>46294</v>
      </c>
      <c r="B324" s="139">
        <v>0.39583333333333331</v>
      </c>
      <c r="C324" s="116">
        <v>332</v>
      </c>
      <c r="D324" s="116">
        <v>1589</v>
      </c>
      <c r="E324" s="116">
        <v>249</v>
      </c>
      <c r="F324" s="116">
        <v>2220</v>
      </c>
      <c r="G324" s="144" t="s">
        <v>100</v>
      </c>
      <c r="H324" s="122">
        <v>9.1999999999999993</v>
      </c>
      <c r="I324" s="116">
        <v>33</v>
      </c>
      <c r="J324" s="10">
        <v>90</v>
      </c>
      <c r="K324" s="116">
        <v>90</v>
      </c>
      <c r="L324" s="116">
        <v>90</v>
      </c>
      <c r="M324" s="122">
        <v>25.2</v>
      </c>
      <c r="N324" s="122">
        <v>6.5</v>
      </c>
      <c r="O324" s="79">
        <v>1.49</v>
      </c>
      <c r="P324" s="116">
        <v>10</v>
      </c>
      <c r="Q324" s="122">
        <v>9.5</v>
      </c>
      <c r="R324" s="10">
        <v>0.1</v>
      </c>
      <c r="S324" s="79">
        <v>22.36</v>
      </c>
      <c r="T324" s="79">
        <v>0.88</v>
      </c>
      <c r="U324" s="79">
        <v>0.7</v>
      </c>
      <c r="V324" s="85">
        <f t="shared" si="37"/>
        <v>1734.375</v>
      </c>
      <c r="W324" s="85">
        <f t="shared" si="38"/>
        <v>1491.1839279999999</v>
      </c>
      <c r="X324" s="85">
        <f t="shared" si="39"/>
        <v>0.85978172425225219</v>
      </c>
      <c r="Y324" s="116">
        <v>3</v>
      </c>
      <c r="Z324" s="116">
        <v>4</v>
      </c>
      <c r="AA324" s="122">
        <v>6.1</v>
      </c>
      <c r="AB324" s="116">
        <v>20</v>
      </c>
      <c r="AC324" s="122">
        <v>6.2</v>
      </c>
      <c r="AD324" s="122">
        <v>5.5</v>
      </c>
      <c r="AE324" s="79">
        <v>0.12</v>
      </c>
      <c r="AF324" s="79">
        <v>0.15</v>
      </c>
      <c r="AG324" s="85">
        <f>(O324+0.3*H324+2)*(F324/2/AK324)</f>
        <v>2312.5</v>
      </c>
      <c r="AH324" s="85">
        <f t="shared" si="40"/>
        <v>1863.5736287999996</v>
      </c>
      <c r="AI324" s="85">
        <f t="shared" si="41"/>
        <v>0.80586967731891879</v>
      </c>
      <c r="AJ324" s="116">
        <v>2</v>
      </c>
      <c r="AK324" s="116">
        <v>3</v>
      </c>
      <c r="AL324" s="122">
        <v>6.3</v>
      </c>
      <c r="AM324" s="116">
        <v>24</v>
      </c>
      <c r="AN324" s="122">
        <v>6.2</v>
      </c>
      <c r="AO324" s="122">
        <v>5.8</v>
      </c>
      <c r="AP324" s="79">
        <v>0.15</v>
      </c>
      <c r="AQ324" s="79">
        <v>0.25</v>
      </c>
      <c r="AR324" s="132">
        <f>SUM(C324:E324)</f>
        <v>2170</v>
      </c>
      <c r="AS324" s="134">
        <f>C324/AR324</f>
        <v>0.15299539170506912</v>
      </c>
      <c r="AT324" s="134">
        <f>D324/AR324</f>
        <v>0.73225806451612907</v>
      </c>
      <c r="AU324" s="134">
        <f>E324/AR324</f>
        <v>0.11474654377880185</v>
      </c>
      <c r="AV324" s="151">
        <f>IF(AND(F324&lt;&gt;"",Z324&lt;&gt;""),AB324/(F324/2/Z324),"")</f>
        <v>7.2072072072072071E-2</v>
      </c>
      <c r="AW324" s="151">
        <f>IF(AND(F324&lt;&gt;"",AK324&lt;&gt;""),AM324/(F324/2/AK324),"")</f>
        <v>6.4864864864864868E-2</v>
      </c>
      <c r="AX324" s="41">
        <f>IF(AND(AQ324&lt;&gt;"",1-(AQ324/O324)&gt;0),1-(AQ324/O324),"")</f>
        <v>0.83221476510067116</v>
      </c>
      <c r="AY324" s="41">
        <f>IF(AND(AF324&lt;&gt;"",1-(AF324/O324)&gt;0),1-(AF324/O324),"")</f>
        <v>0.89932885906040272</v>
      </c>
      <c r="AZ324" s="136" t="str">
        <f>IF(Q324="","",IF(Q324&lt;2.5,"Alc. Bruta &lt; 2,5 mg/L",IF(Q324&lt;5,"2,5 ≤ Alc. Bruta &lt; 5,0 mg/L",IF(Q324&lt;7.5,"5,0 ≤ Alc. Bruta &lt; 7,5 mg/L",IF(Q324&lt;10,"7,5 ≤ Alc. Bruta &lt; 10,0 mg/L",IF(Q324&lt;15,"10,0 ≤ Alca. Bruta &lt; 15,0 mg/L","Alc. Bruta &gt; 15 mg/L"))))))</f>
        <v>7,5 ≤ Alc. Bruta &lt; 10,0 mg/L</v>
      </c>
      <c r="BA324" s="136" t="str">
        <f>IF(P324="","",IF(P324&lt;5,"Cor &lt;5 uC",IF(P324&lt;10,"5 ≤ Cor &lt; 10 uC",IF(P324&lt;15,"10 ≤ Cor &lt;15 uC",IF(P324&lt;30,"15 ≤ Cor &lt; 30 uC",IF(P324&lt;50,"30 ≤ Cor &lt; 50 uC","Cor &gt; 50 uC"))))))</f>
        <v>10 ≤ Cor &lt;15 uC</v>
      </c>
      <c r="BB324" s="137" t="str">
        <f>IF(O324="","",IF(O324&lt;2.5,"Turbidez &lt; 2,5 uT",IF(O324&lt;5,"2,5 ≤ Turb &lt; 5,0 uT",IF(O324&lt;7.5,"5,0 ≤ Turb &lt; 7,5 uT",IF(O324&lt;10,"7,5 ≤ Turb &lt; 10,0 uT",IF(O324&lt;15,"10,0 ≤ Turb &lt; 15,0 uT","Turb &gt; 15 uT"))))))</f>
        <v>Turbidez &lt; 2,5 uT</v>
      </c>
      <c r="BC324" s="138" t="str">
        <f>IF(AND(C324&gt;D324,D324&gt;E324),"TOR &gt; SM &gt; BNN",IF(AND(C324&gt;E324,E324&gt;D324),"TOR &gt; BNN &gt; SM",IF(AND(D324&gt;C324,C324&gt;E324),"SM &gt; TOR &gt; BNN",IF(AND(D324&gt;E324,E324&gt;C324),"SM &gt; BNN &gt; TOR",IF(AND(C324=D324,D324=E324),"TOR = SM = BNN","Comb. diferentes")))))</f>
        <v>SM &gt; TOR &gt; BNN</v>
      </c>
      <c r="BD324" s="137" t="str">
        <f>IF(OR(AE324="",AQ324="-"),"",IF(AE324&lt;=0.25,"Tipo 1 (≤0,25) uT",IF(AE324&lt;=0.5,"Tipo 2 (0,25-0,50) uT",IF(AE324&lt;=0.75,"Tipo 3 (0,50-0,75) uT","Tipo 4 (&gt;0,75) uT"))))</f>
        <v>Tipo 1 (≤0,25) uT</v>
      </c>
      <c r="BE324" s="137" t="str">
        <f t="shared" si="35"/>
        <v>Tipo 1 (≤0,25) uT</v>
      </c>
      <c r="BF324" s="137" t="str">
        <f>IF(OR(AF324="",AQ324="-"),"",IF(AF324&lt;=0.25,"Tipo 1 (≤0,25) uT",IF(AF324&lt;=0.5,"Tipo 2 (0,25-0,50) uT",IF(AF324&lt;=0.75,"Tipo 3 (0,50-0,75) uT","Tipo 4 (&gt;0,75) uT"))))</f>
        <v>Tipo 1 (≤0,25) uT</v>
      </c>
      <c r="BG324" s="137" t="str">
        <f t="shared" si="36"/>
        <v>Tipo 1 (≤0,25) uT</v>
      </c>
      <c r="BH324" s="137" t="str">
        <f>IF(OR(R324="",R324="-"),"",IF(R324&lt;=0.25,"Tipo 1 (≤0,25) uT",IF(R324&lt;=0.5,"Tipo 2 (0,25-0,50) uT",IF(R324&lt;=0.75,"Tipo 3 (0,50-0,75) uT","Tipo 4 (&gt;0,75) uT"))))</f>
        <v>Tipo 1 (≤0,25) uT</v>
      </c>
    </row>
    <row r="325" spans="1:60" x14ac:dyDescent="0.3">
      <c r="A325" s="74">
        <v>46294</v>
      </c>
      <c r="B325" s="139">
        <v>0.47916666666666669</v>
      </c>
      <c r="C325" s="116">
        <v>337</v>
      </c>
      <c r="D325" s="116">
        <v>1597</v>
      </c>
      <c r="E325" s="116">
        <v>250</v>
      </c>
      <c r="F325" s="116">
        <v>2190</v>
      </c>
      <c r="G325" s="144" t="s">
        <v>100</v>
      </c>
      <c r="H325" s="122">
        <v>9.1999999999999993</v>
      </c>
      <c r="I325" s="116">
        <v>33</v>
      </c>
      <c r="J325" s="10">
        <v>90</v>
      </c>
      <c r="K325" s="116">
        <v>90</v>
      </c>
      <c r="L325" s="116">
        <v>90</v>
      </c>
      <c r="M325" s="122">
        <v>25.8</v>
      </c>
      <c r="N325" s="122">
        <v>6.5</v>
      </c>
      <c r="O325" s="79">
        <v>1.48</v>
      </c>
      <c r="P325" s="116">
        <v>10</v>
      </c>
      <c r="Q325" s="122">
        <v>7.6</v>
      </c>
      <c r="R325" s="10">
        <v>0.1</v>
      </c>
      <c r="S325" s="79">
        <v>22.36</v>
      </c>
      <c r="T325" s="79">
        <v>0.88</v>
      </c>
      <c r="U325" s="79">
        <v>0.7</v>
      </c>
      <c r="V325" s="85">
        <f t="shared" si="37"/>
        <v>1708.2</v>
      </c>
      <c r="W325" s="85">
        <f t="shared" si="38"/>
        <v>1598.1850248000001</v>
      </c>
      <c r="X325" s="85">
        <f t="shared" si="39"/>
        <v>0.9355959634703197</v>
      </c>
      <c r="Y325" s="116">
        <v>3</v>
      </c>
      <c r="Z325" s="116">
        <v>4</v>
      </c>
      <c r="AA325" s="122">
        <v>6.2</v>
      </c>
      <c r="AB325" s="116">
        <v>21</v>
      </c>
      <c r="AC325" s="122">
        <v>6.2</v>
      </c>
      <c r="AD325" s="122">
        <v>5.9</v>
      </c>
      <c r="AE325" s="79">
        <v>0.14000000000000001</v>
      </c>
      <c r="AF325" s="79">
        <v>0.2</v>
      </c>
      <c r="AG325" s="85">
        <f>(O325+0.3*H325+2)*(F325/2/AK325)</f>
        <v>2277.6</v>
      </c>
      <c r="AH325" s="85">
        <f t="shared" si="40"/>
        <v>1863.5736287999996</v>
      </c>
      <c r="AI325" s="85">
        <f t="shared" si="41"/>
        <v>0.81821813698630119</v>
      </c>
      <c r="AJ325" s="116">
        <v>2</v>
      </c>
      <c r="AK325" s="116">
        <v>3</v>
      </c>
      <c r="AL325" s="122">
        <v>6.3</v>
      </c>
      <c r="AM325" s="116">
        <v>24</v>
      </c>
      <c r="AN325" s="122">
        <v>6.3</v>
      </c>
      <c r="AO325" s="122">
        <v>5.7</v>
      </c>
      <c r="AP325" s="79">
        <v>0.19</v>
      </c>
      <c r="AQ325" s="79">
        <v>0.22</v>
      </c>
      <c r="AR325" s="132">
        <f>SUM(C325:E325)</f>
        <v>2184</v>
      </c>
      <c r="AS325" s="134">
        <f>C325/AR325</f>
        <v>0.15430402930402931</v>
      </c>
      <c r="AT325" s="134">
        <f>D325/AR325</f>
        <v>0.73122710622710618</v>
      </c>
      <c r="AU325" s="134">
        <f>E325/AR325</f>
        <v>0.11446886446886446</v>
      </c>
      <c r="AV325" s="151">
        <f>IF(AND(F325&lt;&gt;"",Z325&lt;&gt;""),AB325/(F325/2/Z325),"")</f>
        <v>7.6712328767123292E-2</v>
      </c>
      <c r="AW325" s="151">
        <f>IF(AND(F325&lt;&gt;"",AK325&lt;&gt;""),AM325/(F325/2/AK325),"")</f>
        <v>6.575342465753424E-2</v>
      </c>
      <c r="AX325" s="41">
        <f>IF(AND(AQ325&lt;&gt;"",1-(AQ325/O325)&gt;0),1-(AQ325/O325),"")</f>
        <v>0.85135135135135132</v>
      </c>
      <c r="AY325" s="41">
        <f>IF(AND(AF325&lt;&gt;"",1-(AF325/O325)&gt;0),1-(AF325/O325),"")</f>
        <v>0.86486486486486491</v>
      </c>
      <c r="AZ325" s="136" t="str">
        <f>IF(Q325="","",IF(Q325&lt;2.5,"Alc. Bruta &lt; 2,5 mg/L",IF(Q325&lt;5,"2,5 ≤ Alc. Bruta &lt; 5,0 mg/L",IF(Q325&lt;7.5,"5,0 ≤ Alc. Bruta &lt; 7,5 mg/L",IF(Q325&lt;10,"7,5 ≤ Alc. Bruta &lt; 10,0 mg/L",IF(Q325&lt;15,"10,0 ≤ Alca. Bruta &lt; 15,0 mg/L","Alc. Bruta &gt; 15 mg/L"))))))</f>
        <v>7,5 ≤ Alc. Bruta &lt; 10,0 mg/L</v>
      </c>
      <c r="BA325" s="136" t="str">
        <f>IF(P325="","",IF(P325&lt;5,"Cor &lt;5 uC",IF(P325&lt;10,"5 ≤ Cor &lt; 10 uC",IF(P325&lt;15,"10 ≤ Cor &lt;15 uC",IF(P325&lt;30,"15 ≤ Cor &lt; 30 uC",IF(P325&lt;50,"30 ≤ Cor &lt; 50 uC","Cor &gt; 50 uC"))))))</f>
        <v>10 ≤ Cor &lt;15 uC</v>
      </c>
      <c r="BB325" s="137" t="str">
        <f>IF(O325="","",IF(O325&lt;2.5,"Turbidez &lt; 2,5 uT",IF(O325&lt;5,"2,5 ≤ Turb &lt; 5,0 uT",IF(O325&lt;7.5,"5,0 ≤ Turb &lt; 7,5 uT",IF(O325&lt;10,"7,5 ≤ Turb &lt; 10,0 uT",IF(O325&lt;15,"10,0 ≤ Turb &lt; 15,0 uT","Turb &gt; 15 uT"))))))</f>
        <v>Turbidez &lt; 2,5 uT</v>
      </c>
      <c r="BC325" s="138" t="str">
        <f>IF(AND(C325&gt;D325,D325&gt;E325),"TOR &gt; SM &gt; BNN",IF(AND(C325&gt;E325,E325&gt;D325),"TOR &gt; BNN &gt; SM",IF(AND(D325&gt;C325,C325&gt;E325),"SM &gt; TOR &gt; BNN",IF(AND(D325&gt;E325,E325&gt;C325),"SM &gt; BNN &gt; TOR",IF(AND(C325=D325,D325=E325),"TOR = SM = BNN","Comb. diferentes")))))</f>
        <v>SM &gt; TOR &gt; BNN</v>
      </c>
      <c r="BD325" s="137" t="str">
        <f>IF(OR(AE325="",AQ325="-"),"",IF(AE325&lt;=0.25,"Tipo 1 (≤0,25) uT",IF(AE325&lt;=0.5,"Tipo 2 (0,25-0,50) uT",IF(AE325&lt;=0.75,"Tipo 3 (0,50-0,75) uT","Tipo 4 (&gt;0,75) uT"))))</f>
        <v>Tipo 1 (≤0,25) uT</v>
      </c>
      <c r="BE325" s="137" t="str">
        <f t="shared" si="35"/>
        <v>Tipo 1 (≤0,25) uT</v>
      </c>
      <c r="BF325" s="137" t="str">
        <f>IF(OR(AF325="",AQ325="-"),"",IF(AF325&lt;=0.25,"Tipo 1 (≤0,25) uT",IF(AF325&lt;=0.5,"Tipo 2 (0,25-0,50) uT",IF(AF325&lt;=0.75,"Tipo 3 (0,50-0,75) uT","Tipo 4 (&gt;0,75) uT"))))</f>
        <v>Tipo 1 (≤0,25) uT</v>
      </c>
      <c r="BG325" s="137" t="str">
        <f t="shared" si="36"/>
        <v>Tipo 1 (≤0,25) uT</v>
      </c>
      <c r="BH325" s="137" t="str">
        <f>IF(OR(R325="",R325="-"),"",IF(R325&lt;=0.25,"Tipo 1 (≤0,25) uT",IF(R325&lt;=0.5,"Tipo 2 (0,25-0,50) uT",IF(R325&lt;=0.75,"Tipo 3 (0,50-0,75) uT","Tipo 4 (&gt;0,75) uT"))))</f>
        <v>Tipo 1 (≤0,25) uT</v>
      </c>
    </row>
    <row r="326" spans="1:60" x14ac:dyDescent="0.3">
      <c r="A326" s="74">
        <v>46294</v>
      </c>
      <c r="B326" s="139">
        <v>0.64583333333333337</v>
      </c>
      <c r="C326" s="116">
        <v>338</v>
      </c>
      <c r="D326" s="116">
        <v>1578</v>
      </c>
      <c r="E326" s="116">
        <v>249</v>
      </c>
      <c r="F326" s="116">
        <v>2188</v>
      </c>
      <c r="G326" s="144" t="s">
        <v>100</v>
      </c>
      <c r="H326" s="122">
        <v>9.1999999999999993</v>
      </c>
      <c r="I326" s="116">
        <v>34</v>
      </c>
      <c r="J326" s="10">
        <v>90</v>
      </c>
      <c r="K326" s="116">
        <v>90</v>
      </c>
      <c r="L326" s="116">
        <v>90</v>
      </c>
      <c r="M326" s="122">
        <v>26.5</v>
      </c>
      <c r="N326" s="122">
        <v>6.4</v>
      </c>
      <c r="O326" s="79">
        <v>1.5</v>
      </c>
      <c r="P326" s="116">
        <v>10</v>
      </c>
      <c r="Q326" s="122">
        <v>7.6</v>
      </c>
      <c r="R326" s="10">
        <v>0.1</v>
      </c>
      <c r="S326" s="79">
        <v>22.36</v>
      </c>
      <c r="T326" s="79">
        <v>0.88</v>
      </c>
      <c r="U326" s="79">
        <v>0.7</v>
      </c>
      <c r="V326" s="85">
        <f t="shared" si="37"/>
        <v>1712.11</v>
      </c>
      <c r="W326" s="85">
        <f t="shared" si="38"/>
        <v>1460.2868799999999</v>
      </c>
      <c r="X326" s="85">
        <f t="shared" si="39"/>
        <v>0.85291650653287465</v>
      </c>
      <c r="Y326" s="116">
        <v>3</v>
      </c>
      <c r="Z326" s="116">
        <v>4</v>
      </c>
      <c r="AA326" s="122">
        <v>6</v>
      </c>
      <c r="AB326" s="116">
        <v>20</v>
      </c>
      <c r="AC326" s="122">
        <v>6.2</v>
      </c>
      <c r="AD326" s="122">
        <v>6.2</v>
      </c>
      <c r="AE326" s="79">
        <v>0.16</v>
      </c>
      <c r="AF326" s="79">
        <v>0.13</v>
      </c>
      <c r="AG326" s="85">
        <f>(O326+0.3*H326+2)*(F326/2/AK326)</f>
        <v>2282.8133333333335</v>
      </c>
      <c r="AH326" s="85">
        <f t="shared" si="40"/>
        <v>1979.8438399999998</v>
      </c>
      <c r="AI326" s="85">
        <f t="shared" si="41"/>
        <v>0.86728240592018024</v>
      </c>
      <c r="AJ326" s="116">
        <v>2</v>
      </c>
      <c r="AK326" s="116">
        <v>3</v>
      </c>
      <c r="AL326" s="122">
        <v>6.4</v>
      </c>
      <c r="AM326" s="116">
        <v>25</v>
      </c>
      <c r="AN326" s="122">
        <v>6.3</v>
      </c>
      <c r="AO326" s="122">
        <v>5.6</v>
      </c>
      <c r="AP326" s="79">
        <v>0.13</v>
      </c>
      <c r="AQ326" s="79">
        <v>0.22</v>
      </c>
      <c r="AR326" s="132">
        <f>SUM(C326:E326)</f>
        <v>2165</v>
      </c>
      <c r="AS326" s="134">
        <f>C326/AR326</f>
        <v>0.15612009237875288</v>
      </c>
      <c r="AT326" s="134">
        <f>D326/AR326</f>
        <v>0.72886836027713631</v>
      </c>
      <c r="AU326" s="134">
        <f>E326/AR326</f>
        <v>0.11501154734411086</v>
      </c>
      <c r="AV326" s="151">
        <f>IF(AND(F326&lt;&gt;"",Z326&lt;&gt;""),AB326/(F326/2/Z326),"")</f>
        <v>7.3126142595978064E-2</v>
      </c>
      <c r="AW326" s="151">
        <f>IF(AND(F326&lt;&gt;"",AK326&lt;&gt;""),AM326/(F326/2/AK326),"")</f>
        <v>6.8555758683729429E-2</v>
      </c>
      <c r="AX326" s="41">
        <f>IF(AND(AQ326&lt;&gt;"",1-(AQ326/O326)&gt;0),1-(AQ326/O326),"")</f>
        <v>0.85333333333333328</v>
      </c>
      <c r="AY326" s="41">
        <f>IF(AND(AF326&lt;&gt;"",1-(AF326/O326)&gt;0),1-(AF326/O326),"")</f>
        <v>0.91333333333333333</v>
      </c>
      <c r="AZ326" s="136" t="str">
        <f>IF(Q326="","",IF(Q326&lt;2.5,"Alc. Bruta &lt; 2,5 mg/L",IF(Q326&lt;5,"2,5 ≤ Alc. Bruta &lt; 5,0 mg/L",IF(Q326&lt;7.5,"5,0 ≤ Alc. Bruta &lt; 7,5 mg/L",IF(Q326&lt;10,"7,5 ≤ Alc. Bruta &lt; 10,0 mg/L",IF(Q326&lt;15,"10,0 ≤ Alca. Bruta &lt; 15,0 mg/L","Alc. Bruta &gt; 15 mg/L"))))))</f>
        <v>7,5 ≤ Alc. Bruta &lt; 10,0 mg/L</v>
      </c>
      <c r="BA326" s="136" t="str">
        <f>IF(P326="","",IF(P326&lt;5,"Cor &lt;5 uC",IF(P326&lt;10,"5 ≤ Cor &lt; 10 uC",IF(P326&lt;15,"10 ≤ Cor &lt;15 uC",IF(P326&lt;30,"15 ≤ Cor &lt; 30 uC",IF(P326&lt;50,"30 ≤ Cor &lt; 50 uC","Cor &gt; 50 uC"))))))</f>
        <v>10 ≤ Cor &lt;15 uC</v>
      </c>
      <c r="BB326" s="137" t="str">
        <f>IF(O326="","",IF(O326&lt;2.5,"Turbidez &lt; 2,5 uT",IF(O326&lt;5,"2,5 ≤ Turb &lt; 5,0 uT",IF(O326&lt;7.5,"5,0 ≤ Turb &lt; 7,5 uT",IF(O326&lt;10,"7,5 ≤ Turb &lt; 10,0 uT",IF(O326&lt;15,"10,0 ≤ Turb &lt; 15,0 uT","Turb &gt; 15 uT"))))))</f>
        <v>Turbidez &lt; 2,5 uT</v>
      </c>
      <c r="BC326" s="138" t="str">
        <f>IF(AND(C326&gt;D326,D326&gt;E326),"TOR &gt; SM &gt; BNN",IF(AND(C326&gt;E326,E326&gt;D326),"TOR &gt; BNN &gt; SM",IF(AND(D326&gt;C326,C326&gt;E326),"SM &gt; TOR &gt; BNN",IF(AND(D326&gt;E326,E326&gt;C326),"SM &gt; BNN &gt; TOR",IF(AND(C326=D326,D326=E326),"TOR = SM = BNN","Comb. diferentes")))))</f>
        <v>SM &gt; TOR &gt; BNN</v>
      </c>
      <c r="BD326" s="137" t="str">
        <f>IF(OR(AE326="",AQ326="-"),"",IF(AE326&lt;=0.25,"Tipo 1 (≤0,25) uT",IF(AE326&lt;=0.5,"Tipo 2 (0,25-0,50) uT",IF(AE326&lt;=0.75,"Tipo 3 (0,50-0,75) uT","Tipo 4 (&gt;0,75) uT"))))</f>
        <v>Tipo 1 (≤0,25) uT</v>
      </c>
      <c r="BE326" s="137" t="str">
        <f t="shared" si="35"/>
        <v>Tipo 1 (≤0,25) uT</v>
      </c>
      <c r="BF326" s="137" t="str">
        <f>IF(OR(AF326="",AQ326="-"),"",IF(AF326&lt;=0.25,"Tipo 1 (≤0,25) uT",IF(AF326&lt;=0.5,"Tipo 2 (0,25-0,50) uT",IF(AF326&lt;=0.75,"Tipo 3 (0,50-0,75) uT","Tipo 4 (&gt;0,75) uT"))))</f>
        <v>Tipo 1 (≤0,25) uT</v>
      </c>
      <c r="BG326" s="137" t="str">
        <f t="shared" si="36"/>
        <v>Tipo 1 (≤0,25) uT</v>
      </c>
      <c r="BH326" s="137" t="str">
        <f>IF(OR(R326="",R326="-"),"",IF(R326&lt;=0.25,"Tipo 1 (≤0,25) uT",IF(R326&lt;=0.5,"Tipo 2 (0,25-0,50) uT",IF(R326&lt;=0.75,"Tipo 3 (0,50-0,75) uT","Tipo 4 (&gt;0,75) uT"))))</f>
        <v>Tipo 1 (≤0,25) uT</v>
      </c>
    </row>
    <row r="327" spans="1:60" x14ac:dyDescent="0.3">
      <c r="A327" s="74">
        <v>46294</v>
      </c>
      <c r="B327" s="139">
        <v>0.72916666666666663</v>
      </c>
      <c r="C327" s="116">
        <v>343</v>
      </c>
      <c r="D327" s="116">
        <v>1700</v>
      </c>
      <c r="E327" s="116">
        <v>249</v>
      </c>
      <c r="F327" s="116">
        <v>2200</v>
      </c>
      <c r="G327" s="144" t="s">
        <v>100</v>
      </c>
      <c r="H327" s="122">
        <v>9.1999999999999993</v>
      </c>
      <c r="I327" s="116">
        <v>34</v>
      </c>
      <c r="J327" s="10">
        <v>90</v>
      </c>
      <c r="K327" s="116">
        <v>90</v>
      </c>
      <c r="L327" s="116">
        <v>90</v>
      </c>
      <c r="M327" s="122">
        <v>26.6</v>
      </c>
      <c r="N327" s="122">
        <v>6.4</v>
      </c>
      <c r="O327" s="79">
        <v>1.43</v>
      </c>
      <c r="P327" s="116">
        <v>10</v>
      </c>
      <c r="Q327" s="122">
        <v>7.5</v>
      </c>
      <c r="R327" s="10">
        <v>0.1</v>
      </c>
      <c r="S327" s="79">
        <v>22.36</v>
      </c>
      <c r="T327" s="79">
        <v>0.88</v>
      </c>
      <c r="U327" s="79">
        <v>0.7</v>
      </c>
      <c r="V327" s="85">
        <f t="shared" si="37"/>
        <v>1702.2499999999998</v>
      </c>
      <c r="W327" s="85">
        <f t="shared" si="38"/>
        <v>1491.1839279999999</v>
      </c>
      <c r="X327" s="85">
        <f t="shared" si="39"/>
        <v>0.87600759465413436</v>
      </c>
      <c r="Y327" s="116">
        <v>3</v>
      </c>
      <c r="Z327" s="116">
        <v>4</v>
      </c>
      <c r="AA327" s="122">
        <v>6.1</v>
      </c>
      <c r="AB327" s="116">
        <v>20</v>
      </c>
      <c r="AC327" s="122">
        <v>6.2</v>
      </c>
      <c r="AD327" s="122">
        <v>6</v>
      </c>
      <c r="AE327" s="79">
        <v>0.15</v>
      </c>
      <c r="AF327" s="79">
        <v>0.14000000000000001</v>
      </c>
      <c r="AG327" s="85">
        <f>(O327+0.3*H327+2)*(F327/2/AK327)</f>
        <v>2269.6666666666665</v>
      </c>
      <c r="AH327" s="85">
        <f t="shared" si="40"/>
        <v>1863.5736287999996</v>
      </c>
      <c r="AI327" s="85">
        <f t="shared" si="41"/>
        <v>0.8210781152004698</v>
      </c>
      <c r="AJ327" s="116">
        <v>2</v>
      </c>
      <c r="AK327" s="116">
        <v>3</v>
      </c>
      <c r="AL327" s="122">
        <v>6.3</v>
      </c>
      <c r="AM327" s="116">
        <v>24</v>
      </c>
      <c r="AN327" s="122">
        <v>6.2</v>
      </c>
      <c r="AO327" s="122">
        <v>5.8</v>
      </c>
      <c r="AP327" s="79">
        <v>0.15</v>
      </c>
      <c r="AQ327" s="79">
        <v>0.19</v>
      </c>
      <c r="AR327" s="132">
        <f>SUM(C327:E327)</f>
        <v>2292</v>
      </c>
      <c r="AS327" s="134">
        <f>C327/AR327</f>
        <v>0.14965095986038393</v>
      </c>
      <c r="AT327" s="134">
        <f>D327/AR327</f>
        <v>0.7417102966841187</v>
      </c>
      <c r="AU327" s="134">
        <f>E327/AR327</f>
        <v>0.10863874345549739</v>
      </c>
      <c r="AV327" s="151">
        <f>IF(AND(F327&lt;&gt;"",Z327&lt;&gt;""),AB327/(F327/2/Z327),"")</f>
        <v>7.2727272727272724E-2</v>
      </c>
      <c r="AW327" s="151">
        <f>IF(AND(F327&lt;&gt;"",AK327&lt;&gt;""),AM327/(F327/2/AK327),"")</f>
        <v>6.5454545454545446E-2</v>
      </c>
      <c r="AX327" s="41">
        <f>IF(AND(AQ327&lt;&gt;"",1-(AQ327/O327)&gt;0),1-(AQ327/O327),"")</f>
        <v>0.86713286713286708</v>
      </c>
      <c r="AY327" s="41">
        <f>IF(AND(AF327&lt;&gt;"",1-(AF327/O327)&gt;0),1-(AF327/O327),"")</f>
        <v>0.90209790209790208</v>
      </c>
      <c r="AZ327" s="136" t="str">
        <f>IF(Q327="","",IF(Q327&lt;2.5,"Alc. Bruta &lt; 2,5 mg/L",IF(Q327&lt;5,"2,5 ≤ Alc. Bruta &lt; 5,0 mg/L",IF(Q327&lt;7.5,"5,0 ≤ Alc. Bruta &lt; 7,5 mg/L",IF(Q327&lt;10,"7,5 ≤ Alc. Bruta &lt; 10,0 mg/L",IF(Q327&lt;15,"10,0 ≤ Alca. Bruta &lt; 15,0 mg/L","Alc. Bruta &gt; 15 mg/L"))))))</f>
        <v>7,5 ≤ Alc. Bruta &lt; 10,0 mg/L</v>
      </c>
      <c r="BA327" s="136" t="str">
        <f>IF(P327="","",IF(P327&lt;5,"Cor &lt;5 uC",IF(P327&lt;10,"5 ≤ Cor &lt; 10 uC",IF(P327&lt;15,"10 ≤ Cor &lt;15 uC",IF(P327&lt;30,"15 ≤ Cor &lt; 30 uC",IF(P327&lt;50,"30 ≤ Cor &lt; 50 uC","Cor &gt; 50 uC"))))))</f>
        <v>10 ≤ Cor &lt;15 uC</v>
      </c>
      <c r="BB327" s="137" t="str">
        <f>IF(O327="","",IF(O327&lt;2.5,"Turbidez &lt; 2,5 uT",IF(O327&lt;5,"2,5 ≤ Turb &lt; 5,0 uT",IF(O327&lt;7.5,"5,0 ≤ Turb &lt; 7,5 uT",IF(O327&lt;10,"7,5 ≤ Turb &lt; 10,0 uT",IF(O327&lt;15,"10,0 ≤ Turb &lt; 15,0 uT","Turb &gt; 15 uT"))))))</f>
        <v>Turbidez &lt; 2,5 uT</v>
      </c>
      <c r="BC327" s="138" t="str">
        <f>IF(AND(C327&gt;D327,D327&gt;E327),"TOR &gt; SM &gt; BNN",IF(AND(C327&gt;E327,E327&gt;D327),"TOR &gt; BNN &gt; SM",IF(AND(D327&gt;C327,C327&gt;E327),"SM &gt; TOR &gt; BNN",IF(AND(D327&gt;E327,E327&gt;C327),"SM &gt; BNN &gt; TOR",IF(AND(C327=D327,D327=E327),"TOR = SM = BNN","Comb. diferentes")))))</f>
        <v>SM &gt; TOR &gt; BNN</v>
      </c>
      <c r="BD327" s="137" t="str">
        <f>IF(OR(AE327="",AQ327="-"),"",IF(AE327&lt;=0.25,"Tipo 1 (≤0,25) uT",IF(AE327&lt;=0.5,"Tipo 2 (0,25-0,50) uT",IF(AE327&lt;=0.75,"Tipo 3 (0,50-0,75) uT","Tipo 4 (&gt;0,75) uT"))))</f>
        <v>Tipo 1 (≤0,25) uT</v>
      </c>
      <c r="BE327" s="137" t="str">
        <f t="shared" si="35"/>
        <v>Tipo 1 (≤0,25) uT</v>
      </c>
      <c r="BF327" s="137" t="str">
        <f>IF(OR(AF327="",AQ327="-"),"",IF(AF327&lt;=0.25,"Tipo 1 (≤0,25) uT",IF(AF327&lt;=0.5,"Tipo 2 (0,25-0,50) uT",IF(AF327&lt;=0.75,"Tipo 3 (0,50-0,75) uT","Tipo 4 (&gt;0,75) uT"))))</f>
        <v>Tipo 1 (≤0,25) uT</v>
      </c>
      <c r="BG327" s="137" t="str">
        <f t="shared" si="36"/>
        <v>Tipo 1 (≤0,25) uT</v>
      </c>
      <c r="BH327" s="137" t="str">
        <f>IF(OR(R327="",R327="-"),"",IF(R327&lt;=0.25,"Tipo 1 (≤0,25) uT",IF(R327&lt;=0.5,"Tipo 2 (0,25-0,50) uT",IF(R327&lt;=0.75,"Tipo 3 (0,50-0,75) uT","Tipo 4 (&gt;0,75) uT"))))</f>
        <v>Tipo 1 (≤0,25) uT</v>
      </c>
    </row>
    <row r="328" spans="1:60" x14ac:dyDescent="0.3">
      <c r="A328" s="74">
        <v>46294</v>
      </c>
      <c r="B328" s="139">
        <v>0.8125</v>
      </c>
      <c r="C328" s="116">
        <v>349</v>
      </c>
      <c r="D328" s="116">
        <v>1692</v>
      </c>
      <c r="E328" s="116">
        <v>250</v>
      </c>
      <c r="F328" s="116">
        <v>2291</v>
      </c>
      <c r="G328" s="144" t="s">
        <v>100</v>
      </c>
      <c r="H328" s="122">
        <v>9.1999999999999993</v>
      </c>
      <c r="I328" s="116">
        <v>34</v>
      </c>
      <c r="J328" s="10">
        <v>90</v>
      </c>
      <c r="K328" s="116">
        <v>90</v>
      </c>
      <c r="L328" s="116">
        <v>90</v>
      </c>
      <c r="M328" s="122">
        <v>25.5</v>
      </c>
      <c r="N328" s="122">
        <v>6.4</v>
      </c>
      <c r="O328" s="79">
        <v>1.71</v>
      </c>
      <c r="P328" s="116">
        <v>13</v>
      </c>
      <c r="Q328" s="122">
        <v>6.8</v>
      </c>
      <c r="R328" s="10">
        <v>0.08</v>
      </c>
      <c r="S328" s="79">
        <v>22.36</v>
      </c>
      <c r="T328" s="79">
        <v>0.88</v>
      </c>
      <c r="U328" s="79">
        <v>0.7</v>
      </c>
      <c r="V328" s="85">
        <f t="shared" si="37"/>
        <v>1852.8462499999998</v>
      </c>
      <c r="W328" s="85">
        <f t="shared" si="38"/>
        <v>1460.2868799999999</v>
      </c>
      <c r="X328" s="85">
        <f t="shared" si="39"/>
        <v>0.7881317081760022</v>
      </c>
      <c r="Y328" s="116">
        <v>3</v>
      </c>
      <c r="Z328" s="116">
        <v>4</v>
      </c>
      <c r="AA328" s="122">
        <v>6</v>
      </c>
      <c r="AB328" s="116">
        <v>20</v>
      </c>
      <c r="AC328" s="122">
        <v>6.1</v>
      </c>
      <c r="AD328" s="122">
        <v>4.9000000000000004</v>
      </c>
      <c r="AE328" s="79">
        <v>0.1</v>
      </c>
      <c r="AF328" s="79">
        <v>0.16</v>
      </c>
      <c r="AG328" s="85">
        <f>(O328+0.3*H328+2)*(F328/2/AK328)</f>
        <v>2470.4616666666666</v>
      </c>
      <c r="AH328" s="85">
        <f t="shared" si="40"/>
        <v>1863.5736287999996</v>
      </c>
      <c r="AI328" s="85">
        <f t="shared" si="41"/>
        <v>0.75434225673069188</v>
      </c>
      <c r="AJ328" s="116">
        <v>2</v>
      </c>
      <c r="AK328" s="116">
        <v>3</v>
      </c>
      <c r="AL328" s="122">
        <v>6.3</v>
      </c>
      <c r="AM328" s="116">
        <v>24</v>
      </c>
      <c r="AN328" s="122">
        <v>6.1</v>
      </c>
      <c r="AO328" s="122">
        <v>4.8</v>
      </c>
      <c r="AP328" s="79">
        <v>0.09</v>
      </c>
      <c r="AQ328" s="79">
        <v>0.19</v>
      </c>
      <c r="AR328" s="132">
        <f>SUM(C328:E328)</f>
        <v>2291</v>
      </c>
      <c r="AS328" s="134">
        <f>C328/AR328</f>
        <v>0.15233522479266695</v>
      </c>
      <c r="AT328" s="134">
        <f>D328/AR328</f>
        <v>0.73854212134439112</v>
      </c>
      <c r="AU328" s="134">
        <f>E328/AR328</f>
        <v>0.10912265386294194</v>
      </c>
      <c r="AV328" s="151">
        <f>IF(AND(F328&lt;&gt;"",Z328&lt;&gt;""),AB328/(F328/2/Z328),"")</f>
        <v>6.9838498472282851E-2</v>
      </c>
      <c r="AW328" s="151">
        <f>IF(AND(F328&lt;&gt;"",AK328&lt;&gt;""),AM328/(F328/2/AK328),"")</f>
        <v>6.2854648625054563E-2</v>
      </c>
      <c r="AX328" s="41">
        <f>IF(AND(AQ328&lt;&gt;"",1-(AQ328/O328)&gt;0),1-(AQ328/O328),"")</f>
        <v>0.88888888888888884</v>
      </c>
      <c r="AY328" s="41">
        <f>IF(AND(AF328&lt;&gt;"",1-(AF328/O328)&gt;0),1-(AF328/O328),"")</f>
        <v>0.9064327485380117</v>
      </c>
      <c r="AZ328" s="136" t="str">
        <f>IF(Q328="","",IF(Q328&lt;2.5,"Alc. Bruta &lt; 2,5 mg/L",IF(Q328&lt;5,"2,5 ≤ Alc. Bruta &lt; 5,0 mg/L",IF(Q328&lt;7.5,"5,0 ≤ Alc. Bruta &lt; 7,5 mg/L",IF(Q328&lt;10,"7,5 ≤ Alc. Bruta &lt; 10,0 mg/L",IF(Q328&lt;15,"10,0 ≤ Alca. Bruta &lt; 15,0 mg/L","Alc. Bruta &gt; 15 mg/L"))))))</f>
        <v>5,0 ≤ Alc. Bruta &lt; 7,5 mg/L</v>
      </c>
      <c r="BA328" s="136" t="str">
        <f>IF(P328="","",IF(P328&lt;5,"Cor &lt;5 uC",IF(P328&lt;10,"5 ≤ Cor &lt; 10 uC",IF(P328&lt;15,"10 ≤ Cor &lt;15 uC",IF(P328&lt;30,"15 ≤ Cor &lt; 30 uC",IF(P328&lt;50,"30 ≤ Cor &lt; 50 uC","Cor &gt; 50 uC"))))))</f>
        <v>10 ≤ Cor &lt;15 uC</v>
      </c>
      <c r="BB328" s="137" t="str">
        <f>IF(O328="","",IF(O328&lt;2.5,"Turbidez &lt; 2,5 uT",IF(O328&lt;5,"2,5 ≤ Turb &lt; 5,0 uT",IF(O328&lt;7.5,"5,0 ≤ Turb &lt; 7,5 uT",IF(O328&lt;10,"7,5 ≤ Turb &lt; 10,0 uT",IF(O328&lt;15,"10,0 ≤ Turb &lt; 15,0 uT","Turb &gt; 15 uT"))))))</f>
        <v>Turbidez &lt; 2,5 uT</v>
      </c>
      <c r="BC328" s="138" t="str">
        <f>IF(AND(C328&gt;D328,D328&gt;E328),"TOR &gt; SM &gt; BNN",IF(AND(C328&gt;E328,E328&gt;D328),"TOR &gt; BNN &gt; SM",IF(AND(D328&gt;C328,C328&gt;E328),"SM &gt; TOR &gt; BNN",IF(AND(D328&gt;E328,E328&gt;C328),"SM &gt; BNN &gt; TOR",IF(AND(C328=D328,D328=E328),"TOR = SM = BNN","Comb. diferentes")))))</f>
        <v>SM &gt; TOR &gt; BNN</v>
      </c>
      <c r="BD328" s="137" t="str">
        <f>IF(OR(AE328="",AQ328="-"),"",IF(AE328&lt;=0.25,"Tipo 1 (≤0,25) uT",IF(AE328&lt;=0.5,"Tipo 2 (0,25-0,50) uT",IF(AE328&lt;=0.75,"Tipo 3 (0,50-0,75) uT","Tipo 4 (&gt;0,75) uT"))))</f>
        <v>Tipo 1 (≤0,25) uT</v>
      </c>
      <c r="BE328" s="137" t="str">
        <f t="shared" si="35"/>
        <v>Tipo 1 (≤0,25) uT</v>
      </c>
      <c r="BF328" s="137" t="str">
        <f>IF(OR(AF328="",AQ328="-"),"",IF(AF328&lt;=0.25,"Tipo 1 (≤0,25) uT",IF(AF328&lt;=0.5,"Tipo 2 (0,25-0,50) uT",IF(AF328&lt;=0.75,"Tipo 3 (0,50-0,75) uT","Tipo 4 (&gt;0,75) uT"))))</f>
        <v>Tipo 1 (≤0,25) uT</v>
      </c>
      <c r="BG328" s="137" t="str">
        <f t="shared" si="36"/>
        <v>Tipo 1 (≤0,25) uT</v>
      </c>
      <c r="BH328" s="137" t="str">
        <f>IF(OR(R328="",R328="-"),"",IF(R328&lt;=0.25,"Tipo 1 (≤0,25) uT",IF(R328&lt;=0.5,"Tipo 2 (0,25-0,50) uT",IF(R328&lt;=0.75,"Tipo 3 (0,50-0,75) uT","Tipo 4 (&gt;0,75) uT"))))</f>
        <v>Tipo 1 (≤0,25) uT</v>
      </c>
    </row>
    <row r="329" spans="1:60" x14ac:dyDescent="0.3">
      <c r="A329" s="74">
        <v>46294</v>
      </c>
      <c r="B329" s="139">
        <v>0.89583333333333337</v>
      </c>
      <c r="C329" s="116">
        <v>304</v>
      </c>
      <c r="D329" s="116">
        <v>1474</v>
      </c>
      <c r="E329" s="116">
        <v>437</v>
      </c>
      <c r="F329" s="116">
        <v>2408</v>
      </c>
      <c r="G329" s="144" t="s">
        <v>100</v>
      </c>
      <c r="H329" s="122">
        <v>9.1999999999999993</v>
      </c>
      <c r="I329" s="116">
        <v>34</v>
      </c>
      <c r="J329" s="10">
        <v>90</v>
      </c>
      <c r="K329" s="116">
        <v>90</v>
      </c>
      <c r="L329" s="116">
        <v>90</v>
      </c>
      <c r="M329" s="122">
        <v>23.6</v>
      </c>
      <c r="N329" s="122">
        <v>6.4</v>
      </c>
      <c r="O329" s="79">
        <v>1.46</v>
      </c>
      <c r="P329" s="116">
        <v>11</v>
      </c>
      <c r="Q329" s="122">
        <v>6.9</v>
      </c>
      <c r="R329" s="10">
        <v>0.08</v>
      </c>
      <c r="S329" s="79">
        <v>22.36</v>
      </c>
      <c r="T329" s="79">
        <v>0.88</v>
      </c>
      <c r="U329" s="79">
        <v>0.7</v>
      </c>
      <c r="V329" s="85">
        <f t="shared" si="37"/>
        <v>1872.22</v>
      </c>
      <c r="W329" s="85">
        <f t="shared" si="38"/>
        <v>1533.3012239999998</v>
      </c>
      <c r="X329" s="85">
        <f t="shared" si="39"/>
        <v>0.81897491961414781</v>
      </c>
      <c r="Y329" s="116">
        <v>3</v>
      </c>
      <c r="Z329" s="116">
        <v>4</v>
      </c>
      <c r="AA329" s="122">
        <v>6</v>
      </c>
      <c r="AB329" s="116">
        <v>21</v>
      </c>
      <c r="AC329" s="122">
        <v>6.3</v>
      </c>
      <c r="AD329" s="122">
        <v>4.5</v>
      </c>
      <c r="AE329" s="79">
        <v>0.21</v>
      </c>
      <c r="AF329" s="79">
        <v>0.13</v>
      </c>
      <c r="AG329" s="85">
        <f>(O329+0.3*H329+2)*(F329/2/AK329)</f>
        <v>2496.2933333333331</v>
      </c>
      <c r="AH329" s="85">
        <f t="shared" si="40"/>
        <v>1863.5736287999996</v>
      </c>
      <c r="AI329" s="85">
        <f t="shared" si="41"/>
        <v>0.7465363160312356</v>
      </c>
      <c r="AJ329" s="116">
        <v>2</v>
      </c>
      <c r="AK329" s="116">
        <v>3</v>
      </c>
      <c r="AL329" s="122">
        <v>6.3</v>
      </c>
      <c r="AM329" s="116">
        <v>24</v>
      </c>
      <c r="AN329" s="122">
        <v>6.1</v>
      </c>
      <c r="AO329" s="122">
        <v>4.8</v>
      </c>
      <c r="AP329" s="79">
        <v>0.18</v>
      </c>
      <c r="AQ329" s="79">
        <v>0.21</v>
      </c>
      <c r="AR329" s="132">
        <f>SUM(C329:E329)</f>
        <v>2215</v>
      </c>
      <c r="AS329" s="134">
        <f>C329/AR329</f>
        <v>0.13724604966139956</v>
      </c>
      <c r="AT329" s="134">
        <f>D329/AR329</f>
        <v>0.6654627539503386</v>
      </c>
      <c r="AU329" s="134">
        <f>E329/AR329</f>
        <v>0.19729119638826184</v>
      </c>
      <c r="AV329" s="151">
        <f>IF(AND(F329&lt;&gt;"",Z329&lt;&gt;""),AB329/(F329/2/Z329),"")</f>
        <v>6.9767441860465115E-2</v>
      </c>
      <c r="AW329" s="151">
        <f>IF(AND(F329&lt;&gt;"",AK329&lt;&gt;""),AM329/(F329/2/AK329),"")</f>
        <v>5.9800664451827246E-2</v>
      </c>
      <c r="AX329" s="41">
        <f>IF(AND(AQ329&lt;&gt;"",1-(AQ329/O329)&gt;0),1-(AQ329/O329),"")</f>
        <v>0.85616438356164382</v>
      </c>
      <c r="AY329" s="41">
        <f>IF(AND(AF329&lt;&gt;"",1-(AF329/O329)&gt;0),1-(AF329/O329),"")</f>
        <v>0.91095890410958902</v>
      </c>
      <c r="AZ329" s="136" t="str">
        <f>IF(Q329="","",IF(Q329&lt;2.5,"Alc. Bruta &lt; 2,5 mg/L",IF(Q329&lt;5,"2,5 ≤ Alc. Bruta &lt; 5,0 mg/L",IF(Q329&lt;7.5,"5,0 ≤ Alc. Bruta &lt; 7,5 mg/L",IF(Q329&lt;10,"7,5 ≤ Alc. Bruta &lt; 10,0 mg/L",IF(Q329&lt;15,"10,0 ≤ Alca. Bruta &lt; 15,0 mg/L","Alc. Bruta &gt; 15 mg/L"))))))</f>
        <v>5,0 ≤ Alc. Bruta &lt; 7,5 mg/L</v>
      </c>
      <c r="BA329" s="136" t="str">
        <f>IF(P329="","",IF(P329&lt;5,"Cor &lt;5 uC",IF(P329&lt;10,"5 ≤ Cor &lt; 10 uC",IF(P329&lt;15,"10 ≤ Cor &lt;15 uC",IF(P329&lt;30,"15 ≤ Cor &lt; 30 uC",IF(P329&lt;50,"30 ≤ Cor &lt; 50 uC","Cor &gt; 50 uC"))))))</f>
        <v>10 ≤ Cor &lt;15 uC</v>
      </c>
      <c r="BB329" s="137" t="str">
        <f>IF(O329="","",IF(O329&lt;2.5,"Turbidez &lt; 2,5 uT",IF(O329&lt;5,"2,5 ≤ Turb &lt; 5,0 uT",IF(O329&lt;7.5,"5,0 ≤ Turb &lt; 7,5 uT",IF(O329&lt;10,"7,5 ≤ Turb &lt; 10,0 uT",IF(O329&lt;15,"10,0 ≤ Turb &lt; 15,0 uT","Turb &gt; 15 uT"))))))</f>
        <v>Turbidez &lt; 2,5 uT</v>
      </c>
      <c r="BC329" s="138" t="str">
        <f>IF(AND(C329&gt;D329,D329&gt;E329),"TOR &gt; SM &gt; BNN",IF(AND(C329&gt;E329,E329&gt;D329),"TOR &gt; BNN &gt; SM",IF(AND(D329&gt;C329,C329&gt;E329),"SM &gt; TOR &gt; BNN",IF(AND(D329&gt;E329,E329&gt;C329),"SM &gt; BNN &gt; TOR",IF(AND(C329=D329,D329=E329),"TOR = SM = BNN","Comb. diferentes")))))</f>
        <v>SM &gt; BNN &gt; TOR</v>
      </c>
      <c r="BD329" s="137" t="str">
        <f>IF(OR(AE329="",AQ329="-"),"",IF(AE329&lt;=0.25,"Tipo 1 (≤0,25) uT",IF(AE329&lt;=0.5,"Tipo 2 (0,25-0,50) uT",IF(AE329&lt;=0.75,"Tipo 3 (0,50-0,75) uT","Tipo 4 (&gt;0,75) uT"))))</f>
        <v>Tipo 1 (≤0,25) uT</v>
      </c>
      <c r="BE329" s="137" t="str">
        <f t="shared" si="35"/>
        <v>Tipo 1 (≤0,25) uT</v>
      </c>
      <c r="BF329" s="137" t="str">
        <f>IF(OR(AF329="",AQ329="-"),"",IF(AF329&lt;=0.25,"Tipo 1 (≤0,25) uT",IF(AF329&lt;=0.5,"Tipo 2 (0,25-0,50) uT",IF(AF329&lt;=0.75,"Tipo 3 (0,50-0,75) uT","Tipo 4 (&gt;0,75) uT"))))</f>
        <v>Tipo 1 (≤0,25) uT</v>
      </c>
      <c r="BG329" s="137" t="str">
        <f t="shared" si="36"/>
        <v>Tipo 1 (≤0,25) uT</v>
      </c>
      <c r="BH329" s="137" t="str">
        <f>IF(OR(R329="",R329="-"),"",IF(R329&lt;=0.25,"Tipo 1 (≤0,25) uT",IF(R329&lt;=0.5,"Tipo 2 (0,25-0,50) uT",IF(R329&lt;=0.75,"Tipo 3 (0,50-0,75) uT","Tipo 4 (&gt;0,75) uT"))))</f>
        <v>Tipo 1 (≤0,25) uT</v>
      </c>
    </row>
    <row r="330" spans="1:60" x14ac:dyDescent="0.3">
      <c r="A330" s="74">
        <v>46294</v>
      </c>
      <c r="B330" s="139">
        <v>0.97916666666666663</v>
      </c>
      <c r="C330" s="116">
        <v>308</v>
      </c>
      <c r="D330" s="116">
        <v>1539</v>
      </c>
      <c r="E330" s="116">
        <v>432</v>
      </c>
      <c r="F330" s="116">
        <v>2410</v>
      </c>
      <c r="G330" s="144" t="s">
        <v>100</v>
      </c>
      <c r="H330" s="122">
        <v>9.1999999999999993</v>
      </c>
      <c r="I330" s="116">
        <v>34</v>
      </c>
      <c r="J330" s="10">
        <v>90</v>
      </c>
      <c r="K330" s="116">
        <v>90</v>
      </c>
      <c r="L330" s="116">
        <v>90</v>
      </c>
      <c r="M330" s="122">
        <v>25.4</v>
      </c>
      <c r="N330" s="122">
        <v>6.4</v>
      </c>
      <c r="O330" s="79">
        <v>1.54</v>
      </c>
      <c r="P330" s="116">
        <v>11</v>
      </c>
      <c r="Q330" s="122">
        <v>6.5</v>
      </c>
      <c r="R330" s="10">
        <v>0.08</v>
      </c>
      <c r="S330" s="79">
        <v>22.36</v>
      </c>
      <c r="T330" s="79">
        <v>0.88</v>
      </c>
      <c r="U330" s="79">
        <v>0.7</v>
      </c>
      <c r="V330" s="85">
        <f t="shared" si="37"/>
        <v>1897.875</v>
      </c>
      <c r="W330" s="85">
        <f t="shared" si="38"/>
        <v>1533.3012239999998</v>
      </c>
      <c r="X330" s="85">
        <f t="shared" si="39"/>
        <v>0.80790422130013817</v>
      </c>
      <c r="Y330" s="116">
        <v>3</v>
      </c>
      <c r="Z330" s="116">
        <v>4</v>
      </c>
      <c r="AA330" s="122">
        <v>6</v>
      </c>
      <c r="AB330" s="116">
        <v>21</v>
      </c>
      <c r="AC330" s="122">
        <v>6.2</v>
      </c>
      <c r="AD330" s="122">
        <v>4.7</v>
      </c>
      <c r="AE330" s="79">
        <v>0.18</v>
      </c>
      <c r="AF330" s="79">
        <v>0.15</v>
      </c>
      <c r="AG330" s="85">
        <f>(O330+0.3*H330+2)*(F330/2/AK330)</f>
        <v>2530.5</v>
      </c>
      <c r="AH330" s="85">
        <f t="shared" si="40"/>
        <v>1863.5736287999996</v>
      </c>
      <c r="AI330" s="85">
        <f t="shared" si="41"/>
        <v>0.73644482465915806</v>
      </c>
      <c r="AJ330" s="116">
        <v>2</v>
      </c>
      <c r="AK330" s="116">
        <v>3</v>
      </c>
      <c r="AL330" s="122">
        <v>6.3</v>
      </c>
      <c r="AM330" s="116">
        <v>24</v>
      </c>
      <c r="AN330" s="122">
        <v>6</v>
      </c>
      <c r="AO330" s="122">
        <v>5.2</v>
      </c>
      <c r="AP330" s="79">
        <v>0.16</v>
      </c>
      <c r="AQ330" s="79">
        <v>0.2</v>
      </c>
      <c r="AR330" s="132">
        <f>SUM(C330:E330)</f>
        <v>2279</v>
      </c>
      <c r="AS330" s="134">
        <f>C330/AR330</f>
        <v>0.13514699429574376</v>
      </c>
      <c r="AT330" s="134">
        <f>D330/AR330</f>
        <v>0.67529618253620005</v>
      </c>
      <c r="AU330" s="134">
        <f>E330/AR330</f>
        <v>0.18955682316805617</v>
      </c>
      <c r="AV330" s="151">
        <f>IF(AND(F330&lt;&gt;"",Z330&lt;&gt;""),AB330/(F330/2/Z330),"")</f>
        <v>6.9709543568464732E-2</v>
      </c>
      <c r="AW330" s="151">
        <f>IF(AND(F330&lt;&gt;"",AK330&lt;&gt;""),AM330/(F330/2/AK330),"")</f>
        <v>5.9751037344398336E-2</v>
      </c>
      <c r="AX330" s="41">
        <f>IF(AND(AQ330&lt;&gt;"",1-(AQ330/O330)&gt;0),1-(AQ330/O330),"")</f>
        <v>0.87012987012987009</v>
      </c>
      <c r="AY330" s="41">
        <f>IF(AND(AF330&lt;&gt;"",1-(AF330/O330)&gt;0),1-(AF330/O330),"")</f>
        <v>0.90259740259740262</v>
      </c>
      <c r="AZ330" s="136" t="str">
        <f>IF(Q330="","",IF(Q330&lt;2.5,"Alc. Bruta &lt; 2,5 mg/L",IF(Q330&lt;5,"2,5 ≤ Alc. Bruta &lt; 5,0 mg/L",IF(Q330&lt;7.5,"5,0 ≤ Alc. Bruta &lt; 7,5 mg/L",IF(Q330&lt;10,"7,5 ≤ Alc. Bruta &lt; 10,0 mg/L",IF(Q330&lt;15,"10,0 ≤ Alca. Bruta &lt; 15,0 mg/L","Alc. Bruta &gt; 15 mg/L"))))))</f>
        <v>5,0 ≤ Alc. Bruta &lt; 7,5 mg/L</v>
      </c>
      <c r="BA330" s="136" t="str">
        <f>IF(P330="","",IF(P330&lt;5,"Cor &lt;5 uC",IF(P330&lt;10,"5 ≤ Cor &lt; 10 uC",IF(P330&lt;15,"10 ≤ Cor &lt;15 uC",IF(P330&lt;30,"15 ≤ Cor &lt; 30 uC",IF(P330&lt;50,"30 ≤ Cor &lt; 50 uC","Cor &gt; 50 uC"))))))</f>
        <v>10 ≤ Cor &lt;15 uC</v>
      </c>
      <c r="BB330" s="137" t="str">
        <f>IF(O330="","",IF(O330&lt;2.5,"Turbidez &lt; 2,5 uT",IF(O330&lt;5,"2,5 ≤ Turb &lt; 5,0 uT",IF(O330&lt;7.5,"5,0 ≤ Turb &lt; 7,5 uT",IF(O330&lt;10,"7,5 ≤ Turb &lt; 10,0 uT",IF(O330&lt;15,"10,0 ≤ Turb &lt; 15,0 uT","Turb &gt; 15 uT"))))))</f>
        <v>Turbidez &lt; 2,5 uT</v>
      </c>
      <c r="BC330" s="138" t="str">
        <f>IF(AND(C330&gt;D330,D330&gt;E330),"TOR &gt; SM &gt; BNN",IF(AND(C330&gt;E330,E330&gt;D330),"TOR &gt; BNN &gt; SM",IF(AND(D330&gt;C330,C330&gt;E330),"SM &gt; TOR &gt; BNN",IF(AND(D330&gt;E330,E330&gt;C330),"SM &gt; BNN &gt; TOR",IF(AND(C330=D330,D330=E330),"TOR = SM = BNN","Comb. diferentes")))))</f>
        <v>SM &gt; BNN &gt; TOR</v>
      </c>
      <c r="BD330" s="137" t="str">
        <f>IF(OR(AE330="",AQ330="-"),"",IF(AE330&lt;=0.25,"Tipo 1 (≤0,25) uT",IF(AE330&lt;=0.5,"Tipo 2 (0,25-0,50) uT",IF(AE330&lt;=0.75,"Tipo 3 (0,50-0,75) uT","Tipo 4 (&gt;0,75) uT"))))</f>
        <v>Tipo 1 (≤0,25) uT</v>
      </c>
      <c r="BE330" s="137" t="str">
        <f t="shared" si="35"/>
        <v>Tipo 1 (≤0,25) uT</v>
      </c>
      <c r="BF330" s="137" t="str">
        <f>IF(OR(AF330="",AQ330="-"),"",IF(AF330&lt;=0.25,"Tipo 1 (≤0,25) uT",IF(AF330&lt;=0.5,"Tipo 2 (0,25-0,50) uT",IF(AF330&lt;=0.75,"Tipo 3 (0,50-0,75) uT","Tipo 4 (&gt;0,75) uT"))))</f>
        <v>Tipo 1 (≤0,25) uT</v>
      </c>
      <c r="BG330" s="137" t="str">
        <f t="shared" si="36"/>
        <v>Tipo 1 (≤0,25) uT</v>
      </c>
      <c r="BH330" s="137" t="str">
        <f>IF(OR(R330="",R330="-"),"",IF(R330&lt;=0.25,"Tipo 1 (≤0,25) uT",IF(R330&lt;=0.5,"Tipo 2 (0,25-0,50) uT",IF(R330&lt;=0.75,"Tipo 3 (0,50-0,75) uT","Tipo 4 (&gt;0,75) uT"))))</f>
        <v>Tipo 1 (≤0,25) uT</v>
      </c>
    </row>
    <row r="331" spans="1:60" x14ac:dyDescent="0.3">
      <c r="A331" s="74">
        <v>46295</v>
      </c>
      <c r="B331" s="139">
        <v>0.14583333333333334</v>
      </c>
      <c r="C331" s="116">
        <v>327</v>
      </c>
      <c r="D331" s="116">
        <v>1554</v>
      </c>
      <c r="E331" s="116">
        <v>402</v>
      </c>
      <c r="F331" s="116">
        <v>2482</v>
      </c>
      <c r="G331" s="144" t="s">
        <v>100</v>
      </c>
      <c r="H331" s="122">
        <v>9.1999999999999993</v>
      </c>
      <c r="I331" s="116">
        <v>33</v>
      </c>
      <c r="J331" s="10">
        <v>90</v>
      </c>
      <c r="K331" s="116">
        <v>90</v>
      </c>
      <c r="L331" s="116">
        <v>90</v>
      </c>
      <c r="M331" s="122">
        <v>25.5</v>
      </c>
      <c r="N331" s="122">
        <v>6.4</v>
      </c>
      <c r="O331" s="79">
        <v>1.5</v>
      </c>
      <c r="P331" s="116">
        <v>14</v>
      </c>
      <c r="Q331" s="122">
        <v>6.9</v>
      </c>
      <c r="R331" s="10">
        <v>0.08</v>
      </c>
      <c r="S331" s="79">
        <v>22.36</v>
      </c>
      <c r="T331" s="79">
        <v>0.88</v>
      </c>
      <c r="U331" s="79">
        <v>0.7</v>
      </c>
      <c r="V331" s="85">
        <f t="shared" si="37"/>
        <v>1942.165</v>
      </c>
      <c r="W331" s="85">
        <f t="shared" si="38"/>
        <v>1533.3012239999998</v>
      </c>
      <c r="X331" s="85">
        <f t="shared" si="39"/>
        <v>0.78948041180847139</v>
      </c>
      <c r="Y331" s="116">
        <v>3</v>
      </c>
      <c r="Z331" s="116">
        <v>4</v>
      </c>
      <c r="AA331" s="122">
        <v>6</v>
      </c>
      <c r="AB331" s="116">
        <v>21</v>
      </c>
      <c r="AC331" s="122">
        <v>6.2</v>
      </c>
      <c r="AD331" s="122">
        <v>5.7</v>
      </c>
      <c r="AE331" s="79">
        <v>0.36</v>
      </c>
      <c r="AF331" s="79">
        <v>0.15</v>
      </c>
      <c r="AG331" s="85">
        <f>(O331+0.3*H331+2)*(F331/2/AK331)</f>
        <v>2589.5533333333333</v>
      </c>
      <c r="AH331" s="85">
        <f t="shared" si="40"/>
        <v>1863.5736287999996</v>
      </c>
      <c r="AI331" s="85">
        <f t="shared" si="41"/>
        <v>0.71965060723470953</v>
      </c>
      <c r="AJ331" s="116">
        <v>2</v>
      </c>
      <c r="AK331" s="116">
        <v>3</v>
      </c>
      <c r="AL331" s="122">
        <v>6.3</v>
      </c>
      <c r="AM331" s="116">
        <v>24</v>
      </c>
      <c r="AN331" s="122">
        <v>6.2</v>
      </c>
      <c r="AO331" s="122">
        <v>5.4</v>
      </c>
      <c r="AP331" s="79">
        <v>0.23</v>
      </c>
      <c r="AQ331" s="79">
        <v>0.23</v>
      </c>
      <c r="AR331" s="132">
        <f>SUM(C331:E331)</f>
        <v>2283</v>
      </c>
      <c r="AS331" s="134">
        <f>C331/AR331</f>
        <v>0.14323258869908015</v>
      </c>
      <c r="AT331" s="134">
        <f>D331/AR331</f>
        <v>0.68068331143232585</v>
      </c>
      <c r="AU331" s="134">
        <f>E331/AR331</f>
        <v>0.17608409986859397</v>
      </c>
      <c r="AV331" s="151">
        <f>IF(AND(F331&lt;&gt;"",Z331&lt;&gt;""),AB331/(F331/2/Z331),"")</f>
        <v>6.7687348912167614E-2</v>
      </c>
      <c r="AW331" s="151">
        <f>IF(AND(F331&lt;&gt;"",AK331&lt;&gt;""),AM331/(F331/2/AK331),"")</f>
        <v>5.8017727639000802E-2</v>
      </c>
      <c r="AX331" s="41">
        <f>IF(AND(AQ331&lt;&gt;"",1-(AQ331/O331)&gt;0),1-(AQ331/O331),"")</f>
        <v>0.84666666666666668</v>
      </c>
      <c r="AY331" s="41">
        <f>IF(AND(AF331&lt;&gt;"",1-(AF331/O331)&gt;0),1-(AF331/O331),"")</f>
        <v>0.9</v>
      </c>
      <c r="AZ331" s="136" t="str">
        <f>IF(Q331="","",IF(Q331&lt;2.5,"Alc. Bruta &lt; 2,5 mg/L",IF(Q331&lt;5,"2,5 ≤ Alc. Bruta &lt; 5,0 mg/L",IF(Q331&lt;7.5,"5,0 ≤ Alc. Bruta &lt; 7,5 mg/L",IF(Q331&lt;10,"7,5 ≤ Alc. Bruta &lt; 10,0 mg/L",IF(Q331&lt;15,"10,0 ≤ Alca. Bruta &lt; 15,0 mg/L","Alc. Bruta &gt; 15 mg/L"))))))</f>
        <v>5,0 ≤ Alc. Bruta &lt; 7,5 mg/L</v>
      </c>
      <c r="BA331" s="136" t="str">
        <f>IF(P331="","",IF(P331&lt;5,"Cor &lt;5 uC",IF(P331&lt;10,"5 ≤ Cor &lt; 10 uC",IF(P331&lt;15,"10 ≤ Cor &lt;15 uC",IF(P331&lt;30,"15 ≤ Cor &lt; 30 uC",IF(P331&lt;50,"30 ≤ Cor &lt; 50 uC","Cor &gt; 50 uC"))))))</f>
        <v>10 ≤ Cor &lt;15 uC</v>
      </c>
      <c r="BB331" s="137" t="str">
        <f>IF(O331="","",IF(O331&lt;2.5,"Turbidez &lt; 2,5 uT",IF(O331&lt;5,"2,5 ≤ Turb &lt; 5,0 uT",IF(O331&lt;7.5,"5,0 ≤ Turb &lt; 7,5 uT",IF(O331&lt;10,"7,5 ≤ Turb &lt; 10,0 uT",IF(O331&lt;15,"10,0 ≤ Turb &lt; 15,0 uT","Turb &gt; 15 uT"))))))</f>
        <v>Turbidez &lt; 2,5 uT</v>
      </c>
      <c r="BC331" s="138" t="str">
        <f>IF(AND(C331&gt;D331,D331&gt;E331),"TOR &gt; SM &gt; BNN",IF(AND(C331&gt;E331,E331&gt;D331),"TOR &gt; BNN &gt; SM",IF(AND(D331&gt;C331,C331&gt;E331),"SM &gt; TOR &gt; BNN",IF(AND(D331&gt;E331,E331&gt;C331),"SM &gt; BNN &gt; TOR",IF(AND(C331=D331,D331=E331),"TOR = SM = BNN","Comb. diferentes")))))</f>
        <v>SM &gt; BNN &gt; TOR</v>
      </c>
      <c r="BD331" s="137" t="str">
        <f>IF(OR(AE331="",AQ331="-"),"",IF(AE331&lt;=0.25,"Tipo 1 (≤0,25) uT",IF(AE331&lt;=0.5,"Tipo 2 (0,25-0,50) uT",IF(AE331&lt;=0.75,"Tipo 3 (0,50-0,75) uT","Tipo 4 (&gt;0,75) uT"))))</f>
        <v>Tipo 2 (0,25-0,50) uT</v>
      </c>
      <c r="BE331" s="137" t="str">
        <f t="shared" si="35"/>
        <v>Tipo 1 (≤0,25) uT</v>
      </c>
      <c r="BF331" s="137" t="str">
        <f>IF(OR(AF331="",AQ331="-"),"",IF(AF331&lt;=0.25,"Tipo 1 (≤0,25) uT",IF(AF331&lt;=0.5,"Tipo 2 (0,25-0,50) uT",IF(AF331&lt;=0.75,"Tipo 3 (0,50-0,75) uT","Tipo 4 (&gt;0,75) uT"))))</f>
        <v>Tipo 1 (≤0,25) uT</v>
      </c>
      <c r="BG331" s="137" t="str">
        <f t="shared" si="36"/>
        <v>Tipo 1 (≤0,25) uT</v>
      </c>
      <c r="BH331" s="137" t="str">
        <f>IF(OR(R331="",R331="-"),"",IF(R331&lt;=0.25,"Tipo 1 (≤0,25) uT",IF(R331&lt;=0.5,"Tipo 2 (0,25-0,50) uT",IF(R331&lt;=0.75,"Tipo 3 (0,50-0,75) uT","Tipo 4 (&gt;0,75) uT"))))</f>
        <v>Tipo 1 (≤0,25) uT</v>
      </c>
    </row>
    <row r="332" spans="1:60" ht="15" thickBot="1" x14ac:dyDescent="0.35">
      <c r="A332" s="75">
        <v>46295</v>
      </c>
      <c r="B332" s="140">
        <v>0.22916666666666666</v>
      </c>
      <c r="C332" s="117">
        <v>315</v>
      </c>
      <c r="D332" s="117">
        <v>1496</v>
      </c>
      <c r="E332" s="117">
        <v>401</v>
      </c>
      <c r="F332" s="117">
        <v>2388</v>
      </c>
      <c r="G332" s="145" t="s">
        <v>100</v>
      </c>
      <c r="H332" s="123">
        <v>9.1999999999999993</v>
      </c>
      <c r="I332" s="117">
        <v>33</v>
      </c>
      <c r="J332" s="11">
        <v>90</v>
      </c>
      <c r="K332" s="117">
        <v>90</v>
      </c>
      <c r="L332" s="117">
        <v>90</v>
      </c>
      <c r="M332" s="123">
        <v>24.4</v>
      </c>
      <c r="N332" s="123">
        <v>6.4</v>
      </c>
      <c r="O332" s="80">
        <v>1.57</v>
      </c>
      <c r="P332" s="117">
        <v>13</v>
      </c>
      <c r="Q332" s="123">
        <v>6.9</v>
      </c>
      <c r="R332" s="11">
        <v>0.08</v>
      </c>
      <c r="S332" s="79">
        <v>22.36</v>
      </c>
      <c r="T332" s="79">
        <v>0.88</v>
      </c>
      <c r="U332" s="79">
        <v>0.7</v>
      </c>
      <c r="V332" s="85">
        <f t="shared" si="37"/>
        <v>1889.5050000000001</v>
      </c>
      <c r="W332" s="85">
        <f t="shared" si="38"/>
        <v>1533.3012239999998</v>
      </c>
      <c r="X332" s="85">
        <f t="shared" si="39"/>
        <v>0.81148302015607243</v>
      </c>
      <c r="Y332" s="117">
        <v>3</v>
      </c>
      <c r="Z332" s="117">
        <v>4</v>
      </c>
      <c r="AA332" s="123">
        <v>6</v>
      </c>
      <c r="AB332" s="117">
        <v>21</v>
      </c>
      <c r="AC332" s="123">
        <v>6.1</v>
      </c>
      <c r="AD332" s="123">
        <v>5.0999999999999996</v>
      </c>
      <c r="AE332" s="80">
        <v>0.28999999999999998</v>
      </c>
      <c r="AF332" s="80">
        <v>0.15</v>
      </c>
      <c r="AG332" s="85">
        <f>(O332+0.3*H332+2)*(F332/2/AK332)</f>
        <v>2519.34</v>
      </c>
      <c r="AH332" s="85">
        <f t="shared" si="40"/>
        <v>1900.6500864</v>
      </c>
      <c r="AI332" s="85">
        <f t="shared" si="41"/>
        <v>0.75442381195074892</v>
      </c>
      <c r="AJ332" s="117">
        <v>2</v>
      </c>
      <c r="AK332" s="117">
        <v>3</v>
      </c>
      <c r="AL332" s="123">
        <v>6.4</v>
      </c>
      <c r="AM332" s="117">
        <v>24</v>
      </c>
      <c r="AN332" s="123">
        <v>6.2</v>
      </c>
      <c r="AO332" s="123">
        <v>5.6</v>
      </c>
      <c r="AP332" s="80">
        <v>0.12</v>
      </c>
      <c r="AQ332" s="80">
        <v>0.21</v>
      </c>
      <c r="AR332" s="132">
        <f>SUM(C332:E332)</f>
        <v>2212</v>
      </c>
      <c r="AS332" s="134">
        <f>C332/AR332</f>
        <v>0.14240506329113925</v>
      </c>
      <c r="AT332" s="134">
        <f>D332/AR332</f>
        <v>0.67631103074141052</v>
      </c>
      <c r="AU332" s="134">
        <f>E332/AR332</f>
        <v>0.18128390596745028</v>
      </c>
      <c r="AV332" s="151">
        <f>IF(AND(F332&lt;&gt;"",Z332&lt;&gt;""),AB332/(F332/2/Z332),"")</f>
        <v>7.0351758793969849E-2</v>
      </c>
      <c r="AW332" s="151">
        <f>IF(AND(F332&lt;&gt;"",AK332&lt;&gt;""),AM332/(F332/2/AK332),"")</f>
        <v>6.030150753768844E-2</v>
      </c>
      <c r="AX332" s="41">
        <f>IF(AND(AQ332&lt;&gt;"",1-(AQ332/O332)&gt;0),1-(AQ332/O332),"")</f>
        <v>0.86624203821656054</v>
      </c>
      <c r="AY332" s="41">
        <f>IF(AND(AF332&lt;&gt;"",1-(AF332/O332)&gt;0),1-(AF332/O332),"")</f>
        <v>0.90445859872611467</v>
      </c>
      <c r="AZ332" s="136" t="str">
        <f>IF(Q332="","",IF(Q332&lt;2.5,"Alc. Bruta &lt; 2,5 mg/L",IF(Q332&lt;5,"2,5 ≤ Alc. Bruta &lt; 5,0 mg/L",IF(Q332&lt;7.5,"5,0 ≤ Alc. Bruta &lt; 7,5 mg/L",IF(Q332&lt;10,"7,5 ≤ Alc. Bruta &lt; 10,0 mg/L",IF(Q332&lt;15,"10,0 ≤ Alca. Bruta &lt; 15,0 mg/L","Alc. Bruta &gt; 15 mg/L"))))))</f>
        <v>5,0 ≤ Alc. Bruta &lt; 7,5 mg/L</v>
      </c>
      <c r="BA332" s="136" t="str">
        <f>IF(P332="","",IF(P332&lt;5,"Cor &lt;5 uC",IF(P332&lt;10,"5 ≤ Cor &lt; 10 uC",IF(P332&lt;15,"10 ≤ Cor &lt;15 uC",IF(P332&lt;30,"15 ≤ Cor &lt; 30 uC",IF(P332&lt;50,"30 ≤ Cor &lt; 50 uC","Cor &gt; 50 uC"))))))</f>
        <v>10 ≤ Cor &lt;15 uC</v>
      </c>
      <c r="BB332" s="137" t="str">
        <f>IF(O332="","",IF(O332&lt;2.5,"Turbidez &lt; 2,5 uT",IF(O332&lt;5,"2,5 ≤ Turb &lt; 5,0 uT",IF(O332&lt;7.5,"5,0 ≤ Turb &lt; 7,5 uT",IF(O332&lt;10,"7,5 ≤ Turb &lt; 10,0 uT",IF(O332&lt;15,"10,0 ≤ Turb &lt; 15,0 uT","Turb &gt; 15 uT"))))))</f>
        <v>Turbidez &lt; 2,5 uT</v>
      </c>
      <c r="BC332" s="138" t="str">
        <f>IF(AND(C332&gt;D332,D332&gt;E332),"TOR &gt; SM &gt; BNN",IF(AND(C332&gt;E332,E332&gt;D332),"TOR &gt; BNN &gt; SM",IF(AND(D332&gt;C332,C332&gt;E332),"SM &gt; TOR &gt; BNN",IF(AND(D332&gt;E332,E332&gt;C332),"SM &gt; BNN &gt; TOR",IF(AND(C332=D332,D332=E332),"TOR = SM = BNN","Comb. diferentes")))))</f>
        <v>SM &gt; BNN &gt; TOR</v>
      </c>
      <c r="BD332" s="137" t="str">
        <f>IF(OR(AE332="",AQ332="-"),"",IF(AE332&lt;=0.25,"Tipo 1 (≤0,25) uT",IF(AE332&lt;=0.5,"Tipo 2 (0,25-0,50) uT",IF(AE332&lt;=0.75,"Tipo 3 (0,50-0,75) uT","Tipo 4 (&gt;0,75) uT"))))</f>
        <v>Tipo 2 (0,25-0,50) uT</v>
      </c>
      <c r="BE332" s="137" t="str">
        <f t="shared" si="35"/>
        <v>Tipo 1 (≤0,25) uT</v>
      </c>
      <c r="BF332" s="137" t="str">
        <f>IF(OR(AF332="",AQ332="-"),"",IF(AF332&lt;=0.25,"Tipo 1 (≤0,25) uT",IF(AF332&lt;=0.5,"Tipo 2 (0,25-0,50) uT",IF(AF332&lt;=0.75,"Tipo 3 (0,50-0,75) uT","Tipo 4 (&gt;0,75) uT"))))</f>
        <v>Tipo 1 (≤0,25) uT</v>
      </c>
      <c r="BG332" s="137" t="str">
        <f t="shared" si="36"/>
        <v>Tipo 1 (≤0,25) uT</v>
      </c>
      <c r="BH332" s="137" t="str">
        <f>IF(OR(R332="",R332="-"),"",IF(R332&lt;=0.25,"Tipo 1 (≤0,25) uT",IF(R332&lt;=0.5,"Tipo 2 (0,25-0,50) uT",IF(R332&lt;=0.75,"Tipo 3 (0,50-0,75) uT","Tipo 4 (&gt;0,75) uT"))))</f>
        <v>Tipo 1 (≤0,25) uT</v>
      </c>
    </row>
    <row r="333" spans="1:60" x14ac:dyDescent="0.3">
      <c r="A333" s="73">
        <v>46295</v>
      </c>
      <c r="B333" s="141">
        <v>0.3125</v>
      </c>
      <c r="C333" s="118">
        <v>371</v>
      </c>
      <c r="D333" s="118">
        <v>1309</v>
      </c>
      <c r="E333" s="118">
        <v>501</v>
      </c>
      <c r="F333" s="118">
        <v>2300</v>
      </c>
      <c r="G333" s="146" t="s">
        <v>100</v>
      </c>
      <c r="H333" s="124">
        <v>9.1999999999999993</v>
      </c>
      <c r="I333" s="118">
        <v>34.42</v>
      </c>
      <c r="J333" s="9">
        <v>90</v>
      </c>
      <c r="K333" s="118">
        <v>90</v>
      </c>
      <c r="L333" s="118">
        <v>90</v>
      </c>
      <c r="M333" s="124">
        <v>25.1</v>
      </c>
      <c r="N333" s="124">
        <v>6.4</v>
      </c>
      <c r="O333" s="81">
        <v>1.4</v>
      </c>
      <c r="P333" s="118">
        <v>10</v>
      </c>
      <c r="Q333" s="124">
        <v>7.2</v>
      </c>
      <c r="R333" s="9">
        <v>0.12</v>
      </c>
      <c r="S333" s="79">
        <v>22.36</v>
      </c>
      <c r="T333" s="79">
        <v>0.88</v>
      </c>
      <c r="U333" s="79">
        <v>0.7</v>
      </c>
      <c r="V333" s="85">
        <f t="shared" si="37"/>
        <v>1771</v>
      </c>
      <c r="W333" s="85">
        <f t="shared" si="38"/>
        <v>1550.8312851199998</v>
      </c>
      <c r="X333" s="85">
        <f t="shared" si="39"/>
        <v>0.87568113219649901</v>
      </c>
      <c r="Y333" s="118">
        <v>3</v>
      </c>
      <c r="Z333" s="118">
        <v>4</v>
      </c>
      <c r="AA333" s="124">
        <v>6.1</v>
      </c>
      <c r="AB333" s="118">
        <v>20.8</v>
      </c>
      <c r="AC333" s="124">
        <v>6.3</v>
      </c>
      <c r="AD333" s="124">
        <v>5.5</v>
      </c>
      <c r="AE333" s="81">
        <v>0.13</v>
      </c>
      <c r="AF333" s="81">
        <v>0.14000000000000001</v>
      </c>
      <c r="AG333" s="85">
        <f>(O333+0.3*H333+2)*(F333/2/AK333)</f>
        <v>2361.3333333333335</v>
      </c>
      <c r="AH333" s="85">
        <f t="shared" si="40"/>
        <v>1840.2789584399995</v>
      </c>
      <c r="AI333" s="85">
        <f t="shared" si="41"/>
        <v>0.77933891520609799</v>
      </c>
      <c r="AJ333" s="118">
        <v>2</v>
      </c>
      <c r="AK333" s="118">
        <v>3</v>
      </c>
      <c r="AL333" s="124">
        <v>6.3</v>
      </c>
      <c r="AM333" s="118">
        <v>23.7</v>
      </c>
      <c r="AN333" s="124">
        <v>6.2</v>
      </c>
      <c r="AO333" s="124">
        <v>5.7</v>
      </c>
      <c r="AP333" s="81">
        <v>0.17</v>
      </c>
      <c r="AQ333" s="81">
        <v>0.2</v>
      </c>
      <c r="AR333" s="132">
        <f>SUM(C333:E333)</f>
        <v>2181</v>
      </c>
      <c r="AS333" s="134">
        <f>C333/AR333</f>
        <v>0.17010545621274645</v>
      </c>
      <c r="AT333" s="134">
        <f>D333/AR333</f>
        <v>0.60018340210912424</v>
      </c>
      <c r="AU333" s="134">
        <f>E333/AR333</f>
        <v>0.22971114167812931</v>
      </c>
      <c r="AV333" s="151">
        <f>IF(AND(F333&lt;&gt;"",Z333&lt;&gt;""),AB333/(F333/2/Z333),"")</f>
        <v>7.2347826086956529E-2</v>
      </c>
      <c r="AW333" s="151">
        <f>IF(AND(F333&lt;&gt;"",AK333&lt;&gt;""),AM333/(F333/2/AK333),"")</f>
        <v>6.1826086956521739E-2</v>
      </c>
      <c r="AX333" s="41">
        <f>IF(AND(AQ333&lt;&gt;"",1-(AQ333/O333)&gt;0),1-(AQ333/O333),"")</f>
        <v>0.8571428571428571</v>
      </c>
      <c r="AY333" s="41">
        <f>IF(AND(AF333&lt;&gt;"",1-(AF333/O333)&gt;0),1-(AF333/O333),"")</f>
        <v>0.9</v>
      </c>
      <c r="AZ333" s="136" t="str">
        <f>IF(Q333="","",IF(Q333&lt;2.5,"Alc. Bruta &lt; 2,5 mg/L",IF(Q333&lt;5,"2,5 ≤ Alc. Bruta &lt; 5,0 mg/L",IF(Q333&lt;7.5,"5,0 ≤ Alc. Bruta &lt; 7,5 mg/L",IF(Q333&lt;10,"7,5 ≤ Alc. Bruta &lt; 10,0 mg/L",IF(Q333&lt;15,"10,0 ≤ Alca. Bruta &lt; 15,0 mg/L","Alc. Bruta &gt; 15 mg/L"))))))</f>
        <v>5,0 ≤ Alc. Bruta &lt; 7,5 mg/L</v>
      </c>
      <c r="BA333" s="136" t="str">
        <f>IF(P333="","",IF(P333&lt;5,"Cor &lt;5 uC",IF(P333&lt;10,"5 ≤ Cor &lt; 10 uC",IF(P333&lt;15,"10 ≤ Cor &lt;15 uC",IF(P333&lt;30,"15 ≤ Cor &lt; 30 uC",IF(P333&lt;50,"30 ≤ Cor &lt; 50 uC","Cor &gt; 50 uC"))))))</f>
        <v>10 ≤ Cor &lt;15 uC</v>
      </c>
      <c r="BB333" s="137" t="str">
        <f>IF(O333="","",IF(O333&lt;2.5,"Turbidez &lt; 2,5 uT",IF(O333&lt;5,"2,5 ≤ Turb &lt; 5,0 uT",IF(O333&lt;7.5,"5,0 ≤ Turb &lt; 7,5 uT",IF(O333&lt;10,"7,5 ≤ Turb &lt; 10,0 uT",IF(O333&lt;15,"10,0 ≤ Turb &lt; 15,0 uT","Turb &gt; 15 uT"))))))</f>
        <v>Turbidez &lt; 2,5 uT</v>
      </c>
      <c r="BC333" s="138" t="str">
        <f>IF(AND(C333&gt;D333,D333&gt;E333),"TOR &gt; SM &gt; BNN",IF(AND(C333&gt;E333,E333&gt;D333),"TOR &gt; BNN &gt; SM",IF(AND(D333&gt;C333,C333&gt;E333),"SM &gt; TOR &gt; BNN",IF(AND(D333&gt;E333,E333&gt;C333),"SM &gt; BNN &gt; TOR",IF(AND(C333=D333,D333=E333),"TOR = SM = BNN","Comb. diferentes")))))</f>
        <v>SM &gt; BNN &gt; TOR</v>
      </c>
      <c r="BD333" s="137" t="str">
        <f>IF(OR(AE333="",AQ333="-"),"",IF(AE333&lt;=0.25,"Tipo 1 (≤0,25) uT",IF(AE333&lt;=0.5,"Tipo 2 (0,25-0,50) uT",IF(AE333&lt;=0.75,"Tipo 3 (0,50-0,75) uT","Tipo 4 (&gt;0,75) uT"))))</f>
        <v>Tipo 1 (≤0,25) uT</v>
      </c>
      <c r="BE333" s="137" t="str">
        <f t="shared" si="35"/>
        <v>Tipo 1 (≤0,25) uT</v>
      </c>
      <c r="BF333" s="137" t="str">
        <f>IF(OR(AF333="",AQ333="-"),"",IF(AF333&lt;=0.25,"Tipo 1 (≤0,25) uT",IF(AF333&lt;=0.5,"Tipo 2 (0,25-0,50) uT",IF(AF333&lt;=0.75,"Tipo 3 (0,50-0,75) uT","Tipo 4 (&gt;0,75) uT"))))</f>
        <v>Tipo 1 (≤0,25) uT</v>
      </c>
      <c r="BG333" s="137" t="str">
        <f t="shared" si="36"/>
        <v>Tipo 1 (≤0,25) uT</v>
      </c>
      <c r="BH333" s="137" t="str">
        <f>IF(OR(R333="",R333="-"),"",IF(R333&lt;=0.25,"Tipo 1 (≤0,25) uT",IF(R333&lt;=0.5,"Tipo 2 (0,25-0,50) uT",IF(R333&lt;=0.75,"Tipo 3 (0,50-0,75) uT","Tipo 4 (&gt;0,75) uT"))))</f>
        <v>Tipo 1 (≤0,25) uT</v>
      </c>
    </row>
    <row r="334" spans="1:60" x14ac:dyDescent="0.3">
      <c r="A334" s="74">
        <v>46295</v>
      </c>
      <c r="B334" s="139">
        <v>0.47916666666666669</v>
      </c>
      <c r="C334" s="116">
        <v>365</v>
      </c>
      <c r="D334" s="116">
        <v>1410</v>
      </c>
      <c r="E334" s="116">
        <v>401</v>
      </c>
      <c r="F334" s="116">
        <v>2091</v>
      </c>
      <c r="G334" s="144" t="s">
        <v>100</v>
      </c>
      <c r="H334" s="122">
        <v>9.1999999999999993</v>
      </c>
      <c r="I334" s="116">
        <v>34.479999999999997</v>
      </c>
      <c r="J334" s="10">
        <v>90</v>
      </c>
      <c r="K334" s="116">
        <v>90</v>
      </c>
      <c r="L334" s="116">
        <v>90</v>
      </c>
      <c r="M334" s="122">
        <v>26</v>
      </c>
      <c r="N334" s="122">
        <v>6.5</v>
      </c>
      <c r="O334" s="79">
        <v>1.48</v>
      </c>
      <c r="P334" s="116">
        <v>10</v>
      </c>
      <c r="Q334" s="122">
        <v>7</v>
      </c>
      <c r="R334" s="10">
        <v>0.13</v>
      </c>
      <c r="S334" s="79">
        <v>22.36</v>
      </c>
      <c r="T334" s="79">
        <v>0.88</v>
      </c>
      <c r="U334" s="79">
        <v>0.7</v>
      </c>
      <c r="V334" s="85">
        <f t="shared" si="37"/>
        <v>1630.98</v>
      </c>
      <c r="W334" s="85">
        <f t="shared" si="38"/>
        <v>1550.8312851199998</v>
      </c>
      <c r="X334" s="85">
        <f t="shared" si="39"/>
        <v>0.95085855443966194</v>
      </c>
      <c r="Y334" s="116">
        <v>3</v>
      </c>
      <c r="Z334" s="116">
        <v>4</v>
      </c>
      <c r="AA334" s="122">
        <v>6.1</v>
      </c>
      <c r="AB334" s="116">
        <v>20.8</v>
      </c>
      <c r="AC334" s="122">
        <v>6.3</v>
      </c>
      <c r="AD334" s="122">
        <v>5.8</v>
      </c>
      <c r="AE334" s="79">
        <v>0.12</v>
      </c>
      <c r="AF334" s="79">
        <v>0.13</v>
      </c>
      <c r="AG334" s="85">
        <f>(O334+0.3*H334+2)*(F334/2/AK334)</f>
        <v>1630.98</v>
      </c>
      <c r="AH334" s="85">
        <f t="shared" si="40"/>
        <v>1863.5736287999996</v>
      </c>
      <c r="AI334" s="85">
        <f t="shared" si="41"/>
        <v>1.1426097369679578</v>
      </c>
      <c r="AJ334" s="116">
        <v>3</v>
      </c>
      <c r="AK334" s="116">
        <v>4</v>
      </c>
      <c r="AL334" s="122">
        <v>6.3</v>
      </c>
      <c r="AM334" s="116">
        <v>24</v>
      </c>
      <c r="AN334" s="122">
        <v>6.3</v>
      </c>
      <c r="AO334" s="122">
        <v>5.8</v>
      </c>
      <c r="AP334" s="79">
        <v>0.18</v>
      </c>
      <c r="AQ334" s="79">
        <v>0.23</v>
      </c>
      <c r="AR334" s="132">
        <f>SUM(C334:E334)</f>
        <v>2176</v>
      </c>
      <c r="AS334" s="134">
        <f>C334/AR334</f>
        <v>0.16773897058823528</v>
      </c>
      <c r="AT334" s="134">
        <f>D334/AR334</f>
        <v>0.64797794117647056</v>
      </c>
      <c r="AU334" s="134">
        <f>E334/AR334</f>
        <v>0.18428308823529413</v>
      </c>
      <c r="AV334" s="151">
        <f>IF(AND(F334&lt;&gt;"",Z334&lt;&gt;""),AB334/(F334/2/Z334),"")</f>
        <v>7.9579148732663793E-2</v>
      </c>
      <c r="AW334" s="151">
        <f>IF(AND(F334&lt;&gt;"",AK334&lt;&gt;""),AM334/(F334/2/AK334),"")</f>
        <v>9.1822094691535155E-2</v>
      </c>
      <c r="AX334" s="41">
        <f>IF(AND(AQ334&lt;&gt;"",1-(AQ334/O334)&gt;0),1-(AQ334/O334),"")</f>
        <v>0.84459459459459463</v>
      </c>
      <c r="AY334" s="41">
        <f>IF(AND(AF334&lt;&gt;"",1-(AF334/O334)&gt;0),1-(AF334/O334),"")</f>
        <v>0.91216216216216217</v>
      </c>
      <c r="AZ334" s="136" t="str">
        <f>IF(Q334="","",IF(Q334&lt;2.5,"Alc. Bruta &lt; 2,5 mg/L",IF(Q334&lt;5,"2,5 ≤ Alc. Bruta &lt; 5,0 mg/L",IF(Q334&lt;7.5,"5,0 ≤ Alc. Bruta &lt; 7,5 mg/L",IF(Q334&lt;10,"7,5 ≤ Alc. Bruta &lt; 10,0 mg/L",IF(Q334&lt;15,"10,0 ≤ Alca. Bruta &lt; 15,0 mg/L","Alc. Bruta &gt; 15 mg/L"))))))</f>
        <v>5,0 ≤ Alc. Bruta &lt; 7,5 mg/L</v>
      </c>
      <c r="BA334" s="136" t="str">
        <f>IF(P334="","",IF(P334&lt;5,"Cor &lt;5 uC",IF(P334&lt;10,"5 ≤ Cor &lt; 10 uC",IF(P334&lt;15,"10 ≤ Cor &lt;15 uC",IF(P334&lt;30,"15 ≤ Cor &lt; 30 uC",IF(P334&lt;50,"30 ≤ Cor &lt; 50 uC","Cor &gt; 50 uC"))))))</f>
        <v>10 ≤ Cor &lt;15 uC</v>
      </c>
      <c r="BB334" s="137" t="str">
        <f>IF(O334="","",IF(O334&lt;2.5,"Turbidez &lt; 2,5 uT",IF(O334&lt;5,"2,5 ≤ Turb &lt; 5,0 uT",IF(O334&lt;7.5,"5,0 ≤ Turb &lt; 7,5 uT",IF(O334&lt;10,"7,5 ≤ Turb &lt; 10,0 uT",IF(O334&lt;15,"10,0 ≤ Turb &lt; 15,0 uT","Turb &gt; 15 uT"))))))</f>
        <v>Turbidez &lt; 2,5 uT</v>
      </c>
      <c r="BC334" s="138" t="str">
        <f>IF(AND(C334&gt;D334,D334&gt;E334),"TOR &gt; SM &gt; BNN",IF(AND(C334&gt;E334,E334&gt;D334),"TOR &gt; BNN &gt; SM",IF(AND(D334&gt;C334,C334&gt;E334),"SM &gt; TOR &gt; BNN",IF(AND(D334&gt;E334,E334&gt;C334),"SM &gt; BNN &gt; TOR",IF(AND(C334=D334,D334=E334),"TOR = SM = BNN","Comb. diferentes")))))</f>
        <v>SM &gt; BNN &gt; TOR</v>
      </c>
      <c r="BD334" s="137" t="str">
        <f>IF(OR(AE334="",AQ334="-"),"",IF(AE334&lt;=0.25,"Tipo 1 (≤0,25) uT",IF(AE334&lt;=0.5,"Tipo 2 (0,25-0,50) uT",IF(AE334&lt;=0.75,"Tipo 3 (0,50-0,75) uT","Tipo 4 (&gt;0,75) uT"))))</f>
        <v>Tipo 1 (≤0,25) uT</v>
      </c>
      <c r="BE334" s="137" t="str">
        <f t="shared" si="35"/>
        <v>Tipo 1 (≤0,25) uT</v>
      </c>
      <c r="BF334" s="137" t="str">
        <f>IF(OR(AF334="",AQ334="-"),"",IF(AF334&lt;=0.25,"Tipo 1 (≤0,25) uT",IF(AF334&lt;=0.5,"Tipo 2 (0,25-0,50) uT",IF(AF334&lt;=0.75,"Tipo 3 (0,50-0,75) uT","Tipo 4 (&gt;0,75) uT"))))</f>
        <v>Tipo 1 (≤0,25) uT</v>
      </c>
      <c r="BG334" s="137" t="str">
        <f t="shared" si="36"/>
        <v>Tipo 1 (≤0,25) uT</v>
      </c>
      <c r="BH334" s="137" t="str">
        <f>IF(OR(R334="",R334="-"),"",IF(R334&lt;=0.25,"Tipo 1 (≤0,25) uT",IF(R334&lt;=0.5,"Tipo 2 (0,25-0,50) uT",IF(R334&lt;=0.75,"Tipo 3 (0,50-0,75) uT","Tipo 4 (&gt;0,75) uT"))))</f>
        <v>Tipo 1 (≤0,25) uT</v>
      </c>
    </row>
    <row r="335" spans="1:60" x14ac:dyDescent="0.3">
      <c r="A335" s="74">
        <v>46295</v>
      </c>
      <c r="B335" s="139">
        <v>0.72916666666666663</v>
      </c>
      <c r="C335" s="116">
        <v>270</v>
      </c>
      <c r="D335" s="116">
        <v>1600</v>
      </c>
      <c r="E335" s="116">
        <v>400</v>
      </c>
      <c r="F335" s="116">
        <v>2278</v>
      </c>
      <c r="G335" s="144" t="s">
        <v>100</v>
      </c>
      <c r="H335" s="122">
        <v>9.1999999999999993</v>
      </c>
      <c r="I335" s="116">
        <v>34.58</v>
      </c>
      <c r="J335" s="10">
        <v>90</v>
      </c>
      <c r="K335" s="116">
        <v>90</v>
      </c>
      <c r="L335" s="116">
        <v>90</v>
      </c>
      <c r="M335" s="122">
        <v>26.6</v>
      </c>
      <c r="N335" s="122">
        <v>6.4</v>
      </c>
      <c r="O335" s="79">
        <v>1.47</v>
      </c>
      <c r="P335" s="116">
        <v>9</v>
      </c>
      <c r="Q335" s="122">
        <v>7.1</v>
      </c>
      <c r="R335" s="10">
        <v>0.12</v>
      </c>
      <c r="S335" s="79">
        <v>22.36</v>
      </c>
      <c r="T335" s="79">
        <v>0.88</v>
      </c>
      <c r="U335" s="79">
        <v>0.7</v>
      </c>
      <c r="V335" s="85">
        <f t="shared" si="37"/>
        <v>1773.9924999999998</v>
      </c>
      <c r="W335" s="85">
        <f t="shared" si="38"/>
        <v>1550.8312851199998</v>
      </c>
      <c r="X335" s="85">
        <f t="shared" si="39"/>
        <v>0.87420396936289191</v>
      </c>
      <c r="Y335" s="116">
        <v>3</v>
      </c>
      <c r="Z335" s="116">
        <v>4</v>
      </c>
      <c r="AA335" s="122">
        <v>6.1</v>
      </c>
      <c r="AB335" s="116">
        <v>20.8</v>
      </c>
      <c r="AC335" s="122">
        <v>6.4</v>
      </c>
      <c r="AD335" s="122">
        <v>6</v>
      </c>
      <c r="AE335" s="79">
        <v>0.13</v>
      </c>
      <c r="AF335" s="79">
        <v>0.15</v>
      </c>
      <c r="AG335" s="85">
        <f>(O335+0.3*H335+2)*(F335/2/AK335)</f>
        <v>1773.9924999999998</v>
      </c>
      <c r="AH335" s="85">
        <f t="shared" si="40"/>
        <v>1863.5736287999996</v>
      </c>
      <c r="AI335" s="85">
        <f t="shared" si="41"/>
        <v>1.0504969039046106</v>
      </c>
      <c r="AJ335" s="116">
        <v>3</v>
      </c>
      <c r="AK335" s="116">
        <v>4</v>
      </c>
      <c r="AL335" s="122">
        <v>6.3</v>
      </c>
      <c r="AM335" s="116">
        <v>24</v>
      </c>
      <c r="AN335" s="122">
        <v>6.4</v>
      </c>
      <c r="AO335" s="122">
        <v>5.9</v>
      </c>
      <c r="AP335" s="79">
        <v>0.19</v>
      </c>
      <c r="AQ335" s="79">
        <v>0.22</v>
      </c>
      <c r="AR335" s="132">
        <f>SUM(C335:E335)</f>
        <v>2270</v>
      </c>
      <c r="AS335" s="134">
        <f>C335/AR335</f>
        <v>0.11894273127753303</v>
      </c>
      <c r="AT335" s="134">
        <f>D335/AR335</f>
        <v>0.70484581497797361</v>
      </c>
      <c r="AU335" s="134">
        <f>E335/AR335</f>
        <v>0.1762114537444934</v>
      </c>
      <c r="AV335" s="151">
        <f>IF(AND(F335&lt;&gt;"",Z335&lt;&gt;""),AB335/(F335/2/Z335),"")</f>
        <v>7.3046532045654089E-2</v>
      </c>
      <c r="AW335" s="151">
        <f>IF(AND(F335&lt;&gt;"",AK335&lt;&gt;""),AM335/(F335/2/AK335),"")</f>
        <v>8.4284460052677784E-2</v>
      </c>
      <c r="AX335" s="41">
        <f>IF(AND(AQ335&lt;&gt;"",1-(AQ335/O335)&gt;0),1-(AQ335/O335),"")</f>
        <v>0.85034013605442182</v>
      </c>
      <c r="AY335" s="41">
        <f>IF(AND(AF335&lt;&gt;"",1-(AF335/O335)&gt;0),1-(AF335/O335),"")</f>
        <v>0.89795918367346939</v>
      </c>
      <c r="AZ335" s="136" t="str">
        <f>IF(Q335="","",IF(Q335&lt;2.5,"Alc. Bruta &lt; 2,5 mg/L",IF(Q335&lt;5,"2,5 ≤ Alc. Bruta &lt; 5,0 mg/L",IF(Q335&lt;7.5,"5,0 ≤ Alc. Bruta &lt; 7,5 mg/L",IF(Q335&lt;10,"7,5 ≤ Alc. Bruta &lt; 10,0 mg/L",IF(Q335&lt;15,"10,0 ≤ Alca. Bruta &lt; 15,0 mg/L","Alc. Bruta &gt; 15 mg/L"))))))</f>
        <v>5,0 ≤ Alc. Bruta &lt; 7,5 mg/L</v>
      </c>
      <c r="BA335" s="136" t="str">
        <f>IF(P335="","",IF(P335&lt;5,"Cor &lt;5 uC",IF(P335&lt;10,"5 ≤ Cor &lt; 10 uC",IF(P335&lt;15,"10 ≤ Cor &lt;15 uC",IF(P335&lt;30,"15 ≤ Cor &lt; 30 uC",IF(P335&lt;50,"30 ≤ Cor &lt; 50 uC","Cor &gt; 50 uC"))))))</f>
        <v>5 ≤ Cor &lt; 10 uC</v>
      </c>
      <c r="BB335" s="137" t="str">
        <f>IF(O335="","",IF(O335&lt;2.5,"Turbidez &lt; 2,5 uT",IF(O335&lt;5,"2,5 ≤ Turb &lt; 5,0 uT",IF(O335&lt;7.5,"5,0 ≤ Turb &lt; 7,5 uT",IF(O335&lt;10,"7,5 ≤ Turb &lt; 10,0 uT",IF(O335&lt;15,"10,0 ≤ Turb &lt; 15,0 uT","Turb &gt; 15 uT"))))))</f>
        <v>Turbidez &lt; 2,5 uT</v>
      </c>
      <c r="BC335" s="138" t="str">
        <f>IF(AND(C335&gt;D335,D335&gt;E335),"TOR &gt; SM &gt; BNN",IF(AND(C335&gt;E335,E335&gt;D335),"TOR &gt; BNN &gt; SM",IF(AND(D335&gt;C335,C335&gt;E335),"SM &gt; TOR &gt; BNN",IF(AND(D335&gt;E335,E335&gt;C335),"SM &gt; BNN &gt; TOR",IF(AND(C335=D335,D335=E335),"TOR = SM = BNN","Comb. diferentes")))))</f>
        <v>SM &gt; BNN &gt; TOR</v>
      </c>
      <c r="BD335" s="137" t="str">
        <f>IF(OR(AE335="",AQ335="-"),"",IF(AE335&lt;=0.25,"Tipo 1 (≤0,25) uT",IF(AE335&lt;=0.5,"Tipo 2 (0,25-0,50) uT",IF(AE335&lt;=0.75,"Tipo 3 (0,50-0,75) uT","Tipo 4 (&gt;0,75) uT"))))</f>
        <v>Tipo 1 (≤0,25) uT</v>
      </c>
      <c r="BE335" s="137" t="str">
        <f t="shared" si="35"/>
        <v>Tipo 1 (≤0,25) uT</v>
      </c>
      <c r="BF335" s="137" t="str">
        <f>IF(OR(AF335="",AQ335="-"),"",IF(AF335&lt;=0.25,"Tipo 1 (≤0,25) uT",IF(AF335&lt;=0.5,"Tipo 2 (0,25-0,50) uT",IF(AF335&lt;=0.75,"Tipo 3 (0,50-0,75) uT","Tipo 4 (&gt;0,75) uT"))))</f>
        <v>Tipo 1 (≤0,25) uT</v>
      </c>
      <c r="BG335" s="137" t="str">
        <f t="shared" si="36"/>
        <v>Tipo 1 (≤0,25) uT</v>
      </c>
      <c r="BH335" s="137" t="str">
        <f>IF(OR(R335="",R335="-"),"",IF(R335&lt;=0.25,"Tipo 1 (≤0,25) uT",IF(R335&lt;=0.5,"Tipo 2 (0,25-0,50) uT",IF(R335&lt;=0.75,"Tipo 3 (0,50-0,75) uT","Tipo 4 (&gt;0,75) uT"))))</f>
        <v>Tipo 1 (≤0,25) uT</v>
      </c>
    </row>
    <row r="336" spans="1:60" x14ac:dyDescent="0.3">
      <c r="A336" s="74">
        <v>46295</v>
      </c>
      <c r="B336" s="139">
        <v>0.8125</v>
      </c>
      <c r="C336" s="116">
        <v>257</v>
      </c>
      <c r="D336" s="116">
        <v>1638</v>
      </c>
      <c r="E336" s="116">
        <v>400</v>
      </c>
      <c r="F336" s="116">
        <v>2298</v>
      </c>
      <c r="G336" s="144" t="s">
        <v>100</v>
      </c>
      <c r="H336" s="122">
        <v>9.1999999999999993</v>
      </c>
      <c r="I336" s="116">
        <v>34</v>
      </c>
      <c r="J336" s="10">
        <v>90</v>
      </c>
      <c r="K336" s="116">
        <v>90</v>
      </c>
      <c r="L336" s="116">
        <v>90</v>
      </c>
      <c r="M336" s="122">
        <v>26.4</v>
      </c>
      <c r="N336" s="122">
        <v>6.5</v>
      </c>
      <c r="O336" s="79">
        <v>1.32</v>
      </c>
      <c r="P336" s="116">
        <v>10</v>
      </c>
      <c r="Q336" s="122">
        <v>9.5</v>
      </c>
      <c r="R336" s="10">
        <v>0.11</v>
      </c>
      <c r="S336" s="79">
        <v>22.36</v>
      </c>
      <c r="T336" s="79">
        <v>0.88</v>
      </c>
      <c r="U336" s="79">
        <v>0.7</v>
      </c>
      <c r="V336" s="85">
        <f t="shared" si="37"/>
        <v>1746.48</v>
      </c>
      <c r="W336" s="85">
        <f t="shared" si="38"/>
        <v>1565.7431243999997</v>
      </c>
      <c r="X336" s="85">
        <f t="shared" si="39"/>
        <v>0.89651362992991601</v>
      </c>
      <c r="Y336" s="116">
        <v>3</v>
      </c>
      <c r="Z336" s="116">
        <v>4</v>
      </c>
      <c r="AA336" s="122">
        <v>6.1</v>
      </c>
      <c r="AB336" s="116">
        <v>21</v>
      </c>
      <c r="AC336" s="122">
        <v>6.2</v>
      </c>
      <c r="AD336" s="122">
        <v>7.2</v>
      </c>
      <c r="AE336" s="79">
        <v>0.11</v>
      </c>
      <c r="AF336" s="79">
        <v>0.11</v>
      </c>
      <c r="AG336" s="85">
        <f>(O336+0.3*H336+2)*(F336/2/AK336)</f>
        <v>1746.48</v>
      </c>
      <c r="AH336" s="85">
        <f t="shared" si="40"/>
        <v>1785.9247275999996</v>
      </c>
      <c r="AI336" s="85">
        <f t="shared" si="41"/>
        <v>1.0225852730062752</v>
      </c>
      <c r="AJ336" s="116">
        <v>3</v>
      </c>
      <c r="AK336" s="116">
        <v>4</v>
      </c>
      <c r="AL336" s="122">
        <v>6.3</v>
      </c>
      <c r="AM336" s="116">
        <v>23</v>
      </c>
      <c r="AN336" s="122">
        <v>6.2</v>
      </c>
      <c r="AO336" s="122">
        <v>6.8</v>
      </c>
      <c r="AP336" s="79">
        <v>0.1</v>
      </c>
      <c r="AQ336" s="79">
        <v>0.23</v>
      </c>
      <c r="AR336" s="132">
        <f>SUM(C336:E336)</f>
        <v>2295</v>
      </c>
      <c r="AS336" s="134">
        <f>C336/AR336</f>
        <v>0.11198257080610022</v>
      </c>
      <c r="AT336" s="134">
        <f>D336/AR336</f>
        <v>0.71372549019607845</v>
      </c>
      <c r="AU336" s="134">
        <f>E336/AR336</f>
        <v>0.17429193899782136</v>
      </c>
      <c r="AV336" s="151">
        <f>IF(AND(F336&lt;&gt;"",Z336&lt;&gt;""),AB336/(F336/2/Z336),"")</f>
        <v>7.3107049608355096E-2</v>
      </c>
      <c r="AW336" s="151">
        <f>IF(AND(F336&lt;&gt;"",AK336&lt;&gt;""),AM336/(F336/2/AK336),"")</f>
        <v>8.0069625761531774E-2</v>
      </c>
      <c r="AX336" s="41">
        <f>IF(AND(AQ336&lt;&gt;"",1-(AQ336/O336)&gt;0),1-(AQ336/O336),"")</f>
        <v>0.82575757575757569</v>
      </c>
      <c r="AY336" s="41">
        <f>IF(AND(AF336&lt;&gt;"",1-(AF336/O336)&gt;0),1-(AF336/O336),"")</f>
        <v>0.91666666666666663</v>
      </c>
      <c r="AZ336" s="136" t="str">
        <f>IF(Q336="","",IF(Q336&lt;2.5,"Alc. Bruta &lt; 2,5 mg/L",IF(Q336&lt;5,"2,5 ≤ Alc. Bruta &lt; 5,0 mg/L",IF(Q336&lt;7.5,"5,0 ≤ Alc. Bruta &lt; 7,5 mg/L",IF(Q336&lt;10,"7,5 ≤ Alc. Bruta &lt; 10,0 mg/L",IF(Q336&lt;15,"10,0 ≤ Alca. Bruta &lt; 15,0 mg/L","Alc. Bruta &gt; 15 mg/L"))))))</f>
        <v>7,5 ≤ Alc. Bruta &lt; 10,0 mg/L</v>
      </c>
      <c r="BA336" s="136" t="str">
        <f>IF(P336="","",IF(P336&lt;5,"Cor &lt;5 uC",IF(P336&lt;10,"5 ≤ Cor &lt; 10 uC",IF(P336&lt;15,"10 ≤ Cor &lt;15 uC",IF(P336&lt;30,"15 ≤ Cor &lt; 30 uC",IF(P336&lt;50,"30 ≤ Cor &lt; 50 uC","Cor &gt; 50 uC"))))))</f>
        <v>10 ≤ Cor &lt;15 uC</v>
      </c>
      <c r="BB336" s="137" t="str">
        <f>IF(O336="","",IF(O336&lt;2.5,"Turbidez &lt; 2,5 uT",IF(O336&lt;5,"2,5 ≤ Turb &lt; 5,0 uT",IF(O336&lt;7.5,"5,0 ≤ Turb &lt; 7,5 uT",IF(O336&lt;10,"7,5 ≤ Turb &lt; 10,0 uT",IF(O336&lt;15,"10,0 ≤ Turb &lt; 15,0 uT","Turb &gt; 15 uT"))))))</f>
        <v>Turbidez &lt; 2,5 uT</v>
      </c>
      <c r="BC336" s="138" t="str">
        <f>IF(AND(C336&gt;D336,D336&gt;E336),"TOR &gt; SM &gt; BNN",IF(AND(C336&gt;E336,E336&gt;D336),"TOR &gt; BNN &gt; SM",IF(AND(D336&gt;C336,C336&gt;E336),"SM &gt; TOR &gt; BNN",IF(AND(D336&gt;E336,E336&gt;C336),"SM &gt; BNN &gt; TOR",IF(AND(C336=D336,D336=E336),"TOR = SM = BNN","Comb. diferentes")))))</f>
        <v>SM &gt; BNN &gt; TOR</v>
      </c>
      <c r="BD336" s="137" t="str">
        <f>IF(OR(AE336="",AQ336="-"),"",IF(AE336&lt;=0.25,"Tipo 1 (≤0,25) uT",IF(AE336&lt;=0.5,"Tipo 2 (0,25-0,50) uT",IF(AE336&lt;=0.75,"Tipo 3 (0,50-0,75) uT","Tipo 4 (&gt;0,75) uT"))))</f>
        <v>Tipo 1 (≤0,25) uT</v>
      </c>
      <c r="BE336" s="137" t="str">
        <f t="shared" si="35"/>
        <v>Tipo 1 (≤0,25) uT</v>
      </c>
      <c r="BF336" s="137" t="str">
        <f>IF(OR(AF336="",AQ336="-"),"",IF(AF336&lt;=0.25,"Tipo 1 (≤0,25) uT",IF(AF336&lt;=0.5,"Tipo 2 (0,25-0,50) uT",IF(AF336&lt;=0.75,"Tipo 3 (0,50-0,75) uT","Tipo 4 (&gt;0,75) uT"))))</f>
        <v>Tipo 1 (≤0,25) uT</v>
      </c>
      <c r="BG336" s="137" t="str">
        <f t="shared" si="36"/>
        <v>Tipo 1 (≤0,25) uT</v>
      </c>
      <c r="BH336" s="137" t="str">
        <f>IF(OR(R336="",R336="-"),"",IF(R336&lt;=0.25,"Tipo 1 (≤0,25) uT",IF(R336&lt;=0.5,"Tipo 2 (0,25-0,50) uT",IF(R336&lt;=0.75,"Tipo 3 (0,50-0,75) uT","Tipo 4 (&gt;0,75) uT"))))</f>
        <v>Tipo 1 (≤0,25) uT</v>
      </c>
    </row>
    <row r="337" spans="1:60" x14ac:dyDescent="0.3">
      <c r="A337" s="74">
        <v>46295</v>
      </c>
      <c r="B337" s="139">
        <v>0.89583333333333337</v>
      </c>
      <c r="C337" s="116">
        <v>258</v>
      </c>
      <c r="D337" s="116">
        <v>1551</v>
      </c>
      <c r="E337" s="116">
        <v>399</v>
      </c>
      <c r="F337" s="116">
        <v>2244</v>
      </c>
      <c r="G337" s="144" t="s">
        <v>100</v>
      </c>
      <c r="H337" s="122">
        <v>9.1999999999999993</v>
      </c>
      <c r="I337" s="116">
        <v>34</v>
      </c>
      <c r="J337" s="10">
        <v>30</v>
      </c>
      <c r="K337" s="116">
        <v>30</v>
      </c>
      <c r="L337" s="116">
        <v>90</v>
      </c>
      <c r="M337" s="122">
        <v>25.2</v>
      </c>
      <c r="N337" s="122">
        <v>6.6</v>
      </c>
      <c r="O337" s="79">
        <v>1.34</v>
      </c>
      <c r="P337" s="116">
        <v>10</v>
      </c>
      <c r="Q337" s="122">
        <v>7</v>
      </c>
      <c r="R337" s="10">
        <v>0.09</v>
      </c>
      <c r="S337" s="79">
        <v>22.36</v>
      </c>
      <c r="T337" s="79">
        <v>0.88</v>
      </c>
      <c r="U337" s="79">
        <v>0.7</v>
      </c>
      <c r="V337" s="85">
        <f t="shared" si="37"/>
        <v>1711.05</v>
      </c>
      <c r="W337" s="85">
        <f t="shared" si="38"/>
        <v>1565.7431243999997</v>
      </c>
      <c r="X337" s="85">
        <f t="shared" si="39"/>
        <v>0.9150773644253527</v>
      </c>
      <c r="Y337" s="116">
        <v>3</v>
      </c>
      <c r="Z337" s="116">
        <v>4</v>
      </c>
      <c r="AA337" s="122">
        <v>6.1</v>
      </c>
      <c r="AB337" s="116">
        <v>21</v>
      </c>
      <c r="AC337" s="122">
        <v>6.2</v>
      </c>
      <c r="AD337" s="122">
        <v>6</v>
      </c>
      <c r="AE337" s="79">
        <v>0.12</v>
      </c>
      <c r="AF337" s="79">
        <v>0.15</v>
      </c>
      <c r="AG337" s="85">
        <f>(O337+0.3*H337+2)*(F337/2/AK337)</f>
        <v>1711.05</v>
      </c>
      <c r="AH337" s="85">
        <f t="shared" si="40"/>
        <v>1785.9247275999996</v>
      </c>
      <c r="AI337" s="85">
        <f t="shared" si="41"/>
        <v>1.0437595205283303</v>
      </c>
      <c r="AJ337" s="116">
        <v>3</v>
      </c>
      <c r="AK337" s="116">
        <v>4</v>
      </c>
      <c r="AL337" s="122">
        <v>6.3</v>
      </c>
      <c r="AM337" s="116">
        <v>23</v>
      </c>
      <c r="AN337" s="122">
        <v>6.2</v>
      </c>
      <c r="AO337" s="122">
        <v>6</v>
      </c>
      <c r="AP337" s="79">
        <v>0.14000000000000001</v>
      </c>
      <c r="AQ337" s="79">
        <v>0.25</v>
      </c>
      <c r="AR337" s="132">
        <f>SUM(C337:E337)</f>
        <v>2208</v>
      </c>
      <c r="AS337" s="134">
        <f>C337/AR337</f>
        <v>0.11684782608695653</v>
      </c>
      <c r="AT337" s="134">
        <f>D337/AR337</f>
        <v>0.70244565217391308</v>
      </c>
      <c r="AU337" s="134">
        <f>E337/AR337</f>
        <v>0.18070652173913043</v>
      </c>
      <c r="AV337" s="151">
        <f>IF(AND(F337&lt;&gt;"",Z337&lt;&gt;""),AB337/(F337/2/Z337),"")</f>
        <v>7.4866310160427801E-2</v>
      </c>
      <c r="AW337" s="151">
        <f>IF(AND(F337&lt;&gt;"",AK337&lt;&gt;""),AM337/(F337/2/AK337),"")</f>
        <v>8.1996434937611412E-2</v>
      </c>
      <c r="AX337" s="41">
        <f>IF(AND(AQ337&lt;&gt;"",1-(AQ337/O337)&gt;0),1-(AQ337/O337),"")</f>
        <v>0.81343283582089554</v>
      </c>
      <c r="AY337" s="41">
        <f>IF(AND(AF337&lt;&gt;"",1-(AF337/O337)&gt;0),1-(AF337/O337),"")</f>
        <v>0.88805970149253732</v>
      </c>
      <c r="AZ337" s="136" t="str">
        <f>IF(Q337="","",IF(Q337&lt;2.5,"Alc. Bruta &lt; 2,5 mg/L",IF(Q337&lt;5,"2,5 ≤ Alc. Bruta &lt; 5,0 mg/L",IF(Q337&lt;7.5,"5,0 ≤ Alc. Bruta &lt; 7,5 mg/L",IF(Q337&lt;10,"7,5 ≤ Alc. Bruta &lt; 10,0 mg/L",IF(Q337&lt;15,"10,0 ≤ Alca. Bruta &lt; 15,0 mg/L","Alc. Bruta &gt; 15 mg/L"))))))</f>
        <v>5,0 ≤ Alc. Bruta &lt; 7,5 mg/L</v>
      </c>
      <c r="BA337" s="136" t="str">
        <f>IF(P337="","",IF(P337&lt;5,"Cor &lt;5 uC",IF(P337&lt;10,"5 ≤ Cor &lt; 10 uC",IF(P337&lt;15,"10 ≤ Cor &lt;15 uC",IF(P337&lt;30,"15 ≤ Cor &lt; 30 uC",IF(P337&lt;50,"30 ≤ Cor &lt; 50 uC","Cor &gt; 50 uC"))))))</f>
        <v>10 ≤ Cor &lt;15 uC</v>
      </c>
      <c r="BB337" s="137" t="str">
        <f>IF(O337="","",IF(O337&lt;2.5,"Turbidez &lt; 2,5 uT",IF(O337&lt;5,"2,5 ≤ Turb &lt; 5,0 uT",IF(O337&lt;7.5,"5,0 ≤ Turb &lt; 7,5 uT",IF(O337&lt;10,"7,5 ≤ Turb &lt; 10,0 uT",IF(O337&lt;15,"10,0 ≤ Turb &lt; 15,0 uT","Turb &gt; 15 uT"))))))</f>
        <v>Turbidez &lt; 2,5 uT</v>
      </c>
      <c r="BC337" s="138" t="str">
        <f>IF(AND(C337&gt;D337,D337&gt;E337),"TOR &gt; SM &gt; BNN",IF(AND(C337&gt;E337,E337&gt;D337),"TOR &gt; BNN &gt; SM",IF(AND(D337&gt;C337,C337&gt;E337),"SM &gt; TOR &gt; BNN",IF(AND(D337&gt;E337,E337&gt;C337),"SM &gt; BNN &gt; TOR",IF(AND(C337=D337,D337=E337),"TOR = SM = BNN","Comb. diferentes")))))</f>
        <v>SM &gt; BNN &gt; TOR</v>
      </c>
      <c r="BD337" s="137" t="str">
        <f>IF(OR(AE337="",AQ337="-"),"",IF(AE337&lt;=0.25,"Tipo 1 (≤0,25) uT",IF(AE337&lt;=0.5,"Tipo 2 (0,25-0,50) uT",IF(AE337&lt;=0.75,"Tipo 3 (0,50-0,75) uT","Tipo 4 (&gt;0,75) uT"))))</f>
        <v>Tipo 1 (≤0,25) uT</v>
      </c>
      <c r="BE337" s="137" t="str">
        <f t="shared" si="35"/>
        <v>Tipo 1 (≤0,25) uT</v>
      </c>
      <c r="BF337" s="137" t="str">
        <f>IF(OR(AF337="",AQ337="-"),"",IF(AF337&lt;=0.25,"Tipo 1 (≤0,25) uT",IF(AF337&lt;=0.5,"Tipo 2 (0,25-0,50) uT",IF(AF337&lt;=0.75,"Tipo 3 (0,50-0,75) uT","Tipo 4 (&gt;0,75) uT"))))</f>
        <v>Tipo 1 (≤0,25) uT</v>
      </c>
      <c r="BG337" s="137" t="str">
        <f t="shared" si="36"/>
        <v>Tipo 1 (≤0,25) uT</v>
      </c>
      <c r="BH337" s="137" t="str">
        <f>IF(OR(R337="",R337="-"),"",IF(R337&lt;=0.25,"Tipo 1 (≤0,25) uT",IF(R337&lt;=0.5,"Tipo 2 (0,25-0,50) uT",IF(R337&lt;=0.75,"Tipo 3 (0,50-0,75) uT","Tipo 4 (&gt;0,75) uT"))))</f>
        <v>Tipo 1 (≤0,25) uT</v>
      </c>
    </row>
    <row r="338" spans="1:60" x14ac:dyDescent="0.3">
      <c r="A338" s="74">
        <v>46295</v>
      </c>
      <c r="B338" s="139">
        <v>0.97916666666666663</v>
      </c>
      <c r="C338" s="116">
        <v>263</v>
      </c>
      <c r="D338" s="116">
        <v>1610</v>
      </c>
      <c r="E338" s="116">
        <v>400</v>
      </c>
      <c r="F338" s="116">
        <v>2310</v>
      </c>
      <c r="G338" s="144" t="s">
        <v>100</v>
      </c>
      <c r="H338" s="122">
        <v>9.1999999999999993</v>
      </c>
      <c r="I338" s="116">
        <v>34</v>
      </c>
      <c r="J338" s="10">
        <v>30</v>
      </c>
      <c r="K338" s="116">
        <v>30</v>
      </c>
      <c r="L338" s="116">
        <v>30</v>
      </c>
      <c r="M338" s="122">
        <v>25.1</v>
      </c>
      <c r="N338" s="122">
        <v>6.6</v>
      </c>
      <c r="O338" s="79">
        <v>1.29</v>
      </c>
      <c r="P338" s="116">
        <v>9</v>
      </c>
      <c r="Q338" s="122">
        <v>7.2</v>
      </c>
      <c r="R338" s="10">
        <v>0.09</v>
      </c>
      <c r="S338" s="79">
        <v>22.36</v>
      </c>
      <c r="T338" s="79">
        <v>0.88</v>
      </c>
      <c r="U338" s="79">
        <v>0.7</v>
      </c>
      <c r="V338" s="85">
        <f t="shared" si="37"/>
        <v>1746.9375</v>
      </c>
      <c r="W338" s="85">
        <f t="shared" si="38"/>
        <v>1565.7431243999997</v>
      </c>
      <c r="X338" s="85">
        <f t="shared" si="39"/>
        <v>0.89627884477836195</v>
      </c>
      <c r="Y338" s="116">
        <v>3</v>
      </c>
      <c r="Z338" s="116">
        <v>4</v>
      </c>
      <c r="AA338" s="122">
        <v>6.1</v>
      </c>
      <c r="AB338" s="116">
        <v>21</v>
      </c>
      <c r="AC338" s="122">
        <v>6.2</v>
      </c>
      <c r="AD338" s="122">
        <v>5.5</v>
      </c>
      <c r="AE338" s="79">
        <v>0.11</v>
      </c>
      <c r="AF338" s="79">
        <v>0.14000000000000001</v>
      </c>
      <c r="AG338" s="85">
        <f>(O338+0.3*H338+2)*(F338/2/AK338)</f>
        <v>1746.9375</v>
      </c>
      <c r="AH338" s="85">
        <f t="shared" si="40"/>
        <v>1785.9247275999996</v>
      </c>
      <c r="AI338" s="85">
        <f t="shared" si="41"/>
        <v>1.0223174713462844</v>
      </c>
      <c r="AJ338" s="116">
        <v>3</v>
      </c>
      <c r="AK338" s="116">
        <v>4</v>
      </c>
      <c r="AL338" s="122">
        <v>6.3</v>
      </c>
      <c r="AM338" s="116">
        <v>23</v>
      </c>
      <c r="AN338" s="122">
        <v>6.2</v>
      </c>
      <c r="AO338" s="122">
        <v>6</v>
      </c>
      <c r="AP338" s="79">
        <v>0.1</v>
      </c>
      <c r="AQ338" s="79">
        <v>0.26</v>
      </c>
      <c r="AR338" s="132">
        <f>SUM(C338:E338)</f>
        <v>2273</v>
      </c>
      <c r="AS338" s="134">
        <f>C338/AR338</f>
        <v>0.11570611526616806</v>
      </c>
      <c r="AT338" s="134">
        <f>D338/AR338</f>
        <v>0.70831500219973598</v>
      </c>
      <c r="AU338" s="134">
        <f>E338/AR338</f>
        <v>0.17597888253409591</v>
      </c>
      <c r="AV338" s="151">
        <f>IF(AND(F338&lt;&gt;"",Z338&lt;&gt;""),AB338/(F338/2/Z338),"")</f>
        <v>7.2727272727272724E-2</v>
      </c>
      <c r="AW338" s="151">
        <f>IF(AND(F338&lt;&gt;"",AK338&lt;&gt;""),AM338/(F338/2/AK338),"")</f>
        <v>7.9653679653679657E-2</v>
      </c>
      <c r="AX338" s="41">
        <f>IF(AND(AQ338&lt;&gt;"",1-(AQ338/O338)&gt;0),1-(AQ338/O338),"")</f>
        <v>0.79844961240310075</v>
      </c>
      <c r="AY338" s="41">
        <f>IF(AND(AF338&lt;&gt;"",1-(AF338/O338)&gt;0),1-(AF338/O338),"")</f>
        <v>0.89147286821705429</v>
      </c>
      <c r="AZ338" s="136" t="str">
        <f>IF(Q338="","",IF(Q338&lt;2.5,"Alc. Bruta &lt; 2,5 mg/L",IF(Q338&lt;5,"2,5 ≤ Alc. Bruta &lt; 5,0 mg/L",IF(Q338&lt;7.5,"5,0 ≤ Alc. Bruta &lt; 7,5 mg/L",IF(Q338&lt;10,"7,5 ≤ Alc. Bruta &lt; 10,0 mg/L",IF(Q338&lt;15,"10,0 ≤ Alca. Bruta &lt; 15,0 mg/L","Alc. Bruta &gt; 15 mg/L"))))))</f>
        <v>5,0 ≤ Alc. Bruta &lt; 7,5 mg/L</v>
      </c>
      <c r="BA338" s="136" t="str">
        <f>IF(P338="","",IF(P338&lt;5,"Cor &lt;5 uC",IF(P338&lt;10,"5 ≤ Cor &lt; 10 uC",IF(P338&lt;15,"10 ≤ Cor &lt;15 uC",IF(P338&lt;30,"15 ≤ Cor &lt; 30 uC",IF(P338&lt;50,"30 ≤ Cor &lt; 50 uC","Cor &gt; 50 uC"))))))</f>
        <v>5 ≤ Cor &lt; 10 uC</v>
      </c>
      <c r="BB338" s="137" t="str">
        <f>IF(O338="","",IF(O338&lt;2.5,"Turbidez &lt; 2,5 uT",IF(O338&lt;5,"2,5 ≤ Turb &lt; 5,0 uT",IF(O338&lt;7.5,"5,0 ≤ Turb &lt; 7,5 uT",IF(O338&lt;10,"7,5 ≤ Turb &lt; 10,0 uT",IF(O338&lt;15,"10,0 ≤ Turb &lt; 15,0 uT","Turb &gt; 15 uT"))))))</f>
        <v>Turbidez &lt; 2,5 uT</v>
      </c>
      <c r="BC338" s="138" t="str">
        <f>IF(AND(C338&gt;D338,D338&gt;E338),"TOR &gt; SM &gt; BNN",IF(AND(C338&gt;E338,E338&gt;D338),"TOR &gt; BNN &gt; SM",IF(AND(D338&gt;C338,C338&gt;E338),"SM &gt; TOR &gt; BNN",IF(AND(D338&gt;E338,E338&gt;C338),"SM &gt; BNN &gt; TOR",IF(AND(C338=D338,D338=E338),"TOR = SM = BNN","Comb. diferentes")))))</f>
        <v>SM &gt; BNN &gt; TOR</v>
      </c>
      <c r="BD338" s="137" t="str">
        <f>IF(OR(AE338="",AQ338="-"),"",IF(AE338&lt;=0.25,"Tipo 1 (≤0,25) uT",IF(AE338&lt;=0.5,"Tipo 2 (0,25-0,50) uT",IF(AE338&lt;=0.75,"Tipo 3 (0,50-0,75) uT","Tipo 4 (&gt;0,75) uT"))))</f>
        <v>Tipo 1 (≤0,25) uT</v>
      </c>
      <c r="BE338" s="137" t="str">
        <f t="shared" si="35"/>
        <v>Tipo 1 (≤0,25) uT</v>
      </c>
      <c r="BF338" s="137" t="str">
        <f>IF(OR(AF338="",AQ338="-"),"",IF(AF338&lt;=0.25,"Tipo 1 (≤0,25) uT",IF(AF338&lt;=0.5,"Tipo 2 (0,25-0,50) uT",IF(AF338&lt;=0.75,"Tipo 3 (0,50-0,75) uT","Tipo 4 (&gt;0,75) uT"))))</f>
        <v>Tipo 1 (≤0,25) uT</v>
      </c>
      <c r="BG338" s="137" t="str">
        <f t="shared" si="36"/>
        <v>Tipo 2 (0,25-0,50) uT</v>
      </c>
      <c r="BH338" s="137" t="str">
        <f>IF(OR(R338="",R338="-"),"",IF(R338&lt;=0.25,"Tipo 1 (≤0,25) uT",IF(R338&lt;=0.5,"Tipo 2 (0,25-0,50) uT",IF(R338&lt;=0.75,"Tipo 3 (0,50-0,75) uT","Tipo 4 (&gt;0,75) uT"))))</f>
        <v>Tipo 1 (≤0,25) uT</v>
      </c>
    </row>
    <row r="339" spans="1:60" x14ac:dyDescent="0.3">
      <c r="A339" s="74">
        <v>46296</v>
      </c>
      <c r="B339" s="139">
        <v>0.14583333333333334</v>
      </c>
      <c r="C339" s="116">
        <v>265</v>
      </c>
      <c r="D339" s="116">
        <v>1620</v>
      </c>
      <c r="E339" s="116">
        <v>400</v>
      </c>
      <c r="F339" s="116">
        <v>2317</v>
      </c>
      <c r="G339" s="144" t="s">
        <v>100</v>
      </c>
      <c r="H339" s="122">
        <v>9.1999999999999993</v>
      </c>
      <c r="I339" s="116">
        <v>35</v>
      </c>
      <c r="J339" s="10">
        <v>90</v>
      </c>
      <c r="K339" s="116">
        <v>90</v>
      </c>
      <c r="L339" s="116">
        <v>90</v>
      </c>
      <c r="M339" s="122">
        <v>25</v>
      </c>
      <c r="N339" s="122">
        <v>6.5</v>
      </c>
      <c r="O339" s="79">
        <v>1.42</v>
      </c>
      <c r="P339" s="116">
        <v>11</v>
      </c>
      <c r="Q339" s="122">
        <v>9.1999999999999993</v>
      </c>
      <c r="R339" s="10">
        <v>0.08</v>
      </c>
      <c r="S339" s="79">
        <v>22.36</v>
      </c>
      <c r="T339" s="79">
        <v>0.88</v>
      </c>
      <c r="U339" s="79">
        <v>0.7</v>
      </c>
      <c r="V339" s="85">
        <f t="shared" si="37"/>
        <v>1789.8824999999999</v>
      </c>
      <c r="W339" s="85">
        <f t="shared" si="38"/>
        <v>1640.3023207999997</v>
      </c>
      <c r="X339" s="85">
        <f t="shared" si="39"/>
        <v>0.91643016834903956</v>
      </c>
      <c r="Y339" s="116">
        <v>3</v>
      </c>
      <c r="Z339" s="116">
        <v>4</v>
      </c>
      <c r="AA339" s="122">
        <v>6.1</v>
      </c>
      <c r="AB339" s="116">
        <v>22</v>
      </c>
      <c r="AC339" s="122">
        <v>6.3</v>
      </c>
      <c r="AD339" s="122">
        <v>7.2</v>
      </c>
      <c r="AE339" s="79">
        <v>0.12</v>
      </c>
      <c r="AF339" s="79">
        <v>0.12</v>
      </c>
      <c r="AG339" s="85">
        <f>(O339+0.3*H339+2)*(F339/2/AK339)</f>
        <v>1789.8824999999999</v>
      </c>
      <c r="AH339" s="85">
        <f t="shared" si="40"/>
        <v>1979.8438399999998</v>
      </c>
      <c r="AI339" s="85">
        <f t="shared" si="41"/>
        <v>1.1061306203060814</v>
      </c>
      <c r="AJ339" s="116">
        <v>3</v>
      </c>
      <c r="AK339" s="116">
        <v>4</v>
      </c>
      <c r="AL339" s="122">
        <v>6.4</v>
      </c>
      <c r="AM339" s="116">
        <v>25</v>
      </c>
      <c r="AN339" s="122">
        <v>6.3</v>
      </c>
      <c r="AO339" s="122">
        <v>7</v>
      </c>
      <c r="AP339" s="79">
        <v>0.13</v>
      </c>
      <c r="AQ339" s="79">
        <v>0.24</v>
      </c>
      <c r="AR339" s="132">
        <f>SUM(C339:E339)</f>
        <v>2285</v>
      </c>
      <c r="AS339" s="134">
        <f>C339/AR339</f>
        <v>0.11597374179431072</v>
      </c>
      <c r="AT339" s="134">
        <f>D339/AR339</f>
        <v>0.70897155361050324</v>
      </c>
      <c r="AU339" s="134">
        <f>E339/AR339</f>
        <v>0.17505470459518599</v>
      </c>
      <c r="AV339" s="151">
        <f>IF(AND(F339&lt;&gt;"",Z339&lt;&gt;""),AB339/(F339/2/Z339),"")</f>
        <v>7.5960293482952093E-2</v>
      </c>
      <c r="AW339" s="151">
        <f>IF(AND(F339&lt;&gt;"",AK339&lt;&gt;""),AM339/(F339/2/AK339),"")</f>
        <v>8.6318515321536476E-2</v>
      </c>
      <c r="AX339" s="41">
        <f>IF(AND(AQ339&lt;&gt;"",1-(AQ339/O339)&gt;0),1-(AQ339/O339),"")</f>
        <v>0.83098591549295775</v>
      </c>
      <c r="AY339" s="41">
        <f>IF(AND(AF339&lt;&gt;"",1-(AF339/O339)&gt;0),1-(AF339/O339),"")</f>
        <v>0.91549295774647887</v>
      </c>
      <c r="AZ339" s="136" t="str">
        <f>IF(Q339="","",IF(Q339&lt;2.5,"Alc. Bruta &lt; 2,5 mg/L",IF(Q339&lt;5,"2,5 ≤ Alc. Bruta &lt; 5,0 mg/L",IF(Q339&lt;7.5,"5,0 ≤ Alc. Bruta &lt; 7,5 mg/L",IF(Q339&lt;10,"7,5 ≤ Alc. Bruta &lt; 10,0 mg/L",IF(Q339&lt;15,"10,0 ≤ Alca. Bruta &lt; 15,0 mg/L","Alc. Bruta &gt; 15 mg/L"))))))</f>
        <v>7,5 ≤ Alc. Bruta &lt; 10,0 mg/L</v>
      </c>
      <c r="BA339" s="136" t="str">
        <f>IF(P339="","",IF(P339&lt;5,"Cor &lt;5 uC",IF(P339&lt;10,"5 ≤ Cor &lt; 10 uC",IF(P339&lt;15,"10 ≤ Cor &lt;15 uC",IF(P339&lt;30,"15 ≤ Cor &lt; 30 uC",IF(P339&lt;50,"30 ≤ Cor &lt; 50 uC","Cor &gt; 50 uC"))))))</f>
        <v>10 ≤ Cor &lt;15 uC</v>
      </c>
      <c r="BB339" s="137" t="str">
        <f>IF(O339="","",IF(O339&lt;2.5,"Turbidez &lt; 2,5 uT",IF(O339&lt;5,"2,5 ≤ Turb &lt; 5,0 uT",IF(O339&lt;7.5,"5,0 ≤ Turb &lt; 7,5 uT",IF(O339&lt;10,"7,5 ≤ Turb &lt; 10,0 uT",IF(O339&lt;15,"10,0 ≤ Turb &lt; 15,0 uT","Turb &gt; 15 uT"))))))</f>
        <v>Turbidez &lt; 2,5 uT</v>
      </c>
      <c r="BC339" s="138" t="str">
        <f>IF(AND(C339&gt;D339,D339&gt;E339),"TOR &gt; SM &gt; BNN",IF(AND(C339&gt;E339,E339&gt;D339),"TOR &gt; BNN &gt; SM",IF(AND(D339&gt;C339,C339&gt;E339),"SM &gt; TOR &gt; BNN",IF(AND(D339&gt;E339,E339&gt;C339),"SM &gt; BNN &gt; TOR",IF(AND(C339=D339,D339=E339),"TOR = SM = BNN","Comb. diferentes")))))</f>
        <v>SM &gt; BNN &gt; TOR</v>
      </c>
      <c r="BD339" s="137" t="str">
        <f>IF(OR(AE339="",AQ339="-"),"",IF(AE339&lt;=0.25,"Tipo 1 (≤0,25) uT",IF(AE339&lt;=0.5,"Tipo 2 (0,25-0,50) uT",IF(AE339&lt;=0.75,"Tipo 3 (0,50-0,75) uT","Tipo 4 (&gt;0,75) uT"))))</f>
        <v>Tipo 1 (≤0,25) uT</v>
      </c>
      <c r="BE339" s="137" t="str">
        <f t="shared" si="35"/>
        <v>Tipo 1 (≤0,25) uT</v>
      </c>
      <c r="BF339" s="137" t="str">
        <f>IF(OR(AF339="",AQ339="-"),"",IF(AF339&lt;=0.25,"Tipo 1 (≤0,25) uT",IF(AF339&lt;=0.5,"Tipo 2 (0,25-0,50) uT",IF(AF339&lt;=0.75,"Tipo 3 (0,50-0,75) uT","Tipo 4 (&gt;0,75) uT"))))</f>
        <v>Tipo 1 (≤0,25) uT</v>
      </c>
      <c r="BG339" s="137" t="str">
        <f t="shared" si="36"/>
        <v>Tipo 1 (≤0,25) uT</v>
      </c>
      <c r="BH339" s="137" t="str">
        <f>IF(OR(R339="",R339="-"),"",IF(R339&lt;=0.25,"Tipo 1 (≤0,25) uT",IF(R339&lt;=0.5,"Tipo 2 (0,25-0,50) uT",IF(R339&lt;=0.75,"Tipo 3 (0,50-0,75) uT","Tipo 4 (&gt;0,75) uT"))))</f>
        <v>Tipo 1 (≤0,25) uT</v>
      </c>
    </row>
    <row r="340" spans="1:60" ht="15" thickBot="1" x14ac:dyDescent="0.35">
      <c r="A340" s="75">
        <v>46296</v>
      </c>
      <c r="B340" s="140">
        <v>0.22916666666666666</v>
      </c>
      <c r="C340" s="117">
        <v>261</v>
      </c>
      <c r="D340" s="117">
        <v>1590</v>
      </c>
      <c r="E340" s="117">
        <v>400</v>
      </c>
      <c r="F340" s="117">
        <v>2261</v>
      </c>
      <c r="G340" s="145" t="s">
        <v>100</v>
      </c>
      <c r="H340" s="123">
        <v>9.1999999999999993</v>
      </c>
      <c r="I340" s="117">
        <v>33</v>
      </c>
      <c r="J340" s="11">
        <v>90</v>
      </c>
      <c r="K340" s="117">
        <v>90</v>
      </c>
      <c r="L340" s="117">
        <v>90</v>
      </c>
      <c r="M340" s="123">
        <v>24.7</v>
      </c>
      <c r="N340" s="123">
        <v>6.6</v>
      </c>
      <c r="O340" s="80">
        <v>1.33</v>
      </c>
      <c r="P340" s="117">
        <v>10</v>
      </c>
      <c r="Q340" s="123">
        <v>9.1999999999999993</v>
      </c>
      <c r="R340" s="11">
        <v>0.08</v>
      </c>
      <c r="S340" s="79">
        <v>22.36</v>
      </c>
      <c r="T340" s="79">
        <v>0.88</v>
      </c>
      <c r="U340" s="79">
        <v>0.7</v>
      </c>
      <c r="V340" s="85">
        <f t="shared" si="37"/>
        <v>1721.18625</v>
      </c>
      <c r="W340" s="85">
        <f t="shared" si="38"/>
        <v>1640.3023207999997</v>
      </c>
      <c r="X340" s="85">
        <f t="shared" si="39"/>
        <v>0.95300687000026862</v>
      </c>
      <c r="Y340" s="117">
        <v>3</v>
      </c>
      <c r="Z340" s="117">
        <v>4</v>
      </c>
      <c r="AA340" s="123">
        <v>6.1</v>
      </c>
      <c r="AB340" s="117">
        <v>22</v>
      </c>
      <c r="AC340" s="123">
        <v>6.2</v>
      </c>
      <c r="AD340" s="123">
        <v>6.4</v>
      </c>
      <c r="AE340" s="80">
        <v>0.14000000000000001</v>
      </c>
      <c r="AF340" s="80">
        <v>0.11</v>
      </c>
      <c r="AG340" s="85">
        <f>(O340+0.3*H340+2)*(F340/2/AK340)</f>
        <v>1721.18625</v>
      </c>
      <c r="AH340" s="85">
        <f t="shared" si="40"/>
        <v>1863.5736287999996</v>
      </c>
      <c r="AI340" s="85">
        <f t="shared" si="41"/>
        <v>1.0827263050701221</v>
      </c>
      <c r="AJ340" s="117">
        <v>3</v>
      </c>
      <c r="AK340" s="117">
        <v>4</v>
      </c>
      <c r="AL340" s="123">
        <v>6.3</v>
      </c>
      <c r="AM340" s="117">
        <v>24</v>
      </c>
      <c r="AN340" s="123">
        <v>6.3</v>
      </c>
      <c r="AO340" s="123">
        <v>6.4</v>
      </c>
      <c r="AP340" s="80">
        <v>0.11</v>
      </c>
      <c r="AQ340" s="80">
        <v>0.27</v>
      </c>
      <c r="AR340" s="132">
        <f>SUM(C340:E340)</f>
        <v>2251</v>
      </c>
      <c r="AS340" s="134">
        <f>C340/AR340</f>
        <v>0.1159484673478454</v>
      </c>
      <c r="AT340" s="134">
        <f>D340/AR340</f>
        <v>0.70635273211905825</v>
      </c>
      <c r="AU340" s="134">
        <f>E340/AR340</f>
        <v>0.17769880053309639</v>
      </c>
      <c r="AV340" s="151">
        <f>IF(AND(F340&lt;&gt;"",Z340&lt;&gt;""),AB340/(F340/2/Z340),"")</f>
        <v>7.7841662980981871E-2</v>
      </c>
      <c r="AW340" s="151">
        <f>IF(AND(F340&lt;&gt;"",AK340&lt;&gt;""),AM340/(F340/2/AK340),"")</f>
        <v>8.4918177797434768E-2</v>
      </c>
      <c r="AX340" s="41">
        <f>IF(AND(AQ340&lt;&gt;"",1-(AQ340/O340)&gt;0),1-(AQ340/O340),"")</f>
        <v>0.79699248120300759</v>
      </c>
      <c r="AY340" s="41">
        <f>IF(AND(AF340&lt;&gt;"",1-(AF340/O340)&gt;0),1-(AF340/O340),"")</f>
        <v>0.91729323308270683</v>
      </c>
      <c r="AZ340" s="136" t="str">
        <f>IF(Q340="","",IF(Q340&lt;2.5,"Alc. Bruta &lt; 2,5 mg/L",IF(Q340&lt;5,"2,5 ≤ Alc. Bruta &lt; 5,0 mg/L",IF(Q340&lt;7.5,"5,0 ≤ Alc. Bruta &lt; 7,5 mg/L",IF(Q340&lt;10,"7,5 ≤ Alc. Bruta &lt; 10,0 mg/L",IF(Q340&lt;15,"10,0 ≤ Alca. Bruta &lt; 15,0 mg/L","Alc. Bruta &gt; 15 mg/L"))))))</f>
        <v>7,5 ≤ Alc. Bruta &lt; 10,0 mg/L</v>
      </c>
      <c r="BA340" s="136" t="str">
        <f>IF(P340="","",IF(P340&lt;5,"Cor &lt;5 uC",IF(P340&lt;10,"5 ≤ Cor &lt; 10 uC",IF(P340&lt;15,"10 ≤ Cor &lt;15 uC",IF(P340&lt;30,"15 ≤ Cor &lt; 30 uC",IF(P340&lt;50,"30 ≤ Cor &lt; 50 uC","Cor &gt; 50 uC"))))))</f>
        <v>10 ≤ Cor &lt;15 uC</v>
      </c>
      <c r="BB340" s="137" t="str">
        <f>IF(O340="","",IF(O340&lt;2.5,"Turbidez &lt; 2,5 uT",IF(O340&lt;5,"2,5 ≤ Turb &lt; 5,0 uT",IF(O340&lt;7.5,"5,0 ≤ Turb &lt; 7,5 uT",IF(O340&lt;10,"7,5 ≤ Turb &lt; 10,0 uT",IF(O340&lt;15,"10,0 ≤ Turb &lt; 15,0 uT","Turb &gt; 15 uT"))))))</f>
        <v>Turbidez &lt; 2,5 uT</v>
      </c>
      <c r="BC340" s="138" t="str">
        <f>IF(AND(C340&gt;D340,D340&gt;E340),"TOR &gt; SM &gt; BNN",IF(AND(C340&gt;E340,E340&gt;D340),"TOR &gt; BNN &gt; SM",IF(AND(D340&gt;C340,C340&gt;E340),"SM &gt; TOR &gt; BNN",IF(AND(D340&gt;E340,E340&gt;C340),"SM &gt; BNN &gt; TOR",IF(AND(C340=D340,D340=E340),"TOR = SM = BNN","Comb. diferentes")))))</f>
        <v>SM &gt; BNN &gt; TOR</v>
      </c>
      <c r="BD340" s="137" t="str">
        <f>IF(OR(AE340="",AQ340="-"),"",IF(AE340&lt;=0.25,"Tipo 1 (≤0,25) uT",IF(AE340&lt;=0.5,"Tipo 2 (0,25-0,50) uT",IF(AE340&lt;=0.75,"Tipo 3 (0,50-0,75) uT","Tipo 4 (&gt;0,75) uT"))))</f>
        <v>Tipo 1 (≤0,25) uT</v>
      </c>
      <c r="BE340" s="137" t="str">
        <f t="shared" si="35"/>
        <v>Tipo 1 (≤0,25) uT</v>
      </c>
      <c r="BF340" s="137" t="str">
        <f>IF(OR(AF340="",AQ340="-"),"",IF(AF340&lt;=0.25,"Tipo 1 (≤0,25) uT",IF(AF340&lt;=0.5,"Tipo 2 (0,25-0,50) uT",IF(AF340&lt;=0.75,"Tipo 3 (0,50-0,75) uT","Tipo 4 (&gt;0,75) uT"))))</f>
        <v>Tipo 1 (≤0,25) uT</v>
      </c>
      <c r="BG340" s="137" t="str">
        <f t="shared" si="36"/>
        <v>Tipo 2 (0,25-0,50) uT</v>
      </c>
      <c r="BH340" s="137" t="str">
        <f>IF(OR(R340="",R340="-"),"",IF(R340&lt;=0.25,"Tipo 1 (≤0,25) uT",IF(R340&lt;=0.5,"Tipo 2 (0,25-0,50) uT",IF(R340&lt;=0.75,"Tipo 3 (0,50-0,75) uT","Tipo 4 (&gt;0,75) uT"))))</f>
        <v>Tipo 1 (≤0,25) uT</v>
      </c>
    </row>
    <row r="341" spans="1:60" x14ac:dyDescent="0.3">
      <c r="A341" s="74">
        <v>46296</v>
      </c>
      <c r="B341" s="139">
        <v>0.39583333333333331</v>
      </c>
      <c r="C341" s="116">
        <v>437</v>
      </c>
      <c r="D341" s="116">
        <v>1537</v>
      </c>
      <c r="E341" s="116">
        <v>250</v>
      </c>
      <c r="F341" s="116">
        <v>2304</v>
      </c>
      <c r="G341" s="144" t="s">
        <v>100</v>
      </c>
      <c r="H341" s="122">
        <v>9.1999999999999993</v>
      </c>
      <c r="I341" s="116">
        <v>34</v>
      </c>
      <c r="J341" s="10">
        <v>90</v>
      </c>
      <c r="K341" s="116">
        <v>90</v>
      </c>
      <c r="L341" s="116">
        <v>90</v>
      </c>
      <c r="M341" s="122">
        <v>25.8</v>
      </c>
      <c r="N341" s="122">
        <v>6.4</v>
      </c>
      <c r="O341" s="79">
        <v>1.5</v>
      </c>
      <c r="P341" s="116">
        <v>12</v>
      </c>
      <c r="Q341" s="122">
        <v>7</v>
      </c>
      <c r="R341" s="10">
        <v>0.1</v>
      </c>
      <c r="S341" s="79">
        <v>22.36</v>
      </c>
      <c r="T341" s="79">
        <v>0.88</v>
      </c>
      <c r="U341" s="79">
        <v>0.7</v>
      </c>
      <c r="V341" s="85">
        <f t="shared" si="37"/>
        <v>1802.8799999999999</v>
      </c>
      <c r="W341" s="85">
        <f t="shared" si="38"/>
        <v>1533.3012239999998</v>
      </c>
      <c r="X341" s="85">
        <f t="shared" si="39"/>
        <v>0.85047325612353564</v>
      </c>
      <c r="Y341" s="116">
        <v>3</v>
      </c>
      <c r="Z341" s="116">
        <v>4</v>
      </c>
      <c r="AA341" s="122">
        <v>6</v>
      </c>
      <c r="AB341" s="116">
        <v>21</v>
      </c>
      <c r="AC341" s="122">
        <v>6.1</v>
      </c>
      <c r="AD341" s="122">
        <v>5.3</v>
      </c>
      <c r="AE341" s="79">
        <v>0.18</v>
      </c>
      <c r="AF341" s="79">
        <v>0.14000000000000001</v>
      </c>
      <c r="AG341" s="85">
        <f>(O341+0.3*H341+2)*(F341/2/AK341)</f>
        <v>1802.8799999999999</v>
      </c>
      <c r="AH341" s="85">
        <f t="shared" si="40"/>
        <v>1863.5736287999996</v>
      </c>
      <c r="AI341" s="85">
        <f t="shared" si="41"/>
        <v>1.0336648189563364</v>
      </c>
      <c r="AJ341" s="116">
        <v>3</v>
      </c>
      <c r="AK341" s="116">
        <v>4</v>
      </c>
      <c r="AL341" s="122">
        <v>6.3</v>
      </c>
      <c r="AM341" s="116">
        <v>24</v>
      </c>
      <c r="AN341" s="122">
        <v>6.3</v>
      </c>
      <c r="AO341" s="122">
        <v>5.0999999999999996</v>
      </c>
      <c r="AP341" s="79">
        <v>0.22</v>
      </c>
      <c r="AQ341" s="79">
        <v>0.25</v>
      </c>
      <c r="AR341" s="132">
        <f>SUM(C341:E341)</f>
        <v>2224</v>
      </c>
      <c r="AS341" s="134">
        <f>C341/AR341</f>
        <v>0.19649280575539568</v>
      </c>
      <c r="AT341" s="134">
        <f>D341/AR341</f>
        <v>0.69109712230215825</v>
      </c>
      <c r="AU341" s="134">
        <f>E341/AR341</f>
        <v>0.11241007194244604</v>
      </c>
      <c r="AV341" s="151">
        <f>IF(AND(F341&lt;&gt;"",Z341&lt;&gt;""),AB341/(F341/2/Z341),"")</f>
        <v>7.2916666666666671E-2</v>
      </c>
      <c r="AW341" s="151">
        <f>IF(AND(F341&lt;&gt;"",AK341&lt;&gt;""),AM341/(F341/2/AK341),"")</f>
        <v>8.3333333333333329E-2</v>
      </c>
      <c r="AX341" s="41">
        <f>IF(AND(AQ341&lt;&gt;"",1-(AQ341/O341)&gt;0),1-(AQ341/O341),"")</f>
        <v>0.83333333333333337</v>
      </c>
      <c r="AY341" s="41">
        <f>IF(AND(AF341&lt;&gt;"",1-(AF341/O341)&gt;0),1-(AF341/O341),"")</f>
        <v>0.90666666666666662</v>
      </c>
      <c r="AZ341" s="136" t="str">
        <f>IF(Q341="","",IF(Q341&lt;2.5,"Alc. Bruta &lt; 2,5 mg/L",IF(Q341&lt;5,"2,5 ≤ Alc. Bruta &lt; 5,0 mg/L",IF(Q341&lt;7.5,"5,0 ≤ Alc. Bruta &lt; 7,5 mg/L",IF(Q341&lt;10,"7,5 ≤ Alc. Bruta &lt; 10,0 mg/L",IF(Q341&lt;15,"10,0 ≤ Alca. Bruta &lt; 15,0 mg/L","Alc. Bruta &gt; 15 mg/L"))))))</f>
        <v>5,0 ≤ Alc. Bruta &lt; 7,5 mg/L</v>
      </c>
      <c r="BA341" s="136" t="str">
        <f>IF(P341="","",IF(P341&lt;5,"Cor &lt;5 uC",IF(P341&lt;10,"5 ≤ Cor &lt; 10 uC",IF(P341&lt;15,"10 ≤ Cor &lt;15 uC",IF(P341&lt;30,"15 ≤ Cor &lt; 30 uC",IF(P341&lt;50,"30 ≤ Cor &lt; 50 uC","Cor &gt; 50 uC"))))))</f>
        <v>10 ≤ Cor &lt;15 uC</v>
      </c>
      <c r="BB341" s="137" t="str">
        <f>IF(O341="","",IF(O341&lt;2.5,"Turbidez &lt; 2,5 uT",IF(O341&lt;5,"2,5 ≤ Turb &lt; 5,0 uT",IF(O341&lt;7.5,"5,0 ≤ Turb &lt; 7,5 uT",IF(O341&lt;10,"7,5 ≤ Turb &lt; 10,0 uT",IF(O341&lt;15,"10,0 ≤ Turb &lt; 15,0 uT","Turb &gt; 15 uT"))))))</f>
        <v>Turbidez &lt; 2,5 uT</v>
      </c>
      <c r="BC341" s="138" t="str">
        <f>IF(AND(C341&gt;D341,D341&gt;E341),"TOR &gt; SM &gt; BNN",IF(AND(C341&gt;E341,E341&gt;D341),"TOR &gt; BNN &gt; SM",IF(AND(D341&gt;C341,C341&gt;E341),"SM &gt; TOR &gt; BNN",IF(AND(D341&gt;E341,E341&gt;C341),"SM &gt; BNN &gt; TOR",IF(AND(C341=D341,D341=E341),"TOR = SM = BNN","Comb. diferentes")))))</f>
        <v>SM &gt; TOR &gt; BNN</v>
      </c>
      <c r="BD341" s="137" t="str">
        <f>IF(OR(AE341="",AQ341="-"),"",IF(AE341&lt;=0.25,"Tipo 1 (≤0,25) uT",IF(AE341&lt;=0.5,"Tipo 2 (0,25-0,50) uT",IF(AE341&lt;=0.75,"Tipo 3 (0,50-0,75) uT","Tipo 4 (&gt;0,75) uT"))))</f>
        <v>Tipo 1 (≤0,25) uT</v>
      </c>
      <c r="BE341" s="137" t="str">
        <f t="shared" si="35"/>
        <v>Tipo 1 (≤0,25) uT</v>
      </c>
      <c r="BF341" s="137" t="str">
        <f>IF(OR(AF341="",AQ341="-"),"",IF(AF341&lt;=0.25,"Tipo 1 (≤0,25) uT",IF(AF341&lt;=0.5,"Tipo 2 (0,25-0,50) uT",IF(AF341&lt;=0.75,"Tipo 3 (0,50-0,75) uT","Tipo 4 (&gt;0,75) uT"))))</f>
        <v>Tipo 1 (≤0,25) uT</v>
      </c>
      <c r="BG341" s="137" t="str">
        <f t="shared" si="36"/>
        <v>Tipo 1 (≤0,25) uT</v>
      </c>
      <c r="BH341" s="137" t="str">
        <f>IF(OR(R341="",R341="-"),"",IF(R341&lt;=0.25,"Tipo 1 (≤0,25) uT",IF(R341&lt;=0.5,"Tipo 2 (0,25-0,50) uT",IF(R341&lt;=0.75,"Tipo 3 (0,50-0,75) uT","Tipo 4 (&gt;0,75) uT"))))</f>
        <v>Tipo 1 (≤0,25) uT</v>
      </c>
    </row>
    <row r="342" spans="1:60" x14ac:dyDescent="0.3">
      <c r="A342" s="74">
        <v>46296</v>
      </c>
      <c r="B342" s="139">
        <v>0.47916666666666669</v>
      </c>
      <c r="C342" s="116">
        <v>430</v>
      </c>
      <c r="D342" s="116">
        <v>1530</v>
      </c>
      <c r="E342" s="116">
        <v>200</v>
      </c>
      <c r="F342" s="116">
        <v>2260</v>
      </c>
      <c r="G342" s="144" t="s">
        <v>100</v>
      </c>
      <c r="H342" s="122">
        <v>9.1999999999999993</v>
      </c>
      <c r="I342" s="116">
        <v>34</v>
      </c>
      <c r="J342" s="10">
        <v>90</v>
      </c>
      <c r="K342" s="116">
        <v>90</v>
      </c>
      <c r="L342" s="116">
        <v>90</v>
      </c>
      <c r="M342" s="122">
        <v>26</v>
      </c>
      <c r="N342" s="122">
        <v>6.6</v>
      </c>
      <c r="O342" s="79">
        <v>1.41</v>
      </c>
      <c r="P342" s="116">
        <v>10</v>
      </c>
      <c r="Q342" s="122">
        <v>6.3</v>
      </c>
      <c r="R342" s="10">
        <v>0.11</v>
      </c>
      <c r="S342" s="79">
        <v>22.36</v>
      </c>
      <c r="T342" s="79">
        <v>0.88</v>
      </c>
      <c r="U342" s="79">
        <v>0.7</v>
      </c>
      <c r="V342" s="85">
        <f t="shared" si="37"/>
        <v>1743.0250000000001</v>
      </c>
      <c r="W342" s="85">
        <f t="shared" si="38"/>
        <v>1533.3012239999998</v>
      </c>
      <c r="X342" s="85">
        <f t="shared" si="39"/>
        <v>0.87967827426456868</v>
      </c>
      <c r="Y342" s="116">
        <v>3</v>
      </c>
      <c r="Z342" s="116">
        <v>4</v>
      </c>
      <c r="AA342" s="122">
        <v>6</v>
      </c>
      <c r="AB342" s="116">
        <v>21</v>
      </c>
      <c r="AC342" s="122">
        <v>6.3</v>
      </c>
      <c r="AD342" s="122">
        <v>5.3</v>
      </c>
      <c r="AE342" s="79">
        <v>0.18</v>
      </c>
      <c r="AF342" s="79">
        <v>0.12</v>
      </c>
      <c r="AG342" s="85">
        <f>(O342+0.3*H342+2)*(F342/2/AK342)</f>
        <v>1743.0250000000001</v>
      </c>
      <c r="AH342" s="85">
        <f t="shared" si="40"/>
        <v>1900.6500864</v>
      </c>
      <c r="AI342" s="85">
        <f t="shared" si="41"/>
        <v>1.0904319137132283</v>
      </c>
      <c r="AJ342" s="116">
        <v>3</v>
      </c>
      <c r="AK342" s="116">
        <v>4</v>
      </c>
      <c r="AL342" s="122">
        <v>6.4</v>
      </c>
      <c r="AM342" s="116">
        <v>24</v>
      </c>
      <c r="AN342" s="122">
        <v>6.3</v>
      </c>
      <c r="AO342" s="122">
        <v>5.5</v>
      </c>
      <c r="AP342" s="79">
        <v>0.17</v>
      </c>
      <c r="AQ342" s="79">
        <v>0.21</v>
      </c>
      <c r="AR342" s="132">
        <f>SUM(C342:E342)</f>
        <v>2160</v>
      </c>
      <c r="AS342" s="134">
        <f>C342/AR342</f>
        <v>0.19907407407407407</v>
      </c>
      <c r="AT342" s="134">
        <f>D342/AR342</f>
        <v>0.70833333333333337</v>
      </c>
      <c r="AU342" s="134">
        <f>E342/AR342</f>
        <v>9.2592592592592587E-2</v>
      </c>
      <c r="AV342" s="151">
        <f>IF(AND(F342&lt;&gt;"",Z342&lt;&gt;""),AB342/(F342/2/Z342),"")</f>
        <v>7.4336283185840707E-2</v>
      </c>
      <c r="AW342" s="151">
        <f>IF(AND(F342&lt;&gt;"",AK342&lt;&gt;""),AM342/(F342/2/AK342),"")</f>
        <v>8.4955752212389379E-2</v>
      </c>
      <c r="AX342" s="41">
        <f>IF(AND(AQ342&lt;&gt;"",1-(AQ342/O342)&gt;0),1-(AQ342/O342),"")</f>
        <v>0.85106382978723405</v>
      </c>
      <c r="AY342" s="41">
        <f>IF(AND(AF342&lt;&gt;"",1-(AF342/O342)&gt;0),1-(AF342/O342),"")</f>
        <v>0.91489361702127658</v>
      </c>
      <c r="AZ342" s="136" t="str">
        <f>IF(Q342="","",IF(Q342&lt;2.5,"Alc. Bruta &lt; 2,5 mg/L",IF(Q342&lt;5,"2,5 ≤ Alc. Bruta &lt; 5,0 mg/L",IF(Q342&lt;7.5,"5,0 ≤ Alc. Bruta &lt; 7,5 mg/L",IF(Q342&lt;10,"7,5 ≤ Alc. Bruta &lt; 10,0 mg/L",IF(Q342&lt;15,"10,0 ≤ Alca. Bruta &lt; 15,0 mg/L","Alc. Bruta &gt; 15 mg/L"))))))</f>
        <v>5,0 ≤ Alc. Bruta &lt; 7,5 mg/L</v>
      </c>
      <c r="BA342" s="136" t="str">
        <f>IF(P342="","",IF(P342&lt;5,"Cor &lt;5 uC",IF(P342&lt;10,"5 ≤ Cor &lt; 10 uC",IF(P342&lt;15,"10 ≤ Cor &lt;15 uC",IF(P342&lt;30,"15 ≤ Cor &lt; 30 uC",IF(P342&lt;50,"30 ≤ Cor &lt; 50 uC","Cor &gt; 50 uC"))))))</f>
        <v>10 ≤ Cor &lt;15 uC</v>
      </c>
      <c r="BB342" s="137" t="str">
        <f>IF(O342="","",IF(O342&lt;2.5,"Turbidez &lt; 2,5 uT",IF(O342&lt;5,"2,5 ≤ Turb &lt; 5,0 uT",IF(O342&lt;7.5,"5,0 ≤ Turb &lt; 7,5 uT",IF(O342&lt;10,"7,5 ≤ Turb &lt; 10,0 uT",IF(O342&lt;15,"10,0 ≤ Turb &lt; 15,0 uT","Turb &gt; 15 uT"))))))</f>
        <v>Turbidez &lt; 2,5 uT</v>
      </c>
      <c r="BC342" s="138" t="str">
        <f>IF(AND(C342&gt;D342,D342&gt;E342),"TOR &gt; SM &gt; BNN",IF(AND(C342&gt;E342,E342&gt;D342),"TOR &gt; BNN &gt; SM",IF(AND(D342&gt;C342,C342&gt;E342),"SM &gt; TOR &gt; BNN",IF(AND(D342&gt;E342,E342&gt;C342),"SM &gt; BNN &gt; TOR",IF(AND(C342=D342,D342=E342),"TOR = SM = BNN","Comb. diferentes")))))</f>
        <v>SM &gt; TOR &gt; BNN</v>
      </c>
      <c r="BD342" s="137" t="str">
        <f>IF(OR(AE342="",AQ342="-"),"",IF(AE342&lt;=0.25,"Tipo 1 (≤0,25) uT",IF(AE342&lt;=0.5,"Tipo 2 (0,25-0,50) uT",IF(AE342&lt;=0.75,"Tipo 3 (0,50-0,75) uT","Tipo 4 (&gt;0,75) uT"))))</f>
        <v>Tipo 1 (≤0,25) uT</v>
      </c>
      <c r="BE342" s="137" t="str">
        <f t="shared" si="35"/>
        <v>Tipo 1 (≤0,25) uT</v>
      </c>
      <c r="BF342" s="137" t="str">
        <f>IF(OR(AF342="",AQ342="-"),"",IF(AF342&lt;=0.25,"Tipo 1 (≤0,25) uT",IF(AF342&lt;=0.5,"Tipo 2 (0,25-0,50) uT",IF(AF342&lt;=0.75,"Tipo 3 (0,50-0,75) uT","Tipo 4 (&gt;0,75) uT"))))</f>
        <v>Tipo 1 (≤0,25) uT</v>
      </c>
      <c r="BG342" s="137" t="str">
        <f t="shared" si="36"/>
        <v>Tipo 1 (≤0,25) uT</v>
      </c>
      <c r="BH342" s="137" t="str">
        <f>IF(OR(R342="",R342="-"),"",IF(R342&lt;=0.25,"Tipo 1 (≤0,25) uT",IF(R342&lt;=0.5,"Tipo 2 (0,25-0,50) uT",IF(R342&lt;=0.75,"Tipo 3 (0,50-0,75) uT","Tipo 4 (&gt;0,75) uT"))))</f>
        <v>Tipo 1 (≤0,25) uT</v>
      </c>
    </row>
    <row r="343" spans="1:60" x14ac:dyDescent="0.3">
      <c r="A343" s="74">
        <v>46296</v>
      </c>
      <c r="B343" s="139">
        <v>0.64583333333333337</v>
      </c>
      <c r="C343" s="116">
        <v>340</v>
      </c>
      <c r="D343" s="116">
        <v>1638</v>
      </c>
      <c r="E343" s="116">
        <v>200</v>
      </c>
      <c r="F343" s="116">
        <v>2239</v>
      </c>
      <c r="G343" s="144" t="s">
        <v>100</v>
      </c>
      <c r="H343" s="122">
        <v>9.1999999999999993</v>
      </c>
      <c r="I343" s="116">
        <v>48</v>
      </c>
      <c r="J343" s="10">
        <v>90</v>
      </c>
      <c r="K343" s="116">
        <v>90</v>
      </c>
      <c r="L343" s="116">
        <v>90</v>
      </c>
      <c r="M343" s="122">
        <v>26.1</v>
      </c>
      <c r="N343" s="122">
        <v>6.5</v>
      </c>
      <c r="O343" s="79">
        <v>2.4</v>
      </c>
      <c r="P343" s="116">
        <v>10</v>
      </c>
      <c r="Q343" s="122">
        <v>6.5</v>
      </c>
      <c r="R343" s="10">
        <v>0.12</v>
      </c>
      <c r="S343" s="79">
        <v>22.36</v>
      </c>
      <c r="T343" s="79">
        <v>0.88</v>
      </c>
      <c r="U343" s="79">
        <v>0.7</v>
      </c>
      <c r="V343" s="85">
        <f t="shared" si="37"/>
        <v>2003.905</v>
      </c>
      <c r="W343" s="85">
        <f t="shared" si="38"/>
        <v>1565.7431243999997</v>
      </c>
      <c r="X343" s="85">
        <f t="shared" si="39"/>
        <v>0.78134598416591594</v>
      </c>
      <c r="Y343" s="116">
        <v>3</v>
      </c>
      <c r="Z343" s="116">
        <v>4</v>
      </c>
      <c r="AA343" s="122">
        <v>6.1</v>
      </c>
      <c r="AB343" s="116">
        <v>21</v>
      </c>
      <c r="AC343" s="122">
        <v>6.3</v>
      </c>
      <c r="AD343" s="122">
        <v>5.5</v>
      </c>
      <c r="AE343" s="79">
        <v>0.17</v>
      </c>
      <c r="AF343" s="79">
        <v>0.12</v>
      </c>
      <c r="AG343" s="85">
        <f>(O343+0.3*H343+2)*(F343/2/AK343)</f>
        <v>2003.905</v>
      </c>
      <c r="AH343" s="85">
        <f t="shared" si="40"/>
        <v>1900.6500864</v>
      </c>
      <c r="AI343" s="85">
        <f t="shared" si="41"/>
        <v>0.9484731493758437</v>
      </c>
      <c r="AJ343" s="116">
        <v>3</v>
      </c>
      <c r="AK343" s="116">
        <v>4</v>
      </c>
      <c r="AL343" s="122">
        <v>6.4</v>
      </c>
      <c r="AM343" s="116">
        <v>24</v>
      </c>
      <c r="AN343" s="122">
        <v>6.3</v>
      </c>
      <c r="AO343" s="122">
        <v>5.6</v>
      </c>
      <c r="AP343" s="79">
        <v>0.18</v>
      </c>
      <c r="AQ343" s="79">
        <v>0.23</v>
      </c>
      <c r="AR343" s="132">
        <f>SUM(C343:E343)</f>
        <v>2178</v>
      </c>
      <c r="AS343" s="134">
        <f>C343/AR343</f>
        <v>0.15610651974288339</v>
      </c>
      <c r="AT343" s="134">
        <f>D343/AR343</f>
        <v>0.75206611570247939</v>
      </c>
      <c r="AU343" s="134">
        <f>E343/AR343</f>
        <v>9.1827364554637275E-2</v>
      </c>
      <c r="AV343" s="151">
        <f>IF(AND(F343&lt;&gt;"",Z343&lt;&gt;""),AB343/(F343/2/Z343),"")</f>
        <v>7.503349709691827E-2</v>
      </c>
      <c r="AW343" s="151">
        <f>IF(AND(F343&lt;&gt;"",AK343&lt;&gt;""),AM343/(F343/2/AK343),"")</f>
        <v>8.5752568110763733E-2</v>
      </c>
      <c r="AX343" s="41">
        <f>IF(AND(AQ343&lt;&gt;"",1-(AQ343/O343)&gt;0),1-(AQ343/O343),"")</f>
        <v>0.90416666666666667</v>
      </c>
      <c r="AY343" s="41">
        <f>IF(AND(AF343&lt;&gt;"",1-(AF343/O343)&gt;0),1-(AF343/O343),"")</f>
        <v>0.95</v>
      </c>
      <c r="AZ343" s="136" t="str">
        <f>IF(Q343="","",IF(Q343&lt;2.5,"Alc. Bruta &lt; 2,5 mg/L",IF(Q343&lt;5,"2,5 ≤ Alc. Bruta &lt; 5,0 mg/L",IF(Q343&lt;7.5,"5,0 ≤ Alc. Bruta &lt; 7,5 mg/L",IF(Q343&lt;10,"7,5 ≤ Alc. Bruta &lt; 10,0 mg/L",IF(Q343&lt;15,"10,0 ≤ Alca. Bruta &lt; 15,0 mg/L","Alc. Bruta &gt; 15 mg/L"))))))</f>
        <v>5,0 ≤ Alc. Bruta &lt; 7,5 mg/L</v>
      </c>
      <c r="BA343" s="136" t="str">
        <f>IF(P343="","",IF(P343&lt;5,"Cor &lt;5 uC",IF(P343&lt;10,"5 ≤ Cor &lt; 10 uC",IF(P343&lt;15,"10 ≤ Cor &lt;15 uC",IF(P343&lt;30,"15 ≤ Cor &lt; 30 uC",IF(P343&lt;50,"30 ≤ Cor &lt; 50 uC","Cor &gt; 50 uC"))))))</f>
        <v>10 ≤ Cor &lt;15 uC</v>
      </c>
      <c r="BB343" s="137" t="str">
        <f>IF(O343="","",IF(O343&lt;2.5,"Turbidez &lt; 2,5 uT",IF(O343&lt;5,"2,5 ≤ Turb &lt; 5,0 uT",IF(O343&lt;7.5,"5,0 ≤ Turb &lt; 7,5 uT",IF(O343&lt;10,"7,5 ≤ Turb &lt; 10,0 uT",IF(O343&lt;15,"10,0 ≤ Turb &lt; 15,0 uT","Turb &gt; 15 uT"))))))</f>
        <v>Turbidez &lt; 2,5 uT</v>
      </c>
      <c r="BC343" s="138" t="str">
        <f>IF(AND(C343&gt;D343,D343&gt;E343),"TOR &gt; SM &gt; BNN",IF(AND(C343&gt;E343,E343&gt;D343),"TOR &gt; BNN &gt; SM",IF(AND(D343&gt;C343,C343&gt;E343),"SM &gt; TOR &gt; BNN",IF(AND(D343&gt;E343,E343&gt;C343),"SM &gt; BNN &gt; TOR",IF(AND(C343=D343,D343=E343),"TOR = SM = BNN","Comb. diferentes")))))</f>
        <v>SM &gt; TOR &gt; BNN</v>
      </c>
      <c r="BD343" s="137" t="str">
        <f>IF(OR(AE343="",AQ343="-"),"",IF(AE343&lt;=0.25,"Tipo 1 (≤0,25) uT",IF(AE343&lt;=0.5,"Tipo 2 (0,25-0,50) uT",IF(AE343&lt;=0.75,"Tipo 3 (0,50-0,75) uT","Tipo 4 (&gt;0,75) uT"))))</f>
        <v>Tipo 1 (≤0,25) uT</v>
      </c>
      <c r="BE343" s="137" t="str">
        <f t="shared" si="35"/>
        <v>Tipo 1 (≤0,25) uT</v>
      </c>
      <c r="BF343" s="137" t="str">
        <f>IF(OR(AF343="",AQ343="-"),"",IF(AF343&lt;=0.25,"Tipo 1 (≤0,25) uT",IF(AF343&lt;=0.5,"Tipo 2 (0,25-0,50) uT",IF(AF343&lt;=0.75,"Tipo 3 (0,50-0,75) uT","Tipo 4 (&gt;0,75) uT"))))</f>
        <v>Tipo 1 (≤0,25) uT</v>
      </c>
      <c r="BG343" s="137" t="str">
        <f t="shared" si="36"/>
        <v>Tipo 1 (≤0,25) uT</v>
      </c>
      <c r="BH343" s="137" t="str">
        <f>IF(OR(R343="",R343="-"),"",IF(R343&lt;=0.25,"Tipo 1 (≤0,25) uT",IF(R343&lt;=0.5,"Tipo 2 (0,25-0,50) uT",IF(R343&lt;=0.75,"Tipo 3 (0,50-0,75) uT","Tipo 4 (&gt;0,75) uT"))))</f>
        <v>Tipo 1 (≤0,25) uT</v>
      </c>
    </row>
    <row r="344" spans="1:60" x14ac:dyDescent="0.3">
      <c r="A344" s="74">
        <v>46296</v>
      </c>
      <c r="B344" s="139">
        <v>0.72916666666666663</v>
      </c>
      <c r="C344" s="116">
        <v>335</v>
      </c>
      <c r="D344" s="116">
        <v>1627</v>
      </c>
      <c r="E344" s="116">
        <v>200</v>
      </c>
      <c r="F344" s="116">
        <v>2200</v>
      </c>
      <c r="G344" s="144" t="s">
        <v>100</v>
      </c>
      <c r="H344" s="122">
        <v>9.1999999999999993</v>
      </c>
      <c r="I344" s="116">
        <v>47</v>
      </c>
      <c r="J344" s="10">
        <v>90</v>
      </c>
      <c r="K344" s="116">
        <v>90</v>
      </c>
      <c r="L344" s="116">
        <v>90</v>
      </c>
      <c r="M344" s="122">
        <v>26</v>
      </c>
      <c r="N344" s="122">
        <v>6.5</v>
      </c>
      <c r="O344" s="79">
        <v>1.37</v>
      </c>
      <c r="P344" s="116">
        <v>11</v>
      </c>
      <c r="Q344" s="122">
        <v>6.6</v>
      </c>
      <c r="R344" s="10">
        <v>0.13</v>
      </c>
      <c r="S344" s="79">
        <v>22.36</v>
      </c>
      <c r="T344" s="79">
        <v>0.88</v>
      </c>
      <c r="U344" s="79">
        <v>0.7</v>
      </c>
      <c r="V344" s="85">
        <f t="shared" si="37"/>
        <v>1685.75</v>
      </c>
      <c r="W344" s="85">
        <f t="shared" si="38"/>
        <v>1565.7431243999997</v>
      </c>
      <c r="X344" s="85">
        <f t="shared" si="39"/>
        <v>0.92881098881803337</v>
      </c>
      <c r="Y344" s="116">
        <v>3</v>
      </c>
      <c r="Z344" s="116">
        <v>4</v>
      </c>
      <c r="AA344" s="122">
        <v>6.1</v>
      </c>
      <c r="AB344" s="116">
        <v>21</v>
      </c>
      <c r="AC344" s="122">
        <v>6.3</v>
      </c>
      <c r="AD344" s="122">
        <v>6</v>
      </c>
      <c r="AE344" s="79">
        <v>0.16</v>
      </c>
      <c r="AF344" s="79">
        <v>0.14000000000000001</v>
      </c>
      <c r="AG344" s="85">
        <f>(O344+0.3*H344+2)*(F344/2/AK344)</f>
        <v>1685.75</v>
      </c>
      <c r="AH344" s="85">
        <f t="shared" si="40"/>
        <v>1900.6500864</v>
      </c>
      <c r="AI344" s="85">
        <f t="shared" si="41"/>
        <v>1.1274804012457362</v>
      </c>
      <c r="AJ344" s="116">
        <v>3</v>
      </c>
      <c r="AK344" s="116">
        <v>4</v>
      </c>
      <c r="AL344" s="122">
        <v>6.4</v>
      </c>
      <c r="AM344" s="116">
        <v>24</v>
      </c>
      <c r="AN344" s="122">
        <v>6.3</v>
      </c>
      <c r="AO344" s="122">
        <v>5.9</v>
      </c>
      <c r="AP344" s="79">
        <v>0.17</v>
      </c>
      <c r="AQ344" s="79">
        <v>0.23</v>
      </c>
      <c r="AR344" s="132">
        <f>SUM(C344:E344)</f>
        <v>2162</v>
      </c>
      <c r="AS344" s="134">
        <f>C344/AR344</f>
        <v>0.15494912118408879</v>
      </c>
      <c r="AT344" s="134">
        <f>D344/AR344</f>
        <v>0.75254394079555964</v>
      </c>
      <c r="AU344" s="134">
        <f>E344/AR344</f>
        <v>9.2506938020351523E-2</v>
      </c>
      <c r="AV344" s="151">
        <f>IF(AND(F344&lt;&gt;"",Z344&lt;&gt;""),AB344/(F344/2/Z344),"")</f>
        <v>7.636363636363637E-2</v>
      </c>
      <c r="AW344" s="151">
        <f>IF(AND(F344&lt;&gt;"",AK344&lt;&gt;""),AM344/(F344/2/AK344),"")</f>
        <v>8.727272727272728E-2</v>
      </c>
      <c r="AX344" s="41">
        <f>IF(AND(AQ344&lt;&gt;"",1-(AQ344/O344)&gt;0),1-(AQ344/O344),"")</f>
        <v>0.83211678832116787</v>
      </c>
      <c r="AY344" s="41">
        <f>IF(AND(AF344&lt;&gt;"",1-(AF344/O344)&gt;0),1-(AF344/O344),"")</f>
        <v>0.8978102189781022</v>
      </c>
      <c r="AZ344" s="136" t="str">
        <f>IF(Q344="","",IF(Q344&lt;2.5,"Alc. Bruta &lt; 2,5 mg/L",IF(Q344&lt;5,"2,5 ≤ Alc. Bruta &lt; 5,0 mg/L",IF(Q344&lt;7.5,"5,0 ≤ Alc. Bruta &lt; 7,5 mg/L",IF(Q344&lt;10,"7,5 ≤ Alc. Bruta &lt; 10,0 mg/L",IF(Q344&lt;15,"10,0 ≤ Alca. Bruta &lt; 15,0 mg/L","Alc. Bruta &gt; 15 mg/L"))))))</f>
        <v>5,0 ≤ Alc. Bruta &lt; 7,5 mg/L</v>
      </c>
      <c r="BA344" s="136" t="str">
        <f>IF(P344="","",IF(P344&lt;5,"Cor &lt;5 uC",IF(P344&lt;10,"5 ≤ Cor &lt; 10 uC",IF(P344&lt;15,"10 ≤ Cor &lt;15 uC",IF(P344&lt;30,"15 ≤ Cor &lt; 30 uC",IF(P344&lt;50,"30 ≤ Cor &lt; 50 uC","Cor &gt; 50 uC"))))))</f>
        <v>10 ≤ Cor &lt;15 uC</v>
      </c>
      <c r="BB344" s="137" t="str">
        <f>IF(O344="","",IF(O344&lt;2.5,"Turbidez &lt; 2,5 uT",IF(O344&lt;5,"2,5 ≤ Turb &lt; 5,0 uT",IF(O344&lt;7.5,"5,0 ≤ Turb &lt; 7,5 uT",IF(O344&lt;10,"7,5 ≤ Turb &lt; 10,0 uT",IF(O344&lt;15,"10,0 ≤ Turb &lt; 15,0 uT","Turb &gt; 15 uT"))))))</f>
        <v>Turbidez &lt; 2,5 uT</v>
      </c>
      <c r="BC344" s="138" t="str">
        <f>IF(AND(C344&gt;D344,D344&gt;E344),"TOR &gt; SM &gt; BNN",IF(AND(C344&gt;E344,E344&gt;D344),"TOR &gt; BNN &gt; SM",IF(AND(D344&gt;C344,C344&gt;E344),"SM &gt; TOR &gt; BNN",IF(AND(D344&gt;E344,E344&gt;C344),"SM &gt; BNN &gt; TOR",IF(AND(C344=D344,D344=E344),"TOR = SM = BNN","Comb. diferentes")))))</f>
        <v>SM &gt; TOR &gt; BNN</v>
      </c>
      <c r="BD344" s="137" t="str">
        <f>IF(OR(AE344="",AQ344="-"),"",IF(AE344&lt;=0.25,"Tipo 1 (≤0,25) uT",IF(AE344&lt;=0.5,"Tipo 2 (0,25-0,50) uT",IF(AE344&lt;=0.75,"Tipo 3 (0,50-0,75) uT","Tipo 4 (&gt;0,75) uT"))))</f>
        <v>Tipo 1 (≤0,25) uT</v>
      </c>
      <c r="BE344" s="137" t="str">
        <f t="shared" si="35"/>
        <v>Tipo 1 (≤0,25) uT</v>
      </c>
      <c r="BF344" s="137" t="str">
        <f>IF(OR(AF344="",AQ344="-"),"",IF(AF344&lt;=0.25,"Tipo 1 (≤0,25) uT",IF(AF344&lt;=0.5,"Tipo 2 (0,25-0,50) uT",IF(AF344&lt;=0.75,"Tipo 3 (0,50-0,75) uT","Tipo 4 (&gt;0,75) uT"))))</f>
        <v>Tipo 1 (≤0,25) uT</v>
      </c>
      <c r="BG344" s="137" t="str">
        <f t="shared" si="36"/>
        <v>Tipo 1 (≤0,25) uT</v>
      </c>
      <c r="BH344" s="137" t="str">
        <f>IF(OR(R344="",R344="-"),"",IF(R344&lt;=0.25,"Tipo 1 (≤0,25) uT",IF(R344&lt;=0.5,"Tipo 2 (0,25-0,50) uT",IF(R344&lt;=0.75,"Tipo 3 (0,50-0,75) uT","Tipo 4 (&gt;0,75) uT"))))</f>
        <v>Tipo 1 (≤0,25) uT</v>
      </c>
    </row>
    <row r="345" spans="1:60" x14ac:dyDescent="0.3">
      <c r="A345" s="74">
        <v>46296</v>
      </c>
      <c r="B345" s="139">
        <v>0.8125</v>
      </c>
      <c r="C345" s="116">
        <v>340</v>
      </c>
      <c r="D345" s="116">
        <v>1640</v>
      </c>
      <c r="E345" s="116">
        <v>200</v>
      </c>
      <c r="F345" s="116">
        <v>2276</v>
      </c>
      <c r="G345" s="144" t="s">
        <v>100</v>
      </c>
      <c r="H345" s="122">
        <v>9.1999999999999993</v>
      </c>
      <c r="I345" s="116">
        <v>49</v>
      </c>
      <c r="J345" s="10">
        <v>90</v>
      </c>
      <c r="K345" s="116">
        <v>90</v>
      </c>
      <c r="L345" s="116">
        <v>90</v>
      </c>
      <c r="M345" s="122">
        <v>25.6</v>
      </c>
      <c r="N345" s="122">
        <v>6.4</v>
      </c>
      <c r="O345" s="79">
        <v>1.38</v>
      </c>
      <c r="P345" s="116">
        <v>12</v>
      </c>
      <c r="Q345" s="122">
        <v>7.5</v>
      </c>
      <c r="R345" s="10">
        <v>0.09</v>
      </c>
      <c r="S345" s="79">
        <v>22.36</v>
      </c>
      <c r="T345" s="79">
        <v>0.88</v>
      </c>
      <c r="U345" s="79">
        <v>0.7</v>
      </c>
      <c r="V345" s="85">
        <f t="shared" si="37"/>
        <v>1746.83</v>
      </c>
      <c r="W345" s="85">
        <f t="shared" si="38"/>
        <v>1565.7431243999997</v>
      </c>
      <c r="X345" s="85">
        <f t="shared" si="39"/>
        <v>0.89633400182044032</v>
      </c>
      <c r="Y345" s="116">
        <v>3</v>
      </c>
      <c r="Z345" s="116">
        <v>4</v>
      </c>
      <c r="AA345" s="122">
        <v>6.1</v>
      </c>
      <c r="AB345" s="116">
        <v>21</v>
      </c>
      <c r="AC345" s="122">
        <v>6.3</v>
      </c>
      <c r="AD345" s="122">
        <v>5.3</v>
      </c>
      <c r="AE345" s="79">
        <v>0.12</v>
      </c>
      <c r="AF345" s="79">
        <v>0.12</v>
      </c>
      <c r="AG345" s="85">
        <f>(O345+0.3*H345+2)*(F345/2/AK345)</f>
        <v>1746.83</v>
      </c>
      <c r="AH345" s="85">
        <f t="shared" si="40"/>
        <v>1900.6500864</v>
      </c>
      <c r="AI345" s="85">
        <f t="shared" si="41"/>
        <v>1.0880567006520383</v>
      </c>
      <c r="AJ345" s="116">
        <v>3</v>
      </c>
      <c r="AK345" s="116">
        <v>4</v>
      </c>
      <c r="AL345" s="122">
        <v>6.4</v>
      </c>
      <c r="AM345" s="116">
        <v>24</v>
      </c>
      <c r="AN345" s="122">
        <v>6.2</v>
      </c>
      <c r="AO345" s="122">
        <v>5.8</v>
      </c>
      <c r="AP345" s="79">
        <v>0.12</v>
      </c>
      <c r="AQ345" s="79">
        <v>0.24</v>
      </c>
      <c r="AR345" s="132">
        <f>SUM(C345:E345)</f>
        <v>2180</v>
      </c>
      <c r="AS345" s="134">
        <f>C345/AR345</f>
        <v>0.15596330275229359</v>
      </c>
      <c r="AT345" s="134">
        <f>D345/AR345</f>
        <v>0.75229357798165142</v>
      </c>
      <c r="AU345" s="134">
        <f>E345/AR345</f>
        <v>9.1743119266055051E-2</v>
      </c>
      <c r="AV345" s="151">
        <f>IF(AND(F345&lt;&gt;"",Z345&lt;&gt;""),AB345/(F345/2/Z345),"")</f>
        <v>7.3813708260105443E-2</v>
      </c>
      <c r="AW345" s="151">
        <f>IF(AND(F345&lt;&gt;"",AK345&lt;&gt;""),AM345/(F345/2/AK345),"")</f>
        <v>8.43585237258348E-2</v>
      </c>
      <c r="AX345" s="41">
        <f>IF(AND(AQ345&lt;&gt;"",1-(AQ345/O345)&gt;0),1-(AQ345/O345),"")</f>
        <v>0.82608695652173914</v>
      </c>
      <c r="AY345" s="41">
        <f>IF(AND(AF345&lt;&gt;"",1-(AF345/O345)&gt;0),1-(AF345/O345),"")</f>
        <v>0.91304347826086962</v>
      </c>
      <c r="AZ345" s="136" t="str">
        <f>IF(Q345="","",IF(Q345&lt;2.5,"Alc. Bruta &lt; 2,5 mg/L",IF(Q345&lt;5,"2,5 ≤ Alc. Bruta &lt; 5,0 mg/L",IF(Q345&lt;7.5,"5,0 ≤ Alc. Bruta &lt; 7,5 mg/L",IF(Q345&lt;10,"7,5 ≤ Alc. Bruta &lt; 10,0 mg/L",IF(Q345&lt;15,"10,0 ≤ Alca. Bruta &lt; 15,0 mg/L","Alc. Bruta &gt; 15 mg/L"))))))</f>
        <v>7,5 ≤ Alc. Bruta &lt; 10,0 mg/L</v>
      </c>
      <c r="BA345" s="136" t="str">
        <f>IF(P345="","",IF(P345&lt;5,"Cor &lt;5 uC",IF(P345&lt;10,"5 ≤ Cor &lt; 10 uC",IF(P345&lt;15,"10 ≤ Cor &lt;15 uC",IF(P345&lt;30,"15 ≤ Cor &lt; 30 uC",IF(P345&lt;50,"30 ≤ Cor &lt; 50 uC","Cor &gt; 50 uC"))))))</f>
        <v>10 ≤ Cor &lt;15 uC</v>
      </c>
      <c r="BB345" s="137" t="str">
        <f>IF(O345="","",IF(O345&lt;2.5,"Turbidez &lt; 2,5 uT",IF(O345&lt;5,"2,5 ≤ Turb &lt; 5,0 uT",IF(O345&lt;7.5,"5,0 ≤ Turb &lt; 7,5 uT",IF(O345&lt;10,"7,5 ≤ Turb &lt; 10,0 uT",IF(O345&lt;15,"10,0 ≤ Turb &lt; 15,0 uT","Turb &gt; 15 uT"))))))</f>
        <v>Turbidez &lt; 2,5 uT</v>
      </c>
      <c r="BC345" s="138" t="str">
        <f>IF(AND(C345&gt;D345,D345&gt;E345),"TOR &gt; SM &gt; BNN",IF(AND(C345&gt;E345,E345&gt;D345),"TOR &gt; BNN &gt; SM",IF(AND(D345&gt;C345,C345&gt;E345),"SM &gt; TOR &gt; BNN",IF(AND(D345&gt;E345,E345&gt;C345),"SM &gt; BNN &gt; TOR",IF(AND(C345=D345,D345=E345),"TOR = SM = BNN","Comb. diferentes")))))</f>
        <v>SM &gt; TOR &gt; BNN</v>
      </c>
      <c r="BD345" s="137" t="str">
        <f>IF(OR(AE345="",AQ345="-"),"",IF(AE345&lt;=0.25,"Tipo 1 (≤0,25) uT",IF(AE345&lt;=0.5,"Tipo 2 (0,25-0,50) uT",IF(AE345&lt;=0.75,"Tipo 3 (0,50-0,75) uT","Tipo 4 (&gt;0,75) uT"))))</f>
        <v>Tipo 1 (≤0,25) uT</v>
      </c>
      <c r="BE345" s="137" t="str">
        <f t="shared" si="35"/>
        <v>Tipo 1 (≤0,25) uT</v>
      </c>
      <c r="BF345" s="137" t="str">
        <f>IF(OR(AF345="",AQ345="-"),"",IF(AF345&lt;=0.25,"Tipo 1 (≤0,25) uT",IF(AF345&lt;=0.5,"Tipo 2 (0,25-0,50) uT",IF(AF345&lt;=0.75,"Tipo 3 (0,50-0,75) uT","Tipo 4 (&gt;0,75) uT"))))</f>
        <v>Tipo 1 (≤0,25) uT</v>
      </c>
      <c r="BG345" s="137" t="str">
        <f t="shared" si="36"/>
        <v>Tipo 1 (≤0,25) uT</v>
      </c>
      <c r="BH345" s="137" t="str">
        <f>IF(OR(R345="",R345="-"),"",IF(R345&lt;=0.25,"Tipo 1 (≤0,25) uT",IF(R345&lt;=0.5,"Tipo 2 (0,25-0,50) uT",IF(R345&lt;=0.75,"Tipo 3 (0,50-0,75) uT","Tipo 4 (&gt;0,75) uT"))))</f>
        <v>Tipo 1 (≤0,25) uT</v>
      </c>
    </row>
    <row r="346" spans="1:60" x14ac:dyDescent="0.3">
      <c r="A346" s="74">
        <v>46296</v>
      </c>
      <c r="B346" s="139">
        <v>0.89583333333333337</v>
      </c>
      <c r="C346" s="116">
        <v>347</v>
      </c>
      <c r="D346" s="116">
        <v>1680</v>
      </c>
      <c r="E346" s="116">
        <v>200</v>
      </c>
      <c r="F346" s="116">
        <v>2273</v>
      </c>
      <c r="G346" s="144" t="s">
        <v>100</v>
      </c>
      <c r="H346" s="122">
        <v>9.1999999999999993</v>
      </c>
      <c r="I346" s="116">
        <v>50</v>
      </c>
      <c r="J346" s="10">
        <v>90</v>
      </c>
      <c r="K346" s="116">
        <v>90</v>
      </c>
      <c r="L346" s="116">
        <v>90</v>
      </c>
      <c r="M346" s="122">
        <v>25</v>
      </c>
      <c r="N346" s="122">
        <v>6.5</v>
      </c>
      <c r="O346" s="79">
        <v>1.23</v>
      </c>
      <c r="P346" s="116">
        <v>14</v>
      </c>
      <c r="Q346" s="122">
        <v>6.9</v>
      </c>
      <c r="R346" s="10">
        <v>0.08</v>
      </c>
      <c r="S346" s="79">
        <v>22.36</v>
      </c>
      <c r="T346" s="79">
        <v>0.88</v>
      </c>
      <c r="U346" s="79">
        <v>0.7</v>
      </c>
      <c r="V346" s="85">
        <f t="shared" si="37"/>
        <v>1701.9087500000001</v>
      </c>
      <c r="W346" s="85">
        <f t="shared" si="38"/>
        <v>1598.1850248000001</v>
      </c>
      <c r="X346" s="85">
        <f t="shared" si="39"/>
        <v>0.93905447327889935</v>
      </c>
      <c r="Y346" s="116">
        <v>3</v>
      </c>
      <c r="Z346" s="116">
        <v>4</v>
      </c>
      <c r="AA346" s="122">
        <v>6.2</v>
      </c>
      <c r="AB346" s="116">
        <v>21</v>
      </c>
      <c r="AC346" s="122">
        <v>6.2</v>
      </c>
      <c r="AD346" s="122">
        <v>5.7</v>
      </c>
      <c r="AE346" s="79">
        <v>0.36</v>
      </c>
      <c r="AF346" s="79">
        <v>0.13</v>
      </c>
      <c r="AG346" s="85">
        <f>(O346+0.3*H346+2)*(F346/2/AK346)</f>
        <v>1701.9087500000001</v>
      </c>
      <c r="AH346" s="85">
        <f t="shared" si="40"/>
        <v>1863.5736287999996</v>
      </c>
      <c r="AI346" s="85">
        <f t="shared" si="41"/>
        <v>1.0949903329423505</v>
      </c>
      <c r="AJ346" s="116">
        <v>3</v>
      </c>
      <c r="AK346" s="116">
        <v>4</v>
      </c>
      <c r="AL346" s="122">
        <v>6.3</v>
      </c>
      <c r="AM346" s="116">
        <v>24</v>
      </c>
      <c r="AN346" s="122">
        <v>6.1</v>
      </c>
      <c r="AO346" s="122">
        <v>5.4</v>
      </c>
      <c r="AP346" s="79">
        <v>0.1</v>
      </c>
      <c r="AQ346" s="79">
        <v>0.23</v>
      </c>
      <c r="AR346" s="132">
        <f>SUM(C346:E346)</f>
        <v>2227</v>
      </c>
      <c r="AS346" s="134">
        <f>C346/AR346</f>
        <v>0.15581499775482713</v>
      </c>
      <c r="AT346" s="134">
        <f>D346/AR346</f>
        <v>0.75437808711270771</v>
      </c>
      <c r="AU346" s="134">
        <f>E346/AR346</f>
        <v>8.9806915132465207E-2</v>
      </c>
      <c r="AV346" s="151">
        <f>IF(AND(F346&lt;&gt;"",Z346&lt;&gt;""),AB346/(F346/2/Z346),"")</f>
        <v>7.3911130664320285E-2</v>
      </c>
      <c r="AW346" s="151">
        <f>IF(AND(F346&lt;&gt;"",AK346&lt;&gt;""),AM346/(F346/2/AK346),"")</f>
        <v>8.4469863616366034E-2</v>
      </c>
      <c r="AX346" s="41">
        <f>IF(AND(AQ346&lt;&gt;"",1-(AQ346/O346)&gt;0),1-(AQ346/O346),"")</f>
        <v>0.81300813008130079</v>
      </c>
      <c r="AY346" s="41">
        <f>IF(AND(AF346&lt;&gt;"",1-(AF346/O346)&gt;0),1-(AF346/O346),"")</f>
        <v>0.89430894308943087</v>
      </c>
      <c r="AZ346" s="136" t="str">
        <f>IF(Q346="","",IF(Q346&lt;2.5,"Alc. Bruta &lt; 2,5 mg/L",IF(Q346&lt;5,"2,5 ≤ Alc. Bruta &lt; 5,0 mg/L",IF(Q346&lt;7.5,"5,0 ≤ Alc. Bruta &lt; 7,5 mg/L",IF(Q346&lt;10,"7,5 ≤ Alc. Bruta &lt; 10,0 mg/L",IF(Q346&lt;15,"10,0 ≤ Alca. Bruta &lt; 15,0 mg/L","Alc. Bruta &gt; 15 mg/L"))))))</f>
        <v>5,0 ≤ Alc. Bruta &lt; 7,5 mg/L</v>
      </c>
      <c r="BA346" s="136" t="str">
        <f>IF(P346="","",IF(P346&lt;5,"Cor &lt;5 uC",IF(P346&lt;10,"5 ≤ Cor &lt; 10 uC",IF(P346&lt;15,"10 ≤ Cor &lt;15 uC",IF(P346&lt;30,"15 ≤ Cor &lt; 30 uC",IF(P346&lt;50,"30 ≤ Cor &lt; 50 uC","Cor &gt; 50 uC"))))))</f>
        <v>10 ≤ Cor &lt;15 uC</v>
      </c>
      <c r="BB346" s="137" t="str">
        <f>IF(O346="","",IF(O346&lt;2.5,"Turbidez &lt; 2,5 uT",IF(O346&lt;5,"2,5 ≤ Turb &lt; 5,0 uT",IF(O346&lt;7.5,"5,0 ≤ Turb &lt; 7,5 uT",IF(O346&lt;10,"7,5 ≤ Turb &lt; 10,0 uT",IF(O346&lt;15,"10,0 ≤ Turb &lt; 15,0 uT","Turb &gt; 15 uT"))))))</f>
        <v>Turbidez &lt; 2,5 uT</v>
      </c>
      <c r="BC346" s="138" t="str">
        <f>IF(AND(C346&gt;D346,D346&gt;E346),"TOR &gt; SM &gt; BNN",IF(AND(C346&gt;E346,E346&gt;D346),"TOR &gt; BNN &gt; SM",IF(AND(D346&gt;C346,C346&gt;E346),"SM &gt; TOR &gt; BNN",IF(AND(D346&gt;E346,E346&gt;C346),"SM &gt; BNN &gt; TOR",IF(AND(C346=D346,D346=E346),"TOR = SM = BNN","Comb. diferentes")))))</f>
        <v>SM &gt; TOR &gt; BNN</v>
      </c>
      <c r="BD346" s="137" t="str">
        <f>IF(OR(AE346="",AQ346="-"),"",IF(AE346&lt;=0.25,"Tipo 1 (≤0,25) uT",IF(AE346&lt;=0.5,"Tipo 2 (0,25-0,50) uT",IF(AE346&lt;=0.75,"Tipo 3 (0,50-0,75) uT","Tipo 4 (&gt;0,75) uT"))))</f>
        <v>Tipo 2 (0,25-0,50) uT</v>
      </c>
      <c r="BE346" s="137" t="str">
        <f t="shared" si="35"/>
        <v>Tipo 1 (≤0,25) uT</v>
      </c>
      <c r="BF346" s="137" t="str">
        <f>IF(OR(AF346="",AQ346="-"),"",IF(AF346&lt;=0.25,"Tipo 1 (≤0,25) uT",IF(AF346&lt;=0.5,"Tipo 2 (0,25-0,50) uT",IF(AF346&lt;=0.75,"Tipo 3 (0,50-0,75) uT","Tipo 4 (&gt;0,75) uT"))))</f>
        <v>Tipo 1 (≤0,25) uT</v>
      </c>
      <c r="BG346" s="137" t="str">
        <f t="shared" si="36"/>
        <v>Tipo 1 (≤0,25) uT</v>
      </c>
      <c r="BH346" s="137" t="str">
        <f>IF(OR(R346="",R346="-"),"",IF(R346&lt;=0.25,"Tipo 1 (≤0,25) uT",IF(R346&lt;=0.5,"Tipo 2 (0,25-0,50) uT",IF(R346&lt;=0.75,"Tipo 3 (0,50-0,75) uT","Tipo 4 (&gt;0,75) uT"))))</f>
        <v>Tipo 1 (≤0,25) uT</v>
      </c>
    </row>
    <row r="347" spans="1:60" x14ac:dyDescent="0.3">
      <c r="A347" s="74">
        <v>46297</v>
      </c>
      <c r="B347" s="139">
        <v>6.25E-2</v>
      </c>
      <c r="C347" s="116">
        <v>342</v>
      </c>
      <c r="D347" s="116">
        <v>1629</v>
      </c>
      <c r="E347" s="116">
        <v>200</v>
      </c>
      <c r="F347" s="116">
        <v>2224</v>
      </c>
      <c r="G347" s="144" t="s">
        <v>100</v>
      </c>
      <c r="H347" s="122">
        <v>9.1999999999999993</v>
      </c>
      <c r="I347" s="116">
        <v>44</v>
      </c>
      <c r="J347" s="10">
        <v>90</v>
      </c>
      <c r="K347" s="116">
        <v>90</v>
      </c>
      <c r="L347" s="116">
        <v>90</v>
      </c>
      <c r="M347" s="122">
        <v>25.3</v>
      </c>
      <c r="N347" s="122">
        <v>6.4</v>
      </c>
      <c r="O347" s="79">
        <v>1.43</v>
      </c>
      <c r="P347" s="116">
        <v>11</v>
      </c>
      <c r="Q347" s="122">
        <v>7</v>
      </c>
      <c r="R347" s="10">
        <v>0.08</v>
      </c>
      <c r="S347" s="79">
        <v>22.36</v>
      </c>
      <c r="T347" s="79">
        <v>0.88</v>
      </c>
      <c r="U347" s="79">
        <v>0.7</v>
      </c>
      <c r="V347" s="85">
        <f t="shared" si="37"/>
        <v>1720.82</v>
      </c>
      <c r="W347" s="85">
        <f t="shared" si="38"/>
        <v>1598.1850248000001</v>
      </c>
      <c r="X347" s="85">
        <f t="shared" si="39"/>
        <v>0.92873457119280345</v>
      </c>
      <c r="Y347" s="116">
        <v>3</v>
      </c>
      <c r="Z347" s="116">
        <v>4</v>
      </c>
      <c r="AA347" s="122">
        <v>6.2</v>
      </c>
      <c r="AB347" s="116">
        <v>21</v>
      </c>
      <c r="AC347" s="122">
        <v>6.1</v>
      </c>
      <c r="AD347" s="122">
        <v>5.6</v>
      </c>
      <c r="AE347" s="79">
        <v>0.13</v>
      </c>
      <c r="AF347" s="79">
        <v>0.11</v>
      </c>
      <c r="AG347" s="85">
        <f>(O347+0.3*H347+2)*(F347/2/AK347)</f>
        <v>1720.82</v>
      </c>
      <c r="AH347" s="85">
        <f t="shared" si="40"/>
        <v>1863.5736287999996</v>
      </c>
      <c r="AI347" s="85">
        <f t="shared" si="41"/>
        <v>1.0829567466672863</v>
      </c>
      <c r="AJ347" s="116">
        <v>3</v>
      </c>
      <c r="AK347" s="116">
        <v>4</v>
      </c>
      <c r="AL347" s="122">
        <v>6.3</v>
      </c>
      <c r="AM347" s="116">
        <v>24</v>
      </c>
      <c r="AN347" s="122">
        <v>6.4</v>
      </c>
      <c r="AO347" s="122">
        <v>5.6</v>
      </c>
      <c r="AP347" s="79">
        <v>7.0000000000000007E-2</v>
      </c>
      <c r="AQ347" s="79">
        <v>0.23</v>
      </c>
      <c r="AR347" s="132">
        <f>SUM(C347:E347)</f>
        <v>2171</v>
      </c>
      <c r="AS347" s="134">
        <f>C347/AR347</f>
        <v>0.15753109166282819</v>
      </c>
      <c r="AT347" s="134">
        <f>D347/AR347</f>
        <v>0.75034546292031323</v>
      </c>
      <c r="AU347" s="134">
        <f>E347/AR347</f>
        <v>9.2123445416858588E-2</v>
      </c>
      <c r="AV347" s="151">
        <f>IF(AND(F347&lt;&gt;"",Z347&lt;&gt;""),AB347/(F347/2/Z347),"")</f>
        <v>7.5539568345323743E-2</v>
      </c>
      <c r="AW347" s="151">
        <f>IF(AND(F347&lt;&gt;"",AK347&lt;&gt;""),AM347/(F347/2/AK347),"")</f>
        <v>8.6330935251798566E-2</v>
      </c>
      <c r="AX347" s="41">
        <f>IF(AND(AQ347&lt;&gt;"",1-(AQ347/O347)&gt;0),1-(AQ347/O347),"")</f>
        <v>0.83916083916083917</v>
      </c>
      <c r="AY347" s="41">
        <f>IF(AND(AF347&lt;&gt;"",1-(AF347/O347)&gt;0),1-(AF347/O347),"")</f>
        <v>0.92307692307692313</v>
      </c>
      <c r="AZ347" s="136" t="str">
        <f>IF(Q347="","",IF(Q347&lt;2.5,"Alc. Bruta &lt; 2,5 mg/L",IF(Q347&lt;5,"2,5 ≤ Alc. Bruta &lt; 5,0 mg/L",IF(Q347&lt;7.5,"5,0 ≤ Alc. Bruta &lt; 7,5 mg/L",IF(Q347&lt;10,"7,5 ≤ Alc. Bruta &lt; 10,0 mg/L",IF(Q347&lt;15,"10,0 ≤ Alca. Bruta &lt; 15,0 mg/L","Alc. Bruta &gt; 15 mg/L"))))))</f>
        <v>5,0 ≤ Alc. Bruta &lt; 7,5 mg/L</v>
      </c>
      <c r="BA347" s="136" t="str">
        <f>IF(P347="","",IF(P347&lt;5,"Cor &lt;5 uC",IF(P347&lt;10,"5 ≤ Cor &lt; 10 uC",IF(P347&lt;15,"10 ≤ Cor &lt;15 uC",IF(P347&lt;30,"15 ≤ Cor &lt; 30 uC",IF(P347&lt;50,"30 ≤ Cor &lt; 50 uC","Cor &gt; 50 uC"))))))</f>
        <v>10 ≤ Cor &lt;15 uC</v>
      </c>
      <c r="BB347" s="137" t="str">
        <f>IF(O347="","",IF(O347&lt;2.5,"Turbidez &lt; 2,5 uT",IF(O347&lt;5,"2,5 ≤ Turb &lt; 5,0 uT",IF(O347&lt;7.5,"5,0 ≤ Turb &lt; 7,5 uT",IF(O347&lt;10,"7,5 ≤ Turb &lt; 10,0 uT",IF(O347&lt;15,"10,0 ≤ Turb &lt; 15,0 uT","Turb &gt; 15 uT"))))))</f>
        <v>Turbidez &lt; 2,5 uT</v>
      </c>
      <c r="BC347" s="138" t="str">
        <f>IF(AND(C347&gt;D347,D347&gt;E347),"TOR &gt; SM &gt; BNN",IF(AND(C347&gt;E347,E347&gt;D347),"TOR &gt; BNN &gt; SM",IF(AND(D347&gt;C347,C347&gt;E347),"SM &gt; TOR &gt; BNN",IF(AND(D347&gt;E347,E347&gt;C347),"SM &gt; BNN &gt; TOR",IF(AND(C347=D347,D347=E347),"TOR = SM = BNN","Comb. diferentes")))))</f>
        <v>SM &gt; TOR &gt; BNN</v>
      </c>
      <c r="BD347" s="137" t="str">
        <f>IF(OR(AE347="",AQ347="-"),"",IF(AE347&lt;=0.25,"Tipo 1 (≤0,25) uT",IF(AE347&lt;=0.5,"Tipo 2 (0,25-0,50) uT",IF(AE347&lt;=0.75,"Tipo 3 (0,50-0,75) uT","Tipo 4 (&gt;0,75) uT"))))</f>
        <v>Tipo 1 (≤0,25) uT</v>
      </c>
      <c r="BE347" s="137" t="str">
        <f t="shared" si="35"/>
        <v>Tipo 1 (≤0,25) uT</v>
      </c>
      <c r="BF347" s="137" t="str">
        <f>IF(OR(AF347="",AQ347="-"),"",IF(AF347&lt;=0.25,"Tipo 1 (≤0,25) uT",IF(AF347&lt;=0.5,"Tipo 2 (0,25-0,50) uT",IF(AF347&lt;=0.75,"Tipo 3 (0,50-0,75) uT","Tipo 4 (&gt;0,75) uT"))))</f>
        <v>Tipo 1 (≤0,25) uT</v>
      </c>
      <c r="BG347" s="137" t="str">
        <f t="shared" si="36"/>
        <v>Tipo 1 (≤0,25) uT</v>
      </c>
      <c r="BH347" s="137" t="str">
        <f>IF(OR(R347="",R347="-"),"",IF(R347&lt;=0.25,"Tipo 1 (≤0,25) uT",IF(R347&lt;=0.5,"Tipo 2 (0,25-0,50) uT",IF(R347&lt;=0.75,"Tipo 3 (0,50-0,75) uT","Tipo 4 (&gt;0,75) uT"))))</f>
        <v>Tipo 1 (≤0,25) uT</v>
      </c>
    </row>
    <row r="348" spans="1:60" x14ac:dyDescent="0.3">
      <c r="A348" s="74">
        <v>46297</v>
      </c>
      <c r="B348" s="139">
        <v>0.14583333333333334</v>
      </c>
      <c r="C348" s="116">
        <v>348</v>
      </c>
      <c r="D348" s="116">
        <v>1612</v>
      </c>
      <c r="E348" s="116">
        <v>200</v>
      </c>
      <c r="F348" s="116">
        <v>2215</v>
      </c>
      <c r="G348" s="144" t="s">
        <v>100</v>
      </c>
      <c r="H348" s="122">
        <v>9.1999999999999993</v>
      </c>
      <c r="I348" s="116">
        <v>39</v>
      </c>
      <c r="J348" s="10">
        <v>30</v>
      </c>
      <c r="K348" s="116">
        <v>90</v>
      </c>
      <c r="L348" s="116">
        <v>90</v>
      </c>
      <c r="M348" s="122">
        <v>25.5</v>
      </c>
      <c r="N348" s="122">
        <v>6.5</v>
      </c>
      <c r="O348" s="79">
        <v>1.18</v>
      </c>
      <c r="P348" s="116">
        <v>3</v>
      </c>
      <c r="Q348" s="122">
        <v>6.6</v>
      </c>
      <c r="R348" s="10">
        <v>0.08</v>
      </c>
      <c r="S348" s="79">
        <v>22.36</v>
      </c>
      <c r="T348" s="79">
        <v>0.88</v>
      </c>
      <c r="U348" s="79">
        <v>0.7</v>
      </c>
      <c r="V348" s="85">
        <f t="shared" si="37"/>
        <v>1644.6374999999998</v>
      </c>
      <c r="W348" s="85">
        <f t="shared" si="38"/>
        <v>1598.1850248000001</v>
      </c>
      <c r="X348" s="85">
        <f t="shared" si="39"/>
        <v>0.97175518909182135</v>
      </c>
      <c r="Y348" s="116">
        <v>3</v>
      </c>
      <c r="Z348" s="116">
        <v>4</v>
      </c>
      <c r="AA348" s="122">
        <v>6.2</v>
      </c>
      <c r="AB348" s="116">
        <v>21</v>
      </c>
      <c r="AC348" s="122">
        <v>6.2</v>
      </c>
      <c r="AD348" s="122">
        <v>5.3</v>
      </c>
      <c r="AE348" s="79">
        <v>0.14000000000000001</v>
      </c>
      <c r="AF348" s="79">
        <v>0.11</v>
      </c>
      <c r="AG348" s="85">
        <f>(O348+0.3*H348+2)*(F348/2/AK348)</f>
        <v>1644.6374999999998</v>
      </c>
      <c r="AH348" s="85">
        <f t="shared" si="40"/>
        <v>1863.5736287999996</v>
      </c>
      <c r="AI348" s="85">
        <f t="shared" si="41"/>
        <v>1.1331212068312926</v>
      </c>
      <c r="AJ348" s="116">
        <v>3</v>
      </c>
      <c r="AK348" s="116">
        <v>4</v>
      </c>
      <c r="AL348" s="122">
        <v>6.3</v>
      </c>
      <c r="AM348" s="116">
        <v>24</v>
      </c>
      <c r="AN348" s="122">
        <v>6</v>
      </c>
      <c r="AO348" s="122">
        <v>5.0999999999999996</v>
      </c>
      <c r="AP348" s="79">
        <v>0.09</v>
      </c>
      <c r="AQ348" s="79">
        <v>0.23</v>
      </c>
      <c r="AR348" s="132">
        <f>SUM(C348:E348)</f>
        <v>2160</v>
      </c>
      <c r="AS348" s="134">
        <f>C348/AR348</f>
        <v>0.16111111111111112</v>
      </c>
      <c r="AT348" s="134">
        <f>D348/AR348</f>
        <v>0.74629629629629635</v>
      </c>
      <c r="AU348" s="134">
        <f>E348/AR348</f>
        <v>9.2592592592592587E-2</v>
      </c>
      <c r="AV348" s="151">
        <f>IF(AND(F348&lt;&gt;"",Z348&lt;&gt;""),AB348/(F348/2/Z348),"")</f>
        <v>7.584650112866817E-2</v>
      </c>
      <c r="AW348" s="151">
        <f>IF(AND(F348&lt;&gt;"",AK348&lt;&gt;""),AM348/(F348/2/AK348),"")</f>
        <v>8.6681715575620766E-2</v>
      </c>
      <c r="AX348" s="41">
        <f>IF(AND(AQ348&lt;&gt;"",1-(AQ348/O348)&gt;0),1-(AQ348/O348),"")</f>
        <v>0.80508474576271183</v>
      </c>
      <c r="AY348" s="41">
        <f>IF(AND(AF348&lt;&gt;"",1-(AF348/O348)&gt;0),1-(AF348/O348),"")</f>
        <v>0.90677966101694918</v>
      </c>
      <c r="AZ348" s="136" t="str">
        <f>IF(Q348="","",IF(Q348&lt;2.5,"Alc. Bruta &lt; 2,5 mg/L",IF(Q348&lt;5,"2,5 ≤ Alc. Bruta &lt; 5,0 mg/L",IF(Q348&lt;7.5,"5,0 ≤ Alc. Bruta &lt; 7,5 mg/L",IF(Q348&lt;10,"7,5 ≤ Alc. Bruta &lt; 10,0 mg/L",IF(Q348&lt;15,"10,0 ≤ Alca. Bruta &lt; 15,0 mg/L","Alc. Bruta &gt; 15 mg/L"))))))</f>
        <v>5,0 ≤ Alc. Bruta &lt; 7,5 mg/L</v>
      </c>
      <c r="BA348" s="136" t="str">
        <f>IF(P348="","",IF(P348&lt;5,"Cor &lt;5 uC",IF(P348&lt;10,"5 ≤ Cor &lt; 10 uC",IF(P348&lt;15,"10 ≤ Cor &lt;15 uC",IF(P348&lt;30,"15 ≤ Cor &lt; 30 uC",IF(P348&lt;50,"30 ≤ Cor &lt; 50 uC","Cor &gt; 50 uC"))))))</f>
        <v>Cor &lt;5 uC</v>
      </c>
      <c r="BB348" s="137" t="str">
        <f>IF(O348="","",IF(O348&lt;2.5,"Turbidez &lt; 2,5 uT",IF(O348&lt;5,"2,5 ≤ Turb &lt; 5,0 uT",IF(O348&lt;7.5,"5,0 ≤ Turb &lt; 7,5 uT",IF(O348&lt;10,"7,5 ≤ Turb &lt; 10,0 uT",IF(O348&lt;15,"10,0 ≤ Turb &lt; 15,0 uT","Turb &gt; 15 uT"))))))</f>
        <v>Turbidez &lt; 2,5 uT</v>
      </c>
      <c r="BC348" s="138" t="str">
        <f>IF(AND(C348&gt;D348,D348&gt;E348),"TOR &gt; SM &gt; BNN",IF(AND(C348&gt;E348,E348&gt;D348),"TOR &gt; BNN &gt; SM",IF(AND(D348&gt;C348,C348&gt;E348),"SM &gt; TOR &gt; BNN",IF(AND(D348&gt;E348,E348&gt;C348),"SM &gt; BNN &gt; TOR",IF(AND(C348=D348,D348=E348),"TOR = SM = BNN","Comb. diferentes")))))</f>
        <v>SM &gt; TOR &gt; BNN</v>
      </c>
      <c r="BD348" s="137" t="str">
        <f>IF(OR(AE348="",AQ348="-"),"",IF(AE348&lt;=0.25,"Tipo 1 (≤0,25) uT",IF(AE348&lt;=0.5,"Tipo 2 (0,25-0,50) uT",IF(AE348&lt;=0.75,"Tipo 3 (0,50-0,75) uT","Tipo 4 (&gt;0,75) uT"))))</f>
        <v>Tipo 1 (≤0,25) uT</v>
      </c>
      <c r="BE348" s="137" t="str">
        <f t="shared" si="35"/>
        <v>Tipo 1 (≤0,25) uT</v>
      </c>
      <c r="BF348" s="137" t="str">
        <f>IF(OR(AF348="",AQ348="-"),"",IF(AF348&lt;=0.25,"Tipo 1 (≤0,25) uT",IF(AF348&lt;=0.5,"Tipo 2 (0,25-0,50) uT",IF(AF348&lt;=0.75,"Tipo 3 (0,50-0,75) uT","Tipo 4 (&gt;0,75) uT"))))</f>
        <v>Tipo 1 (≤0,25) uT</v>
      </c>
      <c r="BG348" s="137" t="str">
        <f t="shared" si="36"/>
        <v>Tipo 1 (≤0,25) uT</v>
      </c>
      <c r="BH348" s="137" t="str">
        <f>IF(OR(R348="",R348="-"),"",IF(R348&lt;=0.25,"Tipo 1 (≤0,25) uT",IF(R348&lt;=0.5,"Tipo 2 (0,25-0,50) uT",IF(R348&lt;=0.75,"Tipo 3 (0,50-0,75) uT","Tipo 4 (&gt;0,75) uT"))))</f>
        <v>Tipo 1 (≤0,25) uT</v>
      </c>
    </row>
    <row r="349" spans="1:60" ht="15" thickBot="1" x14ac:dyDescent="0.35">
      <c r="A349" s="75">
        <v>46297</v>
      </c>
      <c r="B349" s="140">
        <v>0.22916666666666666</v>
      </c>
      <c r="C349" s="117">
        <v>354</v>
      </c>
      <c r="D349" s="117">
        <v>1631</v>
      </c>
      <c r="E349" s="117">
        <v>200</v>
      </c>
      <c r="F349" s="117">
        <v>2285</v>
      </c>
      <c r="G349" s="145" t="s">
        <v>100</v>
      </c>
      <c r="H349" s="123">
        <v>9.1999999999999993</v>
      </c>
      <c r="I349" s="117">
        <v>37</v>
      </c>
      <c r="J349" s="11">
        <v>90</v>
      </c>
      <c r="K349" s="117">
        <v>90</v>
      </c>
      <c r="L349" s="117">
        <v>30</v>
      </c>
      <c r="M349" s="123">
        <v>25.2</v>
      </c>
      <c r="N349" s="123">
        <v>6.4</v>
      </c>
      <c r="O349" s="80">
        <v>1.21</v>
      </c>
      <c r="P349" s="117">
        <v>4</v>
      </c>
      <c r="Q349" s="123">
        <v>7.1</v>
      </c>
      <c r="R349" s="11">
        <v>0.08</v>
      </c>
      <c r="S349" s="79">
        <v>22.36</v>
      </c>
      <c r="T349" s="79">
        <v>0.88</v>
      </c>
      <c r="U349" s="79">
        <v>0.7</v>
      </c>
      <c r="V349" s="85">
        <f t="shared" si="37"/>
        <v>1705.1812499999999</v>
      </c>
      <c r="W349" s="85">
        <f t="shared" si="38"/>
        <v>1460.2868799999999</v>
      </c>
      <c r="X349" s="85">
        <f t="shared" si="39"/>
        <v>0.85638220570393908</v>
      </c>
      <c r="Y349" s="117">
        <v>3</v>
      </c>
      <c r="Z349" s="117">
        <v>4</v>
      </c>
      <c r="AA349" s="123">
        <v>6</v>
      </c>
      <c r="AB349" s="117">
        <v>20</v>
      </c>
      <c r="AC349" s="123">
        <v>6.1</v>
      </c>
      <c r="AD349" s="123">
        <v>5.2</v>
      </c>
      <c r="AE349" s="80">
        <v>0.14000000000000001</v>
      </c>
      <c r="AF349" s="80">
        <v>0.14000000000000001</v>
      </c>
      <c r="AG349" s="85">
        <f>(O349+0.3*H349+2)*(F349/2/AK349)</f>
        <v>1705.1812499999999</v>
      </c>
      <c r="AH349" s="85">
        <f t="shared" si="40"/>
        <v>1979.8438399999998</v>
      </c>
      <c r="AI349" s="85">
        <f t="shared" si="41"/>
        <v>1.1610753050445517</v>
      </c>
      <c r="AJ349" s="117">
        <v>3</v>
      </c>
      <c r="AK349" s="117">
        <v>4</v>
      </c>
      <c r="AL349" s="123">
        <v>6.4</v>
      </c>
      <c r="AM349" s="117">
        <v>25</v>
      </c>
      <c r="AN349" s="123">
        <v>6.2</v>
      </c>
      <c r="AO349" s="123">
        <v>5.7</v>
      </c>
      <c r="AP349" s="80">
        <v>0.1</v>
      </c>
      <c r="AQ349" s="80">
        <v>0.27</v>
      </c>
      <c r="AR349" s="132">
        <f>SUM(C349:E349)</f>
        <v>2185</v>
      </c>
      <c r="AS349" s="134">
        <f>C349/AR349</f>
        <v>0.16201372997711672</v>
      </c>
      <c r="AT349" s="134">
        <f>D349/AR349</f>
        <v>0.74645308924485121</v>
      </c>
      <c r="AU349" s="134">
        <f>E349/AR349</f>
        <v>9.1533180778032033E-2</v>
      </c>
      <c r="AV349" s="151">
        <f>IF(AND(F349&lt;&gt;"",Z349&lt;&gt;""),AB349/(F349/2/Z349),"")</f>
        <v>7.0021881838074396E-2</v>
      </c>
      <c r="AW349" s="151">
        <f>IF(AND(F349&lt;&gt;"",AK349&lt;&gt;""),AM349/(F349/2/AK349),"")</f>
        <v>8.7527352297592995E-2</v>
      </c>
      <c r="AX349" s="43">
        <f>IF(AND(AQ349&lt;&gt;"",1-(AQ349/O349)&gt;0),1-(AQ349/O349),"")</f>
        <v>0.77685950413223137</v>
      </c>
      <c r="AY349" s="41">
        <f>IF(AND(AF349&lt;&gt;"",1-(AF349/O349)&gt;0),1-(AF349/O349),"")</f>
        <v>0.88429752066115697</v>
      </c>
      <c r="AZ349" s="136" t="str">
        <f>IF(Q349="","",IF(Q349&lt;2.5,"Alc. Bruta &lt; 2,5 mg/L",IF(Q349&lt;5,"2,5 ≤ Alc. Bruta &lt; 5,0 mg/L",IF(Q349&lt;7.5,"5,0 ≤ Alc. Bruta &lt; 7,5 mg/L",IF(Q349&lt;10,"7,5 ≤ Alc. Bruta &lt; 10,0 mg/L",IF(Q349&lt;15,"10,0 ≤ Alca. Bruta &lt; 15,0 mg/L","Alc. Bruta &gt; 15 mg/L"))))))</f>
        <v>5,0 ≤ Alc. Bruta &lt; 7,5 mg/L</v>
      </c>
      <c r="BA349" s="136" t="str">
        <f>IF(P349="","",IF(P349&lt;5,"Cor &lt;5 uC",IF(P349&lt;10,"5 ≤ Cor &lt; 10 uC",IF(P349&lt;15,"10 ≤ Cor &lt;15 uC",IF(P349&lt;30,"15 ≤ Cor &lt; 30 uC",IF(P349&lt;50,"30 ≤ Cor &lt; 50 uC","Cor &gt; 50 uC"))))))</f>
        <v>Cor &lt;5 uC</v>
      </c>
      <c r="BB349" s="137" t="str">
        <f>IF(O349="","",IF(O349&lt;2.5,"Turbidez &lt; 2,5 uT",IF(O349&lt;5,"2,5 ≤ Turb &lt; 5,0 uT",IF(O349&lt;7.5,"5,0 ≤ Turb &lt; 7,5 uT",IF(O349&lt;10,"7,5 ≤ Turb &lt; 10,0 uT",IF(O349&lt;15,"10,0 ≤ Turb &lt; 15,0 uT","Turb &gt; 15 uT"))))))</f>
        <v>Turbidez &lt; 2,5 uT</v>
      </c>
      <c r="BC349" s="138" t="str">
        <f>IF(AND(C349&gt;D349,D349&gt;E349),"TOR &gt; SM &gt; BNN",IF(AND(C349&gt;E349,E349&gt;D349),"TOR &gt; BNN &gt; SM",IF(AND(D349&gt;C349,C349&gt;E349),"SM &gt; TOR &gt; BNN",IF(AND(D349&gt;E349,E349&gt;C349),"SM &gt; BNN &gt; TOR",IF(AND(C349=D349,D349=E349),"TOR = SM = BNN","Comb. diferentes")))))</f>
        <v>SM &gt; TOR &gt; BNN</v>
      </c>
      <c r="BD349" s="137" t="str">
        <f>IF(OR(AE349="",AQ349="-"),"",IF(AE349&lt;=0.25,"Tipo 1 (≤0,25) uT",IF(AE349&lt;=0.5,"Tipo 2 (0,25-0,50) uT",IF(AE349&lt;=0.75,"Tipo 3 (0,50-0,75) uT","Tipo 4 (&gt;0,75) uT"))))</f>
        <v>Tipo 1 (≤0,25) uT</v>
      </c>
      <c r="BE349" s="137" t="str">
        <f t="shared" si="35"/>
        <v>Tipo 1 (≤0,25) uT</v>
      </c>
      <c r="BF349" s="137" t="str">
        <f>IF(OR(AF349="",AQ349="-"),"",IF(AF349&lt;=0.25,"Tipo 1 (≤0,25) uT",IF(AF349&lt;=0.5,"Tipo 2 (0,25-0,50) uT",IF(AF349&lt;=0.75,"Tipo 3 (0,50-0,75) uT","Tipo 4 (&gt;0,75) uT"))))</f>
        <v>Tipo 1 (≤0,25) uT</v>
      </c>
      <c r="BG349" s="137" t="str">
        <f t="shared" si="36"/>
        <v>Tipo 2 (0,25-0,50) uT</v>
      </c>
      <c r="BH349" s="137" t="str">
        <f>IF(OR(R349="",R349="-"),"",IF(R349&lt;=0.25,"Tipo 1 (≤0,25) uT",IF(R349&lt;=0.5,"Tipo 2 (0,25-0,50) uT",IF(R349&lt;=0.75,"Tipo 3 (0,50-0,75) uT","Tipo 4 (&gt;0,75) uT"))))</f>
        <v>Tipo 1 (≤0,25) uT</v>
      </c>
    </row>
    <row r="350" spans="1:60" x14ac:dyDescent="0.3">
      <c r="A350" s="73">
        <v>46297</v>
      </c>
      <c r="B350" s="141">
        <v>0.3125</v>
      </c>
      <c r="C350" s="118">
        <v>351</v>
      </c>
      <c r="D350" s="118">
        <v>1680</v>
      </c>
      <c r="E350" s="118">
        <v>200</v>
      </c>
      <c r="F350" s="118">
        <v>2273</v>
      </c>
      <c r="G350" s="146" t="s">
        <v>100</v>
      </c>
      <c r="H350" s="124">
        <v>9.1999999999999993</v>
      </c>
      <c r="I350" s="118">
        <v>35</v>
      </c>
      <c r="J350" s="9">
        <v>90</v>
      </c>
      <c r="K350" s="118">
        <v>90</v>
      </c>
      <c r="L350" s="118">
        <v>90</v>
      </c>
      <c r="M350" s="124">
        <v>24.9</v>
      </c>
      <c r="N350" s="124">
        <v>6.5</v>
      </c>
      <c r="O350" s="81">
        <v>1.3</v>
      </c>
      <c r="P350" s="118">
        <v>6</v>
      </c>
      <c r="Q350" s="124">
        <v>6.8</v>
      </c>
      <c r="R350" s="9">
        <v>0.08</v>
      </c>
      <c r="S350" s="79">
        <v>22.36</v>
      </c>
      <c r="T350" s="79">
        <v>0.88</v>
      </c>
      <c r="U350" s="79">
        <v>0.7</v>
      </c>
      <c r="V350" s="85">
        <f t="shared" si="37"/>
        <v>1721.7974999999999</v>
      </c>
      <c r="W350" s="85">
        <f t="shared" si="38"/>
        <v>1565.7431243999997</v>
      </c>
      <c r="X350" s="85">
        <f t="shared" si="39"/>
        <v>0.90936543025529992</v>
      </c>
      <c r="Y350" s="118">
        <v>3</v>
      </c>
      <c r="Z350" s="118">
        <v>4</v>
      </c>
      <c r="AA350" s="124">
        <v>6.1</v>
      </c>
      <c r="AB350" s="118">
        <v>21</v>
      </c>
      <c r="AC350" s="124">
        <v>6.2</v>
      </c>
      <c r="AD350" s="124">
        <v>5.2</v>
      </c>
      <c r="AE350" s="81">
        <v>0.15</v>
      </c>
      <c r="AF350" s="81">
        <v>0.15</v>
      </c>
      <c r="AG350" s="85">
        <f>(O350+0.3*H350+2)*(F350/2/AK350)</f>
        <v>1721.7974999999999</v>
      </c>
      <c r="AH350" s="85">
        <f t="shared" si="40"/>
        <v>1863.5736287999996</v>
      </c>
      <c r="AI350" s="85">
        <f t="shared" si="41"/>
        <v>1.0823419297565477</v>
      </c>
      <c r="AJ350" s="118">
        <v>3</v>
      </c>
      <c r="AK350" s="118">
        <v>4</v>
      </c>
      <c r="AL350" s="124">
        <v>6.3</v>
      </c>
      <c r="AM350" s="118">
        <v>24</v>
      </c>
      <c r="AN350" s="124">
        <v>6.2</v>
      </c>
      <c r="AO350" s="124">
        <v>5.4</v>
      </c>
      <c r="AP350" s="81">
        <v>0.11</v>
      </c>
      <c r="AQ350" s="81">
        <v>0.23</v>
      </c>
      <c r="AR350" s="132">
        <f>SUM(C350:E350)</f>
        <v>2231</v>
      </c>
      <c r="AS350" s="134">
        <f>C350/AR350</f>
        <v>0.15732855221873598</v>
      </c>
      <c r="AT350" s="134">
        <f>D350/AR350</f>
        <v>0.75302554908112951</v>
      </c>
      <c r="AU350" s="134">
        <f>E350/AR350</f>
        <v>8.9645898700134466E-2</v>
      </c>
      <c r="AV350" s="151">
        <f>IF(AND(F350&lt;&gt;"",Z350&lt;&gt;""),AB350/(F350/2/Z350),"")</f>
        <v>7.3911130664320285E-2</v>
      </c>
      <c r="AW350" s="151">
        <f>IF(AND(F350&lt;&gt;"",AK350&lt;&gt;""),AM350/(F350/2/AK350),"")</f>
        <v>8.4469863616366034E-2</v>
      </c>
      <c r="AX350" s="43">
        <f>IF(AND(AQ350&lt;&gt;"",1-(AQ350/O350)&gt;0),1-(AQ350/O350),"")</f>
        <v>0.82307692307692304</v>
      </c>
      <c r="AY350" s="41">
        <f>IF(AND(AF350&lt;&gt;"",1-(AF350/O350)&gt;0),1-(AF350/O350),"")</f>
        <v>0.88461538461538458</v>
      </c>
      <c r="AZ350" s="136" t="str">
        <f>IF(Q350="","",IF(Q350&lt;2.5,"Alc. Bruta &lt; 2,5 mg/L",IF(Q350&lt;5,"2,5 ≤ Alc. Bruta &lt; 5,0 mg/L",IF(Q350&lt;7.5,"5,0 ≤ Alc. Bruta &lt; 7,5 mg/L",IF(Q350&lt;10,"7,5 ≤ Alc. Bruta &lt; 10,0 mg/L",IF(Q350&lt;15,"10,0 ≤ Alca. Bruta &lt; 15,0 mg/L","Alc. Bruta &gt; 15 mg/L"))))))</f>
        <v>5,0 ≤ Alc. Bruta &lt; 7,5 mg/L</v>
      </c>
      <c r="BA350" s="136" t="str">
        <f>IF(P350="","",IF(P350&lt;5,"Cor &lt;5 uC",IF(P350&lt;10,"5 ≤ Cor &lt; 10 uC",IF(P350&lt;15,"10 ≤ Cor &lt;15 uC",IF(P350&lt;30,"15 ≤ Cor &lt; 30 uC",IF(P350&lt;50,"30 ≤ Cor &lt; 50 uC","Cor &gt; 50 uC"))))))</f>
        <v>5 ≤ Cor &lt; 10 uC</v>
      </c>
      <c r="BB350" s="137" t="str">
        <f>IF(O350="","",IF(O350&lt;2.5,"Turbidez &lt; 2,5 uT",IF(O350&lt;5,"2,5 ≤ Turb &lt; 5,0 uT",IF(O350&lt;7.5,"5,0 ≤ Turb &lt; 7,5 uT",IF(O350&lt;10,"7,5 ≤ Turb &lt; 10,0 uT",IF(O350&lt;15,"10,0 ≤ Turb &lt; 15,0 uT","Turb &gt; 15 uT"))))))</f>
        <v>Turbidez &lt; 2,5 uT</v>
      </c>
      <c r="BC350" s="138" t="str">
        <f>IF(AND(C350&gt;D350,D350&gt;E350),"TOR &gt; SM &gt; BNN",IF(AND(C350&gt;E350,E350&gt;D350),"TOR &gt; BNN &gt; SM",IF(AND(D350&gt;C350,C350&gt;E350),"SM &gt; TOR &gt; BNN",IF(AND(D350&gt;E350,E350&gt;C350),"SM &gt; BNN &gt; TOR",IF(AND(C350=D350,D350=E350),"TOR = SM = BNN","Comb. diferentes")))))</f>
        <v>SM &gt; TOR &gt; BNN</v>
      </c>
      <c r="BD350" s="137" t="str">
        <f>IF(OR(AE350="",AQ350="-"),"",IF(AE350&lt;=0.25,"Tipo 1 (≤0,25) uT",IF(AE350&lt;=0.5,"Tipo 2 (0,25-0,50) uT",IF(AE350&lt;=0.75,"Tipo 3 (0,50-0,75) uT","Tipo 4 (&gt;0,75) uT"))))</f>
        <v>Tipo 1 (≤0,25) uT</v>
      </c>
      <c r="BE350" s="137" t="str">
        <f t="shared" si="35"/>
        <v>Tipo 1 (≤0,25) uT</v>
      </c>
      <c r="BF350" s="137" t="str">
        <f>IF(OR(AF350="",AQ350="-"),"",IF(AF350&lt;=0.25,"Tipo 1 (≤0,25) uT",IF(AF350&lt;=0.5,"Tipo 2 (0,25-0,50) uT",IF(AF350&lt;=0.75,"Tipo 3 (0,50-0,75) uT","Tipo 4 (&gt;0,75) uT"))))</f>
        <v>Tipo 1 (≤0,25) uT</v>
      </c>
      <c r="BG350" s="137" t="str">
        <f t="shared" si="36"/>
        <v>Tipo 1 (≤0,25) uT</v>
      </c>
      <c r="BH350" s="137" t="str">
        <f>IF(OR(R350="",R350="-"),"",IF(R350&lt;=0.25,"Tipo 1 (≤0,25) uT",IF(R350&lt;=0.5,"Tipo 2 (0,25-0,50) uT",IF(R350&lt;=0.75,"Tipo 3 (0,50-0,75) uT","Tipo 4 (&gt;0,75) uT"))))</f>
        <v>Tipo 1 (≤0,25) uT</v>
      </c>
    </row>
    <row r="351" spans="1:60" x14ac:dyDescent="0.3">
      <c r="A351" s="74">
        <v>46297</v>
      </c>
      <c r="B351" s="139">
        <v>0.39583333333333331</v>
      </c>
      <c r="C351" s="116">
        <v>304</v>
      </c>
      <c r="D351" s="116">
        <v>1716</v>
      </c>
      <c r="E351" s="116">
        <v>350</v>
      </c>
      <c r="F351" s="116">
        <v>2294</v>
      </c>
      <c r="G351" s="144" t="s">
        <v>100</v>
      </c>
      <c r="H351" s="122">
        <v>9.1999999999999993</v>
      </c>
      <c r="I351" s="116">
        <v>40</v>
      </c>
      <c r="J351" s="10">
        <v>90</v>
      </c>
      <c r="K351" s="116">
        <v>90</v>
      </c>
      <c r="L351" s="116">
        <v>90</v>
      </c>
      <c r="M351" s="122">
        <v>25</v>
      </c>
      <c r="N351" s="122">
        <v>6.4</v>
      </c>
      <c r="O351" s="79">
        <v>1.34</v>
      </c>
      <c r="P351" s="116">
        <v>11</v>
      </c>
      <c r="Q351" s="122">
        <v>5.9</v>
      </c>
      <c r="R351" s="10">
        <v>0.08</v>
      </c>
      <c r="S351" s="79">
        <v>22.36</v>
      </c>
      <c r="T351" s="79">
        <v>0.88</v>
      </c>
      <c r="U351" s="79">
        <v>0.7</v>
      </c>
      <c r="V351" s="85">
        <f t="shared" si="37"/>
        <v>1749.175</v>
      </c>
      <c r="W351" s="85">
        <f t="shared" si="38"/>
        <v>1460.2868799999999</v>
      </c>
      <c r="X351" s="85">
        <f t="shared" si="39"/>
        <v>0.83484321465833888</v>
      </c>
      <c r="Y351" s="116">
        <v>3</v>
      </c>
      <c r="Z351" s="116">
        <v>4</v>
      </c>
      <c r="AA351" s="122">
        <v>6</v>
      </c>
      <c r="AB351" s="116">
        <v>20</v>
      </c>
      <c r="AC351" s="122">
        <v>6.3</v>
      </c>
      <c r="AD351" s="122">
        <v>4.4000000000000004</v>
      </c>
      <c r="AE351" s="79">
        <v>0.11</v>
      </c>
      <c r="AF351" s="79">
        <v>0.16</v>
      </c>
      <c r="AG351" s="85">
        <f>(O351+0.3*H351+2)*(F351/2/AK351)</f>
        <v>1749.175</v>
      </c>
      <c r="AH351" s="85">
        <f t="shared" si="40"/>
        <v>1941.2225299999996</v>
      </c>
      <c r="AI351" s="85">
        <f t="shared" si="41"/>
        <v>1.1097932053682449</v>
      </c>
      <c r="AJ351" s="116">
        <v>3</v>
      </c>
      <c r="AK351" s="116">
        <v>4</v>
      </c>
      <c r="AL351" s="122">
        <v>6.3</v>
      </c>
      <c r="AM351" s="116">
        <v>25</v>
      </c>
      <c r="AN351" s="122">
        <v>6.2</v>
      </c>
      <c r="AO351" s="122">
        <v>4.5</v>
      </c>
      <c r="AP351" s="79">
        <v>0.1</v>
      </c>
      <c r="AQ351" s="79">
        <v>0.26</v>
      </c>
      <c r="AR351" s="132">
        <f>SUM(C351:E351)</f>
        <v>2370</v>
      </c>
      <c r="AS351" s="134">
        <f>C351/AR351</f>
        <v>0.12827004219409283</v>
      </c>
      <c r="AT351" s="134">
        <f>D351/AR351</f>
        <v>0.72405063291139238</v>
      </c>
      <c r="AU351" s="134">
        <f>E351/AR351</f>
        <v>0.14767932489451477</v>
      </c>
      <c r="AV351" s="151">
        <f>IF(AND(F351&lt;&gt;"",Z351&lt;&gt;""),AB351/(F351/2/Z351),"")</f>
        <v>6.9747166521360066E-2</v>
      </c>
      <c r="AW351" s="151">
        <f>IF(AND(F351&lt;&gt;"",AK351&lt;&gt;""),AM351/(F351/2/AK351),"")</f>
        <v>8.7183958151700089E-2</v>
      </c>
      <c r="AX351" s="43">
        <f>IF(AND(AQ351&lt;&gt;"",1-(AQ351/O351)&gt;0),1-(AQ351/O351),"")</f>
        <v>0.80597014925373134</v>
      </c>
      <c r="AY351" s="41">
        <f>IF(AND(AF351&lt;&gt;"",1-(AF351/O351)&gt;0),1-(AF351/O351),"")</f>
        <v>0.88059701492537312</v>
      </c>
      <c r="AZ351" s="136" t="str">
        <f>IF(Q351="","",IF(Q351&lt;2.5,"Alc. Bruta &lt; 2,5 mg/L",IF(Q351&lt;5,"2,5 ≤ Alc. Bruta &lt; 5,0 mg/L",IF(Q351&lt;7.5,"5,0 ≤ Alc. Bruta &lt; 7,5 mg/L",IF(Q351&lt;10,"7,5 ≤ Alc. Bruta &lt; 10,0 mg/L",IF(Q351&lt;15,"10,0 ≤ Alca. Bruta &lt; 15,0 mg/L","Alc. Bruta &gt; 15 mg/L"))))))</f>
        <v>5,0 ≤ Alc. Bruta &lt; 7,5 mg/L</v>
      </c>
      <c r="BA351" s="136" t="str">
        <f>IF(P351="","",IF(P351&lt;5,"Cor &lt;5 uC",IF(P351&lt;10,"5 ≤ Cor &lt; 10 uC",IF(P351&lt;15,"10 ≤ Cor &lt;15 uC",IF(P351&lt;30,"15 ≤ Cor &lt; 30 uC",IF(P351&lt;50,"30 ≤ Cor &lt; 50 uC","Cor &gt; 50 uC"))))))</f>
        <v>10 ≤ Cor &lt;15 uC</v>
      </c>
      <c r="BB351" s="137" t="str">
        <f>IF(O351="","",IF(O351&lt;2.5,"Turbidez &lt; 2,5 uT",IF(O351&lt;5,"2,5 ≤ Turb &lt; 5,0 uT",IF(O351&lt;7.5,"5,0 ≤ Turb &lt; 7,5 uT",IF(O351&lt;10,"7,5 ≤ Turb &lt; 10,0 uT",IF(O351&lt;15,"10,0 ≤ Turb &lt; 15,0 uT","Turb &gt; 15 uT"))))))</f>
        <v>Turbidez &lt; 2,5 uT</v>
      </c>
      <c r="BC351" s="138" t="str">
        <f>IF(AND(C351&gt;D351,D351&gt;E351),"TOR &gt; SM &gt; BNN",IF(AND(C351&gt;E351,E351&gt;D351),"TOR &gt; BNN &gt; SM",IF(AND(D351&gt;C351,C351&gt;E351),"SM &gt; TOR &gt; BNN",IF(AND(D351&gt;E351,E351&gt;C351),"SM &gt; BNN &gt; TOR",IF(AND(C351=D351,D351=E351),"TOR = SM = BNN","Comb. diferentes")))))</f>
        <v>SM &gt; BNN &gt; TOR</v>
      </c>
      <c r="BD351" s="137" t="str">
        <f>IF(OR(AE351="",AQ351="-"),"",IF(AE351&lt;=0.25,"Tipo 1 (≤0,25) uT",IF(AE351&lt;=0.5,"Tipo 2 (0,25-0,50) uT",IF(AE351&lt;=0.75,"Tipo 3 (0,50-0,75) uT","Tipo 4 (&gt;0,75) uT"))))</f>
        <v>Tipo 1 (≤0,25) uT</v>
      </c>
      <c r="BE351" s="137" t="str">
        <f t="shared" si="35"/>
        <v>Tipo 1 (≤0,25) uT</v>
      </c>
      <c r="BF351" s="137" t="str">
        <f>IF(OR(AF351="",AQ351="-"),"",IF(AF351&lt;=0.25,"Tipo 1 (≤0,25) uT",IF(AF351&lt;=0.5,"Tipo 2 (0,25-0,50) uT",IF(AF351&lt;=0.75,"Tipo 3 (0,50-0,75) uT","Tipo 4 (&gt;0,75) uT"))))</f>
        <v>Tipo 1 (≤0,25) uT</v>
      </c>
      <c r="BG351" s="137" t="str">
        <f t="shared" si="36"/>
        <v>Tipo 2 (0,25-0,50) uT</v>
      </c>
      <c r="BH351" s="137" t="str">
        <f>IF(OR(R351="",R351="-"),"",IF(R351&lt;=0.25,"Tipo 1 (≤0,25) uT",IF(R351&lt;=0.5,"Tipo 2 (0,25-0,50) uT",IF(R351&lt;=0.75,"Tipo 3 (0,50-0,75) uT","Tipo 4 (&gt;0,75) uT"))))</f>
        <v>Tipo 1 (≤0,25) uT</v>
      </c>
    </row>
    <row r="352" spans="1:60" x14ac:dyDescent="0.3">
      <c r="A352" s="74">
        <v>46297</v>
      </c>
      <c r="B352" s="139">
        <v>0.64583333333333337</v>
      </c>
      <c r="C352" s="116">
        <v>282</v>
      </c>
      <c r="D352" s="116">
        <v>1659</v>
      </c>
      <c r="E352" s="116">
        <v>349</v>
      </c>
      <c r="F352" s="116">
        <v>2382</v>
      </c>
      <c r="G352" s="144" t="s">
        <v>100</v>
      </c>
      <c r="H352" s="122">
        <v>9.1999999999999993</v>
      </c>
      <c r="I352" s="116">
        <v>43</v>
      </c>
      <c r="J352" s="10">
        <v>90</v>
      </c>
      <c r="K352" s="116">
        <v>90</v>
      </c>
      <c r="L352" s="116">
        <v>90</v>
      </c>
      <c r="M352" s="122">
        <v>26.7</v>
      </c>
      <c r="N352" s="122">
        <v>6.5</v>
      </c>
      <c r="O352" s="79">
        <v>1.24</v>
      </c>
      <c r="P352" s="116">
        <v>10</v>
      </c>
      <c r="Q352" s="122">
        <v>6.2</v>
      </c>
      <c r="R352" s="10">
        <v>0.14000000000000001</v>
      </c>
      <c r="S352" s="79">
        <v>22.36</v>
      </c>
      <c r="T352" s="79">
        <v>0.88</v>
      </c>
      <c r="U352" s="79">
        <v>0.7</v>
      </c>
      <c r="V352" s="85">
        <f t="shared" si="37"/>
        <v>1786.5</v>
      </c>
      <c r="W352" s="85">
        <f t="shared" si="38"/>
        <v>1460.2868799999999</v>
      </c>
      <c r="X352" s="85">
        <f t="shared" si="39"/>
        <v>0.8174009963616008</v>
      </c>
      <c r="Y352" s="116">
        <v>3</v>
      </c>
      <c r="Z352" s="116">
        <v>4</v>
      </c>
      <c r="AA352" s="122">
        <v>6</v>
      </c>
      <c r="AB352" s="116">
        <v>20</v>
      </c>
      <c r="AC352" s="122">
        <v>6</v>
      </c>
      <c r="AD352" s="122">
        <v>5.2</v>
      </c>
      <c r="AE352" s="79">
        <v>0.09</v>
      </c>
      <c r="AF352" s="79">
        <v>0.15</v>
      </c>
      <c r="AG352" s="85">
        <f>(O352+0.3*H352+2)*(F352/2/AK352)</f>
        <v>1786.5</v>
      </c>
      <c r="AH352" s="85">
        <f t="shared" si="40"/>
        <v>1941.2225299999996</v>
      </c>
      <c r="AI352" s="85">
        <f t="shared" si="41"/>
        <v>1.0866065099356281</v>
      </c>
      <c r="AJ352" s="116">
        <v>3</v>
      </c>
      <c r="AK352" s="116">
        <v>4</v>
      </c>
      <c r="AL352" s="122">
        <v>6.3</v>
      </c>
      <c r="AM352" s="116">
        <v>25</v>
      </c>
      <c r="AN352" s="122">
        <v>6.3</v>
      </c>
      <c r="AO352" s="122">
        <v>5.6</v>
      </c>
      <c r="AP352" s="79">
        <v>0.15</v>
      </c>
      <c r="AQ352" s="79">
        <v>0.31</v>
      </c>
      <c r="AR352" s="132">
        <f>SUM(C352:E352)</f>
        <v>2290</v>
      </c>
      <c r="AS352" s="134">
        <f>C352/AR352</f>
        <v>0.12314410480349346</v>
      </c>
      <c r="AT352" s="134">
        <f>D352/AR352</f>
        <v>0.72445414847161571</v>
      </c>
      <c r="AU352" s="134">
        <f>E352/AR352</f>
        <v>0.15240174672489082</v>
      </c>
      <c r="AV352" s="151">
        <f>IF(AND(F352&lt;&gt;"",Z352&lt;&gt;""),AB352/(F352/2/Z352),"")</f>
        <v>6.7170445004198151E-2</v>
      </c>
      <c r="AW352" s="151">
        <f>IF(AND(F352&lt;&gt;"",AK352&lt;&gt;""),AM352/(F352/2/AK352),"")</f>
        <v>8.3963056255247692E-2</v>
      </c>
      <c r="AX352" s="43"/>
      <c r="AY352" s="41"/>
      <c r="AZ352" s="136" t="str">
        <f>IF(Q352="","",IF(Q352&lt;2.5,"Alc. Bruta &lt; 2,5 mg/L",IF(Q352&lt;5,"2,5 ≤ Alc. Bruta &lt; 5,0 mg/L",IF(Q352&lt;7.5,"5,0 ≤ Alc. Bruta &lt; 7,5 mg/L",IF(Q352&lt;10,"7,5 ≤ Alc. Bruta &lt; 10,0 mg/L",IF(Q352&lt;15,"10,0 ≤ Alca. Bruta &lt; 15,0 mg/L","Alc. Bruta &gt; 15 mg/L"))))))</f>
        <v>5,0 ≤ Alc. Bruta &lt; 7,5 mg/L</v>
      </c>
      <c r="BA352" s="136" t="str">
        <f>IF(P352="","",IF(P352&lt;5,"Cor &lt;5 uC",IF(P352&lt;10,"5 ≤ Cor &lt; 10 uC",IF(P352&lt;15,"10 ≤ Cor &lt;15 uC",IF(P352&lt;30,"15 ≤ Cor &lt; 30 uC",IF(P352&lt;50,"30 ≤ Cor &lt; 50 uC","Cor &gt; 50 uC"))))))</f>
        <v>10 ≤ Cor &lt;15 uC</v>
      </c>
      <c r="BB352" s="137" t="str">
        <f>IF(O352="","",IF(O352&lt;2.5,"Turbidez &lt; 2,5 uT",IF(O352&lt;5,"2,5 ≤ Turb &lt; 5,0 uT",IF(O352&lt;7.5,"5,0 ≤ Turb &lt; 7,5 uT",IF(O352&lt;10,"7,5 ≤ Turb &lt; 10,0 uT",IF(O352&lt;15,"10,0 ≤ Turb &lt; 15,0 uT","Turb &gt; 15 uT"))))))</f>
        <v>Turbidez &lt; 2,5 uT</v>
      </c>
      <c r="BC352" s="138" t="str">
        <f>IF(AND(C352&gt;D352,D352&gt;E352),"TOR &gt; SM &gt; BNN",IF(AND(C352&gt;E352,E352&gt;D352),"TOR &gt; BNN &gt; SM",IF(AND(D352&gt;C352,C352&gt;E352),"SM &gt; TOR &gt; BNN",IF(AND(D352&gt;E352,E352&gt;C352),"SM &gt; BNN &gt; TOR",IF(AND(C352=D352,D352=E352),"TOR = SM = BNN","Comb. diferentes")))))</f>
        <v>SM &gt; BNN &gt; TOR</v>
      </c>
      <c r="BD352" s="137" t="str">
        <f>IF(OR(AE352="",AQ352="-"),"",IF(AE352&lt;=0.25,"Tipo 1 (≤0,25) uT",IF(AE352&lt;=0.5,"Tipo 2 (0,25-0,50) uT",IF(AE352&lt;=0.75,"Tipo 3 (0,50-0,75) uT","Tipo 4 (&gt;0,75) uT"))))</f>
        <v>Tipo 1 (≤0,25) uT</v>
      </c>
      <c r="BE352" s="137" t="str">
        <f t="shared" si="35"/>
        <v>Tipo 1 (≤0,25) uT</v>
      </c>
      <c r="BF352" s="137" t="str">
        <f>IF(OR(AF352="",AQ352="-"),"",IF(AF352&lt;=0.25,"Tipo 1 (≤0,25) uT",IF(AF352&lt;=0.5,"Tipo 2 (0,25-0,50) uT",IF(AF352&lt;=0.75,"Tipo 3 (0,50-0,75) uT","Tipo 4 (&gt;0,75) uT"))))</f>
        <v>Tipo 1 (≤0,25) uT</v>
      </c>
      <c r="BG352" s="137" t="str">
        <f t="shared" si="36"/>
        <v>Tipo 2 (0,25-0,50) uT</v>
      </c>
      <c r="BH352" s="137" t="str">
        <f>IF(OR(R352="",R352="-"),"",IF(R352&lt;=0.25,"Tipo 1 (≤0,25) uT",IF(R352&lt;=0.5,"Tipo 2 (0,25-0,50) uT",IF(R352&lt;=0.75,"Tipo 3 (0,50-0,75) uT","Tipo 4 (&gt;0,75) uT"))))</f>
        <v>Tipo 1 (≤0,25) uT</v>
      </c>
    </row>
    <row r="353" spans="1:60" x14ac:dyDescent="0.3">
      <c r="A353" s="74">
        <v>46297</v>
      </c>
      <c r="B353" s="139">
        <v>0.72916666666666663</v>
      </c>
      <c r="C353" s="116">
        <v>279</v>
      </c>
      <c r="D353" s="116">
        <v>1664</v>
      </c>
      <c r="E353" s="116">
        <v>349</v>
      </c>
      <c r="F353" s="116">
        <v>2312</v>
      </c>
      <c r="G353" s="144" t="s">
        <v>100</v>
      </c>
      <c r="H353" s="122">
        <v>9.1999999999999993</v>
      </c>
      <c r="I353" s="116">
        <v>43</v>
      </c>
      <c r="J353" s="10">
        <v>90</v>
      </c>
      <c r="K353" s="116">
        <v>90</v>
      </c>
      <c r="L353" s="116">
        <v>90</v>
      </c>
      <c r="M353" s="122">
        <v>26.5</v>
      </c>
      <c r="N353" s="122">
        <v>6.5</v>
      </c>
      <c r="O353" s="79">
        <v>1.31</v>
      </c>
      <c r="P353" s="116">
        <v>9</v>
      </c>
      <c r="Q353" s="122">
        <v>6</v>
      </c>
      <c r="R353" s="10">
        <v>0.15</v>
      </c>
      <c r="S353" s="79">
        <v>22.36</v>
      </c>
      <c r="T353" s="79">
        <v>0.88</v>
      </c>
      <c r="U353" s="79">
        <v>0.7</v>
      </c>
      <c r="V353" s="85">
        <f t="shared" si="37"/>
        <v>1754.23</v>
      </c>
      <c r="W353" s="85">
        <f t="shared" si="38"/>
        <v>1491.1839279999999</v>
      </c>
      <c r="X353" s="85">
        <f t="shared" si="39"/>
        <v>0.85005040844131041</v>
      </c>
      <c r="Y353" s="116">
        <v>3</v>
      </c>
      <c r="Z353" s="116">
        <v>4</v>
      </c>
      <c r="AA353" s="122">
        <v>6.1</v>
      </c>
      <c r="AB353" s="116">
        <v>20</v>
      </c>
      <c r="AC353" s="122">
        <v>6.2</v>
      </c>
      <c r="AD353" s="122">
        <v>5.6</v>
      </c>
      <c r="AE353" s="79">
        <v>0.11</v>
      </c>
      <c r="AF353" s="79">
        <v>0.15</v>
      </c>
      <c r="AG353" s="85">
        <f>(O353+0.3*H353+2)*(F353/2/AK353)</f>
        <v>1754.23</v>
      </c>
      <c r="AH353" s="85">
        <f t="shared" si="40"/>
        <v>1863.5736287999996</v>
      </c>
      <c r="AI353" s="85">
        <f t="shared" si="41"/>
        <v>1.0623314096783201</v>
      </c>
      <c r="AJ353" s="116">
        <v>3</v>
      </c>
      <c r="AK353" s="116">
        <v>4</v>
      </c>
      <c r="AL353" s="122">
        <v>6.3</v>
      </c>
      <c r="AM353" s="116">
        <v>24</v>
      </c>
      <c r="AN353" s="122">
        <v>6.3</v>
      </c>
      <c r="AO353" s="122">
        <v>5.4</v>
      </c>
      <c r="AP353" s="79">
        <v>0.14000000000000001</v>
      </c>
      <c r="AQ353" s="79">
        <v>0.3</v>
      </c>
      <c r="AR353" s="132">
        <f>SUM(C353:E353)</f>
        <v>2292</v>
      </c>
      <c r="AS353" s="134">
        <f>C353/AR353</f>
        <v>0.12172774869109948</v>
      </c>
      <c r="AT353" s="134">
        <f>D353/AR353</f>
        <v>0.72600349040139611</v>
      </c>
      <c r="AU353" s="134">
        <f>E353/AR353</f>
        <v>0.15226876090750435</v>
      </c>
      <c r="AV353" s="151">
        <f>IF(AND(F353&lt;&gt;"",Z353&lt;&gt;""),AB353/(F353/2/Z353),"")</f>
        <v>6.9204152249134954E-2</v>
      </c>
      <c r="AW353" s="151">
        <f>IF(AND(F353&lt;&gt;"",AK353&lt;&gt;""),AM353/(F353/2/AK353),"")</f>
        <v>8.3044982698961933E-2</v>
      </c>
      <c r="AX353" s="43"/>
      <c r="AY353" s="41"/>
      <c r="AZ353" s="136" t="str">
        <f>IF(Q353="","",IF(Q353&lt;2.5,"Alc. Bruta &lt; 2,5 mg/L",IF(Q353&lt;5,"2,5 ≤ Alc. Bruta &lt; 5,0 mg/L",IF(Q353&lt;7.5,"5,0 ≤ Alc. Bruta &lt; 7,5 mg/L",IF(Q353&lt;10,"7,5 ≤ Alc. Bruta &lt; 10,0 mg/L",IF(Q353&lt;15,"10,0 ≤ Alca. Bruta &lt; 15,0 mg/L","Alc. Bruta &gt; 15 mg/L"))))))</f>
        <v>5,0 ≤ Alc. Bruta &lt; 7,5 mg/L</v>
      </c>
      <c r="BA353" s="136" t="str">
        <f>IF(P353="","",IF(P353&lt;5,"Cor &lt;5 uC",IF(P353&lt;10,"5 ≤ Cor &lt; 10 uC",IF(P353&lt;15,"10 ≤ Cor &lt;15 uC",IF(P353&lt;30,"15 ≤ Cor &lt; 30 uC",IF(P353&lt;50,"30 ≤ Cor &lt; 50 uC","Cor &gt; 50 uC"))))))</f>
        <v>5 ≤ Cor &lt; 10 uC</v>
      </c>
      <c r="BB353" s="137" t="str">
        <f>IF(O353="","",IF(O353&lt;2.5,"Turbidez &lt; 2,5 uT",IF(O353&lt;5,"2,5 ≤ Turb &lt; 5,0 uT",IF(O353&lt;7.5,"5,0 ≤ Turb &lt; 7,5 uT",IF(O353&lt;10,"7,5 ≤ Turb &lt; 10,0 uT",IF(O353&lt;15,"10,0 ≤ Turb &lt; 15,0 uT","Turb &gt; 15 uT"))))))</f>
        <v>Turbidez &lt; 2,5 uT</v>
      </c>
      <c r="BC353" s="138" t="str">
        <f>IF(AND(C353&gt;D353,D353&gt;E353),"TOR &gt; SM &gt; BNN",IF(AND(C353&gt;E353,E353&gt;D353),"TOR &gt; BNN &gt; SM",IF(AND(D353&gt;C353,C353&gt;E353),"SM &gt; TOR &gt; BNN",IF(AND(D353&gt;E353,E353&gt;C353),"SM &gt; BNN &gt; TOR",IF(AND(C353=D353,D353=E353),"TOR = SM = BNN","Comb. diferentes")))))</f>
        <v>SM &gt; BNN &gt; TOR</v>
      </c>
      <c r="BD353" s="137" t="str">
        <f>IF(OR(AE353="",AQ353="-"),"",IF(AE353&lt;=0.25,"Tipo 1 (≤0,25) uT",IF(AE353&lt;=0.5,"Tipo 2 (0,25-0,50) uT",IF(AE353&lt;=0.75,"Tipo 3 (0,50-0,75) uT","Tipo 4 (&gt;0,75) uT"))))</f>
        <v>Tipo 1 (≤0,25) uT</v>
      </c>
      <c r="BE353" s="137" t="str">
        <f t="shared" si="35"/>
        <v>Tipo 1 (≤0,25) uT</v>
      </c>
      <c r="BF353" s="137" t="str">
        <f>IF(OR(AF353="",AQ353="-"),"",IF(AF353&lt;=0.25,"Tipo 1 (≤0,25) uT",IF(AF353&lt;=0.5,"Tipo 2 (0,25-0,50) uT",IF(AF353&lt;=0.75,"Tipo 3 (0,50-0,75) uT","Tipo 4 (&gt;0,75) uT"))))</f>
        <v>Tipo 1 (≤0,25) uT</v>
      </c>
      <c r="BG353" s="137" t="str">
        <f t="shared" si="36"/>
        <v>Tipo 2 (0,25-0,50) uT</v>
      </c>
      <c r="BH353" s="137" t="str">
        <f>IF(OR(R353="",R353="-"),"",IF(R353&lt;=0.25,"Tipo 1 (≤0,25) uT",IF(R353&lt;=0.5,"Tipo 2 (0,25-0,50) uT",IF(R353&lt;=0.75,"Tipo 3 (0,50-0,75) uT","Tipo 4 (&gt;0,75) uT"))))</f>
        <v>Tipo 1 (≤0,25) uT</v>
      </c>
    </row>
    <row r="354" spans="1:60" x14ac:dyDescent="0.3">
      <c r="A354" s="74">
        <v>46297</v>
      </c>
      <c r="B354" s="139">
        <v>0.8125</v>
      </c>
      <c r="C354" s="116">
        <v>300</v>
      </c>
      <c r="D354" s="116">
        <v>1630</v>
      </c>
      <c r="E354" s="116">
        <v>350</v>
      </c>
      <c r="F354" s="116">
        <v>2323</v>
      </c>
      <c r="G354" s="144" t="s">
        <v>100</v>
      </c>
      <c r="H354" s="122">
        <v>9.1999999999999993</v>
      </c>
      <c r="I354" s="116">
        <v>40</v>
      </c>
      <c r="J354" s="10">
        <v>90</v>
      </c>
      <c r="K354" s="116">
        <v>90</v>
      </c>
      <c r="L354" s="116">
        <v>90</v>
      </c>
      <c r="M354" s="122">
        <v>26.2</v>
      </c>
      <c r="N354" s="122">
        <v>6.4</v>
      </c>
      <c r="O354" s="79">
        <v>1.21</v>
      </c>
      <c r="P354" s="116">
        <v>10</v>
      </c>
      <c r="Q354" s="122">
        <v>6.7</v>
      </c>
      <c r="R354" s="10">
        <v>7.0000000000000007E-2</v>
      </c>
      <c r="S354" s="79">
        <v>22.36</v>
      </c>
      <c r="T354" s="79">
        <v>0.88</v>
      </c>
      <c r="U354" s="79">
        <v>0.7</v>
      </c>
      <c r="V354" s="85">
        <f t="shared" si="37"/>
        <v>1733.5387499999999</v>
      </c>
      <c r="W354" s="85">
        <f t="shared" si="38"/>
        <v>1491.1839279999999</v>
      </c>
      <c r="X354" s="85">
        <f t="shared" si="39"/>
        <v>0.86019647844618408</v>
      </c>
      <c r="Y354" s="116">
        <v>3</v>
      </c>
      <c r="Z354" s="116">
        <v>4</v>
      </c>
      <c r="AA354" s="122">
        <v>6.1</v>
      </c>
      <c r="AB354" s="116">
        <v>20</v>
      </c>
      <c r="AC354" s="122">
        <v>6.2</v>
      </c>
      <c r="AD354" s="122">
        <v>5.5</v>
      </c>
      <c r="AE354" s="79">
        <v>0.17</v>
      </c>
      <c r="AF354" s="79">
        <v>0.09</v>
      </c>
      <c r="AG354" s="85">
        <f>(O354+0.3*H354+2)*(F354/2/AK354)</f>
        <v>1733.5387499999999</v>
      </c>
      <c r="AH354" s="85">
        <f t="shared" si="40"/>
        <v>1863.5736287999996</v>
      </c>
      <c r="AI354" s="85">
        <f t="shared" si="41"/>
        <v>1.0750112328322627</v>
      </c>
      <c r="AJ354" s="116">
        <v>3</v>
      </c>
      <c r="AK354" s="116">
        <v>4</v>
      </c>
      <c r="AL354" s="122">
        <v>6.3</v>
      </c>
      <c r="AM354" s="116">
        <v>24</v>
      </c>
      <c r="AN354" s="122">
        <v>6.2</v>
      </c>
      <c r="AO354" s="122">
        <v>5.0999999999999996</v>
      </c>
      <c r="AP354" s="79">
        <v>0.15</v>
      </c>
      <c r="AQ354" s="79">
        <v>0.23</v>
      </c>
      <c r="AR354" s="132">
        <f>SUM(C354:E354)</f>
        <v>2280</v>
      </c>
      <c r="AS354" s="134">
        <f>C354/AR354</f>
        <v>0.13157894736842105</v>
      </c>
      <c r="AT354" s="134">
        <f>D354/AR354</f>
        <v>0.71491228070175439</v>
      </c>
      <c r="AU354" s="134">
        <f>E354/AR354</f>
        <v>0.15350877192982457</v>
      </c>
      <c r="AV354" s="151">
        <f>IF(AND(F354&lt;&gt;"",Z354&lt;&gt;""),AB354/(F354/2/Z354),"")</f>
        <v>6.8876452862677573E-2</v>
      </c>
      <c r="AW354" s="151">
        <f>IF(AND(F354&lt;&gt;"",AK354&lt;&gt;""),AM354/(F354/2/AK354),"")</f>
        <v>8.2651743435213088E-2</v>
      </c>
      <c r="AX354" s="43"/>
      <c r="AY354" s="41"/>
      <c r="AZ354" s="136" t="str">
        <f>IF(Q354="","",IF(Q354&lt;2.5,"Alc. Bruta &lt; 2,5 mg/L",IF(Q354&lt;5,"2,5 ≤ Alc. Bruta &lt; 5,0 mg/L",IF(Q354&lt;7.5,"5,0 ≤ Alc. Bruta &lt; 7,5 mg/L",IF(Q354&lt;10,"7,5 ≤ Alc. Bruta &lt; 10,0 mg/L",IF(Q354&lt;15,"10,0 ≤ Alca. Bruta &lt; 15,0 mg/L","Alc. Bruta &gt; 15 mg/L"))))))</f>
        <v>5,0 ≤ Alc. Bruta &lt; 7,5 mg/L</v>
      </c>
      <c r="BA354" s="136" t="str">
        <f>IF(P354="","",IF(P354&lt;5,"Cor &lt;5 uC",IF(P354&lt;10,"5 ≤ Cor &lt; 10 uC",IF(P354&lt;15,"10 ≤ Cor &lt;15 uC",IF(P354&lt;30,"15 ≤ Cor &lt; 30 uC",IF(P354&lt;50,"30 ≤ Cor &lt; 50 uC","Cor &gt; 50 uC"))))))</f>
        <v>10 ≤ Cor &lt;15 uC</v>
      </c>
      <c r="BB354" s="137" t="str">
        <f>IF(O354="","",IF(O354&lt;2.5,"Turbidez &lt; 2,5 uT",IF(O354&lt;5,"2,5 ≤ Turb &lt; 5,0 uT",IF(O354&lt;7.5,"5,0 ≤ Turb &lt; 7,5 uT",IF(O354&lt;10,"7,5 ≤ Turb &lt; 10,0 uT",IF(O354&lt;15,"10,0 ≤ Turb &lt; 15,0 uT","Turb &gt; 15 uT"))))))</f>
        <v>Turbidez &lt; 2,5 uT</v>
      </c>
      <c r="BC354" s="138" t="str">
        <f>IF(AND(C354&gt;D354,D354&gt;E354),"TOR &gt; SM &gt; BNN",IF(AND(C354&gt;E354,E354&gt;D354),"TOR &gt; BNN &gt; SM",IF(AND(D354&gt;C354,C354&gt;E354),"SM &gt; TOR &gt; BNN",IF(AND(D354&gt;E354,E354&gt;C354),"SM &gt; BNN &gt; TOR",IF(AND(C354=D354,D354=E354),"TOR = SM = BNN","Comb. diferentes")))))</f>
        <v>SM &gt; BNN &gt; TOR</v>
      </c>
      <c r="BD354" s="137" t="str">
        <f>IF(OR(AE354="",AQ354="-"),"",IF(AE354&lt;=0.25,"Tipo 1 (≤0,25) uT",IF(AE354&lt;=0.5,"Tipo 2 (0,25-0,50) uT",IF(AE354&lt;=0.75,"Tipo 3 (0,50-0,75) uT","Tipo 4 (&gt;0,75) uT"))))</f>
        <v>Tipo 1 (≤0,25) uT</v>
      </c>
      <c r="BE354" s="137" t="str">
        <f t="shared" si="35"/>
        <v>Tipo 1 (≤0,25) uT</v>
      </c>
      <c r="BF354" s="137" t="str">
        <f>IF(OR(AF354="",AQ354="-"),"",IF(AF354&lt;=0.25,"Tipo 1 (≤0,25) uT",IF(AF354&lt;=0.5,"Tipo 2 (0,25-0,50) uT",IF(AF354&lt;=0.75,"Tipo 3 (0,50-0,75) uT","Tipo 4 (&gt;0,75) uT"))))</f>
        <v>Tipo 1 (≤0,25) uT</v>
      </c>
      <c r="BG354" s="137" t="str">
        <f t="shared" si="36"/>
        <v>Tipo 1 (≤0,25) uT</v>
      </c>
      <c r="BH354" s="137" t="str">
        <f>IF(OR(R354="",R354="-"),"",IF(R354&lt;=0.25,"Tipo 1 (≤0,25) uT",IF(R354&lt;=0.5,"Tipo 2 (0,25-0,50) uT",IF(R354&lt;=0.75,"Tipo 3 (0,50-0,75) uT","Tipo 4 (&gt;0,75) uT"))))</f>
        <v>Tipo 1 (≤0,25) uT</v>
      </c>
    </row>
    <row r="355" spans="1:60" x14ac:dyDescent="0.3">
      <c r="A355" s="74">
        <v>46297</v>
      </c>
      <c r="B355" s="139">
        <v>0.89583333333333337</v>
      </c>
      <c r="C355" s="116">
        <v>266</v>
      </c>
      <c r="D355" s="116">
        <v>1662</v>
      </c>
      <c r="E355" s="116">
        <v>349</v>
      </c>
      <c r="F355" s="116">
        <v>2366</v>
      </c>
      <c r="G355" s="144" t="s">
        <v>100</v>
      </c>
      <c r="H355" s="122">
        <v>9.1999999999999993</v>
      </c>
      <c r="I355" s="116">
        <v>38</v>
      </c>
      <c r="J355" s="10">
        <v>90</v>
      </c>
      <c r="K355" s="116">
        <v>90</v>
      </c>
      <c r="L355" s="116">
        <v>90</v>
      </c>
      <c r="M355" s="122">
        <v>25.6</v>
      </c>
      <c r="N355" s="122">
        <v>6.4</v>
      </c>
      <c r="O355" s="79">
        <v>1.18</v>
      </c>
      <c r="P355" s="116">
        <v>11</v>
      </c>
      <c r="Q355" s="122">
        <v>7</v>
      </c>
      <c r="R355" s="10">
        <v>7.0000000000000007E-2</v>
      </c>
      <c r="S355" s="79">
        <v>22.36</v>
      </c>
      <c r="T355" s="79">
        <v>0.88</v>
      </c>
      <c r="U355" s="79">
        <v>0.7</v>
      </c>
      <c r="V355" s="85">
        <f t="shared" si="37"/>
        <v>1756.7549999999999</v>
      </c>
      <c r="W355" s="85">
        <f t="shared" si="38"/>
        <v>1491.1839279999999</v>
      </c>
      <c r="X355" s="85">
        <f t="shared" si="39"/>
        <v>0.84882862322862329</v>
      </c>
      <c r="Y355" s="116">
        <v>3</v>
      </c>
      <c r="Z355" s="116">
        <v>4</v>
      </c>
      <c r="AA355" s="122">
        <v>6.1</v>
      </c>
      <c r="AB355" s="116">
        <v>20</v>
      </c>
      <c r="AC355" s="122">
        <v>6.2</v>
      </c>
      <c r="AD355" s="122">
        <v>5.7</v>
      </c>
      <c r="AE355" s="79">
        <v>0.15</v>
      </c>
      <c r="AF355" s="79">
        <v>0.18</v>
      </c>
      <c r="AG355" s="85">
        <f>(O355+0.3*H355+2)*(F355/2/AK355)</f>
        <v>1756.7549999999999</v>
      </c>
      <c r="AH355" s="85">
        <f t="shared" si="40"/>
        <v>1863.5736287999996</v>
      </c>
      <c r="AI355" s="85">
        <f t="shared" si="41"/>
        <v>1.0608045110445108</v>
      </c>
      <c r="AJ355" s="116">
        <v>3</v>
      </c>
      <c r="AK355" s="116">
        <v>4</v>
      </c>
      <c r="AL355" s="122">
        <v>6.3</v>
      </c>
      <c r="AM355" s="116">
        <v>24</v>
      </c>
      <c r="AN355" s="122">
        <v>6.2</v>
      </c>
      <c r="AO355" s="122">
        <v>5.4</v>
      </c>
      <c r="AP355" s="79">
        <v>0.19</v>
      </c>
      <c r="AQ355" s="79">
        <v>0.24</v>
      </c>
      <c r="AR355" s="132">
        <f>SUM(C355:E355)</f>
        <v>2277</v>
      </c>
      <c r="AS355" s="134">
        <f>C355/AR355</f>
        <v>0.11682037768994291</v>
      </c>
      <c r="AT355" s="134">
        <f>D355/AR355</f>
        <v>0.7299077733860343</v>
      </c>
      <c r="AU355" s="134">
        <f>E355/AR355</f>
        <v>0.15327184892402285</v>
      </c>
      <c r="AV355" s="151">
        <f>IF(AND(F355&lt;&gt;"",Z355&lt;&gt;""),AB355/(F355/2/Z355),"")</f>
        <v>6.76246830092984E-2</v>
      </c>
      <c r="AW355" s="151">
        <f>IF(AND(F355&lt;&gt;"",AK355&lt;&gt;""),AM355/(F355/2/AK355),"")</f>
        <v>8.1149619611158075E-2</v>
      </c>
      <c r="AX355" s="43">
        <f>IF(AND(AQ355&lt;&gt;"",1-(AQ355/O355)&gt;0),1-(AQ355/O355),"")</f>
        <v>0.79661016949152541</v>
      </c>
      <c r="AY355" s="41">
        <f>IF(AND(AF355&lt;&gt;"",1-(AF355/O355)&gt;0),1-(AF355/O355),"")</f>
        <v>0.84745762711864403</v>
      </c>
      <c r="AZ355" s="136" t="str">
        <f>IF(Q355="","",IF(Q355&lt;2.5,"Alc. Bruta &lt; 2,5 mg/L",IF(Q355&lt;5,"2,5 ≤ Alc. Bruta &lt; 5,0 mg/L",IF(Q355&lt;7.5,"5,0 ≤ Alc. Bruta &lt; 7,5 mg/L",IF(Q355&lt;10,"7,5 ≤ Alc. Bruta &lt; 10,0 mg/L",IF(Q355&lt;15,"10,0 ≤ Alca. Bruta &lt; 15,0 mg/L","Alc. Bruta &gt; 15 mg/L"))))))</f>
        <v>5,0 ≤ Alc. Bruta &lt; 7,5 mg/L</v>
      </c>
      <c r="BA355" s="136" t="str">
        <f>IF(P355="","",IF(P355&lt;5,"Cor &lt;5 uC",IF(P355&lt;10,"5 ≤ Cor &lt; 10 uC",IF(P355&lt;15,"10 ≤ Cor &lt;15 uC",IF(P355&lt;30,"15 ≤ Cor &lt; 30 uC",IF(P355&lt;50,"30 ≤ Cor &lt; 50 uC","Cor &gt; 50 uC"))))))</f>
        <v>10 ≤ Cor &lt;15 uC</v>
      </c>
      <c r="BB355" s="137" t="str">
        <f>IF(O355="","",IF(O355&lt;2.5,"Turbidez &lt; 2,5 uT",IF(O355&lt;5,"2,5 ≤ Turb &lt; 5,0 uT",IF(O355&lt;7.5,"5,0 ≤ Turb &lt; 7,5 uT",IF(O355&lt;10,"7,5 ≤ Turb &lt; 10,0 uT",IF(O355&lt;15,"10,0 ≤ Turb &lt; 15,0 uT","Turb &gt; 15 uT"))))))</f>
        <v>Turbidez &lt; 2,5 uT</v>
      </c>
      <c r="BC355" s="138" t="str">
        <f>IF(AND(C355&gt;D355,D355&gt;E355),"TOR &gt; SM &gt; BNN",IF(AND(C355&gt;E355,E355&gt;D355),"TOR &gt; BNN &gt; SM",IF(AND(D355&gt;C355,C355&gt;E355),"SM &gt; TOR &gt; BNN",IF(AND(D355&gt;E355,E355&gt;C355),"SM &gt; BNN &gt; TOR",IF(AND(C355=D355,D355=E355),"TOR = SM = BNN","Comb. diferentes")))))</f>
        <v>SM &gt; BNN &gt; TOR</v>
      </c>
      <c r="BD355" s="137" t="str">
        <f>IF(OR(AE355="",AQ355="-"),"",IF(AE355&lt;=0.25,"Tipo 1 (≤0,25) uT",IF(AE355&lt;=0.5,"Tipo 2 (0,25-0,50) uT",IF(AE355&lt;=0.75,"Tipo 3 (0,50-0,75) uT","Tipo 4 (&gt;0,75) uT"))))</f>
        <v>Tipo 1 (≤0,25) uT</v>
      </c>
      <c r="BE355" s="137" t="str">
        <f t="shared" si="35"/>
        <v>Tipo 1 (≤0,25) uT</v>
      </c>
      <c r="BF355" s="137" t="str">
        <f>IF(OR(AF355="",AQ355="-"),"",IF(AF355&lt;=0.25,"Tipo 1 (≤0,25) uT",IF(AF355&lt;=0.5,"Tipo 2 (0,25-0,50) uT",IF(AF355&lt;=0.75,"Tipo 3 (0,50-0,75) uT","Tipo 4 (&gt;0,75) uT"))))</f>
        <v>Tipo 1 (≤0,25) uT</v>
      </c>
      <c r="BG355" s="137" t="str">
        <f t="shared" si="36"/>
        <v>Tipo 1 (≤0,25) uT</v>
      </c>
      <c r="BH355" s="137" t="str">
        <f>IF(OR(R355="",R355="-"),"",IF(R355&lt;=0.25,"Tipo 1 (≤0,25) uT",IF(R355&lt;=0.5,"Tipo 2 (0,25-0,50) uT",IF(R355&lt;=0.75,"Tipo 3 (0,50-0,75) uT","Tipo 4 (&gt;0,75) uT"))))</f>
        <v>Tipo 1 (≤0,25) uT</v>
      </c>
    </row>
    <row r="356" spans="1:60" x14ac:dyDescent="0.3">
      <c r="A356" s="74">
        <v>46298</v>
      </c>
      <c r="B356" s="139">
        <v>6.25E-2</v>
      </c>
      <c r="C356" s="116">
        <v>270</v>
      </c>
      <c r="D356" s="116">
        <v>1640</v>
      </c>
      <c r="E356" s="116">
        <v>350</v>
      </c>
      <c r="F356" s="116">
        <v>2380</v>
      </c>
      <c r="G356" s="144" t="s">
        <v>100</v>
      </c>
      <c r="H356" s="122">
        <v>9.1999999999999993</v>
      </c>
      <c r="I356" s="116">
        <v>36</v>
      </c>
      <c r="J356" s="10">
        <v>90</v>
      </c>
      <c r="K356" s="116">
        <v>90</v>
      </c>
      <c r="L356" s="116">
        <v>90</v>
      </c>
      <c r="M356" s="122">
        <v>25.1</v>
      </c>
      <c r="N356" s="122">
        <v>6.4</v>
      </c>
      <c r="O356" s="79">
        <v>1.24</v>
      </c>
      <c r="P356" s="116">
        <v>9</v>
      </c>
      <c r="Q356" s="122">
        <v>6.6</v>
      </c>
      <c r="R356" s="10">
        <v>0.06</v>
      </c>
      <c r="S356" s="79">
        <v>22.36</v>
      </c>
      <c r="T356" s="79">
        <v>0.88</v>
      </c>
      <c r="U356" s="79">
        <v>0.7</v>
      </c>
      <c r="V356" s="85">
        <f t="shared" si="37"/>
        <v>1785</v>
      </c>
      <c r="W356" s="85">
        <f t="shared" si="38"/>
        <v>1491.1839279999999</v>
      </c>
      <c r="X356" s="85">
        <f t="shared" si="39"/>
        <v>0.83539715854341734</v>
      </c>
      <c r="Y356" s="116">
        <v>3</v>
      </c>
      <c r="Z356" s="116">
        <v>4</v>
      </c>
      <c r="AA356" s="122">
        <v>6.1</v>
      </c>
      <c r="AB356" s="116">
        <v>20</v>
      </c>
      <c r="AC356" s="122">
        <v>6.3</v>
      </c>
      <c r="AD356" s="122">
        <v>5.3</v>
      </c>
      <c r="AE356" s="79">
        <v>0.19</v>
      </c>
      <c r="AF356" s="79">
        <v>0.19</v>
      </c>
      <c r="AG356" s="85">
        <f>(O356+0.3*H356+2)*(F356/2/AK356)</f>
        <v>1785</v>
      </c>
      <c r="AH356" s="85">
        <f t="shared" si="40"/>
        <v>1863.5736287999996</v>
      </c>
      <c r="AI356" s="85">
        <f t="shared" si="41"/>
        <v>1.0440188396638652</v>
      </c>
      <c r="AJ356" s="116">
        <v>3</v>
      </c>
      <c r="AK356" s="116">
        <v>4</v>
      </c>
      <c r="AL356" s="122">
        <v>6.3</v>
      </c>
      <c r="AM356" s="116">
        <v>24</v>
      </c>
      <c r="AN356" s="122">
        <v>6.2</v>
      </c>
      <c r="AO356" s="122">
        <v>4.9000000000000004</v>
      </c>
      <c r="AP356" s="79">
        <v>0.12</v>
      </c>
      <c r="AQ356" s="79">
        <v>0.26</v>
      </c>
      <c r="AR356" s="132">
        <f>SUM(C356:E356)</f>
        <v>2260</v>
      </c>
      <c r="AS356" s="134">
        <f>C356/AR356</f>
        <v>0.11946902654867257</v>
      </c>
      <c r="AT356" s="134">
        <f>D356/AR356</f>
        <v>0.72566371681415931</v>
      </c>
      <c r="AU356" s="134">
        <f>E356/AR356</f>
        <v>0.15486725663716813</v>
      </c>
      <c r="AV356" s="151">
        <f>IF(AND(F356&lt;&gt;"",Z356&lt;&gt;""),AB356/(F356/2/Z356),"")</f>
        <v>6.7226890756302518E-2</v>
      </c>
      <c r="AW356" s="151">
        <f>IF(AND(F356&lt;&gt;"",AK356&lt;&gt;""),AM356/(F356/2/AK356),"")</f>
        <v>8.067226890756303E-2</v>
      </c>
      <c r="AX356" s="43">
        <f>IF(AND(AQ356&lt;&gt;"",1-(AQ356/O356)&gt;0),1-(AQ356/O356),"")</f>
        <v>0.79032258064516125</v>
      </c>
      <c r="AY356" s="41">
        <f>IF(AND(AF356&lt;&gt;"",1-(AF356/O356)&gt;0),1-(AF356/O356),"")</f>
        <v>0.84677419354838712</v>
      </c>
      <c r="AZ356" s="136" t="str">
        <f>IF(Q356="","",IF(Q356&lt;2.5,"Alc. Bruta &lt; 2,5 mg/L",IF(Q356&lt;5,"2,5 ≤ Alc. Bruta &lt; 5,0 mg/L",IF(Q356&lt;7.5,"5,0 ≤ Alc. Bruta &lt; 7,5 mg/L",IF(Q356&lt;10,"7,5 ≤ Alc. Bruta &lt; 10,0 mg/L",IF(Q356&lt;15,"10,0 ≤ Alca. Bruta &lt; 15,0 mg/L","Alc. Bruta &gt; 15 mg/L"))))))</f>
        <v>5,0 ≤ Alc. Bruta &lt; 7,5 mg/L</v>
      </c>
      <c r="BA356" s="136" t="str">
        <f>IF(P356="","",IF(P356&lt;5,"Cor &lt;5 uC",IF(P356&lt;10,"5 ≤ Cor &lt; 10 uC",IF(P356&lt;15,"10 ≤ Cor &lt;15 uC",IF(P356&lt;30,"15 ≤ Cor &lt; 30 uC",IF(P356&lt;50,"30 ≤ Cor &lt; 50 uC","Cor &gt; 50 uC"))))))</f>
        <v>5 ≤ Cor &lt; 10 uC</v>
      </c>
      <c r="BB356" s="137" t="str">
        <f>IF(O356="","",IF(O356&lt;2.5,"Turbidez &lt; 2,5 uT",IF(O356&lt;5,"2,5 ≤ Turb &lt; 5,0 uT",IF(O356&lt;7.5,"5,0 ≤ Turb &lt; 7,5 uT",IF(O356&lt;10,"7,5 ≤ Turb &lt; 10,0 uT",IF(O356&lt;15,"10,0 ≤ Turb &lt; 15,0 uT","Turb &gt; 15 uT"))))))</f>
        <v>Turbidez &lt; 2,5 uT</v>
      </c>
      <c r="BC356" s="138" t="str">
        <f>IF(AND(C356&gt;D356,D356&gt;E356),"TOR &gt; SM &gt; BNN",IF(AND(C356&gt;E356,E356&gt;D356),"TOR &gt; BNN &gt; SM",IF(AND(D356&gt;C356,C356&gt;E356),"SM &gt; TOR &gt; BNN",IF(AND(D356&gt;E356,E356&gt;C356),"SM &gt; BNN &gt; TOR",IF(AND(C356=D356,D356=E356),"TOR = SM = BNN","Comb. diferentes")))))</f>
        <v>SM &gt; BNN &gt; TOR</v>
      </c>
      <c r="BD356" s="137" t="str">
        <f>IF(OR(AE356="",AQ356="-"),"",IF(AE356&lt;=0.25,"Tipo 1 (≤0,25) uT",IF(AE356&lt;=0.5,"Tipo 2 (0,25-0,50) uT",IF(AE356&lt;=0.75,"Tipo 3 (0,50-0,75) uT","Tipo 4 (&gt;0,75) uT"))))</f>
        <v>Tipo 1 (≤0,25) uT</v>
      </c>
      <c r="BE356" s="137" t="str">
        <f t="shared" si="35"/>
        <v>Tipo 1 (≤0,25) uT</v>
      </c>
      <c r="BF356" s="137" t="str">
        <f>IF(OR(AF356="",AQ356="-"),"",IF(AF356&lt;=0.25,"Tipo 1 (≤0,25) uT",IF(AF356&lt;=0.5,"Tipo 2 (0,25-0,50) uT",IF(AF356&lt;=0.75,"Tipo 3 (0,50-0,75) uT","Tipo 4 (&gt;0,75) uT"))))</f>
        <v>Tipo 1 (≤0,25) uT</v>
      </c>
      <c r="BG356" s="137" t="str">
        <f t="shared" si="36"/>
        <v>Tipo 2 (0,25-0,50) uT</v>
      </c>
      <c r="BH356" s="137" t="str">
        <f>IF(OR(R356="",R356="-"),"",IF(R356&lt;=0.25,"Tipo 1 (≤0,25) uT",IF(R356&lt;=0.5,"Tipo 2 (0,25-0,50) uT",IF(R356&lt;=0.75,"Tipo 3 (0,50-0,75) uT","Tipo 4 (&gt;0,75) uT"))))</f>
        <v>Tipo 1 (≤0,25) uT</v>
      </c>
    </row>
    <row r="357" spans="1:60" x14ac:dyDescent="0.3">
      <c r="A357" s="74">
        <v>46298</v>
      </c>
      <c r="B357" s="139">
        <v>0.14583333333333334</v>
      </c>
      <c r="C357" s="116">
        <v>273</v>
      </c>
      <c r="D357" s="116">
        <v>1691</v>
      </c>
      <c r="E357" s="116">
        <v>350</v>
      </c>
      <c r="F357" s="116">
        <v>2627</v>
      </c>
      <c r="G357" s="144" t="s">
        <v>100</v>
      </c>
      <c r="H357" s="122">
        <v>9.1999999999999993</v>
      </c>
      <c r="I357" s="116">
        <v>35</v>
      </c>
      <c r="J357" s="10">
        <v>90</v>
      </c>
      <c r="K357" s="116">
        <v>90</v>
      </c>
      <c r="L357" s="116">
        <v>90</v>
      </c>
      <c r="M357" s="122">
        <v>24.9</v>
      </c>
      <c r="N357" s="122">
        <v>6.4</v>
      </c>
      <c r="O357" s="79">
        <v>1.21</v>
      </c>
      <c r="P357" s="116">
        <v>10</v>
      </c>
      <c r="Q357" s="122">
        <v>6.8</v>
      </c>
      <c r="R357" s="10">
        <v>7.0000000000000007E-2</v>
      </c>
      <c r="S357" s="79">
        <v>22.36</v>
      </c>
      <c r="T357" s="79">
        <v>0.88</v>
      </c>
      <c r="U357" s="79">
        <v>0.7</v>
      </c>
      <c r="V357" s="85">
        <f t="shared" si="37"/>
        <v>1960.3987499999998</v>
      </c>
      <c r="W357" s="85">
        <f t="shared" si="38"/>
        <v>1491.1839279999999</v>
      </c>
      <c r="X357" s="85">
        <f t="shared" si="39"/>
        <v>0.76065337625827401</v>
      </c>
      <c r="Y357" s="116">
        <v>3</v>
      </c>
      <c r="Z357" s="116">
        <v>4</v>
      </c>
      <c r="AA357" s="122">
        <v>6.1</v>
      </c>
      <c r="AB357" s="116">
        <v>20</v>
      </c>
      <c r="AC357" s="122">
        <v>6.2</v>
      </c>
      <c r="AD357" s="122">
        <v>5.2</v>
      </c>
      <c r="AE357" s="79">
        <v>0.17</v>
      </c>
      <c r="AF357" s="79">
        <v>0.15</v>
      </c>
      <c r="AG357" s="85">
        <f>(O357+0.3*H357+2)*(F357/2/AK357)</f>
        <v>1960.3987499999998</v>
      </c>
      <c r="AH357" s="85">
        <f t="shared" si="40"/>
        <v>1863.5736287999996</v>
      </c>
      <c r="AI357" s="85">
        <f t="shared" si="41"/>
        <v>0.95060947615886804</v>
      </c>
      <c r="AJ357" s="116">
        <v>3</v>
      </c>
      <c r="AK357" s="116">
        <v>4</v>
      </c>
      <c r="AL357" s="122">
        <v>6.3</v>
      </c>
      <c r="AM357" s="116">
        <v>24</v>
      </c>
      <c r="AN357" s="122">
        <v>6.2</v>
      </c>
      <c r="AO357" s="122">
        <v>5.0999999999999996</v>
      </c>
      <c r="AP357" s="79">
        <v>0.13</v>
      </c>
      <c r="AQ357" s="79">
        <v>0.25</v>
      </c>
      <c r="AR357" s="132">
        <f>SUM(C357:E357)</f>
        <v>2314</v>
      </c>
      <c r="AS357" s="134">
        <f>C357/AR357</f>
        <v>0.11797752808988764</v>
      </c>
      <c r="AT357" s="134">
        <f>D357/AR357</f>
        <v>0.73076923076923073</v>
      </c>
      <c r="AU357" s="134">
        <f>E357/AR357</f>
        <v>0.15125324114088159</v>
      </c>
      <c r="AV357" s="151">
        <f>IF(AND(F357&lt;&gt;"",Z357&lt;&gt;""),AB357/(F357/2/Z357),"")</f>
        <v>6.0905976398934143E-2</v>
      </c>
      <c r="AW357" s="151">
        <f>IF(AND(F357&lt;&gt;"",AK357&lt;&gt;""),AM357/(F357/2/AK357),"")</f>
        <v>7.3087171678720975E-2</v>
      </c>
      <c r="AX357" s="43">
        <f>IF(AND(AQ357&lt;&gt;"",1-(AQ357/O357)&gt;0),1-(AQ357/O357),"")</f>
        <v>0.79338842975206614</v>
      </c>
      <c r="AY357" s="41">
        <f>IF(AND(AF357&lt;&gt;"",1-(AF357/O357)&gt;0),1-(AF357/O357),"")</f>
        <v>0.87603305785123964</v>
      </c>
      <c r="AZ357" s="136" t="str">
        <f>IF(Q357="","",IF(Q357&lt;2.5,"Alc. Bruta &lt; 2,5 mg/L",IF(Q357&lt;5,"2,5 ≤ Alc. Bruta &lt; 5,0 mg/L",IF(Q357&lt;7.5,"5,0 ≤ Alc. Bruta &lt; 7,5 mg/L",IF(Q357&lt;10,"7,5 ≤ Alc. Bruta &lt; 10,0 mg/L",IF(Q357&lt;15,"10,0 ≤ Alca. Bruta &lt; 15,0 mg/L","Alc. Bruta &gt; 15 mg/L"))))))</f>
        <v>5,0 ≤ Alc. Bruta &lt; 7,5 mg/L</v>
      </c>
      <c r="BA357" s="136" t="str">
        <f>IF(P357="","",IF(P357&lt;5,"Cor &lt;5 uC",IF(P357&lt;10,"5 ≤ Cor &lt; 10 uC",IF(P357&lt;15,"10 ≤ Cor &lt;15 uC",IF(P357&lt;30,"15 ≤ Cor &lt; 30 uC",IF(P357&lt;50,"30 ≤ Cor &lt; 50 uC","Cor &gt; 50 uC"))))))</f>
        <v>10 ≤ Cor &lt;15 uC</v>
      </c>
      <c r="BB357" s="137" t="str">
        <f>IF(O357="","",IF(O357&lt;2.5,"Turbidez &lt; 2,5 uT",IF(O357&lt;5,"2,5 ≤ Turb &lt; 5,0 uT",IF(O357&lt;7.5,"5,0 ≤ Turb &lt; 7,5 uT",IF(O357&lt;10,"7,5 ≤ Turb &lt; 10,0 uT",IF(O357&lt;15,"10,0 ≤ Turb &lt; 15,0 uT","Turb &gt; 15 uT"))))))</f>
        <v>Turbidez &lt; 2,5 uT</v>
      </c>
      <c r="BC357" s="138" t="str">
        <f>IF(AND(C357&gt;D357,D357&gt;E357),"TOR &gt; SM &gt; BNN",IF(AND(C357&gt;E357,E357&gt;D357),"TOR &gt; BNN &gt; SM",IF(AND(D357&gt;C357,C357&gt;E357),"SM &gt; TOR &gt; BNN",IF(AND(D357&gt;E357,E357&gt;C357),"SM &gt; BNN &gt; TOR",IF(AND(C357=D357,D357=E357),"TOR = SM = BNN","Comb. diferentes")))))</f>
        <v>SM &gt; BNN &gt; TOR</v>
      </c>
      <c r="BD357" s="137" t="str">
        <f>IF(OR(AE357="",AQ357="-"),"",IF(AE357&lt;=0.25,"Tipo 1 (≤0,25) uT",IF(AE357&lt;=0.5,"Tipo 2 (0,25-0,50) uT",IF(AE357&lt;=0.75,"Tipo 3 (0,50-0,75) uT","Tipo 4 (&gt;0,75) uT"))))</f>
        <v>Tipo 1 (≤0,25) uT</v>
      </c>
      <c r="BE357" s="137" t="str">
        <f t="shared" si="35"/>
        <v>Tipo 1 (≤0,25) uT</v>
      </c>
      <c r="BF357" s="137" t="str">
        <f>IF(OR(AF357="",AQ357="-"),"",IF(AF357&lt;=0.25,"Tipo 1 (≤0,25) uT",IF(AF357&lt;=0.5,"Tipo 2 (0,25-0,50) uT",IF(AF357&lt;=0.75,"Tipo 3 (0,50-0,75) uT","Tipo 4 (&gt;0,75) uT"))))</f>
        <v>Tipo 1 (≤0,25) uT</v>
      </c>
      <c r="BG357" s="137" t="str">
        <f t="shared" si="36"/>
        <v>Tipo 1 (≤0,25) uT</v>
      </c>
      <c r="BH357" s="137" t="str">
        <f>IF(OR(R357="",R357="-"),"",IF(R357&lt;=0.25,"Tipo 1 (≤0,25) uT",IF(R357&lt;=0.5,"Tipo 2 (0,25-0,50) uT",IF(R357&lt;=0.75,"Tipo 3 (0,50-0,75) uT","Tipo 4 (&gt;0,75) uT"))))</f>
        <v>Tipo 1 (≤0,25) uT</v>
      </c>
    </row>
    <row r="358" spans="1:60" ht="15" thickBot="1" x14ac:dyDescent="0.35">
      <c r="A358" s="75">
        <v>46298</v>
      </c>
      <c r="B358" s="140">
        <v>0.22916666666666666</v>
      </c>
      <c r="C358" s="117">
        <v>274</v>
      </c>
      <c r="D358" s="117">
        <v>1708</v>
      </c>
      <c r="E358" s="117">
        <v>349</v>
      </c>
      <c r="F358" s="117">
        <v>2331</v>
      </c>
      <c r="G358" s="145" t="s">
        <v>100</v>
      </c>
      <c r="H358" s="123">
        <v>9.1999999999999993</v>
      </c>
      <c r="I358" s="117">
        <v>34</v>
      </c>
      <c r="J358" s="11">
        <v>90</v>
      </c>
      <c r="K358" s="117">
        <v>90</v>
      </c>
      <c r="L358" s="117">
        <v>90</v>
      </c>
      <c r="M358" s="123">
        <v>24.9</v>
      </c>
      <c r="N358" s="123">
        <v>6.4</v>
      </c>
      <c r="O358" s="80">
        <v>1.1599999999999999</v>
      </c>
      <c r="P358" s="117">
        <v>10</v>
      </c>
      <c r="Q358" s="123">
        <v>6.7</v>
      </c>
      <c r="R358" s="11">
        <v>0.06</v>
      </c>
      <c r="S358" s="79">
        <v>22.36</v>
      </c>
      <c r="T358" s="79">
        <v>0.88</v>
      </c>
      <c r="U358" s="79">
        <v>0.7</v>
      </c>
      <c r="V358" s="85">
        <f t="shared" si="37"/>
        <v>1724.94</v>
      </c>
      <c r="W358" s="85">
        <f t="shared" si="38"/>
        <v>1491.1839279999999</v>
      </c>
      <c r="X358" s="85">
        <f t="shared" si="39"/>
        <v>0.86448452004127674</v>
      </c>
      <c r="Y358" s="117">
        <v>3</v>
      </c>
      <c r="Z358" s="117">
        <v>4</v>
      </c>
      <c r="AA358" s="123">
        <v>6.1</v>
      </c>
      <c r="AB358" s="117">
        <v>20</v>
      </c>
      <c r="AC358" s="123">
        <v>6.2</v>
      </c>
      <c r="AD358" s="123">
        <v>5.4</v>
      </c>
      <c r="AE358" s="80">
        <v>0.19</v>
      </c>
      <c r="AF358" s="80">
        <v>0.14000000000000001</v>
      </c>
      <c r="AG358" s="85">
        <f>(O358+0.3*H358+2)*(F358/2/AK358)</f>
        <v>1724.94</v>
      </c>
      <c r="AH358" s="85">
        <f t="shared" si="40"/>
        <v>1863.5736287999996</v>
      </c>
      <c r="AI358" s="85">
        <f t="shared" si="41"/>
        <v>1.080370116525792</v>
      </c>
      <c r="AJ358" s="117">
        <v>3</v>
      </c>
      <c r="AK358" s="117">
        <v>4</v>
      </c>
      <c r="AL358" s="123">
        <v>6.3</v>
      </c>
      <c r="AM358" s="117">
        <v>24</v>
      </c>
      <c r="AN358" s="123">
        <v>6.2</v>
      </c>
      <c r="AO358" s="123">
        <v>5.3</v>
      </c>
      <c r="AP358" s="80">
        <v>0.16</v>
      </c>
      <c r="AQ358" s="80">
        <v>0.21</v>
      </c>
      <c r="AR358" s="132">
        <f>SUM(C358:E358)</f>
        <v>2331</v>
      </c>
      <c r="AS358" s="134">
        <f>C358/AR358</f>
        <v>0.11754611754611755</v>
      </c>
      <c r="AT358" s="134">
        <f>D358/AR358</f>
        <v>0.73273273273273276</v>
      </c>
      <c r="AU358" s="134">
        <f>E358/AR358</f>
        <v>0.14972114972114972</v>
      </c>
      <c r="AV358" s="151">
        <f>IF(AND(F358&lt;&gt;"",Z358&lt;&gt;""),AB358/(F358/2/Z358),"")</f>
        <v>6.8640068640068636E-2</v>
      </c>
      <c r="AW358" s="151">
        <f>IF(AND(F358&lt;&gt;"",AK358&lt;&gt;""),AM358/(F358/2/AK358),"")</f>
        <v>8.2368082368082365E-2</v>
      </c>
      <c r="AX358" s="43">
        <f>IF(AND(AQ358&lt;&gt;"",1-(AQ358/O358)&gt;0),1-(AQ358/O358),"")</f>
        <v>0.81896551724137934</v>
      </c>
      <c r="AY358" s="41">
        <f>IF(AND(AF358&lt;&gt;"",1-(AF358/O358)&gt;0),1-(AF358/O358),"")</f>
        <v>0.87931034482758619</v>
      </c>
      <c r="AZ358" s="136" t="str">
        <f>IF(Q358="","",IF(Q358&lt;2.5,"Alc. Bruta &lt; 2,5 mg/L",IF(Q358&lt;5,"2,5 ≤ Alc. Bruta &lt; 5,0 mg/L",IF(Q358&lt;7.5,"5,0 ≤ Alc. Bruta &lt; 7,5 mg/L",IF(Q358&lt;10,"7,5 ≤ Alc. Bruta &lt; 10,0 mg/L",IF(Q358&lt;15,"10,0 ≤ Alca. Bruta &lt; 15,0 mg/L","Alc. Bruta &gt; 15 mg/L"))))))</f>
        <v>5,0 ≤ Alc. Bruta &lt; 7,5 mg/L</v>
      </c>
      <c r="BA358" s="136" t="str">
        <f>IF(P358="","",IF(P358&lt;5,"Cor &lt;5 uC",IF(P358&lt;10,"5 ≤ Cor &lt; 10 uC",IF(P358&lt;15,"10 ≤ Cor &lt;15 uC",IF(P358&lt;30,"15 ≤ Cor &lt; 30 uC",IF(P358&lt;50,"30 ≤ Cor &lt; 50 uC","Cor &gt; 50 uC"))))))</f>
        <v>10 ≤ Cor &lt;15 uC</v>
      </c>
      <c r="BB358" s="137" t="str">
        <f>IF(O358="","",IF(O358&lt;2.5,"Turbidez &lt; 2,5 uT",IF(O358&lt;5,"2,5 ≤ Turb &lt; 5,0 uT",IF(O358&lt;7.5,"5,0 ≤ Turb &lt; 7,5 uT",IF(O358&lt;10,"7,5 ≤ Turb &lt; 10,0 uT",IF(O358&lt;15,"10,0 ≤ Turb &lt; 15,0 uT","Turb &gt; 15 uT"))))))</f>
        <v>Turbidez &lt; 2,5 uT</v>
      </c>
      <c r="BC358" s="138" t="str">
        <f>IF(AND(C358&gt;D358,D358&gt;E358),"TOR &gt; SM &gt; BNN",IF(AND(C358&gt;E358,E358&gt;D358),"TOR &gt; BNN &gt; SM",IF(AND(D358&gt;C358,C358&gt;E358),"SM &gt; TOR &gt; BNN",IF(AND(D358&gt;E358,E358&gt;C358),"SM &gt; BNN &gt; TOR",IF(AND(C358=D358,D358=E358),"TOR = SM = BNN","Comb. diferentes")))))</f>
        <v>SM &gt; BNN &gt; TOR</v>
      </c>
      <c r="BD358" s="137" t="str">
        <f>IF(OR(AE358="",AQ358="-"),"",IF(AE358&lt;=0.25,"Tipo 1 (≤0,25) uT",IF(AE358&lt;=0.5,"Tipo 2 (0,25-0,50) uT",IF(AE358&lt;=0.75,"Tipo 3 (0,50-0,75) uT","Tipo 4 (&gt;0,75) uT"))))</f>
        <v>Tipo 1 (≤0,25) uT</v>
      </c>
      <c r="BE358" s="137" t="str">
        <f t="shared" si="35"/>
        <v>Tipo 1 (≤0,25) uT</v>
      </c>
      <c r="BF358" s="137" t="str">
        <f>IF(OR(AF358="",AQ358="-"),"",IF(AF358&lt;=0.25,"Tipo 1 (≤0,25) uT",IF(AF358&lt;=0.5,"Tipo 2 (0,25-0,50) uT",IF(AF358&lt;=0.75,"Tipo 3 (0,50-0,75) uT","Tipo 4 (&gt;0,75) uT"))))</f>
        <v>Tipo 1 (≤0,25) uT</v>
      </c>
      <c r="BG358" s="137" t="str">
        <f t="shared" si="36"/>
        <v>Tipo 1 (≤0,25) uT</v>
      </c>
      <c r="BH358" s="137" t="str">
        <f>IF(OR(R358="",R358="-"),"",IF(R358&lt;=0.25,"Tipo 1 (≤0,25) uT",IF(R358&lt;=0.5,"Tipo 2 (0,25-0,50) uT",IF(R358&lt;=0.75,"Tipo 3 (0,50-0,75) uT","Tipo 4 (&gt;0,75) uT"))))</f>
        <v>Tipo 1 (≤0,25) uT</v>
      </c>
    </row>
    <row r="359" spans="1:60" x14ac:dyDescent="0.3">
      <c r="A359" s="73">
        <v>46298</v>
      </c>
      <c r="B359" s="141">
        <v>0.3125</v>
      </c>
      <c r="C359" s="118">
        <v>286</v>
      </c>
      <c r="D359" s="118">
        <v>1705</v>
      </c>
      <c r="E359" s="118">
        <v>348</v>
      </c>
      <c r="F359" s="118">
        <v>2324</v>
      </c>
      <c r="G359" s="146" t="s">
        <v>100</v>
      </c>
      <c r="H359" s="124">
        <v>9.1999999999999993</v>
      </c>
      <c r="I359" s="118">
        <v>34</v>
      </c>
      <c r="J359" s="9">
        <v>90</v>
      </c>
      <c r="K359" s="118">
        <v>90</v>
      </c>
      <c r="L359" s="118">
        <v>90</v>
      </c>
      <c r="M359" s="124">
        <v>24.4</v>
      </c>
      <c r="N359" s="124">
        <v>6.4</v>
      </c>
      <c r="O359" s="81">
        <v>1.22</v>
      </c>
      <c r="P359" s="118">
        <v>10</v>
      </c>
      <c r="Q359" s="124">
        <v>7.6</v>
      </c>
      <c r="R359" s="9">
        <v>0.06</v>
      </c>
      <c r="S359" s="79">
        <v>22.36</v>
      </c>
      <c r="T359" s="79">
        <v>0.88</v>
      </c>
      <c r="U359" s="79">
        <v>0.7</v>
      </c>
      <c r="V359" s="85">
        <f t="shared" si="37"/>
        <v>1737.1899999999998</v>
      </c>
      <c r="W359" s="85">
        <f t="shared" si="38"/>
        <v>1565.7431243999997</v>
      </c>
      <c r="X359" s="85">
        <f t="shared" si="39"/>
        <v>0.90130793085385008</v>
      </c>
      <c r="Y359" s="118">
        <v>3</v>
      </c>
      <c r="Z359" s="118">
        <v>4</v>
      </c>
      <c r="AA359" s="124">
        <v>6.1</v>
      </c>
      <c r="AB359" s="118">
        <v>21</v>
      </c>
      <c r="AC359" s="124">
        <v>6</v>
      </c>
      <c r="AD359" s="124">
        <v>4.9000000000000004</v>
      </c>
      <c r="AE359" s="81">
        <v>0.12</v>
      </c>
      <c r="AF359" s="81">
        <v>0.16</v>
      </c>
      <c r="AG359" s="85">
        <f>(O359+0.3*H359+2)*(F359/2/AK359)</f>
        <v>1737.1899999999998</v>
      </c>
      <c r="AH359" s="85">
        <f t="shared" si="40"/>
        <v>1979.8438399999998</v>
      </c>
      <c r="AI359" s="85">
        <f t="shared" si="41"/>
        <v>1.1396818079772506</v>
      </c>
      <c r="AJ359" s="118">
        <v>3</v>
      </c>
      <c r="AK359" s="118">
        <v>4</v>
      </c>
      <c r="AL359" s="124">
        <v>6.4</v>
      </c>
      <c r="AM359" s="118">
        <v>25</v>
      </c>
      <c r="AN359" s="124">
        <v>4.8</v>
      </c>
      <c r="AO359" s="124">
        <v>6.2</v>
      </c>
      <c r="AP359" s="81">
        <v>0.17</v>
      </c>
      <c r="AQ359" s="81">
        <v>0.28000000000000003</v>
      </c>
      <c r="AR359" s="132">
        <f>SUM(C359:E359)</f>
        <v>2339</v>
      </c>
      <c r="AS359" s="134">
        <f>C359/AR359</f>
        <v>0.12227447627191107</v>
      </c>
      <c r="AT359" s="134">
        <f>D359/AR359</f>
        <v>0.72894399315946989</v>
      </c>
      <c r="AU359" s="134">
        <f>E359/AR359</f>
        <v>0.14878153056861906</v>
      </c>
      <c r="AV359" s="151">
        <f>IF(AND(F359&lt;&gt;"",Z359&lt;&gt;""),AB359/(F359/2/Z359),"")</f>
        <v>7.2289156626506021E-2</v>
      </c>
      <c r="AW359" s="151">
        <f>IF(AND(F359&lt;&gt;"",AK359&lt;&gt;""),AM359/(F359/2/AK359),"")</f>
        <v>8.6058519793459548E-2</v>
      </c>
      <c r="AX359" s="43">
        <f>IF(AND(AQ359&lt;&gt;"",1-(AQ359/O359)&gt;0),1-(AQ359/O359),"")</f>
        <v>0.77049180327868849</v>
      </c>
      <c r="AY359" s="41">
        <f>IF(AND(AF359&lt;&gt;"",1-(AF359/O359)&gt;0),1-(AF359/O359),"")</f>
        <v>0.86885245901639341</v>
      </c>
      <c r="AZ359" s="136" t="str">
        <f>IF(Q359="","",IF(Q359&lt;2.5,"Alc. Bruta &lt; 2,5 mg/L",IF(Q359&lt;5,"2,5 ≤ Alc. Bruta &lt; 5,0 mg/L",IF(Q359&lt;7.5,"5,0 ≤ Alc. Bruta &lt; 7,5 mg/L",IF(Q359&lt;10,"7,5 ≤ Alc. Bruta &lt; 10,0 mg/L",IF(Q359&lt;15,"10,0 ≤ Alca. Bruta &lt; 15,0 mg/L","Alc. Bruta &gt; 15 mg/L"))))))</f>
        <v>7,5 ≤ Alc. Bruta &lt; 10,0 mg/L</v>
      </c>
      <c r="BA359" s="136" t="str">
        <f>IF(P359="","",IF(P359&lt;5,"Cor &lt;5 uC",IF(P359&lt;10,"5 ≤ Cor &lt; 10 uC",IF(P359&lt;15,"10 ≤ Cor &lt;15 uC",IF(P359&lt;30,"15 ≤ Cor &lt; 30 uC",IF(P359&lt;50,"30 ≤ Cor &lt; 50 uC","Cor &gt; 50 uC"))))))</f>
        <v>10 ≤ Cor &lt;15 uC</v>
      </c>
      <c r="BB359" s="137" t="str">
        <f>IF(O359="","",IF(O359&lt;2.5,"Turbidez &lt; 2,5 uT",IF(O359&lt;5,"2,5 ≤ Turb &lt; 5,0 uT",IF(O359&lt;7.5,"5,0 ≤ Turb &lt; 7,5 uT",IF(O359&lt;10,"7,5 ≤ Turb &lt; 10,0 uT",IF(O359&lt;15,"10,0 ≤ Turb &lt; 15,0 uT","Turb &gt; 15 uT"))))))</f>
        <v>Turbidez &lt; 2,5 uT</v>
      </c>
      <c r="BC359" s="138" t="str">
        <f>IF(AND(C359&gt;D359,D359&gt;E359),"TOR &gt; SM &gt; BNN",IF(AND(C359&gt;E359,E359&gt;D359),"TOR &gt; BNN &gt; SM",IF(AND(D359&gt;C359,C359&gt;E359),"SM &gt; TOR &gt; BNN",IF(AND(D359&gt;E359,E359&gt;C359),"SM &gt; BNN &gt; TOR",IF(AND(C359=D359,D359=E359),"TOR = SM = BNN","Comb. diferentes")))))</f>
        <v>SM &gt; BNN &gt; TOR</v>
      </c>
      <c r="BD359" s="137" t="str">
        <f>IF(OR(AE359="",AQ359="-"),"",IF(AE359&lt;=0.25,"Tipo 1 (≤0,25) uT",IF(AE359&lt;=0.5,"Tipo 2 (0,25-0,50) uT",IF(AE359&lt;=0.75,"Tipo 3 (0,50-0,75) uT","Tipo 4 (&gt;0,75) uT"))))</f>
        <v>Tipo 1 (≤0,25) uT</v>
      </c>
      <c r="BE359" s="137" t="str">
        <f t="shared" si="35"/>
        <v>Tipo 1 (≤0,25) uT</v>
      </c>
      <c r="BF359" s="137" t="str">
        <f>IF(OR(AF359="",AQ359="-"),"",IF(AF359&lt;=0.25,"Tipo 1 (≤0,25) uT",IF(AF359&lt;=0.5,"Tipo 2 (0,25-0,50) uT",IF(AF359&lt;=0.75,"Tipo 3 (0,50-0,75) uT","Tipo 4 (&gt;0,75) uT"))))</f>
        <v>Tipo 1 (≤0,25) uT</v>
      </c>
      <c r="BG359" s="137" t="str">
        <f t="shared" si="36"/>
        <v>Tipo 2 (0,25-0,50) uT</v>
      </c>
      <c r="BH359" s="137" t="str">
        <f>IF(OR(R359="",R359="-"),"",IF(R359&lt;=0.25,"Tipo 1 (≤0,25) uT",IF(R359&lt;=0.5,"Tipo 2 (0,25-0,50) uT",IF(R359&lt;=0.75,"Tipo 3 (0,50-0,75) uT","Tipo 4 (&gt;0,75) uT"))))</f>
        <v>Tipo 1 (≤0,25) uT</v>
      </c>
    </row>
    <row r="360" spans="1:60" x14ac:dyDescent="0.3">
      <c r="A360" s="74">
        <v>46298</v>
      </c>
      <c r="B360" s="139">
        <v>0.47916666666666669</v>
      </c>
      <c r="C360" s="116">
        <v>283</v>
      </c>
      <c r="D360" s="116">
        <v>1677</v>
      </c>
      <c r="E360" s="116">
        <v>349</v>
      </c>
      <c r="F360" s="116">
        <v>2317</v>
      </c>
      <c r="G360" s="144" t="s">
        <v>100</v>
      </c>
      <c r="H360" s="122">
        <v>9.1999999999999993</v>
      </c>
      <c r="I360" s="116">
        <v>35</v>
      </c>
      <c r="J360" s="10">
        <v>90</v>
      </c>
      <c r="K360" s="116">
        <v>90</v>
      </c>
      <c r="L360" s="116">
        <v>90</v>
      </c>
      <c r="M360" s="122">
        <v>24.3</v>
      </c>
      <c r="N360" s="122">
        <v>6.4</v>
      </c>
      <c r="O360" s="79">
        <v>1.23</v>
      </c>
      <c r="P360" s="116">
        <v>10</v>
      </c>
      <c r="Q360" s="122">
        <v>6.4</v>
      </c>
      <c r="R360" s="10">
        <v>0.06</v>
      </c>
      <c r="S360" s="79">
        <v>22.36</v>
      </c>
      <c r="T360" s="79">
        <v>0.88</v>
      </c>
      <c r="U360" s="79">
        <v>0.7</v>
      </c>
      <c r="V360" s="85">
        <f t="shared" si="37"/>
        <v>1734.85375</v>
      </c>
      <c r="W360" s="85">
        <f t="shared" si="38"/>
        <v>1565.7431243999997</v>
      </c>
      <c r="X360" s="85">
        <f t="shared" si="39"/>
        <v>0.90252168195734062</v>
      </c>
      <c r="Y360" s="116">
        <v>3</v>
      </c>
      <c r="Z360" s="116">
        <v>4</v>
      </c>
      <c r="AA360" s="122">
        <v>6.1</v>
      </c>
      <c r="AB360" s="116">
        <v>21</v>
      </c>
      <c r="AC360" s="122">
        <v>6.1</v>
      </c>
      <c r="AD360" s="122">
        <v>3.4</v>
      </c>
      <c r="AE360" s="79">
        <v>0.12</v>
      </c>
      <c r="AF360" s="79">
        <v>0.16</v>
      </c>
      <c r="AG360" s="85">
        <f>(O360+0.3*H360+2)*(F360/2/AK360)</f>
        <v>1734.85375</v>
      </c>
      <c r="AH360" s="85">
        <f t="shared" si="40"/>
        <v>1979.8438399999998</v>
      </c>
      <c r="AI360" s="85">
        <f t="shared" si="41"/>
        <v>1.1412165665261407</v>
      </c>
      <c r="AJ360" s="116">
        <v>3</v>
      </c>
      <c r="AK360" s="116">
        <v>4</v>
      </c>
      <c r="AL360" s="122">
        <v>6.4</v>
      </c>
      <c r="AM360" s="116">
        <v>25</v>
      </c>
      <c r="AN360" s="122">
        <v>6</v>
      </c>
      <c r="AO360" s="122">
        <v>4.7</v>
      </c>
      <c r="AP360" s="79">
        <v>0.09</v>
      </c>
      <c r="AQ360" s="79">
        <v>0.09</v>
      </c>
      <c r="AR360" s="132">
        <f>SUM(C360:E360)</f>
        <v>2309</v>
      </c>
      <c r="AS360" s="134">
        <f>C360/AR360</f>
        <v>0.12256388046773495</v>
      </c>
      <c r="AT360" s="134">
        <f>D360/AR360</f>
        <v>0.72628843655262021</v>
      </c>
      <c r="AU360" s="134">
        <f>E360/AR360</f>
        <v>0.15114768297964487</v>
      </c>
      <c r="AV360" s="151">
        <f>IF(AND(F360&lt;&gt;"",Z360&lt;&gt;""),AB360/(F360/2/Z360),"")</f>
        <v>7.2507552870090641E-2</v>
      </c>
      <c r="AW360" s="151">
        <f>IF(AND(F360&lt;&gt;"",AK360&lt;&gt;""),AM360/(F360/2/AK360),"")</f>
        <v>8.6318515321536476E-2</v>
      </c>
      <c r="AX360" s="43">
        <f>IF(AND(AQ360&lt;&gt;"",1-(AQ360/O360)&gt;0),1-(AQ360/O360),"")</f>
        <v>0.92682926829268297</v>
      </c>
      <c r="AY360" s="41">
        <f>IF(AND(AF360&lt;&gt;"",1-(AF360/O360)&gt;0),1-(AF360/O360),"")</f>
        <v>0.86991869918699183</v>
      </c>
      <c r="AZ360" s="136" t="str">
        <f>IF(Q360="","",IF(Q360&lt;2.5,"Alc. Bruta &lt; 2,5 mg/L",IF(Q360&lt;5,"2,5 ≤ Alc. Bruta &lt; 5,0 mg/L",IF(Q360&lt;7.5,"5,0 ≤ Alc. Bruta &lt; 7,5 mg/L",IF(Q360&lt;10,"7,5 ≤ Alc. Bruta &lt; 10,0 mg/L",IF(Q360&lt;15,"10,0 ≤ Alca. Bruta &lt; 15,0 mg/L","Alc. Bruta &gt; 15 mg/L"))))))</f>
        <v>5,0 ≤ Alc. Bruta &lt; 7,5 mg/L</v>
      </c>
      <c r="BA360" s="136" t="str">
        <f>IF(P360="","",IF(P360&lt;5,"Cor &lt;5 uC",IF(P360&lt;10,"5 ≤ Cor &lt; 10 uC",IF(P360&lt;15,"10 ≤ Cor &lt;15 uC",IF(P360&lt;30,"15 ≤ Cor &lt; 30 uC",IF(P360&lt;50,"30 ≤ Cor &lt; 50 uC","Cor &gt; 50 uC"))))))</f>
        <v>10 ≤ Cor &lt;15 uC</v>
      </c>
      <c r="BB360" s="137" t="str">
        <f>IF(O360="","",IF(O360&lt;2.5,"Turbidez &lt; 2,5 uT",IF(O360&lt;5,"2,5 ≤ Turb &lt; 5,0 uT",IF(O360&lt;7.5,"5,0 ≤ Turb &lt; 7,5 uT",IF(O360&lt;10,"7,5 ≤ Turb &lt; 10,0 uT",IF(O360&lt;15,"10,0 ≤ Turb &lt; 15,0 uT","Turb &gt; 15 uT"))))))</f>
        <v>Turbidez &lt; 2,5 uT</v>
      </c>
      <c r="BC360" s="138" t="str">
        <f>IF(AND(C360&gt;D360,D360&gt;E360),"TOR &gt; SM &gt; BNN",IF(AND(C360&gt;E360,E360&gt;D360),"TOR &gt; BNN &gt; SM",IF(AND(D360&gt;C360,C360&gt;E360),"SM &gt; TOR &gt; BNN",IF(AND(D360&gt;E360,E360&gt;C360),"SM &gt; BNN &gt; TOR",IF(AND(C360=D360,D360=E360),"TOR = SM = BNN","Comb. diferentes")))))</f>
        <v>SM &gt; BNN &gt; TOR</v>
      </c>
      <c r="BD360" s="137" t="str">
        <f>IF(OR(AE360="",AQ360="-"),"",IF(AE360&lt;=0.25,"Tipo 1 (≤0,25) uT",IF(AE360&lt;=0.5,"Tipo 2 (0,25-0,50) uT",IF(AE360&lt;=0.75,"Tipo 3 (0,50-0,75) uT","Tipo 4 (&gt;0,75) uT"))))</f>
        <v>Tipo 1 (≤0,25) uT</v>
      </c>
      <c r="BE360" s="137" t="str">
        <f t="shared" si="35"/>
        <v>Tipo 1 (≤0,25) uT</v>
      </c>
      <c r="BF360" s="137" t="str">
        <f>IF(OR(AF360="",AQ360="-"),"",IF(AF360&lt;=0.25,"Tipo 1 (≤0,25) uT",IF(AF360&lt;=0.5,"Tipo 2 (0,25-0,50) uT",IF(AF360&lt;=0.75,"Tipo 3 (0,50-0,75) uT","Tipo 4 (&gt;0,75) uT"))))</f>
        <v>Tipo 1 (≤0,25) uT</v>
      </c>
      <c r="BG360" s="137" t="str">
        <f t="shared" si="36"/>
        <v>Tipo 1 (≤0,25) uT</v>
      </c>
      <c r="BH360" s="137" t="str">
        <f>IF(OR(R360="",R360="-"),"",IF(R360&lt;=0.25,"Tipo 1 (≤0,25) uT",IF(R360&lt;=0.5,"Tipo 2 (0,25-0,50) uT",IF(R360&lt;=0.75,"Tipo 3 (0,50-0,75) uT","Tipo 4 (&gt;0,75) uT"))))</f>
        <v>Tipo 1 (≤0,25) uT</v>
      </c>
    </row>
    <row r="361" spans="1:60" x14ac:dyDescent="0.3">
      <c r="A361" s="74">
        <v>46298</v>
      </c>
      <c r="B361" s="139">
        <v>0.64583333333333337</v>
      </c>
      <c r="C361" s="116">
        <v>279</v>
      </c>
      <c r="D361" s="116">
        <v>1648</v>
      </c>
      <c r="E361" s="116">
        <v>351</v>
      </c>
      <c r="F361" s="116">
        <v>2363</v>
      </c>
      <c r="G361" s="144" t="s">
        <v>100</v>
      </c>
      <c r="H361" s="122">
        <v>9.1999999999999993</v>
      </c>
      <c r="I361" s="116">
        <v>36</v>
      </c>
      <c r="J361" s="10">
        <v>90</v>
      </c>
      <c r="K361" s="116">
        <v>90</v>
      </c>
      <c r="L361" s="116">
        <v>90</v>
      </c>
      <c r="M361" s="122">
        <v>25</v>
      </c>
      <c r="N361" s="122">
        <v>6.3</v>
      </c>
      <c r="O361" s="79">
        <v>1.0900000000000001</v>
      </c>
      <c r="P361" s="116">
        <v>9</v>
      </c>
      <c r="Q361" s="122">
        <v>6.5</v>
      </c>
      <c r="R361" s="10">
        <v>7.0000000000000007E-2</v>
      </c>
      <c r="S361" s="79">
        <v>22.36</v>
      </c>
      <c r="T361" s="79">
        <v>0.88</v>
      </c>
      <c r="U361" s="79">
        <v>0.7</v>
      </c>
      <c r="V361" s="85">
        <f t="shared" si="37"/>
        <v>1727.9437499999999</v>
      </c>
      <c r="W361" s="85">
        <f t="shared" si="38"/>
        <v>1533.3012239999998</v>
      </c>
      <c r="X361" s="85">
        <f t="shared" si="39"/>
        <v>0.8873559825081111</v>
      </c>
      <c r="Y361" s="116">
        <v>3</v>
      </c>
      <c r="Z361" s="116">
        <v>4</v>
      </c>
      <c r="AA361" s="122">
        <v>6</v>
      </c>
      <c r="AB361" s="116">
        <v>21</v>
      </c>
      <c r="AC361" s="122">
        <v>6.2</v>
      </c>
      <c r="AD361" s="122">
        <v>4.5999999999999996</v>
      </c>
      <c r="AE361" s="79">
        <v>0.06</v>
      </c>
      <c r="AF361" s="79">
        <v>0.15</v>
      </c>
      <c r="AG361" s="85">
        <f>(O361+0.3*H361+2)*(F361/2/AK361)</f>
        <v>1727.9437499999999</v>
      </c>
      <c r="AH361" s="85">
        <f t="shared" si="40"/>
        <v>1979.8438399999998</v>
      </c>
      <c r="AI361" s="85">
        <f t="shared" si="41"/>
        <v>1.1457802604974843</v>
      </c>
      <c r="AJ361" s="116">
        <v>3</v>
      </c>
      <c r="AK361" s="116">
        <v>4</v>
      </c>
      <c r="AL361" s="122">
        <v>6.4</v>
      </c>
      <c r="AM361" s="116">
        <v>25</v>
      </c>
      <c r="AN361" s="122">
        <v>6.2</v>
      </c>
      <c r="AO361" s="122">
        <v>4.4000000000000004</v>
      </c>
      <c r="AP361" s="79">
        <v>0.18</v>
      </c>
      <c r="AQ361" s="79">
        <v>0.31</v>
      </c>
      <c r="AR361" s="132">
        <f>SUM(C361:E361)</f>
        <v>2278</v>
      </c>
      <c r="AS361" s="134">
        <f>C361/AR361</f>
        <v>0.12247585601404741</v>
      </c>
      <c r="AT361" s="134">
        <f>D361/AR361</f>
        <v>0.72344161545215102</v>
      </c>
      <c r="AU361" s="134">
        <f>E361/AR361</f>
        <v>0.15408252853380158</v>
      </c>
      <c r="AV361" s="151">
        <f>IF(AND(F361&lt;&gt;"",Z361&lt;&gt;""),AB361/(F361/2/Z361),"")</f>
        <v>7.1096064325010574E-2</v>
      </c>
      <c r="AW361" s="151">
        <f>IF(AND(F361&lt;&gt;"",AK361&lt;&gt;""),AM361/(F361/2/AK361),"")</f>
        <v>8.4638171815488786E-2</v>
      </c>
      <c r="AX361" s="43">
        <f>IF(AND(AQ361&lt;&gt;"",1-(AQ361/O361)&gt;0),1-(AQ361/O361),"")</f>
        <v>0.7155963302752294</v>
      </c>
      <c r="AY361" s="41">
        <f>IF(AND(AF361&lt;&gt;"",1-(AF361/O361)&gt;0),1-(AF361/O361),"")</f>
        <v>0.86238532110091748</v>
      </c>
      <c r="AZ361" s="136" t="str">
        <f>IF(Q361="","",IF(Q361&lt;2.5,"Alc. Bruta &lt; 2,5 mg/L",IF(Q361&lt;5,"2,5 ≤ Alc. Bruta &lt; 5,0 mg/L",IF(Q361&lt;7.5,"5,0 ≤ Alc. Bruta &lt; 7,5 mg/L",IF(Q361&lt;10,"7,5 ≤ Alc. Bruta &lt; 10,0 mg/L",IF(Q361&lt;15,"10,0 ≤ Alca. Bruta &lt; 15,0 mg/L","Alc. Bruta &gt; 15 mg/L"))))))</f>
        <v>5,0 ≤ Alc. Bruta &lt; 7,5 mg/L</v>
      </c>
      <c r="BA361" s="136" t="str">
        <f>IF(P361="","",IF(P361&lt;5,"Cor &lt;5 uC",IF(P361&lt;10,"5 ≤ Cor &lt; 10 uC",IF(P361&lt;15,"10 ≤ Cor &lt;15 uC",IF(P361&lt;30,"15 ≤ Cor &lt; 30 uC",IF(P361&lt;50,"30 ≤ Cor &lt; 50 uC","Cor &gt; 50 uC"))))))</f>
        <v>5 ≤ Cor &lt; 10 uC</v>
      </c>
      <c r="BB361" s="137" t="str">
        <f>IF(O361="","",IF(O361&lt;2.5,"Turbidez &lt; 2,5 uT",IF(O361&lt;5,"2,5 ≤ Turb &lt; 5,0 uT",IF(O361&lt;7.5,"5,0 ≤ Turb &lt; 7,5 uT",IF(O361&lt;10,"7,5 ≤ Turb &lt; 10,0 uT",IF(O361&lt;15,"10,0 ≤ Turb &lt; 15,0 uT","Turb &gt; 15 uT"))))))</f>
        <v>Turbidez &lt; 2,5 uT</v>
      </c>
      <c r="BC361" s="138" t="str">
        <f>IF(AND(C361&gt;D361,D361&gt;E361),"TOR &gt; SM &gt; BNN",IF(AND(C361&gt;E361,E361&gt;D361),"TOR &gt; BNN &gt; SM",IF(AND(D361&gt;C361,C361&gt;E361),"SM &gt; TOR &gt; BNN",IF(AND(D361&gt;E361,E361&gt;C361),"SM &gt; BNN &gt; TOR",IF(AND(C361=D361,D361=E361),"TOR = SM = BNN","Comb. diferentes")))))</f>
        <v>SM &gt; BNN &gt; TOR</v>
      </c>
      <c r="BD361" s="137" t="str">
        <f>IF(OR(AE361="",AQ361="-"),"",IF(AE361&lt;=0.25,"Tipo 1 (≤0,25) uT",IF(AE361&lt;=0.5,"Tipo 2 (0,25-0,50) uT",IF(AE361&lt;=0.75,"Tipo 3 (0,50-0,75) uT","Tipo 4 (&gt;0,75) uT"))))</f>
        <v>Tipo 1 (≤0,25) uT</v>
      </c>
      <c r="BE361" s="137" t="str">
        <f t="shared" si="35"/>
        <v>Tipo 1 (≤0,25) uT</v>
      </c>
      <c r="BF361" s="137" t="str">
        <f>IF(OR(AF361="",AQ361="-"),"",IF(AF361&lt;=0.25,"Tipo 1 (≤0,25) uT",IF(AF361&lt;=0.5,"Tipo 2 (0,25-0,50) uT",IF(AF361&lt;=0.75,"Tipo 3 (0,50-0,75) uT","Tipo 4 (&gt;0,75) uT"))))</f>
        <v>Tipo 1 (≤0,25) uT</v>
      </c>
      <c r="BG361" s="137" t="str">
        <f t="shared" si="36"/>
        <v>Tipo 2 (0,25-0,50) uT</v>
      </c>
      <c r="BH361" s="137" t="str">
        <f>IF(OR(R361="",R361="-"),"",IF(R361&lt;=0.25,"Tipo 1 (≤0,25) uT",IF(R361&lt;=0.5,"Tipo 2 (0,25-0,50) uT",IF(R361&lt;=0.75,"Tipo 3 (0,50-0,75) uT","Tipo 4 (&gt;0,75) uT"))))</f>
        <v>Tipo 1 (≤0,25) uT</v>
      </c>
    </row>
    <row r="362" spans="1:60" x14ac:dyDescent="0.3">
      <c r="A362" s="74">
        <v>46298</v>
      </c>
      <c r="B362" s="139">
        <v>0.72916666666666663</v>
      </c>
      <c r="C362" s="116">
        <v>275</v>
      </c>
      <c r="D362" s="116">
        <v>1683</v>
      </c>
      <c r="E362" s="116">
        <v>350</v>
      </c>
      <c r="F362" s="116">
        <v>2388</v>
      </c>
      <c r="G362" s="144" t="s">
        <v>100</v>
      </c>
      <c r="H362" s="122">
        <v>9.1999999999999993</v>
      </c>
      <c r="I362" s="116">
        <v>37</v>
      </c>
      <c r="J362" s="10">
        <v>90</v>
      </c>
      <c r="K362" s="116">
        <v>90</v>
      </c>
      <c r="L362" s="116">
        <v>90</v>
      </c>
      <c r="M362" s="122">
        <v>24.9</v>
      </c>
      <c r="N362" s="122">
        <v>6.2</v>
      </c>
      <c r="O362" s="79">
        <v>1.1399999999999999</v>
      </c>
      <c r="P362" s="116">
        <v>9</v>
      </c>
      <c r="Q362" s="122">
        <v>6.7</v>
      </c>
      <c r="R362" s="10">
        <v>7.0000000000000007E-2</v>
      </c>
      <c r="S362" s="79">
        <v>22.36</v>
      </c>
      <c r="T362" s="79">
        <v>0.88</v>
      </c>
      <c r="U362" s="79">
        <v>0.7</v>
      </c>
      <c r="V362" s="85">
        <f t="shared" si="37"/>
        <v>1761.1499999999999</v>
      </c>
      <c r="W362" s="85">
        <f t="shared" si="38"/>
        <v>1533.3012239999998</v>
      </c>
      <c r="X362" s="85">
        <f t="shared" si="39"/>
        <v>0.87062500298100665</v>
      </c>
      <c r="Y362" s="116">
        <v>3</v>
      </c>
      <c r="Z362" s="116">
        <v>4</v>
      </c>
      <c r="AA362" s="122">
        <v>6</v>
      </c>
      <c r="AB362" s="116">
        <v>21</v>
      </c>
      <c r="AC362" s="122">
        <v>6.1</v>
      </c>
      <c r="AD362" s="122">
        <v>4.2</v>
      </c>
      <c r="AE362" s="79">
        <v>0.13</v>
      </c>
      <c r="AF362" s="79">
        <v>0.16</v>
      </c>
      <c r="AG362" s="85">
        <f>(O362+0.3*H362+2)*(F362/2/AK362)</f>
        <v>1761.1499999999999</v>
      </c>
      <c r="AH362" s="85">
        <f t="shared" si="40"/>
        <v>1979.8438399999998</v>
      </c>
      <c r="AI362" s="85">
        <f t="shared" si="41"/>
        <v>1.124176725435085</v>
      </c>
      <c r="AJ362" s="116">
        <v>3</v>
      </c>
      <c r="AK362" s="116">
        <v>4</v>
      </c>
      <c r="AL362" s="122">
        <v>6.4</v>
      </c>
      <c r="AM362" s="116">
        <v>25</v>
      </c>
      <c r="AN362" s="122">
        <v>6.2</v>
      </c>
      <c r="AO362" s="122">
        <v>4.7</v>
      </c>
      <c r="AP362" s="79">
        <v>0.09</v>
      </c>
      <c r="AQ362" s="79">
        <v>0.35</v>
      </c>
      <c r="AR362" s="132">
        <f>SUM(C362:E362)</f>
        <v>2308</v>
      </c>
      <c r="AS362" s="134">
        <f>C362/AR362</f>
        <v>0.11915077989601386</v>
      </c>
      <c r="AT362" s="134">
        <f>D362/AR362</f>
        <v>0.72920277296360481</v>
      </c>
      <c r="AU362" s="134">
        <f>E362/AR362</f>
        <v>0.15164644714038128</v>
      </c>
      <c r="AV362" s="151">
        <f>IF(AND(F362&lt;&gt;"",Z362&lt;&gt;""),AB362/(F362/2/Z362),"")</f>
        <v>7.0351758793969849E-2</v>
      </c>
      <c r="AW362" s="151">
        <f>IF(AND(F362&lt;&gt;"",AK362&lt;&gt;""),AM362/(F362/2/AK362),"")</f>
        <v>8.3752093802345065E-2</v>
      </c>
      <c r="AX362" s="43">
        <f>IF(AND(AQ362&lt;&gt;"",1-(AQ362/O362)&gt;0),1-(AQ362/O362),"")</f>
        <v>0.69298245614035081</v>
      </c>
      <c r="AY362" s="41">
        <f>IF(AND(AF362&lt;&gt;"",1-(AF362/O362)&gt;0),1-(AF362/O362),"")</f>
        <v>0.85964912280701755</v>
      </c>
      <c r="AZ362" s="136" t="str">
        <f>IF(Q362="","",IF(Q362&lt;2.5,"Alc. Bruta &lt; 2,5 mg/L",IF(Q362&lt;5,"2,5 ≤ Alc. Bruta &lt; 5,0 mg/L",IF(Q362&lt;7.5,"5,0 ≤ Alc. Bruta &lt; 7,5 mg/L",IF(Q362&lt;10,"7,5 ≤ Alc. Bruta &lt; 10,0 mg/L",IF(Q362&lt;15,"10,0 ≤ Alca. Bruta &lt; 15,0 mg/L","Alc. Bruta &gt; 15 mg/L"))))))</f>
        <v>5,0 ≤ Alc. Bruta &lt; 7,5 mg/L</v>
      </c>
      <c r="BA362" s="136" t="str">
        <f>IF(P362="","",IF(P362&lt;5,"Cor &lt;5 uC",IF(P362&lt;10,"5 ≤ Cor &lt; 10 uC",IF(P362&lt;15,"10 ≤ Cor &lt;15 uC",IF(P362&lt;30,"15 ≤ Cor &lt; 30 uC",IF(P362&lt;50,"30 ≤ Cor &lt; 50 uC","Cor &gt; 50 uC"))))))</f>
        <v>5 ≤ Cor &lt; 10 uC</v>
      </c>
      <c r="BB362" s="137" t="str">
        <f>IF(O362="","",IF(O362&lt;2.5,"Turbidez &lt; 2,5 uT",IF(O362&lt;5,"2,5 ≤ Turb &lt; 5,0 uT",IF(O362&lt;7.5,"5,0 ≤ Turb &lt; 7,5 uT",IF(O362&lt;10,"7,5 ≤ Turb &lt; 10,0 uT",IF(O362&lt;15,"10,0 ≤ Turb &lt; 15,0 uT","Turb &gt; 15 uT"))))))</f>
        <v>Turbidez &lt; 2,5 uT</v>
      </c>
      <c r="BC362" s="138" t="str">
        <f>IF(AND(C362&gt;D362,D362&gt;E362),"TOR &gt; SM &gt; BNN",IF(AND(C362&gt;E362,E362&gt;D362),"TOR &gt; BNN &gt; SM",IF(AND(D362&gt;C362,C362&gt;E362),"SM &gt; TOR &gt; BNN",IF(AND(D362&gt;E362,E362&gt;C362),"SM &gt; BNN &gt; TOR",IF(AND(C362=D362,D362=E362),"TOR = SM = BNN","Comb. diferentes")))))</f>
        <v>SM &gt; BNN &gt; TOR</v>
      </c>
      <c r="BD362" s="137" t="str">
        <f>IF(OR(AE362="",AQ362="-"),"",IF(AE362&lt;=0.25,"Tipo 1 (≤0,25) uT",IF(AE362&lt;=0.5,"Tipo 2 (0,25-0,50) uT",IF(AE362&lt;=0.75,"Tipo 3 (0,50-0,75) uT","Tipo 4 (&gt;0,75) uT"))))</f>
        <v>Tipo 1 (≤0,25) uT</v>
      </c>
      <c r="BE362" s="137" t="str">
        <f t="shared" si="35"/>
        <v>Tipo 1 (≤0,25) uT</v>
      </c>
      <c r="BF362" s="137" t="str">
        <f>IF(OR(AF362="",AQ362="-"),"",IF(AF362&lt;=0.25,"Tipo 1 (≤0,25) uT",IF(AF362&lt;=0.5,"Tipo 2 (0,25-0,50) uT",IF(AF362&lt;=0.75,"Tipo 3 (0,50-0,75) uT","Tipo 4 (&gt;0,75) uT"))))</f>
        <v>Tipo 1 (≤0,25) uT</v>
      </c>
      <c r="BG362" s="137" t="str">
        <f t="shared" si="36"/>
        <v>Tipo 2 (0,25-0,50) uT</v>
      </c>
      <c r="BH362" s="137" t="str">
        <f>IF(OR(R362="",R362="-"),"",IF(R362&lt;=0.25,"Tipo 1 (≤0,25) uT",IF(R362&lt;=0.5,"Tipo 2 (0,25-0,50) uT",IF(R362&lt;=0.75,"Tipo 3 (0,50-0,75) uT","Tipo 4 (&gt;0,75) uT"))))</f>
        <v>Tipo 1 (≤0,25) uT</v>
      </c>
    </row>
    <row r="363" spans="1:60" x14ac:dyDescent="0.3">
      <c r="A363" s="74">
        <v>46298</v>
      </c>
      <c r="B363" s="139">
        <v>0.8125</v>
      </c>
      <c r="C363" s="116">
        <v>483</v>
      </c>
      <c r="D363" s="116">
        <v>1030</v>
      </c>
      <c r="E363" s="116">
        <v>400</v>
      </c>
      <c r="F363" s="116">
        <v>1967</v>
      </c>
      <c r="G363" s="144" t="s">
        <v>100</v>
      </c>
      <c r="H363" s="122">
        <v>9.5</v>
      </c>
      <c r="I363" s="116">
        <v>36</v>
      </c>
      <c r="J363" s="10">
        <v>90</v>
      </c>
      <c r="K363" s="116">
        <v>90</v>
      </c>
      <c r="L363" s="116">
        <v>90</v>
      </c>
      <c r="M363" s="122">
        <v>24.7</v>
      </c>
      <c r="N363" s="122">
        <v>6.5</v>
      </c>
      <c r="O363" s="79">
        <v>1.08</v>
      </c>
      <c r="P363" s="116">
        <v>14</v>
      </c>
      <c r="Q363" s="122">
        <v>7.1</v>
      </c>
      <c r="R363" s="10">
        <v>7.0000000000000007E-2</v>
      </c>
      <c r="S363" s="79">
        <v>22.36</v>
      </c>
      <c r="T363" s="79">
        <v>0.88</v>
      </c>
      <c r="U363" s="79">
        <v>0.7</v>
      </c>
      <c r="V363" s="85">
        <f t="shared" si="37"/>
        <v>1458.0387499999999</v>
      </c>
      <c r="W363" s="85">
        <f t="shared" si="38"/>
        <v>1598.1850248000001</v>
      </c>
      <c r="X363" s="85">
        <f t="shared" si="39"/>
        <v>1.0961197189032186</v>
      </c>
      <c r="Y363" s="116">
        <v>2</v>
      </c>
      <c r="Z363" s="116">
        <v>4</v>
      </c>
      <c r="AA363" s="122">
        <v>6.2</v>
      </c>
      <c r="AB363" s="116">
        <v>21</v>
      </c>
      <c r="AC363" s="122">
        <v>6</v>
      </c>
      <c r="AD363" s="122">
        <v>4.2</v>
      </c>
      <c r="AE363" s="79">
        <v>0.1</v>
      </c>
      <c r="AF363" s="79">
        <v>0.15</v>
      </c>
      <c r="AG363" s="85">
        <f>(O363+0.3*H363+2)*(F363/2/AK363)</f>
        <v>1944.0516666666665</v>
      </c>
      <c r="AH363" s="85">
        <f t="shared" si="40"/>
        <v>1900.6500864</v>
      </c>
      <c r="AI363" s="85">
        <f t="shared" si="41"/>
        <v>0.977674677576299</v>
      </c>
      <c r="AJ363" s="116">
        <v>2</v>
      </c>
      <c r="AK363" s="116">
        <v>3</v>
      </c>
      <c r="AL363" s="122">
        <v>6.4</v>
      </c>
      <c r="AM363" s="116">
        <v>24</v>
      </c>
      <c r="AN363" s="122">
        <v>5.9</v>
      </c>
      <c r="AO363" s="122">
        <v>3.9</v>
      </c>
      <c r="AP363" s="79">
        <v>0.13</v>
      </c>
      <c r="AQ363" s="79">
        <v>0.21</v>
      </c>
      <c r="AR363" s="132">
        <f>SUM(C363:E363)</f>
        <v>1913</v>
      </c>
      <c r="AS363" s="134">
        <f>C363/AR363</f>
        <v>0.25248301097752224</v>
      </c>
      <c r="AT363" s="134">
        <f>D363/AR363</f>
        <v>0.538421327757449</v>
      </c>
      <c r="AU363" s="134">
        <f>E363/AR363</f>
        <v>0.20909566126502874</v>
      </c>
      <c r="AV363" s="151">
        <f>IF(AND(F363&lt;&gt;"",Z363&lt;&gt;""),AB363/(F363/2/Z363),"")</f>
        <v>8.5409252669039148E-2</v>
      </c>
      <c r="AW363" s="151">
        <f>IF(AND(F363&lt;&gt;"",AK363&lt;&gt;""),AM363/(F363/2/AK363),"")</f>
        <v>7.3207930859176415E-2</v>
      </c>
      <c r="AX363" s="43">
        <f>IF(AND(AQ363&lt;&gt;"",1-(AQ363/O363)&gt;0),1-(AQ363/O363),"")</f>
        <v>0.80555555555555558</v>
      </c>
      <c r="AY363" s="41">
        <f>IF(AND(AF363&lt;&gt;"",1-(AF363/O363)&gt;0),1-(AF363/O363),"")</f>
        <v>0.86111111111111116</v>
      </c>
      <c r="AZ363" s="136" t="str">
        <f>IF(Q363="","",IF(Q363&lt;2.5,"Alc. Bruta &lt; 2,5 mg/L",IF(Q363&lt;5,"2,5 ≤ Alc. Bruta &lt; 5,0 mg/L",IF(Q363&lt;7.5,"5,0 ≤ Alc. Bruta &lt; 7,5 mg/L",IF(Q363&lt;10,"7,5 ≤ Alc. Bruta &lt; 10,0 mg/L",IF(Q363&lt;15,"10,0 ≤ Alca. Bruta &lt; 15,0 mg/L","Alc. Bruta &gt; 15 mg/L"))))))</f>
        <v>5,0 ≤ Alc. Bruta &lt; 7,5 mg/L</v>
      </c>
      <c r="BA363" s="136" t="str">
        <f>IF(P363="","",IF(P363&lt;5,"Cor &lt;5 uC",IF(P363&lt;10,"5 ≤ Cor &lt; 10 uC",IF(P363&lt;15,"10 ≤ Cor &lt;15 uC",IF(P363&lt;30,"15 ≤ Cor &lt; 30 uC",IF(P363&lt;50,"30 ≤ Cor &lt; 50 uC","Cor &gt; 50 uC"))))))</f>
        <v>10 ≤ Cor &lt;15 uC</v>
      </c>
      <c r="BB363" s="137" t="str">
        <f>IF(O363="","",IF(O363&lt;2.5,"Turbidez &lt; 2,5 uT",IF(O363&lt;5,"2,5 ≤ Turb &lt; 5,0 uT",IF(O363&lt;7.5,"5,0 ≤ Turb &lt; 7,5 uT",IF(O363&lt;10,"7,5 ≤ Turb &lt; 10,0 uT",IF(O363&lt;15,"10,0 ≤ Turb &lt; 15,0 uT","Turb &gt; 15 uT"))))))</f>
        <v>Turbidez &lt; 2,5 uT</v>
      </c>
      <c r="BC363" s="138" t="str">
        <f>IF(AND(C363&gt;D363,D363&gt;E363),"TOR &gt; SM &gt; BNN",IF(AND(C363&gt;E363,E363&gt;D363),"TOR &gt; BNN &gt; SM",IF(AND(D363&gt;C363,C363&gt;E363),"SM &gt; TOR &gt; BNN",IF(AND(D363&gt;E363,E363&gt;C363),"SM &gt; BNN &gt; TOR",IF(AND(C363=D363,D363=E363),"TOR = SM = BNN","Comb. diferentes")))))</f>
        <v>SM &gt; TOR &gt; BNN</v>
      </c>
      <c r="BD363" s="137" t="str">
        <f>IF(OR(AE363="",AQ363="-"),"",IF(AE363&lt;=0.25,"Tipo 1 (≤0,25) uT",IF(AE363&lt;=0.5,"Tipo 2 (0,25-0,50) uT",IF(AE363&lt;=0.75,"Tipo 3 (0,50-0,75) uT","Tipo 4 (&gt;0,75) uT"))))</f>
        <v>Tipo 1 (≤0,25) uT</v>
      </c>
      <c r="BE363" s="137" t="str">
        <f t="shared" si="35"/>
        <v>Tipo 1 (≤0,25) uT</v>
      </c>
      <c r="BF363" s="137" t="str">
        <f>IF(OR(AF363="",AQ363="-"),"",IF(AF363&lt;=0.25,"Tipo 1 (≤0,25) uT",IF(AF363&lt;=0.5,"Tipo 2 (0,25-0,50) uT",IF(AF363&lt;=0.75,"Tipo 3 (0,50-0,75) uT","Tipo 4 (&gt;0,75) uT"))))</f>
        <v>Tipo 1 (≤0,25) uT</v>
      </c>
      <c r="BG363" s="137" t="str">
        <f t="shared" si="36"/>
        <v>Tipo 1 (≤0,25) uT</v>
      </c>
      <c r="BH363" s="137" t="str">
        <f>IF(OR(R363="",R363="-"),"",IF(R363&lt;=0.25,"Tipo 1 (≤0,25) uT",IF(R363&lt;=0.5,"Tipo 2 (0,25-0,50) uT",IF(R363&lt;=0.75,"Tipo 3 (0,50-0,75) uT","Tipo 4 (&gt;0,75) uT"))))</f>
        <v>Tipo 1 (≤0,25) uT</v>
      </c>
    </row>
    <row r="364" spans="1:60" x14ac:dyDescent="0.3">
      <c r="A364" s="74">
        <v>46298</v>
      </c>
      <c r="B364" s="139">
        <v>0.89583333333333337</v>
      </c>
      <c r="C364" s="116">
        <v>460</v>
      </c>
      <c r="D364" s="116">
        <v>1021</v>
      </c>
      <c r="E364" s="116">
        <v>408</v>
      </c>
      <c r="F364" s="116">
        <v>1973</v>
      </c>
      <c r="G364" s="144" t="s">
        <v>100</v>
      </c>
      <c r="H364" s="122">
        <v>9.5</v>
      </c>
      <c r="I364" s="116">
        <v>35</v>
      </c>
      <c r="J364" s="10">
        <v>90</v>
      </c>
      <c r="K364" s="116">
        <v>90</v>
      </c>
      <c r="L364" s="116">
        <v>90</v>
      </c>
      <c r="M364" s="122">
        <v>24.4</v>
      </c>
      <c r="N364" s="122">
        <v>6.6</v>
      </c>
      <c r="O364" s="79">
        <v>1.19</v>
      </c>
      <c r="P364" s="116">
        <v>14</v>
      </c>
      <c r="Q364" s="122">
        <v>7.9</v>
      </c>
      <c r="R364" s="10">
        <v>0.06</v>
      </c>
      <c r="S364" s="79">
        <v>22.36</v>
      </c>
      <c r="T364" s="79">
        <v>0.88</v>
      </c>
      <c r="U364" s="79">
        <v>0.7</v>
      </c>
      <c r="V364" s="85">
        <f t="shared" si="37"/>
        <v>1489.615</v>
      </c>
      <c r="W364" s="85">
        <f t="shared" si="38"/>
        <v>1598.1850248000001</v>
      </c>
      <c r="X364" s="85">
        <f t="shared" si="39"/>
        <v>1.072884621059804</v>
      </c>
      <c r="Y364" s="116">
        <v>2</v>
      </c>
      <c r="Z364" s="116">
        <v>4</v>
      </c>
      <c r="AA364" s="122">
        <v>6.2</v>
      </c>
      <c r="AB364" s="116">
        <v>21</v>
      </c>
      <c r="AC364" s="122">
        <v>6.2</v>
      </c>
      <c r="AD364" s="122">
        <v>4.5999999999999996</v>
      </c>
      <c r="AE364" s="79">
        <v>0.16</v>
      </c>
      <c r="AF364" s="79">
        <v>1.6E-2</v>
      </c>
      <c r="AG364" s="85">
        <f>(O364+0.3*H364+2)*(F364/2/AK364)</f>
        <v>2979.23</v>
      </c>
      <c r="AH364" s="85">
        <f t="shared" si="40"/>
        <v>1863.5736287999996</v>
      </c>
      <c r="AI364" s="85">
        <f t="shared" si="41"/>
        <v>0.62552190626437021</v>
      </c>
      <c r="AJ364" s="116">
        <v>1</v>
      </c>
      <c r="AK364" s="116">
        <v>2</v>
      </c>
      <c r="AL364" s="122">
        <v>6.3</v>
      </c>
      <c r="AM364" s="116">
        <v>24</v>
      </c>
      <c r="AN364" s="122">
        <v>6.2</v>
      </c>
      <c r="AO364" s="122">
        <v>4.8</v>
      </c>
      <c r="AP364" s="79">
        <v>0.19</v>
      </c>
      <c r="AQ364" s="79">
        <v>0.2</v>
      </c>
      <c r="AR364" s="132">
        <f>SUM(C364:E364)</f>
        <v>1889</v>
      </c>
      <c r="AS364" s="134">
        <f>C364/AR364</f>
        <v>0.24351508734780308</v>
      </c>
      <c r="AT364" s="134">
        <f>D364/AR364</f>
        <v>0.54049761778718897</v>
      </c>
      <c r="AU364" s="134">
        <f>E364/AR364</f>
        <v>0.21598729486500795</v>
      </c>
      <c r="AV364" s="151">
        <f>IF(AND(F364&lt;&gt;"",Z364&lt;&gt;""),AB364/(F364/2/Z364),"")</f>
        <v>8.5149518499746585E-2</v>
      </c>
      <c r="AW364" s="151">
        <f>IF(AND(F364&lt;&gt;"",AK364&lt;&gt;""),AM364/(F364/2/AK364),"")</f>
        <v>4.8656867714140906E-2</v>
      </c>
      <c r="AX364" s="43">
        <f>IF(AND(AQ364&lt;&gt;"",1-(AQ364/O364)&gt;0),1-(AQ364/O364),"")</f>
        <v>0.83193277310924363</v>
      </c>
      <c r="AY364" s="41">
        <f>IF(AND(AF364&lt;&gt;"",1-(AF364/O364)&gt;0),1-(AF364/O364),"")</f>
        <v>0.98655462184873954</v>
      </c>
      <c r="AZ364" s="136" t="str">
        <f>IF(Q364="","",IF(Q364&lt;2.5,"Alc. Bruta &lt; 2,5 mg/L",IF(Q364&lt;5,"2,5 ≤ Alc. Bruta &lt; 5,0 mg/L",IF(Q364&lt;7.5,"5,0 ≤ Alc. Bruta &lt; 7,5 mg/L",IF(Q364&lt;10,"7,5 ≤ Alc. Bruta &lt; 10,0 mg/L",IF(Q364&lt;15,"10,0 ≤ Alca. Bruta &lt; 15,0 mg/L","Alc. Bruta &gt; 15 mg/L"))))))</f>
        <v>7,5 ≤ Alc. Bruta &lt; 10,0 mg/L</v>
      </c>
      <c r="BA364" s="136" t="str">
        <f>IF(P364="","",IF(P364&lt;5,"Cor &lt;5 uC",IF(P364&lt;10,"5 ≤ Cor &lt; 10 uC",IF(P364&lt;15,"10 ≤ Cor &lt;15 uC",IF(P364&lt;30,"15 ≤ Cor &lt; 30 uC",IF(P364&lt;50,"30 ≤ Cor &lt; 50 uC","Cor &gt; 50 uC"))))))</f>
        <v>10 ≤ Cor &lt;15 uC</v>
      </c>
      <c r="BB364" s="137" t="str">
        <f>IF(O364="","",IF(O364&lt;2.5,"Turbidez &lt; 2,5 uT",IF(O364&lt;5,"2,5 ≤ Turb &lt; 5,0 uT",IF(O364&lt;7.5,"5,0 ≤ Turb &lt; 7,5 uT",IF(O364&lt;10,"7,5 ≤ Turb &lt; 10,0 uT",IF(O364&lt;15,"10,0 ≤ Turb &lt; 15,0 uT","Turb &gt; 15 uT"))))))</f>
        <v>Turbidez &lt; 2,5 uT</v>
      </c>
      <c r="BC364" s="138" t="str">
        <f>IF(AND(C364&gt;D364,D364&gt;E364),"TOR &gt; SM &gt; BNN",IF(AND(C364&gt;E364,E364&gt;D364),"TOR &gt; BNN &gt; SM",IF(AND(D364&gt;C364,C364&gt;E364),"SM &gt; TOR &gt; BNN",IF(AND(D364&gt;E364,E364&gt;C364),"SM &gt; BNN &gt; TOR",IF(AND(C364=D364,D364=E364),"TOR = SM = BNN","Comb. diferentes")))))</f>
        <v>SM &gt; TOR &gt; BNN</v>
      </c>
      <c r="BD364" s="137" t="str">
        <f>IF(OR(AE364="",AQ364="-"),"",IF(AE364&lt;=0.25,"Tipo 1 (≤0,25) uT",IF(AE364&lt;=0.5,"Tipo 2 (0,25-0,50) uT",IF(AE364&lt;=0.75,"Tipo 3 (0,50-0,75) uT","Tipo 4 (&gt;0,75) uT"))))</f>
        <v>Tipo 1 (≤0,25) uT</v>
      </c>
      <c r="BE364" s="137" t="str">
        <f t="shared" si="35"/>
        <v>Tipo 1 (≤0,25) uT</v>
      </c>
      <c r="BF364" s="137" t="str">
        <f>IF(OR(AF364="",AQ364="-"),"",IF(AF364&lt;=0.25,"Tipo 1 (≤0,25) uT",IF(AF364&lt;=0.5,"Tipo 2 (0,25-0,50) uT",IF(AF364&lt;=0.75,"Tipo 3 (0,50-0,75) uT","Tipo 4 (&gt;0,75) uT"))))</f>
        <v>Tipo 1 (≤0,25) uT</v>
      </c>
      <c r="BG364" s="137" t="str">
        <f t="shared" si="36"/>
        <v>Tipo 1 (≤0,25) uT</v>
      </c>
      <c r="BH364" s="137" t="str">
        <f>IF(OR(R364="",R364="-"),"",IF(R364&lt;=0.25,"Tipo 1 (≤0,25) uT",IF(R364&lt;=0.5,"Tipo 2 (0,25-0,50) uT",IF(R364&lt;=0.75,"Tipo 3 (0,50-0,75) uT","Tipo 4 (&gt;0,75) uT"))))</f>
        <v>Tipo 1 (≤0,25) uT</v>
      </c>
    </row>
    <row r="365" spans="1:60" x14ac:dyDescent="0.3">
      <c r="A365" s="74">
        <v>46299</v>
      </c>
      <c r="B365" s="139">
        <v>6.25E-2</v>
      </c>
      <c r="C365" s="116">
        <v>0</v>
      </c>
      <c r="D365" s="116">
        <v>1011</v>
      </c>
      <c r="E365" s="116">
        <v>257</v>
      </c>
      <c r="F365" s="116">
        <v>1259</v>
      </c>
      <c r="G365" s="144" t="s">
        <v>100</v>
      </c>
      <c r="H365" s="122">
        <v>9.4</v>
      </c>
      <c r="I365" s="116">
        <v>35</v>
      </c>
      <c r="J365" s="10">
        <v>90</v>
      </c>
      <c r="K365" s="116">
        <v>90</v>
      </c>
      <c r="L365" s="116">
        <v>90</v>
      </c>
      <c r="M365" s="122">
        <v>24.5</v>
      </c>
      <c r="N365" s="122">
        <v>6.5</v>
      </c>
      <c r="O365" s="79">
        <v>1.31</v>
      </c>
      <c r="P365" s="116">
        <v>8</v>
      </c>
      <c r="Q365" s="122">
        <v>6.7</v>
      </c>
      <c r="R365" s="10">
        <v>7.0000000000000007E-2</v>
      </c>
      <c r="S365" s="79">
        <v>22.36</v>
      </c>
      <c r="T365" s="79">
        <v>0.88</v>
      </c>
      <c r="U365" s="79">
        <v>0.7</v>
      </c>
      <c r="V365" s="85">
        <f t="shared" si="37"/>
        <v>1929.4175</v>
      </c>
      <c r="W365" s="85">
        <f t="shared" si="38"/>
        <v>1533.3012239999998</v>
      </c>
      <c r="X365" s="85">
        <f t="shared" si="39"/>
        <v>0.79469644283831764</v>
      </c>
      <c r="Y365" s="116">
        <v>1</v>
      </c>
      <c r="Z365" s="116">
        <v>2</v>
      </c>
      <c r="AA365" s="122">
        <v>6</v>
      </c>
      <c r="AB365" s="116">
        <v>21</v>
      </c>
      <c r="AC365" s="122">
        <v>6.2</v>
      </c>
      <c r="AD365" s="122">
        <v>6.6</v>
      </c>
      <c r="AE365" s="79">
        <v>0.11</v>
      </c>
      <c r="AF365" s="79">
        <v>0.23</v>
      </c>
      <c r="AG365" s="85">
        <f>(O365+0.3*H365+2)*(F365/2/AK365)</f>
        <v>1286.2783333333334</v>
      </c>
      <c r="AH365" s="85">
        <f t="shared" si="40"/>
        <v>1902.60122</v>
      </c>
      <c r="AI365" s="85">
        <f t="shared" si="41"/>
        <v>1.4791520394108584</v>
      </c>
      <c r="AJ365" s="116">
        <v>1</v>
      </c>
      <c r="AK365" s="116">
        <v>3</v>
      </c>
      <c r="AL365" s="122">
        <v>6.2</v>
      </c>
      <c r="AM365" s="116">
        <v>25</v>
      </c>
      <c r="AN365" s="122">
        <v>6.2</v>
      </c>
      <c r="AO365" s="122">
        <v>4.7</v>
      </c>
      <c r="AP365" s="79">
        <v>0.17</v>
      </c>
      <c r="AQ365" s="79">
        <v>0.34</v>
      </c>
      <c r="AR365" s="132">
        <f>SUM(C365:E365)</f>
        <v>1268</v>
      </c>
      <c r="AS365" s="134">
        <f>C365/AR365</f>
        <v>0</v>
      </c>
      <c r="AT365" s="134">
        <f>D365/AR365</f>
        <v>0.79731861198738174</v>
      </c>
      <c r="AU365" s="134">
        <f>E365/AR365</f>
        <v>0.20268138801261829</v>
      </c>
      <c r="AV365" s="151">
        <f>IF(AND(F365&lt;&gt;"",Z365&lt;&gt;""),AB365/(F365/2/Z365),"")</f>
        <v>6.6719618745035736E-2</v>
      </c>
      <c r="AW365" s="151">
        <f>IF(AND(F365&lt;&gt;"",AK365&lt;&gt;""),AM365/(F365/2/AK365),"")</f>
        <v>0.11914217633042096</v>
      </c>
      <c r="AX365" s="43">
        <f>IF(AND(AQ365&lt;&gt;"",1-(AQ365/O365)&gt;0),1-(AQ365/O365),"")</f>
        <v>0.74045801526717558</v>
      </c>
      <c r="AY365" s="41">
        <f>IF(AND(AF365&lt;&gt;"",1-(AF365/O365)&gt;0),1-(AF365/O365),"")</f>
        <v>0.82442748091603058</v>
      </c>
      <c r="AZ365" s="136" t="str">
        <f>IF(Q365="","",IF(Q365&lt;2.5,"Alc. Bruta &lt; 2,5 mg/L",IF(Q365&lt;5,"2,5 ≤ Alc. Bruta &lt; 5,0 mg/L",IF(Q365&lt;7.5,"5,0 ≤ Alc. Bruta &lt; 7,5 mg/L",IF(Q365&lt;10,"7,5 ≤ Alc. Bruta &lt; 10,0 mg/L",IF(Q365&lt;15,"10,0 ≤ Alca. Bruta &lt; 15,0 mg/L","Alc. Bruta &gt; 15 mg/L"))))))</f>
        <v>5,0 ≤ Alc. Bruta &lt; 7,5 mg/L</v>
      </c>
      <c r="BA365" s="136" t="str">
        <f>IF(P365="","",IF(P365&lt;5,"Cor &lt;5 uC",IF(P365&lt;10,"5 ≤ Cor &lt; 10 uC",IF(P365&lt;15,"10 ≤ Cor &lt;15 uC",IF(P365&lt;30,"15 ≤ Cor &lt; 30 uC",IF(P365&lt;50,"30 ≤ Cor &lt; 50 uC","Cor &gt; 50 uC"))))))</f>
        <v>5 ≤ Cor &lt; 10 uC</v>
      </c>
      <c r="BB365" s="137" t="str">
        <f>IF(O365="","",IF(O365&lt;2.5,"Turbidez &lt; 2,5 uT",IF(O365&lt;5,"2,5 ≤ Turb &lt; 5,0 uT",IF(O365&lt;7.5,"5,0 ≤ Turb &lt; 7,5 uT",IF(O365&lt;10,"7,5 ≤ Turb &lt; 10,0 uT",IF(O365&lt;15,"10,0 ≤ Turb &lt; 15,0 uT","Turb &gt; 15 uT"))))))</f>
        <v>Turbidez &lt; 2,5 uT</v>
      </c>
      <c r="BC365" s="138" t="str">
        <f>IF(AND(C365&gt;D365,D365&gt;E365),"TOR &gt; SM &gt; BNN",IF(AND(C365&gt;E365,E365&gt;D365),"TOR &gt; BNN &gt; SM",IF(AND(D365&gt;C365,C365&gt;E365),"SM &gt; TOR &gt; BNN",IF(AND(D365&gt;E365,E365&gt;C365),"SM &gt; BNN &gt; TOR",IF(AND(C365=D365,D365=E365),"TOR = SM = BNN","Comb. diferentes")))))</f>
        <v>SM &gt; BNN &gt; TOR</v>
      </c>
      <c r="BD365" s="137" t="str">
        <f>IF(OR(AE365="",AQ365="-"),"",IF(AE365&lt;=0.25,"Tipo 1 (≤0,25) uT",IF(AE365&lt;=0.5,"Tipo 2 (0,25-0,50) uT",IF(AE365&lt;=0.75,"Tipo 3 (0,50-0,75) uT","Tipo 4 (&gt;0,75) uT"))))</f>
        <v>Tipo 1 (≤0,25) uT</v>
      </c>
      <c r="BE365" s="137" t="str">
        <f t="shared" si="35"/>
        <v>Tipo 1 (≤0,25) uT</v>
      </c>
      <c r="BF365" s="137" t="str">
        <f>IF(OR(AF365="",AQ365="-"),"",IF(AF365&lt;=0.25,"Tipo 1 (≤0,25) uT",IF(AF365&lt;=0.5,"Tipo 2 (0,25-0,50) uT",IF(AF365&lt;=0.75,"Tipo 3 (0,50-0,75) uT","Tipo 4 (&gt;0,75) uT"))))</f>
        <v>Tipo 1 (≤0,25) uT</v>
      </c>
      <c r="BG365" s="137" t="str">
        <f t="shared" si="36"/>
        <v>Tipo 2 (0,25-0,50) uT</v>
      </c>
      <c r="BH365" s="137" t="str">
        <f>IF(OR(R365="",R365="-"),"",IF(R365&lt;=0.25,"Tipo 1 (≤0,25) uT",IF(R365&lt;=0.5,"Tipo 2 (0,25-0,50) uT",IF(R365&lt;=0.75,"Tipo 3 (0,50-0,75) uT","Tipo 4 (&gt;0,75) uT"))))</f>
        <v>Tipo 1 (≤0,25) uT</v>
      </c>
    </row>
    <row r="366" spans="1:60" x14ac:dyDescent="0.3">
      <c r="A366" s="74">
        <v>46299</v>
      </c>
      <c r="B366" s="139">
        <v>0.14583333333333334</v>
      </c>
      <c r="C366" s="116">
        <v>0</v>
      </c>
      <c r="D366" s="116">
        <v>996</v>
      </c>
      <c r="E366" s="116">
        <v>256</v>
      </c>
      <c r="F366" s="116">
        <v>1302</v>
      </c>
      <c r="G366" s="144" t="s">
        <v>100</v>
      </c>
      <c r="H366" s="122">
        <v>9.4</v>
      </c>
      <c r="I366" s="116">
        <v>35</v>
      </c>
      <c r="J366" s="10">
        <v>90</v>
      </c>
      <c r="K366" s="116">
        <v>90</v>
      </c>
      <c r="L366" s="116">
        <v>90</v>
      </c>
      <c r="M366" s="122">
        <v>24.3</v>
      </c>
      <c r="N366" s="122">
        <v>6.5</v>
      </c>
      <c r="O366" s="79">
        <v>1.28</v>
      </c>
      <c r="P366" s="116">
        <v>8</v>
      </c>
      <c r="Q366" s="122">
        <v>6.6</v>
      </c>
      <c r="R366" s="10">
        <v>0.09</v>
      </c>
      <c r="S366" s="79">
        <v>22.36</v>
      </c>
      <c r="T366" s="79">
        <v>0.88</v>
      </c>
      <c r="U366" s="79">
        <v>0.7</v>
      </c>
      <c r="V366" s="85">
        <f t="shared" si="37"/>
        <v>1985.55</v>
      </c>
      <c r="W366" s="85">
        <f t="shared" si="38"/>
        <v>1533.3012239999998</v>
      </c>
      <c r="X366" s="85">
        <f t="shared" si="39"/>
        <v>0.77222997355896339</v>
      </c>
      <c r="Y366" s="116">
        <v>1</v>
      </c>
      <c r="Z366" s="116">
        <v>2</v>
      </c>
      <c r="AA366" s="122">
        <v>6</v>
      </c>
      <c r="AB366" s="116">
        <v>21</v>
      </c>
      <c r="AC366" s="122">
        <v>6.1</v>
      </c>
      <c r="AD366" s="122">
        <v>6.5</v>
      </c>
      <c r="AE366" s="79">
        <v>0.1</v>
      </c>
      <c r="AF366" s="79">
        <v>0.35</v>
      </c>
      <c r="AG366" s="85">
        <f>(O366+0.3*H366+2)*(F366/2/AK366)</f>
        <v>1323.6999999999998</v>
      </c>
      <c r="AH366" s="85">
        <f t="shared" si="40"/>
        <v>1902.60122</v>
      </c>
      <c r="AI366" s="85">
        <f t="shared" si="41"/>
        <v>1.4373356651809324</v>
      </c>
      <c r="AJ366" s="116">
        <v>1</v>
      </c>
      <c r="AK366" s="116">
        <v>3</v>
      </c>
      <c r="AL366" s="122">
        <v>6.2</v>
      </c>
      <c r="AM366" s="116">
        <v>25</v>
      </c>
      <c r="AN366" s="122">
        <v>6.2</v>
      </c>
      <c r="AO366" s="122">
        <v>4.5999999999999996</v>
      </c>
      <c r="AP366" s="79">
        <v>0.14000000000000001</v>
      </c>
      <c r="AQ366" s="79">
        <v>0.4</v>
      </c>
      <c r="AR366" s="132">
        <f>SUM(C366:E366)</f>
        <v>1252</v>
      </c>
      <c r="AS366" s="134">
        <f>C366/AR366</f>
        <v>0</v>
      </c>
      <c r="AT366" s="134">
        <f>D366/AR366</f>
        <v>0.79552715654952078</v>
      </c>
      <c r="AU366" s="134">
        <f>E366/AR366</f>
        <v>0.20447284345047922</v>
      </c>
      <c r="AV366" s="151">
        <f>IF(AND(F366&lt;&gt;"",Z366&lt;&gt;""),AB366/(F366/2/Z366),"")</f>
        <v>6.4516129032258063E-2</v>
      </c>
      <c r="AW366" s="151">
        <f>IF(AND(F366&lt;&gt;"",AK366&lt;&gt;""),AM366/(F366/2/AK366),"")</f>
        <v>0.1152073732718894</v>
      </c>
      <c r="AX366" s="43">
        <f>IF(AND(AQ366&lt;&gt;"",1-(AQ366/O366)&gt;0),1-(AQ366/O366),"")</f>
        <v>0.6875</v>
      </c>
      <c r="AY366" s="41">
        <f>IF(AND(AF366&lt;&gt;"",1-(AF366/O366)&gt;0),1-(AF366/O366),"")</f>
        <v>0.7265625</v>
      </c>
      <c r="AZ366" s="136" t="str">
        <f>IF(Q366="","",IF(Q366&lt;2.5,"Alc. Bruta &lt; 2,5 mg/L",IF(Q366&lt;5,"2,5 ≤ Alc. Bruta &lt; 5,0 mg/L",IF(Q366&lt;7.5,"5,0 ≤ Alc. Bruta &lt; 7,5 mg/L",IF(Q366&lt;10,"7,5 ≤ Alc. Bruta &lt; 10,0 mg/L",IF(Q366&lt;15,"10,0 ≤ Alca. Bruta &lt; 15,0 mg/L","Alc. Bruta &gt; 15 mg/L"))))))</f>
        <v>5,0 ≤ Alc. Bruta &lt; 7,5 mg/L</v>
      </c>
      <c r="BA366" s="136" t="str">
        <f>IF(P366="","",IF(P366&lt;5,"Cor &lt;5 uC",IF(P366&lt;10,"5 ≤ Cor &lt; 10 uC",IF(P366&lt;15,"10 ≤ Cor &lt;15 uC",IF(P366&lt;30,"15 ≤ Cor &lt; 30 uC",IF(P366&lt;50,"30 ≤ Cor &lt; 50 uC","Cor &gt; 50 uC"))))))</f>
        <v>5 ≤ Cor &lt; 10 uC</v>
      </c>
      <c r="BB366" s="137" t="str">
        <f>IF(O366="","",IF(O366&lt;2.5,"Turbidez &lt; 2,5 uT",IF(O366&lt;5,"2,5 ≤ Turb &lt; 5,0 uT",IF(O366&lt;7.5,"5,0 ≤ Turb &lt; 7,5 uT",IF(O366&lt;10,"7,5 ≤ Turb &lt; 10,0 uT",IF(O366&lt;15,"10,0 ≤ Turb &lt; 15,0 uT","Turb &gt; 15 uT"))))))</f>
        <v>Turbidez &lt; 2,5 uT</v>
      </c>
      <c r="BC366" s="138" t="str">
        <f>IF(AND(C366&gt;D366,D366&gt;E366),"TOR &gt; SM &gt; BNN",IF(AND(C366&gt;E366,E366&gt;D366),"TOR &gt; BNN &gt; SM",IF(AND(D366&gt;C366,C366&gt;E366),"SM &gt; TOR &gt; BNN",IF(AND(D366&gt;E366,E366&gt;C366),"SM &gt; BNN &gt; TOR",IF(AND(C366=D366,D366=E366),"TOR = SM = BNN","Comb. diferentes")))))</f>
        <v>SM &gt; BNN &gt; TOR</v>
      </c>
      <c r="BD366" s="137" t="str">
        <f>IF(OR(AE366="",AQ366="-"),"",IF(AE366&lt;=0.25,"Tipo 1 (≤0,25) uT",IF(AE366&lt;=0.5,"Tipo 2 (0,25-0,50) uT",IF(AE366&lt;=0.75,"Tipo 3 (0,50-0,75) uT","Tipo 4 (&gt;0,75) uT"))))</f>
        <v>Tipo 1 (≤0,25) uT</v>
      </c>
      <c r="BE366" s="137" t="str">
        <f t="shared" si="35"/>
        <v>Tipo 1 (≤0,25) uT</v>
      </c>
      <c r="BF366" s="137" t="str">
        <f>IF(OR(AF366="",AQ366="-"),"",IF(AF366&lt;=0.25,"Tipo 1 (≤0,25) uT",IF(AF366&lt;=0.5,"Tipo 2 (0,25-0,50) uT",IF(AF366&lt;=0.75,"Tipo 3 (0,50-0,75) uT","Tipo 4 (&gt;0,75) uT"))))</f>
        <v>Tipo 2 (0,25-0,50) uT</v>
      </c>
      <c r="BG366" s="137" t="str">
        <f t="shared" si="36"/>
        <v>Tipo 2 (0,25-0,50) uT</v>
      </c>
      <c r="BH366" s="137" t="str">
        <f>IF(OR(R366="",R366="-"),"",IF(R366&lt;=0.25,"Tipo 1 (≤0,25) uT",IF(R366&lt;=0.5,"Tipo 2 (0,25-0,50) uT",IF(R366&lt;=0.75,"Tipo 3 (0,50-0,75) uT","Tipo 4 (&gt;0,75) uT"))))</f>
        <v>Tipo 1 (≤0,25) uT</v>
      </c>
    </row>
    <row r="367" spans="1:60" ht="15" thickBot="1" x14ac:dyDescent="0.35">
      <c r="A367" s="75">
        <v>46299</v>
      </c>
      <c r="B367" s="140">
        <v>0.22916666666666666</v>
      </c>
      <c r="C367" s="117">
        <v>0</v>
      </c>
      <c r="D367" s="117">
        <v>996</v>
      </c>
      <c r="E367" s="117">
        <v>256</v>
      </c>
      <c r="F367" s="117">
        <v>1300</v>
      </c>
      <c r="G367" s="145" t="s">
        <v>100</v>
      </c>
      <c r="H367" s="123">
        <v>9.4</v>
      </c>
      <c r="I367" s="117">
        <v>35</v>
      </c>
      <c r="J367" s="11">
        <v>90</v>
      </c>
      <c r="K367" s="117">
        <v>90</v>
      </c>
      <c r="L367" s="117">
        <v>90</v>
      </c>
      <c r="M367" s="123">
        <v>24.7</v>
      </c>
      <c r="N367" s="123">
        <v>6.4</v>
      </c>
      <c r="O367" s="80">
        <v>1.1499999999999999</v>
      </c>
      <c r="P367" s="117">
        <v>8</v>
      </c>
      <c r="Q367" s="123">
        <v>6.5</v>
      </c>
      <c r="R367" s="11">
        <v>7.0000000000000007E-2</v>
      </c>
      <c r="S367" s="79">
        <v>22.36</v>
      </c>
      <c r="T367" s="79">
        <v>0.88</v>
      </c>
      <c r="U367" s="79">
        <v>0.7</v>
      </c>
      <c r="V367" s="85">
        <f t="shared" si="37"/>
        <v>1940.25</v>
      </c>
      <c r="W367" s="85">
        <f t="shared" si="38"/>
        <v>1533.3012239999998</v>
      </c>
      <c r="X367" s="85">
        <f t="shared" si="39"/>
        <v>0.7902596180904522</v>
      </c>
      <c r="Y367" s="117">
        <v>1</v>
      </c>
      <c r="Z367" s="117">
        <v>2</v>
      </c>
      <c r="AA367" s="123">
        <v>6</v>
      </c>
      <c r="AB367" s="117">
        <v>21</v>
      </c>
      <c r="AC367" s="123">
        <v>6.1</v>
      </c>
      <c r="AD367" s="123">
        <v>6.4</v>
      </c>
      <c r="AE367" s="80">
        <v>0.14000000000000001</v>
      </c>
      <c r="AF367" s="80">
        <v>0.2</v>
      </c>
      <c r="AG367" s="85">
        <f>(O367+0.3*H367+2)*(F367/2/AK367)</f>
        <v>1293.5</v>
      </c>
      <c r="AH367" s="85">
        <f t="shared" si="40"/>
        <v>1902.60122</v>
      </c>
      <c r="AI367" s="85">
        <f t="shared" si="41"/>
        <v>1.4708938693467337</v>
      </c>
      <c r="AJ367" s="117">
        <v>1</v>
      </c>
      <c r="AK367" s="117">
        <v>3</v>
      </c>
      <c r="AL367" s="123">
        <v>6.2</v>
      </c>
      <c r="AM367" s="117">
        <v>25</v>
      </c>
      <c r="AN367" s="123">
        <v>6.1</v>
      </c>
      <c r="AO367" s="123">
        <v>4.8</v>
      </c>
      <c r="AP367" s="80">
        <v>0.1</v>
      </c>
      <c r="AQ367" s="80">
        <v>0.15</v>
      </c>
      <c r="AR367" s="132">
        <f>SUM(C367:E367)</f>
        <v>1252</v>
      </c>
      <c r="AS367" s="134">
        <f>C367/AR367</f>
        <v>0</v>
      </c>
      <c r="AT367" s="134">
        <f>D367/AR367</f>
        <v>0.79552715654952078</v>
      </c>
      <c r="AU367" s="134">
        <f>E367/AR367</f>
        <v>0.20447284345047922</v>
      </c>
      <c r="AV367" s="151">
        <f>IF(AND(F367&lt;&gt;"",Z367&lt;&gt;""),AB367/(F367/2/Z367),"")</f>
        <v>6.4615384615384616E-2</v>
      </c>
      <c r="AW367" s="151">
        <f>IF(AND(F367&lt;&gt;"",AK367&lt;&gt;""),AM367/(F367/2/AK367),"")</f>
        <v>0.11538461538461539</v>
      </c>
      <c r="AX367" s="43">
        <f>IF(AND(AQ367&lt;&gt;"",1-(AQ367/O367)&gt;0),1-(AQ367/O367),"")</f>
        <v>0.86956521739130432</v>
      </c>
      <c r="AY367" s="41">
        <f>IF(AND(AF367&lt;&gt;"",1-(AF367/O367)&gt;0),1-(AF367/O367),"")</f>
        <v>0.82608695652173914</v>
      </c>
      <c r="AZ367" s="136" t="str">
        <f>IF(Q367="","",IF(Q367&lt;2.5,"Alc. Bruta &lt; 2,5 mg/L",IF(Q367&lt;5,"2,5 ≤ Alc. Bruta &lt; 5,0 mg/L",IF(Q367&lt;7.5,"5,0 ≤ Alc. Bruta &lt; 7,5 mg/L",IF(Q367&lt;10,"7,5 ≤ Alc. Bruta &lt; 10,0 mg/L",IF(Q367&lt;15,"10,0 ≤ Alca. Bruta &lt; 15,0 mg/L","Alc. Bruta &gt; 15 mg/L"))))))</f>
        <v>5,0 ≤ Alc. Bruta &lt; 7,5 mg/L</v>
      </c>
      <c r="BA367" s="136" t="str">
        <f>IF(P367="","",IF(P367&lt;5,"Cor &lt;5 uC",IF(P367&lt;10,"5 ≤ Cor &lt; 10 uC",IF(P367&lt;15,"10 ≤ Cor &lt;15 uC",IF(P367&lt;30,"15 ≤ Cor &lt; 30 uC",IF(P367&lt;50,"30 ≤ Cor &lt; 50 uC","Cor &gt; 50 uC"))))))</f>
        <v>5 ≤ Cor &lt; 10 uC</v>
      </c>
      <c r="BB367" s="137" t="str">
        <f>IF(O367="","",IF(O367&lt;2.5,"Turbidez &lt; 2,5 uT",IF(O367&lt;5,"2,5 ≤ Turb &lt; 5,0 uT",IF(O367&lt;7.5,"5,0 ≤ Turb &lt; 7,5 uT",IF(O367&lt;10,"7,5 ≤ Turb &lt; 10,0 uT",IF(O367&lt;15,"10,0 ≤ Turb &lt; 15,0 uT","Turb &gt; 15 uT"))))))</f>
        <v>Turbidez &lt; 2,5 uT</v>
      </c>
      <c r="BC367" s="138" t="str">
        <f>IF(AND(C367&gt;D367,D367&gt;E367),"TOR &gt; SM &gt; BNN",IF(AND(C367&gt;E367,E367&gt;D367),"TOR &gt; BNN &gt; SM",IF(AND(D367&gt;C367,C367&gt;E367),"SM &gt; TOR &gt; BNN",IF(AND(D367&gt;E367,E367&gt;C367),"SM &gt; BNN &gt; TOR",IF(AND(C367=D367,D367=E367),"TOR = SM = BNN","Comb. diferentes")))))</f>
        <v>SM &gt; BNN &gt; TOR</v>
      </c>
      <c r="BD367" s="137" t="str">
        <f>IF(OR(AE367="",AQ367="-"),"",IF(AE367&lt;=0.25,"Tipo 1 (≤0,25) uT",IF(AE367&lt;=0.5,"Tipo 2 (0,25-0,50) uT",IF(AE367&lt;=0.75,"Tipo 3 (0,50-0,75) uT","Tipo 4 (&gt;0,75) uT"))))</f>
        <v>Tipo 1 (≤0,25) uT</v>
      </c>
      <c r="BE367" s="137" t="str">
        <f t="shared" si="35"/>
        <v>Tipo 1 (≤0,25) uT</v>
      </c>
      <c r="BF367" s="137" t="str">
        <f>IF(OR(AF367="",AQ367="-"),"",IF(AF367&lt;=0.25,"Tipo 1 (≤0,25) uT",IF(AF367&lt;=0.5,"Tipo 2 (0,25-0,50) uT",IF(AF367&lt;=0.75,"Tipo 3 (0,50-0,75) uT","Tipo 4 (&gt;0,75) uT"))))</f>
        <v>Tipo 1 (≤0,25) uT</v>
      </c>
      <c r="BG367" s="137" t="str">
        <f t="shared" si="36"/>
        <v>Tipo 1 (≤0,25) uT</v>
      </c>
      <c r="BH367" s="137" t="str">
        <f>IF(OR(R367="",R367="-"),"",IF(R367&lt;=0.25,"Tipo 1 (≤0,25) uT",IF(R367&lt;=0.5,"Tipo 2 (0,25-0,50) uT",IF(R367&lt;=0.75,"Tipo 3 (0,50-0,75) uT","Tipo 4 (&gt;0,75) uT"))))</f>
        <v>Tipo 1 (≤0,25) uT</v>
      </c>
    </row>
    <row r="368" spans="1:60" x14ac:dyDescent="0.3">
      <c r="A368" s="73">
        <v>46299</v>
      </c>
      <c r="B368" s="141">
        <v>0.3125</v>
      </c>
      <c r="C368" s="118">
        <v>0</v>
      </c>
      <c r="D368" s="118">
        <v>1002</v>
      </c>
      <c r="E368" s="118">
        <v>258</v>
      </c>
      <c r="F368" s="118">
        <v>1295</v>
      </c>
      <c r="G368" s="146" t="s">
        <v>100</v>
      </c>
      <c r="H368" s="124">
        <v>9.4</v>
      </c>
      <c r="I368" s="118">
        <v>34</v>
      </c>
      <c r="J368" s="9">
        <v>90</v>
      </c>
      <c r="K368" s="118">
        <v>90</v>
      </c>
      <c r="L368" s="118">
        <v>90</v>
      </c>
      <c r="M368" s="124">
        <v>24.6</v>
      </c>
      <c r="N368" s="124">
        <v>6.5</v>
      </c>
      <c r="O368" s="81">
        <v>1.04</v>
      </c>
      <c r="P368" s="118">
        <v>6</v>
      </c>
      <c r="Q368" s="124">
        <v>6.4</v>
      </c>
      <c r="R368" s="9">
        <v>7.0000000000000007E-2</v>
      </c>
      <c r="S368" s="79">
        <v>22.36</v>
      </c>
      <c r="T368" s="79">
        <v>0.88</v>
      </c>
      <c r="U368" s="79">
        <v>0.7</v>
      </c>
      <c r="V368" s="85">
        <f t="shared" si="37"/>
        <v>1897.1749999999997</v>
      </c>
      <c r="W368" s="85">
        <f t="shared" si="38"/>
        <v>1533.3012239999998</v>
      </c>
      <c r="X368" s="85">
        <f t="shared" si="39"/>
        <v>0.8082023134397196</v>
      </c>
      <c r="Y368" s="118">
        <v>1</v>
      </c>
      <c r="Z368" s="118">
        <v>2</v>
      </c>
      <c r="AA368" s="124">
        <v>6</v>
      </c>
      <c r="AB368" s="118">
        <v>21</v>
      </c>
      <c r="AC368" s="124">
        <v>6.4</v>
      </c>
      <c r="AD368" s="124">
        <v>6.3</v>
      </c>
      <c r="AE368" s="81">
        <v>0.12</v>
      </c>
      <c r="AF368" s="81">
        <v>0.19</v>
      </c>
      <c r="AG368" s="85">
        <f>(O368+0.3*H368+2)*(F368/2/AK368)</f>
        <v>1264.7833333333333</v>
      </c>
      <c r="AH368" s="85">
        <f t="shared" si="40"/>
        <v>1902.60122</v>
      </c>
      <c r="AI368" s="85">
        <f t="shared" si="41"/>
        <v>1.504290236799452</v>
      </c>
      <c r="AJ368" s="118">
        <v>1</v>
      </c>
      <c r="AK368" s="118">
        <v>3</v>
      </c>
      <c r="AL368" s="124">
        <v>6.2</v>
      </c>
      <c r="AM368" s="118">
        <v>25</v>
      </c>
      <c r="AN368" s="124">
        <v>6.2</v>
      </c>
      <c r="AO368" s="124">
        <v>6.4</v>
      </c>
      <c r="AP368" s="81">
        <v>0.1</v>
      </c>
      <c r="AQ368" s="149">
        <v>0.14000000000000001</v>
      </c>
      <c r="AR368" s="132">
        <f>SUM(C368:E368)</f>
        <v>1260</v>
      </c>
      <c r="AS368" s="134">
        <f>C368/AR368</f>
        <v>0</v>
      </c>
      <c r="AT368" s="134">
        <f>D368/AR368</f>
        <v>0.79523809523809519</v>
      </c>
      <c r="AU368" s="134">
        <f>E368/AR368</f>
        <v>0.20476190476190476</v>
      </c>
      <c r="AV368" s="151">
        <f>IF(AND(F368&lt;&gt;"",Z368&lt;&gt;""),AB368/(F368/2/Z368),"")</f>
        <v>6.4864864864864868E-2</v>
      </c>
      <c r="AW368" s="151">
        <f>IF(AND(F368&lt;&gt;"",AK368&lt;&gt;""),AM368/(F368/2/AK368),"")</f>
        <v>0.11583011583011582</v>
      </c>
      <c r="AX368" s="43">
        <f>IF(AND(AQ368&lt;&gt;"",1-(AQ368/O368)&gt;0),1-(AQ368/O368),"")</f>
        <v>0.86538461538461542</v>
      </c>
      <c r="AY368" s="41">
        <f>IF(AND(AF368&lt;&gt;"",1-(AF368/O368)&gt;0),1-(AF368/O368),"")</f>
        <v>0.81730769230769229</v>
      </c>
      <c r="AZ368" s="136" t="str">
        <f>IF(Q368="","",IF(Q368&lt;2.5,"Alc. Bruta &lt; 2,5 mg/L",IF(Q368&lt;5,"2,5 ≤ Alc. Bruta &lt; 5,0 mg/L",IF(Q368&lt;7.5,"5,0 ≤ Alc. Bruta &lt; 7,5 mg/L",IF(Q368&lt;10,"7,5 ≤ Alc. Bruta &lt; 10,0 mg/L",IF(Q368&lt;15,"10,0 ≤ Alca. Bruta &lt; 15,0 mg/L","Alc. Bruta &gt; 15 mg/L"))))))</f>
        <v>5,0 ≤ Alc. Bruta &lt; 7,5 mg/L</v>
      </c>
      <c r="BA368" s="136" t="str">
        <f>IF(P368="","",IF(P368&lt;5,"Cor &lt;5 uC",IF(P368&lt;10,"5 ≤ Cor &lt; 10 uC",IF(P368&lt;15,"10 ≤ Cor &lt;15 uC",IF(P368&lt;30,"15 ≤ Cor &lt; 30 uC",IF(P368&lt;50,"30 ≤ Cor &lt; 50 uC","Cor &gt; 50 uC"))))))</f>
        <v>5 ≤ Cor &lt; 10 uC</v>
      </c>
      <c r="BB368" s="137" t="str">
        <f>IF(O368="","",IF(O368&lt;2.5,"Turbidez &lt; 2,5 uT",IF(O368&lt;5,"2,5 ≤ Turb &lt; 5,0 uT",IF(O368&lt;7.5,"5,0 ≤ Turb &lt; 7,5 uT",IF(O368&lt;10,"7,5 ≤ Turb &lt; 10,0 uT",IF(O368&lt;15,"10,0 ≤ Turb &lt; 15,0 uT","Turb &gt; 15 uT"))))))</f>
        <v>Turbidez &lt; 2,5 uT</v>
      </c>
      <c r="BC368" s="138" t="str">
        <f>IF(AND(C368&gt;D368,D368&gt;E368),"TOR &gt; SM &gt; BNN",IF(AND(C368&gt;E368,E368&gt;D368),"TOR &gt; BNN &gt; SM",IF(AND(D368&gt;C368,C368&gt;E368),"SM &gt; TOR &gt; BNN",IF(AND(D368&gt;E368,E368&gt;C368),"SM &gt; BNN &gt; TOR",IF(AND(C368=D368,D368=E368),"TOR = SM = BNN","Comb. diferentes")))))</f>
        <v>SM &gt; BNN &gt; TOR</v>
      </c>
      <c r="BD368" s="137" t="str">
        <f>IF(OR(AE368="",AQ368="-"),"",IF(AE368&lt;=0.25,"Tipo 1 (≤0,25) uT",IF(AE368&lt;=0.5,"Tipo 2 (0,25-0,50) uT",IF(AE368&lt;=0.75,"Tipo 3 (0,50-0,75) uT","Tipo 4 (&gt;0,75) uT"))))</f>
        <v>Tipo 1 (≤0,25) uT</v>
      </c>
      <c r="BE368" s="137" t="str">
        <f t="shared" si="35"/>
        <v>Tipo 1 (≤0,25) uT</v>
      </c>
      <c r="BF368" s="137" t="str">
        <f>IF(OR(AF368="",AQ368="-"),"",IF(AF368&lt;=0.25,"Tipo 1 (≤0,25) uT",IF(AF368&lt;=0.5,"Tipo 2 (0,25-0,50) uT",IF(AF368&lt;=0.75,"Tipo 3 (0,50-0,75) uT","Tipo 4 (&gt;0,75) uT"))))</f>
        <v>Tipo 1 (≤0,25) uT</v>
      </c>
      <c r="BG368" s="137" t="str">
        <f t="shared" si="36"/>
        <v>Tipo 1 (≤0,25) uT</v>
      </c>
      <c r="BH368" s="137" t="str">
        <f>IF(OR(R368="",R368="-"),"",IF(R368&lt;=0.25,"Tipo 1 (≤0,25) uT",IF(R368&lt;=0.5,"Tipo 2 (0,25-0,50) uT",IF(R368&lt;=0.75,"Tipo 3 (0,50-0,75) uT","Tipo 4 (&gt;0,75) uT"))))</f>
        <v>Tipo 1 (≤0,25) uT</v>
      </c>
    </row>
    <row r="369" spans="1:60" x14ac:dyDescent="0.3">
      <c r="A369" s="74">
        <v>46299</v>
      </c>
      <c r="B369" s="139">
        <v>0.39583333333333331</v>
      </c>
      <c r="C369" s="116">
        <v>601</v>
      </c>
      <c r="D369" s="116">
        <v>959</v>
      </c>
      <c r="E369" s="116">
        <v>250</v>
      </c>
      <c r="F369" s="116">
        <v>1808</v>
      </c>
      <c r="G369" s="144" t="s">
        <v>100</v>
      </c>
      <c r="H369" s="122">
        <v>9.4</v>
      </c>
      <c r="I369" s="116">
        <v>37</v>
      </c>
      <c r="J369" s="10">
        <v>90</v>
      </c>
      <c r="K369" s="116">
        <v>90</v>
      </c>
      <c r="L369" s="116">
        <v>90</v>
      </c>
      <c r="M369" s="122">
        <v>25.1</v>
      </c>
      <c r="N369" s="122">
        <v>6.6</v>
      </c>
      <c r="O369" s="79">
        <v>1.0900000000000001</v>
      </c>
      <c r="P369" s="116">
        <v>6</v>
      </c>
      <c r="Q369" s="122">
        <v>8.6999999999999993</v>
      </c>
      <c r="R369" s="10">
        <v>7.0000000000000007E-2</v>
      </c>
      <c r="S369" s="79">
        <v>22.36</v>
      </c>
      <c r="T369" s="79">
        <v>0.88</v>
      </c>
      <c r="U369" s="79">
        <v>0.7</v>
      </c>
      <c r="V369" s="85">
        <f t="shared" si="37"/>
        <v>1335.66</v>
      </c>
      <c r="W369" s="85">
        <f t="shared" si="38"/>
        <v>1273.7660208</v>
      </c>
      <c r="X369" s="85">
        <f t="shared" si="39"/>
        <v>0.95366037823997118</v>
      </c>
      <c r="Y369" s="116">
        <v>2</v>
      </c>
      <c r="Z369" s="116">
        <v>4</v>
      </c>
      <c r="AA369" s="122">
        <v>5.2</v>
      </c>
      <c r="AB369" s="116">
        <v>21</v>
      </c>
      <c r="AC369" s="122">
        <v>6.2</v>
      </c>
      <c r="AD369" s="122">
        <v>7.5</v>
      </c>
      <c r="AE369" s="79">
        <v>0.1</v>
      </c>
      <c r="AF369" s="79">
        <v>0.14000000000000001</v>
      </c>
      <c r="AG369" s="85">
        <f>(O369+0.3*H369+2)*(F369/2/AK369)</f>
        <v>1335.66</v>
      </c>
      <c r="AH369" s="85">
        <f t="shared" si="40"/>
        <v>1900.6500864</v>
      </c>
      <c r="AI369" s="85">
        <f t="shared" si="41"/>
        <v>1.4230044220834643</v>
      </c>
      <c r="AJ369" s="116">
        <v>2</v>
      </c>
      <c r="AK369" s="116">
        <v>4</v>
      </c>
      <c r="AL369" s="122">
        <v>6.4</v>
      </c>
      <c r="AM369" s="116">
        <v>24</v>
      </c>
      <c r="AN369" s="122">
        <v>6.2</v>
      </c>
      <c r="AO369" s="122">
        <v>7.1</v>
      </c>
      <c r="AP369" s="79">
        <v>0.13</v>
      </c>
      <c r="AQ369" s="149">
        <v>0.17</v>
      </c>
      <c r="AR369" s="132">
        <f>SUM(C369:E369)</f>
        <v>1810</v>
      </c>
      <c r="AS369" s="134">
        <f>C369/AR369</f>
        <v>0.33204419889502762</v>
      </c>
      <c r="AT369" s="134">
        <f>D369/AR369</f>
        <v>0.52983425414364638</v>
      </c>
      <c r="AU369" s="134">
        <f>E369/AR369</f>
        <v>0.13812154696132597</v>
      </c>
      <c r="AV369" s="151">
        <f>IF(AND(F369&lt;&gt;"",Z369&lt;&gt;""),AB369/(F369/2/Z369),"")</f>
        <v>9.2920353982300891E-2</v>
      </c>
      <c r="AW369" s="151">
        <f>IF(AND(F369&lt;&gt;"",AK369&lt;&gt;""),AM369/(F369/2/AK369),"")</f>
        <v>0.10619469026548672</v>
      </c>
      <c r="AX369" s="43">
        <f>IF(AND(AQ369&lt;&gt;"",1-(AQ369/O369)&gt;0),1-(AQ369/O369),"")</f>
        <v>0.84403669724770647</v>
      </c>
      <c r="AY369" s="41">
        <f>IF(AND(AF369&lt;&gt;"",1-(AF369/O369)&gt;0),1-(AF369/O369),"")</f>
        <v>0.87155963302752293</v>
      </c>
      <c r="AZ369" s="136" t="str">
        <f>IF(Q369="","",IF(Q369&lt;2.5,"Alc. Bruta &lt; 2,5 mg/L",IF(Q369&lt;5,"2,5 ≤ Alc. Bruta &lt; 5,0 mg/L",IF(Q369&lt;7.5,"5,0 ≤ Alc. Bruta &lt; 7,5 mg/L",IF(Q369&lt;10,"7,5 ≤ Alc. Bruta &lt; 10,0 mg/L",IF(Q369&lt;15,"10,0 ≤ Alca. Bruta &lt; 15,0 mg/L","Alc. Bruta &gt; 15 mg/L"))))))</f>
        <v>7,5 ≤ Alc. Bruta &lt; 10,0 mg/L</v>
      </c>
      <c r="BA369" s="136" t="str">
        <f>IF(P369="","",IF(P369&lt;5,"Cor &lt;5 uC",IF(P369&lt;10,"5 ≤ Cor &lt; 10 uC",IF(P369&lt;15,"10 ≤ Cor &lt;15 uC",IF(P369&lt;30,"15 ≤ Cor &lt; 30 uC",IF(P369&lt;50,"30 ≤ Cor &lt; 50 uC","Cor &gt; 50 uC"))))))</f>
        <v>5 ≤ Cor &lt; 10 uC</v>
      </c>
      <c r="BB369" s="137" t="str">
        <f>IF(O369="","",IF(O369&lt;2.5,"Turbidez &lt; 2,5 uT",IF(O369&lt;5,"2,5 ≤ Turb &lt; 5,0 uT",IF(O369&lt;7.5,"5,0 ≤ Turb &lt; 7,5 uT",IF(O369&lt;10,"7,5 ≤ Turb &lt; 10,0 uT",IF(O369&lt;15,"10,0 ≤ Turb &lt; 15,0 uT","Turb &gt; 15 uT"))))))</f>
        <v>Turbidez &lt; 2,5 uT</v>
      </c>
      <c r="BC369" s="138" t="str">
        <f>IF(AND(C369&gt;D369,D369&gt;E369),"TOR &gt; SM &gt; BNN",IF(AND(C369&gt;E369,E369&gt;D369),"TOR &gt; BNN &gt; SM",IF(AND(D369&gt;C369,C369&gt;E369),"SM &gt; TOR &gt; BNN",IF(AND(D369&gt;E369,E369&gt;C369),"SM &gt; BNN &gt; TOR",IF(AND(C369=D369,D369=E369),"TOR = SM = BNN","Comb. diferentes")))))</f>
        <v>SM &gt; TOR &gt; BNN</v>
      </c>
      <c r="BD369" s="137" t="str">
        <f>IF(OR(AE369="",AQ369="-"),"",IF(AE369&lt;=0.25,"Tipo 1 (≤0,25) uT",IF(AE369&lt;=0.5,"Tipo 2 (0,25-0,50) uT",IF(AE369&lt;=0.75,"Tipo 3 (0,50-0,75) uT","Tipo 4 (&gt;0,75) uT"))))</f>
        <v>Tipo 1 (≤0,25) uT</v>
      </c>
      <c r="BE369" s="137" t="str">
        <f t="shared" si="35"/>
        <v>Tipo 1 (≤0,25) uT</v>
      </c>
      <c r="BF369" s="137" t="str">
        <f>IF(OR(AF369="",AQ369="-"),"",IF(AF369&lt;=0.25,"Tipo 1 (≤0,25) uT",IF(AF369&lt;=0.5,"Tipo 2 (0,25-0,50) uT",IF(AF369&lt;=0.75,"Tipo 3 (0,50-0,75) uT","Tipo 4 (&gt;0,75) uT"))))</f>
        <v>Tipo 1 (≤0,25) uT</v>
      </c>
      <c r="BG369" s="137" t="str">
        <f t="shared" si="36"/>
        <v>Tipo 1 (≤0,25) uT</v>
      </c>
      <c r="BH369" s="137" t="str">
        <f>IF(OR(R369="",R369="-"),"",IF(R369&lt;=0.25,"Tipo 1 (≤0,25) uT",IF(R369&lt;=0.5,"Tipo 2 (0,25-0,50) uT",IF(R369&lt;=0.75,"Tipo 3 (0,50-0,75) uT","Tipo 4 (&gt;0,75) uT"))))</f>
        <v>Tipo 1 (≤0,25) uT</v>
      </c>
    </row>
    <row r="370" spans="1:60" x14ac:dyDescent="0.3">
      <c r="A370" s="74">
        <v>46299</v>
      </c>
      <c r="B370" s="139">
        <v>0.5625</v>
      </c>
      <c r="C370" s="116">
        <v>600</v>
      </c>
      <c r="D370" s="116">
        <v>963</v>
      </c>
      <c r="E370" s="116">
        <v>250</v>
      </c>
      <c r="F370" s="116">
        <v>1736</v>
      </c>
      <c r="G370" s="144" t="s">
        <v>100</v>
      </c>
      <c r="H370" s="122">
        <v>9.4</v>
      </c>
      <c r="I370" s="116">
        <v>39</v>
      </c>
      <c r="J370" s="10">
        <v>90</v>
      </c>
      <c r="K370" s="116">
        <v>90</v>
      </c>
      <c r="L370" s="116">
        <v>90</v>
      </c>
      <c r="M370" s="122">
        <v>25.6</v>
      </c>
      <c r="N370" s="122">
        <v>6.5</v>
      </c>
      <c r="O370" s="79">
        <v>2.14</v>
      </c>
      <c r="P370" s="116">
        <v>13</v>
      </c>
      <c r="Q370" s="122">
        <v>8.9</v>
      </c>
      <c r="R370" s="10">
        <v>0.1</v>
      </c>
      <c r="S370" s="79">
        <v>22.36</v>
      </c>
      <c r="T370" s="79">
        <v>0.88</v>
      </c>
      <c r="U370" s="79">
        <v>0.7</v>
      </c>
      <c r="V370" s="85">
        <f t="shared" si="37"/>
        <v>1510.32</v>
      </c>
      <c r="W370" s="85">
        <f t="shared" si="38"/>
        <v>1273.7660208</v>
      </c>
      <c r="X370" s="85">
        <f t="shared" si="39"/>
        <v>0.8433749276974416</v>
      </c>
      <c r="Y370" s="116">
        <v>2</v>
      </c>
      <c r="Z370" s="116">
        <v>4</v>
      </c>
      <c r="AA370" s="122">
        <v>5.2</v>
      </c>
      <c r="AB370" s="116">
        <v>21</v>
      </c>
      <c r="AC370" s="122">
        <v>6.1</v>
      </c>
      <c r="AD370" s="122">
        <v>5.7</v>
      </c>
      <c r="AE370" s="79">
        <v>0.11</v>
      </c>
      <c r="AF370" s="79">
        <v>0.18</v>
      </c>
      <c r="AG370" s="85">
        <f>(O370+0.3*H370+2)*(F370/2/AK370)</f>
        <v>1510.32</v>
      </c>
      <c r="AH370" s="85">
        <f t="shared" si="40"/>
        <v>1900.6500864</v>
      </c>
      <c r="AI370" s="85">
        <f t="shared" si="41"/>
        <v>1.2584419767996187</v>
      </c>
      <c r="AJ370" s="116">
        <v>2</v>
      </c>
      <c r="AK370" s="116">
        <v>4</v>
      </c>
      <c r="AL370" s="122">
        <v>6.4</v>
      </c>
      <c r="AM370" s="116">
        <v>24</v>
      </c>
      <c r="AN370" s="122">
        <v>6</v>
      </c>
      <c r="AO370" s="122">
        <v>5.8</v>
      </c>
      <c r="AP370" s="79">
        <v>0.22</v>
      </c>
      <c r="AQ370" s="149">
        <v>0.3</v>
      </c>
      <c r="AR370" s="132">
        <f>SUM(C370:E370)</f>
        <v>1813</v>
      </c>
      <c r="AS370" s="134">
        <f>C370/AR370</f>
        <v>0.33094318808604523</v>
      </c>
      <c r="AT370" s="134">
        <f>D370/AR370</f>
        <v>0.53116381687810255</v>
      </c>
      <c r="AU370" s="134">
        <f>E370/AR370</f>
        <v>0.13789299503585217</v>
      </c>
      <c r="AV370" s="151">
        <f>IF(AND(F370&lt;&gt;"",Z370&lt;&gt;""),AB370/(F370/2/Z370),"")</f>
        <v>9.6774193548387094E-2</v>
      </c>
      <c r="AW370" s="151">
        <f>IF(AND(F370&lt;&gt;"",AK370&lt;&gt;""),AM370/(F370/2/AK370),"")</f>
        <v>0.11059907834101383</v>
      </c>
      <c r="AX370" s="43">
        <f>IF(AND(AQ370&lt;&gt;"",1-(AQ370/O370)&gt;0),1-(AQ370/O370),"")</f>
        <v>0.85981308411214952</v>
      </c>
      <c r="AY370" s="41">
        <f>IF(AND(AF370&lt;&gt;"",1-(AF370/O370)&gt;0),1-(AF370/O370),"")</f>
        <v>0.91588785046728971</v>
      </c>
      <c r="AZ370" s="136" t="str">
        <f>IF(Q370="","",IF(Q370&lt;2.5,"Alc. Bruta &lt; 2,5 mg/L",IF(Q370&lt;5,"2,5 ≤ Alc. Bruta &lt; 5,0 mg/L",IF(Q370&lt;7.5,"5,0 ≤ Alc. Bruta &lt; 7,5 mg/L",IF(Q370&lt;10,"7,5 ≤ Alc. Bruta &lt; 10,0 mg/L",IF(Q370&lt;15,"10,0 ≤ Alca. Bruta &lt; 15,0 mg/L","Alc. Bruta &gt; 15 mg/L"))))))</f>
        <v>7,5 ≤ Alc. Bruta &lt; 10,0 mg/L</v>
      </c>
      <c r="BA370" s="136" t="str">
        <f>IF(P370="","",IF(P370&lt;5,"Cor &lt;5 uC",IF(P370&lt;10,"5 ≤ Cor &lt; 10 uC",IF(P370&lt;15,"10 ≤ Cor &lt;15 uC",IF(P370&lt;30,"15 ≤ Cor &lt; 30 uC",IF(P370&lt;50,"30 ≤ Cor &lt; 50 uC","Cor &gt; 50 uC"))))))</f>
        <v>10 ≤ Cor &lt;15 uC</v>
      </c>
      <c r="BB370" s="137" t="str">
        <f>IF(O370="","",IF(O370&lt;2.5,"Turbidez &lt; 2,5 uT",IF(O370&lt;5,"2,5 ≤ Turb &lt; 5,0 uT",IF(O370&lt;7.5,"5,0 ≤ Turb &lt; 7,5 uT",IF(O370&lt;10,"7,5 ≤ Turb &lt; 10,0 uT",IF(O370&lt;15,"10,0 ≤ Turb &lt; 15,0 uT","Turb &gt; 15 uT"))))))</f>
        <v>Turbidez &lt; 2,5 uT</v>
      </c>
      <c r="BC370" s="138" t="str">
        <f>IF(AND(C370&gt;D370,D370&gt;E370),"TOR &gt; SM &gt; BNN",IF(AND(C370&gt;E370,E370&gt;D370),"TOR &gt; BNN &gt; SM",IF(AND(D370&gt;C370,C370&gt;E370),"SM &gt; TOR &gt; BNN",IF(AND(D370&gt;E370,E370&gt;C370),"SM &gt; BNN &gt; TOR",IF(AND(C370=D370,D370=E370),"TOR = SM = BNN","Comb. diferentes")))))</f>
        <v>SM &gt; TOR &gt; BNN</v>
      </c>
      <c r="BD370" s="137" t="str">
        <f>IF(OR(AE370="",AQ370="-"),"",IF(AE370&lt;=0.25,"Tipo 1 (≤0,25) uT",IF(AE370&lt;=0.5,"Tipo 2 (0,25-0,50) uT",IF(AE370&lt;=0.75,"Tipo 3 (0,50-0,75) uT","Tipo 4 (&gt;0,75) uT"))))</f>
        <v>Tipo 1 (≤0,25) uT</v>
      </c>
      <c r="BE370" s="137" t="str">
        <f t="shared" si="35"/>
        <v>Tipo 1 (≤0,25) uT</v>
      </c>
      <c r="BF370" s="137" t="str">
        <f>IF(OR(AF370="",AQ370="-"),"",IF(AF370&lt;=0.25,"Tipo 1 (≤0,25) uT",IF(AF370&lt;=0.5,"Tipo 2 (0,25-0,50) uT",IF(AF370&lt;=0.75,"Tipo 3 (0,50-0,75) uT","Tipo 4 (&gt;0,75) uT"))))</f>
        <v>Tipo 1 (≤0,25) uT</v>
      </c>
      <c r="BG370" s="137" t="str">
        <f t="shared" si="36"/>
        <v>Tipo 2 (0,25-0,50) uT</v>
      </c>
      <c r="BH370" s="137" t="str">
        <f>IF(OR(R370="",R370="-"),"",IF(R370&lt;=0.25,"Tipo 1 (≤0,25) uT",IF(R370&lt;=0.5,"Tipo 2 (0,25-0,50) uT",IF(R370&lt;=0.75,"Tipo 3 (0,50-0,75) uT","Tipo 4 (&gt;0,75) uT"))))</f>
        <v>Tipo 1 (≤0,25) uT</v>
      </c>
    </row>
    <row r="371" spans="1:60" x14ac:dyDescent="0.3">
      <c r="A371" s="74">
        <v>46299</v>
      </c>
      <c r="B371" s="139">
        <v>0.64583333333333337</v>
      </c>
      <c r="C371" s="116">
        <v>600</v>
      </c>
      <c r="D371" s="116">
        <v>961</v>
      </c>
      <c r="E371" s="116">
        <v>250</v>
      </c>
      <c r="F371" s="116">
        <v>1791</v>
      </c>
      <c r="G371" s="144" t="s">
        <v>100</v>
      </c>
      <c r="H371" s="122">
        <v>9</v>
      </c>
      <c r="I371" s="116">
        <v>41</v>
      </c>
      <c r="J371" s="10">
        <v>90</v>
      </c>
      <c r="K371" s="116">
        <v>90</v>
      </c>
      <c r="L371" s="116">
        <v>90</v>
      </c>
      <c r="M371" s="122">
        <v>25.6</v>
      </c>
      <c r="N371" s="122">
        <v>6.4</v>
      </c>
      <c r="O371" s="79">
        <v>1.7</v>
      </c>
      <c r="P371" s="116">
        <v>14</v>
      </c>
      <c r="Q371" s="122">
        <v>8.1</v>
      </c>
      <c r="R371" s="10">
        <v>0.11</v>
      </c>
      <c r="S371" s="79">
        <v>22.36</v>
      </c>
      <c r="T371" s="79">
        <v>0.88</v>
      </c>
      <c r="U371" s="79">
        <v>0.7</v>
      </c>
      <c r="V371" s="85">
        <f t="shared" si="37"/>
        <v>1432.8</v>
      </c>
      <c r="W371" s="85">
        <f t="shared" si="38"/>
        <v>1273.7660208</v>
      </c>
      <c r="X371" s="85">
        <f t="shared" si="39"/>
        <v>0.88900476046901178</v>
      </c>
      <c r="Y371" s="116">
        <v>2</v>
      </c>
      <c r="Z371" s="116">
        <v>4</v>
      </c>
      <c r="AA371" s="122">
        <v>5.2</v>
      </c>
      <c r="AB371" s="116">
        <v>21</v>
      </c>
      <c r="AC371" s="122">
        <v>6.1</v>
      </c>
      <c r="AD371" s="122">
        <v>5.4</v>
      </c>
      <c r="AE371" s="79">
        <v>0.12</v>
      </c>
      <c r="AF371" s="79">
        <v>0.19</v>
      </c>
      <c r="AG371" s="85">
        <f>(O371+0.3*H371+2)*(F371/2/AK371)</f>
        <v>1432.8</v>
      </c>
      <c r="AH371" s="85">
        <f t="shared" si="40"/>
        <v>1900.6500864</v>
      </c>
      <c r="AI371" s="85">
        <f t="shared" si="41"/>
        <v>1.3265285360134003</v>
      </c>
      <c r="AJ371" s="116">
        <v>2</v>
      </c>
      <c r="AK371" s="116">
        <v>4</v>
      </c>
      <c r="AL371" s="122">
        <v>6.4</v>
      </c>
      <c r="AM371" s="116">
        <v>24</v>
      </c>
      <c r="AN371" s="122">
        <v>6.1</v>
      </c>
      <c r="AO371" s="122">
        <v>5.3</v>
      </c>
      <c r="AP371" s="79">
        <v>0.16</v>
      </c>
      <c r="AQ371" s="149">
        <v>0.33</v>
      </c>
      <c r="AR371" s="132">
        <f>SUM(C371:E371)</f>
        <v>1811</v>
      </c>
      <c r="AS371" s="134">
        <f>C371/AR371</f>
        <v>0.33130866924351188</v>
      </c>
      <c r="AT371" s="134">
        <f>D371/AR371</f>
        <v>0.5306460519050249</v>
      </c>
      <c r="AU371" s="134">
        <f>E371/AR371</f>
        <v>0.13804527885146328</v>
      </c>
      <c r="AV371" s="151">
        <f>IF(AND(F371&lt;&gt;"",Z371&lt;&gt;""),AB371/(F371/2/Z371),"")</f>
        <v>9.380234505862646E-2</v>
      </c>
      <c r="AW371" s="151">
        <f>IF(AND(F371&lt;&gt;"",AK371&lt;&gt;""),AM371/(F371/2/AK371),"")</f>
        <v>0.10720268006700168</v>
      </c>
      <c r="AX371" s="43">
        <f>IF(AND(AQ371&lt;&gt;"",1-(AQ371/O371)&gt;0),1-(AQ371/O371),"")</f>
        <v>0.80588235294117649</v>
      </c>
      <c r="AY371" s="41">
        <f>IF(AND(AF371&lt;&gt;"",1-(AF371/O371)&gt;0),1-(AF371/O371),"")</f>
        <v>0.88823529411764701</v>
      </c>
      <c r="AZ371" s="136" t="str">
        <f>IF(Q371="","",IF(Q371&lt;2.5,"Alc. Bruta &lt; 2,5 mg/L",IF(Q371&lt;5,"2,5 ≤ Alc. Bruta &lt; 5,0 mg/L",IF(Q371&lt;7.5,"5,0 ≤ Alc. Bruta &lt; 7,5 mg/L",IF(Q371&lt;10,"7,5 ≤ Alc. Bruta &lt; 10,0 mg/L",IF(Q371&lt;15,"10,0 ≤ Alca. Bruta &lt; 15,0 mg/L","Alc. Bruta &gt; 15 mg/L"))))))</f>
        <v>7,5 ≤ Alc. Bruta &lt; 10,0 mg/L</v>
      </c>
      <c r="BA371" s="136" t="str">
        <f>IF(P371="","",IF(P371&lt;5,"Cor &lt;5 uC",IF(P371&lt;10,"5 ≤ Cor &lt; 10 uC",IF(P371&lt;15,"10 ≤ Cor &lt;15 uC",IF(P371&lt;30,"15 ≤ Cor &lt; 30 uC",IF(P371&lt;50,"30 ≤ Cor &lt; 50 uC","Cor &gt; 50 uC"))))))</f>
        <v>10 ≤ Cor &lt;15 uC</v>
      </c>
      <c r="BB371" s="137" t="str">
        <f>IF(O371="","",IF(O371&lt;2.5,"Turbidez &lt; 2,5 uT",IF(O371&lt;5,"2,5 ≤ Turb &lt; 5,0 uT",IF(O371&lt;7.5,"5,0 ≤ Turb &lt; 7,5 uT",IF(O371&lt;10,"7,5 ≤ Turb &lt; 10,0 uT",IF(O371&lt;15,"10,0 ≤ Turb &lt; 15,0 uT","Turb &gt; 15 uT"))))))</f>
        <v>Turbidez &lt; 2,5 uT</v>
      </c>
      <c r="BC371" s="138" t="str">
        <f>IF(AND(C371&gt;D371,D371&gt;E371),"TOR &gt; SM &gt; BNN",IF(AND(C371&gt;E371,E371&gt;D371),"TOR &gt; BNN &gt; SM",IF(AND(D371&gt;C371,C371&gt;E371),"SM &gt; TOR &gt; BNN",IF(AND(D371&gt;E371,E371&gt;C371),"SM &gt; BNN &gt; TOR",IF(AND(C371=D371,D371=E371),"TOR = SM = BNN","Comb. diferentes")))))</f>
        <v>SM &gt; TOR &gt; BNN</v>
      </c>
      <c r="BD371" s="137" t="str">
        <f>IF(OR(AE371="",AQ371="-"),"",IF(AE371&lt;=0.25,"Tipo 1 (≤0,25) uT",IF(AE371&lt;=0.5,"Tipo 2 (0,25-0,50) uT",IF(AE371&lt;=0.75,"Tipo 3 (0,50-0,75) uT","Tipo 4 (&gt;0,75) uT"))))</f>
        <v>Tipo 1 (≤0,25) uT</v>
      </c>
      <c r="BE371" s="137" t="str">
        <f t="shared" si="35"/>
        <v>Tipo 1 (≤0,25) uT</v>
      </c>
      <c r="BF371" s="137" t="str">
        <f>IF(OR(AF371="",AQ371="-"),"",IF(AF371&lt;=0.25,"Tipo 1 (≤0,25) uT",IF(AF371&lt;=0.5,"Tipo 2 (0,25-0,50) uT",IF(AF371&lt;=0.75,"Tipo 3 (0,50-0,75) uT","Tipo 4 (&gt;0,75) uT"))))</f>
        <v>Tipo 1 (≤0,25) uT</v>
      </c>
      <c r="BG371" s="137" t="str">
        <f t="shared" si="36"/>
        <v>Tipo 2 (0,25-0,50) uT</v>
      </c>
      <c r="BH371" s="137" t="str">
        <f>IF(OR(R371="",R371="-"),"",IF(R371&lt;=0.25,"Tipo 1 (≤0,25) uT",IF(R371&lt;=0.5,"Tipo 2 (0,25-0,50) uT",IF(R371&lt;=0.75,"Tipo 3 (0,50-0,75) uT","Tipo 4 (&gt;0,75) uT"))))</f>
        <v>Tipo 1 (≤0,25) uT</v>
      </c>
    </row>
    <row r="372" spans="1:60" x14ac:dyDescent="0.3">
      <c r="A372" s="74">
        <v>46299</v>
      </c>
      <c r="B372" s="139">
        <v>0.72916666666666663</v>
      </c>
      <c r="C372" s="116">
        <v>600</v>
      </c>
      <c r="D372" s="116">
        <v>987</v>
      </c>
      <c r="E372" s="116">
        <v>200</v>
      </c>
      <c r="F372" s="116">
        <v>1807</v>
      </c>
      <c r="G372" s="144" t="s">
        <v>100</v>
      </c>
      <c r="H372" s="122">
        <v>9</v>
      </c>
      <c r="I372" s="116">
        <v>37</v>
      </c>
      <c r="J372" s="10">
        <v>90</v>
      </c>
      <c r="K372" s="116">
        <v>90</v>
      </c>
      <c r="L372" s="116">
        <v>90</v>
      </c>
      <c r="M372" s="122">
        <v>25.8</v>
      </c>
      <c r="N372" s="122">
        <v>6.5</v>
      </c>
      <c r="O372" s="79">
        <v>1.64</v>
      </c>
      <c r="P372" s="116">
        <v>14</v>
      </c>
      <c r="Q372" s="122">
        <v>7.6</v>
      </c>
      <c r="R372" s="10">
        <v>0.08</v>
      </c>
      <c r="S372" s="79">
        <v>22.36</v>
      </c>
      <c r="T372" s="79">
        <v>0.88</v>
      </c>
      <c r="U372" s="79">
        <v>0.7</v>
      </c>
      <c r="V372" s="85">
        <f t="shared" si="37"/>
        <v>1432.0474999999999</v>
      </c>
      <c r="W372" s="85">
        <f t="shared" si="38"/>
        <v>1273.7660208</v>
      </c>
      <c r="X372" s="85">
        <f t="shared" si="39"/>
        <v>0.88947190704218959</v>
      </c>
      <c r="Y372" s="116">
        <v>2</v>
      </c>
      <c r="Z372" s="116">
        <v>4</v>
      </c>
      <c r="AA372" s="122">
        <v>5.2</v>
      </c>
      <c r="AB372" s="116">
        <v>21</v>
      </c>
      <c r="AC372" s="122">
        <v>6.1</v>
      </c>
      <c r="AD372" s="122">
        <v>5.3</v>
      </c>
      <c r="AE372" s="79">
        <v>0.11</v>
      </c>
      <c r="AF372" s="79">
        <v>0.31</v>
      </c>
      <c r="AG372" s="85">
        <f>(O372+0.3*H372+2)*(F372/2/AK372)</f>
        <v>1432.0474999999999</v>
      </c>
      <c r="AH372" s="85">
        <f t="shared" si="40"/>
        <v>1900.6500864</v>
      </c>
      <c r="AI372" s="85">
        <f t="shared" si="41"/>
        <v>1.3272255888160136</v>
      </c>
      <c r="AJ372" s="116">
        <v>2</v>
      </c>
      <c r="AK372" s="116">
        <v>4</v>
      </c>
      <c r="AL372" s="122">
        <v>6.4</v>
      </c>
      <c r="AM372" s="116">
        <v>24</v>
      </c>
      <c r="AN372" s="122">
        <v>6.1</v>
      </c>
      <c r="AO372" s="122">
        <v>5</v>
      </c>
      <c r="AP372" s="79">
        <v>0.15</v>
      </c>
      <c r="AQ372" s="149">
        <v>0.33</v>
      </c>
      <c r="AR372" s="132">
        <f>SUM(C372:E372)</f>
        <v>1787</v>
      </c>
      <c r="AS372" s="134">
        <f>C372/AR372</f>
        <v>0.33575825405707893</v>
      </c>
      <c r="AT372" s="134">
        <f>D372/AR372</f>
        <v>0.5523223279238948</v>
      </c>
      <c r="AU372" s="134">
        <f>E372/AR372</f>
        <v>0.1119194180190263</v>
      </c>
      <c r="AV372" s="151">
        <f>IF(AND(F372&lt;&gt;"",Z372&lt;&gt;""),AB372/(F372/2/Z372),"")</f>
        <v>9.2971776425013836E-2</v>
      </c>
      <c r="AW372" s="151">
        <f>IF(AND(F372&lt;&gt;"",AK372&lt;&gt;""),AM372/(F372/2/AK372),"")</f>
        <v>0.10625345877144439</v>
      </c>
      <c r="AX372" s="43">
        <f>IF(AND(AQ372&lt;&gt;"",1-(AQ372/O372)&gt;0),1-(AQ372/O372),"")</f>
        <v>0.79878048780487809</v>
      </c>
      <c r="AY372" s="41">
        <f>IF(AND(AF372&lt;&gt;"",1-(AF372/O372)&gt;0),1-(AF372/O372),"")</f>
        <v>0.81097560975609762</v>
      </c>
      <c r="AZ372" s="136" t="str">
        <f>IF(Q372="","",IF(Q372&lt;2.5,"Alc. Bruta &lt; 2,5 mg/L",IF(Q372&lt;5,"2,5 ≤ Alc. Bruta &lt; 5,0 mg/L",IF(Q372&lt;7.5,"5,0 ≤ Alc. Bruta &lt; 7,5 mg/L",IF(Q372&lt;10,"7,5 ≤ Alc. Bruta &lt; 10,0 mg/L",IF(Q372&lt;15,"10,0 ≤ Alca. Bruta &lt; 15,0 mg/L","Alc. Bruta &gt; 15 mg/L"))))))</f>
        <v>7,5 ≤ Alc. Bruta &lt; 10,0 mg/L</v>
      </c>
      <c r="BA372" s="136" t="str">
        <f>IF(P372="","",IF(P372&lt;5,"Cor &lt;5 uC",IF(P372&lt;10,"5 ≤ Cor &lt; 10 uC",IF(P372&lt;15,"10 ≤ Cor &lt;15 uC",IF(P372&lt;30,"15 ≤ Cor &lt; 30 uC",IF(P372&lt;50,"30 ≤ Cor &lt; 50 uC","Cor &gt; 50 uC"))))))</f>
        <v>10 ≤ Cor &lt;15 uC</v>
      </c>
      <c r="BB372" s="137" t="str">
        <f>IF(O372="","",IF(O372&lt;2.5,"Turbidez &lt; 2,5 uT",IF(O372&lt;5,"2,5 ≤ Turb &lt; 5,0 uT",IF(O372&lt;7.5,"5,0 ≤ Turb &lt; 7,5 uT",IF(O372&lt;10,"7,5 ≤ Turb &lt; 10,0 uT",IF(O372&lt;15,"10,0 ≤ Turb &lt; 15,0 uT","Turb &gt; 15 uT"))))))</f>
        <v>Turbidez &lt; 2,5 uT</v>
      </c>
      <c r="BC372" s="138" t="str">
        <f>IF(AND(C372&gt;D372,D372&gt;E372),"TOR &gt; SM &gt; BNN",IF(AND(C372&gt;E372,E372&gt;D372),"TOR &gt; BNN &gt; SM",IF(AND(D372&gt;C372,C372&gt;E372),"SM &gt; TOR &gt; BNN",IF(AND(D372&gt;E372,E372&gt;C372),"SM &gt; BNN &gt; TOR",IF(AND(C372=D372,D372=E372),"TOR = SM = BNN","Comb. diferentes")))))</f>
        <v>SM &gt; TOR &gt; BNN</v>
      </c>
      <c r="BD372" s="137" t="str">
        <f>IF(OR(AE372="",AQ372="-"),"",IF(AE372&lt;=0.25,"Tipo 1 (≤0,25) uT",IF(AE372&lt;=0.5,"Tipo 2 (0,25-0,50) uT",IF(AE372&lt;=0.75,"Tipo 3 (0,50-0,75) uT","Tipo 4 (&gt;0,75) uT"))))</f>
        <v>Tipo 1 (≤0,25) uT</v>
      </c>
      <c r="BE372" s="137" t="str">
        <f t="shared" si="35"/>
        <v>Tipo 1 (≤0,25) uT</v>
      </c>
      <c r="BF372" s="137" t="str">
        <f>IF(OR(AF372="",AQ372="-"),"",IF(AF372&lt;=0.25,"Tipo 1 (≤0,25) uT",IF(AF372&lt;=0.5,"Tipo 2 (0,25-0,50) uT",IF(AF372&lt;=0.75,"Tipo 3 (0,50-0,75) uT","Tipo 4 (&gt;0,75) uT"))))</f>
        <v>Tipo 2 (0,25-0,50) uT</v>
      </c>
      <c r="BG372" s="137" t="str">
        <f t="shared" si="36"/>
        <v>Tipo 2 (0,25-0,50) uT</v>
      </c>
      <c r="BH372" s="137" t="str">
        <f>IF(OR(R372="",R372="-"),"",IF(R372&lt;=0.25,"Tipo 1 (≤0,25) uT",IF(R372&lt;=0.5,"Tipo 2 (0,25-0,50) uT",IF(R372&lt;=0.75,"Tipo 3 (0,50-0,75) uT","Tipo 4 (&gt;0,75) uT"))))</f>
        <v>Tipo 1 (≤0,25) uT</v>
      </c>
    </row>
    <row r="373" spans="1:60" x14ac:dyDescent="0.3">
      <c r="A373" s="74">
        <v>46299</v>
      </c>
      <c r="B373" s="139">
        <v>0.8125</v>
      </c>
      <c r="C373" s="116">
        <v>600</v>
      </c>
      <c r="D373" s="116">
        <v>914</v>
      </c>
      <c r="E373" s="116">
        <v>250</v>
      </c>
      <c r="F373" s="116">
        <v>1780</v>
      </c>
      <c r="G373" s="144" t="s">
        <v>100</v>
      </c>
      <c r="H373" s="122">
        <v>9</v>
      </c>
      <c r="I373" s="116">
        <v>36</v>
      </c>
      <c r="J373" s="10">
        <v>90</v>
      </c>
      <c r="K373" s="116">
        <v>90</v>
      </c>
      <c r="L373" s="116">
        <v>90</v>
      </c>
      <c r="M373" s="122">
        <v>24.4</v>
      </c>
      <c r="N373" s="122">
        <v>6.6</v>
      </c>
      <c r="O373" s="79">
        <v>1.86</v>
      </c>
      <c r="P373" s="116">
        <v>13</v>
      </c>
      <c r="Q373" s="122">
        <v>6.1</v>
      </c>
      <c r="R373" s="10">
        <v>0.08</v>
      </c>
      <c r="S373" s="79">
        <v>22.36</v>
      </c>
      <c r="T373" s="79">
        <v>0.88</v>
      </c>
      <c r="U373" s="79">
        <v>0.7</v>
      </c>
      <c r="V373" s="85">
        <f t="shared" si="37"/>
        <v>1946.1333333333334</v>
      </c>
      <c r="W373" s="85">
        <f t="shared" si="38"/>
        <v>1534.0335140000002</v>
      </c>
      <c r="X373" s="85">
        <f t="shared" si="39"/>
        <v>0.78824687277336258</v>
      </c>
      <c r="Y373" s="116">
        <v>2</v>
      </c>
      <c r="Z373" s="116">
        <v>3</v>
      </c>
      <c r="AA373" s="122">
        <v>6.5</v>
      </c>
      <c r="AB373" s="116">
        <v>19</v>
      </c>
      <c r="AC373" s="122">
        <v>6.2</v>
      </c>
      <c r="AD373" s="122">
        <v>4.7</v>
      </c>
      <c r="AE373" s="79">
        <v>0.25</v>
      </c>
      <c r="AF373" s="79">
        <v>0.34</v>
      </c>
      <c r="AG373" s="85">
        <f>(O373+0.3*H373+2)*(F373/2/AK373)</f>
        <v>1459.6</v>
      </c>
      <c r="AH373" s="85">
        <f t="shared" si="40"/>
        <v>1979.8438399999998</v>
      </c>
      <c r="AI373" s="85">
        <f t="shared" si="41"/>
        <v>1.3564290490545354</v>
      </c>
      <c r="AJ373" s="116">
        <v>2</v>
      </c>
      <c r="AK373" s="116">
        <v>4</v>
      </c>
      <c r="AL373" s="122">
        <v>6.4</v>
      </c>
      <c r="AM373" s="116">
        <v>25</v>
      </c>
      <c r="AN373" s="122">
        <v>6.1</v>
      </c>
      <c r="AO373" s="122">
        <v>4.5999999999999996</v>
      </c>
      <c r="AP373" s="79">
        <v>0.2</v>
      </c>
      <c r="AQ373" s="149">
        <v>0.35</v>
      </c>
      <c r="AR373" s="132">
        <f>SUM(C373:E373)</f>
        <v>1764</v>
      </c>
      <c r="AS373" s="134">
        <f>C373/AR373</f>
        <v>0.3401360544217687</v>
      </c>
      <c r="AT373" s="134">
        <f>D373/AR373</f>
        <v>0.51814058956916098</v>
      </c>
      <c r="AU373" s="134">
        <f>E373/AR373</f>
        <v>0.14172335600907029</v>
      </c>
      <c r="AV373" s="151">
        <f>IF(AND(F373&lt;&gt;"",Z373&lt;&gt;""),AB373/(F373/2/Z373),"")</f>
        <v>6.4044943820224715E-2</v>
      </c>
      <c r="AW373" s="151">
        <f>IF(AND(F373&lt;&gt;"",AK373&lt;&gt;""),AM373/(F373/2/AK373),"")</f>
        <v>0.11235955056179775</v>
      </c>
      <c r="AX373" s="43">
        <f>IF(AND(AQ373&lt;&gt;"",1-(AQ373/O373)&gt;0),1-(AQ373/O373),"")</f>
        <v>0.81182795698924737</v>
      </c>
      <c r="AY373" s="41">
        <f>IF(AND(AF373&lt;&gt;"",1-(AF373/O373)&gt;0),1-(AF373/O373),"")</f>
        <v>0.81720430107526876</v>
      </c>
      <c r="AZ373" s="136" t="str">
        <f>IF(Q373="","",IF(Q373&lt;2.5,"Alc. Bruta &lt; 2,5 mg/L",IF(Q373&lt;5,"2,5 ≤ Alc. Bruta &lt; 5,0 mg/L",IF(Q373&lt;7.5,"5,0 ≤ Alc. Bruta &lt; 7,5 mg/L",IF(Q373&lt;10,"7,5 ≤ Alc. Bruta &lt; 10,0 mg/L",IF(Q373&lt;15,"10,0 ≤ Alca. Bruta &lt; 15,0 mg/L","Alc. Bruta &gt; 15 mg/L"))))))</f>
        <v>5,0 ≤ Alc. Bruta &lt; 7,5 mg/L</v>
      </c>
      <c r="BA373" s="136" t="str">
        <f>IF(P373="","",IF(P373&lt;5,"Cor &lt;5 uC",IF(P373&lt;10,"5 ≤ Cor &lt; 10 uC",IF(P373&lt;15,"10 ≤ Cor &lt;15 uC",IF(P373&lt;30,"15 ≤ Cor &lt; 30 uC",IF(P373&lt;50,"30 ≤ Cor &lt; 50 uC","Cor &gt; 50 uC"))))))</f>
        <v>10 ≤ Cor &lt;15 uC</v>
      </c>
      <c r="BB373" s="137" t="str">
        <f>IF(O373="","",IF(O373&lt;2.5,"Turbidez &lt; 2,5 uT",IF(O373&lt;5,"2,5 ≤ Turb &lt; 5,0 uT",IF(O373&lt;7.5,"5,0 ≤ Turb &lt; 7,5 uT",IF(O373&lt;10,"7,5 ≤ Turb &lt; 10,0 uT",IF(O373&lt;15,"10,0 ≤ Turb &lt; 15,0 uT","Turb &gt; 15 uT"))))))</f>
        <v>Turbidez &lt; 2,5 uT</v>
      </c>
      <c r="BC373" s="138" t="str">
        <f>IF(AND(C373&gt;D373,D373&gt;E373),"TOR &gt; SM &gt; BNN",IF(AND(C373&gt;E373,E373&gt;D373),"TOR &gt; BNN &gt; SM",IF(AND(D373&gt;C373,C373&gt;E373),"SM &gt; TOR &gt; BNN",IF(AND(D373&gt;E373,E373&gt;C373),"SM &gt; BNN &gt; TOR",IF(AND(C373=D373,D373=E373),"TOR = SM = BNN","Comb. diferentes")))))</f>
        <v>SM &gt; TOR &gt; BNN</v>
      </c>
      <c r="BD373" s="137" t="str">
        <f>IF(OR(AE373="",AQ373="-"),"",IF(AE373&lt;=0.25,"Tipo 1 (≤0,25) uT",IF(AE373&lt;=0.5,"Tipo 2 (0,25-0,50) uT",IF(AE373&lt;=0.75,"Tipo 3 (0,50-0,75) uT","Tipo 4 (&gt;0,75) uT"))))</f>
        <v>Tipo 1 (≤0,25) uT</v>
      </c>
      <c r="BE373" s="137" t="str">
        <f t="shared" si="35"/>
        <v>Tipo 1 (≤0,25) uT</v>
      </c>
      <c r="BF373" s="137" t="str">
        <f>IF(OR(AF373="",AQ373="-"),"",IF(AF373&lt;=0.25,"Tipo 1 (≤0,25) uT",IF(AF373&lt;=0.5,"Tipo 2 (0,25-0,50) uT",IF(AF373&lt;=0.75,"Tipo 3 (0,50-0,75) uT","Tipo 4 (&gt;0,75) uT"))))</f>
        <v>Tipo 2 (0,25-0,50) uT</v>
      </c>
      <c r="BG373" s="137" t="str">
        <f t="shared" si="36"/>
        <v>Tipo 2 (0,25-0,50) uT</v>
      </c>
      <c r="BH373" s="137" t="str">
        <f>IF(OR(R373="",R373="-"),"",IF(R373&lt;=0.25,"Tipo 1 (≤0,25) uT",IF(R373&lt;=0.5,"Tipo 2 (0,25-0,50) uT",IF(R373&lt;=0.75,"Tipo 3 (0,50-0,75) uT","Tipo 4 (&gt;0,75) uT"))))</f>
        <v>Tipo 1 (≤0,25) uT</v>
      </c>
    </row>
    <row r="374" spans="1:60" x14ac:dyDescent="0.3">
      <c r="A374" s="74">
        <v>46299</v>
      </c>
      <c r="B374" s="139">
        <v>0.89583333333333337</v>
      </c>
      <c r="C374" s="116">
        <v>602</v>
      </c>
      <c r="D374" s="116">
        <v>914</v>
      </c>
      <c r="E374" s="116">
        <v>249</v>
      </c>
      <c r="F374" s="116">
        <v>1775</v>
      </c>
      <c r="G374" s="144" t="s">
        <v>100</v>
      </c>
      <c r="H374" s="122">
        <v>9</v>
      </c>
      <c r="I374" s="116">
        <v>35</v>
      </c>
      <c r="J374" s="10">
        <v>90</v>
      </c>
      <c r="K374" s="116">
        <v>90</v>
      </c>
      <c r="L374" s="116">
        <v>90</v>
      </c>
      <c r="M374" s="122">
        <v>25.1</v>
      </c>
      <c r="N374" s="122">
        <v>6.4</v>
      </c>
      <c r="O374" s="79">
        <v>1.76</v>
      </c>
      <c r="P374" s="116">
        <v>12</v>
      </c>
      <c r="Q374" s="122">
        <v>6.3</v>
      </c>
      <c r="R374" s="10">
        <v>7.0000000000000007E-2</v>
      </c>
      <c r="S374" s="79">
        <v>22.36</v>
      </c>
      <c r="T374" s="79">
        <v>0.88</v>
      </c>
      <c r="U374" s="79">
        <v>0.7</v>
      </c>
      <c r="V374" s="85">
        <f t="shared" si="37"/>
        <v>1911.0833333333333</v>
      </c>
      <c r="W374" s="85">
        <f t="shared" si="38"/>
        <v>1534.0335140000002</v>
      </c>
      <c r="X374" s="85">
        <f t="shared" si="39"/>
        <v>0.8027036222038112</v>
      </c>
      <c r="Y374" s="116">
        <v>2</v>
      </c>
      <c r="Z374" s="116">
        <v>3</v>
      </c>
      <c r="AA374" s="122">
        <v>6.5</v>
      </c>
      <c r="AB374" s="116">
        <v>19</v>
      </c>
      <c r="AC374" s="122">
        <v>6.2</v>
      </c>
      <c r="AD374" s="122">
        <v>4.5999999999999996</v>
      </c>
      <c r="AE374" s="79">
        <v>0.17</v>
      </c>
      <c r="AF374" s="79">
        <v>0.35</v>
      </c>
      <c r="AG374" s="85">
        <f>(O374+0.3*H374+2)*(F374/2/AK374)</f>
        <v>1433.3125</v>
      </c>
      <c r="AH374" s="85">
        <f t="shared" si="40"/>
        <v>1979.8438399999998</v>
      </c>
      <c r="AI374" s="85">
        <f t="shared" si="41"/>
        <v>1.381306477129028</v>
      </c>
      <c r="AJ374" s="116">
        <v>2</v>
      </c>
      <c r="AK374" s="116">
        <v>4</v>
      </c>
      <c r="AL374" s="122">
        <v>6.4</v>
      </c>
      <c r="AM374" s="116">
        <v>25</v>
      </c>
      <c r="AN374" s="122">
        <v>6.3</v>
      </c>
      <c r="AO374" s="122">
        <v>4.4000000000000004</v>
      </c>
      <c r="AP374" s="79">
        <v>0.18</v>
      </c>
      <c r="AQ374" s="149">
        <v>0.42</v>
      </c>
      <c r="AR374" s="132">
        <f>SUM(C374:E374)</f>
        <v>1765</v>
      </c>
      <c r="AS374" s="134">
        <f>C374/AR374</f>
        <v>0.34107648725212464</v>
      </c>
      <c r="AT374" s="134">
        <f>D374/AR374</f>
        <v>0.51784702549575068</v>
      </c>
      <c r="AU374" s="134">
        <f>E374/AR374</f>
        <v>0.14107648725212465</v>
      </c>
      <c r="AV374" s="151">
        <f>IF(AND(F374&lt;&gt;"",Z374&lt;&gt;""),AB374/(F374/2/Z374),"")</f>
        <v>6.4225352112676062E-2</v>
      </c>
      <c r="AW374" s="151">
        <f>IF(AND(F374&lt;&gt;"",AK374&lt;&gt;""),AM374/(F374/2/AK374),"")</f>
        <v>0.11267605633802817</v>
      </c>
      <c r="AX374" s="43">
        <f>IF(AND(AQ374&lt;&gt;"",1-(AQ374/O374)&gt;0),1-(AQ374/O374),"")</f>
        <v>0.76136363636363635</v>
      </c>
      <c r="AY374" s="41">
        <f>IF(AND(AF374&lt;&gt;"",1-(AF374/O374)&gt;0),1-(AF374/O374),"")</f>
        <v>0.80113636363636365</v>
      </c>
      <c r="AZ374" s="136" t="str">
        <f>IF(Q374="","",IF(Q374&lt;2.5,"Alc. Bruta &lt; 2,5 mg/L",IF(Q374&lt;5,"2,5 ≤ Alc. Bruta &lt; 5,0 mg/L",IF(Q374&lt;7.5,"5,0 ≤ Alc. Bruta &lt; 7,5 mg/L",IF(Q374&lt;10,"7,5 ≤ Alc. Bruta &lt; 10,0 mg/L",IF(Q374&lt;15,"10,0 ≤ Alca. Bruta &lt; 15,0 mg/L","Alc. Bruta &gt; 15 mg/L"))))))</f>
        <v>5,0 ≤ Alc. Bruta &lt; 7,5 mg/L</v>
      </c>
      <c r="BA374" s="136" t="str">
        <f>IF(P374="","",IF(P374&lt;5,"Cor &lt;5 uC",IF(P374&lt;10,"5 ≤ Cor &lt; 10 uC",IF(P374&lt;15,"10 ≤ Cor &lt;15 uC",IF(P374&lt;30,"15 ≤ Cor &lt; 30 uC",IF(P374&lt;50,"30 ≤ Cor &lt; 50 uC","Cor &gt; 50 uC"))))))</f>
        <v>10 ≤ Cor &lt;15 uC</v>
      </c>
      <c r="BB374" s="137" t="str">
        <f>IF(O374="","",IF(O374&lt;2.5,"Turbidez &lt; 2,5 uT",IF(O374&lt;5,"2,5 ≤ Turb &lt; 5,0 uT",IF(O374&lt;7.5,"5,0 ≤ Turb &lt; 7,5 uT",IF(O374&lt;10,"7,5 ≤ Turb &lt; 10,0 uT",IF(O374&lt;15,"10,0 ≤ Turb &lt; 15,0 uT","Turb &gt; 15 uT"))))))</f>
        <v>Turbidez &lt; 2,5 uT</v>
      </c>
      <c r="BC374" s="138" t="str">
        <f>IF(AND(C374&gt;D374,D374&gt;E374),"TOR &gt; SM &gt; BNN",IF(AND(C374&gt;E374,E374&gt;D374),"TOR &gt; BNN &gt; SM",IF(AND(D374&gt;C374,C374&gt;E374),"SM &gt; TOR &gt; BNN",IF(AND(D374&gt;E374,E374&gt;C374),"SM &gt; BNN &gt; TOR",IF(AND(C374=D374,D374=E374),"TOR = SM = BNN","Comb. diferentes")))))</f>
        <v>SM &gt; TOR &gt; BNN</v>
      </c>
      <c r="BD374" s="137" t="str">
        <f>IF(OR(AE374="",AQ374="-"),"",IF(AE374&lt;=0.25,"Tipo 1 (≤0,25) uT",IF(AE374&lt;=0.5,"Tipo 2 (0,25-0,50) uT",IF(AE374&lt;=0.75,"Tipo 3 (0,50-0,75) uT","Tipo 4 (&gt;0,75) uT"))))</f>
        <v>Tipo 1 (≤0,25) uT</v>
      </c>
      <c r="BE374" s="137" t="str">
        <f t="shared" si="35"/>
        <v>Tipo 1 (≤0,25) uT</v>
      </c>
      <c r="BF374" s="137" t="str">
        <f>IF(OR(AF374="",AQ374="-"),"",IF(AF374&lt;=0.25,"Tipo 1 (≤0,25) uT",IF(AF374&lt;=0.5,"Tipo 2 (0,25-0,50) uT",IF(AF374&lt;=0.75,"Tipo 3 (0,50-0,75) uT","Tipo 4 (&gt;0,75) uT"))))</f>
        <v>Tipo 2 (0,25-0,50) uT</v>
      </c>
      <c r="BG374" s="137" t="str">
        <f t="shared" si="36"/>
        <v>Tipo 2 (0,25-0,50) uT</v>
      </c>
      <c r="BH374" s="137" t="str">
        <f>IF(OR(R374="",R374="-"),"",IF(R374&lt;=0.25,"Tipo 1 (≤0,25) uT",IF(R374&lt;=0.5,"Tipo 2 (0,25-0,50) uT",IF(R374&lt;=0.75,"Tipo 3 (0,50-0,75) uT","Tipo 4 (&gt;0,75) uT"))))</f>
        <v>Tipo 1 (≤0,25) uT</v>
      </c>
    </row>
    <row r="375" spans="1:60" x14ac:dyDescent="0.3">
      <c r="A375" s="74">
        <v>46300</v>
      </c>
      <c r="B375" s="139">
        <v>6.25E-2</v>
      </c>
      <c r="C375" s="116">
        <v>607</v>
      </c>
      <c r="D375" s="116">
        <v>916</v>
      </c>
      <c r="E375" s="116">
        <v>250</v>
      </c>
      <c r="F375" s="116">
        <v>1830</v>
      </c>
      <c r="G375" s="144" t="s">
        <v>100</v>
      </c>
      <c r="H375" s="122">
        <v>9</v>
      </c>
      <c r="I375" s="116">
        <v>35</v>
      </c>
      <c r="J375" s="10">
        <v>90</v>
      </c>
      <c r="K375" s="116">
        <v>90</v>
      </c>
      <c r="L375" s="116">
        <v>90</v>
      </c>
      <c r="M375" s="122">
        <v>24.8</v>
      </c>
      <c r="N375" s="122">
        <v>6.5</v>
      </c>
      <c r="O375" s="79">
        <v>1.87</v>
      </c>
      <c r="P375" s="116">
        <v>10</v>
      </c>
      <c r="Q375" s="122">
        <v>7</v>
      </c>
      <c r="R375" s="10">
        <v>0.1</v>
      </c>
      <c r="S375" s="79">
        <v>22.36</v>
      </c>
      <c r="T375" s="79">
        <v>0.88</v>
      </c>
      <c r="U375" s="79">
        <v>0.7</v>
      </c>
      <c r="V375" s="85">
        <f t="shared" si="37"/>
        <v>2003.8500000000001</v>
      </c>
      <c r="W375" s="85">
        <f t="shared" si="38"/>
        <v>1453.2949080000001</v>
      </c>
      <c r="X375" s="85">
        <f t="shared" si="39"/>
        <v>0.72525134516056589</v>
      </c>
      <c r="Y375" s="116">
        <v>2</v>
      </c>
      <c r="Z375" s="116">
        <v>3</v>
      </c>
      <c r="AA375" s="122">
        <v>6.5</v>
      </c>
      <c r="AB375" s="116">
        <v>18</v>
      </c>
      <c r="AC375" s="122">
        <v>6.1</v>
      </c>
      <c r="AD375" s="122">
        <v>3.6</v>
      </c>
      <c r="AE375" s="79">
        <v>0.28000000000000003</v>
      </c>
      <c r="AF375" s="79">
        <v>0.41</v>
      </c>
      <c r="AG375" s="85">
        <f>(O375+0.3*H375+2)*(F375/2/AK375)</f>
        <v>1502.8875</v>
      </c>
      <c r="AH375" s="85">
        <f t="shared" si="40"/>
        <v>1979.8438399999998</v>
      </c>
      <c r="AI375" s="85">
        <f t="shared" si="41"/>
        <v>1.3173599753807252</v>
      </c>
      <c r="AJ375" s="116">
        <v>2</v>
      </c>
      <c r="AK375" s="116">
        <v>4</v>
      </c>
      <c r="AL375" s="122">
        <v>6.4</v>
      </c>
      <c r="AM375" s="116">
        <v>25</v>
      </c>
      <c r="AN375" s="122">
        <v>6.2</v>
      </c>
      <c r="AO375" s="122">
        <v>3.8</v>
      </c>
      <c r="AP375" s="79">
        <v>0.27</v>
      </c>
      <c r="AQ375" s="149">
        <v>0.39</v>
      </c>
      <c r="AR375" s="132">
        <f>SUM(C375:E375)</f>
        <v>1773</v>
      </c>
      <c r="AS375" s="134">
        <f>C375/AR375</f>
        <v>0.34235758601240834</v>
      </c>
      <c r="AT375" s="134">
        <f>D375/AR375</f>
        <v>0.51663846587704454</v>
      </c>
      <c r="AU375" s="134">
        <f>E375/AR375</f>
        <v>0.14100394811054709</v>
      </c>
      <c r="AV375" s="151">
        <f>IF(AND(F375&lt;&gt;"",Z375&lt;&gt;""),AB375/(F375/2/Z375),"")</f>
        <v>5.9016393442622953E-2</v>
      </c>
      <c r="AW375" s="151">
        <f>IF(AND(F375&lt;&gt;"",AK375&lt;&gt;""),AM375/(F375/2/AK375),"")</f>
        <v>0.10928961748633879</v>
      </c>
      <c r="AX375" s="43">
        <f>IF(AND(AQ375&lt;&gt;"",1-(AQ375/O375)&gt;0),1-(AQ375/O375),"")</f>
        <v>0.79144385026737973</v>
      </c>
      <c r="AY375" s="41">
        <f>IF(AND(AF375&lt;&gt;"",1-(AF375/O375)&gt;0),1-(AF375/O375),"")</f>
        <v>0.78074866310160429</v>
      </c>
      <c r="AZ375" s="136" t="str">
        <f>IF(Q375="","",IF(Q375&lt;2.5,"Alc. Bruta &lt; 2,5 mg/L",IF(Q375&lt;5,"2,5 ≤ Alc. Bruta &lt; 5,0 mg/L",IF(Q375&lt;7.5,"5,0 ≤ Alc. Bruta &lt; 7,5 mg/L",IF(Q375&lt;10,"7,5 ≤ Alc. Bruta &lt; 10,0 mg/L",IF(Q375&lt;15,"10,0 ≤ Alca. Bruta &lt; 15,0 mg/L","Alc. Bruta &gt; 15 mg/L"))))))</f>
        <v>5,0 ≤ Alc. Bruta &lt; 7,5 mg/L</v>
      </c>
      <c r="BA375" s="136" t="str">
        <f>IF(P375="","",IF(P375&lt;5,"Cor &lt;5 uC",IF(P375&lt;10,"5 ≤ Cor &lt; 10 uC",IF(P375&lt;15,"10 ≤ Cor &lt;15 uC",IF(P375&lt;30,"15 ≤ Cor &lt; 30 uC",IF(P375&lt;50,"30 ≤ Cor &lt; 50 uC","Cor &gt; 50 uC"))))))</f>
        <v>10 ≤ Cor &lt;15 uC</v>
      </c>
      <c r="BB375" s="137" t="str">
        <f>IF(O375="","",IF(O375&lt;2.5,"Turbidez &lt; 2,5 uT",IF(O375&lt;5,"2,5 ≤ Turb &lt; 5,0 uT",IF(O375&lt;7.5,"5,0 ≤ Turb &lt; 7,5 uT",IF(O375&lt;10,"7,5 ≤ Turb &lt; 10,0 uT",IF(O375&lt;15,"10,0 ≤ Turb &lt; 15,0 uT","Turb &gt; 15 uT"))))))</f>
        <v>Turbidez &lt; 2,5 uT</v>
      </c>
      <c r="BC375" s="138" t="str">
        <f>IF(AND(C375&gt;D375,D375&gt;E375),"TOR &gt; SM &gt; BNN",IF(AND(C375&gt;E375,E375&gt;D375),"TOR &gt; BNN &gt; SM",IF(AND(D375&gt;C375,C375&gt;E375),"SM &gt; TOR &gt; BNN",IF(AND(D375&gt;E375,E375&gt;C375),"SM &gt; BNN &gt; TOR",IF(AND(C375=D375,D375=E375),"TOR = SM = BNN","Comb. diferentes")))))</f>
        <v>SM &gt; TOR &gt; BNN</v>
      </c>
      <c r="BD375" s="137" t="str">
        <f>IF(OR(AE375="",AQ375="-"),"",IF(AE375&lt;=0.25,"Tipo 1 (≤0,25) uT",IF(AE375&lt;=0.5,"Tipo 2 (0,25-0,50) uT",IF(AE375&lt;=0.75,"Tipo 3 (0,50-0,75) uT","Tipo 4 (&gt;0,75) uT"))))</f>
        <v>Tipo 2 (0,25-0,50) uT</v>
      </c>
      <c r="BE375" s="137" t="str">
        <f t="shared" si="35"/>
        <v>Tipo 2 (0,25-0,50) uT</v>
      </c>
      <c r="BF375" s="137" t="str">
        <f>IF(OR(AF375="",AQ375="-"),"",IF(AF375&lt;=0.25,"Tipo 1 (≤0,25) uT",IF(AF375&lt;=0.5,"Tipo 2 (0,25-0,50) uT",IF(AF375&lt;=0.75,"Tipo 3 (0,50-0,75) uT","Tipo 4 (&gt;0,75) uT"))))</f>
        <v>Tipo 2 (0,25-0,50) uT</v>
      </c>
      <c r="BG375" s="137" t="str">
        <f t="shared" si="36"/>
        <v>Tipo 2 (0,25-0,50) uT</v>
      </c>
      <c r="BH375" s="137" t="str">
        <f>IF(OR(R375="",R375="-"),"",IF(R375&lt;=0.25,"Tipo 1 (≤0,25) uT",IF(R375&lt;=0.5,"Tipo 2 (0,25-0,50) uT",IF(R375&lt;=0.75,"Tipo 3 (0,50-0,75) uT","Tipo 4 (&gt;0,75) uT"))))</f>
        <v>Tipo 1 (≤0,25) uT</v>
      </c>
    </row>
    <row r="376" spans="1:60" x14ac:dyDescent="0.3">
      <c r="A376" s="74">
        <v>46300</v>
      </c>
      <c r="B376" s="139">
        <v>0.14583333333333334</v>
      </c>
      <c r="C376" s="116">
        <v>905</v>
      </c>
      <c r="D376" s="116">
        <v>306</v>
      </c>
      <c r="E376" s="116">
        <v>250</v>
      </c>
      <c r="F376" s="116">
        <v>1573</v>
      </c>
      <c r="G376" s="144" t="s">
        <v>100</v>
      </c>
      <c r="H376" s="122">
        <v>8.5</v>
      </c>
      <c r="I376" s="116">
        <v>34</v>
      </c>
      <c r="J376" s="10">
        <v>90</v>
      </c>
      <c r="K376" s="116">
        <v>90</v>
      </c>
      <c r="L376" s="116">
        <v>90</v>
      </c>
      <c r="M376" s="122">
        <v>24.7</v>
      </c>
      <c r="N376" s="122">
        <v>6.5</v>
      </c>
      <c r="O376" s="79">
        <v>2.02</v>
      </c>
      <c r="P376" s="116">
        <v>13</v>
      </c>
      <c r="Q376" s="122">
        <v>6.6</v>
      </c>
      <c r="R376" s="10">
        <v>0.1</v>
      </c>
      <c r="S376" s="79">
        <v>22.36</v>
      </c>
      <c r="T376" s="79">
        <v>0.88</v>
      </c>
      <c r="U376" s="79">
        <v>0.7</v>
      </c>
      <c r="V376" s="85">
        <f t="shared" si="37"/>
        <v>1722.4350000000002</v>
      </c>
      <c r="W376" s="85">
        <f t="shared" si="38"/>
        <v>1425.4875648</v>
      </c>
      <c r="X376" s="85">
        <f t="shared" si="39"/>
        <v>0.82760020830974745</v>
      </c>
      <c r="Y376" s="116">
        <v>2</v>
      </c>
      <c r="Z376" s="116">
        <v>3</v>
      </c>
      <c r="AA376" s="122">
        <v>6.4</v>
      </c>
      <c r="AB376" s="116">
        <v>18</v>
      </c>
      <c r="AC376" s="122">
        <v>6</v>
      </c>
      <c r="AD376" s="122">
        <v>4.0999999999999996</v>
      </c>
      <c r="AE376" s="79">
        <v>0.3</v>
      </c>
      <c r="AF376" s="79">
        <v>0.36</v>
      </c>
      <c r="AG376" s="85">
        <f>(O376+0.3*H376+2)*(F376/2/AK376)</f>
        <v>1722.4350000000002</v>
      </c>
      <c r="AH376" s="85">
        <f t="shared" si="40"/>
        <v>1863.5736287999996</v>
      </c>
      <c r="AI376" s="85">
        <f t="shared" si="41"/>
        <v>1.081941338163704</v>
      </c>
      <c r="AJ376" s="116">
        <v>2</v>
      </c>
      <c r="AK376" s="116">
        <v>3</v>
      </c>
      <c r="AL376" s="122">
        <v>6.3</v>
      </c>
      <c r="AM376" s="116">
        <v>24</v>
      </c>
      <c r="AN376" s="122">
        <v>6.1</v>
      </c>
      <c r="AO376" s="122">
        <v>4</v>
      </c>
      <c r="AP376" s="79">
        <v>0.31</v>
      </c>
      <c r="AQ376" s="149">
        <v>0.4</v>
      </c>
      <c r="AR376" s="132">
        <f>SUM(C376:E376)</f>
        <v>1461</v>
      </c>
      <c r="AS376" s="134">
        <f>C376/AR376</f>
        <v>0.6194387405886379</v>
      </c>
      <c r="AT376" s="134">
        <f>D376/AR376</f>
        <v>0.20944558521560575</v>
      </c>
      <c r="AU376" s="134">
        <f>E376/AR376</f>
        <v>0.17111567419575632</v>
      </c>
      <c r="AV376" s="151">
        <f>IF(AND(F376&lt;&gt;"",Z376&lt;&gt;""),AB376/(F376/2/Z376),"")</f>
        <v>6.8658614113159558E-2</v>
      </c>
      <c r="AW376" s="151">
        <f>IF(AND(F376&lt;&gt;"",AK376&lt;&gt;""),AM376/(F376/2/AK376),"")</f>
        <v>9.1544818817546086E-2</v>
      </c>
      <c r="AX376" s="43">
        <f>IF(AND(AQ376&lt;&gt;"",1-(AQ376/O376)&gt;0),1-(AQ376/O376),"")</f>
        <v>0.80198019801980203</v>
      </c>
      <c r="AY376" s="41">
        <f>IF(AND(AF376&lt;&gt;"",1-(AF376/O376)&gt;0),1-(AF376/O376),"")</f>
        <v>0.82178217821782185</v>
      </c>
      <c r="AZ376" s="136" t="str">
        <f>IF(Q376="","",IF(Q376&lt;2.5,"Alc. Bruta &lt; 2,5 mg/L",IF(Q376&lt;5,"2,5 ≤ Alc. Bruta &lt; 5,0 mg/L",IF(Q376&lt;7.5,"5,0 ≤ Alc. Bruta &lt; 7,5 mg/L",IF(Q376&lt;10,"7,5 ≤ Alc. Bruta &lt; 10,0 mg/L",IF(Q376&lt;15,"10,0 ≤ Alca. Bruta &lt; 15,0 mg/L","Alc. Bruta &gt; 15 mg/L"))))))</f>
        <v>5,0 ≤ Alc. Bruta &lt; 7,5 mg/L</v>
      </c>
      <c r="BA376" s="136" t="str">
        <f>IF(P376="","",IF(P376&lt;5,"Cor &lt;5 uC",IF(P376&lt;10,"5 ≤ Cor &lt; 10 uC",IF(P376&lt;15,"10 ≤ Cor &lt;15 uC",IF(P376&lt;30,"15 ≤ Cor &lt; 30 uC",IF(P376&lt;50,"30 ≤ Cor &lt; 50 uC","Cor &gt; 50 uC"))))))</f>
        <v>10 ≤ Cor &lt;15 uC</v>
      </c>
      <c r="BB376" s="137" t="str">
        <f>IF(O376="","",IF(O376&lt;2.5,"Turbidez &lt; 2,5 uT",IF(O376&lt;5,"2,5 ≤ Turb &lt; 5,0 uT",IF(O376&lt;7.5,"5,0 ≤ Turb &lt; 7,5 uT",IF(O376&lt;10,"7,5 ≤ Turb &lt; 10,0 uT",IF(O376&lt;15,"10,0 ≤ Turb &lt; 15,0 uT","Turb &gt; 15 uT"))))))</f>
        <v>Turbidez &lt; 2,5 uT</v>
      </c>
      <c r="BC376" s="138" t="str">
        <f>IF(AND(C376&gt;D376,D376&gt;E376),"TOR &gt; SM &gt; BNN",IF(AND(C376&gt;E376,E376&gt;D376),"TOR &gt; BNN &gt; SM",IF(AND(D376&gt;C376,C376&gt;E376),"SM &gt; TOR &gt; BNN",IF(AND(D376&gt;E376,E376&gt;C376),"SM &gt; BNN &gt; TOR",IF(AND(C376=D376,D376=E376),"TOR = SM = BNN","Comb. diferentes")))))</f>
        <v>TOR &gt; SM &gt; BNN</v>
      </c>
      <c r="BD376" s="137" t="str">
        <f>IF(OR(AE376="",AQ376="-"),"",IF(AE376&lt;=0.25,"Tipo 1 (≤0,25) uT",IF(AE376&lt;=0.5,"Tipo 2 (0,25-0,50) uT",IF(AE376&lt;=0.75,"Tipo 3 (0,50-0,75) uT","Tipo 4 (&gt;0,75) uT"))))</f>
        <v>Tipo 2 (0,25-0,50) uT</v>
      </c>
      <c r="BE376" s="137" t="str">
        <f t="shared" si="35"/>
        <v>Tipo 2 (0,25-0,50) uT</v>
      </c>
      <c r="BF376" s="137" t="str">
        <f>IF(OR(AF376="",AQ376="-"),"",IF(AF376&lt;=0.25,"Tipo 1 (≤0,25) uT",IF(AF376&lt;=0.5,"Tipo 2 (0,25-0,50) uT",IF(AF376&lt;=0.75,"Tipo 3 (0,50-0,75) uT","Tipo 4 (&gt;0,75) uT"))))</f>
        <v>Tipo 2 (0,25-0,50) uT</v>
      </c>
      <c r="BG376" s="137" t="str">
        <f t="shared" si="36"/>
        <v>Tipo 2 (0,25-0,50) uT</v>
      </c>
      <c r="BH376" s="137" t="str">
        <f>IF(OR(R376="",R376="-"),"",IF(R376&lt;=0.25,"Tipo 1 (≤0,25) uT",IF(R376&lt;=0.5,"Tipo 2 (0,25-0,50) uT",IF(R376&lt;=0.75,"Tipo 3 (0,50-0,75) uT","Tipo 4 (&gt;0,75) uT"))))</f>
        <v>Tipo 1 (≤0,25) uT</v>
      </c>
    </row>
    <row r="377" spans="1:60" ht="15" thickBot="1" x14ac:dyDescent="0.35">
      <c r="A377" s="75">
        <v>46300</v>
      </c>
      <c r="B377" s="140">
        <v>0.22916666666666666</v>
      </c>
      <c r="C377" s="117">
        <v>900</v>
      </c>
      <c r="D377" s="117">
        <v>344</v>
      </c>
      <c r="E377" s="117">
        <v>250</v>
      </c>
      <c r="F377" s="117">
        <v>1504</v>
      </c>
      <c r="G377" s="145" t="s">
        <v>100</v>
      </c>
      <c r="H377" s="123">
        <v>8.5</v>
      </c>
      <c r="I377" s="117">
        <v>34</v>
      </c>
      <c r="J377" s="11">
        <v>90</v>
      </c>
      <c r="K377" s="117">
        <v>90</v>
      </c>
      <c r="L377" s="117">
        <v>90</v>
      </c>
      <c r="M377" s="123">
        <v>24.5</v>
      </c>
      <c r="N377" s="123">
        <v>6.4</v>
      </c>
      <c r="O377" s="80">
        <v>2.1800000000000002</v>
      </c>
      <c r="P377" s="117">
        <v>14</v>
      </c>
      <c r="Q377" s="123">
        <v>7.5</v>
      </c>
      <c r="R377" s="11">
        <v>0.1</v>
      </c>
      <c r="S377" s="79">
        <v>22.36</v>
      </c>
      <c r="T377" s="79">
        <v>0.88</v>
      </c>
      <c r="U377" s="79">
        <v>0.7</v>
      </c>
      <c r="V377" s="85">
        <f t="shared" si="37"/>
        <v>1686.9866666666667</v>
      </c>
      <c r="W377" s="85">
        <f t="shared" si="38"/>
        <v>1453.2949080000001</v>
      </c>
      <c r="X377" s="85">
        <f t="shared" si="39"/>
        <v>0.86147385555309663</v>
      </c>
      <c r="Y377" s="117">
        <v>2</v>
      </c>
      <c r="Z377" s="117">
        <v>3</v>
      </c>
      <c r="AA377" s="123">
        <v>6.5</v>
      </c>
      <c r="AB377" s="117">
        <v>18</v>
      </c>
      <c r="AC377" s="123">
        <v>6.4</v>
      </c>
      <c r="AD377" s="123">
        <v>4</v>
      </c>
      <c r="AE377" s="80">
        <v>0.47</v>
      </c>
      <c r="AF377" s="80">
        <v>0.36</v>
      </c>
      <c r="AG377" s="85">
        <f>(O377+0.3*H377+2)*(F377/2/AK377)</f>
        <v>1686.9866666666667</v>
      </c>
      <c r="AH377" s="85">
        <f t="shared" si="40"/>
        <v>1863.5736287999996</v>
      </c>
      <c r="AI377" s="85">
        <f t="shared" si="41"/>
        <v>1.1046759678796114</v>
      </c>
      <c r="AJ377" s="117">
        <v>2</v>
      </c>
      <c r="AK377" s="117">
        <v>3</v>
      </c>
      <c r="AL377" s="123">
        <v>6.3</v>
      </c>
      <c r="AM377" s="117">
        <v>24</v>
      </c>
      <c r="AN377" s="123">
        <v>6.1</v>
      </c>
      <c r="AO377" s="123">
        <v>4.5</v>
      </c>
      <c r="AP377" s="80">
        <v>0.36</v>
      </c>
      <c r="AQ377" s="149">
        <v>0.36</v>
      </c>
      <c r="AR377" s="132">
        <f>SUM(C377:E377)</f>
        <v>1494</v>
      </c>
      <c r="AS377" s="134">
        <f>C377/AR377</f>
        <v>0.60240963855421692</v>
      </c>
      <c r="AT377" s="134">
        <f>D377/AR377</f>
        <v>0.23025435073627845</v>
      </c>
      <c r="AU377" s="134">
        <f>E377/AR377</f>
        <v>0.16733601070950468</v>
      </c>
      <c r="AV377" s="151">
        <f>IF(AND(F377&lt;&gt;"",Z377&lt;&gt;""),AB377/(F377/2/Z377),"")</f>
        <v>7.1808510638297879E-2</v>
      </c>
      <c r="AW377" s="151">
        <f>IF(AND(F377&lt;&gt;"",AK377&lt;&gt;""),AM377/(F377/2/AK377),"")</f>
        <v>9.5744680851063829E-2</v>
      </c>
      <c r="AX377" s="43">
        <f>IF(AND(AQ377&lt;&gt;"",1-(AQ377/O377)&gt;0),1-(AQ377/O377),"")</f>
        <v>0.83486238532110091</v>
      </c>
      <c r="AY377" s="41">
        <f>IF(AND(AF377&lt;&gt;"",1-(AF377/O377)&gt;0),1-(AF377/O377),"")</f>
        <v>0.83486238532110091</v>
      </c>
      <c r="AZ377" s="136" t="str">
        <f>IF(Q377="","",IF(Q377&lt;2.5,"Alc. Bruta &lt; 2,5 mg/L",IF(Q377&lt;5,"2,5 ≤ Alc. Bruta &lt; 5,0 mg/L",IF(Q377&lt;7.5,"5,0 ≤ Alc. Bruta &lt; 7,5 mg/L",IF(Q377&lt;10,"7,5 ≤ Alc. Bruta &lt; 10,0 mg/L",IF(Q377&lt;15,"10,0 ≤ Alca. Bruta &lt; 15,0 mg/L","Alc. Bruta &gt; 15 mg/L"))))))</f>
        <v>7,5 ≤ Alc. Bruta &lt; 10,0 mg/L</v>
      </c>
      <c r="BA377" s="136" t="str">
        <f>IF(P377="","",IF(P377&lt;5,"Cor &lt;5 uC",IF(P377&lt;10,"5 ≤ Cor &lt; 10 uC",IF(P377&lt;15,"10 ≤ Cor &lt;15 uC",IF(P377&lt;30,"15 ≤ Cor &lt; 30 uC",IF(P377&lt;50,"30 ≤ Cor &lt; 50 uC","Cor &gt; 50 uC"))))))</f>
        <v>10 ≤ Cor &lt;15 uC</v>
      </c>
      <c r="BB377" s="137" t="str">
        <f>IF(O377="","",IF(O377&lt;2.5,"Turbidez &lt; 2,5 uT",IF(O377&lt;5,"2,5 ≤ Turb &lt; 5,0 uT",IF(O377&lt;7.5,"5,0 ≤ Turb &lt; 7,5 uT",IF(O377&lt;10,"7,5 ≤ Turb &lt; 10,0 uT",IF(O377&lt;15,"10,0 ≤ Turb &lt; 15,0 uT","Turb &gt; 15 uT"))))))</f>
        <v>Turbidez &lt; 2,5 uT</v>
      </c>
      <c r="BC377" s="138" t="str">
        <f>IF(AND(C377&gt;D377,D377&gt;E377),"TOR &gt; SM &gt; BNN",IF(AND(C377&gt;E377,E377&gt;D377),"TOR &gt; BNN &gt; SM",IF(AND(D377&gt;C377,C377&gt;E377),"SM &gt; TOR &gt; BNN",IF(AND(D377&gt;E377,E377&gt;C377),"SM &gt; BNN &gt; TOR",IF(AND(C377=D377,D377=E377),"TOR = SM = BNN","Comb. diferentes")))))</f>
        <v>TOR &gt; SM &gt; BNN</v>
      </c>
      <c r="BD377" s="137" t="str">
        <f>IF(OR(AE377="",AQ377="-"),"",IF(AE377&lt;=0.25,"Tipo 1 (≤0,25) uT",IF(AE377&lt;=0.5,"Tipo 2 (0,25-0,50) uT",IF(AE377&lt;=0.75,"Tipo 3 (0,50-0,75) uT","Tipo 4 (&gt;0,75) uT"))))</f>
        <v>Tipo 2 (0,25-0,50) uT</v>
      </c>
      <c r="BE377" s="137" t="str">
        <f t="shared" si="35"/>
        <v>Tipo 2 (0,25-0,50) uT</v>
      </c>
      <c r="BF377" s="137" t="str">
        <f>IF(OR(AF377="",AQ377="-"),"",IF(AF377&lt;=0.25,"Tipo 1 (≤0,25) uT",IF(AF377&lt;=0.5,"Tipo 2 (0,25-0,50) uT",IF(AF377&lt;=0.75,"Tipo 3 (0,50-0,75) uT","Tipo 4 (&gt;0,75) uT"))))</f>
        <v>Tipo 2 (0,25-0,50) uT</v>
      </c>
      <c r="BG377" s="137" t="str">
        <f t="shared" si="36"/>
        <v>Tipo 2 (0,25-0,50) uT</v>
      </c>
      <c r="BH377" s="137" t="str">
        <f>IF(OR(R377="",R377="-"),"",IF(R377&lt;=0.25,"Tipo 1 (≤0,25) uT",IF(R377&lt;=0.5,"Tipo 2 (0,25-0,50) uT",IF(R377&lt;=0.75,"Tipo 3 (0,50-0,75) uT","Tipo 4 (&gt;0,75) uT"))))</f>
        <v>Tipo 1 (≤0,25) uT</v>
      </c>
    </row>
    <row r="378" spans="1:60" ht="15" thickBot="1" x14ac:dyDescent="0.35">
      <c r="A378" s="74">
        <v>46300</v>
      </c>
      <c r="B378" s="139">
        <v>0.64583333333333337</v>
      </c>
      <c r="C378" s="118">
        <v>0</v>
      </c>
      <c r="D378" s="116">
        <v>2248</v>
      </c>
      <c r="E378" s="116">
        <v>0</v>
      </c>
      <c r="F378" s="116">
        <v>2218</v>
      </c>
      <c r="G378" s="144" t="s">
        <v>34</v>
      </c>
      <c r="H378" s="122">
        <v>10.5</v>
      </c>
      <c r="I378" s="116">
        <v>34</v>
      </c>
      <c r="J378" s="10">
        <v>90</v>
      </c>
      <c r="K378" s="116">
        <v>90</v>
      </c>
      <c r="L378" s="116">
        <v>90</v>
      </c>
      <c r="M378" s="122">
        <v>24.4</v>
      </c>
      <c r="N378" s="122">
        <v>6.7</v>
      </c>
      <c r="O378" s="79">
        <v>0.98</v>
      </c>
      <c r="P378" s="116">
        <v>7</v>
      </c>
      <c r="Q378" s="122">
        <v>7.7</v>
      </c>
      <c r="R378" s="10">
        <v>0.25</v>
      </c>
      <c r="S378" s="79">
        <v>22.36</v>
      </c>
      <c r="T378" s="79">
        <v>0.88</v>
      </c>
      <c r="U378" s="79">
        <v>0.7</v>
      </c>
      <c r="V378" s="85">
        <f t="shared" si="37"/>
        <v>2266.0566666666668</v>
      </c>
      <c r="W378" s="85">
        <f t="shared" si="38"/>
        <v>1534.0335140000002</v>
      </c>
      <c r="X378" s="85">
        <f t="shared" si="39"/>
        <v>0.67696167380339123</v>
      </c>
      <c r="Y378" s="116">
        <v>3</v>
      </c>
      <c r="Z378" s="116">
        <v>3</v>
      </c>
      <c r="AA378" s="122">
        <v>6.5</v>
      </c>
      <c r="AB378" s="116">
        <v>19</v>
      </c>
      <c r="AC378" s="122">
        <v>6.5</v>
      </c>
      <c r="AD378" s="122">
        <v>6</v>
      </c>
      <c r="AE378" s="79">
        <v>0.24</v>
      </c>
      <c r="AF378" s="79">
        <v>0.28999999999999998</v>
      </c>
      <c r="AG378" s="85">
        <f>(O378+0.3*H378+2)*(F378/2/AK378)</f>
        <v>1699.5425</v>
      </c>
      <c r="AH378" s="85">
        <f t="shared" si="40"/>
        <v>1979.8438399999998</v>
      </c>
      <c r="AI378" s="85">
        <f t="shared" si="41"/>
        <v>1.1649275260842256</v>
      </c>
      <c r="AJ378" s="116">
        <v>3</v>
      </c>
      <c r="AK378" s="116">
        <v>4</v>
      </c>
      <c r="AL378" s="122">
        <v>6.4</v>
      </c>
      <c r="AM378" s="116">
        <v>25</v>
      </c>
      <c r="AN378" s="122">
        <v>6.5</v>
      </c>
      <c r="AO378" s="122">
        <v>6</v>
      </c>
      <c r="AP378" s="79">
        <v>0.2</v>
      </c>
      <c r="AQ378" s="79">
        <v>0.28999999999999998</v>
      </c>
      <c r="AR378" s="132">
        <f>SUM(C378:E378)</f>
        <v>2248</v>
      </c>
      <c r="AS378" s="134">
        <f>C378/AR378</f>
        <v>0</v>
      </c>
      <c r="AT378" s="134">
        <f>D378/AR378</f>
        <v>1</v>
      </c>
      <c r="AU378" s="134">
        <f>E378/AR378</f>
        <v>0</v>
      </c>
      <c r="AV378" s="151">
        <f>IF(AND(F378&lt;&gt;"",Z378&lt;&gt;""),AB378/(F378/2/Z378),"")</f>
        <v>5.1397655545536519E-2</v>
      </c>
      <c r="AW378" s="151">
        <f>IF(AND(F378&lt;&gt;"",AK378&lt;&gt;""),AM378/(F378/2/AK378),"")</f>
        <v>9.0171325518485126E-2</v>
      </c>
      <c r="AX378" s="43">
        <f>IF(AND(AQ378&lt;&gt;"",1-(AQ378/O378)&gt;0),1-(AQ378/O378),"")</f>
        <v>0.70408163265306123</v>
      </c>
      <c r="AY378" s="41">
        <f>IF(AND(AF378&lt;&gt;"",1-(AF378/O378)&gt;0),1-(AF378/O378),"")</f>
        <v>0.70408163265306123</v>
      </c>
      <c r="AZ378" s="136" t="str">
        <f>IF(Q378="","",IF(Q378&lt;2.5,"Alc. Bruta &lt; 2,5 mg/L",IF(Q378&lt;5,"2,5 ≤ Alc. Bruta &lt; 5,0 mg/L",IF(Q378&lt;7.5,"5,0 ≤ Alc. Bruta &lt; 7,5 mg/L",IF(Q378&lt;10,"7,5 ≤ Alc. Bruta &lt; 10,0 mg/L",IF(Q378&lt;15,"10,0 ≤ Alca. Bruta &lt; 15,0 mg/L","Alc. Bruta &gt; 15 mg/L"))))))</f>
        <v>7,5 ≤ Alc. Bruta &lt; 10,0 mg/L</v>
      </c>
      <c r="BA378" s="136" t="str">
        <f>IF(P378="","",IF(P378&lt;5,"Cor &lt;5 uC",IF(P378&lt;10,"5 ≤ Cor &lt; 10 uC",IF(P378&lt;15,"10 ≤ Cor &lt;15 uC",IF(P378&lt;30,"15 ≤ Cor &lt; 30 uC",IF(P378&lt;50,"30 ≤ Cor &lt; 50 uC","Cor &gt; 50 uC"))))))</f>
        <v>5 ≤ Cor &lt; 10 uC</v>
      </c>
      <c r="BB378" s="137" t="str">
        <f>IF(O378="","",IF(O378&lt;2.5,"Turbidez &lt; 2,5 uT",IF(O378&lt;5,"2,5 ≤ Turb &lt; 5,0 uT",IF(O378&lt;7.5,"5,0 ≤ Turb &lt; 7,5 uT",IF(O378&lt;10,"7,5 ≤ Turb &lt; 10,0 uT",IF(O378&lt;15,"10,0 ≤ Turb &lt; 15,0 uT","Turb &gt; 15 uT"))))))</f>
        <v>Turbidez &lt; 2,5 uT</v>
      </c>
      <c r="BC378" s="138" t="str">
        <f>IF(AND(C378&gt;D378,D378&gt;E378),"TOR &gt; SM &gt; BNN",IF(AND(C378&gt;E378,E378&gt;D378),"TOR &gt; BNN &gt; SM",IF(AND(D378&gt;C378,C378&gt;E378),"SM &gt; TOR &gt; BNN",IF(AND(D378&gt;E378,E378&gt;C378),"SM &gt; BNN &gt; TOR",IF(AND(C378=D378,D378=E378),"TOR = SM = BNN","Comb. diferentes")))))</f>
        <v>Comb. diferentes</v>
      </c>
      <c r="BD378" s="137" t="str">
        <f>IF(OR(AE378="",AQ378="-"),"",IF(AE378&lt;=0.25,"Tipo 1 (≤0,25) uT",IF(AE378&lt;=0.5,"Tipo 2 (0,25-0,50) uT",IF(AE378&lt;=0.75,"Tipo 3 (0,50-0,75) uT","Tipo 4 (&gt;0,75) uT"))))</f>
        <v>Tipo 1 (≤0,25) uT</v>
      </c>
      <c r="BE378" s="137" t="str">
        <f t="shared" si="35"/>
        <v>Tipo 1 (≤0,25) uT</v>
      </c>
      <c r="BF378" s="137" t="str">
        <f>IF(OR(AF378="",AQ378="-"),"",IF(AF378&lt;=0.25,"Tipo 1 (≤0,25) uT",IF(AF378&lt;=0.5,"Tipo 2 (0,25-0,50) uT",IF(AF378&lt;=0.75,"Tipo 3 (0,50-0,75) uT","Tipo 4 (&gt;0,75) uT"))))</f>
        <v>Tipo 2 (0,25-0,50) uT</v>
      </c>
      <c r="BG378" s="137" t="str">
        <f t="shared" si="36"/>
        <v>Tipo 2 (0,25-0,50) uT</v>
      </c>
      <c r="BH378" s="137" t="str">
        <f>IF(OR(R378="",R378="-"),"",IF(R378&lt;=0.25,"Tipo 1 (≤0,25) uT",IF(R378&lt;=0.5,"Tipo 2 (0,25-0,50) uT",IF(R378&lt;=0.75,"Tipo 3 (0,50-0,75) uT","Tipo 4 (&gt;0,75) uT"))))</f>
        <v>Tipo 1 (≤0,25) uT</v>
      </c>
    </row>
    <row r="379" spans="1:60" ht="15" thickBot="1" x14ac:dyDescent="0.35">
      <c r="A379" s="74">
        <v>46300</v>
      </c>
      <c r="B379" s="139">
        <v>0.72916666666666663</v>
      </c>
      <c r="C379" s="118">
        <v>0</v>
      </c>
      <c r="D379" s="116">
        <v>2232</v>
      </c>
      <c r="E379" s="116">
        <v>0</v>
      </c>
      <c r="F379" s="116">
        <v>2232</v>
      </c>
      <c r="G379" s="144" t="s">
        <v>34</v>
      </c>
      <c r="H379" s="122">
        <v>10.5</v>
      </c>
      <c r="I379" s="116">
        <v>34</v>
      </c>
      <c r="J379" s="10">
        <v>90</v>
      </c>
      <c r="K379" s="116">
        <v>90</v>
      </c>
      <c r="L379" s="116">
        <v>90</v>
      </c>
      <c r="M379" s="122">
        <v>24.4</v>
      </c>
      <c r="N379" s="122">
        <v>6.7</v>
      </c>
      <c r="O379" s="79">
        <v>0.94</v>
      </c>
      <c r="P379" s="116">
        <v>7</v>
      </c>
      <c r="Q379" s="122">
        <v>7.3</v>
      </c>
      <c r="R379" s="10">
        <v>0.21</v>
      </c>
      <c r="S379" s="79">
        <v>22.36</v>
      </c>
      <c r="T379" s="79">
        <v>0.88</v>
      </c>
      <c r="U379" s="79">
        <v>0.7</v>
      </c>
      <c r="V379" s="85">
        <f t="shared" si="37"/>
        <v>2265.48</v>
      </c>
      <c r="W379" s="85">
        <f t="shared" si="38"/>
        <v>1504.6813183999998</v>
      </c>
      <c r="X379" s="85">
        <f t="shared" si="39"/>
        <v>0.66417770997757641</v>
      </c>
      <c r="Y379" s="116">
        <v>3</v>
      </c>
      <c r="Z379" s="116">
        <v>3</v>
      </c>
      <c r="AA379" s="122">
        <v>6.4</v>
      </c>
      <c r="AB379" s="116">
        <v>19</v>
      </c>
      <c r="AC379" s="122">
        <v>6.5</v>
      </c>
      <c r="AD379" s="122">
        <v>5.7</v>
      </c>
      <c r="AE379" s="79">
        <v>0.16</v>
      </c>
      <c r="AF379" s="79">
        <v>0.31</v>
      </c>
      <c r="AG379" s="85">
        <f>(O379+0.3*H379+2)*(F379/2/AK379)</f>
        <v>1699.11</v>
      </c>
      <c r="AH379" s="85">
        <f t="shared" si="40"/>
        <v>1979.8438399999998</v>
      </c>
      <c r="AI379" s="85">
        <f t="shared" si="41"/>
        <v>1.1652240525922395</v>
      </c>
      <c r="AJ379" s="116">
        <v>3</v>
      </c>
      <c r="AK379" s="116">
        <v>4</v>
      </c>
      <c r="AL379" s="122">
        <v>6.4</v>
      </c>
      <c r="AM379" s="116">
        <v>25</v>
      </c>
      <c r="AN379" s="122">
        <v>6.4</v>
      </c>
      <c r="AO379" s="122">
        <v>5</v>
      </c>
      <c r="AP379" s="79">
        <v>0.16</v>
      </c>
      <c r="AQ379" s="79">
        <v>0.22</v>
      </c>
      <c r="AR379" s="132">
        <f>SUM(C379:E379)</f>
        <v>2232</v>
      </c>
      <c r="AS379" s="134">
        <f>C379/AR379</f>
        <v>0</v>
      </c>
      <c r="AT379" s="134">
        <f>D379/AR379</f>
        <v>1</v>
      </c>
      <c r="AU379" s="134">
        <f>E379/AR379</f>
        <v>0</v>
      </c>
      <c r="AV379" s="151">
        <f>IF(AND(F379&lt;&gt;"",Z379&lt;&gt;""),AB379/(F379/2/Z379),"")</f>
        <v>5.1075268817204304E-2</v>
      </c>
      <c r="AW379" s="151">
        <f>IF(AND(F379&lt;&gt;"",AK379&lt;&gt;""),AM379/(F379/2/AK379),"")</f>
        <v>8.9605734767025089E-2</v>
      </c>
      <c r="AX379" s="43">
        <f>IF(AND(AQ379&lt;&gt;"",1-(AQ379/O379)&gt;0),1-(AQ379/O379),"")</f>
        <v>0.76595744680851063</v>
      </c>
      <c r="AY379" s="41">
        <f>IF(AND(AF379&lt;&gt;"",1-(AF379/O379)&gt;0),1-(AF379/O379),"")</f>
        <v>0.67021276595744683</v>
      </c>
      <c r="AZ379" s="136" t="str">
        <f>IF(Q379="","",IF(Q379&lt;2.5,"Alc. Bruta &lt; 2,5 mg/L",IF(Q379&lt;5,"2,5 ≤ Alc. Bruta &lt; 5,0 mg/L",IF(Q379&lt;7.5,"5,0 ≤ Alc. Bruta &lt; 7,5 mg/L",IF(Q379&lt;10,"7,5 ≤ Alc. Bruta &lt; 10,0 mg/L",IF(Q379&lt;15,"10,0 ≤ Alca. Bruta &lt; 15,0 mg/L","Alc. Bruta &gt; 15 mg/L"))))))</f>
        <v>5,0 ≤ Alc. Bruta &lt; 7,5 mg/L</v>
      </c>
      <c r="BA379" s="136" t="str">
        <f>IF(P379="","",IF(P379&lt;5,"Cor &lt;5 uC",IF(P379&lt;10,"5 ≤ Cor &lt; 10 uC",IF(P379&lt;15,"10 ≤ Cor &lt;15 uC",IF(P379&lt;30,"15 ≤ Cor &lt; 30 uC",IF(P379&lt;50,"30 ≤ Cor &lt; 50 uC","Cor &gt; 50 uC"))))))</f>
        <v>5 ≤ Cor &lt; 10 uC</v>
      </c>
      <c r="BB379" s="137" t="str">
        <f>IF(O379="","",IF(O379&lt;2.5,"Turbidez &lt; 2,5 uT",IF(O379&lt;5,"2,5 ≤ Turb &lt; 5,0 uT",IF(O379&lt;7.5,"5,0 ≤ Turb &lt; 7,5 uT",IF(O379&lt;10,"7,5 ≤ Turb &lt; 10,0 uT",IF(O379&lt;15,"10,0 ≤ Turb &lt; 15,0 uT","Turb &gt; 15 uT"))))))</f>
        <v>Turbidez &lt; 2,5 uT</v>
      </c>
      <c r="BC379" s="138" t="str">
        <f>IF(AND(C379&gt;D379,D379&gt;E379),"TOR &gt; SM &gt; BNN",IF(AND(C379&gt;E379,E379&gt;D379),"TOR &gt; BNN &gt; SM",IF(AND(D379&gt;C379,C379&gt;E379),"SM &gt; TOR &gt; BNN",IF(AND(D379&gt;E379,E379&gt;C379),"SM &gt; BNN &gt; TOR",IF(AND(C379=D379,D379=E379),"TOR = SM = BNN","Comb. diferentes")))))</f>
        <v>Comb. diferentes</v>
      </c>
      <c r="BD379" s="137" t="str">
        <f>IF(OR(AE379="",AQ379="-"),"",IF(AE379&lt;=0.25,"Tipo 1 (≤0,25) uT",IF(AE379&lt;=0.5,"Tipo 2 (0,25-0,50) uT",IF(AE379&lt;=0.75,"Tipo 3 (0,50-0,75) uT","Tipo 4 (&gt;0,75) uT"))))</f>
        <v>Tipo 1 (≤0,25) uT</v>
      </c>
      <c r="BE379" s="137" t="str">
        <f t="shared" si="35"/>
        <v>Tipo 1 (≤0,25) uT</v>
      </c>
      <c r="BF379" s="137" t="str">
        <f>IF(OR(AF379="",AQ379="-"),"",IF(AF379&lt;=0.25,"Tipo 1 (≤0,25) uT",IF(AF379&lt;=0.5,"Tipo 2 (0,25-0,50) uT",IF(AF379&lt;=0.75,"Tipo 3 (0,50-0,75) uT","Tipo 4 (&gt;0,75) uT"))))</f>
        <v>Tipo 2 (0,25-0,50) uT</v>
      </c>
      <c r="BG379" s="137" t="str">
        <f t="shared" si="36"/>
        <v>Tipo 1 (≤0,25) uT</v>
      </c>
      <c r="BH379" s="137" t="str">
        <f>IF(OR(R379="",R379="-"),"",IF(R379&lt;=0.25,"Tipo 1 (≤0,25) uT",IF(R379&lt;=0.5,"Tipo 2 (0,25-0,50) uT",IF(R379&lt;=0.75,"Tipo 3 (0,50-0,75) uT","Tipo 4 (&gt;0,75) uT"))))</f>
        <v>Tipo 1 (≤0,25) uT</v>
      </c>
    </row>
    <row r="380" spans="1:60" ht="15" thickBot="1" x14ac:dyDescent="0.35">
      <c r="A380" s="74">
        <v>46300</v>
      </c>
      <c r="B380" s="139">
        <v>0.8125</v>
      </c>
      <c r="C380" s="118">
        <v>0</v>
      </c>
      <c r="D380" s="116">
        <v>2216</v>
      </c>
      <c r="E380" s="116">
        <v>0</v>
      </c>
      <c r="F380" s="116">
        <v>2214</v>
      </c>
      <c r="G380" s="144" t="s">
        <v>34</v>
      </c>
      <c r="H380" s="122">
        <v>10.5</v>
      </c>
      <c r="I380" s="116">
        <v>34</v>
      </c>
      <c r="J380" s="10">
        <v>90</v>
      </c>
      <c r="K380" s="116">
        <v>90</v>
      </c>
      <c r="L380" s="116">
        <v>90</v>
      </c>
      <c r="M380" s="122">
        <v>24.5</v>
      </c>
      <c r="N380" s="122">
        <v>6.5</v>
      </c>
      <c r="O380" s="79">
        <v>0.96</v>
      </c>
      <c r="P380" s="116">
        <v>9</v>
      </c>
      <c r="Q380" s="122">
        <v>6.9</v>
      </c>
      <c r="R380" s="10">
        <v>0.1</v>
      </c>
      <c r="S380" s="79">
        <v>22.36</v>
      </c>
      <c r="T380" s="79">
        <v>0.88</v>
      </c>
      <c r="U380" s="79">
        <v>0.7</v>
      </c>
      <c r="V380" s="85">
        <f t="shared" si="37"/>
        <v>1690.9424999999999</v>
      </c>
      <c r="W380" s="85">
        <f t="shared" si="38"/>
        <v>1583.8750719999998</v>
      </c>
      <c r="X380" s="85">
        <f t="shared" si="39"/>
        <v>0.93668180437832738</v>
      </c>
      <c r="Y380" s="116">
        <v>3</v>
      </c>
      <c r="Z380" s="116">
        <v>4</v>
      </c>
      <c r="AA380" s="122">
        <v>6.4</v>
      </c>
      <c r="AB380" s="116">
        <v>20</v>
      </c>
      <c r="AC380" s="122">
        <v>6.2</v>
      </c>
      <c r="AD380" s="122">
        <v>5.8</v>
      </c>
      <c r="AE380" s="79">
        <v>0.1</v>
      </c>
      <c r="AF380" s="79">
        <v>0.26</v>
      </c>
      <c r="AG380" s="85">
        <f>(O380+0.3*H380+2)*(F380/2/AK380)</f>
        <v>1690.9424999999999</v>
      </c>
      <c r="AH380" s="85">
        <f t="shared" si="40"/>
        <v>1863.5736287999996</v>
      </c>
      <c r="AI380" s="85">
        <f t="shared" si="41"/>
        <v>1.1020916611889522</v>
      </c>
      <c r="AJ380" s="116">
        <v>3</v>
      </c>
      <c r="AK380" s="116">
        <v>4</v>
      </c>
      <c r="AL380" s="122">
        <v>6.3</v>
      </c>
      <c r="AM380" s="116">
        <v>24</v>
      </c>
      <c r="AN380" s="122">
        <v>6.2</v>
      </c>
      <c r="AO380" s="122">
        <v>5.4</v>
      </c>
      <c r="AP380" s="79">
        <v>0.13</v>
      </c>
      <c r="AQ380" s="79">
        <v>0.28999999999999998</v>
      </c>
      <c r="AR380" s="132">
        <f>SUM(C380:E380)</f>
        <v>2216</v>
      </c>
      <c r="AS380" s="134">
        <f>C380/AR380</f>
        <v>0</v>
      </c>
      <c r="AT380" s="134">
        <f>D380/AR380</f>
        <v>1</v>
      </c>
      <c r="AU380" s="134">
        <f>E380/AR380</f>
        <v>0</v>
      </c>
      <c r="AV380" s="151">
        <f>IF(AND(F380&lt;&gt;"",Z380&lt;&gt;""),AB380/(F380/2/Z380),"")</f>
        <v>7.2267389340560068E-2</v>
      </c>
      <c r="AW380" s="151">
        <f>IF(AND(F380&lt;&gt;"",AK380&lt;&gt;""),AM380/(F380/2/AK380),"")</f>
        <v>8.6720867208672087E-2</v>
      </c>
      <c r="AX380" s="43">
        <f>IF(AND(AQ380&lt;&gt;"",1-(AQ380/O380)&gt;0),1-(AQ380/O380),"")</f>
        <v>0.69791666666666674</v>
      </c>
      <c r="AY380" s="41">
        <f>IF(AND(AF380&lt;&gt;"",1-(AF380/O380)&gt;0),1-(AF380/O380),"")</f>
        <v>0.72916666666666663</v>
      </c>
      <c r="AZ380" s="136" t="str">
        <f>IF(Q380="","",IF(Q380&lt;2.5,"Alc. Bruta &lt; 2,5 mg/L",IF(Q380&lt;5,"2,5 ≤ Alc. Bruta &lt; 5,0 mg/L",IF(Q380&lt;7.5,"5,0 ≤ Alc. Bruta &lt; 7,5 mg/L",IF(Q380&lt;10,"7,5 ≤ Alc. Bruta &lt; 10,0 mg/L",IF(Q380&lt;15,"10,0 ≤ Alca. Bruta &lt; 15,0 mg/L","Alc. Bruta &gt; 15 mg/L"))))))</f>
        <v>5,0 ≤ Alc. Bruta &lt; 7,5 mg/L</v>
      </c>
      <c r="BA380" s="136" t="str">
        <f>IF(P380="","",IF(P380&lt;5,"Cor &lt;5 uC",IF(P380&lt;10,"5 ≤ Cor &lt; 10 uC",IF(P380&lt;15,"10 ≤ Cor &lt;15 uC",IF(P380&lt;30,"15 ≤ Cor &lt; 30 uC",IF(P380&lt;50,"30 ≤ Cor &lt; 50 uC","Cor &gt; 50 uC"))))))</f>
        <v>5 ≤ Cor &lt; 10 uC</v>
      </c>
      <c r="BB380" s="137" t="str">
        <f>IF(O380="","",IF(O380&lt;2.5,"Turbidez &lt; 2,5 uT",IF(O380&lt;5,"2,5 ≤ Turb &lt; 5,0 uT",IF(O380&lt;7.5,"5,0 ≤ Turb &lt; 7,5 uT",IF(O380&lt;10,"7,5 ≤ Turb &lt; 10,0 uT",IF(O380&lt;15,"10,0 ≤ Turb &lt; 15,0 uT","Turb &gt; 15 uT"))))))</f>
        <v>Turbidez &lt; 2,5 uT</v>
      </c>
      <c r="BC380" s="138" t="str">
        <f>IF(AND(C380&gt;D380,D380&gt;E380),"TOR &gt; SM &gt; BNN",IF(AND(C380&gt;E380,E380&gt;D380),"TOR &gt; BNN &gt; SM",IF(AND(D380&gt;C380,C380&gt;E380),"SM &gt; TOR &gt; BNN",IF(AND(D380&gt;E380,E380&gt;C380),"SM &gt; BNN &gt; TOR",IF(AND(C380=D380,D380=E380),"TOR = SM = BNN","Comb. diferentes")))))</f>
        <v>Comb. diferentes</v>
      </c>
      <c r="BD380" s="137" t="str">
        <f>IF(OR(AE380="",AQ380="-"),"",IF(AE380&lt;=0.25,"Tipo 1 (≤0,25) uT",IF(AE380&lt;=0.5,"Tipo 2 (0,25-0,50) uT",IF(AE380&lt;=0.75,"Tipo 3 (0,50-0,75) uT","Tipo 4 (&gt;0,75) uT"))))</f>
        <v>Tipo 1 (≤0,25) uT</v>
      </c>
      <c r="BE380" s="137" t="str">
        <f t="shared" si="35"/>
        <v>Tipo 1 (≤0,25) uT</v>
      </c>
      <c r="BF380" s="137" t="str">
        <f>IF(OR(AF380="",AQ380="-"),"",IF(AF380&lt;=0.25,"Tipo 1 (≤0,25) uT",IF(AF380&lt;=0.5,"Tipo 2 (0,25-0,50) uT",IF(AF380&lt;=0.75,"Tipo 3 (0,50-0,75) uT","Tipo 4 (&gt;0,75) uT"))))</f>
        <v>Tipo 2 (0,25-0,50) uT</v>
      </c>
      <c r="BG380" s="137" t="str">
        <f t="shared" si="36"/>
        <v>Tipo 2 (0,25-0,50) uT</v>
      </c>
      <c r="BH380" s="137" t="str">
        <f>IF(OR(R380="",R380="-"),"",IF(R380&lt;=0.25,"Tipo 1 (≤0,25) uT",IF(R380&lt;=0.5,"Tipo 2 (0,25-0,50) uT",IF(R380&lt;=0.75,"Tipo 3 (0,50-0,75) uT","Tipo 4 (&gt;0,75) uT"))))</f>
        <v>Tipo 1 (≤0,25) uT</v>
      </c>
    </row>
    <row r="381" spans="1:60" ht="15" thickBot="1" x14ac:dyDescent="0.35">
      <c r="A381" s="74">
        <v>46300</v>
      </c>
      <c r="B381" s="139">
        <v>0.89583333333333337</v>
      </c>
      <c r="C381" s="118">
        <v>0</v>
      </c>
      <c r="D381" s="116">
        <v>2110</v>
      </c>
      <c r="E381" s="116">
        <v>0</v>
      </c>
      <c r="F381" s="116">
        <v>2105</v>
      </c>
      <c r="G381" s="144" t="s">
        <v>34</v>
      </c>
      <c r="H381" s="122">
        <v>10.5</v>
      </c>
      <c r="I381" s="116">
        <v>34</v>
      </c>
      <c r="J381" s="10">
        <v>90</v>
      </c>
      <c r="K381" s="116">
        <v>90</v>
      </c>
      <c r="L381" s="116">
        <v>90</v>
      </c>
      <c r="M381" s="122">
        <v>24.3</v>
      </c>
      <c r="N381" s="122">
        <v>6.6</v>
      </c>
      <c r="O381" s="79">
        <v>1.05</v>
      </c>
      <c r="P381" s="116">
        <v>10</v>
      </c>
      <c r="Q381" s="122">
        <v>7</v>
      </c>
      <c r="R381" s="10">
        <v>0.19</v>
      </c>
      <c r="S381" s="79">
        <v>22.36</v>
      </c>
      <c r="T381" s="79">
        <v>0.88</v>
      </c>
      <c r="U381" s="79">
        <v>0.7</v>
      </c>
      <c r="V381" s="85">
        <f t="shared" si="37"/>
        <v>1631.375</v>
      </c>
      <c r="W381" s="85">
        <f t="shared" si="38"/>
        <v>1522.080976</v>
      </c>
      <c r="X381" s="85">
        <f t="shared" si="39"/>
        <v>0.933004965749751</v>
      </c>
      <c r="Y381" s="116">
        <v>3</v>
      </c>
      <c r="Z381" s="116">
        <v>4</v>
      </c>
      <c r="AA381" s="122">
        <v>6.2</v>
      </c>
      <c r="AB381" s="116">
        <v>20</v>
      </c>
      <c r="AC381" s="122">
        <v>6.3</v>
      </c>
      <c r="AD381" s="122">
        <v>5.8</v>
      </c>
      <c r="AE381" s="79">
        <v>0.23</v>
      </c>
      <c r="AF381" s="79">
        <v>0.21</v>
      </c>
      <c r="AG381" s="85">
        <f>(O381+0.3*H381+2)*(F381/2/AK381)</f>
        <v>1631.375</v>
      </c>
      <c r="AH381" s="85">
        <f t="shared" si="40"/>
        <v>1941.2225299999996</v>
      </c>
      <c r="AI381" s="85">
        <f t="shared" si="41"/>
        <v>1.1899302919316526</v>
      </c>
      <c r="AJ381" s="116">
        <v>3</v>
      </c>
      <c r="AK381" s="116">
        <v>4</v>
      </c>
      <c r="AL381" s="122">
        <v>6.3</v>
      </c>
      <c r="AM381" s="116">
        <v>25</v>
      </c>
      <c r="AN381" s="122">
        <v>6.3</v>
      </c>
      <c r="AO381" s="122">
        <v>5.6</v>
      </c>
      <c r="AP381" s="79">
        <v>0.21</v>
      </c>
      <c r="AQ381" s="79">
        <v>0.3</v>
      </c>
      <c r="AR381" s="132">
        <f>SUM(C381:E381)</f>
        <v>2110</v>
      </c>
      <c r="AS381" s="134">
        <f>C381/AR381</f>
        <v>0</v>
      </c>
      <c r="AT381" s="134">
        <f>D381/AR381</f>
        <v>1</v>
      </c>
      <c r="AU381" s="134">
        <f>E381/AR381</f>
        <v>0</v>
      </c>
      <c r="AV381" s="151">
        <f>IF(AND(F381&lt;&gt;"",Z381&lt;&gt;""),AB381/(F381/2/Z381),"")</f>
        <v>7.6009501187648459E-2</v>
      </c>
      <c r="AW381" s="151">
        <f>IF(AND(F381&lt;&gt;"",AK381&lt;&gt;""),AM381/(F381/2/AK381),"")</f>
        <v>9.5011876484560567E-2</v>
      </c>
      <c r="AX381" s="43">
        <f>IF(AND(AQ381&lt;&gt;"",1-(AQ381/O381)&gt;0),1-(AQ381/O381),"")</f>
        <v>0.7142857142857143</v>
      </c>
      <c r="AY381" s="41">
        <f>IF(AND(AF381&lt;&gt;"",1-(AF381/O381)&gt;0),1-(AF381/O381),"")</f>
        <v>0.8</v>
      </c>
      <c r="AZ381" s="136" t="str">
        <f>IF(Q381="","",IF(Q381&lt;2.5,"Alc. Bruta &lt; 2,5 mg/L",IF(Q381&lt;5,"2,5 ≤ Alc. Bruta &lt; 5,0 mg/L",IF(Q381&lt;7.5,"5,0 ≤ Alc. Bruta &lt; 7,5 mg/L",IF(Q381&lt;10,"7,5 ≤ Alc. Bruta &lt; 10,0 mg/L",IF(Q381&lt;15,"10,0 ≤ Alca. Bruta &lt; 15,0 mg/L","Alc. Bruta &gt; 15 mg/L"))))))</f>
        <v>5,0 ≤ Alc. Bruta &lt; 7,5 mg/L</v>
      </c>
      <c r="BA381" s="136" t="str">
        <f>IF(P381="","",IF(P381&lt;5,"Cor &lt;5 uC",IF(P381&lt;10,"5 ≤ Cor &lt; 10 uC",IF(P381&lt;15,"10 ≤ Cor &lt;15 uC",IF(P381&lt;30,"15 ≤ Cor &lt; 30 uC",IF(P381&lt;50,"30 ≤ Cor &lt; 50 uC","Cor &gt; 50 uC"))))))</f>
        <v>10 ≤ Cor &lt;15 uC</v>
      </c>
      <c r="BB381" s="137" t="str">
        <f>IF(O381="","",IF(O381&lt;2.5,"Turbidez &lt; 2,5 uT",IF(O381&lt;5,"2,5 ≤ Turb &lt; 5,0 uT",IF(O381&lt;7.5,"5,0 ≤ Turb &lt; 7,5 uT",IF(O381&lt;10,"7,5 ≤ Turb &lt; 10,0 uT",IF(O381&lt;15,"10,0 ≤ Turb &lt; 15,0 uT","Turb &gt; 15 uT"))))))</f>
        <v>Turbidez &lt; 2,5 uT</v>
      </c>
      <c r="BC381" s="138" t="str">
        <f>IF(AND(C381&gt;D381,D381&gt;E381),"TOR &gt; SM &gt; BNN",IF(AND(C381&gt;E381,E381&gt;D381),"TOR &gt; BNN &gt; SM",IF(AND(D381&gt;C381,C381&gt;E381),"SM &gt; TOR &gt; BNN",IF(AND(D381&gt;E381,E381&gt;C381),"SM &gt; BNN &gt; TOR",IF(AND(C381=D381,D381=E381),"TOR = SM = BNN","Comb. diferentes")))))</f>
        <v>Comb. diferentes</v>
      </c>
      <c r="BD381" s="137" t="str">
        <f>IF(OR(AE381="",AQ381="-"),"",IF(AE381&lt;=0.25,"Tipo 1 (≤0,25) uT",IF(AE381&lt;=0.5,"Tipo 2 (0,25-0,50) uT",IF(AE381&lt;=0.75,"Tipo 3 (0,50-0,75) uT","Tipo 4 (&gt;0,75) uT"))))</f>
        <v>Tipo 1 (≤0,25) uT</v>
      </c>
      <c r="BE381" s="137" t="str">
        <f t="shared" si="35"/>
        <v>Tipo 1 (≤0,25) uT</v>
      </c>
      <c r="BF381" s="137" t="str">
        <f>IF(OR(AF381="",AQ381="-"),"",IF(AF381&lt;=0.25,"Tipo 1 (≤0,25) uT",IF(AF381&lt;=0.5,"Tipo 2 (0,25-0,50) uT",IF(AF381&lt;=0.75,"Tipo 3 (0,50-0,75) uT","Tipo 4 (&gt;0,75) uT"))))</f>
        <v>Tipo 1 (≤0,25) uT</v>
      </c>
      <c r="BG381" s="137" t="str">
        <f t="shared" si="36"/>
        <v>Tipo 2 (0,25-0,50) uT</v>
      </c>
      <c r="BH381" s="137" t="str">
        <f>IF(OR(R381="",R381="-"),"",IF(R381&lt;=0.25,"Tipo 1 (≤0,25) uT",IF(R381&lt;=0.5,"Tipo 2 (0,25-0,50) uT",IF(R381&lt;=0.75,"Tipo 3 (0,50-0,75) uT","Tipo 4 (&gt;0,75) uT"))))</f>
        <v>Tipo 1 (≤0,25) uT</v>
      </c>
    </row>
    <row r="382" spans="1:60" ht="15" thickBot="1" x14ac:dyDescent="0.35">
      <c r="A382" s="74">
        <v>46300</v>
      </c>
      <c r="B382" s="139">
        <v>0.97916666666666663</v>
      </c>
      <c r="C382" s="118">
        <v>0</v>
      </c>
      <c r="D382" s="116">
        <v>2100</v>
      </c>
      <c r="E382" s="116">
        <v>0</v>
      </c>
      <c r="F382" s="116">
        <v>2100</v>
      </c>
      <c r="G382" s="144" t="s">
        <v>34</v>
      </c>
      <c r="H382" s="122">
        <v>10.5</v>
      </c>
      <c r="I382" s="116">
        <v>35</v>
      </c>
      <c r="J382" s="10">
        <v>90</v>
      </c>
      <c r="K382" s="116">
        <v>90</v>
      </c>
      <c r="L382" s="116">
        <v>90</v>
      </c>
      <c r="M382" s="122">
        <v>24.1</v>
      </c>
      <c r="N382" s="122">
        <v>6.7</v>
      </c>
      <c r="O382" s="79">
        <v>1.33</v>
      </c>
      <c r="P382" s="116">
        <v>10</v>
      </c>
      <c r="Q382" s="122">
        <v>7.5</v>
      </c>
      <c r="R382" s="10">
        <v>0.2</v>
      </c>
      <c r="S382" s="79">
        <v>22.36</v>
      </c>
      <c r="T382" s="79">
        <v>0.88</v>
      </c>
      <c r="U382" s="79">
        <v>0.7</v>
      </c>
      <c r="V382" s="85">
        <f t="shared" si="37"/>
        <v>1701</v>
      </c>
      <c r="W382" s="85">
        <f t="shared" si="38"/>
        <v>1522.080976</v>
      </c>
      <c r="X382" s="85">
        <f t="shared" si="39"/>
        <v>0.89481538859494414</v>
      </c>
      <c r="Y382" s="116">
        <v>3</v>
      </c>
      <c r="Z382" s="116">
        <v>4</v>
      </c>
      <c r="AA382" s="122">
        <v>6.2</v>
      </c>
      <c r="AB382" s="116">
        <v>20</v>
      </c>
      <c r="AC382" s="122">
        <v>6.4</v>
      </c>
      <c r="AD382" s="122">
        <v>5.9</v>
      </c>
      <c r="AE382" s="79">
        <v>0.25</v>
      </c>
      <c r="AF382" s="79">
        <v>0.23</v>
      </c>
      <c r="AG382" s="85">
        <f>(O382+0.3*H382+2)*(F382/2/AK382)</f>
        <v>1701</v>
      </c>
      <c r="AH382" s="85">
        <f t="shared" si="40"/>
        <v>1941.2225299999996</v>
      </c>
      <c r="AI382" s="85">
        <f t="shared" si="41"/>
        <v>1.141224297472075</v>
      </c>
      <c r="AJ382" s="116">
        <v>3</v>
      </c>
      <c r="AK382" s="116">
        <v>4</v>
      </c>
      <c r="AL382" s="122">
        <v>6.3</v>
      </c>
      <c r="AM382" s="116">
        <v>25</v>
      </c>
      <c r="AN382" s="122">
        <v>6.3</v>
      </c>
      <c r="AO382" s="122">
        <v>5.7</v>
      </c>
      <c r="AP382" s="79">
        <v>0.22</v>
      </c>
      <c r="AQ382" s="79">
        <v>0.3</v>
      </c>
      <c r="AR382" s="132">
        <f>SUM(C382:E382)</f>
        <v>2100</v>
      </c>
      <c r="AS382" s="134">
        <f>C382/AR382</f>
        <v>0</v>
      </c>
      <c r="AT382" s="134">
        <f>D382/AR382</f>
        <v>1</v>
      </c>
      <c r="AU382" s="134">
        <f>E382/AR382</f>
        <v>0</v>
      </c>
      <c r="AV382" s="151">
        <f>IF(AND(F382&lt;&gt;"",Z382&lt;&gt;""),AB382/(F382/2/Z382),"")</f>
        <v>7.6190476190476197E-2</v>
      </c>
      <c r="AW382" s="151">
        <f>IF(AND(F382&lt;&gt;"",AK382&lt;&gt;""),AM382/(F382/2/AK382),"")</f>
        <v>9.5238095238095233E-2</v>
      </c>
      <c r="AX382" s="43">
        <f>IF(AND(AQ382&lt;&gt;"",1-(AQ382/O382)&gt;0),1-(AQ382/O382),"")</f>
        <v>0.77443609022556392</v>
      </c>
      <c r="AY382" s="41">
        <f>IF(AND(AF382&lt;&gt;"",1-(AF382/O382)&gt;0),1-(AF382/O382),"")</f>
        <v>0.8270676691729324</v>
      </c>
      <c r="AZ382" s="136" t="str">
        <f>IF(Q382="","",IF(Q382&lt;2.5,"Alc. Bruta &lt; 2,5 mg/L",IF(Q382&lt;5,"2,5 ≤ Alc. Bruta &lt; 5,0 mg/L",IF(Q382&lt;7.5,"5,0 ≤ Alc. Bruta &lt; 7,5 mg/L",IF(Q382&lt;10,"7,5 ≤ Alc. Bruta &lt; 10,0 mg/L",IF(Q382&lt;15,"10,0 ≤ Alca. Bruta &lt; 15,0 mg/L","Alc. Bruta &gt; 15 mg/L"))))))</f>
        <v>7,5 ≤ Alc. Bruta &lt; 10,0 mg/L</v>
      </c>
      <c r="BA382" s="136" t="str">
        <f>IF(P382="","",IF(P382&lt;5,"Cor &lt;5 uC",IF(P382&lt;10,"5 ≤ Cor &lt; 10 uC",IF(P382&lt;15,"10 ≤ Cor &lt;15 uC",IF(P382&lt;30,"15 ≤ Cor &lt; 30 uC",IF(P382&lt;50,"30 ≤ Cor &lt; 50 uC","Cor &gt; 50 uC"))))))</f>
        <v>10 ≤ Cor &lt;15 uC</v>
      </c>
      <c r="BB382" s="137" t="str">
        <f>IF(O382="","",IF(O382&lt;2.5,"Turbidez &lt; 2,5 uT",IF(O382&lt;5,"2,5 ≤ Turb &lt; 5,0 uT",IF(O382&lt;7.5,"5,0 ≤ Turb &lt; 7,5 uT",IF(O382&lt;10,"7,5 ≤ Turb &lt; 10,0 uT",IF(O382&lt;15,"10,0 ≤ Turb &lt; 15,0 uT","Turb &gt; 15 uT"))))))</f>
        <v>Turbidez &lt; 2,5 uT</v>
      </c>
      <c r="BC382" s="138" t="str">
        <f>IF(AND(C382&gt;D382,D382&gt;E382),"TOR &gt; SM &gt; BNN",IF(AND(C382&gt;E382,E382&gt;D382),"TOR &gt; BNN &gt; SM",IF(AND(D382&gt;C382,C382&gt;E382),"SM &gt; TOR &gt; BNN",IF(AND(D382&gt;E382,E382&gt;C382),"SM &gt; BNN &gt; TOR",IF(AND(C382=D382,D382=E382),"TOR = SM = BNN","Comb. diferentes")))))</f>
        <v>Comb. diferentes</v>
      </c>
      <c r="BD382" s="137" t="str">
        <f>IF(OR(AE382="",AQ382="-"),"",IF(AE382&lt;=0.25,"Tipo 1 (≤0,25) uT",IF(AE382&lt;=0.5,"Tipo 2 (0,25-0,50) uT",IF(AE382&lt;=0.75,"Tipo 3 (0,50-0,75) uT","Tipo 4 (&gt;0,75) uT"))))</f>
        <v>Tipo 1 (≤0,25) uT</v>
      </c>
      <c r="BE382" s="137" t="str">
        <f t="shared" si="35"/>
        <v>Tipo 1 (≤0,25) uT</v>
      </c>
      <c r="BF382" s="137" t="str">
        <f>IF(OR(AF382="",AQ382="-"),"",IF(AF382&lt;=0.25,"Tipo 1 (≤0,25) uT",IF(AF382&lt;=0.5,"Tipo 2 (0,25-0,50) uT",IF(AF382&lt;=0.75,"Tipo 3 (0,50-0,75) uT","Tipo 4 (&gt;0,75) uT"))))</f>
        <v>Tipo 1 (≤0,25) uT</v>
      </c>
      <c r="BG382" s="137" t="str">
        <f t="shared" si="36"/>
        <v>Tipo 2 (0,25-0,50) uT</v>
      </c>
      <c r="BH382" s="137" t="str">
        <f>IF(OR(R382="",R382="-"),"",IF(R382&lt;=0.25,"Tipo 1 (≤0,25) uT",IF(R382&lt;=0.5,"Tipo 2 (0,25-0,50) uT",IF(R382&lt;=0.75,"Tipo 3 (0,50-0,75) uT","Tipo 4 (&gt;0,75) uT"))))</f>
        <v>Tipo 1 (≤0,25) uT</v>
      </c>
    </row>
    <row r="383" spans="1:60" ht="15" thickBot="1" x14ac:dyDescent="0.35">
      <c r="A383" s="74">
        <v>46301</v>
      </c>
      <c r="B383" s="139">
        <v>0.14583333333333334</v>
      </c>
      <c r="C383" s="118">
        <v>0</v>
      </c>
      <c r="D383" s="116">
        <v>2058</v>
      </c>
      <c r="E383" s="116">
        <v>0</v>
      </c>
      <c r="F383" s="116">
        <v>2171</v>
      </c>
      <c r="G383" s="144" t="s">
        <v>34</v>
      </c>
      <c r="H383" s="122">
        <v>10.5</v>
      </c>
      <c r="I383" s="116">
        <v>36</v>
      </c>
      <c r="J383" s="10">
        <v>90</v>
      </c>
      <c r="K383" s="116">
        <v>90</v>
      </c>
      <c r="L383" s="116">
        <v>90</v>
      </c>
      <c r="M383" s="122">
        <v>24</v>
      </c>
      <c r="N383" s="122">
        <v>6.6</v>
      </c>
      <c r="O383" s="79">
        <v>1.1599999999999999</v>
      </c>
      <c r="P383" s="116">
        <v>10</v>
      </c>
      <c r="Q383" s="122">
        <v>8.4</v>
      </c>
      <c r="R383" s="10">
        <v>0.16</v>
      </c>
      <c r="S383" s="79">
        <v>22.36</v>
      </c>
      <c r="T383" s="79">
        <v>0.88</v>
      </c>
      <c r="U383" s="79">
        <v>0.7</v>
      </c>
      <c r="V383" s="85">
        <f t="shared" si="37"/>
        <v>1712.3762499999998</v>
      </c>
      <c r="W383" s="85">
        <f t="shared" si="38"/>
        <v>1522.080976</v>
      </c>
      <c r="X383" s="85">
        <f t="shared" si="39"/>
        <v>0.88887064160110851</v>
      </c>
      <c r="Y383" s="116">
        <v>3</v>
      </c>
      <c r="Z383" s="116">
        <v>4</v>
      </c>
      <c r="AA383" s="122">
        <v>6.2</v>
      </c>
      <c r="AB383" s="116">
        <v>20</v>
      </c>
      <c r="AC383" s="122">
        <v>6.4</v>
      </c>
      <c r="AD383" s="122">
        <v>6.1</v>
      </c>
      <c r="AE383" s="79">
        <v>0.2</v>
      </c>
      <c r="AF383" s="79">
        <v>0.19</v>
      </c>
      <c r="AG383" s="85">
        <f>(O383+0.3*H383+2)*(F383/2/AK383)</f>
        <v>1712.3762499999998</v>
      </c>
      <c r="AH383" s="85">
        <f t="shared" si="40"/>
        <v>1941.2225299999996</v>
      </c>
      <c r="AI383" s="85">
        <f t="shared" si="41"/>
        <v>1.1336425216128756</v>
      </c>
      <c r="AJ383" s="116">
        <v>3</v>
      </c>
      <c r="AK383" s="116">
        <v>4</v>
      </c>
      <c r="AL383" s="122">
        <v>6.3</v>
      </c>
      <c r="AM383" s="116">
        <v>25</v>
      </c>
      <c r="AN383" s="122">
        <v>6.3</v>
      </c>
      <c r="AO383" s="122">
        <v>5.6</v>
      </c>
      <c r="AP383" s="79">
        <v>0.22</v>
      </c>
      <c r="AQ383" s="79">
        <v>0.2</v>
      </c>
      <c r="AR383" s="132">
        <f>SUM(C383:E383)</f>
        <v>2058</v>
      </c>
      <c r="AS383" s="134">
        <f>C383/AR383</f>
        <v>0</v>
      </c>
      <c r="AT383" s="134">
        <f>D383/AR383</f>
        <v>1</v>
      </c>
      <c r="AU383" s="134">
        <f>E383/AR383</f>
        <v>0</v>
      </c>
      <c r="AV383" s="151">
        <f>IF(AND(F383&lt;&gt;"",Z383&lt;&gt;""),AB383/(F383/2/Z383),"")</f>
        <v>7.3698756333486867E-2</v>
      </c>
      <c r="AW383" s="151">
        <f>IF(AND(F383&lt;&gt;"",AK383&lt;&gt;""),AM383/(F383/2/AK383),"")</f>
        <v>9.2123445416858588E-2</v>
      </c>
      <c r="AX383" s="43">
        <f>IF(AND(AQ383&lt;&gt;"",1-(AQ383/O383)&gt;0),1-(AQ383/O383),"")</f>
        <v>0.82758620689655171</v>
      </c>
      <c r="AY383" s="41">
        <f>IF(AND(AF383&lt;&gt;"",1-(AF383/O383)&gt;0),1-(AF383/O383),"")</f>
        <v>0.83620689655172409</v>
      </c>
      <c r="AZ383" s="136" t="str">
        <f>IF(Q383="","",IF(Q383&lt;2.5,"Alc. Bruta &lt; 2,5 mg/L",IF(Q383&lt;5,"2,5 ≤ Alc. Bruta &lt; 5,0 mg/L",IF(Q383&lt;7.5,"5,0 ≤ Alc. Bruta &lt; 7,5 mg/L",IF(Q383&lt;10,"7,5 ≤ Alc. Bruta &lt; 10,0 mg/L",IF(Q383&lt;15,"10,0 ≤ Alca. Bruta &lt; 15,0 mg/L","Alc. Bruta &gt; 15 mg/L"))))))</f>
        <v>7,5 ≤ Alc. Bruta &lt; 10,0 mg/L</v>
      </c>
      <c r="BA383" s="136" t="str">
        <f>IF(P383="","",IF(P383&lt;5,"Cor &lt;5 uC",IF(P383&lt;10,"5 ≤ Cor &lt; 10 uC",IF(P383&lt;15,"10 ≤ Cor &lt;15 uC",IF(P383&lt;30,"15 ≤ Cor &lt; 30 uC",IF(P383&lt;50,"30 ≤ Cor &lt; 50 uC","Cor &gt; 50 uC"))))))</f>
        <v>10 ≤ Cor &lt;15 uC</v>
      </c>
      <c r="BB383" s="137" t="str">
        <f>IF(O383="","",IF(O383&lt;2.5,"Turbidez &lt; 2,5 uT",IF(O383&lt;5,"2,5 ≤ Turb &lt; 5,0 uT",IF(O383&lt;7.5,"5,0 ≤ Turb &lt; 7,5 uT",IF(O383&lt;10,"7,5 ≤ Turb &lt; 10,0 uT",IF(O383&lt;15,"10,0 ≤ Turb &lt; 15,0 uT","Turb &gt; 15 uT"))))))</f>
        <v>Turbidez &lt; 2,5 uT</v>
      </c>
      <c r="BC383" s="138" t="str">
        <f>IF(AND(C383&gt;D383,D383&gt;E383),"TOR &gt; SM &gt; BNN",IF(AND(C383&gt;E383,E383&gt;D383),"TOR &gt; BNN &gt; SM",IF(AND(D383&gt;C383,C383&gt;E383),"SM &gt; TOR &gt; BNN",IF(AND(D383&gt;E383,E383&gt;C383),"SM &gt; BNN &gt; TOR",IF(AND(C383=D383,D383=E383),"TOR = SM = BNN","Comb. diferentes")))))</f>
        <v>Comb. diferentes</v>
      </c>
      <c r="BD383" s="137" t="str">
        <f>IF(OR(AE383="",AQ383="-"),"",IF(AE383&lt;=0.25,"Tipo 1 (≤0,25) uT",IF(AE383&lt;=0.5,"Tipo 2 (0,25-0,50) uT",IF(AE383&lt;=0.75,"Tipo 3 (0,50-0,75) uT","Tipo 4 (&gt;0,75) uT"))))</f>
        <v>Tipo 1 (≤0,25) uT</v>
      </c>
      <c r="BE383" s="137" t="str">
        <f t="shared" si="35"/>
        <v>Tipo 1 (≤0,25) uT</v>
      </c>
      <c r="BF383" s="137" t="str">
        <f>IF(OR(AF383="",AQ383="-"),"",IF(AF383&lt;=0.25,"Tipo 1 (≤0,25) uT",IF(AF383&lt;=0.5,"Tipo 2 (0,25-0,50) uT",IF(AF383&lt;=0.75,"Tipo 3 (0,50-0,75) uT","Tipo 4 (&gt;0,75) uT"))))</f>
        <v>Tipo 1 (≤0,25) uT</v>
      </c>
      <c r="BG383" s="137" t="str">
        <f t="shared" si="36"/>
        <v>Tipo 1 (≤0,25) uT</v>
      </c>
      <c r="BH383" s="137" t="str">
        <f>IF(OR(R383="",R383="-"),"",IF(R383&lt;=0.25,"Tipo 1 (≤0,25) uT",IF(R383&lt;=0.5,"Tipo 2 (0,25-0,50) uT",IF(R383&lt;=0.75,"Tipo 3 (0,50-0,75) uT","Tipo 4 (&gt;0,75) uT"))))</f>
        <v>Tipo 1 (≤0,25) uT</v>
      </c>
    </row>
    <row r="384" spans="1:60" ht="15" thickBot="1" x14ac:dyDescent="0.35">
      <c r="A384" s="75">
        <v>46301</v>
      </c>
      <c r="B384" s="140">
        <v>0.22916666666666666</v>
      </c>
      <c r="C384" s="118">
        <v>0</v>
      </c>
      <c r="D384" s="117">
        <v>2046</v>
      </c>
      <c r="E384" s="116">
        <v>0</v>
      </c>
      <c r="F384" s="117">
        <v>2105</v>
      </c>
      <c r="G384" s="145" t="s">
        <v>34</v>
      </c>
      <c r="H384" s="123">
        <v>10.5</v>
      </c>
      <c r="I384" s="117">
        <v>35</v>
      </c>
      <c r="J384" s="11">
        <v>90</v>
      </c>
      <c r="K384" s="117">
        <v>90</v>
      </c>
      <c r="L384" s="117">
        <v>90</v>
      </c>
      <c r="M384" s="123">
        <v>24</v>
      </c>
      <c r="N384" s="123">
        <v>6.7</v>
      </c>
      <c r="O384" s="80">
        <v>1.17</v>
      </c>
      <c r="P384" s="117">
        <v>9</v>
      </c>
      <c r="Q384" s="123">
        <v>8.8000000000000007</v>
      </c>
      <c r="R384" s="11">
        <v>0.15</v>
      </c>
      <c r="S384" s="79">
        <v>22.36</v>
      </c>
      <c r="T384" s="79">
        <v>0.88</v>
      </c>
      <c r="U384" s="79">
        <v>0.7</v>
      </c>
      <c r="V384" s="85">
        <f t="shared" si="37"/>
        <v>1662.95</v>
      </c>
      <c r="W384" s="85">
        <f t="shared" si="38"/>
        <v>1583.8750719999998</v>
      </c>
      <c r="X384" s="85">
        <f t="shared" si="39"/>
        <v>0.95244900447999026</v>
      </c>
      <c r="Y384" s="117">
        <v>3</v>
      </c>
      <c r="Z384" s="117">
        <v>4</v>
      </c>
      <c r="AA384" s="123">
        <v>6.4</v>
      </c>
      <c r="AB384" s="117">
        <v>20</v>
      </c>
      <c r="AC384" s="123">
        <v>6.3</v>
      </c>
      <c r="AD384" s="123">
        <v>6.3</v>
      </c>
      <c r="AE384" s="80">
        <v>0.21</v>
      </c>
      <c r="AF384" s="80">
        <v>0.19</v>
      </c>
      <c r="AG384" s="85">
        <f>(O384+0.3*H384+2)*(F384/2/AK384)</f>
        <v>1662.95</v>
      </c>
      <c r="AH384" s="85">
        <f t="shared" si="40"/>
        <v>1941.2225299999996</v>
      </c>
      <c r="AI384" s="85">
        <f t="shared" si="41"/>
        <v>1.1673366787937096</v>
      </c>
      <c r="AJ384" s="117">
        <v>3</v>
      </c>
      <c r="AK384" s="117">
        <v>4</v>
      </c>
      <c r="AL384" s="123">
        <v>6.3</v>
      </c>
      <c r="AM384" s="117">
        <v>25</v>
      </c>
      <c r="AN384" s="123">
        <v>6.3</v>
      </c>
      <c r="AO384" s="123">
        <v>5.7</v>
      </c>
      <c r="AP384" s="80">
        <v>0.2</v>
      </c>
      <c r="AQ384" s="80">
        <v>0.19</v>
      </c>
      <c r="AR384" s="132">
        <f>SUM(C384:E384)</f>
        <v>2046</v>
      </c>
      <c r="AS384" s="134">
        <f>C384/AR384</f>
        <v>0</v>
      </c>
      <c r="AT384" s="134">
        <f>D384/AR384</f>
        <v>1</v>
      </c>
      <c r="AU384" s="134">
        <f>E384/AR384</f>
        <v>0</v>
      </c>
      <c r="AV384" s="151">
        <f>IF(AND(F384&lt;&gt;"",Z384&lt;&gt;""),AB384/(F384/2/Z384),"")</f>
        <v>7.6009501187648459E-2</v>
      </c>
      <c r="AW384" s="151">
        <f>IF(AND(F384&lt;&gt;"",AK384&lt;&gt;""),AM384/(F384/2/AK384),"")</f>
        <v>9.5011876484560567E-2</v>
      </c>
      <c r="AX384" s="43">
        <f>IF(AND(AQ384&lt;&gt;"",1-(AQ384/O384)&gt;0),1-(AQ384/O384),"")</f>
        <v>0.83760683760683763</v>
      </c>
      <c r="AY384" s="41">
        <f>IF(AND(AF384&lt;&gt;"",1-(AF384/O384)&gt;0),1-(AF384/O384),"")</f>
        <v>0.83760683760683763</v>
      </c>
      <c r="AZ384" s="136" t="str">
        <f>IF(Q384="","",IF(Q384&lt;2.5,"Alc. Bruta &lt; 2,5 mg/L",IF(Q384&lt;5,"2,5 ≤ Alc. Bruta &lt; 5,0 mg/L",IF(Q384&lt;7.5,"5,0 ≤ Alc. Bruta &lt; 7,5 mg/L",IF(Q384&lt;10,"7,5 ≤ Alc. Bruta &lt; 10,0 mg/L",IF(Q384&lt;15,"10,0 ≤ Alca. Bruta &lt; 15,0 mg/L","Alc. Bruta &gt; 15 mg/L"))))))</f>
        <v>7,5 ≤ Alc. Bruta &lt; 10,0 mg/L</v>
      </c>
      <c r="BA384" s="136" t="str">
        <f>IF(P384="","",IF(P384&lt;5,"Cor &lt;5 uC",IF(P384&lt;10,"5 ≤ Cor &lt; 10 uC",IF(P384&lt;15,"10 ≤ Cor &lt;15 uC",IF(P384&lt;30,"15 ≤ Cor &lt; 30 uC",IF(P384&lt;50,"30 ≤ Cor &lt; 50 uC","Cor &gt; 50 uC"))))))</f>
        <v>5 ≤ Cor &lt; 10 uC</v>
      </c>
      <c r="BB384" s="137" t="str">
        <f>IF(O384="","",IF(O384&lt;2.5,"Turbidez &lt; 2,5 uT",IF(O384&lt;5,"2,5 ≤ Turb &lt; 5,0 uT",IF(O384&lt;7.5,"5,0 ≤ Turb &lt; 7,5 uT",IF(O384&lt;10,"7,5 ≤ Turb &lt; 10,0 uT",IF(O384&lt;15,"10,0 ≤ Turb &lt; 15,0 uT","Turb &gt; 15 uT"))))))</f>
        <v>Turbidez &lt; 2,5 uT</v>
      </c>
      <c r="BC384" s="138" t="str">
        <f>IF(AND(C384&gt;D384,D384&gt;E384),"TOR &gt; SM &gt; BNN",IF(AND(C384&gt;E384,E384&gt;D384),"TOR &gt; BNN &gt; SM",IF(AND(D384&gt;C384,C384&gt;E384),"SM &gt; TOR &gt; BNN",IF(AND(D384&gt;E384,E384&gt;C384),"SM &gt; BNN &gt; TOR",IF(AND(C384=D384,D384=E384),"TOR = SM = BNN","Comb. diferentes")))))</f>
        <v>Comb. diferentes</v>
      </c>
      <c r="BD384" s="137" t="str">
        <f>IF(OR(AE384="",AQ384="-"),"",IF(AE384&lt;=0.25,"Tipo 1 (≤0,25) uT",IF(AE384&lt;=0.5,"Tipo 2 (0,25-0,50) uT",IF(AE384&lt;=0.75,"Tipo 3 (0,50-0,75) uT","Tipo 4 (&gt;0,75) uT"))))</f>
        <v>Tipo 1 (≤0,25) uT</v>
      </c>
      <c r="BE384" s="137" t="str">
        <f t="shared" si="35"/>
        <v>Tipo 1 (≤0,25) uT</v>
      </c>
      <c r="BF384" s="137" t="str">
        <f>IF(OR(AF384="",AQ384="-"),"",IF(AF384&lt;=0.25,"Tipo 1 (≤0,25) uT",IF(AF384&lt;=0.5,"Tipo 2 (0,25-0,50) uT",IF(AF384&lt;=0.75,"Tipo 3 (0,50-0,75) uT","Tipo 4 (&gt;0,75) uT"))))</f>
        <v>Tipo 1 (≤0,25) uT</v>
      </c>
      <c r="BG384" s="137" t="str">
        <f t="shared" si="36"/>
        <v>Tipo 1 (≤0,25) uT</v>
      </c>
      <c r="BH384" s="137" t="str">
        <f>IF(OR(R384="",R384="-"),"",IF(R384&lt;=0.25,"Tipo 1 (≤0,25) uT",IF(R384&lt;=0.5,"Tipo 2 (0,25-0,50) uT",IF(R384&lt;=0.75,"Tipo 3 (0,50-0,75) uT","Tipo 4 (&gt;0,75) uT"))))</f>
        <v>Tipo 1 (≤0,25) uT</v>
      </c>
    </row>
    <row r="385" spans="1:60" ht="15" thickBot="1" x14ac:dyDescent="0.35">
      <c r="A385" s="73">
        <v>46301</v>
      </c>
      <c r="B385" s="141">
        <v>0.3125</v>
      </c>
      <c r="C385" s="118">
        <v>0</v>
      </c>
      <c r="D385" s="118">
        <v>1645</v>
      </c>
      <c r="E385" s="118">
        <v>0</v>
      </c>
      <c r="F385" s="118">
        <v>1645</v>
      </c>
      <c r="G385" s="146" t="s">
        <v>34</v>
      </c>
      <c r="H385" s="124">
        <v>10.5</v>
      </c>
      <c r="I385" s="118">
        <v>338</v>
      </c>
      <c r="J385" s="9">
        <v>90</v>
      </c>
      <c r="K385" s="118">
        <v>90</v>
      </c>
      <c r="L385" s="118">
        <v>90</v>
      </c>
      <c r="M385" s="124">
        <v>24.6</v>
      </c>
      <c r="N385" s="124">
        <v>6.5</v>
      </c>
      <c r="O385" s="81">
        <v>1.28</v>
      </c>
      <c r="P385" s="118">
        <v>9</v>
      </c>
      <c r="Q385" s="124">
        <v>8.1</v>
      </c>
      <c r="R385" s="9">
        <v>0.14000000000000001</v>
      </c>
      <c r="S385" s="79">
        <v>22.36</v>
      </c>
      <c r="T385" s="79">
        <v>0.88</v>
      </c>
      <c r="U385" s="79">
        <v>0.7</v>
      </c>
      <c r="V385" s="85">
        <f t="shared" si="37"/>
        <v>1322.16875</v>
      </c>
      <c r="W385" s="85">
        <f t="shared" si="38"/>
        <v>1647.2300748799998</v>
      </c>
      <c r="X385" s="85">
        <f t="shared" si="39"/>
        <v>1.2458546421400443</v>
      </c>
      <c r="Y385" s="118">
        <v>3</v>
      </c>
      <c r="Z385" s="118">
        <v>4</v>
      </c>
      <c r="AA385" s="124">
        <v>6.4</v>
      </c>
      <c r="AB385" s="118">
        <v>20.8</v>
      </c>
      <c r="AC385" s="124">
        <v>6.3</v>
      </c>
      <c r="AD385" s="124">
        <v>6.4</v>
      </c>
      <c r="AE385" s="81">
        <v>0.2</v>
      </c>
      <c r="AF385" s="81">
        <v>0.19</v>
      </c>
      <c r="AG385" s="85">
        <f>(O385+0.3*H385+2)*(F385/2/AK385)</f>
        <v>1762.8916666666667</v>
      </c>
      <c r="AH385" s="85">
        <f t="shared" si="40"/>
        <v>1917.9278596399995</v>
      </c>
      <c r="AI385" s="85">
        <f t="shared" si="41"/>
        <v>1.087944254264064</v>
      </c>
      <c r="AJ385" s="118">
        <v>3</v>
      </c>
      <c r="AK385" s="118">
        <v>3</v>
      </c>
      <c r="AL385" s="124">
        <v>6.3</v>
      </c>
      <c r="AM385" s="118">
        <v>24.7</v>
      </c>
      <c r="AN385" s="124">
        <v>6.3</v>
      </c>
      <c r="AO385" s="124">
        <v>6.8</v>
      </c>
      <c r="AP385" s="81">
        <v>0.2</v>
      </c>
      <c r="AQ385" s="81">
        <v>0.23</v>
      </c>
      <c r="AR385" s="132">
        <f>SUM(C385:E385)</f>
        <v>1645</v>
      </c>
      <c r="AS385" s="134">
        <f>C385/AR385</f>
        <v>0</v>
      </c>
      <c r="AT385" s="134">
        <f>D385/AR385</f>
        <v>1</v>
      </c>
      <c r="AU385" s="134">
        <f>E385/AR385</f>
        <v>0</v>
      </c>
      <c r="AV385" s="151">
        <f>IF(AND(F385&lt;&gt;"",Z385&lt;&gt;""),AB385/(F385/2/Z385),"")</f>
        <v>0.10115501519756839</v>
      </c>
      <c r="AW385" s="151">
        <f>IF(AND(F385&lt;&gt;"",AK385&lt;&gt;""),AM385/(F385/2/AK385),"")</f>
        <v>9.009118541033434E-2</v>
      </c>
      <c r="AX385" s="43">
        <f>IF(AND(AQ385&lt;&gt;"",1-(AQ385/O385)&gt;0),1-(AQ385/O385),"")</f>
        <v>0.8203125</v>
      </c>
      <c r="AY385" s="41">
        <f>IF(AND(AF385&lt;&gt;"",1-(AF385/O385)&gt;0),1-(AF385/O385),"")</f>
        <v>0.8515625</v>
      </c>
      <c r="AZ385" s="136" t="str">
        <f>IF(Q385="","",IF(Q385&lt;2.5,"Alc. Bruta &lt; 2,5 mg/L",IF(Q385&lt;5,"2,5 ≤ Alc. Bruta &lt; 5,0 mg/L",IF(Q385&lt;7.5,"5,0 ≤ Alc. Bruta &lt; 7,5 mg/L",IF(Q385&lt;10,"7,5 ≤ Alc. Bruta &lt; 10,0 mg/L",IF(Q385&lt;15,"10,0 ≤ Alca. Bruta &lt; 15,0 mg/L","Alc. Bruta &gt; 15 mg/L"))))))</f>
        <v>7,5 ≤ Alc. Bruta &lt; 10,0 mg/L</v>
      </c>
      <c r="BA385" s="136" t="str">
        <f>IF(P385="","",IF(P385&lt;5,"Cor &lt;5 uC",IF(P385&lt;10,"5 ≤ Cor &lt; 10 uC",IF(P385&lt;15,"10 ≤ Cor &lt;15 uC",IF(P385&lt;30,"15 ≤ Cor &lt; 30 uC",IF(P385&lt;50,"30 ≤ Cor &lt; 50 uC","Cor &gt; 50 uC"))))))</f>
        <v>5 ≤ Cor &lt; 10 uC</v>
      </c>
      <c r="BB385" s="137" t="str">
        <f>IF(O385="","",IF(O385&lt;2.5,"Turbidez &lt; 2,5 uT",IF(O385&lt;5,"2,5 ≤ Turb &lt; 5,0 uT",IF(O385&lt;7.5,"5,0 ≤ Turb &lt; 7,5 uT",IF(O385&lt;10,"7,5 ≤ Turb &lt; 10,0 uT",IF(O385&lt;15,"10,0 ≤ Turb &lt; 15,0 uT","Turb &gt; 15 uT"))))))</f>
        <v>Turbidez &lt; 2,5 uT</v>
      </c>
      <c r="BC385" s="138" t="str">
        <f>IF(AND(C385&gt;D385,D385&gt;E385),"TOR &gt; SM &gt; BNN",IF(AND(C385&gt;E385,E385&gt;D385),"TOR &gt; BNN &gt; SM",IF(AND(D385&gt;C385,C385&gt;E385),"SM &gt; TOR &gt; BNN",IF(AND(D385&gt;E385,E385&gt;C385),"SM &gt; BNN &gt; TOR",IF(AND(C385=D385,D385=E385),"TOR = SM = BNN","Comb. diferentes")))))</f>
        <v>Comb. diferentes</v>
      </c>
      <c r="BD385" s="137" t="str">
        <f>IF(OR(AE385="",AQ385="-"),"",IF(AE385&lt;=0.25,"Tipo 1 (≤0,25) uT",IF(AE385&lt;=0.5,"Tipo 2 (0,25-0,50) uT",IF(AE385&lt;=0.75,"Tipo 3 (0,50-0,75) uT","Tipo 4 (&gt;0,75) uT"))))</f>
        <v>Tipo 1 (≤0,25) uT</v>
      </c>
      <c r="BE385" s="137" t="str">
        <f t="shared" si="35"/>
        <v>Tipo 1 (≤0,25) uT</v>
      </c>
      <c r="BF385" s="137" t="str">
        <f>IF(OR(AF385="",AQ385="-"),"",IF(AF385&lt;=0.25,"Tipo 1 (≤0,25) uT",IF(AF385&lt;=0.5,"Tipo 2 (0,25-0,50) uT",IF(AF385&lt;=0.75,"Tipo 3 (0,50-0,75) uT","Tipo 4 (&gt;0,75) uT"))))</f>
        <v>Tipo 1 (≤0,25) uT</v>
      </c>
      <c r="BG385" s="137" t="str">
        <f t="shared" si="36"/>
        <v>Tipo 1 (≤0,25) uT</v>
      </c>
      <c r="BH385" s="137" t="str">
        <f>IF(OR(R385="",R385="-"),"",IF(R385&lt;=0.25,"Tipo 1 (≤0,25) uT",IF(R385&lt;=0.5,"Tipo 2 (0,25-0,50) uT",IF(R385&lt;=0.75,"Tipo 3 (0,50-0,75) uT","Tipo 4 (&gt;0,75) uT"))))</f>
        <v>Tipo 1 (≤0,25) uT</v>
      </c>
    </row>
    <row r="386" spans="1:60" ht="15" thickBot="1" x14ac:dyDescent="0.35">
      <c r="A386" s="74">
        <v>46301</v>
      </c>
      <c r="B386" s="139">
        <v>0.47916666666666669</v>
      </c>
      <c r="C386" s="118">
        <v>0</v>
      </c>
      <c r="D386" s="116">
        <v>1648</v>
      </c>
      <c r="E386" s="116">
        <v>550</v>
      </c>
      <c r="F386" s="116">
        <v>2200</v>
      </c>
      <c r="G386" s="144" t="s">
        <v>34</v>
      </c>
      <c r="H386" s="122">
        <v>10.4</v>
      </c>
      <c r="I386" s="116">
        <v>34.6</v>
      </c>
      <c r="J386" s="10">
        <v>90</v>
      </c>
      <c r="K386" s="116">
        <v>90</v>
      </c>
      <c r="L386" s="116">
        <v>90</v>
      </c>
      <c r="M386" s="122">
        <v>24.7</v>
      </c>
      <c r="N386" s="122">
        <v>6.7</v>
      </c>
      <c r="O386" s="79">
        <v>1.22</v>
      </c>
      <c r="P386" s="116">
        <v>9</v>
      </c>
      <c r="Q386" s="122">
        <v>8.5</v>
      </c>
      <c r="R386" s="10">
        <v>0.13</v>
      </c>
      <c r="S386" s="79">
        <v>22.36</v>
      </c>
      <c r="T386" s="79">
        <v>0.88</v>
      </c>
      <c r="U386" s="79">
        <v>0.7</v>
      </c>
      <c r="V386" s="85">
        <f t="shared" si="37"/>
        <v>2324.6666666666665</v>
      </c>
      <c r="W386" s="85">
        <f t="shared" si="38"/>
        <v>1648.9649291440001</v>
      </c>
      <c r="X386" s="85">
        <f t="shared" si="39"/>
        <v>0.7093339242087755</v>
      </c>
      <c r="Y386" s="116">
        <v>3</v>
      </c>
      <c r="Z386" s="116">
        <v>3</v>
      </c>
      <c r="AA386" s="122">
        <v>6.17</v>
      </c>
      <c r="AB386" s="116">
        <v>21.8</v>
      </c>
      <c r="AC386" s="122">
        <v>6.7</v>
      </c>
      <c r="AD386" s="122">
        <v>6.5</v>
      </c>
      <c r="AE386" s="79">
        <v>0.17</v>
      </c>
      <c r="AF386" s="79">
        <v>0.2</v>
      </c>
      <c r="AG386" s="85">
        <f>(O386+0.3*H386+2)*(F386/2/AK386)</f>
        <v>1743.5</v>
      </c>
      <c r="AH386" s="85">
        <f t="shared" si="40"/>
        <v>1925.6927497599997</v>
      </c>
      <c r="AI386" s="85">
        <f t="shared" si="41"/>
        <v>1.1044982791855462</v>
      </c>
      <c r="AJ386" s="116">
        <v>3</v>
      </c>
      <c r="AK386" s="116">
        <v>4</v>
      </c>
      <c r="AL386" s="122">
        <v>6.3</v>
      </c>
      <c r="AM386" s="116">
        <v>24.8</v>
      </c>
      <c r="AN386" s="122">
        <v>6.4</v>
      </c>
      <c r="AO386" s="122">
        <v>6.6</v>
      </c>
      <c r="AP386" s="79">
        <v>0.17</v>
      </c>
      <c r="AQ386" s="79">
        <v>0.22</v>
      </c>
      <c r="AR386" s="132">
        <f>SUM(C386:E386)</f>
        <v>2198</v>
      </c>
      <c r="AS386" s="134">
        <f>C386/AR386</f>
        <v>0</v>
      </c>
      <c r="AT386" s="134">
        <f>D386/AR386</f>
        <v>0.74977252047315746</v>
      </c>
      <c r="AU386" s="134">
        <f>E386/AR386</f>
        <v>0.2502274795268426</v>
      </c>
      <c r="AV386" s="151">
        <f>IF(AND(F386&lt;&gt;"",Z386&lt;&gt;""),AB386/(F386/2/Z386),"")</f>
        <v>5.9454545454545454E-2</v>
      </c>
      <c r="AW386" s="151">
        <f>IF(AND(F386&lt;&gt;"",AK386&lt;&gt;""),AM386/(F386/2/AK386),"")</f>
        <v>9.0181818181818182E-2</v>
      </c>
      <c r="AX386" s="43">
        <f>IF(AND(AQ386&lt;&gt;"",1-(AQ386/O386)&gt;0),1-(AQ386/O386),"")</f>
        <v>0.81967213114754101</v>
      </c>
      <c r="AY386" s="41">
        <f>IF(AND(AF386&lt;&gt;"",1-(AF386/O386)&gt;0),1-(AF386/O386),"")</f>
        <v>0.83606557377049184</v>
      </c>
      <c r="AZ386" s="136" t="str">
        <f>IF(Q386="","",IF(Q386&lt;2.5,"Alc. Bruta &lt; 2,5 mg/L",IF(Q386&lt;5,"2,5 ≤ Alc. Bruta &lt; 5,0 mg/L",IF(Q386&lt;7.5,"5,0 ≤ Alc. Bruta &lt; 7,5 mg/L",IF(Q386&lt;10,"7,5 ≤ Alc. Bruta &lt; 10,0 mg/L",IF(Q386&lt;15,"10,0 ≤ Alca. Bruta &lt; 15,0 mg/L","Alc. Bruta &gt; 15 mg/L"))))))</f>
        <v>7,5 ≤ Alc. Bruta &lt; 10,0 mg/L</v>
      </c>
      <c r="BA386" s="136" t="str">
        <f>IF(P386="","",IF(P386&lt;5,"Cor &lt;5 uC",IF(P386&lt;10,"5 ≤ Cor &lt; 10 uC",IF(P386&lt;15,"10 ≤ Cor &lt;15 uC",IF(P386&lt;30,"15 ≤ Cor &lt; 30 uC",IF(P386&lt;50,"30 ≤ Cor &lt; 50 uC","Cor &gt; 50 uC"))))))</f>
        <v>5 ≤ Cor &lt; 10 uC</v>
      </c>
      <c r="BB386" s="137" t="str">
        <f>IF(O386="","",IF(O386&lt;2.5,"Turbidez &lt; 2,5 uT",IF(O386&lt;5,"2,5 ≤ Turb &lt; 5,0 uT",IF(O386&lt;7.5,"5,0 ≤ Turb &lt; 7,5 uT",IF(O386&lt;10,"7,5 ≤ Turb &lt; 10,0 uT",IF(O386&lt;15,"10,0 ≤ Turb &lt; 15,0 uT","Turb &gt; 15 uT"))))))</f>
        <v>Turbidez &lt; 2,5 uT</v>
      </c>
      <c r="BC386" s="138" t="str">
        <f>IF(AND(C386&gt;D386,D386&gt;E386),"TOR &gt; SM &gt; BNN",IF(AND(C386&gt;E386,E386&gt;D386),"TOR &gt; BNN &gt; SM",IF(AND(D386&gt;C386,C386&gt;E386),"SM &gt; TOR &gt; BNN",IF(AND(D386&gt;E386,E386&gt;C386),"SM &gt; BNN &gt; TOR",IF(AND(C386=D386,D386=E386),"TOR = SM = BNN","Comb. diferentes")))))</f>
        <v>SM &gt; BNN &gt; TOR</v>
      </c>
      <c r="BD386" s="137" t="str">
        <f>IF(OR(AE386="",AQ386="-"),"",IF(AE386&lt;=0.25,"Tipo 1 (≤0,25) uT",IF(AE386&lt;=0.5,"Tipo 2 (0,25-0,50) uT",IF(AE386&lt;=0.75,"Tipo 3 (0,50-0,75) uT","Tipo 4 (&gt;0,75) uT"))))</f>
        <v>Tipo 1 (≤0,25) uT</v>
      </c>
      <c r="BE386" s="137" t="str">
        <f t="shared" ref="BE386:BE449" si="42">IF(OR(AP386="",AZ386="-"),"",IF(AP386&lt;=0.25,"Tipo 1 (≤0,25) uT",IF(AP386&lt;=0.5,"Tipo 2 (0,25-0,50) uT",IF(AP386&lt;=0.75,"Tipo 3 (0,50-0,75) uT","Tipo 4 (&gt;0,75) uT"))))</f>
        <v>Tipo 1 (≤0,25) uT</v>
      </c>
      <c r="BF386" s="137" t="str">
        <f>IF(OR(AF386="",AQ386="-"),"",IF(AF386&lt;=0.25,"Tipo 1 (≤0,25) uT",IF(AF386&lt;=0.5,"Tipo 2 (0,25-0,50) uT",IF(AF386&lt;=0.75,"Tipo 3 (0,50-0,75) uT","Tipo 4 (&gt;0,75) uT"))))</f>
        <v>Tipo 1 (≤0,25) uT</v>
      </c>
      <c r="BG386" s="137" t="str">
        <f t="shared" ref="BG386:BG449" si="43">IF(OR(AQ386="",AQ386="-"),"",IF(AQ386&lt;=0.25,"Tipo 1 (≤0,25) uT",IF(AQ386&lt;=0.5,"Tipo 2 (0,25-0,50) uT",IF(AQ386&lt;=0.75,"Tipo 3 (0,50-0,75) uT","Tipo 4 (&gt;0,75) uT"))))</f>
        <v>Tipo 1 (≤0,25) uT</v>
      </c>
      <c r="BH386" s="137" t="str">
        <f>IF(OR(R386="",R386="-"),"",IF(R386&lt;=0.25,"Tipo 1 (≤0,25) uT",IF(R386&lt;=0.5,"Tipo 2 (0,25-0,50) uT",IF(R386&lt;=0.75,"Tipo 3 (0,50-0,75) uT","Tipo 4 (&gt;0,75) uT"))))</f>
        <v>Tipo 1 (≤0,25) uT</v>
      </c>
    </row>
    <row r="387" spans="1:60" ht="15" thickBot="1" x14ac:dyDescent="0.35">
      <c r="A387" s="74">
        <v>46301</v>
      </c>
      <c r="B387" s="139">
        <v>0.72916666666666663</v>
      </c>
      <c r="C387" s="118">
        <v>0</v>
      </c>
      <c r="D387" s="116">
        <v>2020</v>
      </c>
      <c r="E387" s="116">
        <v>300</v>
      </c>
      <c r="F387" s="116">
        <v>2400</v>
      </c>
      <c r="G387" s="144" t="s">
        <v>100</v>
      </c>
      <c r="H387" s="122">
        <v>10.4</v>
      </c>
      <c r="I387" s="116">
        <v>34</v>
      </c>
      <c r="J387" s="10">
        <v>90</v>
      </c>
      <c r="K387" s="116">
        <v>90</v>
      </c>
      <c r="L387" s="116">
        <v>90</v>
      </c>
      <c r="M387" s="122">
        <v>24.8</v>
      </c>
      <c r="N387" s="122">
        <v>6.7</v>
      </c>
      <c r="O387" s="79">
        <v>1.25</v>
      </c>
      <c r="P387" s="116">
        <v>10</v>
      </c>
      <c r="Q387" s="122">
        <v>8.1999999999999993</v>
      </c>
      <c r="R387" s="10">
        <v>0.15</v>
      </c>
      <c r="S387" s="79">
        <v>22.36</v>
      </c>
      <c r="T387" s="79">
        <v>0.88</v>
      </c>
      <c r="U387" s="79">
        <v>0.7</v>
      </c>
      <c r="V387" s="85">
        <f t="shared" ref="V387:V450" si="44">(O387+0.3*H387+2)*(F387/2/Z387)</f>
        <v>2548</v>
      </c>
      <c r="W387" s="85">
        <f t="shared" ref="W387:W450" si="45">S387*(U387*AA387*0.987-T387)*AB387</f>
        <v>1656.528988452</v>
      </c>
      <c r="X387" s="85">
        <f t="shared" ref="X387:X450" si="46">W387/V387</f>
        <v>0.65012911634693882</v>
      </c>
      <c r="Y387" s="116">
        <v>3</v>
      </c>
      <c r="Z387" s="116">
        <v>3</v>
      </c>
      <c r="AA387" s="122">
        <v>6.17</v>
      </c>
      <c r="AB387" s="116">
        <v>21.9</v>
      </c>
      <c r="AC387" s="122">
        <v>6.7</v>
      </c>
      <c r="AD387" s="122">
        <v>6.6</v>
      </c>
      <c r="AE387" s="79">
        <v>0.18</v>
      </c>
      <c r="AF387" s="79">
        <v>0.22</v>
      </c>
      <c r="AG387" s="85">
        <f>(O387+0.3*H387+2)*(F387/2/AK387)</f>
        <v>1911</v>
      </c>
      <c r="AH387" s="85">
        <f t="shared" ref="AH387:AH450" si="47">S387*(U387*AL387*0.987-T387)*AM387</f>
        <v>1964.00508928</v>
      </c>
      <c r="AI387" s="85">
        <f t="shared" ref="AI387:AI450" si="48">AH387/AG387</f>
        <v>1.0277368337414965</v>
      </c>
      <c r="AJ387" s="116">
        <v>3</v>
      </c>
      <c r="AK387" s="116">
        <v>4</v>
      </c>
      <c r="AL387" s="122">
        <v>6.4</v>
      </c>
      <c r="AM387" s="116">
        <v>24.8</v>
      </c>
      <c r="AN387" s="122">
        <v>6.5</v>
      </c>
      <c r="AO387" s="122">
        <v>6.6</v>
      </c>
      <c r="AP387" s="79">
        <v>0.19</v>
      </c>
      <c r="AQ387" s="79">
        <v>0.09</v>
      </c>
      <c r="AR387" s="132">
        <f>SUM(C387:E387)</f>
        <v>2320</v>
      </c>
      <c r="AS387" s="134">
        <f>C387/AR387</f>
        <v>0</v>
      </c>
      <c r="AT387" s="134">
        <f>D387/AR387</f>
        <v>0.87068965517241381</v>
      </c>
      <c r="AU387" s="134">
        <f>E387/AR387</f>
        <v>0.12931034482758622</v>
      </c>
      <c r="AV387" s="151">
        <f>IF(AND(F387&lt;&gt;"",Z387&lt;&gt;""),AB387/(F387/2/Z387),"")</f>
        <v>5.4749999999999993E-2</v>
      </c>
      <c r="AW387" s="151">
        <f>IF(AND(F387&lt;&gt;"",AK387&lt;&gt;""),AM387/(F387/2/AK387),"")</f>
        <v>8.2666666666666666E-2</v>
      </c>
      <c r="AX387" s="43">
        <f>IF(AND(AQ387&lt;&gt;"",1-(AQ387/O387)&gt;0),1-(AQ387/O387),"")</f>
        <v>0.92800000000000005</v>
      </c>
      <c r="AY387" s="41">
        <f>IF(AND(AF387&lt;&gt;"",1-(AF387/O387)&gt;0),1-(AF387/O387),"")</f>
        <v>0.82400000000000007</v>
      </c>
      <c r="AZ387" s="136" t="str">
        <f>IF(Q387="","",IF(Q387&lt;2.5,"Alc. Bruta &lt; 2,5 mg/L",IF(Q387&lt;5,"2,5 ≤ Alc. Bruta &lt; 5,0 mg/L",IF(Q387&lt;7.5,"5,0 ≤ Alc. Bruta &lt; 7,5 mg/L",IF(Q387&lt;10,"7,5 ≤ Alc. Bruta &lt; 10,0 mg/L",IF(Q387&lt;15,"10,0 ≤ Alca. Bruta &lt; 15,0 mg/L","Alc. Bruta &gt; 15 mg/L"))))))</f>
        <v>7,5 ≤ Alc. Bruta &lt; 10,0 mg/L</v>
      </c>
      <c r="BA387" s="136" t="str">
        <f>IF(P387="","",IF(P387&lt;5,"Cor &lt;5 uC",IF(P387&lt;10,"5 ≤ Cor &lt; 10 uC",IF(P387&lt;15,"10 ≤ Cor &lt;15 uC",IF(P387&lt;30,"15 ≤ Cor &lt; 30 uC",IF(P387&lt;50,"30 ≤ Cor &lt; 50 uC","Cor &gt; 50 uC"))))))</f>
        <v>10 ≤ Cor &lt;15 uC</v>
      </c>
      <c r="BB387" s="137" t="str">
        <f>IF(O387="","",IF(O387&lt;2.5,"Turbidez &lt; 2,5 uT",IF(O387&lt;5,"2,5 ≤ Turb &lt; 5,0 uT",IF(O387&lt;7.5,"5,0 ≤ Turb &lt; 7,5 uT",IF(O387&lt;10,"7,5 ≤ Turb &lt; 10,0 uT",IF(O387&lt;15,"10,0 ≤ Turb &lt; 15,0 uT","Turb &gt; 15 uT"))))))</f>
        <v>Turbidez &lt; 2,5 uT</v>
      </c>
      <c r="BC387" s="138" t="str">
        <f>IF(AND(C387&gt;D387,D387&gt;E387),"TOR &gt; SM &gt; BNN",IF(AND(C387&gt;E387,E387&gt;D387),"TOR &gt; BNN &gt; SM",IF(AND(D387&gt;C387,C387&gt;E387),"SM &gt; TOR &gt; BNN",IF(AND(D387&gt;E387,E387&gt;C387),"SM &gt; BNN &gt; TOR",IF(AND(C387=D387,D387=E387),"TOR = SM = BNN","Comb. diferentes")))))</f>
        <v>SM &gt; BNN &gt; TOR</v>
      </c>
      <c r="BD387" s="137" t="str">
        <f>IF(OR(AE387="",AQ387="-"),"",IF(AE387&lt;=0.25,"Tipo 1 (≤0,25) uT",IF(AE387&lt;=0.5,"Tipo 2 (0,25-0,50) uT",IF(AE387&lt;=0.75,"Tipo 3 (0,50-0,75) uT","Tipo 4 (&gt;0,75) uT"))))</f>
        <v>Tipo 1 (≤0,25) uT</v>
      </c>
      <c r="BE387" s="137" t="str">
        <f t="shared" si="42"/>
        <v>Tipo 1 (≤0,25) uT</v>
      </c>
      <c r="BF387" s="137" t="str">
        <f>IF(OR(AF387="",AQ387="-"),"",IF(AF387&lt;=0.25,"Tipo 1 (≤0,25) uT",IF(AF387&lt;=0.5,"Tipo 2 (0,25-0,50) uT",IF(AF387&lt;=0.75,"Tipo 3 (0,50-0,75) uT","Tipo 4 (&gt;0,75) uT"))))</f>
        <v>Tipo 1 (≤0,25) uT</v>
      </c>
      <c r="BG387" s="137" t="str">
        <f t="shared" si="43"/>
        <v>Tipo 1 (≤0,25) uT</v>
      </c>
      <c r="BH387" s="137" t="str">
        <f>IF(OR(R387="",R387="-"),"",IF(R387&lt;=0.25,"Tipo 1 (≤0,25) uT",IF(R387&lt;=0.5,"Tipo 2 (0,25-0,50) uT",IF(R387&lt;=0.75,"Tipo 3 (0,50-0,75) uT","Tipo 4 (&gt;0,75) uT"))))</f>
        <v>Tipo 1 (≤0,25) uT</v>
      </c>
    </row>
    <row r="388" spans="1:60" ht="15" thickBot="1" x14ac:dyDescent="0.35">
      <c r="A388" s="74">
        <v>46301</v>
      </c>
      <c r="B388" s="139">
        <v>0.8125</v>
      </c>
      <c r="C388" s="118">
        <v>0</v>
      </c>
      <c r="D388" s="116">
        <v>2019</v>
      </c>
      <c r="E388" s="116">
        <v>268</v>
      </c>
      <c r="F388" s="116">
        <v>2461</v>
      </c>
      <c r="G388" s="144" t="s">
        <v>100</v>
      </c>
      <c r="H388" s="122">
        <v>10.4</v>
      </c>
      <c r="I388" s="116">
        <v>34</v>
      </c>
      <c r="J388" s="10">
        <v>90</v>
      </c>
      <c r="K388" s="116">
        <v>90</v>
      </c>
      <c r="L388" s="116">
        <v>90</v>
      </c>
      <c r="M388" s="122">
        <v>24.5</v>
      </c>
      <c r="N388" s="122">
        <v>6.4</v>
      </c>
      <c r="O388" s="79">
        <v>3.03</v>
      </c>
      <c r="P388" s="116">
        <v>7</v>
      </c>
      <c r="Q388" s="122">
        <v>8.3000000000000007</v>
      </c>
      <c r="R388" s="10">
        <v>0.15</v>
      </c>
      <c r="S388" s="79">
        <v>22.36</v>
      </c>
      <c r="T388" s="79">
        <v>0.88</v>
      </c>
      <c r="U388" s="79">
        <v>0.7</v>
      </c>
      <c r="V388" s="85">
        <f t="shared" si="44"/>
        <v>3342.8583333333336</v>
      </c>
      <c r="W388" s="85">
        <f t="shared" si="45"/>
        <v>1636.2370492</v>
      </c>
      <c r="X388" s="85">
        <f t="shared" si="46"/>
        <v>0.48947244724200595</v>
      </c>
      <c r="Y388" s="116">
        <v>3</v>
      </c>
      <c r="Z388" s="116">
        <v>3</v>
      </c>
      <c r="AA388" s="122">
        <v>6.2</v>
      </c>
      <c r="AB388" s="116">
        <v>21.5</v>
      </c>
      <c r="AC388" s="122">
        <v>6.4</v>
      </c>
      <c r="AD388" s="122">
        <v>5.8</v>
      </c>
      <c r="AE388" s="79">
        <v>0.1</v>
      </c>
      <c r="AF388" s="79">
        <v>0.17</v>
      </c>
      <c r="AG388" s="85">
        <f>(O388+0.3*H388+2)*(F388/2/AK388)</f>
        <v>2507.1437500000002</v>
      </c>
      <c r="AH388" s="85">
        <f t="shared" si="47"/>
        <v>1900.6500864</v>
      </c>
      <c r="AI388" s="85">
        <f t="shared" si="48"/>
        <v>0.75809378157913754</v>
      </c>
      <c r="AJ388" s="116">
        <v>3</v>
      </c>
      <c r="AK388" s="116">
        <v>4</v>
      </c>
      <c r="AL388" s="122">
        <v>6.4</v>
      </c>
      <c r="AM388" s="116">
        <v>24</v>
      </c>
      <c r="AN388" s="122">
        <v>6.4</v>
      </c>
      <c r="AO388" s="122">
        <v>6</v>
      </c>
      <c r="AP388" s="79">
        <v>0.1</v>
      </c>
      <c r="AQ388" s="79">
        <v>0.1</v>
      </c>
      <c r="AR388" s="132">
        <f>SUM(C388:E388)</f>
        <v>2287</v>
      </c>
      <c r="AS388" s="134">
        <f>C388/AR388</f>
        <v>0</v>
      </c>
      <c r="AT388" s="134">
        <f>D388/AR388</f>
        <v>0.88281591604722343</v>
      </c>
      <c r="AU388" s="134">
        <f>E388/AR388</f>
        <v>0.11718408395277656</v>
      </c>
      <c r="AV388" s="151">
        <f>IF(AND(F388&lt;&gt;"",Z388&lt;&gt;""),AB388/(F388/2/Z388),"")</f>
        <v>5.2417716375457127E-2</v>
      </c>
      <c r="AW388" s="151">
        <f>IF(AND(F388&lt;&gt;"",AK388&lt;&gt;""),AM388/(F388/2/AK388),"")</f>
        <v>7.8017066233238522E-2</v>
      </c>
      <c r="AX388" s="43">
        <f>IF(AND(AQ388&lt;&gt;"",1-(AQ388/O388)&gt;0),1-(AQ388/O388),"")</f>
        <v>0.96699669966996704</v>
      </c>
      <c r="AY388" s="41">
        <f>IF(AND(AF388&lt;&gt;"",1-(AF388/O388)&gt;0),1-(AF388/O388),"")</f>
        <v>0.94389438943894388</v>
      </c>
      <c r="AZ388" s="136" t="str">
        <f>IF(Q388="","",IF(Q388&lt;2.5,"Alc. Bruta &lt; 2,5 mg/L",IF(Q388&lt;5,"2,5 ≤ Alc. Bruta &lt; 5,0 mg/L",IF(Q388&lt;7.5,"5,0 ≤ Alc. Bruta &lt; 7,5 mg/L",IF(Q388&lt;10,"7,5 ≤ Alc. Bruta &lt; 10,0 mg/L",IF(Q388&lt;15,"10,0 ≤ Alca. Bruta &lt; 15,0 mg/L","Alc. Bruta &gt; 15 mg/L"))))))</f>
        <v>7,5 ≤ Alc. Bruta &lt; 10,0 mg/L</v>
      </c>
      <c r="BA388" s="136" t="str">
        <f>IF(P388="","",IF(P388&lt;5,"Cor &lt;5 uC",IF(P388&lt;10,"5 ≤ Cor &lt; 10 uC",IF(P388&lt;15,"10 ≤ Cor &lt;15 uC",IF(P388&lt;30,"15 ≤ Cor &lt; 30 uC",IF(P388&lt;50,"30 ≤ Cor &lt; 50 uC","Cor &gt; 50 uC"))))))</f>
        <v>5 ≤ Cor &lt; 10 uC</v>
      </c>
      <c r="BB388" s="137" t="str">
        <f>IF(O388="","",IF(O388&lt;2.5,"Turbidez &lt; 2,5 uT",IF(O388&lt;5,"2,5 ≤ Turb &lt; 5,0 uT",IF(O388&lt;7.5,"5,0 ≤ Turb &lt; 7,5 uT",IF(O388&lt;10,"7,5 ≤ Turb &lt; 10,0 uT",IF(O388&lt;15,"10,0 ≤ Turb &lt; 15,0 uT","Turb &gt; 15 uT"))))))</f>
        <v>2,5 ≤ Turb &lt; 5,0 uT</v>
      </c>
      <c r="BC388" s="138" t="str">
        <f>IF(AND(C388&gt;D388,D388&gt;E388),"TOR &gt; SM &gt; BNN",IF(AND(C388&gt;E388,E388&gt;D388),"TOR &gt; BNN &gt; SM",IF(AND(D388&gt;C388,C388&gt;E388),"SM &gt; TOR &gt; BNN",IF(AND(D388&gt;E388,E388&gt;C388),"SM &gt; BNN &gt; TOR",IF(AND(C388=D388,D388=E388),"TOR = SM = BNN","Comb. diferentes")))))</f>
        <v>SM &gt; BNN &gt; TOR</v>
      </c>
      <c r="BD388" s="137" t="str">
        <f>IF(OR(AE388="",AQ388="-"),"",IF(AE388&lt;=0.25,"Tipo 1 (≤0,25) uT",IF(AE388&lt;=0.5,"Tipo 2 (0,25-0,50) uT",IF(AE388&lt;=0.75,"Tipo 3 (0,50-0,75) uT","Tipo 4 (&gt;0,75) uT"))))</f>
        <v>Tipo 1 (≤0,25) uT</v>
      </c>
      <c r="BE388" s="137" t="str">
        <f t="shared" si="42"/>
        <v>Tipo 1 (≤0,25) uT</v>
      </c>
      <c r="BF388" s="137" t="str">
        <f>IF(OR(AF388="",AQ388="-"),"",IF(AF388&lt;=0.25,"Tipo 1 (≤0,25) uT",IF(AF388&lt;=0.5,"Tipo 2 (0,25-0,50) uT",IF(AF388&lt;=0.75,"Tipo 3 (0,50-0,75) uT","Tipo 4 (&gt;0,75) uT"))))</f>
        <v>Tipo 1 (≤0,25) uT</v>
      </c>
      <c r="BG388" s="137" t="str">
        <f t="shared" si="43"/>
        <v>Tipo 1 (≤0,25) uT</v>
      </c>
      <c r="BH388" s="137" t="str">
        <f>IF(OR(R388="",R388="-"),"",IF(R388&lt;=0.25,"Tipo 1 (≤0,25) uT",IF(R388&lt;=0.5,"Tipo 2 (0,25-0,50) uT",IF(R388&lt;=0.75,"Tipo 3 (0,50-0,75) uT","Tipo 4 (&gt;0,75) uT"))))</f>
        <v>Tipo 1 (≤0,25) uT</v>
      </c>
    </row>
    <row r="389" spans="1:60" ht="15" thickBot="1" x14ac:dyDescent="0.35">
      <c r="A389" s="74">
        <v>46301</v>
      </c>
      <c r="B389" s="139">
        <v>0.89583333333333337</v>
      </c>
      <c r="C389" s="118">
        <v>0</v>
      </c>
      <c r="D389" s="116">
        <v>1964</v>
      </c>
      <c r="E389" s="116">
        <v>268</v>
      </c>
      <c r="F389" s="116">
        <v>2537</v>
      </c>
      <c r="G389" s="144" t="s">
        <v>100</v>
      </c>
      <c r="H389" s="122">
        <v>10.4</v>
      </c>
      <c r="I389" s="116">
        <v>34</v>
      </c>
      <c r="J389" s="10">
        <v>90</v>
      </c>
      <c r="K389" s="116">
        <v>90</v>
      </c>
      <c r="L389" s="116">
        <v>90</v>
      </c>
      <c r="M389" s="122">
        <v>25.1</v>
      </c>
      <c r="N389" s="122">
        <v>6.4</v>
      </c>
      <c r="O389" s="79">
        <v>2.58</v>
      </c>
      <c r="P389" s="116">
        <v>16</v>
      </c>
      <c r="Q389" s="122">
        <v>7.9</v>
      </c>
      <c r="R389" s="10">
        <v>0.16</v>
      </c>
      <c r="S389" s="79">
        <v>22.36</v>
      </c>
      <c r="T389" s="79">
        <v>0.88</v>
      </c>
      <c r="U389" s="79">
        <v>0.7</v>
      </c>
      <c r="V389" s="85">
        <f t="shared" si="44"/>
        <v>3255.8166666666666</v>
      </c>
      <c r="W389" s="85">
        <f t="shared" si="45"/>
        <v>1674.2890735999999</v>
      </c>
      <c r="X389" s="85">
        <f t="shared" si="46"/>
        <v>0.51424550121065371</v>
      </c>
      <c r="Y389" s="116">
        <v>2</v>
      </c>
      <c r="Z389" s="116">
        <v>3</v>
      </c>
      <c r="AA389" s="122">
        <v>6.2</v>
      </c>
      <c r="AB389" s="116">
        <v>22</v>
      </c>
      <c r="AC389" s="122">
        <v>6.1</v>
      </c>
      <c r="AD389" s="122">
        <v>5.6</v>
      </c>
      <c r="AE389" s="79">
        <v>0.16</v>
      </c>
      <c r="AF389" s="79">
        <v>0.14000000000000001</v>
      </c>
      <c r="AG389" s="85">
        <f>(O389+0.3*H389+2)*(F389/2/AK389)</f>
        <v>2441.8625000000002</v>
      </c>
      <c r="AH389" s="85">
        <f t="shared" si="47"/>
        <v>1900.6500864</v>
      </c>
      <c r="AI389" s="85">
        <f t="shared" si="48"/>
        <v>0.7783608153202729</v>
      </c>
      <c r="AJ389" s="116">
        <v>2</v>
      </c>
      <c r="AK389" s="116">
        <v>4</v>
      </c>
      <c r="AL389" s="122">
        <v>6.4</v>
      </c>
      <c r="AM389" s="116">
        <v>24</v>
      </c>
      <c r="AN389" s="122">
        <v>6.1</v>
      </c>
      <c r="AO389" s="122">
        <v>6</v>
      </c>
      <c r="AP389" s="79">
        <v>0.13</v>
      </c>
      <c r="AQ389" s="79">
        <v>0.13</v>
      </c>
      <c r="AR389" s="132">
        <f>SUM(C389:E389)</f>
        <v>2232</v>
      </c>
      <c r="AS389" s="134">
        <f>C389/AR389</f>
        <v>0</v>
      </c>
      <c r="AT389" s="134">
        <f>D389/AR389</f>
        <v>0.87992831541218641</v>
      </c>
      <c r="AU389" s="134">
        <f>E389/AR389</f>
        <v>0.12007168458781362</v>
      </c>
      <c r="AV389" s="151">
        <f>IF(AND(F389&lt;&gt;"",Z389&lt;&gt;""),AB389/(F389/2/Z389),"")</f>
        <v>5.2029956641702804E-2</v>
      </c>
      <c r="AW389" s="151">
        <f>IF(AND(F389&lt;&gt;"",AK389&lt;&gt;""),AM389/(F389/2/AK389),"")</f>
        <v>7.5679936933385886E-2</v>
      </c>
      <c r="AX389" s="43">
        <f>IF(AND(AQ389&lt;&gt;"",1-(AQ389/O389)&gt;0),1-(AQ389/O389),"")</f>
        <v>0.94961240310077522</v>
      </c>
      <c r="AY389" s="41">
        <f>IF(AND(AF389&lt;&gt;"",1-(AF389/O389)&gt;0),1-(AF389/O389),"")</f>
        <v>0.94573643410852715</v>
      </c>
      <c r="AZ389" s="136" t="str">
        <f>IF(Q389="","",IF(Q389&lt;2.5,"Alc. Bruta &lt; 2,5 mg/L",IF(Q389&lt;5,"2,5 ≤ Alc. Bruta &lt; 5,0 mg/L",IF(Q389&lt;7.5,"5,0 ≤ Alc. Bruta &lt; 7,5 mg/L",IF(Q389&lt;10,"7,5 ≤ Alc. Bruta &lt; 10,0 mg/L",IF(Q389&lt;15,"10,0 ≤ Alca. Bruta &lt; 15,0 mg/L","Alc. Bruta &gt; 15 mg/L"))))))</f>
        <v>7,5 ≤ Alc. Bruta &lt; 10,0 mg/L</v>
      </c>
      <c r="BA389" s="136" t="str">
        <f>IF(P389="","",IF(P389&lt;5,"Cor &lt;5 uC",IF(P389&lt;10,"5 ≤ Cor &lt; 10 uC",IF(P389&lt;15,"10 ≤ Cor &lt;15 uC",IF(P389&lt;30,"15 ≤ Cor &lt; 30 uC",IF(P389&lt;50,"30 ≤ Cor &lt; 50 uC","Cor &gt; 50 uC"))))))</f>
        <v>15 ≤ Cor &lt; 30 uC</v>
      </c>
      <c r="BB389" s="137" t="str">
        <f>IF(O389="","",IF(O389&lt;2.5,"Turbidez &lt; 2,5 uT",IF(O389&lt;5,"2,5 ≤ Turb &lt; 5,0 uT",IF(O389&lt;7.5,"5,0 ≤ Turb &lt; 7,5 uT",IF(O389&lt;10,"7,5 ≤ Turb &lt; 10,0 uT",IF(O389&lt;15,"10,0 ≤ Turb &lt; 15,0 uT","Turb &gt; 15 uT"))))))</f>
        <v>2,5 ≤ Turb &lt; 5,0 uT</v>
      </c>
      <c r="BC389" s="138" t="str">
        <f>IF(AND(C389&gt;D389,D389&gt;E389),"TOR &gt; SM &gt; BNN",IF(AND(C389&gt;E389,E389&gt;D389),"TOR &gt; BNN &gt; SM",IF(AND(D389&gt;C389,C389&gt;E389),"SM &gt; TOR &gt; BNN",IF(AND(D389&gt;E389,E389&gt;C389),"SM &gt; BNN &gt; TOR",IF(AND(C389=D389,D389=E389),"TOR = SM = BNN","Comb. diferentes")))))</f>
        <v>SM &gt; BNN &gt; TOR</v>
      </c>
      <c r="BD389" s="137" t="str">
        <f>IF(OR(AE389="",AQ389="-"),"",IF(AE389&lt;=0.25,"Tipo 1 (≤0,25) uT",IF(AE389&lt;=0.5,"Tipo 2 (0,25-0,50) uT",IF(AE389&lt;=0.75,"Tipo 3 (0,50-0,75) uT","Tipo 4 (&gt;0,75) uT"))))</f>
        <v>Tipo 1 (≤0,25) uT</v>
      </c>
      <c r="BE389" s="137" t="str">
        <f t="shared" si="42"/>
        <v>Tipo 1 (≤0,25) uT</v>
      </c>
      <c r="BF389" s="137" t="str">
        <f>IF(OR(AF389="",AQ389="-"),"",IF(AF389&lt;=0.25,"Tipo 1 (≤0,25) uT",IF(AF389&lt;=0.5,"Tipo 2 (0,25-0,50) uT",IF(AF389&lt;=0.75,"Tipo 3 (0,50-0,75) uT","Tipo 4 (&gt;0,75) uT"))))</f>
        <v>Tipo 1 (≤0,25) uT</v>
      </c>
      <c r="BG389" s="137" t="str">
        <f t="shared" si="43"/>
        <v>Tipo 1 (≤0,25) uT</v>
      </c>
      <c r="BH389" s="137" t="str">
        <f>IF(OR(R389="",R389="-"),"",IF(R389&lt;=0.25,"Tipo 1 (≤0,25) uT",IF(R389&lt;=0.5,"Tipo 2 (0,25-0,50) uT",IF(R389&lt;=0.75,"Tipo 3 (0,50-0,75) uT","Tipo 4 (&gt;0,75) uT"))))</f>
        <v>Tipo 1 (≤0,25) uT</v>
      </c>
    </row>
    <row r="390" spans="1:60" ht="15" thickBot="1" x14ac:dyDescent="0.35">
      <c r="A390" s="74">
        <v>46302</v>
      </c>
      <c r="B390" s="139">
        <v>6.25E-2</v>
      </c>
      <c r="C390" s="118">
        <v>0</v>
      </c>
      <c r="D390" s="116">
        <v>2042</v>
      </c>
      <c r="E390" s="116">
        <v>269</v>
      </c>
      <c r="F390" s="116">
        <v>2341</v>
      </c>
      <c r="G390" s="144" t="s">
        <v>100</v>
      </c>
      <c r="H390" s="122">
        <v>10.4</v>
      </c>
      <c r="I390" s="116">
        <v>34</v>
      </c>
      <c r="J390" s="10">
        <v>90</v>
      </c>
      <c r="K390" s="116">
        <v>90</v>
      </c>
      <c r="L390" s="116">
        <v>90</v>
      </c>
      <c r="M390" s="122">
        <v>24.4</v>
      </c>
      <c r="N390" s="122">
        <v>6.5</v>
      </c>
      <c r="O390" s="79">
        <v>2.31</v>
      </c>
      <c r="P390" s="116">
        <v>11</v>
      </c>
      <c r="Q390" s="122">
        <v>8</v>
      </c>
      <c r="R390" s="10">
        <v>0.16</v>
      </c>
      <c r="S390" s="79">
        <v>22.36</v>
      </c>
      <c r="T390" s="79">
        <v>0.88</v>
      </c>
      <c r="U390" s="79">
        <v>0.7</v>
      </c>
      <c r="V390" s="85">
        <f t="shared" si="44"/>
        <v>4348.4075000000003</v>
      </c>
      <c r="W390" s="85">
        <f t="shared" si="45"/>
        <v>1522.080976</v>
      </c>
      <c r="X390" s="85">
        <f t="shared" si="46"/>
        <v>0.35003181647534182</v>
      </c>
      <c r="Y390" s="116">
        <v>3</v>
      </c>
      <c r="Z390" s="116">
        <v>2</v>
      </c>
      <c r="AA390" s="122">
        <v>6.2</v>
      </c>
      <c r="AB390" s="116">
        <v>20</v>
      </c>
      <c r="AC390" s="122">
        <v>6.2</v>
      </c>
      <c r="AD390" s="122">
        <v>5.9</v>
      </c>
      <c r="AE390" s="79">
        <v>0.19</v>
      </c>
      <c r="AF390" s="79">
        <v>0.2</v>
      </c>
      <c r="AG390" s="85">
        <f>(O390+0.3*H390+2)*(F390/2/AK390)</f>
        <v>2174.2037500000001</v>
      </c>
      <c r="AH390" s="85">
        <f t="shared" si="47"/>
        <v>1900.6500864</v>
      </c>
      <c r="AI390" s="85">
        <f t="shared" si="48"/>
        <v>0.87418213973736358</v>
      </c>
      <c r="AJ390" s="116">
        <v>2</v>
      </c>
      <c r="AK390" s="116">
        <v>4</v>
      </c>
      <c r="AL390" s="122">
        <v>6.4</v>
      </c>
      <c r="AM390" s="116">
        <v>24</v>
      </c>
      <c r="AN390" s="122">
        <v>6.1</v>
      </c>
      <c r="AO390" s="122">
        <v>5.8</v>
      </c>
      <c r="AP390" s="79">
        <v>0.16</v>
      </c>
      <c r="AQ390" s="79">
        <v>0.17</v>
      </c>
      <c r="AR390" s="132">
        <f>SUM(C390:E390)</f>
        <v>2311</v>
      </c>
      <c r="AS390" s="134">
        <f>C390/AR390</f>
        <v>0</v>
      </c>
      <c r="AT390" s="134">
        <f>D390/AR390</f>
        <v>0.88360017308524452</v>
      </c>
      <c r="AU390" s="134">
        <f>E390/AR390</f>
        <v>0.11639982691475552</v>
      </c>
      <c r="AV390" s="151">
        <f>IF(AND(F390&lt;&gt;"",Z390&lt;&gt;""),AB390/(F390/2/Z390),"")</f>
        <v>3.4173430158052118E-2</v>
      </c>
      <c r="AW390" s="151">
        <f>IF(AND(F390&lt;&gt;"",AK390&lt;&gt;""),AM390/(F390/2/AK390),"")</f>
        <v>8.201623237932508E-2</v>
      </c>
      <c r="AX390" s="43">
        <f>IF(AND(AQ390&lt;&gt;"",1-(AQ390/O390)&gt;0),1-(AQ390/O390),"")</f>
        <v>0.92640692640692635</v>
      </c>
      <c r="AY390" s="41">
        <f>IF(AND(AF390&lt;&gt;"",1-(AF390/O390)&gt;0),1-(AF390/O390),"")</f>
        <v>0.91341991341991347</v>
      </c>
      <c r="AZ390" s="136" t="str">
        <f>IF(Q390="","",IF(Q390&lt;2.5,"Alc. Bruta &lt; 2,5 mg/L",IF(Q390&lt;5,"2,5 ≤ Alc. Bruta &lt; 5,0 mg/L",IF(Q390&lt;7.5,"5,0 ≤ Alc. Bruta &lt; 7,5 mg/L",IF(Q390&lt;10,"7,5 ≤ Alc. Bruta &lt; 10,0 mg/L",IF(Q390&lt;15,"10,0 ≤ Alca. Bruta &lt; 15,0 mg/L","Alc. Bruta &gt; 15 mg/L"))))))</f>
        <v>7,5 ≤ Alc. Bruta &lt; 10,0 mg/L</v>
      </c>
      <c r="BA390" s="136" t="str">
        <f>IF(P390="","",IF(P390&lt;5,"Cor &lt;5 uC",IF(P390&lt;10,"5 ≤ Cor &lt; 10 uC",IF(P390&lt;15,"10 ≤ Cor &lt;15 uC",IF(P390&lt;30,"15 ≤ Cor &lt; 30 uC",IF(P390&lt;50,"30 ≤ Cor &lt; 50 uC","Cor &gt; 50 uC"))))))</f>
        <v>10 ≤ Cor &lt;15 uC</v>
      </c>
      <c r="BB390" s="137" t="str">
        <f>IF(O390="","",IF(O390&lt;2.5,"Turbidez &lt; 2,5 uT",IF(O390&lt;5,"2,5 ≤ Turb &lt; 5,0 uT",IF(O390&lt;7.5,"5,0 ≤ Turb &lt; 7,5 uT",IF(O390&lt;10,"7,5 ≤ Turb &lt; 10,0 uT",IF(O390&lt;15,"10,0 ≤ Turb &lt; 15,0 uT","Turb &gt; 15 uT"))))))</f>
        <v>Turbidez &lt; 2,5 uT</v>
      </c>
      <c r="BC390" s="138" t="str">
        <f>IF(AND(C390&gt;D390,D390&gt;E390),"TOR &gt; SM &gt; BNN",IF(AND(C390&gt;E390,E390&gt;D390),"TOR &gt; BNN &gt; SM",IF(AND(D390&gt;C390,C390&gt;E390),"SM &gt; TOR &gt; BNN",IF(AND(D390&gt;E390,E390&gt;C390),"SM &gt; BNN &gt; TOR",IF(AND(C390=D390,D390=E390),"TOR = SM = BNN","Comb. diferentes")))))</f>
        <v>SM &gt; BNN &gt; TOR</v>
      </c>
      <c r="BD390" s="137" t="str">
        <f>IF(OR(AE390="",AQ390="-"),"",IF(AE390&lt;=0.25,"Tipo 1 (≤0,25) uT",IF(AE390&lt;=0.5,"Tipo 2 (0,25-0,50) uT",IF(AE390&lt;=0.75,"Tipo 3 (0,50-0,75) uT","Tipo 4 (&gt;0,75) uT"))))</f>
        <v>Tipo 1 (≤0,25) uT</v>
      </c>
      <c r="BE390" s="137" t="str">
        <f t="shared" si="42"/>
        <v>Tipo 1 (≤0,25) uT</v>
      </c>
      <c r="BF390" s="137" t="str">
        <f>IF(OR(AF390="",AQ390="-"),"",IF(AF390&lt;=0.25,"Tipo 1 (≤0,25) uT",IF(AF390&lt;=0.5,"Tipo 2 (0,25-0,50) uT",IF(AF390&lt;=0.75,"Tipo 3 (0,50-0,75) uT","Tipo 4 (&gt;0,75) uT"))))</f>
        <v>Tipo 1 (≤0,25) uT</v>
      </c>
      <c r="BG390" s="137" t="str">
        <f t="shared" si="43"/>
        <v>Tipo 1 (≤0,25) uT</v>
      </c>
      <c r="BH390" s="137" t="str">
        <f>IF(OR(R390="",R390="-"),"",IF(R390&lt;=0.25,"Tipo 1 (≤0,25) uT",IF(R390&lt;=0.5,"Tipo 2 (0,25-0,50) uT",IF(R390&lt;=0.75,"Tipo 3 (0,50-0,75) uT","Tipo 4 (&gt;0,75) uT"))))</f>
        <v>Tipo 1 (≤0,25) uT</v>
      </c>
    </row>
    <row r="391" spans="1:60" ht="15" thickBot="1" x14ac:dyDescent="0.35">
      <c r="A391" s="74">
        <v>46302</v>
      </c>
      <c r="B391" s="139">
        <v>0.14583333333333334</v>
      </c>
      <c r="C391" s="118">
        <v>0</v>
      </c>
      <c r="D391" s="116">
        <v>2019</v>
      </c>
      <c r="E391" s="116">
        <v>268</v>
      </c>
      <c r="F391" s="116">
        <v>2473</v>
      </c>
      <c r="G391" s="144" t="s">
        <v>100</v>
      </c>
      <c r="H391" s="122">
        <v>10.4</v>
      </c>
      <c r="I391" s="116">
        <v>33</v>
      </c>
      <c r="J391" s="10">
        <v>90</v>
      </c>
      <c r="K391" s="116">
        <v>90</v>
      </c>
      <c r="L391" s="116">
        <v>90</v>
      </c>
      <c r="M391" s="122">
        <v>24.1</v>
      </c>
      <c r="N391" s="122">
        <v>6.4</v>
      </c>
      <c r="O391" s="79">
        <v>1.7</v>
      </c>
      <c r="P391" s="116">
        <v>8</v>
      </c>
      <c r="Q391" s="122">
        <v>8.4</v>
      </c>
      <c r="R391" s="10">
        <v>0.16</v>
      </c>
      <c r="S391" s="79">
        <v>22.36</v>
      </c>
      <c r="T391" s="79">
        <v>0.88</v>
      </c>
      <c r="U391" s="79">
        <v>0.7</v>
      </c>
      <c r="V391" s="85">
        <f t="shared" si="44"/>
        <v>2810.9766666666669</v>
      </c>
      <c r="W391" s="85">
        <f t="shared" si="45"/>
        <v>1533.3012239999998</v>
      </c>
      <c r="X391" s="85">
        <f t="shared" si="46"/>
        <v>0.54546921081996402</v>
      </c>
      <c r="Y391" s="116">
        <v>2</v>
      </c>
      <c r="Z391" s="116">
        <v>3</v>
      </c>
      <c r="AA391" s="122">
        <v>6</v>
      </c>
      <c r="AB391" s="116">
        <v>21</v>
      </c>
      <c r="AC391" s="122">
        <v>6.1</v>
      </c>
      <c r="AD391" s="122">
        <v>5.8</v>
      </c>
      <c r="AE391" s="79">
        <v>0.15</v>
      </c>
      <c r="AF391" s="79">
        <v>0.19</v>
      </c>
      <c r="AG391" s="85">
        <f>(O391+0.3*H391+2)*(F391/2/AK391)</f>
        <v>2108.2325000000001</v>
      </c>
      <c r="AH391" s="85">
        <f t="shared" si="47"/>
        <v>1789.4207135999998</v>
      </c>
      <c r="AI391" s="85">
        <f t="shared" si="48"/>
        <v>0.84877769107534373</v>
      </c>
      <c r="AJ391" s="116">
        <v>2</v>
      </c>
      <c r="AK391" s="116">
        <v>4</v>
      </c>
      <c r="AL391" s="122">
        <v>6.1</v>
      </c>
      <c r="AM391" s="116">
        <v>24</v>
      </c>
      <c r="AN391" s="122">
        <v>6.3</v>
      </c>
      <c r="AO391" s="122">
        <v>5.3</v>
      </c>
      <c r="AP391" s="79">
        <v>0.14000000000000001</v>
      </c>
      <c r="AQ391" s="79">
        <v>0.18</v>
      </c>
      <c r="AR391" s="132">
        <f>SUM(C391:E391)</f>
        <v>2287</v>
      </c>
      <c r="AS391" s="134">
        <f>C391/AR391</f>
        <v>0</v>
      </c>
      <c r="AT391" s="134">
        <f>D391/AR391</f>
        <v>0.88281591604722343</v>
      </c>
      <c r="AU391" s="134">
        <f>E391/AR391</f>
        <v>0.11718408395277656</v>
      </c>
      <c r="AV391" s="151">
        <f>IF(AND(F391&lt;&gt;"",Z391&lt;&gt;""),AB391/(F391/2/Z391),"")</f>
        <v>5.0950262838657501E-2</v>
      </c>
      <c r="AW391" s="151">
        <f>IF(AND(F391&lt;&gt;"",AK391&lt;&gt;""),AM391/(F391/2/AK391),"")</f>
        <v>7.7638495754144762E-2</v>
      </c>
      <c r="AX391" s="43">
        <f>IF(AND(AQ391&lt;&gt;"",1-(AQ391/O391)&gt;0),1-(AQ391/O391),"")</f>
        <v>0.89411764705882357</v>
      </c>
      <c r="AY391" s="41">
        <f>IF(AND(AF391&lt;&gt;"",1-(AF391/O391)&gt;0),1-(AF391/O391),"")</f>
        <v>0.88823529411764701</v>
      </c>
      <c r="AZ391" s="136" t="str">
        <f>IF(Q391="","",IF(Q391&lt;2.5,"Alc. Bruta &lt; 2,5 mg/L",IF(Q391&lt;5,"2,5 ≤ Alc. Bruta &lt; 5,0 mg/L",IF(Q391&lt;7.5,"5,0 ≤ Alc. Bruta &lt; 7,5 mg/L",IF(Q391&lt;10,"7,5 ≤ Alc. Bruta &lt; 10,0 mg/L",IF(Q391&lt;15,"10,0 ≤ Alca. Bruta &lt; 15,0 mg/L","Alc. Bruta &gt; 15 mg/L"))))))</f>
        <v>7,5 ≤ Alc. Bruta &lt; 10,0 mg/L</v>
      </c>
      <c r="BA391" s="136" t="str">
        <f>IF(P391="","",IF(P391&lt;5,"Cor &lt;5 uC",IF(P391&lt;10,"5 ≤ Cor &lt; 10 uC",IF(P391&lt;15,"10 ≤ Cor &lt;15 uC",IF(P391&lt;30,"15 ≤ Cor &lt; 30 uC",IF(P391&lt;50,"30 ≤ Cor &lt; 50 uC","Cor &gt; 50 uC"))))))</f>
        <v>5 ≤ Cor &lt; 10 uC</v>
      </c>
      <c r="BB391" s="137" t="str">
        <f>IF(O391="","",IF(O391&lt;2.5,"Turbidez &lt; 2,5 uT",IF(O391&lt;5,"2,5 ≤ Turb &lt; 5,0 uT",IF(O391&lt;7.5,"5,0 ≤ Turb &lt; 7,5 uT",IF(O391&lt;10,"7,5 ≤ Turb &lt; 10,0 uT",IF(O391&lt;15,"10,0 ≤ Turb &lt; 15,0 uT","Turb &gt; 15 uT"))))))</f>
        <v>Turbidez &lt; 2,5 uT</v>
      </c>
      <c r="BC391" s="138" t="str">
        <f>IF(AND(C391&gt;D391,D391&gt;E391),"TOR &gt; SM &gt; BNN",IF(AND(C391&gt;E391,E391&gt;D391),"TOR &gt; BNN &gt; SM",IF(AND(D391&gt;C391,C391&gt;E391),"SM &gt; TOR &gt; BNN",IF(AND(D391&gt;E391,E391&gt;C391),"SM &gt; BNN &gt; TOR",IF(AND(C391=D391,D391=E391),"TOR = SM = BNN","Comb. diferentes")))))</f>
        <v>SM &gt; BNN &gt; TOR</v>
      </c>
      <c r="BD391" s="137" t="str">
        <f>IF(OR(AE391="",AQ391="-"),"",IF(AE391&lt;=0.25,"Tipo 1 (≤0,25) uT",IF(AE391&lt;=0.5,"Tipo 2 (0,25-0,50) uT",IF(AE391&lt;=0.75,"Tipo 3 (0,50-0,75) uT","Tipo 4 (&gt;0,75) uT"))))</f>
        <v>Tipo 1 (≤0,25) uT</v>
      </c>
      <c r="BE391" s="137" t="str">
        <f t="shared" si="42"/>
        <v>Tipo 1 (≤0,25) uT</v>
      </c>
      <c r="BF391" s="137" t="str">
        <f>IF(OR(AF391="",AQ391="-"),"",IF(AF391&lt;=0.25,"Tipo 1 (≤0,25) uT",IF(AF391&lt;=0.5,"Tipo 2 (0,25-0,50) uT",IF(AF391&lt;=0.75,"Tipo 3 (0,50-0,75) uT","Tipo 4 (&gt;0,75) uT"))))</f>
        <v>Tipo 1 (≤0,25) uT</v>
      </c>
      <c r="BG391" s="137" t="str">
        <f t="shared" si="43"/>
        <v>Tipo 1 (≤0,25) uT</v>
      </c>
      <c r="BH391" s="137" t="str">
        <f>IF(OR(R391="",R391="-"),"",IF(R391&lt;=0.25,"Tipo 1 (≤0,25) uT",IF(R391&lt;=0.5,"Tipo 2 (0,25-0,50) uT",IF(R391&lt;=0.75,"Tipo 3 (0,50-0,75) uT","Tipo 4 (&gt;0,75) uT"))))</f>
        <v>Tipo 1 (≤0,25) uT</v>
      </c>
    </row>
    <row r="392" spans="1:60" ht="15" thickBot="1" x14ac:dyDescent="0.35">
      <c r="A392" s="75">
        <v>46302</v>
      </c>
      <c r="B392" s="140">
        <v>0.22916666666666666</v>
      </c>
      <c r="C392" s="118">
        <v>0</v>
      </c>
      <c r="D392" s="117">
        <v>1283</v>
      </c>
      <c r="E392" s="117">
        <v>298</v>
      </c>
      <c r="F392" s="117">
        <v>1827</v>
      </c>
      <c r="G392" s="144" t="s">
        <v>100</v>
      </c>
      <c r="H392" s="123">
        <v>10.4</v>
      </c>
      <c r="I392" s="117">
        <v>33</v>
      </c>
      <c r="J392" s="11">
        <v>90</v>
      </c>
      <c r="K392" s="117">
        <v>90</v>
      </c>
      <c r="L392" s="117">
        <v>90</v>
      </c>
      <c r="M392" s="123">
        <v>24</v>
      </c>
      <c r="N392" s="123">
        <v>6.4</v>
      </c>
      <c r="O392" s="80">
        <v>1.67</v>
      </c>
      <c r="P392" s="117">
        <v>9</v>
      </c>
      <c r="Q392" s="123">
        <v>7.7</v>
      </c>
      <c r="R392" s="11">
        <v>0.16</v>
      </c>
      <c r="S392" s="79">
        <v>22.36</v>
      </c>
      <c r="T392" s="79">
        <v>0.88</v>
      </c>
      <c r="U392" s="79">
        <v>0.7</v>
      </c>
      <c r="V392" s="85">
        <f t="shared" si="44"/>
        <v>3101.3325</v>
      </c>
      <c r="W392" s="85">
        <f t="shared" si="45"/>
        <v>1565.7431243999997</v>
      </c>
      <c r="X392" s="85">
        <f t="shared" si="46"/>
        <v>0.5048614182452219</v>
      </c>
      <c r="Y392" s="117">
        <v>1</v>
      </c>
      <c r="Z392" s="117">
        <v>2</v>
      </c>
      <c r="AA392" s="123">
        <v>6.1</v>
      </c>
      <c r="AB392" s="117">
        <v>21</v>
      </c>
      <c r="AC392" s="123">
        <v>6.2</v>
      </c>
      <c r="AD392" s="123">
        <v>5.3</v>
      </c>
      <c r="AE392" s="80">
        <v>0.15</v>
      </c>
      <c r="AF392" s="80">
        <v>0.14000000000000001</v>
      </c>
      <c r="AG392" s="85">
        <f>(O392+0.3*H392+2)*(F392/2/AK392)</f>
        <v>2067.5549999999998</v>
      </c>
      <c r="AH392" s="85">
        <f t="shared" si="47"/>
        <v>1925.6927497599997</v>
      </c>
      <c r="AI392" s="85">
        <f t="shared" si="48"/>
        <v>0.93138646844219375</v>
      </c>
      <c r="AJ392" s="117">
        <v>1</v>
      </c>
      <c r="AK392" s="117">
        <v>3</v>
      </c>
      <c r="AL392" s="123">
        <v>6.3</v>
      </c>
      <c r="AM392" s="117">
        <v>24.8</v>
      </c>
      <c r="AN392" s="123">
        <v>6.2</v>
      </c>
      <c r="AO392" s="123">
        <v>5.6</v>
      </c>
      <c r="AP392" s="80">
        <v>0.1</v>
      </c>
      <c r="AQ392" s="80">
        <v>0.16</v>
      </c>
      <c r="AR392" s="132">
        <f>SUM(C392:E392)</f>
        <v>1581</v>
      </c>
      <c r="AS392" s="134">
        <f>C392/AR392</f>
        <v>0</v>
      </c>
      <c r="AT392" s="134">
        <f>D392/AR392</f>
        <v>0.81151170145477547</v>
      </c>
      <c r="AU392" s="134">
        <f>E392/AR392</f>
        <v>0.18848829854522453</v>
      </c>
      <c r="AV392" s="151">
        <f>IF(AND(F392&lt;&gt;"",Z392&lt;&gt;""),AB392/(F392/2/Z392),"")</f>
        <v>4.5977011494252873E-2</v>
      </c>
      <c r="AW392" s="151">
        <f>IF(AND(F392&lt;&gt;"",AK392&lt;&gt;""),AM392/(F392/2/AK392),"")</f>
        <v>8.1444991789819385E-2</v>
      </c>
      <c r="AX392" s="43">
        <f>IF(AND(AQ392&lt;&gt;"",1-(AQ392/O392)&gt;0),1-(AQ392/O392),"")</f>
        <v>0.90419161676646709</v>
      </c>
      <c r="AY392" s="41">
        <f>IF(AND(AF392&lt;&gt;"",1-(AF392/O392)&gt;0),1-(AF392/O392),"")</f>
        <v>0.91616766467065869</v>
      </c>
      <c r="AZ392" s="136" t="str">
        <f>IF(Q392="","",IF(Q392&lt;2.5,"Alc. Bruta &lt; 2,5 mg/L",IF(Q392&lt;5,"2,5 ≤ Alc. Bruta &lt; 5,0 mg/L",IF(Q392&lt;7.5,"5,0 ≤ Alc. Bruta &lt; 7,5 mg/L",IF(Q392&lt;10,"7,5 ≤ Alc. Bruta &lt; 10,0 mg/L",IF(Q392&lt;15,"10,0 ≤ Alca. Bruta &lt; 15,0 mg/L","Alc. Bruta &gt; 15 mg/L"))))))</f>
        <v>7,5 ≤ Alc. Bruta &lt; 10,0 mg/L</v>
      </c>
      <c r="BA392" s="136" t="str">
        <f>IF(P392="","",IF(P392&lt;5,"Cor &lt;5 uC",IF(P392&lt;10,"5 ≤ Cor &lt; 10 uC",IF(P392&lt;15,"10 ≤ Cor &lt;15 uC",IF(P392&lt;30,"15 ≤ Cor &lt; 30 uC",IF(P392&lt;50,"30 ≤ Cor &lt; 50 uC","Cor &gt; 50 uC"))))))</f>
        <v>5 ≤ Cor &lt; 10 uC</v>
      </c>
      <c r="BB392" s="137" t="str">
        <f>IF(O392="","",IF(O392&lt;2.5,"Turbidez &lt; 2,5 uT",IF(O392&lt;5,"2,5 ≤ Turb &lt; 5,0 uT",IF(O392&lt;7.5,"5,0 ≤ Turb &lt; 7,5 uT",IF(O392&lt;10,"7,5 ≤ Turb &lt; 10,0 uT",IF(O392&lt;15,"10,0 ≤ Turb &lt; 15,0 uT","Turb &gt; 15 uT"))))))</f>
        <v>Turbidez &lt; 2,5 uT</v>
      </c>
      <c r="BC392" s="138" t="str">
        <f>IF(AND(C392&gt;D392,D392&gt;E392),"TOR &gt; SM &gt; BNN",IF(AND(C392&gt;E392,E392&gt;D392),"TOR &gt; BNN &gt; SM",IF(AND(D392&gt;C392,C392&gt;E392),"SM &gt; TOR &gt; BNN",IF(AND(D392&gt;E392,E392&gt;C392),"SM &gt; BNN &gt; TOR",IF(AND(C392=D392,D392=E392),"TOR = SM = BNN","Comb. diferentes")))))</f>
        <v>SM &gt; BNN &gt; TOR</v>
      </c>
      <c r="BD392" s="137" t="str">
        <f>IF(OR(AE392="",AQ392="-"),"",IF(AE392&lt;=0.25,"Tipo 1 (≤0,25) uT",IF(AE392&lt;=0.5,"Tipo 2 (0,25-0,50) uT",IF(AE392&lt;=0.75,"Tipo 3 (0,50-0,75) uT","Tipo 4 (&gt;0,75) uT"))))</f>
        <v>Tipo 1 (≤0,25) uT</v>
      </c>
      <c r="BE392" s="137" t="str">
        <f t="shared" si="42"/>
        <v>Tipo 1 (≤0,25) uT</v>
      </c>
      <c r="BF392" s="137" t="str">
        <f>IF(OR(AF392="",AQ392="-"),"",IF(AF392&lt;=0.25,"Tipo 1 (≤0,25) uT",IF(AF392&lt;=0.5,"Tipo 2 (0,25-0,50) uT",IF(AF392&lt;=0.75,"Tipo 3 (0,50-0,75) uT","Tipo 4 (&gt;0,75) uT"))))</f>
        <v>Tipo 1 (≤0,25) uT</v>
      </c>
      <c r="BG392" s="137" t="str">
        <f t="shared" si="43"/>
        <v>Tipo 1 (≤0,25) uT</v>
      </c>
      <c r="BH392" s="137" t="str">
        <f>IF(OR(R392="",R392="-"),"",IF(R392&lt;=0.25,"Tipo 1 (≤0,25) uT",IF(R392&lt;=0.5,"Tipo 2 (0,25-0,50) uT",IF(R392&lt;=0.75,"Tipo 3 (0,50-0,75) uT","Tipo 4 (&gt;0,75) uT"))))</f>
        <v>Tipo 1 (≤0,25) uT</v>
      </c>
    </row>
    <row r="393" spans="1:60" x14ac:dyDescent="0.3">
      <c r="A393" s="73">
        <v>46302</v>
      </c>
      <c r="B393" s="141">
        <v>0.3125</v>
      </c>
      <c r="C393" s="118">
        <v>0</v>
      </c>
      <c r="D393" s="118">
        <v>2100</v>
      </c>
      <c r="E393" s="118">
        <v>300</v>
      </c>
      <c r="F393" s="118">
        <v>1696</v>
      </c>
      <c r="G393" s="146" t="s">
        <v>100</v>
      </c>
      <c r="H393" s="124">
        <v>10.4</v>
      </c>
      <c r="I393" s="118">
        <v>33</v>
      </c>
      <c r="J393" s="9">
        <v>90</v>
      </c>
      <c r="K393" s="118">
        <v>90</v>
      </c>
      <c r="L393" s="118">
        <v>90</v>
      </c>
      <c r="M393" s="124">
        <v>24</v>
      </c>
      <c r="N393" s="124">
        <v>6.5</v>
      </c>
      <c r="O393" s="81">
        <v>1.59</v>
      </c>
      <c r="P393" s="118">
        <v>10</v>
      </c>
      <c r="Q393" s="124">
        <v>7.4</v>
      </c>
      <c r="R393" s="9">
        <v>0.18</v>
      </c>
      <c r="S393" s="79">
        <v>22.36</v>
      </c>
      <c r="T393" s="79">
        <v>0.88</v>
      </c>
      <c r="U393" s="79">
        <v>0.7</v>
      </c>
      <c r="V393" s="85">
        <f t="shared" si="44"/>
        <v>1896.6933333333334</v>
      </c>
      <c r="W393" s="85">
        <f t="shared" si="45"/>
        <v>1491.1839279999999</v>
      </c>
      <c r="X393" s="85">
        <f t="shared" si="46"/>
        <v>0.78620191350560975</v>
      </c>
      <c r="Y393" s="118">
        <v>2</v>
      </c>
      <c r="Z393" s="118">
        <v>3</v>
      </c>
      <c r="AA393" s="124">
        <v>6.1</v>
      </c>
      <c r="AB393" s="118">
        <v>20</v>
      </c>
      <c r="AC393" s="124">
        <v>6.2</v>
      </c>
      <c r="AD393" s="124">
        <v>5.4</v>
      </c>
      <c r="AE393" s="81">
        <v>0.16</v>
      </c>
      <c r="AF393" s="81">
        <v>0.19</v>
      </c>
      <c r="AG393" s="85">
        <f>(O393+0.3*H393+2)*(F393/2/AK393)</f>
        <v>1896.6933333333334</v>
      </c>
      <c r="AH393" s="85">
        <f t="shared" si="47"/>
        <v>1863.5736287999996</v>
      </c>
      <c r="AI393" s="85">
        <f t="shared" si="48"/>
        <v>0.9825381868796218</v>
      </c>
      <c r="AJ393" s="118">
        <v>2</v>
      </c>
      <c r="AK393" s="118">
        <v>3</v>
      </c>
      <c r="AL393" s="124">
        <v>6.3</v>
      </c>
      <c r="AM393" s="118">
        <v>24</v>
      </c>
      <c r="AN393" s="124">
        <v>6.3</v>
      </c>
      <c r="AO393" s="124">
        <v>5.4</v>
      </c>
      <c r="AP393" s="81">
        <v>0.11</v>
      </c>
      <c r="AQ393" s="81">
        <v>0.27</v>
      </c>
      <c r="AR393" s="132">
        <f>SUM(C393:E393)</f>
        <v>2400</v>
      </c>
      <c r="AS393" s="134">
        <f>C393/AR393</f>
        <v>0</v>
      </c>
      <c r="AT393" s="134">
        <f>D393/AR393</f>
        <v>0.875</v>
      </c>
      <c r="AU393" s="134">
        <f>E393/AR393</f>
        <v>0.125</v>
      </c>
      <c r="AV393" s="151">
        <f>IF(AND(F393&lt;&gt;"",Z393&lt;&gt;""),AB393/(F393/2/Z393),"")</f>
        <v>7.0754716981132074E-2</v>
      </c>
      <c r="AW393" s="151">
        <f>IF(AND(F393&lt;&gt;"",AK393&lt;&gt;""),AM393/(F393/2/AK393),"")</f>
        <v>8.4905660377358486E-2</v>
      </c>
      <c r="AX393" s="43">
        <f>IF(AND(AQ393&lt;&gt;"",1-(AQ393/O393)&gt;0),1-(AQ393/O393),"")</f>
        <v>0.83018867924528306</v>
      </c>
      <c r="AY393" s="41">
        <f>IF(AND(AF393&lt;&gt;"",1-(AF393/O393)&gt;0),1-(AF393/O393),"")</f>
        <v>0.88050314465408808</v>
      </c>
      <c r="AZ393" s="136" t="str">
        <f>IF(Q393="","",IF(Q393&lt;2.5,"Alc. Bruta &lt; 2,5 mg/L",IF(Q393&lt;5,"2,5 ≤ Alc. Bruta &lt; 5,0 mg/L",IF(Q393&lt;7.5,"5,0 ≤ Alc. Bruta &lt; 7,5 mg/L",IF(Q393&lt;10,"7,5 ≤ Alc. Bruta &lt; 10,0 mg/L",IF(Q393&lt;15,"10,0 ≤ Alca. Bruta &lt; 15,0 mg/L","Alc. Bruta &gt; 15 mg/L"))))))</f>
        <v>5,0 ≤ Alc. Bruta &lt; 7,5 mg/L</v>
      </c>
      <c r="BA393" s="136" t="str">
        <f>IF(P393="","",IF(P393&lt;5,"Cor &lt;5 uC",IF(P393&lt;10,"5 ≤ Cor &lt; 10 uC",IF(P393&lt;15,"10 ≤ Cor &lt;15 uC",IF(P393&lt;30,"15 ≤ Cor &lt; 30 uC",IF(P393&lt;50,"30 ≤ Cor &lt; 50 uC","Cor &gt; 50 uC"))))))</f>
        <v>10 ≤ Cor &lt;15 uC</v>
      </c>
      <c r="BB393" s="137" t="str">
        <f>IF(O393="","",IF(O393&lt;2.5,"Turbidez &lt; 2,5 uT",IF(O393&lt;5,"2,5 ≤ Turb &lt; 5,0 uT",IF(O393&lt;7.5,"5,0 ≤ Turb &lt; 7,5 uT",IF(O393&lt;10,"7,5 ≤ Turb &lt; 10,0 uT",IF(O393&lt;15,"10,0 ≤ Turb &lt; 15,0 uT","Turb &gt; 15 uT"))))))</f>
        <v>Turbidez &lt; 2,5 uT</v>
      </c>
      <c r="BC393" s="138" t="str">
        <f>IF(AND(C393&gt;D393,D393&gt;E393),"TOR &gt; SM &gt; BNN",IF(AND(C393&gt;E393,E393&gt;D393),"TOR &gt; BNN &gt; SM",IF(AND(D393&gt;C393,C393&gt;E393),"SM &gt; TOR &gt; BNN",IF(AND(D393&gt;E393,E393&gt;C393),"SM &gt; BNN &gt; TOR",IF(AND(C393=D393,D393=E393),"TOR = SM = BNN","Comb. diferentes")))))</f>
        <v>SM &gt; BNN &gt; TOR</v>
      </c>
      <c r="BD393" s="137" t="str">
        <f>IF(OR(AE393="",AQ393="-"),"",IF(AE393&lt;=0.25,"Tipo 1 (≤0,25) uT",IF(AE393&lt;=0.5,"Tipo 2 (0,25-0,50) uT",IF(AE393&lt;=0.75,"Tipo 3 (0,50-0,75) uT","Tipo 4 (&gt;0,75) uT"))))</f>
        <v>Tipo 1 (≤0,25) uT</v>
      </c>
      <c r="BE393" s="137" t="str">
        <f t="shared" si="42"/>
        <v>Tipo 1 (≤0,25) uT</v>
      </c>
      <c r="BF393" s="137" t="str">
        <f>IF(OR(AF393="",AQ393="-"),"",IF(AF393&lt;=0.25,"Tipo 1 (≤0,25) uT",IF(AF393&lt;=0.5,"Tipo 2 (0,25-0,50) uT",IF(AF393&lt;=0.75,"Tipo 3 (0,50-0,75) uT","Tipo 4 (&gt;0,75) uT"))))</f>
        <v>Tipo 1 (≤0,25) uT</v>
      </c>
      <c r="BG393" s="137" t="str">
        <f t="shared" si="43"/>
        <v>Tipo 2 (0,25-0,50) uT</v>
      </c>
      <c r="BH393" s="137" t="str">
        <f>IF(OR(R393="",R393="-"),"",IF(R393&lt;=0.25,"Tipo 1 (≤0,25) uT",IF(R393&lt;=0.5,"Tipo 2 (0,25-0,50) uT",IF(R393&lt;=0.75,"Tipo 3 (0,50-0,75) uT","Tipo 4 (&gt;0,75) uT"))))</f>
        <v>Tipo 1 (≤0,25) uT</v>
      </c>
    </row>
    <row r="394" spans="1:60" x14ac:dyDescent="0.3">
      <c r="A394" s="74">
        <v>46302</v>
      </c>
      <c r="B394" s="139">
        <v>0.39583333333333331</v>
      </c>
      <c r="C394" s="116">
        <v>0</v>
      </c>
      <c r="D394" s="116">
        <v>2210</v>
      </c>
      <c r="E394" s="116">
        <v>208</v>
      </c>
      <c r="F394" s="116">
        <v>1720</v>
      </c>
      <c r="G394" s="144" t="s">
        <v>100</v>
      </c>
      <c r="H394" s="122">
        <v>10.4</v>
      </c>
      <c r="I394" s="116">
        <v>34</v>
      </c>
      <c r="J394" s="10">
        <v>90</v>
      </c>
      <c r="K394" s="116">
        <v>90</v>
      </c>
      <c r="L394" s="116">
        <v>90</v>
      </c>
      <c r="M394" s="122">
        <v>25.5</v>
      </c>
      <c r="N394" s="122">
        <v>6.4</v>
      </c>
      <c r="O394" s="79">
        <v>1.72</v>
      </c>
      <c r="P394" s="116">
        <v>12</v>
      </c>
      <c r="Q394" s="122">
        <v>6.8</v>
      </c>
      <c r="R394" s="10">
        <v>0.16</v>
      </c>
      <c r="S394" s="79">
        <v>22.36</v>
      </c>
      <c r="T394" s="79">
        <v>0.88</v>
      </c>
      <c r="U394" s="79">
        <v>0.7</v>
      </c>
      <c r="V394" s="85">
        <f t="shared" si="44"/>
        <v>1960.8000000000002</v>
      </c>
      <c r="W394" s="85">
        <f t="shared" si="45"/>
        <v>1491.1839279999999</v>
      </c>
      <c r="X394" s="85">
        <f t="shared" si="46"/>
        <v>0.7604977192982455</v>
      </c>
      <c r="Y394" s="116">
        <v>3</v>
      </c>
      <c r="Z394" s="116">
        <v>3</v>
      </c>
      <c r="AA394" s="122">
        <v>6.1</v>
      </c>
      <c r="AB394" s="116">
        <v>20</v>
      </c>
      <c r="AC394" s="122">
        <v>6.2</v>
      </c>
      <c r="AD394" s="122">
        <v>5.6</v>
      </c>
      <c r="AE394" s="79">
        <v>0.14000000000000001</v>
      </c>
      <c r="AF394" s="79">
        <v>0.21</v>
      </c>
      <c r="AG394" s="85">
        <f>(O394+0.3*H394+2)*(F394/2/AK394)</f>
        <v>1470.6</v>
      </c>
      <c r="AH394" s="85">
        <f t="shared" si="47"/>
        <v>1863.5736287999996</v>
      </c>
      <c r="AI394" s="85">
        <f t="shared" si="48"/>
        <v>1.2672199298245612</v>
      </c>
      <c r="AJ394" s="116">
        <v>3</v>
      </c>
      <c r="AK394" s="116">
        <v>4</v>
      </c>
      <c r="AL394" s="122">
        <v>6.3</v>
      </c>
      <c r="AM394" s="116">
        <v>24</v>
      </c>
      <c r="AN394" s="122">
        <v>6.3</v>
      </c>
      <c r="AO394" s="122">
        <v>5.4</v>
      </c>
      <c r="AP394" s="79">
        <v>0.14000000000000001</v>
      </c>
      <c r="AQ394" s="79">
        <v>0.26</v>
      </c>
      <c r="AR394" s="132">
        <f>SUM(C394:E394)</f>
        <v>2418</v>
      </c>
      <c r="AS394" s="134">
        <f>C394/AR394</f>
        <v>0</v>
      </c>
      <c r="AT394" s="134">
        <f>D394/AR394</f>
        <v>0.91397849462365588</v>
      </c>
      <c r="AU394" s="134">
        <f>E394/AR394</f>
        <v>8.6021505376344093E-2</v>
      </c>
      <c r="AV394" s="151">
        <f>IF(AND(F394&lt;&gt;"",Z394&lt;&gt;""),AB394/(F394/2/Z394),"")</f>
        <v>6.9767441860465115E-2</v>
      </c>
      <c r="AW394" s="151">
        <f>IF(AND(F394&lt;&gt;"",AK394&lt;&gt;""),AM394/(F394/2/AK394),"")</f>
        <v>0.11162790697674418</v>
      </c>
      <c r="AX394" s="43">
        <f>IF(AND(AQ394&lt;&gt;"",1-(AQ394/O394)&gt;0),1-(AQ394/O394),"")</f>
        <v>0.84883720930232553</v>
      </c>
      <c r="AY394" s="41">
        <f>IF(AND(AF394&lt;&gt;"",1-(AF394/O394)&gt;0),1-(AF394/O394),"")</f>
        <v>0.87790697674418605</v>
      </c>
      <c r="AZ394" s="136" t="str">
        <f>IF(Q394="","",IF(Q394&lt;2.5,"Alc. Bruta &lt; 2,5 mg/L",IF(Q394&lt;5,"2,5 ≤ Alc. Bruta &lt; 5,0 mg/L",IF(Q394&lt;7.5,"5,0 ≤ Alc. Bruta &lt; 7,5 mg/L",IF(Q394&lt;10,"7,5 ≤ Alc. Bruta &lt; 10,0 mg/L",IF(Q394&lt;15,"10,0 ≤ Alca. Bruta &lt; 15,0 mg/L","Alc. Bruta &gt; 15 mg/L"))))))</f>
        <v>5,0 ≤ Alc. Bruta &lt; 7,5 mg/L</v>
      </c>
      <c r="BA394" s="136" t="str">
        <f>IF(P394="","",IF(P394&lt;5,"Cor &lt;5 uC",IF(P394&lt;10,"5 ≤ Cor &lt; 10 uC",IF(P394&lt;15,"10 ≤ Cor &lt;15 uC",IF(P394&lt;30,"15 ≤ Cor &lt; 30 uC",IF(P394&lt;50,"30 ≤ Cor &lt; 50 uC","Cor &gt; 50 uC"))))))</f>
        <v>10 ≤ Cor &lt;15 uC</v>
      </c>
      <c r="BB394" s="137" t="str">
        <f>IF(O394="","",IF(O394&lt;2.5,"Turbidez &lt; 2,5 uT",IF(O394&lt;5,"2,5 ≤ Turb &lt; 5,0 uT",IF(O394&lt;7.5,"5,0 ≤ Turb &lt; 7,5 uT",IF(O394&lt;10,"7,5 ≤ Turb &lt; 10,0 uT",IF(O394&lt;15,"10,0 ≤ Turb &lt; 15,0 uT","Turb &gt; 15 uT"))))))</f>
        <v>Turbidez &lt; 2,5 uT</v>
      </c>
      <c r="BC394" s="138" t="str">
        <f>IF(AND(C394&gt;D394,D394&gt;E394),"TOR &gt; SM &gt; BNN",IF(AND(C394&gt;E394,E394&gt;D394),"TOR &gt; BNN &gt; SM",IF(AND(D394&gt;C394,C394&gt;E394),"SM &gt; TOR &gt; BNN",IF(AND(D394&gt;E394,E394&gt;C394),"SM &gt; BNN &gt; TOR",IF(AND(C394=D394,D394=E394),"TOR = SM = BNN","Comb. diferentes")))))</f>
        <v>SM &gt; BNN &gt; TOR</v>
      </c>
      <c r="BD394" s="137" t="str">
        <f>IF(OR(AE394="",AQ394="-"),"",IF(AE394&lt;=0.25,"Tipo 1 (≤0,25) uT",IF(AE394&lt;=0.5,"Tipo 2 (0,25-0,50) uT",IF(AE394&lt;=0.75,"Tipo 3 (0,50-0,75) uT","Tipo 4 (&gt;0,75) uT"))))</f>
        <v>Tipo 1 (≤0,25) uT</v>
      </c>
      <c r="BE394" s="137" t="str">
        <f t="shared" si="42"/>
        <v>Tipo 1 (≤0,25) uT</v>
      </c>
      <c r="BF394" s="137" t="str">
        <f>IF(OR(AF394="",AQ394="-"),"",IF(AF394&lt;=0.25,"Tipo 1 (≤0,25) uT",IF(AF394&lt;=0.5,"Tipo 2 (0,25-0,50) uT",IF(AF394&lt;=0.75,"Tipo 3 (0,50-0,75) uT","Tipo 4 (&gt;0,75) uT"))))</f>
        <v>Tipo 1 (≤0,25) uT</v>
      </c>
      <c r="BG394" s="137" t="str">
        <f t="shared" si="43"/>
        <v>Tipo 2 (0,25-0,50) uT</v>
      </c>
      <c r="BH394" s="137" t="str">
        <f>IF(OR(R394="",R394="-"),"",IF(R394&lt;=0.25,"Tipo 1 (≤0,25) uT",IF(R394&lt;=0.5,"Tipo 2 (0,25-0,50) uT",IF(R394&lt;=0.75,"Tipo 3 (0,50-0,75) uT","Tipo 4 (&gt;0,75) uT"))))</f>
        <v>Tipo 1 (≤0,25) uT</v>
      </c>
    </row>
    <row r="395" spans="1:60" x14ac:dyDescent="0.3">
      <c r="A395" s="74">
        <v>46302</v>
      </c>
      <c r="B395" s="139">
        <v>0.47916666666666669</v>
      </c>
      <c r="C395" s="116">
        <v>0</v>
      </c>
      <c r="D395" s="116">
        <v>2173</v>
      </c>
      <c r="E395" s="116">
        <v>268</v>
      </c>
      <c r="F395" s="116">
        <v>1721</v>
      </c>
      <c r="G395" s="144" t="s">
        <v>100</v>
      </c>
      <c r="H395" s="122">
        <v>10.4</v>
      </c>
      <c r="I395" s="116">
        <v>33</v>
      </c>
      <c r="J395" s="10">
        <v>90</v>
      </c>
      <c r="K395" s="116">
        <v>90</v>
      </c>
      <c r="L395" s="116">
        <v>90</v>
      </c>
      <c r="M395" s="122">
        <v>26.8</v>
      </c>
      <c r="N395" s="122">
        <v>6.5</v>
      </c>
      <c r="O395" s="79">
        <v>1.66</v>
      </c>
      <c r="P395" s="116">
        <v>12</v>
      </c>
      <c r="Q395" s="122">
        <v>6.8</v>
      </c>
      <c r="R395" s="10">
        <v>0.15</v>
      </c>
      <c r="S395" s="79">
        <v>22.36</v>
      </c>
      <c r="T395" s="79">
        <v>0.88</v>
      </c>
      <c r="U395" s="79">
        <v>0.7</v>
      </c>
      <c r="V395" s="85">
        <f t="shared" si="44"/>
        <v>1944.73</v>
      </c>
      <c r="W395" s="85">
        <f t="shared" si="45"/>
        <v>1491.1839279999999</v>
      </c>
      <c r="X395" s="85">
        <f t="shared" si="46"/>
        <v>0.76678198413147325</v>
      </c>
      <c r="Y395" s="116">
        <v>3</v>
      </c>
      <c r="Z395" s="116">
        <v>3</v>
      </c>
      <c r="AA395" s="122">
        <v>6.1</v>
      </c>
      <c r="AB395" s="116">
        <v>20</v>
      </c>
      <c r="AC395" s="122">
        <v>6.2</v>
      </c>
      <c r="AD395" s="122">
        <v>5.2</v>
      </c>
      <c r="AE395" s="79">
        <v>0.14000000000000001</v>
      </c>
      <c r="AF395" s="79">
        <v>0.15</v>
      </c>
      <c r="AG395" s="85">
        <f>(O395+0.3*H395+2)*(F395/2/AK395)</f>
        <v>1458.5475000000001</v>
      </c>
      <c r="AH395" s="85">
        <f t="shared" si="47"/>
        <v>1785.9247275999996</v>
      </c>
      <c r="AI395" s="85">
        <f t="shared" si="48"/>
        <v>1.2244542790687307</v>
      </c>
      <c r="AJ395" s="116">
        <v>3</v>
      </c>
      <c r="AK395" s="116">
        <v>4</v>
      </c>
      <c r="AL395" s="122">
        <v>6.3</v>
      </c>
      <c r="AM395" s="116">
        <v>23</v>
      </c>
      <c r="AN395" s="122">
        <v>6.3</v>
      </c>
      <c r="AO395" s="122">
        <v>5.6</v>
      </c>
      <c r="AP395" s="79">
        <v>0.16</v>
      </c>
      <c r="AQ395" s="79">
        <v>0.19</v>
      </c>
      <c r="AR395" s="132">
        <f>SUM(C395:E395)</f>
        <v>2441</v>
      </c>
      <c r="AS395" s="134">
        <f>C395/AR395</f>
        <v>0</v>
      </c>
      <c r="AT395" s="134">
        <f>D395/AR395</f>
        <v>0.89020893076607943</v>
      </c>
      <c r="AU395" s="134">
        <f>E395/AR395</f>
        <v>0.10979106923392053</v>
      </c>
      <c r="AV395" s="151">
        <f>IF(AND(F395&lt;&gt;"",Z395&lt;&gt;""),AB395/(F395/2/Z395),"")</f>
        <v>6.9726902963393386E-2</v>
      </c>
      <c r="AW395" s="151">
        <f>IF(AND(F395&lt;&gt;"",AK395&lt;&gt;""),AM395/(F395/2/AK395),"")</f>
        <v>0.10691458454386985</v>
      </c>
      <c r="AX395" s="43">
        <f>IF(AND(AQ395&lt;&gt;"",1-(AQ395/O395)&gt;0),1-(AQ395/O395),"")</f>
        <v>0.88554216867469882</v>
      </c>
      <c r="AY395" s="41">
        <f>IF(AND(AF395&lt;&gt;"",1-(AF395/O395)&gt;0),1-(AF395/O395),"")</f>
        <v>0.90963855421686746</v>
      </c>
      <c r="AZ395" s="136" t="str">
        <f>IF(Q395="","",IF(Q395&lt;2.5,"Alc. Bruta &lt; 2,5 mg/L",IF(Q395&lt;5,"2,5 ≤ Alc. Bruta &lt; 5,0 mg/L",IF(Q395&lt;7.5,"5,0 ≤ Alc. Bruta &lt; 7,5 mg/L",IF(Q395&lt;10,"7,5 ≤ Alc. Bruta &lt; 10,0 mg/L",IF(Q395&lt;15,"10,0 ≤ Alca. Bruta &lt; 15,0 mg/L","Alc. Bruta &gt; 15 mg/L"))))))</f>
        <v>5,0 ≤ Alc. Bruta &lt; 7,5 mg/L</v>
      </c>
      <c r="BA395" s="136" t="str">
        <f>IF(P395="","",IF(P395&lt;5,"Cor &lt;5 uC",IF(P395&lt;10,"5 ≤ Cor &lt; 10 uC",IF(P395&lt;15,"10 ≤ Cor &lt;15 uC",IF(P395&lt;30,"15 ≤ Cor &lt; 30 uC",IF(P395&lt;50,"30 ≤ Cor &lt; 50 uC","Cor &gt; 50 uC"))))))</f>
        <v>10 ≤ Cor &lt;15 uC</v>
      </c>
      <c r="BB395" s="137" t="str">
        <f>IF(O395="","",IF(O395&lt;2.5,"Turbidez &lt; 2,5 uT",IF(O395&lt;5,"2,5 ≤ Turb &lt; 5,0 uT",IF(O395&lt;7.5,"5,0 ≤ Turb &lt; 7,5 uT",IF(O395&lt;10,"7,5 ≤ Turb &lt; 10,0 uT",IF(O395&lt;15,"10,0 ≤ Turb &lt; 15,0 uT","Turb &gt; 15 uT"))))))</f>
        <v>Turbidez &lt; 2,5 uT</v>
      </c>
      <c r="BC395" s="138" t="str">
        <f>IF(AND(C395&gt;D395,D395&gt;E395),"TOR &gt; SM &gt; BNN",IF(AND(C395&gt;E395,E395&gt;D395),"TOR &gt; BNN &gt; SM",IF(AND(D395&gt;C395,C395&gt;E395),"SM &gt; TOR &gt; BNN",IF(AND(D395&gt;E395,E395&gt;C395),"SM &gt; BNN &gt; TOR",IF(AND(C395=D395,D395=E395),"TOR = SM = BNN","Comb. diferentes")))))</f>
        <v>SM &gt; BNN &gt; TOR</v>
      </c>
      <c r="BD395" s="137" t="str">
        <f>IF(OR(AE395="",AQ395="-"),"",IF(AE395&lt;=0.25,"Tipo 1 (≤0,25) uT",IF(AE395&lt;=0.5,"Tipo 2 (0,25-0,50) uT",IF(AE395&lt;=0.75,"Tipo 3 (0,50-0,75) uT","Tipo 4 (&gt;0,75) uT"))))</f>
        <v>Tipo 1 (≤0,25) uT</v>
      </c>
      <c r="BE395" s="137" t="str">
        <f t="shared" si="42"/>
        <v>Tipo 1 (≤0,25) uT</v>
      </c>
      <c r="BF395" s="137" t="str">
        <f>IF(OR(AF395="",AQ395="-"),"",IF(AF395&lt;=0.25,"Tipo 1 (≤0,25) uT",IF(AF395&lt;=0.5,"Tipo 2 (0,25-0,50) uT",IF(AF395&lt;=0.75,"Tipo 3 (0,50-0,75) uT","Tipo 4 (&gt;0,75) uT"))))</f>
        <v>Tipo 1 (≤0,25) uT</v>
      </c>
      <c r="BG395" s="137" t="str">
        <f t="shared" si="43"/>
        <v>Tipo 1 (≤0,25) uT</v>
      </c>
      <c r="BH395" s="137" t="str">
        <f>IF(OR(R395="",R395="-"),"",IF(R395&lt;=0.25,"Tipo 1 (≤0,25) uT",IF(R395&lt;=0.5,"Tipo 2 (0,25-0,50) uT",IF(R395&lt;=0.75,"Tipo 3 (0,50-0,75) uT","Tipo 4 (&gt;0,75) uT"))))</f>
        <v>Tipo 1 (≤0,25) uT</v>
      </c>
    </row>
    <row r="396" spans="1:60" x14ac:dyDescent="0.3">
      <c r="A396" s="74">
        <v>46302</v>
      </c>
      <c r="B396" s="139">
        <v>0.64583333333333337</v>
      </c>
      <c r="C396" s="116">
        <v>0</v>
      </c>
      <c r="D396" s="116">
        <v>1986</v>
      </c>
      <c r="E396" s="116">
        <v>267</v>
      </c>
      <c r="F396" s="116">
        <v>1820</v>
      </c>
      <c r="G396" s="144" t="s">
        <v>100</v>
      </c>
      <c r="H396" s="122">
        <v>10.4</v>
      </c>
      <c r="I396" s="116">
        <v>33</v>
      </c>
      <c r="J396" s="10">
        <v>90</v>
      </c>
      <c r="K396" s="116">
        <v>90</v>
      </c>
      <c r="L396" s="116">
        <v>90</v>
      </c>
      <c r="M396" s="122">
        <v>27.4</v>
      </c>
      <c r="N396" s="122">
        <v>6.5</v>
      </c>
      <c r="O396" s="79">
        <v>1.38</v>
      </c>
      <c r="P396" s="116">
        <v>9</v>
      </c>
      <c r="Q396" s="122">
        <v>6.6</v>
      </c>
      <c r="R396" s="10">
        <v>0.16</v>
      </c>
      <c r="S396" s="79">
        <v>22.36</v>
      </c>
      <c r="T396" s="79">
        <v>0.88</v>
      </c>
      <c r="U396" s="79">
        <v>0.7</v>
      </c>
      <c r="V396" s="85">
        <f t="shared" si="44"/>
        <v>1971.6666666666665</v>
      </c>
      <c r="W396" s="85">
        <f t="shared" si="45"/>
        <v>1598.1850248000001</v>
      </c>
      <c r="X396" s="85">
        <f t="shared" si="46"/>
        <v>0.81057566769230782</v>
      </c>
      <c r="Y396" s="116">
        <v>3</v>
      </c>
      <c r="Z396" s="116">
        <v>3</v>
      </c>
      <c r="AA396" s="122">
        <v>6.2</v>
      </c>
      <c r="AB396" s="116">
        <v>21</v>
      </c>
      <c r="AC396" s="122">
        <v>6.1</v>
      </c>
      <c r="AD396" s="122">
        <v>5.4</v>
      </c>
      <c r="AE396" s="79">
        <v>0.16</v>
      </c>
      <c r="AF396" s="79">
        <v>0.16</v>
      </c>
      <c r="AG396" s="85">
        <f>(O396+0.3*H396+2)*(F396/2/AK396)</f>
        <v>1478.75</v>
      </c>
      <c r="AH396" s="85">
        <f t="shared" si="47"/>
        <v>1863.5736287999996</v>
      </c>
      <c r="AI396" s="85">
        <f t="shared" si="48"/>
        <v>1.2602357591208788</v>
      </c>
      <c r="AJ396" s="116">
        <v>3</v>
      </c>
      <c r="AK396" s="116">
        <v>4</v>
      </c>
      <c r="AL396" s="122">
        <v>6.3</v>
      </c>
      <c r="AM396" s="116">
        <v>24</v>
      </c>
      <c r="AN396" s="122">
        <v>6.2</v>
      </c>
      <c r="AO396" s="122">
        <v>4.7</v>
      </c>
      <c r="AP396" s="79">
        <v>0.12</v>
      </c>
      <c r="AQ396" s="79">
        <v>0.17</v>
      </c>
      <c r="AR396" s="132">
        <f>SUM(C396:E396)</f>
        <v>2253</v>
      </c>
      <c r="AS396" s="134">
        <f>C396/AR396</f>
        <v>0</v>
      </c>
      <c r="AT396" s="134">
        <f>D396/AR396</f>
        <v>0.881491344873502</v>
      </c>
      <c r="AU396" s="134">
        <f>E396/AR396</f>
        <v>0.118508655126498</v>
      </c>
      <c r="AV396" s="151">
        <f>IF(AND(F396&lt;&gt;"",Z396&lt;&gt;""),AB396/(F396/2/Z396),"")</f>
        <v>6.9230769230769235E-2</v>
      </c>
      <c r="AW396" s="151">
        <f>IF(AND(F396&lt;&gt;"",AK396&lt;&gt;""),AM396/(F396/2/AK396),"")</f>
        <v>0.10549450549450549</v>
      </c>
      <c r="AX396" s="43">
        <f>IF(AND(AQ396&lt;&gt;"",1-(AQ396/O396)&gt;0),1-(AQ396/O396),"")</f>
        <v>0.87681159420289856</v>
      </c>
      <c r="AY396" s="41">
        <f>IF(AND(AF396&lt;&gt;"",1-(AF396/O396)&gt;0),1-(AF396/O396),"")</f>
        <v>0.88405797101449268</v>
      </c>
      <c r="AZ396" s="136" t="str">
        <f>IF(Q396="","",IF(Q396&lt;2.5,"Alc. Bruta &lt; 2,5 mg/L",IF(Q396&lt;5,"2,5 ≤ Alc. Bruta &lt; 5,0 mg/L",IF(Q396&lt;7.5,"5,0 ≤ Alc. Bruta &lt; 7,5 mg/L",IF(Q396&lt;10,"7,5 ≤ Alc. Bruta &lt; 10,0 mg/L",IF(Q396&lt;15,"10,0 ≤ Alca. Bruta &lt; 15,0 mg/L","Alc. Bruta &gt; 15 mg/L"))))))</f>
        <v>5,0 ≤ Alc. Bruta &lt; 7,5 mg/L</v>
      </c>
      <c r="BA396" s="136" t="str">
        <f>IF(P396="","",IF(P396&lt;5,"Cor &lt;5 uC",IF(P396&lt;10,"5 ≤ Cor &lt; 10 uC",IF(P396&lt;15,"10 ≤ Cor &lt;15 uC",IF(P396&lt;30,"15 ≤ Cor &lt; 30 uC",IF(P396&lt;50,"30 ≤ Cor &lt; 50 uC","Cor &gt; 50 uC"))))))</f>
        <v>5 ≤ Cor &lt; 10 uC</v>
      </c>
      <c r="BB396" s="137" t="str">
        <f>IF(O396="","",IF(O396&lt;2.5,"Turbidez &lt; 2,5 uT",IF(O396&lt;5,"2,5 ≤ Turb &lt; 5,0 uT",IF(O396&lt;7.5,"5,0 ≤ Turb &lt; 7,5 uT",IF(O396&lt;10,"7,5 ≤ Turb &lt; 10,0 uT",IF(O396&lt;15,"10,0 ≤ Turb &lt; 15,0 uT","Turb &gt; 15 uT"))))))</f>
        <v>Turbidez &lt; 2,5 uT</v>
      </c>
      <c r="BC396" s="138" t="str">
        <f>IF(AND(C396&gt;D396,D396&gt;E396),"TOR &gt; SM &gt; BNN",IF(AND(C396&gt;E396,E396&gt;D396),"TOR &gt; BNN &gt; SM",IF(AND(D396&gt;C396,C396&gt;E396),"SM &gt; TOR &gt; BNN",IF(AND(D396&gt;E396,E396&gt;C396),"SM &gt; BNN &gt; TOR",IF(AND(C396=D396,D396=E396),"TOR = SM = BNN","Comb. diferentes")))))</f>
        <v>SM &gt; BNN &gt; TOR</v>
      </c>
      <c r="BD396" s="137" t="str">
        <f>IF(OR(AE396="",AQ396="-"),"",IF(AE396&lt;=0.25,"Tipo 1 (≤0,25) uT",IF(AE396&lt;=0.5,"Tipo 2 (0,25-0,50) uT",IF(AE396&lt;=0.75,"Tipo 3 (0,50-0,75) uT","Tipo 4 (&gt;0,75) uT"))))</f>
        <v>Tipo 1 (≤0,25) uT</v>
      </c>
      <c r="BE396" s="137" t="str">
        <f t="shared" si="42"/>
        <v>Tipo 1 (≤0,25) uT</v>
      </c>
      <c r="BF396" s="137" t="str">
        <f>IF(OR(AF396="",AQ396="-"),"",IF(AF396&lt;=0.25,"Tipo 1 (≤0,25) uT",IF(AF396&lt;=0.5,"Tipo 2 (0,25-0,50) uT",IF(AF396&lt;=0.75,"Tipo 3 (0,50-0,75) uT","Tipo 4 (&gt;0,75) uT"))))</f>
        <v>Tipo 1 (≤0,25) uT</v>
      </c>
      <c r="BG396" s="137" t="str">
        <f t="shared" si="43"/>
        <v>Tipo 1 (≤0,25) uT</v>
      </c>
      <c r="BH396" s="137" t="str">
        <f>IF(OR(R396="",R396="-"),"",IF(R396&lt;=0.25,"Tipo 1 (≤0,25) uT",IF(R396&lt;=0.5,"Tipo 2 (0,25-0,50) uT",IF(R396&lt;=0.75,"Tipo 3 (0,50-0,75) uT","Tipo 4 (&gt;0,75) uT"))))</f>
        <v>Tipo 1 (≤0,25) uT</v>
      </c>
    </row>
    <row r="397" spans="1:60" x14ac:dyDescent="0.3">
      <c r="A397" s="74">
        <v>46302</v>
      </c>
      <c r="B397" s="139">
        <v>0.72916666666666663</v>
      </c>
      <c r="C397" s="116">
        <v>0</v>
      </c>
      <c r="D397" s="116">
        <v>1977</v>
      </c>
      <c r="E397" s="116">
        <v>268</v>
      </c>
      <c r="F397" s="116">
        <v>1884</v>
      </c>
      <c r="G397" s="144" t="s">
        <v>100</v>
      </c>
      <c r="H397" s="122">
        <v>10.4</v>
      </c>
      <c r="I397" s="116">
        <v>33</v>
      </c>
      <c r="J397" s="10">
        <v>90</v>
      </c>
      <c r="K397" s="116">
        <v>90</v>
      </c>
      <c r="L397" s="116">
        <v>90</v>
      </c>
      <c r="M397" s="122">
        <v>26.6</v>
      </c>
      <c r="N397" s="122">
        <v>6.5</v>
      </c>
      <c r="O397" s="79">
        <v>1.47</v>
      </c>
      <c r="P397" s="116">
        <v>10</v>
      </c>
      <c r="Q397" s="122">
        <v>6.2</v>
      </c>
      <c r="R397" s="10">
        <v>0.19</v>
      </c>
      <c r="S397" s="79">
        <v>22.36</v>
      </c>
      <c r="T397" s="79">
        <v>0.88</v>
      </c>
      <c r="U397" s="79">
        <v>0.7</v>
      </c>
      <c r="V397" s="85">
        <f t="shared" si="44"/>
        <v>2069.2599999999998</v>
      </c>
      <c r="W397" s="85">
        <f t="shared" si="45"/>
        <v>1598.1850248000001</v>
      </c>
      <c r="X397" s="85">
        <f t="shared" si="46"/>
        <v>0.77234616471588891</v>
      </c>
      <c r="Y397" s="116">
        <v>3</v>
      </c>
      <c r="Z397" s="116">
        <v>3</v>
      </c>
      <c r="AA397" s="122">
        <v>6.2</v>
      </c>
      <c r="AB397" s="116">
        <v>21</v>
      </c>
      <c r="AC397" s="122">
        <v>6.1</v>
      </c>
      <c r="AD397" s="122">
        <v>5.4</v>
      </c>
      <c r="AE397" s="79">
        <v>0.15</v>
      </c>
      <c r="AF397" s="79">
        <v>0.15</v>
      </c>
      <c r="AG397" s="85">
        <f>(O397+0.3*H397+2)*(F397/2/AK397)</f>
        <v>1551.9449999999999</v>
      </c>
      <c r="AH397" s="85">
        <f t="shared" si="47"/>
        <v>1785.9247275999996</v>
      </c>
      <c r="AI397" s="85">
        <f t="shared" si="48"/>
        <v>1.1507654766116064</v>
      </c>
      <c r="AJ397" s="116">
        <v>3</v>
      </c>
      <c r="AK397" s="116">
        <v>4</v>
      </c>
      <c r="AL397" s="122">
        <v>6.3</v>
      </c>
      <c r="AM397" s="116">
        <v>23</v>
      </c>
      <c r="AN397" s="122">
        <v>6.2</v>
      </c>
      <c r="AO397" s="122">
        <v>5</v>
      </c>
      <c r="AP397" s="79">
        <v>0.14000000000000001</v>
      </c>
      <c r="AQ397" s="79">
        <v>0.15</v>
      </c>
      <c r="AR397" s="132">
        <f>SUM(C397:E397)</f>
        <v>2245</v>
      </c>
      <c r="AS397" s="134">
        <f>C397/AR397</f>
        <v>0</v>
      </c>
      <c r="AT397" s="134">
        <f>D397/AR397</f>
        <v>0.88062360801781736</v>
      </c>
      <c r="AU397" s="134">
        <f>E397/AR397</f>
        <v>0.11937639198218263</v>
      </c>
      <c r="AV397" s="151">
        <f>IF(AND(F397&lt;&gt;"",Z397&lt;&gt;""),AB397/(F397/2/Z397),"")</f>
        <v>6.6878980891719744E-2</v>
      </c>
      <c r="AW397" s="151">
        <f>IF(AND(F397&lt;&gt;"",AK397&lt;&gt;""),AM397/(F397/2/AK397),"")</f>
        <v>9.7664543524416142E-2</v>
      </c>
      <c r="AX397" s="43">
        <f>IF(AND(AQ397&lt;&gt;"",1-(AQ397/O397)&gt;0),1-(AQ397/O397),"")</f>
        <v>0.89795918367346939</v>
      </c>
      <c r="AY397" s="41">
        <f>IF(AND(AF397&lt;&gt;"",1-(AF397/O397)&gt;0),1-(AF397/O397),"")</f>
        <v>0.89795918367346939</v>
      </c>
      <c r="AZ397" s="136" t="str">
        <f>IF(Q397="","",IF(Q397&lt;2.5,"Alc. Bruta &lt; 2,5 mg/L",IF(Q397&lt;5,"2,5 ≤ Alc. Bruta &lt; 5,0 mg/L",IF(Q397&lt;7.5,"5,0 ≤ Alc. Bruta &lt; 7,5 mg/L",IF(Q397&lt;10,"7,5 ≤ Alc. Bruta &lt; 10,0 mg/L",IF(Q397&lt;15,"10,0 ≤ Alca. Bruta &lt; 15,0 mg/L","Alc. Bruta &gt; 15 mg/L"))))))</f>
        <v>5,0 ≤ Alc. Bruta &lt; 7,5 mg/L</v>
      </c>
      <c r="BA397" s="136" t="str">
        <f>IF(P397="","",IF(P397&lt;5,"Cor &lt;5 uC",IF(P397&lt;10,"5 ≤ Cor &lt; 10 uC",IF(P397&lt;15,"10 ≤ Cor &lt;15 uC",IF(P397&lt;30,"15 ≤ Cor &lt; 30 uC",IF(P397&lt;50,"30 ≤ Cor &lt; 50 uC","Cor &gt; 50 uC"))))))</f>
        <v>10 ≤ Cor &lt;15 uC</v>
      </c>
      <c r="BB397" s="137" t="str">
        <f>IF(O397="","",IF(O397&lt;2.5,"Turbidez &lt; 2,5 uT",IF(O397&lt;5,"2,5 ≤ Turb &lt; 5,0 uT",IF(O397&lt;7.5,"5,0 ≤ Turb &lt; 7,5 uT",IF(O397&lt;10,"7,5 ≤ Turb &lt; 10,0 uT",IF(O397&lt;15,"10,0 ≤ Turb &lt; 15,0 uT","Turb &gt; 15 uT"))))))</f>
        <v>Turbidez &lt; 2,5 uT</v>
      </c>
      <c r="BC397" s="138" t="str">
        <f>IF(AND(C397&gt;D397,D397&gt;E397),"TOR &gt; SM &gt; BNN",IF(AND(C397&gt;E397,E397&gt;D397),"TOR &gt; BNN &gt; SM",IF(AND(D397&gt;C397,C397&gt;E397),"SM &gt; TOR &gt; BNN",IF(AND(D397&gt;E397,E397&gt;C397),"SM &gt; BNN &gt; TOR",IF(AND(C397=D397,D397=E397),"TOR = SM = BNN","Comb. diferentes")))))</f>
        <v>SM &gt; BNN &gt; TOR</v>
      </c>
      <c r="BD397" s="137" t="str">
        <f>IF(OR(AE397="",AQ397="-"),"",IF(AE397&lt;=0.25,"Tipo 1 (≤0,25) uT",IF(AE397&lt;=0.5,"Tipo 2 (0,25-0,50) uT",IF(AE397&lt;=0.75,"Tipo 3 (0,50-0,75) uT","Tipo 4 (&gt;0,75) uT"))))</f>
        <v>Tipo 1 (≤0,25) uT</v>
      </c>
      <c r="BE397" s="137" t="str">
        <f t="shared" si="42"/>
        <v>Tipo 1 (≤0,25) uT</v>
      </c>
      <c r="BF397" s="137" t="str">
        <f>IF(OR(AF397="",AQ397="-"),"",IF(AF397&lt;=0.25,"Tipo 1 (≤0,25) uT",IF(AF397&lt;=0.5,"Tipo 2 (0,25-0,50) uT",IF(AF397&lt;=0.75,"Tipo 3 (0,50-0,75) uT","Tipo 4 (&gt;0,75) uT"))))</f>
        <v>Tipo 1 (≤0,25) uT</v>
      </c>
      <c r="BG397" s="137" t="str">
        <f t="shared" si="43"/>
        <v>Tipo 1 (≤0,25) uT</v>
      </c>
      <c r="BH397" s="137" t="str">
        <f>IF(OR(R397="",R397="-"),"",IF(R397&lt;=0.25,"Tipo 1 (≤0,25) uT",IF(R397&lt;=0.5,"Tipo 2 (0,25-0,50) uT",IF(R397&lt;=0.75,"Tipo 3 (0,50-0,75) uT","Tipo 4 (&gt;0,75) uT"))))</f>
        <v>Tipo 1 (≤0,25) uT</v>
      </c>
    </row>
    <row r="398" spans="1:60" x14ac:dyDescent="0.3">
      <c r="A398" s="74">
        <v>46302</v>
      </c>
      <c r="B398" s="139">
        <v>0.8125</v>
      </c>
      <c r="C398" s="116">
        <v>0</v>
      </c>
      <c r="D398" s="116">
        <v>1980</v>
      </c>
      <c r="E398" s="116">
        <v>267</v>
      </c>
      <c r="F398" s="116">
        <v>2200</v>
      </c>
      <c r="G398" s="144" t="s">
        <v>100</v>
      </c>
      <c r="H398" s="122">
        <v>10.4</v>
      </c>
      <c r="I398" s="116">
        <v>34</v>
      </c>
      <c r="J398" s="10">
        <v>90</v>
      </c>
      <c r="K398" s="116">
        <v>90</v>
      </c>
      <c r="L398" s="116">
        <v>90</v>
      </c>
      <c r="M398" s="122">
        <v>25.8</v>
      </c>
      <c r="N398" s="122">
        <v>6.4</v>
      </c>
      <c r="O398" s="79">
        <v>1.4</v>
      </c>
      <c r="P398" s="116">
        <v>9</v>
      </c>
      <c r="Q398" s="122">
        <v>7</v>
      </c>
      <c r="R398" s="10">
        <v>0.15</v>
      </c>
      <c r="S398" s="79">
        <v>22.36</v>
      </c>
      <c r="T398" s="79">
        <v>0.88</v>
      </c>
      <c r="U398" s="79">
        <v>0.7</v>
      </c>
      <c r="V398" s="85">
        <f t="shared" si="44"/>
        <v>2390.6666666666665</v>
      </c>
      <c r="W398" s="85">
        <f t="shared" si="45"/>
        <v>1598.1850248000001</v>
      </c>
      <c r="X398" s="85">
        <f t="shared" si="46"/>
        <v>0.66851018884551039</v>
      </c>
      <c r="Y398" s="116">
        <v>3</v>
      </c>
      <c r="Z398" s="116">
        <v>3</v>
      </c>
      <c r="AA398" s="122">
        <v>6.2</v>
      </c>
      <c r="AB398" s="116">
        <v>21</v>
      </c>
      <c r="AC398" s="122">
        <v>6.7</v>
      </c>
      <c r="AD398" s="122">
        <v>5.8</v>
      </c>
      <c r="AE398" s="79">
        <v>0.13</v>
      </c>
      <c r="AF398" s="79">
        <v>0.13</v>
      </c>
      <c r="AG398" s="85">
        <f>(O398+0.3*H398+2)*(F398/2/AK398)</f>
        <v>1792.9999999999998</v>
      </c>
      <c r="AH398" s="85">
        <f t="shared" si="47"/>
        <v>1855.8087386799996</v>
      </c>
      <c r="AI398" s="85">
        <f t="shared" si="48"/>
        <v>1.0350299713775795</v>
      </c>
      <c r="AJ398" s="116">
        <v>3</v>
      </c>
      <c r="AK398" s="116">
        <v>4</v>
      </c>
      <c r="AL398" s="122">
        <v>6.3</v>
      </c>
      <c r="AM398" s="116">
        <v>23.9</v>
      </c>
      <c r="AN398" s="122">
        <v>6.3</v>
      </c>
      <c r="AO398" s="122">
        <v>5.5</v>
      </c>
      <c r="AP398" s="79">
        <v>0.15</v>
      </c>
      <c r="AQ398" s="79">
        <v>0.12</v>
      </c>
      <c r="AR398" s="132">
        <f>SUM(C398:E398)</f>
        <v>2247</v>
      </c>
      <c r="AS398" s="134">
        <f>C398/AR398</f>
        <v>0</v>
      </c>
      <c r="AT398" s="134">
        <f>D398/AR398</f>
        <v>0.88117489986648867</v>
      </c>
      <c r="AU398" s="134">
        <f>E398/AR398</f>
        <v>0.11882510013351134</v>
      </c>
      <c r="AV398" s="151">
        <f>IF(AND(F398&lt;&gt;"",Z398&lt;&gt;""),AB398/(F398/2/Z398),"")</f>
        <v>5.7272727272727267E-2</v>
      </c>
      <c r="AW398" s="151">
        <f>IF(AND(F398&lt;&gt;"",AK398&lt;&gt;""),AM398/(F398/2/AK398),"")</f>
        <v>8.6909090909090908E-2</v>
      </c>
      <c r="AX398" s="43">
        <f>IF(AND(AQ398&lt;&gt;"",1-(AQ398/O398)&gt;0),1-(AQ398/O398),"")</f>
        <v>0.91428571428571426</v>
      </c>
      <c r="AY398" s="41">
        <f>IF(AND(AF398&lt;&gt;"",1-(AF398/O398)&gt;0),1-(AF398/O398),"")</f>
        <v>0.90714285714285714</v>
      </c>
      <c r="AZ398" s="136" t="str">
        <f>IF(Q398="","",IF(Q398&lt;2.5,"Alc. Bruta &lt; 2,5 mg/L",IF(Q398&lt;5,"2,5 ≤ Alc. Bruta &lt; 5,0 mg/L",IF(Q398&lt;7.5,"5,0 ≤ Alc. Bruta &lt; 7,5 mg/L",IF(Q398&lt;10,"7,5 ≤ Alc. Bruta &lt; 10,0 mg/L",IF(Q398&lt;15,"10,0 ≤ Alca. Bruta &lt; 15,0 mg/L","Alc. Bruta &gt; 15 mg/L"))))))</f>
        <v>5,0 ≤ Alc. Bruta &lt; 7,5 mg/L</v>
      </c>
      <c r="BA398" s="136" t="str">
        <f>IF(P398="","",IF(P398&lt;5,"Cor &lt;5 uC",IF(P398&lt;10,"5 ≤ Cor &lt; 10 uC",IF(P398&lt;15,"10 ≤ Cor &lt;15 uC",IF(P398&lt;30,"15 ≤ Cor &lt; 30 uC",IF(P398&lt;50,"30 ≤ Cor &lt; 50 uC","Cor &gt; 50 uC"))))))</f>
        <v>5 ≤ Cor &lt; 10 uC</v>
      </c>
      <c r="BB398" s="137" t="str">
        <f>IF(O398="","",IF(O398&lt;2.5,"Turbidez &lt; 2,5 uT",IF(O398&lt;5,"2,5 ≤ Turb &lt; 5,0 uT",IF(O398&lt;7.5,"5,0 ≤ Turb &lt; 7,5 uT",IF(O398&lt;10,"7,5 ≤ Turb &lt; 10,0 uT",IF(O398&lt;15,"10,0 ≤ Turb &lt; 15,0 uT","Turb &gt; 15 uT"))))))</f>
        <v>Turbidez &lt; 2,5 uT</v>
      </c>
      <c r="BC398" s="138" t="str">
        <f>IF(AND(C398&gt;D398,D398&gt;E398),"TOR &gt; SM &gt; BNN",IF(AND(C398&gt;E398,E398&gt;D398),"TOR &gt; BNN &gt; SM",IF(AND(D398&gt;C398,C398&gt;E398),"SM &gt; TOR &gt; BNN",IF(AND(D398&gt;E398,E398&gt;C398),"SM &gt; BNN &gt; TOR",IF(AND(C398=D398,D398=E398),"TOR = SM = BNN","Comb. diferentes")))))</f>
        <v>SM &gt; BNN &gt; TOR</v>
      </c>
      <c r="BD398" s="137" t="str">
        <f>IF(OR(AE398="",AQ398="-"),"",IF(AE398&lt;=0.25,"Tipo 1 (≤0,25) uT",IF(AE398&lt;=0.5,"Tipo 2 (0,25-0,50) uT",IF(AE398&lt;=0.75,"Tipo 3 (0,50-0,75) uT","Tipo 4 (&gt;0,75) uT"))))</f>
        <v>Tipo 1 (≤0,25) uT</v>
      </c>
      <c r="BE398" s="137" t="str">
        <f t="shared" si="42"/>
        <v>Tipo 1 (≤0,25) uT</v>
      </c>
      <c r="BF398" s="137" t="str">
        <f>IF(OR(AF398="",AQ398="-"),"",IF(AF398&lt;=0.25,"Tipo 1 (≤0,25) uT",IF(AF398&lt;=0.5,"Tipo 2 (0,25-0,50) uT",IF(AF398&lt;=0.75,"Tipo 3 (0,50-0,75) uT","Tipo 4 (&gt;0,75) uT"))))</f>
        <v>Tipo 1 (≤0,25) uT</v>
      </c>
      <c r="BG398" s="137" t="str">
        <f t="shared" si="43"/>
        <v>Tipo 1 (≤0,25) uT</v>
      </c>
      <c r="BH398" s="137" t="str">
        <f>IF(OR(R398="",R398="-"),"",IF(R398&lt;=0.25,"Tipo 1 (≤0,25) uT",IF(R398&lt;=0.5,"Tipo 2 (0,25-0,50) uT",IF(R398&lt;=0.75,"Tipo 3 (0,50-0,75) uT","Tipo 4 (&gt;0,75) uT"))))</f>
        <v>Tipo 1 (≤0,25) uT</v>
      </c>
    </row>
    <row r="399" spans="1:60" x14ac:dyDescent="0.3">
      <c r="A399" s="74">
        <v>46302</v>
      </c>
      <c r="B399" s="139">
        <v>0.89583333333333337</v>
      </c>
      <c r="C399" s="116">
        <v>0</v>
      </c>
      <c r="D399" s="116">
        <v>1980</v>
      </c>
      <c r="E399" s="116">
        <v>268</v>
      </c>
      <c r="F399" s="116">
        <v>2200</v>
      </c>
      <c r="G399" s="144" t="s">
        <v>100</v>
      </c>
      <c r="H399" s="122">
        <v>10.4</v>
      </c>
      <c r="I399" s="116">
        <v>33</v>
      </c>
      <c r="J399" s="10">
        <v>90</v>
      </c>
      <c r="K399" s="116">
        <v>90</v>
      </c>
      <c r="L399" s="116">
        <v>90</v>
      </c>
      <c r="M399" s="122">
        <v>25</v>
      </c>
      <c r="N399" s="122">
        <v>6.4</v>
      </c>
      <c r="O399" s="79">
        <v>1.27</v>
      </c>
      <c r="P399" s="116">
        <v>9</v>
      </c>
      <c r="Q399" s="122">
        <v>7</v>
      </c>
      <c r="R399" s="10">
        <v>0.14000000000000001</v>
      </c>
      <c r="S399" s="79">
        <v>22.36</v>
      </c>
      <c r="T399" s="79">
        <v>0.88</v>
      </c>
      <c r="U399" s="79">
        <v>0.7</v>
      </c>
      <c r="V399" s="85">
        <f t="shared" si="44"/>
        <v>2343.0000000000005</v>
      </c>
      <c r="W399" s="85">
        <f t="shared" si="45"/>
        <v>1565.7431243999997</v>
      </c>
      <c r="X399" s="85">
        <f t="shared" si="46"/>
        <v>0.66826424430217646</v>
      </c>
      <c r="Y399" s="116">
        <v>3</v>
      </c>
      <c r="Z399" s="116">
        <v>3</v>
      </c>
      <c r="AA399" s="122">
        <v>6.1</v>
      </c>
      <c r="AB399" s="116">
        <v>21</v>
      </c>
      <c r="AC399" s="122">
        <v>6.1</v>
      </c>
      <c r="AD399" s="122">
        <v>5.6</v>
      </c>
      <c r="AE399" s="79">
        <v>0.11</v>
      </c>
      <c r="AF399" s="79">
        <v>0.13</v>
      </c>
      <c r="AG399" s="85">
        <f>(O399+0.3*H399+2)*(F399/2/AK399)</f>
        <v>1757.2500000000002</v>
      </c>
      <c r="AH399" s="85">
        <f t="shared" si="47"/>
        <v>1863.5736287999996</v>
      </c>
      <c r="AI399" s="85">
        <f t="shared" si="48"/>
        <v>1.0605056928723855</v>
      </c>
      <c r="AJ399" s="116">
        <v>3</v>
      </c>
      <c r="AK399" s="116">
        <v>4</v>
      </c>
      <c r="AL399" s="122">
        <v>6.3</v>
      </c>
      <c r="AM399" s="116">
        <v>24</v>
      </c>
      <c r="AN399" s="122">
        <v>6.2</v>
      </c>
      <c r="AO399" s="122">
        <v>5.6</v>
      </c>
      <c r="AP399" s="79">
        <v>0.16</v>
      </c>
      <c r="AQ399" s="79">
        <v>0.12</v>
      </c>
      <c r="AR399" s="132">
        <f>SUM(C399:E399)</f>
        <v>2248</v>
      </c>
      <c r="AS399" s="134">
        <f>C399/AR399</f>
        <v>0</v>
      </c>
      <c r="AT399" s="134">
        <f>D399/AR399</f>
        <v>0.88078291814946619</v>
      </c>
      <c r="AU399" s="134">
        <f>E399/AR399</f>
        <v>0.11921708185053381</v>
      </c>
      <c r="AV399" s="151">
        <f>IF(AND(F399&lt;&gt;"",Z399&lt;&gt;""),AB399/(F399/2/Z399),"")</f>
        <v>5.7272727272727267E-2</v>
      </c>
      <c r="AW399" s="151">
        <f>IF(AND(F399&lt;&gt;"",AK399&lt;&gt;""),AM399/(F399/2/AK399),"")</f>
        <v>8.727272727272728E-2</v>
      </c>
      <c r="AX399" s="43">
        <f>IF(AND(AQ399&lt;&gt;"",1-(AQ399/O399)&gt;0),1-(AQ399/O399),"")</f>
        <v>0.90551181102362199</v>
      </c>
      <c r="AY399" s="41">
        <f>IF(AND(AF399&lt;&gt;"",1-(AF399/O399)&gt;0),1-(AF399/O399),"")</f>
        <v>0.89763779527559051</v>
      </c>
      <c r="AZ399" s="136" t="str">
        <f>IF(Q399="","",IF(Q399&lt;2.5,"Alc. Bruta &lt; 2,5 mg/L",IF(Q399&lt;5,"2,5 ≤ Alc. Bruta &lt; 5,0 mg/L",IF(Q399&lt;7.5,"5,0 ≤ Alc. Bruta &lt; 7,5 mg/L",IF(Q399&lt;10,"7,5 ≤ Alc. Bruta &lt; 10,0 mg/L",IF(Q399&lt;15,"10,0 ≤ Alca. Bruta &lt; 15,0 mg/L","Alc. Bruta &gt; 15 mg/L"))))))</f>
        <v>5,0 ≤ Alc. Bruta &lt; 7,5 mg/L</v>
      </c>
      <c r="BA399" s="136" t="str">
        <f>IF(P399="","",IF(P399&lt;5,"Cor &lt;5 uC",IF(P399&lt;10,"5 ≤ Cor &lt; 10 uC",IF(P399&lt;15,"10 ≤ Cor &lt;15 uC",IF(P399&lt;30,"15 ≤ Cor &lt; 30 uC",IF(P399&lt;50,"30 ≤ Cor &lt; 50 uC","Cor &gt; 50 uC"))))))</f>
        <v>5 ≤ Cor &lt; 10 uC</v>
      </c>
      <c r="BB399" s="137" t="str">
        <f>IF(O399="","",IF(O399&lt;2.5,"Turbidez &lt; 2,5 uT",IF(O399&lt;5,"2,5 ≤ Turb &lt; 5,0 uT",IF(O399&lt;7.5,"5,0 ≤ Turb &lt; 7,5 uT",IF(O399&lt;10,"7,5 ≤ Turb &lt; 10,0 uT",IF(O399&lt;15,"10,0 ≤ Turb &lt; 15,0 uT","Turb &gt; 15 uT"))))))</f>
        <v>Turbidez &lt; 2,5 uT</v>
      </c>
      <c r="BC399" s="138" t="str">
        <f>IF(AND(C399&gt;D399,D399&gt;E399),"TOR &gt; SM &gt; BNN",IF(AND(C399&gt;E399,E399&gt;D399),"TOR &gt; BNN &gt; SM",IF(AND(D399&gt;C399,C399&gt;E399),"SM &gt; TOR &gt; BNN",IF(AND(D399&gt;E399,E399&gt;C399),"SM &gt; BNN &gt; TOR",IF(AND(C399=D399,D399=E399),"TOR = SM = BNN","Comb. diferentes")))))</f>
        <v>SM &gt; BNN &gt; TOR</v>
      </c>
      <c r="BD399" s="137" t="str">
        <f>IF(OR(AE399="",AQ399="-"),"",IF(AE399&lt;=0.25,"Tipo 1 (≤0,25) uT",IF(AE399&lt;=0.5,"Tipo 2 (0,25-0,50) uT",IF(AE399&lt;=0.75,"Tipo 3 (0,50-0,75) uT","Tipo 4 (&gt;0,75) uT"))))</f>
        <v>Tipo 1 (≤0,25) uT</v>
      </c>
      <c r="BE399" s="137" t="str">
        <f t="shared" si="42"/>
        <v>Tipo 1 (≤0,25) uT</v>
      </c>
      <c r="BF399" s="137" t="str">
        <f>IF(OR(AF399="",AQ399="-"),"",IF(AF399&lt;=0.25,"Tipo 1 (≤0,25) uT",IF(AF399&lt;=0.5,"Tipo 2 (0,25-0,50) uT",IF(AF399&lt;=0.75,"Tipo 3 (0,50-0,75) uT","Tipo 4 (&gt;0,75) uT"))))</f>
        <v>Tipo 1 (≤0,25) uT</v>
      </c>
      <c r="BG399" s="137" t="str">
        <f t="shared" si="43"/>
        <v>Tipo 1 (≤0,25) uT</v>
      </c>
      <c r="BH399" s="137" t="str">
        <f>IF(OR(R399="",R399="-"),"",IF(R399&lt;=0.25,"Tipo 1 (≤0,25) uT",IF(R399&lt;=0.5,"Tipo 2 (0,25-0,50) uT",IF(R399&lt;=0.75,"Tipo 3 (0,50-0,75) uT","Tipo 4 (&gt;0,75) uT"))))</f>
        <v>Tipo 1 (≤0,25) uT</v>
      </c>
    </row>
    <row r="400" spans="1:60" ht="15" thickBot="1" x14ac:dyDescent="0.35">
      <c r="A400" s="75">
        <v>46303</v>
      </c>
      <c r="B400" s="140">
        <v>0.22916666666666666</v>
      </c>
      <c r="C400" s="117">
        <v>0</v>
      </c>
      <c r="D400" s="117">
        <v>1566</v>
      </c>
      <c r="E400" s="117">
        <v>293</v>
      </c>
      <c r="F400" s="117">
        <v>1980</v>
      </c>
      <c r="G400" s="145" t="s">
        <v>100</v>
      </c>
      <c r="H400" s="123">
        <v>10.4</v>
      </c>
      <c r="I400" s="117">
        <v>34</v>
      </c>
      <c r="J400" s="11">
        <v>90</v>
      </c>
      <c r="K400" s="117">
        <v>90</v>
      </c>
      <c r="L400" s="117">
        <v>90</v>
      </c>
      <c r="M400" s="123">
        <v>24.7</v>
      </c>
      <c r="N400" s="123">
        <v>6.5</v>
      </c>
      <c r="O400" s="80">
        <v>1.1200000000000001</v>
      </c>
      <c r="P400" s="117">
        <v>9</v>
      </c>
      <c r="Q400" s="123">
        <v>7.1</v>
      </c>
      <c r="R400" s="11">
        <v>0.15</v>
      </c>
      <c r="S400" s="79">
        <v>22.36</v>
      </c>
      <c r="T400" s="79">
        <v>0.88</v>
      </c>
      <c r="U400" s="79">
        <v>0.7</v>
      </c>
      <c r="V400" s="85">
        <f t="shared" si="44"/>
        <v>2059.2000000000003</v>
      </c>
      <c r="W400" s="85">
        <f t="shared" si="45"/>
        <v>1565.7431243999997</v>
      </c>
      <c r="X400" s="85">
        <f t="shared" si="46"/>
        <v>0.76036476515151497</v>
      </c>
      <c r="Y400" s="117">
        <v>3</v>
      </c>
      <c r="Z400" s="117">
        <v>3</v>
      </c>
      <c r="AA400" s="123">
        <v>6.1</v>
      </c>
      <c r="AB400" s="117">
        <v>21</v>
      </c>
      <c r="AC400" s="123">
        <v>6.3</v>
      </c>
      <c r="AD400" s="123">
        <v>5.3</v>
      </c>
      <c r="AE400" s="80">
        <v>0.14000000000000001</v>
      </c>
      <c r="AF400" s="80">
        <v>0.13</v>
      </c>
      <c r="AG400" s="85">
        <f>(O400+0.3*H400+2)*(F400/2/AK400)</f>
        <v>1544.4</v>
      </c>
      <c r="AH400" s="85">
        <f t="shared" si="47"/>
        <v>1863.5736287999996</v>
      </c>
      <c r="AI400" s="85">
        <f t="shared" si="48"/>
        <v>1.2066651313131309</v>
      </c>
      <c r="AJ400" s="117">
        <v>3</v>
      </c>
      <c r="AK400" s="117">
        <v>4</v>
      </c>
      <c r="AL400" s="123">
        <v>6.3</v>
      </c>
      <c r="AM400" s="117">
        <v>24</v>
      </c>
      <c r="AN400" s="123">
        <v>6.3</v>
      </c>
      <c r="AO400" s="123">
        <v>5.5</v>
      </c>
      <c r="AP400" s="80">
        <v>0.17</v>
      </c>
      <c r="AQ400" s="80">
        <v>0.14000000000000001</v>
      </c>
      <c r="AR400" s="132">
        <f>SUM(C400:E400)</f>
        <v>1859</v>
      </c>
      <c r="AS400" s="134">
        <f>C400/AR400</f>
        <v>0</v>
      </c>
      <c r="AT400" s="134">
        <f>D400/AR400</f>
        <v>0.84238838084991929</v>
      </c>
      <c r="AU400" s="134">
        <f>E400/AR400</f>
        <v>0.15761161915008068</v>
      </c>
      <c r="AV400" s="151">
        <f>IF(AND(F400&lt;&gt;"",Z400&lt;&gt;""),AB400/(F400/2/Z400),"")</f>
        <v>6.363636363636363E-2</v>
      </c>
      <c r="AW400" s="151">
        <f>IF(AND(F400&lt;&gt;"",AK400&lt;&gt;""),AM400/(F400/2/AK400),"")</f>
        <v>9.696969696969697E-2</v>
      </c>
      <c r="AX400" s="43">
        <f>IF(AND(AQ400&lt;&gt;"",1-(AQ400/O400)&gt;0),1-(AQ400/O400),"")</f>
        <v>0.875</v>
      </c>
      <c r="AY400" s="41">
        <f>IF(AND(AF400&lt;&gt;"",1-(AF400/O400)&gt;0),1-(AF400/O400),"")</f>
        <v>0.8839285714285714</v>
      </c>
      <c r="AZ400" s="136" t="str">
        <f>IF(Q400="","",IF(Q400&lt;2.5,"Alc. Bruta &lt; 2,5 mg/L",IF(Q400&lt;5,"2,5 ≤ Alc. Bruta &lt; 5,0 mg/L",IF(Q400&lt;7.5,"5,0 ≤ Alc. Bruta &lt; 7,5 mg/L",IF(Q400&lt;10,"7,5 ≤ Alc. Bruta &lt; 10,0 mg/L",IF(Q400&lt;15,"10,0 ≤ Alca. Bruta &lt; 15,0 mg/L","Alc. Bruta &gt; 15 mg/L"))))))</f>
        <v>5,0 ≤ Alc. Bruta &lt; 7,5 mg/L</v>
      </c>
      <c r="BA400" s="136" t="str">
        <f>IF(P400="","",IF(P400&lt;5,"Cor &lt;5 uC",IF(P400&lt;10,"5 ≤ Cor &lt; 10 uC",IF(P400&lt;15,"10 ≤ Cor &lt;15 uC",IF(P400&lt;30,"15 ≤ Cor &lt; 30 uC",IF(P400&lt;50,"30 ≤ Cor &lt; 50 uC","Cor &gt; 50 uC"))))))</f>
        <v>5 ≤ Cor &lt; 10 uC</v>
      </c>
      <c r="BB400" s="137" t="str">
        <f>IF(O400="","",IF(O400&lt;2.5,"Turbidez &lt; 2,5 uT",IF(O400&lt;5,"2,5 ≤ Turb &lt; 5,0 uT",IF(O400&lt;7.5,"5,0 ≤ Turb &lt; 7,5 uT",IF(O400&lt;10,"7,5 ≤ Turb &lt; 10,0 uT",IF(O400&lt;15,"10,0 ≤ Turb &lt; 15,0 uT","Turb &gt; 15 uT"))))))</f>
        <v>Turbidez &lt; 2,5 uT</v>
      </c>
      <c r="BC400" s="138" t="str">
        <f>IF(AND(C400&gt;D400,D400&gt;E400),"TOR &gt; SM &gt; BNN",IF(AND(C400&gt;E400,E400&gt;D400),"TOR &gt; BNN &gt; SM",IF(AND(D400&gt;C400,C400&gt;E400),"SM &gt; TOR &gt; BNN",IF(AND(D400&gt;E400,E400&gt;C400),"SM &gt; BNN &gt; TOR",IF(AND(C400=D400,D400=E400),"TOR = SM = BNN","Comb. diferentes")))))</f>
        <v>SM &gt; BNN &gt; TOR</v>
      </c>
      <c r="BD400" s="137" t="str">
        <f>IF(OR(AE400="",AQ400="-"),"",IF(AE400&lt;=0.25,"Tipo 1 (≤0,25) uT",IF(AE400&lt;=0.5,"Tipo 2 (0,25-0,50) uT",IF(AE400&lt;=0.75,"Tipo 3 (0,50-0,75) uT","Tipo 4 (&gt;0,75) uT"))))</f>
        <v>Tipo 1 (≤0,25) uT</v>
      </c>
      <c r="BE400" s="137" t="str">
        <f t="shared" si="42"/>
        <v>Tipo 1 (≤0,25) uT</v>
      </c>
      <c r="BF400" s="137" t="str">
        <f>IF(OR(AF400="",AQ400="-"),"",IF(AF400&lt;=0.25,"Tipo 1 (≤0,25) uT",IF(AF400&lt;=0.5,"Tipo 2 (0,25-0,50) uT",IF(AF400&lt;=0.75,"Tipo 3 (0,50-0,75) uT","Tipo 4 (&gt;0,75) uT"))))</f>
        <v>Tipo 1 (≤0,25) uT</v>
      </c>
      <c r="BG400" s="137" t="str">
        <f t="shared" si="43"/>
        <v>Tipo 1 (≤0,25) uT</v>
      </c>
      <c r="BH400" s="137" t="str">
        <f>IF(OR(R400="",R400="-"),"",IF(R400&lt;=0.25,"Tipo 1 (≤0,25) uT",IF(R400&lt;=0.5,"Tipo 2 (0,25-0,50) uT",IF(R400&lt;=0.75,"Tipo 3 (0,50-0,75) uT","Tipo 4 (&gt;0,75) uT"))))</f>
        <v>Tipo 1 (≤0,25) uT</v>
      </c>
    </row>
    <row r="401" spans="1:60" x14ac:dyDescent="0.3">
      <c r="A401" s="74">
        <v>46303</v>
      </c>
      <c r="B401" s="139">
        <v>0.72916666666666663</v>
      </c>
      <c r="C401" s="116">
        <v>0</v>
      </c>
      <c r="D401" s="116">
        <v>1959</v>
      </c>
      <c r="E401" s="116">
        <v>254</v>
      </c>
      <c r="F401" s="116">
        <v>2428</v>
      </c>
      <c r="G401" s="144" t="s">
        <v>100</v>
      </c>
      <c r="H401" s="122">
        <v>10.4</v>
      </c>
      <c r="I401" s="116">
        <v>33</v>
      </c>
      <c r="J401" s="10">
        <v>90</v>
      </c>
      <c r="K401" s="116">
        <v>90</v>
      </c>
      <c r="L401" s="116">
        <v>90</v>
      </c>
      <c r="M401" s="122">
        <v>26.1</v>
      </c>
      <c r="N401" s="122">
        <v>6.6</v>
      </c>
      <c r="O401" s="79">
        <v>0.97</v>
      </c>
      <c r="P401" s="116">
        <v>10</v>
      </c>
      <c r="Q401" s="122">
        <v>5.9</v>
      </c>
      <c r="R401" s="10">
        <v>0.11</v>
      </c>
      <c r="S401" s="79">
        <v>22.36</v>
      </c>
      <c r="T401" s="79">
        <v>0.88</v>
      </c>
      <c r="U401" s="79">
        <v>0.7</v>
      </c>
      <c r="V401" s="85">
        <f t="shared" si="44"/>
        <v>2464.42</v>
      </c>
      <c r="W401" s="85">
        <f t="shared" si="45"/>
        <v>1717.041462916</v>
      </c>
      <c r="X401" s="85">
        <f t="shared" si="46"/>
        <v>0.69673248184806158</v>
      </c>
      <c r="Y401" s="116">
        <v>3</v>
      </c>
      <c r="Z401" s="116">
        <v>3</v>
      </c>
      <c r="AA401" s="122">
        <v>6.17</v>
      </c>
      <c r="AB401" s="116">
        <v>22.7</v>
      </c>
      <c r="AC401" s="122">
        <v>6.2</v>
      </c>
      <c r="AD401" s="122">
        <v>3.9</v>
      </c>
      <c r="AE401" s="79">
        <v>0.17</v>
      </c>
      <c r="AF401" s="79">
        <v>0.13</v>
      </c>
      <c r="AG401" s="85">
        <f>(O401+0.3*H401+2)*(F401/2/AK401)</f>
        <v>1848.3150000000001</v>
      </c>
      <c r="AH401" s="85">
        <f t="shared" si="47"/>
        <v>1956.0857139199998</v>
      </c>
      <c r="AI401" s="85">
        <f t="shared" si="48"/>
        <v>1.0583075471010082</v>
      </c>
      <c r="AJ401" s="116">
        <v>3</v>
      </c>
      <c r="AK401" s="116">
        <v>4</v>
      </c>
      <c r="AL401" s="122">
        <v>6.4</v>
      </c>
      <c r="AM401" s="116">
        <v>24.7</v>
      </c>
      <c r="AN401" s="122">
        <v>6.1</v>
      </c>
      <c r="AO401" s="122">
        <v>3.9</v>
      </c>
      <c r="AP401" s="79">
        <v>0.1</v>
      </c>
      <c r="AQ401" s="79">
        <v>0.19</v>
      </c>
      <c r="AR401" s="132">
        <f>SUM(C401:E401)</f>
        <v>2213</v>
      </c>
      <c r="AS401" s="134">
        <f>C401/AR401</f>
        <v>0</v>
      </c>
      <c r="AT401" s="134">
        <f>D401/AR401</f>
        <v>0.88522367826479886</v>
      </c>
      <c r="AU401" s="134">
        <f>E401/AR401</f>
        <v>0.11477632173520108</v>
      </c>
      <c r="AV401" s="151">
        <f>IF(AND(F401&lt;&gt;"",Z401&lt;&gt;""),AB401/(F401/2/Z401),"")</f>
        <v>5.6095551894563424E-2</v>
      </c>
      <c r="AW401" s="151">
        <f>IF(AND(F401&lt;&gt;"",AK401&lt;&gt;""),AM401/(F401/2/AK401),"")</f>
        <v>8.1383855024711696E-2</v>
      </c>
      <c r="AX401" s="43">
        <f>IF(AND(AQ401&lt;&gt;"",1-(AQ401/O401)&gt;0),1-(AQ401/O401),"")</f>
        <v>0.80412371134020622</v>
      </c>
      <c r="AY401" s="41">
        <f>IF(AND(AF401&lt;&gt;"",1-(AF401/O401)&gt;0),1-(AF401/O401),"")</f>
        <v>0.865979381443299</v>
      </c>
      <c r="AZ401" s="136" t="str">
        <f>IF(Q401="","",IF(Q401&lt;2.5,"Alc. Bruta &lt; 2,5 mg/L",IF(Q401&lt;5,"2,5 ≤ Alc. Bruta &lt; 5,0 mg/L",IF(Q401&lt;7.5,"5,0 ≤ Alc. Bruta &lt; 7,5 mg/L",IF(Q401&lt;10,"7,5 ≤ Alc. Bruta &lt; 10,0 mg/L",IF(Q401&lt;15,"10,0 ≤ Alca. Bruta &lt; 15,0 mg/L","Alc. Bruta &gt; 15 mg/L"))))))</f>
        <v>5,0 ≤ Alc. Bruta &lt; 7,5 mg/L</v>
      </c>
      <c r="BA401" s="136" t="str">
        <f>IF(P401="","",IF(P401&lt;5,"Cor &lt;5 uC",IF(P401&lt;10,"5 ≤ Cor &lt; 10 uC",IF(P401&lt;15,"10 ≤ Cor &lt;15 uC",IF(P401&lt;30,"15 ≤ Cor &lt; 30 uC",IF(P401&lt;50,"30 ≤ Cor &lt; 50 uC","Cor &gt; 50 uC"))))))</f>
        <v>10 ≤ Cor &lt;15 uC</v>
      </c>
      <c r="BB401" s="137" t="str">
        <f>IF(O401="","",IF(O401&lt;2.5,"Turbidez &lt; 2,5 uT",IF(O401&lt;5,"2,5 ≤ Turb &lt; 5,0 uT",IF(O401&lt;7.5,"5,0 ≤ Turb &lt; 7,5 uT",IF(O401&lt;10,"7,5 ≤ Turb &lt; 10,0 uT",IF(O401&lt;15,"10,0 ≤ Turb &lt; 15,0 uT","Turb &gt; 15 uT"))))))</f>
        <v>Turbidez &lt; 2,5 uT</v>
      </c>
      <c r="BC401" s="138" t="str">
        <f>IF(AND(C401&gt;D401,D401&gt;E401),"TOR &gt; SM &gt; BNN",IF(AND(C401&gt;E401,E401&gt;D401),"TOR &gt; BNN &gt; SM",IF(AND(D401&gt;C401,C401&gt;E401),"SM &gt; TOR &gt; BNN",IF(AND(D401&gt;E401,E401&gt;C401),"SM &gt; BNN &gt; TOR",IF(AND(C401=D401,D401=E401),"TOR = SM = BNN","Comb. diferentes")))))</f>
        <v>SM &gt; BNN &gt; TOR</v>
      </c>
      <c r="BD401" s="137" t="str">
        <f>IF(OR(AE401="",AQ401="-"),"",IF(AE401&lt;=0.25,"Tipo 1 (≤0,25) uT",IF(AE401&lt;=0.5,"Tipo 2 (0,25-0,50) uT",IF(AE401&lt;=0.75,"Tipo 3 (0,50-0,75) uT","Tipo 4 (&gt;0,75) uT"))))</f>
        <v>Tipo 1 (≤0,25) uT</v>
      </c>
      <c r="BE401" s="137" t="str">
        <f t="shared" si="42"/>
        <v>Tipo 1 (≤0,25) uT</v>
      </c>
      <c r="BF401" s="137" t="str">
        <f>IF(OR(AF401="",AQ401="-"),"",IF(AF401&lt;=0.25,"Tipo 1 (≤0,25) uT",IF(AF401&lt;=0.5,"Tipo 2 (0,25-0,50) uT",IF(AF401&lt;=0.75,"Tipo 3 (0,50-0,75) uT","Tipo 4 (&gt;0,75) uT"))))</f>
        <v>Tipo 1 (≤0,25) uT</v>
      </c>
      <c r="BG401" s="137" t="str">
        <f t="shared" si="43"/>
        <v>Tipo 1 (≤0,25) uT</v>
      </c>
      <c r="BH401" s="137" t="str">
        <f>IF(OR(R401="",R401="-"),"",IF(R401&lt;=0.25,"Tipo 1 (≤0,25) uT",IF(R401&lt;=0.5,"Tipo 2 (0,25-0,50) uT",IF(R401&lt;=0.75,"Tipo 3 (0,50-0,75) uT","Tipo 4 (&gt;0,75) uT"))))</f>
        <v>Tipo 1 (≤0,25) uT</v>
      </c>
    </row>
    <row r="402" spans="1:60" x14ac:dyDescent="0.3">
      <c r="A402" s="74">
        <v>46303</v>
      </c>
      <c r="B402" s="139">
        <v>0.89583333333333337</v>
      </c>
      <c r="C402" s="116">
        <v>0</v>
      </c>
      <c r="D402" s="116">
        <v>2011</v>
      </c>
      <c r="E402" s="116">
        <v>200</v>
      </c>
      <c r="F402" s="116">
        <v>2300</v>
      </c>
      <c r="G402" s="144" t="s">
        <v>100</v>
      </c>
      <c r="H402" s="122">
        <v>10.4</v>
      </c>
      <c r="I402" s="116">
        <v>34</v>
      </c>
      <c r="J402" s="10">
        <v>90</v>
      </c>
      <c r="K402" s="116">
        <v>90</v>
      </c>
      <c r="L402" s="116">
        <v>90</v>
      </c>
      <c r="M402" s="122">
        <v>25.7</v>
      </c>
      <c r="N402" s="122">
        <v>6.5</v>
      </c>
      <c r="O402" s="79">
        <v>1.0900000000000001</v>
      </c>
      <c r="P402" s="116">
        <v>10</v>
      </c>
      <c r="Q402" s="122">
        <v>6.6</v>
      </c>
      <c r="R402" s="10">
        <v>0.23</v>
      </c>
      <c r="S402" s="79">
        <v>22.36</v>
      </c>
      <c r="T402" s="79">
        <v>0.88</v>
      </c>
      <c r="U402" s="79">
        <v>0.7</v>
      </c>
      <c r="V402" s="85">
        <f t="shared" si="44"/>
        <v>1785.375</v>
      </c>
      <c r="W402" s="85">
        <f t="shared" si="45"/>
        <v>1750.3931224</v>
      </c>
      <c r="X402" s="85">
        <f t="shared" si="46"/>
        <v>0.98040642576489534</v>
      </c>
      <c r="Y402" s="116">
        <v>3</v>
      </c>
      <c r="Z402" s="116">
        <v>4</v>
      </c>
      <c r="AA402" s="122">
        <v>6.2</v>
      </c>
      <c r="AB402" s="116">
        <v>23</v>
      </c>
      <c r="AC402" s="122">
        <v>6.2</v>
      </c>
      <c r="AD402" s="122">
        <v>4.4000000000000004</v>
      </c>
      <c r="AE402" s="79">
        <v>0.15</v>
      </c>
      <c r="AF402" s="79">
        <v>0.17</v>
      </c>
      <c r="AG402" s="85">
        <f>(O402+0.3*H402+2)*(F402/2/AK402)</f>
        <v>1785.375</v>
      </c>
      <c r="AH402" s="85">
        <f t="shared" si="47"/>
        <v>1863.5736287999996</v>
      </c>
      <c r="AI402" s="85">
        <f t="shared" si="48"/>
        <v>1.0437995540432681</v>
      </c>
      <c r="AJ402" s="116">
        <v>3</v>
      </c>
      <c r="AK402" s="116">
        <v>4</v>
      </c>
      <c r="AL402" s="122">
        <v>6.3</v>
      </c>
      <c r="AM402" s="116">
        <v>24</v>
      </c>
      <c r="AN402" s="122">
        <v>6.2</v>
      </c>
      <c r="AO402" s="122">
        <v>4.2</v>
      </c>
      <c r="AP402" s="79">
        <v>0.11</v>
      </c>
      <c r="AQ402" s="79">
        <v>0.19</v>
      </c>
      <c r="AR402" s="132">
        <f>SUM(C402:E402)</f>
        <v>2211</v>
      </c>
      <c r="AS402" s="134">
        <f>C402/AR402</f>
        <v>0</v>
      </c>
      <c r="AT402" s="134">
        <f>D402/AR402</f>
        <v>0.90954319312528265</v>
      </c>
      <c r="AU402" s="134">
        <f>E402/AR402</f>
        <v>9.0456806874717327E-2</v>
      </c>
      <c r="AV402" s="151">
        <f>IF(AND(F402&lt;&gt;"",Z402&lt;&gt;""),AB402/(F402/2/Z402),"")</f>
        <v>0.08</v>
      </c>
      <c r="AW402" s="151">
        <f>IF(AND(F402&lt;&gt;"",AK402&lt;&gt;""),AM402/(F402/2/AK402),"")</f>
        <v>8.3478260869565224E-2</v>
      </c>
      <c r="AX402" s="43">
        <f>IF(AND(AQ402&lt;&gt;"",1-(AQ402/O402)&gt;0),1-(AQ402/O402),"")</f>
        <v>0.82568807339449546</v>
      </c>
      <c r="AY402" s="41">
        <f>IF(AND(AF402&lt;&gt;"",1-(AF402/O402)&gt;0),1-(AF402/O402),"")</f>
        <v>0.84403669724770647</v>
      </c>
      <c r="AZ402" s="136" t="str">
        <f>IF(Q402="","",IF(Q402&lt;2.5,"Alc. Bruta &lt; 2,5 mg/L",IF(Q402&lt;5,"2,5 ≤ Alc. Bruta &lt; 5,0 mg/L",IF(Q402&lt;7.5,"5,0 ≤ Alc. Bruta &lt; 7,5 mg/L",IF(Q402&lt;10,"7,5 ≤ Alc. Bruta &lt; 10,0 mg/L",IF(Q402&lt;15,"10,0 ≤ Alca. Bruta &lt; 15,0 mg/L","Alc. Bruta &gt; 15 mg/L"))))))</f>
        <v>5,0 ≤ Alc. Bruta &lt; 7,5 mg/L</v>
      </c>
      <c r="BA402" s="136" t="str">
        <f>IF(P402="","",IF(P402&lt;5,"Cor &lt;5 uC",IF(P402&lt;10,"5 ≤ Cor &lt; 10 uC",IF(P402&lt;15,"10 ≤ Cor &lt;15 uC",IF(P402&lt;30,"15 ≤ Cor &lt; 30 uC",IF(P402&lt;50,"30 ≤ Cor &lt; 50 uC","Cor &gt; 50 uC"))))))</f>
        <v>10 ≤ Cor &lt;15 uC</v>
      </c>
      <c r="BB402" s="137" t="str">
        <f>IF(O402="","",IF(O402&lt;2.5,"Turbidez &lt; 2,5 uT",IF(O402&lt;5,"2,5 ≤ Turb &lt; 5,0 uT",IF(O402&lt;7.5,"5,0 ≤ Turb &lt; 7,5 uT",IF(O402&lt;10,"7,5 ≤ Turb &lt; 10,0 uT",IF(O402&lt;15,"10,0 ≤ Turb &lt; 15,0 uT","Turb &gt; 15 uT"))))))</f>
        <v>Turbidez &lt; 2,5 uT</v>
      </c>
      <c r="BC402" s="138" t="str">
        <f>IF(AND(C402&gt;D402,D402&gt;E402),"TOR &gt; SM &gt; BNN",IF(AND(C402&gt;E402,E402&gt;D402),"TOR &gt; BNN &gt; SM",IF(AND(D402&gt;C402,C402&gt;E402),"SM &gt; TOR &gt; BNN",IF(AND(D402&gt;E402,E402&gt;C402),"SM &gt; BNN &gt; TOR",IF(AND(C402=D402,D402=E402),"TOR = SM = BNN","Comb. diferentes")))))</f>
        <v>SM &gt; BNN &gt; TOR</v>
      </c>
      <c r="BD402" s="137" t="str">
        <f>IF(OR(AE402="",AQ402="-"),"",IF(AE402&lt;=0.25,"Tipo 1 (≤0,25) uT",IF(AE402&lt;=0.5,"Tipo 2 (0,25-0,50) uT",IF(AE402&lt;=0.75,"Tipo 3 (0,50-0,75) uT","Tipo 4 (&gt;0,75) uT"))))</f>
        <v>Tipo 1 (≤0,25) uT</v>
      </c>
      <c r="BE402" s="137" t="str">
        <f t="shared" si="42"/>
        <v>Tipo 1 (≤0,25) uT</v>
      </c>
      <c r="BF402" s="137" t="str">
        <f>IF(OR(AF402="",AQ402="-"),"",IF(AF402&lt;=0.25,"Tipo 1 (≤0,25) uT",IF(AF402&lt;=0.5,"Tipo 2 (0,25-0,50) uT",IF(AF402&lt;=0.75,"Tipo 3 (0,50-0,75) uT","Tipo 4 (&gt;0,75) uT"))))</f>
        <v>Tipo 1 (≤0,25) uT</v>
      </c>
      <c r="BG402" s="137" t="str">
        <f t="shared" si="43"/>
        <v>Tipo 1 (≤0,25) uT</v>
      </c>
      <c r="BH402" s="137" t="str">
        <f>IF(OR(R402="",R402="-"),"",IF(R402&lt;=0.25,"Tipo 1 (≤0,25) uT",IF(R402&lt;=0.5,"Tipo 2 (0,25-0,50) uT",IF(R402&lt;=0.75,"Tipo 3 (0,50-0,75) uT","Tipo 4 (&gt;0,75) uT"))))</f>
        <v>Tipo 1 (≤0,25) uT</v>
      </c>
    </row>
    <row r="403" spans="1:60" x14ac:dyDescent="0.3">
      <c r="A403" s="74">
        <v>46303</v>
      </c>
      <c r="B403" s="139">
        <v>0.97916666666666663</v>
      </c>
      <c r="C403" s="116">
        <v>0</v>
      </c>
      <c r="D403" s="116">
        <v>1965</v>
      </c>
      <c r="E403" s="116">
        <v>250</v>
      </c>
      <c r="F403" s="116">
        <v>2355</v>
      </c>
      <c r="G403" s="144" t="s">
        <v>100</v>
      </c>
      <c r="H403" s="122">
        <v>10.4</v>
      </c>
      <c r="I403" s="116">
        <v>34</v>
      </c>
      <c r="J403" s="10">
        <v>90</v>
      </c>
      <c r="K403" s="116">
        <v>90</v>
      </c>
      <c r="L403" s="116">
        <v>90</v>
      </c>
      <c r="M403" s="122">
        <v>24.9</v>
      </c>
      <c r="N403" s="122">
        <v>6.4</v>
      </c>
      <c r="O403" s="79">
        <v>1.03</v>
      </c>
      <c r="P403" s="116">
        <v>7</v>
      </c>
      <c r="Q403" s="122">
        <v>6.1</v>
      </c>
      <c r="R403" s="10">
        <v>0.14000000000000001</v>
      </c>
      <c r="S403" s="79">
        <v>22.36</v>
      </c>
      <c r="T403" s="79">
        <v>0.88</v>
      </c>
      <c r="U403" s="79">
        <v>0.7</v>
      </c>
      <c r="V403" s="85">
        <f t="shared" si="44"/>
        <v>1810.40625</v>
      </c>
      <c r="W403" s="85">
        <f t="shared" si="45"/>
        <v>1640.3023207999997</v>
      </c>
      <c r="X403" s="85">
        <f t="shared" si="46"/>
        <v>0.90604101747881161</v>
      </c>
      <c r="Y403" s="116">
        <v>3</v>
      </c>
      <c r="Z403" s="116">
        <v>4</v>
      </c>
      <c r="AA403" s="122">
        <v>6.1</v>
      </c>
      <c r="AB403" s="116">
        <v>22</v>
      </c>
      <c r="AC403" s="122">
        <v>6</v>
      </c>
      <c r="AD403" s="122">
        <v>3.4</v>
      </c>
      <c r="AE403" s="79">
        <v>0.1</v>
      </c>
      <c r="AF403" s="79">
        <v>0.13</v>
      </c>
      <c r="AG403" s="85">
        <f>(O403+0.3*H403+2)*(F403/2/AK403)</f>
        <v>1810.40625</v>
      </c>
      <c r="AH403" s="85">
        <f t="shared" si="47"/>
        <v>1900.6500864</v>
      </c>
      <c r="AI403" s="85">
        <f t="shared" si="48"/>
        <v>1.0498472850499716</v>
      </c>
      <c r="AJ403" s="116">
        <v>3</v>
      </c>
      <c r="AK403" s="116">
        <v>4</v>
      </c>
      <c r="AL403" s="122">
        <v>6.4</v>
      </c>
      <c r="AM403" s="116">
        <v>24</v>
      </c>
      <c r="AN403" s="122">
        <v>6.1</v>
      </c>
      <c r="AO403" s="122">
        <v>3.7</v>
      </c>
      <c r="AP403" s="79">
        <v>0.1</v>
      </c>
      <c r="AQ403" s="79">
        <v>0.08</v>
      </c>
      <c r="AR403" s="132">
        <f>SUM(C403:E403)</f>
        <v>2215</v>
      </c>
      <c r="AS403" s="134">
        <f>C403/AR403</f>
        <v>0</v>
      </c>
      <c r="AT403" s="134">
        <f>D403/AR403</f>
        <v>0.88713318284424381</v>
      </c>
      <c r="AU403" s="134">
        <f>E403/AR403</f>
        <v>0.11286681715575621</v>
      </c>
      <c r="AV403" s="151">
        <f>IF(AND(F403&lt;&gt;"",Z403&lt;&gt;""),AB403/(F403/2/Z403),"")</f>
        <v>7.4734607218683649E-2</v>
      </c>
      <c r="AW403" s="151">
        <f>IF(AND(F403&lt;&gt;"",AK403&lt;&gt;""),AM403/(F403/2/AK403),"")</f>
        <v>8.1528662420382161E-2</v>
      </c>
      <c r="AX403" s="43">
        <f>IF(AND(AQ403&lt;&gt;"",1-(AQ403/O403)&gt;0),1-(AQ403/O403),"")</f>
        <v>0.92233009708737868</v>
      </c>
      <c r="AY403" s="41">
        <f>IF(AND(AF403&lt;&gt;"",1-(AF403/O403)&gt;0),1-(AF403/O403),"")</f>
        <v>0.87378640776699035</v>
      </c>
      <c r="AZ403" s="136" t="str">
        <f>IF(Q403="","",IF(Q403&lt;2.5,"Alc. Bruta &lt; 2,5 mg/L",IF(Q403&lt;5,"2,5 ≤ Alc. Bruta &lt; 5,0 mg/L",IF(Q403&lt;7.5,"5,0 ≤ Alc. Bruta &lt; 7,5 mg/L",IF(Q403&lt;10,"7,5 ≤ Alc. Bruta &lt; 10,0 mg/L",IF(Q403&lt;15,"10,0 ≤ Alca. Bruta &lt; 15,0 mg/L","Alc. Bruta &gt; 15 mg/L"))))))</f>
        <v>5,0 ≤ Alc. Bruta &lt; 7,5 mg/L</v>
      </c>
      <c r="BA403" s="136" t="str">
        <f>IF(P403="","",IF(P403&lt;5,"Cor &lt;5 uC",IF(P403&lt;10,"5 ≤ Cor &lt; 10 uC",IF(P403&lt;15,"10 ≤ Cor &lt;15 uC",IF(P403&lt;30,"15 ≤ Cor &lt; 30 uC",IF(P403&lt;50,"30 ≤ Cor &lt; 50 uC","Cor &gt; 50 uC"))))))</f>
        <v>5 ≤ Cor &lt; 10 uC</v>
      </c>
      <c r="BB403" s="137" t="str">
        <f>IF(O403="","",IF(O403&lt;2.5,"Turbidez &lt; 2,5 uT",IF(O403&lt;5,"2,5 ≤ Turb &lt; 5,0 uT",IF(O403&lt;7.5,"5,0 ≤ Turb &lt; 7,5 uT",IF(O403&lt;10,"7,5 ≤ Turb &lt; 10,0 uT",IF(O403&lt;15,"10,0 ≤ Turb &lt; 15,0 uT","Turb &gt; 15 uT"))))))</f>
        <v>Turbidez &lt; 2,5 uT</v>
      </c>
      <c r="BC403" s="138" t="str">
        <f>IF(AND(C403&gt;D403,D403&gt;E403),"TOR &gt; SM &gt; BNN",IF(AND(C403&gt;E403,E403&gt;D403),"TOR &gt; BNN &gt; SM",IF(AND(D403&gt;C403,C403&gt;E403),"SM &gt; TOR &gt; BNN",IF(AND(D403&gt;E403,E403&gt;C403),"SM &gt; BNN &gt; TOR",IF(AND(C403=D403,D403=E403),"TOR = SM = BNN","Comb. diferentes")))))</f>
        <v>SM &gt; BNN &gt; TOR</v>
      </c>
      <c r="BD403" s="137" t="str">
        <f>IF(OR(AE403="",AQ403="-"),"",IF(AE403&lt;=0.25,"Tipo 1 (≤0,25) uT",IF(AE403&lt;=0.5,"Tipo 2 (0,25-0,50) uT",IF(AE403&lt;=0.75,"Tipo 3 (0,50-0,75) uT","Tipo 4 (&gt;0,75) uT"))))</f>
        <v>Tipo 1 (≤0,25) uT</v>
      </c>
      <c r="BE403" s="137" t="str">
        <f t="shared" si="42"/>
        <v>Tipo 1 (≤0,25) uT</v>
      </c>
      <c r="BF403" s="137" t="str">
        <f>IF(OR(AF403="",AQ403="-"),"",IF(AF403&lt;=0.25,"Tipo 1 (≤0,25) uT",IF(AF403&lt;=0.5,"Tipo 2 (0,25-0,50) uT",IF(AF403&lt;=0.75,"Tipo 3 (0,50-0,75) uT","Tipo 4 (&gt;0,75) uT"))))</f>
        <v>Tipo 1 (≤0,25) uT</v>
      </c>
      <c r="BG403" s="137" t="str">
        <f t="shared" si="43"/>
        <v>Tipo 1 (≤0,25) uT</v>
      </c>
      <c r="BH403" s="137" t="str">
        <f>IF(OR(R403="",R403="-"),"",IF(R403&lt;=0.25,"Tipo 1 (≤0,25) uT",IF(R403&lt;=0.5,"Tipo 2 (0,25-0,50) uT",IF(R403&lt;=0.75,"Tipo 3 (0,50-0,75) uT","Tipo 4 (&gt;0,75) uT"))))</f>
        <v>Tipo 1 (≤0,25) uT</v>
      </c>
    </row>
    <row r="404" spans="1:60" x14ac:dyDescent="0.3">
      <c r="A404" s="74">
        <v>46304</v>
      </c>
      <c r="B404" s="139">
        <v>0.14583333333333334</v>
      </c>
      <c r="C404" s="116">
        <v>0</v>
      </c>
      <c r="D404" s="116">
        <v>2008</v>
      </c>
      <c r="E404" s="116">
        <v>255</v>
      </c>
      <c r="F404" s="116">
        <v>2548</v>
      </c>
      <c r="G404" s="144" t="s">
        <v>100</v>
      </c>
      <c r="H404" s="122">
        <v>10.4</v>
      </c>
      <c r="I404" s="116">
        <v>34</v>
      </c>
      <c r="J404" s="10">
        <v>90</v>
      </c>
      <c r="K404" s="116">
        <v>90</v>
      </c>
      <c r="L404" s="116">
        <v>90</v>
      </c>
      <c r="M404" s="122">
        <v>25.6</v>
      </c>
      <c r="N404" s="122">
        <v>6.4</v>
      </c>
      <c r="O404" s="79">
        <v>1.07</v>
      </c>
      <c r="P404" s="116">
        <v>8</v>
      </c>
      <c r="Q404" s="122">
        <v>7.1</v>
      </c>
      <c r="R404" s="10">
        <v>0.1</v>
      </c>
      <c r="S404" s="79">
        <v>22.36</v>
      </c>
      <c r="T404" s="79">
        <v>0.88</v>
      </c>
      <c r="U404" s="79">
        <v>0.7</v>
      </c>
      <c r="V404" s="85">
        <f t="shared" si="44"/>
        <v>1971.5150000000001</v>
      </c>
      <c r="W404" s="85">
        <f t="shared" si="45"/>
        <v>1640.3023207999997</v>
      </c>
      <c r="X404" s="85">
        <f t="shared" si="46"/>
        <v>0.83200093369819639</v>
      </c>
      <c r="Y404" s="116">
        <v>3</v>
      </c>
      <c r="Z404" s="116">
        <v>4</v>
      </c>
      <c r="AA404" s="122">
        <v>6.1</v>
      </c>
      <c r="AB404" s="116">
        <v>22</v>
      </c>
      <c r="AC404" s="122">
        <v>6</v>
      </c>
      <c r="AD404" s="122">
        <v>5.2</v>
      </c>
      <c r="AE404" s="79">
        <v>0.1</v>
      </c>
      <c r="AF404" s="79">
        <v>0.1</v>
      </c>
      <c r="AG404" s="85">
        <f>(O404+0.3*H404+2)*(F404/2/AK404)</f>
        <v>1971.5150000000001</v>
      </c>
      <c r="AH404" s="85">
        <f t="shared" si="47"/>
        <v>1900.6500864</v>
      </c>
      <c r="AI404" s="85">
        <f t="shared" si="48"/>
        <v>0.96405560515644051</v>
      </c>
      <c r="AJ404" s="116">
        <v>3</v>
      </c>
      <c r="AK404" s="116">
        <v>4</v>
      </c>
      <c r="AL404" s="122">
        <v>6.4</v>
      </c>
      <c r="AM404" s="116">
        <v>24</v>
      </c>
      <c r="AN404" s="122">
        <v>6</v>
      </c>
      <c r="AO404" s="122">
        <v>5.3</v>
      </c>
      <c r="AP404" s="79">
        <v>0.11</v>
      </c>
      <c r="AQ404" s="79">
        <v>0.15</v>
      </c>
      <c r="AR404" s="132">
        <f>SUM(C404:E404)</f>
        <v>2263</v>
      </c>
      <c r="AS404" s="134">
        <f>C404/AR404</f>
        <v>0</v>
      </c>
      <c r="AT404" s="134">
        <f>D404/AR404</f>
        <v>0.88731771984091912</v>
      </c>
      <c r="AU404" s="134">
        <f>E404/AR404</f>
        <v>0.11268228015908087</v>
      </c>
      <c r="AV404" s="151">
        <f>IF(AND(F404&lt;&gt;"",Z404&lt;&gt;""),AB404/(F404/2/Z404),"")</f>
        <v>6.907378335949764E-2</v>
      </c>
      <c r="AW404" s="151">
        <f>IF(AND(F404&lt;&gt;"",AK404&lt;&gt;""),AM404/(F404/2/AK404),"")</f>
        <v>7.5353218210361061E-2</v>
      </c>
      <c r="AX404" s="43">
        <f>IF(AND(AQ404&lt;&gt;"",1-(AQ404/O404)&gt;0),1-(AQ404/O404),"")</f>
        <v>0.85981308411214952</v>
      </c>
      <c r="AY404" s="41">
        <f>IF(AND(AF404&lt;&gt;"",1-(AF404/O404)&gt;0),1-(AF404/O404),"")</f>
        <v>0.90654205607476634</v>
      </c>
      <c r="AZ404" s="136" t="str">
        <f>IF(Q404="","",IF(Q404&lt;2.5,"Alc. Bruta &lt; 2,5 mg/L",IF(Q404&lt;5,"2,5 ≤ Alc. Bruta &lt; 5,0 mg/L",IF(Q404&lt;7.5,"5,0 ≤ Alc. Bruta &lt; 7,5 mg/L",IF(Q404&lt;10,"7,5 ≤ Alc. Bruta &lt; 10,0 mg/L",IF(Q404&lt;15,"10,0 ≤ Alca. Bruta &lt; 15,0 mg/L","Alc. Bruta &gt; 15 mg/L"))))))</f>
        <v>5,0 ≤ Alc. Bruta &lt; 7,5 mg/L</v>
      </c>
      <c r="BA404" s="136" t="str">
        <f>IF(P404="","",IF(P404&lt;5,"Cor &lt;5 uC",IF(P404&lt;10,"5 ≤ Cor &lt; 10 uC",IF(P404&lt;15,"10 ≤ Cor &lt;15 uC",IF(P404&lt;30,"15 ≤ Cor &lt; 30 uC",IF(P404&lt;50,"30 ≤ Cor &lt; 50 uC","Cor &gt; 50 uC"))))))</f>
        <v>5 ≤ Cor &lt; 10 uC</v>
      </c>
      <c r="BB404" s="137" t="str">
        <f>IF(O404="","",IF(O404&lt;2.5,"Turbidez &lt; 2,5 uT",IF(O404&lt;5,"2,5 ≤ Turb &lt; 5,0 uT",IF(O404&lt;7.5,"5,0 ≤ Turb &lt; 7,5 uT",IF(O404&lt;10,"7,5 ≤ Turb &lt; 10,0 uT",IF(O404&lt;15,"10,0 ≤ Turb &lt; 15,0 uT","Turb &gt; 15 uT"))))))</f>
        <v>Turbidez &lt; 2,5 uT</v>
      </c>
      <c r="BC404" s="138" t="str">
        <f>IF(AND(C404&gt;D404,D404&gt;E404),"TOR &gt; SM &gt; BNN",IF(AND(C404&gt;E404,E404&gt;D404),"TOR &gt; BNN &gt; SM",IF(AND(D404&gt;C404,C404&gt;E404),"SM &gt; TOR &gt; BNN",IF(AND(D404&gt;E404,E404&gt;C404),"SM &gt; BNN &gt; TOR",IF(AND(C404=D404,D404=E404),"TOR = SM = BNN","Comb. diferentes")))))</f>
        <v>SM &gt; BNN &gt; TOR</v>
      </c>
      <c r="BD404" s="137" t="str">
        <f>IF(OR(AE404="",AQ404="-"),"",IF(AE404&lt;=0.25,"Tipo 1 (≤0,25) uT",IF(AE404&lt;=0.5,"Tipo 2 (0,25-0,50) uT",IF(AE404&lt;=0.75,"Tipo 3 (0,50-0,75) uT","Tipo 4 (&gt;0,75) uT"))))</f>
        <v>Tipo 1 (≤0,25) uT</v>
      </c>
      <c r="BE404" s="137" t="str">
        <f t="shared" si="42"/>
        <v>Tipo 1 (≤0,25) uT</v>
      </c>
      <c r="BF404" s="137" t="str">
        <f>IF(OR(AF404="",AQ404="-"),"",IF(AF404&lt;=0.25,"Tipo 1 (≤0,25) uT",IF(AF404&lt;=0.5,"Tipo 2 (0,25-0,50) uT",IF(AF404&lt;=0.75,"Tipo 3 (0,50-0,75) uT","Tipo 4 (&gt;0,75) uT"))))</f>
        <v>Tipo 1 (≤0,25) uT</v>
      </c>
      <c r="BG404" s="137" t="str">
        <f t="shared" si="43"/>
        <v>Tipo 1 (≤0,25) uT</v>
      </c>
      <c r="BH404" s="137" t="str">
        <f>IF(OR(R404="",R404="-"),"",IF(R404&lt;=0.25,"Tipo 1 (≤0,25) uT",IF(R404&lt;=0.5,"Tipo 2 (0,25-0,50) uT",IF(R404&lt;=0.75,"Tipo 3 (0,50-0,75) uT","Tipo 4 (&gt;0,75) uT"))))</f>
        <v>Tipo 1 (≤0,25) uT</v>
      </c>
    </row>
    <row r="405" spans="1:60" ht="15" thickBot="1" x14ac:dyDescent="0.35">
      <c r="A405" s="75">
        <v>46304</v>
      </c>
      <c r="B405" s="140">
        <v>0.22916666666666666</v>
      </c>
      <c r="C405" s="116">
        <v>0</v>
      </c>
      <c r="D405" s="117">
        <v>1970</v>
      </c>
      <c r="E405" s="117">
        <v>255</v>
      </c>
      <c r="F405" s="117">
        <v>2295</v>
      </c>
      <c r="G405" s="145" t="s">
        <v>100</v>
      </c>
      <c r="H405" s="123">
        <v>10.4</v>
      </c>
      <c r="I405" s="117">
        <v>34</v>
      </c>
      <c r="J405" s="11">
        <v>90</v>
      </c>
      <c r="K405" s="117">
        <v>90</v>
      </c>
      <c r="L405" s="117">
        <v>90</v>
      </c>
      <c r="M405" s="123">
        <v>24.9</v>
      </c>
      <c r="N405" s="123">
        <v>6.4</v>
      </c>
      <c r="O405" s="80">
        <v>1.08</v>
      </c>
      <c r="P405" s="117">
        <v>8</v>
      </c>
      <c r="Q405" s="123">
        <v>6.2</v>
      </c>
      <c r="R405" s="11">
        <v>0.12</v>
      </c>
      <c r="S405" s="79">
        <v>22.36</v>
      </c>
      <c r="T405" s="79">
        <v>0.88</v>
      </c>
      <c r="U405" s="79">
        <v>0.7</v>
      </c>
      <c r="V405" s="85">
        <f t="shared" si="44"/>
        <v>1778.625</v>
      </c>
      <c r="W405" s="85">
        <f t="shared" si="45"/>
        <v>1714.8615171999998</v>
      </c>
      <c r="X405" s="85">
        <f t="shared" si="46"/>
        <v>0.96415012563075397</v>
      </c>
      <c r="Y405" s="117">
        <v>3</v>
      </c>
      <c r="Z405" s="117">
        <v>4</v>
      </c>
      <c r="AA405" s="123">
        <v>6.1</v>
      </c>
      <c r="AB405" s="117">
        <v>23</v>
      </c>
      <c r="AC405" s="123">
        <v>6</v>
      </c>
      <c r="AD405" s="123">
        <v>3.8</v>
      </c>
      <c r="AE405" s="80">
        <v>0.11</v>
      </c>
      <c r="AF405" s="80">
        <v>0.4</v>
      </c>
      <c r="AG405" s="85">
        <f>(O405+0.3*H405+2)*(F405/2/AK405)</f>
        <v>1778.625</v>
      </c>
      <c r="AH405" s="85">
        <f t="shared" si="47"/>
        <v>1900.6500864</v>
      </c>
      <c r="AI405" s="85">
        <f t="shared" si="48"/>
        <v>1.0686064158549442</v>
      </c>
      <c r="AJ405" s="117">
        <v>3</v>
      </c>
      <c r="AK405" s="117">
        <v>4</v>
      </c>
      <c r="AL405" s="123">
        <v>6.4</v>
      </c>
      <c r="AM405" s="117">
        <v>24</v>
      </c>
      <c r="AN405" s="123">
        <v>6</v>
      </c>
      <c r="AO405" s="123">
        <v>4.0999999999999996</v>
      </c>
      <c r="AP405" s="80">
        <v>0.11</v>
      </c>
      <c r="AQ405" s="80">
        <v>0.28000000000000003</v>
      </c>
      <c r="AR405" s="132">
        <f>SUM(C405:E405)</f>
        <v>2225</v>
      </c>
      <c r="AS405" s="134">
        <f>C405/AR405</f>
        <v>0</v>
      </c>
      <c r="AT405" s="134">
        <f>D405/AR405</f>
        <v>0.88539325842696626</v>
      </c>
      <c r="AU405" s="134">
        <f>E405/AR405</f>
        <v>0.1146067415730337</v>
      </c>
      <c r="AV405" s="151">
        <f>IF(AND(F405&lt;&gt;"",Z405&lt;&gt;""),AB405/(F405/2/Z405),"")</f>
        <v>8.0174291938997819E-2</v>
      </c>
      <c r="AW405" s="151">
        <f>IF(AND(F405&lt;&gt;"",AK405&lt;&gt;""),AM405/(F405/2/AK405),"")</f>
        <v>8.3660130718954243E-2</v>
      </c>
      <c r="AX405" s="43">
        <f>IF(AND(AQ405&lt;&gt;"",1-(AQ405/O405)&gt;0),1-(AQ405/O405),"")</f>
        <v>0.7407407407407407</v>
      </c>
      <c r="AY405" s="41">
        <f>IF(AND(AF405&lt;&gt;"",1-(AF405/O405)&gt;0),1-(AF405/O405),"")</f>
        <v>0.62962962962962965</v>
      </c>
      <c r="AZ405" s="136" t="str">
        <f>IF(Q405="","",IF(Q405&lt;2.5,"Alc. Bruta &lt; 2,5 mg/L",IF(Q405&lt;5,"2,5 ≤ Alc. Bruta &lt; 5,0 mg/L",IF(Q405&lt;7.5,"5,0 ≤ Alc. Bruta &lt; 7,5 mg/L",IF(Q405&lt;10,"7,5 ≤ Alc. Bruta &lt; 10,0 mg/L",IF(Q405&lt;15,"10,0 ≤ Alca. Bruta &lt; 15,0 mg/L","Alc. Bruta &gt; 15 mg/L"))))))</f>
        <v>5,0 ≤ Alc. Bruta &lt; 7,5 mg/L</v>
      </c>
      <c r="BA405" s="136" t="str">
        <f>IF(P405="","",IF(P405&lt;5,"Cor &lt;5 uC",IF(P405&lt;10,"5 ≤ Cor &lt; 10 uC",IF(P405&lt;15,"10 ≤ Cor &lt;15 uC",IF(P405&lt;30,"15 ≤ Cor &lt; 30 uC",IF(P405&lt;50,"30 ≤ Cor &lt; 50 uC","Cor &gt; 50 uC"))))))</f>
        <v>5 ≤ Cor &lt; 10 uC</v>
      </c>
      <c r="BB405" s="137" t="str">
        <f>IF(O405="","",IF(O405&lt;2.5,"Turbidez &lt; 2,5 uT",IF(O405&lt;5,"2,5 ≤ Turb &lt; 5,0 uT",IF(O405&lt;7.5,"5,0 ≤ Turb &lt; 7,5 uT",IF(O405&lt;10,"7,5 ≤ Turb &lt; 10,0 uT",IF(O405&lt;15,"10,0 ≤ Turb &lt; 15,0 uT","Turb &gt; 15 uT"))))))</f>
        <v>Turbidez &lt; 2,5 uT</v>
      </c>
      <c r="BC405" s="138" t="str">
        <f>IF(AND(C405&gt;D405,D405&gt;E405),"TOR &gt; SM &gt; BNN",IF(AND(C405&gt;E405,E405&gt;D405),"TOR &gt; BNN &gt; SM",IF(AND(D405&gt;C405,C405&gt;E405),"SM &gt; TOR &gt; BNN",IF(AND(D405&gt;E405,E405&gt;C405),"SM &gt; BNN &gt; TOR",IF(AND(C405=D405,D405=E405),"TOR = SM = BNN","Comb. diferentes")))))</f>
        <v>SM &gt; BNN &gt; TOR</v>
      </c>
      <c r="BD405" s="137" t="str">
        <f>IF(OR(AE405="",AQ405="-"),"",IF(AE405&lt;=0.25,"Tipo 1 (≤0,25) uT",IF(AE405&lt;=0.5,"Tipo 2 (0,25-0,50) uT",IF(AE405&lt;=0.75,"Tipo 3 (0,50-0,75) uT","Tipo 4 (&gt;0,75) uT"))))</f>
        <v>Tipo 1 (≤0,25) uT</v>
      </c>
      <c r="BE405" s="137" t="str">
        <f t="shared" si="42"/>
        <v>Tipo 1 (≤0,25) uT</v>
      </c>
      <c r="BF405" s="137" t="str">
        <f>IF(OR(AF405="",AQ405="-"),"",IF(AF405&lt;=0.25,"Tipo 1 (≤0,25) uT",IF(AF405&lt;=0.5,"Tipo 2 (0,25-0,50) uT",IF(AF405&lt;=0.75,"Tipo 3 (0,50-0,75) uT","Tipo 4 (&gt;0,75) uT"))))</f>
        <v>Tipo 2 (0,25-0,50) uT</v>
      </c>
      <c r="BG405" s="137" t="str">
        <f t="shared" si="43"/>
        <v>Tipo 2 (0,25-0,50) uT</v>
      </c>
      <c r="BH405" s="137" t="str">
        <f>IF(OR(R405="",R405="-"),"",IF(R405&lt;=0.25,"Tipo 1 (≤0,25) uT",IF(R405&lt;=0.5,"Tipo 2 (0,25-0,50) uT",IF(R405&lt;=0.75,"Tipo 3 (0,50-0,75) uT","Tipo 4 (&gt;0,75) uT"))))</f>
        <v>Tipo 1 (≤0,25) uT</v>
      </c>
    </row>
    <row r="406" spans="1:60" ht="15" thickBot="1" x14ac:dyDescent="0.35">
      <c r="A406" s="74">
        <v>46304</v>
      </c>
      <c r="B406" s="139">
        <v>0.39583333333333331</v>
      </c>
      <c r="C406" s="118">
        <v>0</v>
      </c>
      <c r="D406" s="116">
        <v>2038</v>
      </c>
      <c r="E406" s="116">
        <v>200</v>
      </c>
      <c r="F406" s="116">
        <v>2236</v>
      </c>
      <c r="G406" s="144" t="s">
        <v>100</v>
      </c>
      <c r="H406" s="122">
        <v>10.4</v>
      </c>
      <c r="I406" s="116">
        <v>33</v>
      </c>
      <c r="J406" s="10">
        <v>90</v>
      </c>
      <c r="K406" s="116">
        <v>90</v>
      </c>
      <c r="L406" s="116">
        <v>90</v>
      </c>
      <c r="M406" s="122">
        <v>26</v>
      </c>
      <c r="N406" s="122">
        <v>6.6</v>
      </c>
      <c r="O406" s="79">
        <v>1.06</v>
      </c>
      <c r="P406" s="116">
        <v>10</v>
      </c>
      <c r="Q406" s="122">
        <v>5.8</v>
      </c>
      <c r="R406" s="10">
        <v>0.1</v>
      </c>
      <c r="S406" s="79">
        <v>22.36</v>
      </c>
      <c r="T406" s="79">
        <v>0.88</v>
      </c>
      <c r="U406" s="79">
        <v>0.7</v>
      </c>
      <c r="V406" s="85">
        <f t="shared" si="44"/>
        <v>1727.31</v>
      </c>
      <c r="W406" s="85">
        <f t="shared" si="45"/>
        <v>1697.12028824</v>
      </c>
      <c r="X406" s="85">
        <f t="shared" si="46"/>
        <v>0.98252212297734631</v>
      </c>
      <c r="Y406" s="116">
        <v>3</v>
      </c>
      <c r="Z406" s="116">
        <v>4</v>
      </c>
      <c r="AA406" s="122">
        <v>6.2</v>
      </c>
      <c r="AB406" s="116">
        <v>22.3</v>
      </c>
      <c r="AC406" s="122">
        <v>6.2</v>
      </c>
      <c r="AD406" s="122">
        <v>4.0999999999999996</v>
      </c>
      <c r="AE406" s="79">
        <v>0.1</v>
      </c>
      <c r="AF406" s="79">
        <v>0.18</v>
      </c>
      <c r="AG406" s="85">
        <f>(O406+0.3*H406+2)*(F406/2/AK406)</f>
        <v>1727.31</v>
      </c>
      <c r="AH406" s="85">
        <f t="shared" si="47"/>
        <v>1979.8438399999998</v>
      </c>
      <c r="AI406" s="85">
        <f t="shared" si="48"/>
        <v>1.1462006472491908</v>
      </c>
      <c r="AJ406" s="116">
        <v>3</v>
      </c>
      <c r="AK406" s="116">
        <v>4</v>
      </c>
      <c r="AL406" s="122">
        <v>6.4</v>
      </c>
      <c r="AM406" s="116">
        <v>25</v>
      </c>
      <c r="AN406" s="122">
        <v>6.2</v>
      </c>
      <c r="AO406" s="122">
        <v>4.0999999999999996</v>
      </c>
      <c r="AP406" s="79">
        <v>0.11</v>
      </c>
      <c r="AQ406" s="79">
        <v>0.16</v>
      </c>
      <c r="AR406" s="132">
        <f>SUM(C406:E406)</f>
        <v>2238</v>
      </c>
      <c r="AS406" s="134">
        <f>C406/AR406</f>
        <v>0</v>
      </c>
      <c r="AT406" s="134">
        <f>D406/AR406</f>
        <v>0.91063449508489724</v>
      </c>
      <c r="AU406" s="134">
        <f>E406/AR406</f>
        <v>8.936550491510277E-2</v>
      </c>
      <c r="AV406" s="151">
        <f>IF(AND(F406&lt;&gt;"",Z406&lt;&gt;""),AB406/(F406/2/Z406),"")</f>
        <v>7.9785330948121652E-2</v>
      </c>
      <c r="AW406" s="151">
        <f>IF(AND(F406&lt;&gt;"",AK406&lt;&gt;""),AM406/(F406/2/AK406),"")</f>
        <v>8.9445438282647588E-2</v>
      </c>
      <c r="AX406" s="43">
        <f>IF(AND(AQ406&lt;&gt;"",1-(AQ406/O406)&gt;0),1-(AQ406/O406),"")</f>
        <v>0.84905660377358494</v>
      </c>
      <c r="AY406" s="41">
        <f>IF(AND(AF406&lt;&gt;"",1-(AF406/O406)&gt;0),1-(AF406/O406),"")</f>
        <v>0.83018867924528306</v>
      </c>
      <c r="AZ406" s="136" t="str">
        <f>IF(Q406="","",IF(Q406&lt;2.5,"Alc. Bruta &lt; 2,5 mg/L",IF(Q406&lt;5,"2,5 ≤ Alc. Bruta &lt; 5,0 mg/L",IF(Q406&lt;7.5,"5,0 ≤ Alc. Bruta &lt; 7,5 mg/L",IF(Q406&lt;10,"7,5 ≤ Alc. Bruta &lt; 10,0 mg/L",IF(Q406&lt;15,"10,0 ≤ Alca. Bruta &lt; 15,0 mg/L","Alc. Bruta &gt; 15 mg/L"))))))</f>
        <v>5,0 ≤ Alc. Bruta &lt; 7,5 mg/L</v>
      </c>
      <c r="BA406" s="136" t="str">
        <f>IF(P406="","",IF(P406&lt;5,"Cor &lt;5 uC",IF(P406&lt;10,"5 ≤ Cor &lt; 10 uC",IF(P406&lt;15,"10 ≤ Cor &lt;15 uC",IF(P406&lt;30,"15 ≤ Cor &lt; 30 uC",IF(P406&lt;50,"30 ≤ Cor &lt; 50 uC","Cor &gt; 50 uC"))))))</f>
        <v>10 ≤ Cor &lt;15 uC</v>
      </c>
      <c r="BB406" s="137" t="str">
        <f>IF(O406="","",IF(O406&lt;2.5,"Turbidez &lt; 2,5 uT",IF(O406&lt;5,"2,5 ≤ Turb &lt; 5,0 uT",IF(O406&lt;7.5,"5,0 ≤ Turb &lt; 7,5 uT",IF(O406&lt;10,"7,5 ≤ Turb &lt; 10,0 uT",IF(O406&lt;15,"10,0 ≤ Turb &lt; 15,0 uT","Turb &gt; 15 uT"))))))</f>
        <v>Turbidez &lt; 2,5 uT</v>
      </c>
      <c r="BC406" s="138" t="str">
        <f>IF(AND(C406&gt;D406,D406&gt;E406),"TOR &gt; SM &gt; BNN",IF(AND(C406&gt;E406,E406&gt;D406),"TOR &gt; BNN &gt; SM",IF(AND(D406&gt;C406,C406&gt;E406),"SM &gt; TOR &gt; BNN",IF(AND(D406&gt;E406,E406&gt;C406),"SM &gt; BNN &gt; TOR",IF(AND(C406=D406,D406=E406),"TOR = SM = BNN","Comb. diferentes")))))</f>
        <v>SM &gt; BNN &gt; TOR</v>
      </c>
      <c r="BD406" s="137" t="str">
        <f>IF(OR(AE406="",AQ406="-"),"",IF(AE406&lt;=0.25,"Tipo 1 (≤0,25) uT",IF(AE406&lt;=0.5,"Tipo 2 (0,25-0,50) uT",IF(AE406&lt;=0.75,"Tipo 3 (0,50-0,75) uT","Tipo 4 (&gt;0,75) uT"))))</f>
        <v>Tipo 1 (≤0,25) uT</v>
      </c>
      <c r="BE406" s="137" t="str">
        <f t="shared" si="42"/>
        <v>Tipo 1 (≤0,25) uT</v>
      </c>
      <c r="BF406" s="137" t="str">
        <f>IF(OR(AF406="",AQ406="-"),"",IF(AF406&lt;=0.25,"Tipo 1 (≤0,25) uT",IF(AF406&lt;=0.5,"Tipo 2 (0,25-0,50) uT",IF(AF406&lt;=0.75,"Tipo 3 (0,50-0,75) uT","Tipo 4 (&gt;0,75) uT"))))</f>
        <v>Tipo 1 (≤0,25) uT</v>
      </c>
      <c r="BG406" s="137" t="str">
        <f t="shared" si="43"/>
        <v>Tipo 1 (≤0,25) uT</v>
      </c>
      <c r="BH406" s="137" t="str">
        <f>IF(OR(R406="",R406="-"),"",IF(R406&lt;=0.25,"Tipo 1 (≤0,25) uT",IF(R406&lt;=0.5,"Tipo 2 (0,25-0,50) uT",IF(R406&lt;=0.75,"Tipo 3 (0,50-0,75) uT","Tipo 4 (&gt;0,75) uT"))))</f>
        <v>Tipo 1 (≤0,25) uT</v>
      </c>
    </row>
    <row r="407" spans="1:60" ht="15" thickBot="1" x14ac:dyDescent="0.35">
      <c r="A407" s="74">
        <v>46304</v>
      </c>
      <c r="B407" s="139">
        <v>0.64583333333333337</v>
      </c>
      <c r="C407" s="118">
        <v>0</v>
      </c>
      <c r="D407" s="116">
        <v>2000</v>
      </c>
      <c r="E407" s="116">
        <v>200</v>
      </c>
      <c r="F407" s="116">
        <v>2232</v>
      </c>
      <c r="G407" s="144" t="s">
        <v>100</v>
      </c>
      <c r="H407" s="122">
        <v>9.5</v>
      </c>
      <c r="I407" s="116">
        <v>33</v>
      </c>
      <c r="J407" s="10">
        <v>90</v>
      </c>
      <c r="K407" s="116">
        <v>90</v>
      </c>
      <c r="L407" s="116">
        <v>90</v>
      </c>
      <c r="M407" s="122">
        <v>26.1</v>
      </c>
      <c r="N407" s="122">
        <v>6.5</v>
      </c>
      <c r="O407" s="79">
        <v>0.96</v>
      </c>
      <c r="P407" s="116">
        <v>9</v>
      </c>
      <c r="Q407" s="122">
        <v>5.4</v>
      </c>
      <c r="R407" s="10">
        <v>0.14000000000000001</v>
      </c>
      <c r="S407" s="79">
        <v>22.36</v>
      </c>
      <c r="T407" s="79">
        <v>0.88</v>
      </c>
      <c r="U407" s="79">
        <v>0.7</v>
      </c>
      <c r="V407" s="85">
        <f t="shared" si="44"/>
        <v>1620.9900000000002</v>
      </c>
      <c r="W407" s="85">
        <f t="shared" si="45"/>
        <v>1697.12028824</v>
      </c>
      <c r="X407" s="85">
        <f t="shared" si="46"/>
        <v>1.0469653040672675</v>
      </c>
      <c r="Y407" s="116">
        <v>3</v>
      </c>
      <c r="Z407" s="116">
        <v>4</v>
      </c>
      <c r="AA407" s="122">
        <v>6.2</v>
      </c>
      <c r="AB407" s="116">
        <v>22.3</v>
      </c>
      <c r="AC407" s="122">
        <v>6.2</v>
      </c>
      <c r="AD407" s="122">
        <v>5.2</v>
      </c>
      <c r="AE407" s="79">
        <v>0.19</v>
      </c>
      <c r="AF407" s="79">
        <v>0.25</v>
      </c>
      <c r="AG407" s="85">
        <f>(O407+0.3*H407+2)*(F407/2/AK407)</f>
        <v>1620.9900000000002</v>
      </c>
      <c r="AH407" s="85">
        <f t="shared" si="47"/>
        <v>1979.8438399999998</v>
      </c>
      <c r="AI407" s="85">
        <f t="shared" si="48"/>
        <v>1.2213794286207809</v>
      </c>
      <c r="AJ407" s="116">
        <v>3</v>
      </c>
      <c r="AK407" s="116">
        <v>4</v>
      </c>
      <c r="AL407" s="122">
        <v>6.4</v>
      </c>
      <c r="AM407" s="116">
        <v>25</v>
      </c>
      <c r="AN407" s="122">
        <v>6.1</v>
      </c>
      <c r="AO407" s="122">
        <v>4.9000000000000004</v>
      </c>
      <c r="AP407" s="79">
        <v>0.18</v>
      </c>
      <c r="AQ407" s="79">
        <v>0.18</v>
      </c>
      <c r="AR407" s="132">
        <f>SUM(C407:E407)</f>
        <v>2200</v>
      </c>
      <c r="AS407" s="134">
        <f>C407/AR407</f>
        <v>0</v>
      </c>
      <c r="AT407" s="134">
        <f>D407/AR407</f>
        <v>0.90909090909090906</v>
      </c>
      <c r="AU407" s="134">
        <f>E407/AR407</f>
        <v>9.0909090909090912E-2</v>
      </c>
      <c r="AV407" s="151">
        <f>IF(AND(F407&lt;&gt;"",Z407&lt;&gt;""),AB407/(F407/2/Z407),"")</f>
        <v>7.9928315412186382E-2</v>
      </c>
      <c r="AW407" s="151">
        <f>IF(AND(F407&lt;&gt;"",AK407&lt;&gt;""),AM407/(F407/2/AK407),"")</f>
        <v>8.9605734767025089E-2</v>
      </c>
      <c r="AX407" s="43">
        <f>IF(AND(AQ407&lt;&gt;"",1-(AQ407/O407)&gt;0),1-(AQ407/O407),"")</f>
        <v>0.8125</v>
      </c>
      <c r="AY407" s="41">
        <f>IF(AND(AF407&lt;&gt;"",1-(AF407/O407)&gt;0),1-(AF407/O407),"")</f>
        <v>0.73958333333333326</v>
      </c>
      <c r="AZ407" s="136" t="str">
        <f>IF(Q407="","",IF(Q407&lt;2.5,"Alc. Bruta &lt; 2,5 mg/L",IF(Q407&lt;5,"2,5 ≤ Alc. Bruta &lt; 5,0 mg/L",IF(Q407&lt;7.5,"5,0 ≤ Alc. Bruta &lt; 7,5 mg/L",IF(Q407&lt;10,"7,5 ≤ Alc. Bruta &lt; 10,0 mg/L",IF(Q407&lt;15,"10,0 ≤ Alca. Bruta &lt; 15,0 mg/L","Alc. Bruta &gt; 15 mg/L"))))))</f>
        <v>5,0 ≤ Alc. Bruta &lt; 7,5 mg/L</v>
      </c>
      <c r="BA407" s="136" t="str">
        <f>IF(P407="","",IF(P407&lt;5,"Cor &lt;5 uC",IF(P407&lt;10,"5 ≤ Cor &lt; 10 uC",IF(P407&lt;15,"10 ≤ Cor &lt;15 uC",IF(P407&lt;30,"15 ≤ Cor &lt; 30 uC",IF(P407&lt;50,"30 ≤ Cor &lt; 50 uC","Cor &gt; 50 uC"))))))</f>
        <v>5 ≤ Cor &lt; 10 uC</v>
      </c>
      <c r="BB407" s="137" t="str">
        <f>IF(O407="","",IF(O407&lt;2.5,"Turbidez &lt; 2,5 uT",IF(O407&lt;5,"2,5 ≤ Turb &lt; 5,0 uT",IF(O407&lt;7.5,"5,0 ≤ Turb &lt; 7,5 uT",IF(O407&lt;10,"7,5 ≤ Turb &lt; 10,0 uT",IF(O407&lt;15,"10,0 ≤ Turb &lt; 15,0 uT","Turb &gt; 15 uT"))))))</f>
        <v>Turbidez &lt; 2,5 uT</v>
      </c>
      <c r="BC407" s="138" t="str">
        <f>IF(AND(C407&gt;D407,D407&gt;E407),"TOR &gt; SM &gt; BNN",IF(AND(C407&gt;E407,E407&gt;D407),"TOR &gt; BNN &gt; SM",IF(AND(D407&gt;C407,C407&gt;E407),"SM &gt; TOR &gt; BNN",IF(AND(D407&gt;E407,E407&gt;C407),"SM &gt; BNN &gt; TOR",IF(AND(C407=D407,D407=E407),"TOR = SM = BNN","Comb. diferentes")))))</f>
        <v>SM &gt; BNN &gt; TOR</v>
      </c>
      <c r="BD407" s="137" t="str">
        <f>IF(OR(AE407="",AQ407="-"),"",IF(AE407&lt;=0.25,"Tipo 1 (≤0,25) uT",IF(AE407&lt;=0.5,"Tipo 2 (0,25-0,50) uT",IF(AE407&lt;=0.75,"Tipo 3 (0,50-0,75) uT","Tipo 4 (&gt;0,75) uT"))))</f>
        <v>Tipo 1 (≤0,25) uT</v>
      </c>
      <c r="BE407" s="137" t="str">
        <f t="shared" si="42"/>
        <v>Tipo 1 (≤0,25) uT</v>
      </c>
      <c r="BF407" s="137" t="str">
        <f>IF(OR(AF407="",AQ407="-"),"",IF(AF407&lt;=0.25,"Tipo 1 (≤0,25) uT",IF(AF407&lt;=0.5,"Tipo 2 (0,25-0,50) uT",IF(AF407&lt;=0.75,"Tipo 3 (0,50-0,75) uT","Tipo 4 (&gt;0,75) uT"))))</f>
        <v>Tipo 1 (≤0,25) uT</v>
      </c>
      <c r="BG407" s="137" t="str">
        <f t="shared" si="43"/>
        <v>Tipo 1 (≤0,25) uT</v>
      </c>
      <c r="BH407" s="137" t="str">
        <f>IF(OR(R407="",R407="-"),"",IF(R407&lt;=0.25,"Tipo 1 (≤0,25) uT",IF(R407&lt;=0.5,"Tipo 2 (0,25-0,50) uT",IF(R407&lt;=0.75,"Tipo 3 (0,50-0,75) uT","Tipo 4 (&gt;0,75) uT"))))</f>
        <v>Tipo 1 (≤0,25) uT</v>
      </c>
    </row>
    <row r="408" spans="1:60" ht="15" thickBot="1" x14ac:dyDescent="0.35">
      <c r="A408" s="74">
        <v>46304</v>
      </c>
      <c r="B408" s="139">
        <v>0.72916666666666663</v>
      </c>
      <c r="C408" s="118">
        <v>0</v>
      </c>
      <c r="D408" s="116">
        <v>1981</v>
      </c>
      <c r="E408" s="116">
        <v>200</v>
      </c>
      <c r="F408" s="116">
        <v>2319</v>
      </c>
      <c r="G408" s="144" t="s">
        <v>100</v>
      </c>
      <c r="H408" s="122">
        <v>9.5</v>
      </c>
      <c r="I408" s="116">
        <v>33</v>
      </c>
      <c r="J408" s="10">
        <v>90</v>
      </c>
      <c r="K408" s="116">
        <v>90</v>
      </c>
      <c r="L408" s="116">
        <v>90</v>
      </c>
      <c r="M408" s="122">
        <v>27</v>
      </c>
      <c r="N408" s="122">
        <v>6.6</v>
      </c>
      <c r="O408" s="79">
        <v>0.96</v>
      </c>
      <c r="P408" s="116">
        <v>8</v>
      </c>
      <c r="Q408" s="122">
        <v>6.2</v>
      </c>
      <c r="R408" s="10">
        <v>0.11</v>
      </c>
      <c r="S408" s="79">
        <v>22.36</v>
      </c>
      <c r="T408" s="79">
        <v>0.88</v>
      </c>
      <c r="U408" s="79">
        <v>0.7</v>
      </c>
      <c r="V408" s="85">
        <f t="shared" si="44"/>
        <v>1684.1737500000002</v>
      </c>
      <c r="W408" s="85">
        <f t="shared" si="45"/>
        <v>1697.12028824</v>
      </c>
      <c r="X408" s="85">
        <f t="shared" si="46"/>
        <v>1.0076871749366714</v>
      </c>
      <c r="Y408" s="116">
        <v>3</v>
      </c>
      <c r="Z408" s="116">
        <v>4</v>
      </c>
      <c r="AA408" s="122">
        <v>6.2</v>
      </c>
      <c r="AB408" s="116">
        <v>22.3</v>
      </c>
      <c r="AC408" s="122">
        <v>6.1</v>
      </c>
      <c r="AD408" s="122">
        <v>5.0999999999999996</v>
      </c>
      <c r="AE408" s="79">
        <v>0.11</v>
      </c>
      <c r="AF408" s="79">
        <v>0.3</v>
      </c>
      <c r="AG408" s="85">
        <f>(O408+0.3*H408+2)*(F408/2/AK408)</f>
        <v>1684.1737500000002</v>
      </c>
      <c r="AH408" s="85">
        <f t="shared" si="47"/>
        <v>1979.8438399999998</v>
      </c>
      <c r="AI408" s="85">
        <f t="shared" si="48"/>
        <v>1.1755579494099107</v>
      </c>
      <c r="AJ408" s="116">
        <v>3</v>
      </c>
      <c r="AK408" s="116">
        <v>4</v>
      </c>
      <c r="AL408" s="122">
        <v>6.4</v>
      </c>
      <c r="AM408" s="116">
        <v>25</v>
      </c>
      <c r="AN408" s="122">
        <v>6</v>
      </c>
      <c r="AO408" s="122">
        <v>4.8</v>
      </c>
      <c r="AP408" s="79">
        <v>0.1</v>
      </c>
      <c r="AQ408" s="79">
        <v>0.14000000000000001</v>
      </c>
      <c r="AR408" s="132">
        <f>SUM(C408:E408)</f>
        <v>2181</v>
      </c>
      <c r="AS408" s="134">
        <f>C408/AR408</f>
        <v>0</v>
      </c>
      <c r="AT408" s="134">
        <f>D408/AR408</f>
        <v>0.90829894543787248</v>
      </c>
      <c r="AU408" s="134">
        <f>E408/AR408</f>
        <v>9.170105456212746E-2</v>
      </c>
      <c r="AV408" s="151">
        <f>IF(AND(F408&lt;&gt;"",Z408&lt;&gt;""),AB408/(F408/2/Z408),"")</f>
        <v>7.6929711082363086E-2</v>
      </c>
      <c r="AW408" s="151">
        <f>IF(AND(F408&lt;&gt;"",AK408&lt;&gt;""),AM408/(F408/2/AK408),"")</f>
        <v>8.6244070720137997E-2</v>
      </c>
      <c r="AX408" s="43">
        <f>IF(AND(AQ408&lt;&gt;"",1-(AQ408/O408)&gt;0),1-(AQ408/O408),"")</f>
        <v>0.85416666666666663</v>
      </c>
      <c r="AY408" s="41">
        <f>IF(AND(AF408&lt;&gt;"",1-(AF408/O408)&gt;0),1-(AF408/O408),"")</f>
        <v>0.6875</v>
      </c>
      <c r="AZ408" s="136" t="str">
        <f>IF(Q408="","",IF(Q408&lt;2.5,"Alc. Bruta &lt; 2,5 mg/L",IF(Q408&lt;5,"2,5 ≤ Alc. Bruta &lt; 5,0 mg/L",IF(Q408&lt;7.5,"5,0 ≤ Alc. Bruta &lt; 7,5 mg/L",IF(Q408&lt;10,"7,5 ≤ Alc. Bruta &lt; 10,0 mg/L",IF(Q408&lt;15,"10,0 ≤ Alca. Bruta &lt; 15,0 mg/L","Alc. Bruta &gt; 15 mg/L"))))))</f>
        <v>5,0 ≤ Alc. Bruta &lt; 7,5 mg/L</v>
      </c>
      <c r="BA408" s="136" t="str">
        <f>IF(P408="","",IF(P408&lt;5,"Cor &lt;5 uC",IF(P408&lt;10,"5 ≤ Cor &lt; 10 uC",IF(P408&lt;15,"10 ≤ Cor &lt;15 uC",IF(P408&lt;30,"15 ≤ Cor &lt; 30 uC",IF(P408&lt;50,"30 ≤ Cor &lt; 50 uC","Cor &gt; 50 uC"))))))</f>
        <v>5 ≤ Cor &lt; 10 uC</v>
      </c>
      <c r="BB408" s="137" t="str">
        <f>IF(O408="","",IF(O408&lt;2.5,"Turbidez &lt; 2,5 uT",IF(O408&lt;5,"2,5 ≤ Turb &lt; 5,0 uT",IF(O408&lt;7.5,"5,0 ≤ Turb &lt; 7,5 uT",IF(O408&lt;10,"7,5 ≤ Turb &lt; 10,0 uT",IF(O408&lt;15,"10,0 ≤ Turb &lt; 15,0 uT","Turb &gt; 15 uT"))))))</f>
        <v>Turbidez &lt; 2,5 uT</v>
      </c>
      <c r="BC408" s="138" t="str">
        <f>IF(AND(C408&gt;D408,D408&gt;E408),"TOR &gt; SM &gt; BNN",IF(AND(C408&gt;E408,E408&gt;D408),"TOR &gt; BNN &gt; SM",IF(AND(D408&gt;C408,C408&gt;E408),"SM &gt; TOR &gt; BNN",IF(AND(D408&gt;E408,E408&gt;C408),"SM &gt; BNN &gt; TOR",IF(AND(C408=D408,D408=E408),"TOR = SM = BNN","Comb. diferentes")))))</f>
        <v>SM &gt; BNN &gt; TOR</v>
      </c>
      <c r="BD408" s="137" t="str">
        <f>IF(OR(AE408="",AQ408="-"),"",IF(AE408&lt;=0.25,"Tipo 1 (≤0,25) uT",IF(AE408&lt;=0.5,"Tipo 2 (0,25-0,50) uT",IF(AE408&lt;=0.75,"Tipo 3 (0,50-0,75) uT","Tipo 4 (&gt;0,75) uT"))))</f>
        <v>Tipo 1 (≤0,25) uT</v>
      </c>
      <c r="BE408" s="137" t="str">
        <f t="shared" si="42"/>
        <v>Tipo 1 (≤0,25) uT</v>
      </c>
      <c r="BF408" s="137" t="str">
        <f>IF(OR(AF408="",AQ408="-"),"",IF(AF408&lt;=0.25,"Tipo 1 (≤0,25) uT",IF(AF408&lt;=0.5,"Tipo 2 (0,25-0,50) uT",IF(AF408&lt;=0.75,"Tipo 3 (0,50-0,75) uT","Tipo 4 (&gt;0,75) uT"))))</f>
        <v>Tipo 2 (0,25-0,50) uT</v>
      </c>
      <c r="BG408" s="137" t="str">
        <f t="shared" si="43"/>
        <v>Tipo 1 (≤0,25) uT</v>
      </c>
      <c r="BH408" s="137" t="str">
        <f>IF(OR(R408="",R408="-"),"",IF(R408&lt;=0.25,"Tipo 1 (≤0,25) uT",IF(R408&lt;=0.5,"Tipo 2 (0,25-0,50) uT",IF(R408&lt;=0.75,"Tipo 3 (0,50-0,75) uT","Tipo 4 (&gt;0,75) uT"))))</f>
        <v>Tipo 1 (≤0,25) uT</v>
      </c>
    </row>
    <row r="409" spans="1:60" ht="15" thickBot="1" x14ac:dyDescent="0.35">
      <c r="A409" s="74">
        <v>46304</v>
      </c>
      <c r="B409" s="139">
        <v>0.8125</v>
      </c>
      <c r="C409" s="118">
        <v>0</v>
      </c>
      <c r="D409" s="116">
        <v>2072</v>
      </c>
      <c r="E409" s="116">
        <v>200</v>
      </c>
      <c r="F409" s="116">
        <v>2270</v>
      </c>
      <c r="G409" s="144" t="s">
        <v>100</v>
      </c>
      <c r="H409" s="122">
        <v>9.5</v>
      </c>
      <c r="I409" s="116">
        <v>33</v>
      </c>
      <c r="J409" s="10">
        <v>90</v>
      </c>
      <c r="K409" s="116">
        <v>90</v>
      </c>
      <c r="L409" s="116">
        <v>90</v>
      </c>
      <c r="M409" s="122">
        <v>27</v>
      </c>
      <c r="N409" s="122">
        <v>6.4</v>
      </c>
      <c r="O409" s="79">
        <v>1.04</v>
      </c>
      <c r="P409" s="116">
        <v>9</v>
      </c>
      <c r="Q409" s="122">
        <v>6.3</v>
      </c>
      <c r="R409" s="10">
        <v>0.14000000000000001</v>
      </c>
      <c r="S409" s="79">
        <v>22.36</v>
      </c>
      <c r="T409" s="79">
        <v>0.88</v>
      </c>
      <c r="U409" s="79">
        <v>0.7</v>
      </c>
      <c r="V409" s="85">
        <f t="shared" si="44"/>
        <v>1671.2875000000001</v>
      </c>
      <c r="W409" s="85">
        <f t="shared" si="45"/>
        <v>1785.9247275999996</v>
      </c>
      <c r="X409" s="85">
        <f t="shared" si="46"/>
        <v>1.0685921647831385</v>
      </c>
      <c r="Y409" s="116">
        <v>3</v>
      </c>
      <c r="Z409" s="116">
        <v>4</v>
      </c>
      <c r="AA409" s="122">
        <v>6.3</v>
      </c>
      <c r="AB409" s="116">
        <v>23</v>
      </c>
      <c r="AC409" s="122">
        <v>6</v>
      </c>
      <c r="AD409" s="122">
        <v>4.9000000000000004</v>
      </c>
      <c r="AE409" s="79">
        <v>0.08</v>
      </c>
      <c r="AF409" s="79">
        <v>0.26</v>
      </c>
      <c r="AG409" s="85">
        <f>(O409+0.3*H409+2)*(F409/2/AK409)</f>
        <v>1671.2875000000001</v>
      </c>
      <c r="AH409" s="85">
        <f t="shared" si="47"/>
        <v>1900.6500864</v>
      </c>
      <c r="AI409" s="85">
        <f t="shared" si="48"/>
        <v>1.1372370620853682</v>
      </c>
      <c r="AJ409" s="116">
        <v>3</v>
      </c>
      <c r="AK409" s="116">
        <v>4</v>
      </c>
      <c r="AL409" s="122">
        <v>6.4</v>
      </c>
      <c r="AM409" s="116">
        <v>24</v>
      </c>
      <c r="AN409" s="122">
        <v>6</v>
      </c>
      <c r="AO409" s="122">
        <v>5.2</v>
      </c>
      <c r="AP409" s="79">
        <v>0.11</v>
      </c>
      <c r="AQ409" s="79">
        <v>0.14000000000000001</v>
      </c>
      <c r="AR409" s="132">
        <f>SUM(C409:E409)</f>
        <v>2272</v>
      </c>
      <c r="AS409" s="134">
        <f>C409/AR409</f>
        <v>0</v>
      </c>
      <c r="AT409" s="134">
        <f>D409/AR409</f>
        <v>0.9119718309859155</v>
      </c>
      <c r="AU409" s="134">
        <f>E409/AR409</f>
        <v>8.8028169014084501E-2</v>
      </c>
      <c r="AV409" s="151">
        <f>IF(AND(F409&lt;&gt;"",Z409&lt;&gt;""),AB409/(F409/2/Z409),"")</f>
        <v>8.1057268722466963E-2</v>
      </c>
      <c r="AW409" s="151">
        <f>IF(AND(F409&lt;&gt;"",AK409&lt;&gt;""),AM409/(F409/2/AK409),"")</f>
        <v>8.4581497797356825E-2</v>
      </c>
      <c r="AX409" s="43">
        <f>IF(AND(AQ409&lt;&gt;"",1-(AQ409/O409)&gt;0),1-(AQ409/O409),"")</f>
        <v>0.86538461538461542</v>
      </c>
      <c r="AY409" s="41">
        <f>IF(AND(AF409&lt;&gt;"",1-(AF409/O409)&gt;0),1-(AF409/O409),"")</f>
        <v>0.75</v>
      </c>
      <c r="AZ409" s="136" t="str">
        <f>IF(Q409="","",IF(Q409&lt;2.5,"Alc. Bruta &lt; 2,5 mg/L",IF(Q409&lt;5,"2,5 ≤ Alc. Bruta &lt; 5,0 mg/L",IF(Q409&lt;7.5,"5,0 ≤ Alc. Bruta &lt; 7,5 mg/L",IF(Q409&lt;10,"7,5 ≤ Alc. Bruta &lt; 10,0 mg/L",IF(Q409&lt;15,"10,0 ≤ Alca. Bruta &lt; 15,0 mg/L","Alc. Bruta &gt; 15 mg/L"))))))</f>
        <v>5,0 ≤ Alc. Bruta &lt; 7,5 mg/L</v>
      </c>
      <c r="BA409" s="136" t="str">
        <f>IF(P409="","",IF(P409&lt;5,"Cor &lt;5 uC",IF(P409&lt;10,"5 ≤ Cor &lt; 10 uC",IF(P409&lt;15,"10 ≤ Cor &lt;15 uC",IF(P409&lt;30,"15 ≤ Cor &lt; 30 uC",IF(P409&lt;50,"30 ≤ Cor &lt; 50 uC","Cor &gt; 50 uC"))))))</f>
        <v>5 ≤ Cor &lt; 10 uC</v>
      </c>
      <c r="BB409" s="137" t="str">
        <f>IF(O409="","",IF(O409&lt;2.5,"Turbidez &lt; 2,5 uT",IF(O409&lt;5,"2,5 ≤ Turb &lt; 5,0 uT",IF(O409&lt;7.5,"5,0 ≤ Turb &lt; 7,5 uT",IF(O409&lt;10,"7,5 ≤ Turb &lt; 10,0 uT",IF(O409&lt;15,"10,0 ≤ Turb &lt; 15,0 uT","Turb &gt; 15 uT"))))))</f>
        <v>Turbidez &lt; 2,5 uT</v>
      </c>
      <c r="BC409" s="138" t="str">
        <f>IF(AND(C409&gt;D409,D409&gt;E409),"TOR &gt; SM &gt; BNN",IF(AND(C409&gt;E409,E409&gt;D409),"TOR &gt; BNN &gt; SM",IF(AND(D409&gt;C409,C409&gt;E409),"SM &gt; TOR &gt; BNN",IF(AND(D409&gt;E409,E409&gt;C409),"SM &gt; BNN &gt; TOR",IF(AND(C409=D409,D409=E409),"TOR = SM = BNN","Comb. diferentes")))))</f>
        <v>SM &gt; BNN &gt; TOR</v>
      </c>
      <c r="BD409" s="137" t="str">
        <f>IF(OR(AE409="",AQ409="-"),"",IF(AE409&lt;=0.25,"Tipo 1 (≤0,25) uT",IF(AE409&lt;=0.5,"Tipo 2 (0,25-0,50) uT",IF(AE409&lt;=0.75,"Tipo 3 (0,50-0,75) uT","Tipo 4 (&gt;0,75) uT"))))</f>
        <v>Tipo 1 (≤0,25) uT</v>
      </c>
      <c r="BE409" s="137" t="str">
        <f t="shared" si="42"/>
        <v>Tipo 1 (≤0,25) uT</v>
      </c>
      <c r="BF409" s="137" t="str">
        <f>IF(OR(AF409="",AQ409="-"),"",IF(AF409&lt;=0.25,"Tipo 1 (≤0,25) uT",IF(AF409&lt;=0.5,"Tipo 2 (0,25-0,50) uT",IF(AF409&lt;=0.75,"Tipo 3 (0,50-0,75) uT","Tipo 4 (&gt;0,75) uT"))))</f>
        <v>Tipo 2 (0,25-0,50) uT</v>
      </c>
      <c r="BG409" s="137" t="str">
        <f t="shared" si="43"/>
        <v>Tipo 1 (≤0,25) uT</v>
      </c>
      <c r="BH409" s="137" t="str">
        <f>IF(OR(R409="",R409="-"),"",IF(R409&lt;=0.25,"Tipo 1 (≤0,25) uT",IF(R409&lt;=0.5,"Tipo 2 (0,25-0,50) uT",IF(R409&lt;=0.75,"Tipo 3 (0,50-0,75) uT","Tipo 4 (&gt;0,75) uT"))))</f>
        <v>Tipo 1 (≤0,25) uT</v>
      </c>
    </row>
    <row r="410" spans="1:60" ht="15" thickBot="1" x14ac:dyDescent="0.35">
      <c r="A410" s="74">
        <v>46304</v>
      </c>
      <c r="B410" s="139">
        <v>0.89583333333333337</v>
      </c>
      <c r="C410" s="118">
        <v>0</v>
      </c>
      <c r="D410" s="116">
        <v>2010</v>
      </c>
      <c r="E410" s="116">
        <v>200</v>
      </c>
      <c r="F410" s="116">
        <v>2302</v>
      </c>
      <c r="G410" s="144" t="s">
        <v>100</v>
      </c>
      <c r="H410" s="122">
        <v>9.5</v>
      </c>
      <c r="I410" s="116">
        <v>33</v>
      </c>
      <c r="J410" s="10">
        <v>90</v>
      </c>
      <c r="K410" s="116">
        <v>90</v>
      </c>
      <c r="L410" s="116">
        <v>30</v>
      </c>
      <c r="M410" s="122">
        <v>26.4</v>
      </c>
      <c r="N410" s="122">
        <v>6.1</v>
      </c>
      <c r="O410" s="79">
        <v>1.03</v>
      </c>
      <c r="P410" s="116">
        <v>6</v>
      </c>
      <c r="Q410" s="122">
        <v>5.7</v>
      </c>
      <c r="R410" s="10">
        <v>0.1</v>
      </c>
      <c r="S410" s="79">
        <v>22.36</v>
      </c>
      <c r="T410" s="79">
        <v>0.88</v>
      </c>
      <c r="U410" s="79">
        <v>0.7</v>
      </c>
      <c r="V410" s="85">
        <f t="shared" si="44"/>
        <v>1691.97</v>
      </c>
      <c r="W410" s="85">
        <f t="shared" si="45"/>
        <v>1750.3931224</v>
      </c>
      <c r="X410" s="85">
        <f t="shared" si="46"/>
        <v>1.0345296443790375</v>
      </c>
      <c r="Y410" s="116">
        <v>3</v>
      </c>
      <c r="Z410" s="116">
        <v>4</v>
      </c>
      <c r="AA410" s="122">
        <v>6.2</v>
      </c>
      <c r="AB410" s="116">
        <v>23</v>
      </c>
      <c r="AC410" s="122">
        <v>5.9</v>
      </c>
      <c r="AD410" s="122">
        <v>4.2</v>
      </c>
      <c r="AE410" s="79">
        <v>0.14000000000000001</v>
      </c>
      <c r="AF410" s="79">
        <v>0.26</v>
      </c>
      <c r="AG410" s="85">
        <f>(O410+0.3*H410+2)*(F410/2/AK410)</f>
        <v>1691.97</v>
      </c>
      <c r="AH410" s="85">
        <f t="shared" si="47"/>
        <v>1979.8438399999998</v>
      </c>
      <c r="AI410" s="85">
        <f t="shared" si="48"/>
        <v>1.1701412199979904</v>
      </c>
      <c r="AJ410" s="116">
        <v>3</v>
      </c>
      <c r="AK410" s="116">
        <v>4</v>
      </c>
      <c r="AL410" s="122">
        <v>6.4</v>
      </c>
      <c r="AM410" s="116">
        <v>25</v>
      </c>
      <c r="AN410" s="122">
        <v>6</v>
      </c>
      <c r="AO410" s="122">
        <v>4.4000000000000004</v>
      </c>
      <c r="AP410" s="79">
        <v>0.13</v>
      </c>
      <c r="AQ410" s="79">
        <v>0.15</v>
      </c>
      <c r="AR410" s="132">
        <f>SUM(C410:E410)</f>
        <v>2210</v>
      </c>
      <c r="AS410" s="134">
        <f>C410/AR410</f>
        <v>0</v>
      </c>
      <c r="AT410" s="134">
        <f>D410/AR410</f>
        <v>0.9095022624434389</v>
      </c>
      <c r="AU410" s="134">
        <f>E410/AR410</f>
        <v>9.0497737556561084E-2</v>
      </c>
      <c r="AV410" s="151">
        <f>IF(AND(F410&lt;&gt;"",Z410&lt;&gt;""),AB410/(F410/2/Z410),"")</f>
        <v>7.993049522154648E-2</v>
      </c>
      <c r="AW410" s="151">
        <f>IF(AND(F410&lt;&gt;"",AK410&lt;&gt;""),AM410/(F410/2/AK410),"")</f>
        <v>8.6880973066898348E-2</v>
      </c>
      <c r="AX410" s="43">
        <f>IF(AND(AQ410&lt;&gt;"",1-(AQ410/O410)&gt;0),1-(AQ410/O410),"")</f>
        <v>0.85436893203883502</v>
      </c>
      <c r="AY410" s="41">
        <f>IF(AND(AF410&lt;&gt;"",1-(AF410/O410)&gt;0),1-(AF410/O410),"")</f>
        <v>0.74757281553398058</v>
      </c>
      <c r="AZ410" s="136" t="str">
        <f>IF(Q410="","",IF(Q410&lt;2.5,"Alc. Bruta &lt; 2,5 mg/L",IF(Q410&lt;5,"2,5 ≤ Alc. Bruta &lt; 5,0 mg/L",IF(Q410&lt;7.5,"5,0 ≤ Alc. Bruta &lt; 7,5 mg/L",IF(Q410&lt;10,"7,5 ≤ Alc. Bruta &lt; 10,0 mg/L",IF(Q410&lt;15,"10,0 ≤ Alca. Bruta &lt; 15,0 mg/L","Alc. Bruta &gt; 15 mg/L"))))))</f>
        <v>5,0 ≤ Alc. Bruta &lt; 7,5 mg/L</v>
      </c>
      <c r="BA410" s="136" t="str">
        <f>IF(P410="","",IF(P410&lt;5,"Cor &lt;5 uC",IF(P410&lt;10,"5 ≤ Cor &lt; 10 uC",IF(P410&lt;15,"10 ≤ Cor &lt;15 uC",IF(P410&lt;30,"15 ≤ Cor &lt; 30 uC",IF(P410&lt;50,"30 ≤ Cor &lt; 50 uC","Cor &gt; 50 uC"))))))</f>
        <v>5 ≤ Cor &lt; 10 uC</v>
      </c>
      <c r="BB410" s="137" t="str">
        <f>IF(O410="","",IF(O410&lt;2.5,"Turbidez &lt; 2,5 uT",IF(O410&lt;5,"2,5 ≤ Turb &lt; 5,0 uT",IF(O410&lt;7.5,"5,0 ≤ Turb &lt; 7,5 uT",IF(O410&lt;10,"7,5 ≤ Turb &lt; 10,0 uT",IF(O410&lt;15,"10,0 ≤ Turb &lt; 15,0 uT","Turb &gt; 15 uT"))))))</f>
        <v>Turbidez &lt; 2,5 uT</v>
      </c>
      <c r="BC410" s="138" t="str">
        <f>IF(AND(C410&gt;D410,D410&gt;E410),"TOR &gt; SM &gt; BNN",IF(AND(C410&gt;E410,E410&gt;D410),"TOR &gt; BNN &gt; SM",IF(AND(D410&gt;C410,C410&gt;E410),"SM &gt; TOR &gt; BNN",IF(AND(D410&gt;E410,E410&gt;C410),"SM &gt; BNN &gt; TOR",IF(AND(C410=D410,D410=E410),"TOR = SM = BNN","Comb. diferentes")))))</f>
        <v>SM &gt; BNN &gt; TOR</v>
      </c>
      <c r="BD410" s="137" t="str">
        <f>IF(OR(AE410="",AQ410="-"),"",IF(AE410&lt;=0.25,"Tipo 1 (≤0,25) uT",IF(AE410&lt;=0.5,"Tipo 2 (0,25-0,50) uT",IF(AE410&lt;=0.75,"Tipo 3 (0,50-0,75) uT","Tipo 4 (&gt;0,75) uT"))))</f>
        <v>Tipo 1 (≤0,25) uT</v>
      </c>
      <c r="BE410" s="137" t="str">
        <f t="shared" si="42"/>
        <v>Tipo 1 (≤0,25) uT</v>
      </c>
      <c r="BF410" s="137" t="str">
        <f>IF(OR(AF410="",AQ410="-"),"",IF(AF410&lt;=0.25,"Tipo 1 (≤0,25) uT",IF(AF410&lt;=0.5,"Tipo 2 (0,25-0,50) uT",IF(AF410&lt;=0.75,"Tipo 3 (0,50-0,75) uT","Tipo 4 (&gt;0,75) uT"))))</f>
        <v>Tipo 2 (0,25-0,50) uT</v>
      </c>
      <c r="BG410" s="137" t="str">
        <f t="shared" si="43"/>
        <v>Tipo 1 (≤0,25) uT</v>
      </c>
      <c r="BH410" s="137" t="str">
        <f>IF(OR(R410="",R410="-"),"",IF(R410&lt;=0.25,"Tipo 1 (≤0,25) uT",IF(R410&lt;=0.5,"Tipo 2 (0,25-0,50) uT",IF(R410&lt;=0.75,"Tipo 3 (0,50-0,75) uT","Tipo 4 (&gt;0,75) uT"))))</f>
        <v>Tipo 1 (≤0,25) uT</v>
      </c>
    </row>
    <row r="411" spans="1:60" ht="15" thickBot="1" x14ac:dyDescent="0.35">
      <c r="A411" s="74">
        <v>46304</v>
      </c>
      <c r="B411" s="139">
        <v>0.97916666666666663</v>
      </c>
      <c r="C411" s="118">
        <v>0</v>
      </c>
      <c r="D411" s="116">
        <v>2000</v>
      </c>
      <c r="E411" s="116">
        <v>200</v>
      </c>
      <c r="F411" s="116">
        <v>2315</v>
      </c>
      <c r="G411" s="144" t="s">
        <v>100</v>
      </c>
      <c r="H411" s="122">
        <v>9.5</v>
      </c>
      <c r="I411" s="116">
        <v>33</v>
      </c>
      <c r="J411" s="10">
        <v>90</v>
      </c>
      <c r="K411" s="116">
        <v>90</v>
      </c>
      <c r="L411" s="116">
        <v>90</v>
      </c>
      <c r="M411" s="122">
        <v>26.3</v>
      </c>
      <c r="N411" s="122">
        <v>6.5</v>
      </c>
      <c r="O411" s="79">
        <v>1.06</v>
      </c>
      <c r="P411" s="116">
        <v>9</v>
      </c>
      <c r="Q411" s="122">
        <v>6.1</v>
      </c>
      <c r="R411" s="10">
        <v>0.1</v>
      </c>
      <c r="S411" s="79">
        <v>22.36</v>
      </c>
      <c r="T411" s="79">
        <v>0.88</v>
      </c>
      <c r="U411" s="79">
        <v>0.7</v>
      </c>
      <c r="V411" s="85">
        <f t="shared" si="44"/>
        <v>1710.20625</v>
      </c>
      <c r="W411" s="85">
        <f t="shared" si="45"/>
        <v>1750.3931224</v>
      </c>
      <c r="X411" s="85">
        <f t="shared" si="46"/>
        <v>1.0234982607507137</v>
      </c>
      <c r="Y411" s="116">
        <v>3</v>
      </c>
      <c r="Z411" s="116">
        <v>4</v>
      </c>
      <c r="AA411" s="122">
        <v>6.2</v>
      </c>
      <c r="AB411" s="116">
        <v>23</v>
      </c>
      <c r="AC411" s="122">
        <v>6.2</v>
      </c>
      <c r="AD411" s="122">
        <v>4.5</v>
      </c>
      <c r="AE411" s="79">
        <v>0.14000000000000001</v>
      </c>
      <c r="AF411" s="79">
        <v>0.24</v>
      </c>
      <c r="AG411" s="85">
        <f>(O411+0.3*H411+2)*(F411/2/AK411)</f>
        <v>1710.20625</v>
      </c>
      <c r="AH411" s="85">
        <f t="shared" si="47"/>
        <v>1979.8438399999998</v>
      </c>
      <c r="AI411" s="85">
        <f t="shared" si="48"/>
        <v>1.1576637847043301</v>
      </c>
      <c r="AJ411" s="116">
        <v>3</v>
      </c>
      <c r="AK411" s="116">
        <v>4</v>
      </c>
      <c r="AL411" s="122">
        <v>6.4</v>
      </c>
      <c r="AM411" s="116">
        <v>25</v>
      </c>
      <c r="AN411" s="122">
        <v>6.2</v>
      </c>
      <c r="AO411" s="122">
        <v>4.9000000000000004</v>
      </c>
      <c r="AP411" s="79">
        <v>0.15</v>
      </c>
      <c r="AQ411" s="79">
        <v>0.16</v>
      </c>
      <c r="AR411" s="132">
        <f>SUM(C411:E411)</f>
        <v>2200</v>
      </c>
      <c r="AS411" s="134">
        <f>C411/AR411</f>
        <v>0</v>
      </c>
      <c r="AT411" s="134">
        <f>D411/AR411</f>
        <v>0.90909090909090906</v>
      </c>
      <c r="AU411" s="134">
        <f>E411/AR411</f>
        <v>9.0909090909090912E-2</v>
      </c>
      <c r="AV411" s="151">
        <f>IF(AND(F411&lt;&gt;"",Z411&lt;&gt;""),AB411/(F411/2/Z411),"")</f>
        <v>7.9481641468682501E-2</v>
      </c>
      <c r="AW411" s="151">
        <f>IF(AND(F411&lt;&gt;"",AK411&lt;&gt;""),AM411/(F411/2/AK411),"")</f>
        <v>8.6393088552915762E-2</v>
      </c>
      <c r="AX411" s="43">
        <f>IF(AND(AQ411&lt;&gt;"",1-(AQ411/O411)&gt;0),1-(AQ411/O411),"")</f>
        <v>0.84905660377358494</v>
      </c>
      <c r="AY411" s="41">
        <f>IF(AND(AF411&lt;&gt;"",1-(AF411/O411)&gt;0),1-(AF411/O411),"")</f>
        <v>0.77358490566037741</v>
      </c>
      <c r="AZ411" s="136" t="str">
        <f>IF(Q411="","",IF(Q411&lt;2.5,"Alc. Bruta &lt; 2,5 mg/L",IF(Q411&lt;5,"2,5 ≤ Alc. Bruta &lt; 5,0 mg/L",IF(Q411&lt;7.5,"5,0 ≤ Alc. Bruta &lt; 7,5 mg/L",IF(Q411&lt;10,"7,5 ≤ Alc. Bruta &lt; 10,0 mg/L",IF(Q411&lt;15,"10,0 ≤ Alca. Bruta &lt; 15,0 mg/L","Alc. Bruta &gt; 15 mg/L"))))))</f>
        <v>5,0 ≤ Alc. Bruta &lt; 7,5 mg/L</v>
      </c>
      <c r="BA411" s="136" t="str">
        <f>IF(P411="","",IF(P411&lt;5,"Cor &lt;5 uC",IF(P411&lt;10,"5 ≤ Cor &lt; 10 uC",IF(P411&lt;15,"10 ≤ Cor &lt;15 uC",IF(P411&lt;30,"15 ≤ Cor &lt; 30 uC",IF(P411&lt;50,"30 ≤ Cor &lt; 50 uC","Cor &gt; 50 uC"))))))</f>
        <v>5 ≤ Cor &lt; 10 uC</v>
      </c>
      <c r="BB411" s="137" t="str">
        <f>IF(O411="","",IF(O411&lt;2.5,"Turbidez &lt; 2,5 uT",IF(O411&lt;5,"2,5 ≤ Turb &lt; 5,0 uT",IF(O411&lt;7.5,"5,0 ≤ Turb &lt; 7,5 uT",IF(O411&lt;10,"7,5 ≤ Turb &lt; 10,0 uT",IF(O411&lt;15,"10,0 ≤ Turb &lt; 15,0 uT","Turb &gt; 15 uT"))))))</f>
        <v>Turbidez &lt; 2,5 uT</v>
      </c>
      <c r="BC411" s="138" t="str">
        <f>IF(AND(C411&gt;D411,D411&gt;E411),"TOR &gt; SM &gt; BNN",IF(AND(C411&gt;E411,E411&gt;D411),"TOR &gt; BNN &gt; SM",IF(AND(D411&gt;C411,C411&gt;E411),"SM &gt; TOR &gt; BNN",IF(AND(D411&gt;E411,E411&gt;C411),"SM &gt; BNN &gt; TOR",IF(AND(C411=D411,D411=E411),"TOR = SM = BNN","Comb. diferentes")))))</f>
        <v>SM &gt; BNN &gt; TOR</v>
      </c>
      <c r="BD411" s="137" t="str">
        <f>IF(OR(AE411="",AQ411="-"),"",IF(AE411&lt;=0.25,"Tipo 1 (≤0,25) uT",IF(AE411&lt;=0.5,"Tipo 2 (0,25-0,50) uT",IF(AE411&lt;=0.75,"Tipo 3 (0,50-0,75) uT","Tipo 4 (&gt;0,75) uT"))))</f>
        <v>Tipo 1 (≤0,25) uT</v>
      </c>
      <c r="BE411" s="137" t="str">
        <f t="shared" si="42"/>
        <v>Tipo 1 (≤0,25) uT</v>
      </c>
      <c r="BF411" s="137" t="str">
        <f>IF(OR(AF411="",AQ411="-"),"",IF(AF411&lt;=0.25,"Tipo 1 (≤0,25) uT",IF(AF411&lt;=0.5,"Tipo 2 (0,25-0,50) uT",IF(AF411&lt;=0.75,"Tipo 3 (0,50-0,75) uT","Tipo 4 (&gt;0,75) uT"))))</f>
        <v>Tipo 1 (≤0,25) uT</v>
      </c>
      <c r="BG411" s="137" t="str">
        <f t="shared" si="43"/>
        <v>Tipo 1 (≤0,25) uT</v>
      </c>
      <c r="BH411" s="137" t="str">
        <f>IF(OR(R411="",R411="-"),"",IF(R411&lt;=0.25,"Tipo 1 (≤0,25) uT",IF(R411&lt;=0.5,"Tipo 2 (0,25-0,50) uT",IF(R411&lt;=0.75,"Tipo 3 (0,50-0,75) uT","Tipo 4 (&gt;0,75) uT"))))</f>
        <v>Tipo 1 (≤0,25) uT</v>
      </c>
    </row>
    <row r="412" spans="1:60" ht="15" thickBot="1" x14ac:dyDescent="0.35">
      <c r="A412" s="74">
        <v>46305</v>
      </c>
      <c r="B412" s="139">
        <v>0.14583333333333334</v>
      </c>
      <c r="C412" s="118">
        <v>0</v>
      </c>
      <c r="D412" s="116">
        <v>2005</v>
      </c>
      <c r="E412" s="116">
        <v>200</v>
      </c>
      <c r="F412" s="116">
        <v>2300</v>
      </c>
      <c r="G412" s="144" t="s">
        <v>100</v>
      </c>
      <c r="H412" s="122">
        <v>9.5</v>
      </c>
      <c r="I412" s="116">
        <v>33</v>
      </c>
      <c r="J412" s="10">
        <v>90</v>
      </c>
      <c r="K412" s="116">
        <v>90</v>
      </c>
      <c r="L412" s="116">
        <v>90</v>
      </c>
      <c r="M412" s="122">
        <v>25.8</v>
      </c>
      <c r="N412" s="122">
        <v>6.6</v>
      </c>
      <c r="O412" s="79">
        <v>1.08</v>
      </c>
      <c r="P412" s="116">
        <v>11</v>
      </c>
      <c r="Q412" s="122">
        <v>5.9</v>
      </c>
      <c r="R412" s="10">
        <v>0.12</v>
      </c>
      <c r="S412" s="79">
        <v>22.36</v>
      </c>
      <c r="T412" s="79">
        <v>0.88</v>
      </c>
      <c r="U412" s="79">
        <v>0.7</v>
      </c>
      <c r="V412" s="85">
        <f t="shared" si="44"/>
        <v>1704.875</v>
      </c>
      <c r="W412" s="85">
        <f t="shared" si="45"/>
        <v>1714.8615171999998</v>
      </c>
      <c r="X412" s="85">
        <f t="shared" si="46"/>
        <v>1.0058576242833051</v>
      </c>
      <c r="Y412" s="116">
        <v>3</v>
      </c>
      <c r="Z412" s="116">
        <v>4</v>
      </c>
      <c r="AA412" s="122">
        <v>6.1</v>
      </c>
      <c r="AB412" s="116">
        <v>23</v>
      </c>
      <c r="AC412" s="122">
        <v>6.1</v>
      </c>
      <c r="AD412" s="122">
        <v>4.3</v>
      </c>
      <c r="AE412" s="79">
        <v>0.21</v>
      </c>
      <c r="AF412" s="79">
        <v>0.26</v>
      </c>
      <c r="AG412" s="85">
        <f>(O412+0.3*H412+2)*(F412/2/AK412)</f>
        <v>1704.875</v>
      </c>
      <c r="AH412" s="85">
        <f t="shared" si="47"/>
        <v>1979.8438399999998</v>
      </c>
      <c r="AI412" s="85">
        <f t="shared" si="48"/>
        <v>1.1612838712515579</v>
      </c>
      <c r="AJ412" s="116">
        <v>3</v>
      </c>
      <c r="AK412" s="116">
        <v>4</v>
      </c>
      <c r="AL412" s="122">
        <v>6.4</v>
      </c>
      <c r="AM412" s="116">
        <v>25</v>
      </c>
      <c r="AN412" s="122">
        <v>6.1</v>
      </c>
      <c r="AO412" s="122">
        <v>4.5</v>
      </c>
      <c r="AP412" s="79">
        <v>0.16</v>
      </c>
      <c r="AQ412" s="79">
        <v>0.15</v>
      </c>
      <c r="AR412" s="132">
        <f>SUM(C412:E412)</f>
        <v>2205</v>
      </c>
      <c r="AS412" s="134">
        <f>C412/AR412</f>
        <v>0</v>
      </c>
      <c r="AT412" s="134">
        <f>D412/AR412</f>
        <v>0.90929705215419498</v>
      </c>
      <c r="AU412" s="134">
        <f>E412/AR412</f>
        <v>9.0702947845804988E-2</v>
      </c>
      <c r="AV412" s="151">
        <f>IF(AND(F412&lt;&gt;"",Z412&lt;&gt;""),AB412/(F412/2/Z412),"")</f>
        <v>0.08</v>
      </c>
      <c r="AW412" s="151">
        <f>IF(AND(F412&lt;&gt;"",AK412&lt;&gt;""),AM412/(F412/2/AK412),"")</f>
        <v>8.6956521739130432E-2</v>
      </c>
      <c r="AX412" s="43">
        <f>IF(AND(AQ412&lt;&gt;"",1-(AQ412/O412)&gt;0),1-(AQ412/O412),"")</f>
        <v>0.86111111111111116</v>
      </c>
      <c r="AY412" s="41">
        <f>IF(AND(AF412&lt;&gt;"",1-(AF412/O412)&gt;0),1-(AF412/O412),"")</f>
        <v>0.7592592592592593</v>
      </c>
      <c r="AZ412" s="136" t="str">
        <f>IF(Q412="","",IF(Q412&lt;2.5,"Alc. Bruta &lt; 2,5 mg/L",IF(Q412&lt;5,"2,5 ≤ Alc. Bruta &lt; 5,0 mg/L",IF(Q412&lt;7.5,"5,0 ≤ Alc. Bruta &lt; 7,5 mg/L",IF(Q412&lt;10,"7,5 ≤ Alc. Bruta &lt; 10,0 mg/L",IF(Q412&lt;15,"10,0 ≤ Alca. Bruta &lt; 15,0 mg/L","Alc. Bruta &gt; 15 mg/L"))))))</f>
        <v>5,0 ≤ Alc. Bruta &lt; 7,5 mg/L</v>
      </c>
      <c r="BA412" s="136" t="str">
        <f>IF(P412="","",IF(P412&lt;5,"Cor &lt;5 uC",IF(P412&lt;10,"5 ≤ Cor &lt; 10 uC",IF(P412&lt;15,"10 ≤ Cor &lt;15 uC",IF(P412&lt;30,"15 ≤ Cor &lt; 30 uC",IF(P412&lt;50,"30 ≤ Cor &lt; 50 uC","Cor &gt; 50 uC"))))))</f>
        <v>10 ≤ Cor &lt;15 uC</v>
      </c>
      <c r="BB412" s="137" t="str">
        <f>IF(O412="","",IF(O412&lt;2.5,"Turbidez &lt; 2,5 uT",IF(O412&lt;5,"2,5 ≤ Turb &lt; 5,0 uT",IF(O412&lt;7.5,"5,0 ≤ Turb &lt; 7,5 uT",IF(O412&lt;10,"7,5 ≤ Turb &lt; 10,0 uT",IF(O412&lt;15,"10,0 ≤ Turb &lt; 15,0 uT","Turb &gt; 15 uT"))))))</f>
        <v>Turbidez &lt; 2,5 uT</v>
      </c>
      <c r="BC412" s="138" t="str">
        <f>IF(AND(C412&gt;D412,D412&gt;E412),"TOR &gt; SM &gt; BNN",IF(AND(C412&gt;E412,E412&gt;D412),"TOR &gt; BNN &gt; SM",IF(AND(D412&gt;C412,C412&gt;E412),"SM &gt; TOR &gt; BNN",IF(AND(D412&gt;E412,E412&gt;C412),"SM &gt; BNN &gt; TOR",IF(AND(C412=D412,D412=E412),"TOR = SM = BNN","Comb. diferentes")))))</f>
        <v>SM &gt; BNN &gt; TOR</v>
      </c>
      <c r="BD412" s="137" t="str">
        <f>IF(OR(AE412="",AQ412="-"),"",IF(AE412&lt;=0.25,"Tipo 1 (≤0,25) uT",IF(AE412&lt;=0.5,"Tipo 2 (0,25-0,50) uT",IF(AE412&lt;=0.75,"Tipo 3 (0,50-0,75) uT","Tipo 4 (&gt;0,75) uT"))))</f>
        <v>Tipo 1 (≤0,25) uT</v>
      </c>
      <c r="BE412" s="137" t="str">
        <f t="shared" si="42"/>
        <v>Tipo 1 (≤0,25) uT</v>
      </c>
      <c r="BF412" s="137" t="str">
        <f>IF(OR(AF412="",AQ412="-"),"",IF(AF412&lt;=0.25,"Tipo 1 (≤0,25) uT",IF(AF412&lt;=0.5,"Tipo 2 (0,25-0,50) uT",IF(AF412&lt;=0.75,"Tipo 3 (0,50-0,75) uT","Tipo 4 (&gt;0,75) uT"))))</f>
        <v>Tipo 2 (0,25-0,50) uT</v>
      </c>
      <c r="BG412" s="137" t="str">
        <f t="shared" si="43"/>
        <v>Tipo 1 (≤0,25) uT</v>
      </c>
      <c r="BH412" s="137" t="str">
        <f>IF(OR(R412="",R412="-"),"",IF(R412&lt;=0.25,"Tipo 1 (≤0,25) uT",IF(R412&lt;=0.5,"Tipo 2 (0,25-0,50) uT",IF(R412&lt;=0.75,"Tipo 3 (0,50-0,75) uT","Tipo 4 (&gt;0,75) uT"))))</f>
        <v>Tipo 1 (≤0,25) uT</v>
      </c>
    </row>
    <row r="413" spans="1:60" ht="15" thickBot="1" x14ac:dyDescent="0.35">
      <c r="A413" s="75">
        <v>46305</v>
      </c>
      <c r="B413" s="140">
        <v>0.22916666666666666</v>
      </c>
      <c r="C413" s="118">
        <v>0</v>
      </c>
      <c r="D413" s="117">
        <v>1552</v>
      </c>
      <c r="E413" s="117">
        <v>216</v>
      </c>
      <c r="F413" s="117">
        <v>1835</v>
      </c>
      <c r="G413" s="145" t="s">
        <v>100</v>
      </c>
      <c r="H413" s="123">
        <v>9.5</v>
      </c>
      <c r="I413" s="117">
        <v>33</v>
      </c>
      <c r="J413" s="11">
        <v>90</v>
      </c>
      <c r="K413" s="117">
        <v>90</v>
      </c>
      <c r="L413" s="117">
        <v>90</v>
      </c>
      <c r="M413" s="123">
        <v>25.5</v>
      </c>
      <c r="N413" s="123">
        <v>6.6</v>
      </c>
      <c r="O413" s="80">
        <v>1.05</v>
      </c>
      <c r="P413" s="117">
        <v>8</v>
      </c>
      <c r="Q413" s="123">
        <v>6</v>
      </c>
      <c r="R413" s="11">
        <v>0.14000000000000001</v>
      </c>
      <c r="S413" s="79">
        <v>22.36</v>
      </c>
      <c r="T413" s="79">
        <v>0.88</v>
      </c>
      <c r="U413" s="79">
        <v>0.7</v>
      </c>
      <c r="V413" s="85">
        <f t="shared" si="44"/>
        <v>1804.4166666666667</v>
      </c>
      <c r="W413" s="85">
        <f t="shared" si="45"/>
        <v>1750.3931224</v>
      </c>
      <c r="X413" s="85">
        <f t="shared" si="46"/>
        <v>0.97006038280145934</v>
      </c>
      <c r="Y413" s="117">
        <v>3</v>
      </c>
      <c r="Z413" s="117">
        <v>3</v>
      </c>
      <c r="AA413" s="123">
        <v>6.2</v>
      </c>
      <c r="AB413" s="117">
        <v>23</v>
      </c>
      <c r="AC413" s="123">
        <v>6.4</v>
      </c>
      <c r="AD413" s="123">
        <v>4.3</v>
      </c>
      <c r="AE413" s="80">
        <v>0.27</v>
      </c>
      <c r="AF413" s="80">
        <v>0.17</v>
      </c>
      <c r="AG413" s="85">
        <f>(O413+0.3*H413+2)*(F413/2/AK413)</f>
        <v>1353.3125</v>
      </c>
      <c r="AH413" s="85">
        <f t="shared" si="47"/>
        <v>1979.8438399999998</v>
      </c>
      <c r="AI413" s="85">
        <f t="shared" si="48"/>
        <v>1.4629613189858217</v>
      </c>
      <c r="AJ413" s="117">
        <v>3</v>
      </c>
      <c r="AK413" s="117">
        <v>4</v>
      </c>
      <c r="AL413" s="123">
        <v>6.4</v>
      </c>
      <c r="AM413" s="117">
        <v>25</v>
      </c>
      <c r="AN413" s="123">
        <v>6.4</v>
      </c>
      <c r="AO413" s="123">
        <v>4.7</v>
      </c>
      <c r="AP413" s="80">
        <v>0.25</v>
      </c>
      <c r="AQ413" s="80">
        <v>0.23</v>
      </c>
      <c r="AR413" s="132">
        <f>SUM(C413:E413)</f>
        <v>1768</v>
      </c>
      <c r="AS413" s="134">
        <f>C413/AR413</f>
        <v>0</v>
      </c>
      <c r="AT413" s="134">
        <f>D413/AR413</f>
        <v>0.87782805429864252</v>
      </c>
      <c r="AU413" s="134">
        <f>E413/AR413</f>
        <v>0.12217194570135746</v>
      </c>
      <c r="AV413" s="151">
        <f>IF(AND(F413&lt;&gt;"",Z413&lt;&gt;""),AB413/(F413/2/Z413),"")</f>
        <v>7.5204359673024523E-2</v>
      </c>
      <c r="AW413" s="151">
        <f>IF(AND(F413&lt;&gt;"",AK413&lt;&gt;""),AM413/(F413/2/AK413),"")</f>
        <v>0.10899182561307902</v>
      </c>
      <c r="AX413" s="43">
        <f>IF(AND(AQ413&lt;&gt;"",1-(AQ413/O413)&gt;0),1-(AQ413/O413),"")</f>
        <v>0.78095238095238095</v>
      </c>
      <c r="AY413" s="41">
        <f>IF(AND(AF413&lt;&gt;"",1-(AF413/O413)&gt;0),1-(AF413/O413),"")</f>
        <v>0.83809523809523812</v>
      </c>
      <c r="AZ413" s="136" t="str">
        <f>IF(Q413="","",IF(Q413&lt;2.5,"Alc. Bruta &lt; 2,5 mg/L",IF(Q413&lt;5,"2,5 ≤ Alc. Bruta &lt; 5,0 mg/L",IF(Q413&lt;7.5,"5,0 ≤ Alc. Bruta &lt; 7,5 mg/L",IF(Q413&lt;10,"7,5 ≤ Alc. Bruta &lt; 10,0 mg/L",IF(Q413&lt;15,"10,0 ≤ Alca. Bruta &lt; 15,0 mg/L","Alc. Bruta &gt; 15 mg/L"))))))</f>
        <v>5,0 ≤ Alc. Bruta &lt; 7,5 mg/L</v>
      </c>
      <c r="BA413" s="136" t="str">
        <f>IF(P413="","",IF(P413&lt;5,"Cor &lt;5 uC",IF(P413&lt;10,"5 ≤ Cor &lt; 10 uC",IF(P413&lt;15,"10 ≤ Cor &lt;15 uC",IF(P413&lt;30,"15 ≤ Cor &lt; 30 uC",IF(P413&lt;50,"30 ≤ Cor &lt; 50 uC","Cor &gt; 50 uC"))))))</f>
        <v>5 ≤ Cor &lt; 10 uC</v>
      </c>
      <c r="BB413" s="137" t="str">
        <f>IF(O413="","",IF(O413&lt;2.5,"Turbidez &lt; 2,5 uT",IF(O413&lt;5,"2,5 ≤ Turb &lt; 5,0 uT",IF(O413&lt;7.5,"5,0 ≤ Turb &lt; 7,5 uT",IF(O413&lt;10,"7,5 ≤ Turb &lt; 10,0 uT",IF(O413&lt;15,"10,0 ≤ Turb &lt; 15,0 uT","Turb &gt; 15 uT"))))))</f>
        <v>Turbidez &lt; 2,5 uT</v>
      </c>
      <c r="BC413" s="138" t="str">
        <f>IF(AND(C413&gt;D413,D413&gt;E413),"TOR &gt; SM &gt; BNN",IF(AND(C413&gt;E413,E413&gt;D413),"TOR &gt; BNN &gt; SM",IF(AND(D413&gt;C413,C413&gt;E413),"SM &gt; TOR &gt; BNN",IF(AND(D413&gt;E413,E413&gt;C413),"SM &gt; BNN &gt; TOR",IF(AND(C413=D413,D413=E413),"TOR = SM = BNN","Comb. diferentes")))))</f>
        <v>SM &gt; BNN &gt; TOR</v>
      </c>
      <c r="BD413" s="137" t="str">
        <f>IF(OR(AE413="",AQ413="-"),"",IF(AE413&lt;=0.25,"Tipo 1 (≤0,25) uT",IF(AE413&lt;=0.5,"Tipo 2 (0,25-0,50) uT",IF(AE413&lt;=0.75,"Tipo 3 (0,50-0,75) uT","Tipo 4 (&gt;0,75) uT"))))</f>
        <v>Tipo 2 (0,25-0,50) uT</v>
      </c>
      <c r="BE413" s="137" t="str">
        <f t="shared" si="42"/>
        <v>Tipo 1 (≤0,25) uT</v>
      </c>
      <c r="BF413" s="137" t="str">
        <f>IF(OR(AF413="",AQ413="-"),"",IF(AF413&lt;=0.25,"Tipo 1 (≤0,25) uT",IF(AF413&lt;=0.5,"Tipo 2 (0,25-0,50) uT",IF(AF413&lt;=0.75,"Tipo 3 (0,50-0,75) uT","Tipo 4 (&gt;0,75) uT"))))</f>
        <v>Tipo 1 (≤0,25) uT</v>
      </c>
      <c r="BG413" s="137" t="str">
        <f t="shared" si="43"/>
        <v>Tipo 1 (≤0,25) uT</v>
      </c>
      <c r="BH413" s="137" t="str">
        <f>IF(OR(R413="",R413="-"),"",IF(R413&lt;=0.25,"Tipo 1 (≤0,25) uT",IF(R413&lt;=0.5,"Tipo 2 (0,25-0,50) uT",IF(R413&lt;=0.75,"Tipo 3 (0,50-0,75) uT","Tipo 4 (&gt;0,75) uT"))))</f>
        <v>Tipo 1 (≤0,25) uT</v>
      </c>
    </row>
    <row r="414" spans="1:60" x14ac:dyDescent="0.3">
      <c r="A414" s="74">
        <v>46305</v>
      </c>
      <c r="B414" s="139">
        <v>0.39583333333333331</v>
      </c>
      <c r="C414" s="116">
        <v>0</v>
      </c>
      <c r="D414" s="116">
        <v>2026</v>
      </c>
      <c r="E414" s="116">
        <v>250</v>
      </c>
      <c r="F414" s="116">
        <v>2218</v>
      </c>
      <c r="G414" s="144" t="s">
        <v>100</v>
      </c>
      <c r="H414" s="122">
        <v>9.5</v>
      </c>
      <c r="I414" s="116">
        <v>33</v>
      </c>
      <c r="J414" s="10">
        <v>90</v>
      </c>
      <c r="K414" s="116">
        <v>90</v>
      </c>
      <c r="L414" s="116">
        <v>90</v>
      </c>
      <c r="M414" s="122">
        <v>26.1</v>
      </c>
      <c r="N414" s="122">
        <v>6.5</v>
      </c>
      <c r="O414" s="79">
        <v>1.35</v>
      </c>
      <c r="P414" s="116">
        <v>13</v>
      </c>
      <c r="Q414" s="122">
        <v>7.5</v>
      </c>
      <c r="R414" s="10">
        <v>0.15</v>
      </c>
      <c r="S414" s="79">
        <v>22.36</v>
      </c>
      <c r="T414" s="79">
        <v>0.88</v>
      </c>
      <c r="U414" s="79">
        <v>0.7</v>
      </c>
      <c r="V414" s="85">
        <f t="shared" si="44"/>
        <v>1718.95</v>
      </c>
      <c r="W414" s="85">
        <f t="shared" si="45"/>
        <v>1640.3023207999997</v>
      </c>
      <c r="X414" s="85">
        <f t="shared" si="46"/>
        <v>0.95424667430698951</v>
      </c>
      <c r="Y414" s="116">
        <v>3</v>
      </c>
      <c r="Z414" s="116">
        <v>4</v>
      </c>
      <c r="AA414" s="122">
        <v>6.1</v>
      </c>
      <c r="AB414" s="116">
        <v>22</v>
      </c>
      <c r="AC414" s="122">
        <v>6.4</v>
      </c>
      <c r="AD414" s="122">
        <v>5.5</v>
      </c>
      <c r="AE414" s="79">
        <v>0.16</v>
      </c>
      <c r="AF414" s="79">
        <v>0.11</v>
      </c>
      <c r="AG414" s="85">
        <f>(O414+0.3*H414+2)*(F414/2/AK414)</f>
        <v>1718.95</v>
      </c>
      <c r="AH414" s="85">
        <f t="shared" si="47"/>
        <v>1900.6500864</v>
      </c>
      <c r="AI414" s="85">
        <f t="shared" si="48"/>
        <v>1.1057041137903953</v>
      </c>
      <c r="AJ414" s="116">
        <v>3</v>
      </c>
      <c r="AK414" s="116">
        <v>4</v>
      </c>
      <c r="AL414" s="122">
        <v>6.4</v>
      </c>
      <c r="AM414" s="116">
        <v>24</v>
      </c>
      <c r="AN414" s="122">
        <v>6.3</v>
      </c>
      <c r="AO414" s="122">
        <v>6.6</v>
      </c>
      <c r="AP414" s="79">
        <v>0.14000000000000001</v>
      </c>
      <c r="AQ414" s="79">
        <v>0.12</v>
      </c>
      <c r="AR414" s="132">
        <f>SUM(C414:E414)</f>
        <v>2276</v>
      </c>
      <c r="AS414" s="134">
        <f>C414/AR414</f>
        <v>0</v>
      </c>
      <c r="AT414" s="134">
        <f>D414/AR414</f>
        <v>0.8901581722319859</v>
      </c>
      <c r="AU414" s="134">
        <f>E414/AR414</f>
        <v>0.10984182776801406</v>
      </c>
      <c r="AV414" s="151">
        <f>IF(AND(F414&lt;&gt;"",Z414&lt;&gt;""),AB414/(F414/2/Z414),"")</f>
        <v>7.9350766456266902E-2</v>
      </c>
      <c r="AW414" s="151">
        <f>IF(AND(F414&lt;&gt;"",AK414&lt;&gt;""),AM414/(F414/2/AK414),"")</f>
        <v>8.6564472497745723E-2</v>
      </c>
      <c r="AX414" s="43">
        <f>IF(AND(AQ414&lt;&gt;"",1-(AQ414/O414)&gt;0),1-(AQ414/O414),"")</f>
        <v>0.91111111111111109</v>
      </c>
      <c r="AY414" s="41">
        <f>IF(AND(AF414&lt;&gt;"",1-(AF414/O414)&gt;0),1-(AF414/O414),"")</f>
        <v>0.91851851851851851</v>
      </c>
      <c r="AZ414" s="136" t="str">
        <f>IF(Q414="","",IF(Q414&lt;2.5,"Alc. Bruta &lt; 2,5 mg/L",IF(Q414&lt;5,"2,5 ≤ Alc. Bruta &lt; 5,0 mg/L",IF(Q414&lt;7.5,"5,0 ≤ Alc. Bruta &lt; 7,5 mg/L",IF(Q414&lt;10,"7,5 ≤ Alc. Bruta &lt; 10,0 mg/L",IF(Q414&lt;15,"10,0 ≤ Alca. Bruta &lt; 15,0 mg/L","Alc. Bruta &gt; 15 mg/L"))))))</f>
        <v>7,5 ≤ Alc. Bruta &lt; 10,0 mg/L</v>
      </c>
      <c r="BA414" s="136" t="str">
        <f>IF(P414="","",IF(P414&lt;5,"Cor &lt;5 uC",IF(P414&lt;10,"5 ≤ Cor &lt; 10 uC",IF(P414&lt;15,"10 ≤ Cor &lt;15 uC",IF(P414&lt;30,"15 ≤ Cor &lt; 30 uC",IF(P414&lt;50,"30 ≤ Cor &lt; 50 uC","Cor &gt; 50 uC"))))))</f>
        <v>10 ≤ Cor &lt;15 uC</v>
      </c>
      <c r="BB414" s="137" t="str">
        <f>IF(O414="","",IF(O414&lt;2.5,"Turbidez &lt; 2,5 uT",IF(O414&lt;5,"2,5 ≤ Turb &lt; 5,0 uT",IF(O414&lt;7.5,"5,0 ≤ Turb &lt; 7,5 uT",IF(O414&lt;10,"7,5 ≤ Turb &lt; 10,0 uT",IF(O414&lt;15,"10,0 ≤ Turb &lt; 15,0 uT","Turb &gt; 15 uT"))))))</f>
        <v>Turbidez &lt; 2,5 uT</v>
      </c>
      <c r="BC414" s="138" t="str">
        <f>IF(AND(C414&gt;D414,D414&gt;E414),"TOR &gt; SM &gt; BNN",IF(AND(C414&gt;E414,E414&gt;D414),"TOR &gt; BNN &gt; SM",IF(AND(D414&gt;C414,C414&gt;E414),"SM &gt; TOR &gt; BNN",IF(AND(D414&gt;E414,E414&gt;C414),"SM &gt; BNN &gt; TOR",IF(AND(C414=D414,D414=E414),"TOR = SM = BNN","Comb. diferentes")))))</f>
        <v>SM &gt; BNN &gt; TOR</v>
      </c>
      <c r="BD414" s="137" t="str">
        <f>IF(OR(AE414="",AQ414="-"),"",IF(AE414&lt;=0.25,"Tipo 1 (≤0,25) uT",IF(AE414&lt;=0.5,"Tipo 2 (0,25-0,50) uT",IF(AE414&lt;=0.75,"Tipo 3 (0,50-0,75) uT","Tipo 4 (&gt;0,75) uT"))))</f>
        <v>Tipo 1 (≤0,25) uT</v>
      </c>
      <c r="BE414" s="137" t="str">
        <f t="shared" si="42"/>
        <v>Tipo 1 (≤0,25) uT</v>
      </c>
      <c r="BF414" s="137" t="str">
        <f>IF(OR(AF414="",AQ414="-"),"",IF(AF414&lt;=0.25,"Tipo 1 (≤0,25) uT",IF(AF414&lt;=0.5,"Tipo 2 (0,25-0,50) uT",IF(AF414&lt;=0.75,"Tipo 3 (0,50-0,75) uT","Tipo 4 (&gt;0,75) uT"))))</f>
        <v>Tipo 1 (≤0,25) uT</v>
      </c>
      <c r="BG414" s="137" t="str">
        <f t="shared" si="43"/>
        <v>Tipo 1 (≤0,25) uT</v>
      </c>
      <c r="BH414" s="137" t="str">
        <f>IF(OR(R414="",R414="-"),"",IF(R414&lt;=0.25,"Tipo 1 (≤0,25) uT",IF(R414&lt;=0.5,"Tipo 2 (0,25-0,50) uT",IF(R414&lt;=0.75,"Tipo 3 (0,50-0,75) uT","Tipo 4 (&gt;0,75) uT"))))</f>
        <v>Tipo 1 (≤0,25) uT</v>
      </c>
    </row>
    <row r="415" spans="1:60" x14ac:dyDescent="0.3">
      <c r="A415" s="74">
        <v>46305</v>
      </c>
      <c r="B415" s="139">
        <v>0.47916666666666669</v>
      </c>
      <c r="C415" s="116">
        <v>0</v>
      </c>
      <c r="D415" s="116">
        <v>1978</v>
      </c>
      <c r="E415" s="116">
        <v>250</v>
      </c>
      <c r="F415" s="116">
        <v>2228</v>
      </c>
      <c r="G415" s="144" t="s">
        <v>100</v>
      </c>
      <c r="H415" s="122">
        <v>9.5</v>
      </c>
      <c r="I415" s="116">
        <v>33</v>
      </c>
      <c r="J415" s="10">
        <v>90</v>
      </c>
      <c r="K415" s="116">
        <v>90</v>
      </c>
      <c r="L415" s="116">
        <v>90</v>
      </c>
      <c r="M415" s="122">
        <v>27.4</v>
      </c>
      <c r="N415" s="122">
        <v>6.5</v>
      </c>
      <c r="O415" s="79">
        <v>1.31</v>
      </c>
      <c r="P415" s="116">
        <v>11</v>
      </c>
      <c r="Q415" s="122">
        <v>7.7</v>
      </c>
      <c r="R415" s="10">
        <v>0.14000000000000001</v>
      </c>
      <c r="S415" s="79">
        <v>22.36</v>
      </c>
      <c r="T415" s="79">
        <v>0.88</v>
      </c>
      <c r="U415" s="79">
        <v>0.7</v>
      </c>
      <c r="V415" s="85">
        <f t="shared" si="44"/>
        <v>1715.56</v>
      </c>
      <c r="W415" s="85">
        <f t="shared" si="45"/>
        <v>1640.3023207999997</v>
      </c>
      <c r="X415" s="85">
        <f t="shared" si="46"/>
        <v>0.95613229546037437</v>
      </c>
      <c r="Y415" s="116">
        <v>3</v>
      </c>
      <c r="Z415" s="116">
        <v>4</v>
      </c>
      <c r="AA415" s="122">
        <v>6.1</v>
      </c>
      <c r="AB415" s="116">
        <v>22</v>
      </c>
      <c r="AC415" s="122">
        <v>6.3</v>
      </c>
      <c r="AD415" s="122">
        <v>5.5</v>
      </c>
      <c r="AE415" s="79">
        <v>0.15</v>
      </c>
      <c r="AF415" s="79">
        <v>0.11</v>
      </c>
      <c r="AG415" s="85">
        <f>(O415+0.3*H415+2)*(F415/2/AK415)</f>
        <v>1715.56</v>
      </c>
      <c r="AH415" s="85">
        <f t="shared" si="47"/>
        <v>1900.6500864</v>
      </c>
      <c r="AI415" s="85">
        <f t="shared" si="48"/>
        <v>1.1078890195621256</v>
      </c>
      <c r="AJ415" s="116">
        <v>3</v>
      </c>
      <c r="AK415" s="116">
        <v>4</v>
      </c>
      <c r="AL415" s="122">
        <v>6.4</v>
      </c>
      <c r="AM415" s="116">
        <v>24</v>
      </c>
      <c r="AN415" s="122">
        <v>6.2</v>
      </c>
      <c r="AO415" s="122">
        <v>6.2</v>
      </c>
      <c r="AP415" s="79">
        <v>0.15</v>
      </c>
      <c r="AQ415" s="79">
        <v>0.13</v>
      </c>
      <c r="AR415" s="132">
        <f>SUM(C415:E415)</f>
        <v>2228</v>
      </c>
      <c r="AS415" s="134">
        <f>C415/AR415</f>
        <v>0</v>
      </c>
      <c r="AT415" s="134">
        <f>D415/AR415</f>
        <v>0.88779174147217232</v>
      </c>
      <c r="AU415" s="134">
        <f>E415/AR415</f>
        <v>0.11220825852782765</v>
      </c>
      <c r="AV415" s="151">
        <f>IF(AND(F415&lt;&gt;"",Z415&lt;&gt;""),AB415/(F415/2/Z415),"")</f>
        <v>7.899461400359066E-2</v>
      </c>
      <c r="AW415" s="151">
        <f>IF(AND(F415&lt;&gt;"",AK415&lt;&gt;""),AM415/(F415/2/AK415),"")</f>
        <v>8.6175942549371637E-2</v>
      </c>
      <c r="AX415" s="43">
        <f>IF(AND(AQ415&lt;&gt;"",1-(AQ415/O415)&gt;0),1-(AQ415/O415),"")</f>
        <v>0.9007633587786259</v>
      </c>
      <c r="AY415" s="41">
        <f>IF(AND(AF415&lt;&gt;"",1-(AF415/O415)&gt;0),1-(AF415/O415),"")</f>
        <v>0.91603053435114501</v>
      </c>
      <c r="AZ415" s="136" t="str">
        <f>IF(Q415="","",IF(Q415&lt;2.5,"Alc. Bruta &lt; 2,5 mg/L",IF(Q415&lt;5,"2,5 ≤ Alc. Bruta &lt; 5,0 mg/L",IF(Q415&lt;7.5,"5,0 ≤ Alc. Bruta &lt; 7,5 mg/L",IF(Q415&lt;10,"7,5 ≤ Alc. Bruta &lt; 10,0 mg/L",IF(Q415&lt;15,"10,0 ≤ Alca. Bruta &lt; 15,0 mg/L","Alc. Bruta &gt; 15 mg/L"))))))</f>
        <v>7,5 ≤ Alc. Bruta &lt; 10,0 mg/L</v>
      </c>
      <c r="BA415" s="136" t="str">
        <f>IF(P415="","",IF(P415&lt;5,"Cor &lt;5 uC",IF(P415&lt;10,"5 ≤ Cor &lt; 10 uC",IF(P415&lt;15,"10 ≤ Cor &lt;15 uC",IF(P415&lt;30,"15 ≤ Cor &lt; 30 uC",IF(P415&lt;50,"30 ≤ Cor &lt; 50 uC","Cor &gt; 50 uC"))))))</f>
        <v>10 ≤ Cor &lt;15 uC</v>
      </c>
      <c r="BB415" s="137" t="str">
        <f>IF(O415="","",IF(O415&lt;2.5,"Turbidez &lt; 2,5 uT",IF(O415&lt;5,"2,5 ≤ Turb &lt; 5,0 uT",IF(O415&lt;7.5,"5,0 ≤ Turb &lt; 7,5 uT",IF(O415&lt;10,"7,5 ≤ Turb &lt; 10,0 uT",IF(O415&lt;15,"10,0 ≤ Turb &lt; 15,0 uT","Turb &gt; 15 uT"))))))</f>
        <v>Turbidez &lt; 2,5 uT</v>
      </c>
      <c r="BC415" s="138" t="str">
        <f>IF(AND(C415&gt;D415,D415&gt;E415),"TOR &gt; SM &gt; BNN",IF(AND(C415&gt;E415,E415&gt;D415),"TOR &gt; BNN &gt; SM",IF(AND(D415&gt;C415,C415&gt;E415),"SM &gt; TOR &gt; BNN",IF(AND(D415&gt;E415,E415&gt;C415),"SM &gt; BNN &gt; TOR",IF(AND(C415=D415,D415=E415),"TOR = SM = BNN","Comb. diferentes")))))</f>
        <v>SM &gt; BNN &gt; TOR</v>
      </c>
      <c r="BD415" s="137" t="str">
        <f>IF(OR(AE415="",AQ415="-"),"",IF(AE415&lt;=0.25,"Tipo 1 (≤0,25) uT",IF(AE415&lt;=0.5,"Tipo 2 (0,25-0,50) uT",IF(AE415&lt;=0.75,"Tipo 3 (0,50-0,75) uT","Tipo 4 (&gt;0,75) uT"))))</f>
        <v>Tipo 1 (≤0,25) uT</v>
      </c>
      <c r="BE415" s="137" t="str">
        <f t="shared" si="42"/>
        <v>Tipo 1 (≤0,25) uT</v>
      </c>
      <c r="BF415" s="137" t="str">
        <f>IF(OR(AF415="",AQ415="-"),"",IF(AF415&lt;=0.25,"Tipo 1 (≤0,25) uT",IF(AF415&lt;=0.5,"Tipo 2 (0,25-0,50) uT",IF(AF415&lt;=0.75,"Tipo 3 (0,50-0,75) uT","Tipo 4 (&gt;0,75) uT"))))</f>
        <v>Tipo 1 (≤0,25) uT</v>
      </c>
      <c r="BG415" s="137" t="str">
        <f t="shared" si="43"/>
        <v>Tipo 1 (≤0,25) uT</v>
      </c>
      <c r="BH415" s="137" t="str">
        <f>IF(OR(R415="",R415="-"),"",IF(R415&lt;=0.25,"Tipo 1 (≤0,25) uT",IF(R415&lt;=0.5,"Tipo 2 (0,25-0,50) uT",IF(R415&lt;=0.75,"Tipo 3 (0,50-0,75) uT","Tipo 4 (&gt;0,75) uT"))))</f>
        <v>Tipo 1 (≤0,25) uT</v>
      </c>
    </row>
    <row r="416" spans="1:60" x14ac:dyDescent="0.3">
      <c r="A416" s="74">
        <v>46305</v>
      </c>
      <c r="B416" s="139">
        <v>0.64583333333333337</v>
      </c>
      <c r="C416" s="116">
        <v>0</v>
      </c>
      <c r="D416" s="116">
        <v>2011</v>
      </c>
      <c r="E416" s="116">
        <v>249</v>
      </c>
      <c r="F416" s="116">
        <v>2227</v>
      </c>
      <c r="G416" s="144" t="s">
        <v>100</v>
      </c>
      <c r="H416" s="122">
        <v>9.5</v>
      </c>
      <c r="I416" s="116">
        <v>33</v>
      </c>
      <c r="J416" s="10">
        <v>90</v>
      </c>
      <c r="K416" s="116">
        <v>90</v>
      </c>
      <c r="L416" s="116">
        <v>90</v>
      </c>
      <c r="M416" s="122">
        <v>27</v>
      </c>
      <c r="N416" s="122">
        <v>6.6</v>
      </c>
      <c r="O416" s="79">
        <v>1.0900000000000001</v>
      </c>
      <c r="P416" s="116">
        <v>9</v>
      </c>
      <c r="Q416" s="122">
        <v>6.9</v>
      </c>
      <c r="R416" s="10">
        <v>0.14000000000000001</v>
      </c>
      <c r="S416" s="79">
        <v>22.36</v>
      </c>
      <c r="T416" s="79">
        <v>0.88</v>
      </c>
      <c r="U416" s="79">
        <v>0.7</v>
      </c>
      <c r="V416" s="85">
        <f t="shared" si="44"/>
        <v>1653.5475000000001</v>
      </c>
      <c r="W416" s="85">
        <f t="shared" si="45"/>
        <v>1565.7431243999997</v>
      </c>
      <c r="X416" s="85">
        <f t="shared" si="46"/>
        <v>0.94689939321368122</v>
      </c>
      <c r="Y416" s="116">
        <v>3</v>
      </c>
      <c r="Z416" s="116">
        <v>4</v>
      </c>
      <c r="AA416" s="122">
        <v>6.1</v>
      </c>
      <c r="AB416" s="116">
        <v>21</v>
      </c>
      <c r="AC416" s="122">
        <v>6.2</v>
      </c>
      <c r="AD416" s="122">
        <v>4.8</v>
      </c>
      <c r="AE416" s="79">
        <v>0.09</v>
      </c>
      <c r="AF416" s="79">
        <v>0.11</v>
      </c>
      <c r="AG416" s="85">
        <f>(O416+0.3*H416+2)*(F416/2/AK416)</f>
        <v>1653.5475000000001</v>
      </c>
      <c r="AH416" s="85">
        <f t="shared" si="47"/>
        <v>1821.4563327999999</v>
      </c>
      <c r="AI416" s="85">
        <f t="shared" si="48"/>
        <v>1.1015446080623628</v>
      </c>
      <c r="AJ416" s="116">
        <v>3</v>
      </c>
      <c r="AK416" s="116">
        <v>4</v>
      </c>
      <c r="AL416" s="122">
        <v>6.4</v>
      </c>
      <c r="AM416" s="116">
        <v>23</v>
      </c>
      <c r="AN416" s="122">
        <v>6.2</v>
      </c>
      <c r="AO416" s="122">
        <v>4.3</v>
      </c>
      <c r="AP416" s="79">
        <v>0.14000000000000001</v>
      </c>
      <c r="AQ416" s="79">
        <v>0.14000000000000001</v>
      </c>
      <c r="AR416" s="132">
        <f>SUM(C416:E416)</f>
        <v>2260</v>
      </c>
      <c r="AS416" s="134">
        <f>C416/AR416</f>
        <v>0</v>
      </c>
      <c r="AT416" s="134">
        <f>D416/AR416</f>
        <v>0.88982300884955756</v>
      </c>
      <c r="AU416" s="134">
        <f>E416/AR416</f>
        <v>0.11017699115044248</v>
      </c>
      <c r="AV416" s="151">
        <f>IF(AND(F416&lt;&gt;"",Z416&lt;&gt;""),AB416/(F416/2/Z416),"")</f>
        <v>7.5437808711270773E-2</v>
      </c>
      <c r="AW416" s="151">
        <f>IF(AND(F416&lt;&gt;"",AK416&lt;&gt;""),AM416/(F416/2/AK416),"")</f>
        <v>8.262236192186799E-2</v>
      </c>
      <c r="AX416" s="43">
        <f>IF(AND(AQ416&lt;&gt;"",1-(AQ416/O416)&gt;0),1-(AQ416/O416),"")</f>
        <v>0.87155963302752293</v>
      </c>
      <c r="AY416" s="41">
        <f>IF(AND(AF416&lt;&gt;"",1-(AF416/O416)&gt;0),1-(AF416/O416),"")</f>
        <v>0.8990825688073395</v>
      </c>
      <c r="AZ416" s="136" t="str">
        <f>IF(Q416="","",IF(Q416&lt;2.5,"Alc. Bruta &lt; 2,5 mg/L",IF(Q416&lt;5,"2,5 ≤ Alc. Bruta &lt; 5,0 mg/L",IF(Q416&lt;7.5,"5,0 ≤ Alc. Bruta &lt; 7,5 mg/L",IF(Q416&lt;10,"7,5 ≤ Alc. Bruta &lt; 10,0 mg/L",IF(Q416&lt;15,"10,0 ≤ Alca. Bruta &lt; 15,0 mg/L","Alc. Bruta &gt; 15 mg/L"))))))</f>
        <v>5,0 ≤ Alc. Bruta &lt; 7,5 mg/L</v>
      </c>
      <c r="BA416" s="136" t="str">
        <f>IF(P416="","",IF(P416&lt;5,"Cor &lt;5 uC",IF(P416&lt;10,"5 ≤ Cor &lt; 10 uC",IF(P416&lt;15,"10 ≤ Cor &lt;15 uC",IF(P416&lt;30,"15 ≤ Cor &lt; 30 uC",IF(P416&lt;50,"30 ≤ Cor &lt; 50 uC","Cor &gt; 50 uC"))))))</f>
        <v>5 ≤ Cor &lt; 10 uC</v>
      </c>
      <c r="BB416" s="137" t="str">
        <f>IF(O416="","",IF(O416&lt;2.5,"Turbidez &lt; 2,5 uT",IF(O416&lt;5,"2,5 ≤ Turb &lt; 5,0 uT",IF(O416&lt;7.5,"5,0 ≤ Turb &lt; 7,5 uT",IF(O416&lt;10,"7,5 ≤ Turb &lt; 10,0 uT",IF(O416&lt;15,"10,0 ≤ Turb &lt; 15,0 uT","Turb &gt; 15 uT"))))))</f>
        <v>Turbidez &lt; 2,5 uT</v>
      </c>
      <c r="BC416" s="138" t="str">
        <f>IF(AND(C416&gt;D416,D416&gt;E416),"TOR &gt; SM &gt; BNN",IF(AND(C416&gt;E416,E416&gt;D416),"TOR &gt; BNN &gt; SM",IF(AND(D416&gt;C416,C416&gt;E416),"SM &gt; TOR &gt; BNN",IF(AND(D416&gt;E416,E416&gt;C416),"SM &gt; BNN &gt; TOR",IF(AND(C416=D416,D416=E416),"TOR = SM = BNN","Comb. diferentes")))))</f>
        <v>SM &gt; BNN &gt; TOR</v>
      </c>
      <c r="BD416" s="137" t="str">
        <f>IF(OR(AE416="",AQ416="-"),"",IF(AE416&lt;=0.25,"Tipo 1 (≤0,25) uT",IF(AE416&lt;=0.5,"Tipo 2 (0,25-0,50) uT",IF(AE416&lt;=0.75,"Tipo 3 (0,50-0,75) uT","Tipo 4 (&gt;0,75) uT"))))</f>
        <v>Tipo 1 (≤0,25) uT</v>
      </c>
      <c r="BE416" s="137" t="str">
        <f t="shared" si="42"/>
        <v>Tipo 1 (≤0,25) uT</v>
      </c>
      <c r="BF416" s="137" t="str">
        <f>IF(OR(AF416="",AQ416="-"),"",IF(AF416&lt;=0.25,"Tipo 1 (≤0,25) uT",IF(AF416&lt;=0.5,"Tipo 2 (0,25-0,50) uT",IF(AF416&lt;=0.75,"Tipo 3 (0,50-0,75) uT","Tipo 4 (&gt;0,75) uT"))))</f>
        <v>Tipo 1 (≤0,25) uT</v>
      </c>
      <c r="BG416" s="137" t="str">
        <f t="shared" si="43"/>
        <v>Tipo 1 (≤0,25) uT</v>
      </c>
      <c r="BH416" s="137" t="str">
        <f>IF(OR(R416="",R416="-"),"",IF(R416&lt;=0.25,"Tipo 1 (≤0,25) uT",IF(R416&lt;=0.5,"Tipo 2 (0,25-0,50) uT",IF(R416&lt;=0.75,"Tipo 3 (0,50-0,75) uT","Tipo 4 (&gt;0,75) uT"))))</f>
        <v>Tipo 1 (≤0,25) uT</v>
      </c>
    </row>
    <row r="417" spans="1:60" ht="15" thickBot="1" x14ac:dyDescent="0.35">
      <c r="A417" s="74">
        <v>46305</v>
      </c>
      <c r="B417" s="139">
        <v>0.72916666666666663</v>
      </c>
      <c r="C417" s="116">
        <v>0</v>
      </c>
      <c r="D417" s="116">
        <v>1975</v>
      </c>
      <c r="E417" s="116">
        <v>249</v>
      </c>
      <c r="F417" s="116">
        <v>2230</v>
      </c>
      <c r="G417" s="144" t="s">
        <v>100</v>
      </c>
      <c r="H417" s="122">
        <v>9.5</v>
      </c>
      <c r="I417" s="116">
        <v>33</v>
      </c>
      <c r="J417" s="10">
        <v>90</v>
      </c>
      <c r="K417" s="116">
        <v>90</v>
      </c>
      <c r="L417" s="116">
        <v>90</v>
      </c>
      <c r="M417" s="122">
        <v>24.5</v>
      </c>
      <c r="N417" s="122">
        <v>6.5</v>
      </c>
      <c r="O417" s="79">
        <v>1.1100000000000001</v>
      </c>
      <c r="P417" s="116">
        <v>9</v>
      </c>
      <c r="Q417" s="122">
        <v>7.1</v>
      </c>
      <c r="R417" s="10">
        <v>0.14000000000000001</v>
      </c>
      <c r="S417" s="79">
        <v>22.36</v>
      </c>
      <c r="T417" s="79">
        <v>0.88</v>
      </c>
      <c r="U417" s="79">
        <v>0.7</v>
      </c>
      <c r="V417" s="85">
        <f t="shared" si="44"/>
        <v>1661.35</v>
      </c>
      <c r="W417" s="85">
        <f t="shared" si="45"/>
        <v>1640.3023207999997</v>
      </c>
      <c r="X417" s="85">
        <f t="shared" si="46"/>
        <v>0.98733097830077943</v>
      </c>
      <c r="Y417" s="116">
        <v>3</v>
      </c>
      <c r="Z417" s="116">
        <v>4</v>
      </c>
      <c r="AA417" s="122">
        <v>6.1</v>
      </c>
      <c r="AB417" s="116">
        <v>22</v>
      </c>
      <c r="AC417" s="122">
        <v>6.2</v>
      </c>
      <c r="AD417" s="122">
        <v>5.0999999999999996</v>
      </c>
      <c r="AE417" s="79">
        <v>0.1</v>
      </c>
      <c r="AF417" s="79">
        <v>0.1</v>
      </c>
      <c r="AG417" s="85">
        <f>(O417+0.3*H417+2)*(F417/2/AK417)</f>
        <v>1661.35</v>
      </c>
      <c r="AH417" s="85">
        <f t="shared" si="47"/>
        <v>1900.6500864</v>
      </c>
      <c r="AI417" s="85">
        <f t="shared" si="48"/>
        <v>1.1440395379661119</v>
      </c>
      <c r="AJ417" s="116">
        <v>3</v>
      </c>
      <c r="AK417" s="116">
        <v>4</v>
      </c>
      <c r="AL417" s="122">
        <v>6.4</v>
      </c>
      <c r="AM417" s="116">
        <v>24</v>
      </c>
      <c r="AN417" s="122">
        <v>6.2</v>
      </c>
      <c r="AO417" s="122">
        <v>4.5999999999999996</v>
      </c>
      <c r="AP417" s="79">
        <v>0.12</v>
      </c>
      <c r="AQ417" s="79">
        <v>0.14000000000000001</v>
      </c>
      <c r="AR417" s="132">
        <f>SUM(C417:E417)</f>
        <v>2224</v>
      </c>
      <c r="AS417" s="134">
        <f>C417/AR417</f>
        <v>0</v>
      </c>
      <c r="AT417" s="134">
        <f>D417/AR417</f>
        <v>0.88803956834532372</v>
      </c>
      <c r="AU417" s="134">
        <f>E417/AR417</f>
        <v>0.11196043165467626</v>
      </c>
      <c r="AV417" s="151">
        <f>IF(AND(F417&lt;&gt;"",Z417&lt;&gt;""),AB417/(F417/2/Z417),"")</f>
        <v>7.8923766816143492E-2</v>
      </c>
      <c r="AW417" s="151">
        <f>IF(AND(F417&lt;&gt;"",AK417&lt;&gt;""),AM417/(F417/2/AK417),"")</f>
        <v>8.6098654708520184E-2</v>
      </c>
      <c r="AX417" s="43">
        <f>IF(AND(AQ417&lt;&gt;"",1-(AQ417/O417)&gt;0),1-(AQ417/O417),"")</f>
        <v>0.87387387387387383</v>
      </c>
      <c r="AY417" s="41">
        <f>IF(AND(AF417&lt;&gt;"",1-(AF417/O417)&gt;0),1-(AF417/O417),"")</f>
        <v>0.90990990990990994</v>
      </c>
      <c r="AZ417" s="136" t="str">
        <f>IF(Q417="","",IF(Q417&lt;2.5,"Alc. Bruta &lt; 2,5 mg/L",IF(Q417&lt;5,"2,5 ≤ Alc. Bruta &lt; 5,0 mg/L",IF(Q417&lt;7.5,"5,0 ≤ Alc. Bruta &lt; 7,5 mg/L",IF(Q417&lt;10,"7,5 ≤ Alc. Bruta &lt; 10,0 mg/L",IF(Q417&lt;15,"10,0 ≤ Alca. Bruta &lt; 15,0 mg/L","Alc. Bruta &gt; 15 mg/L"))))))</f>
        <v>5,0 ≤ Alc. Bruta &lt; 7,5 mg/L</v>
      </c>
      <c r="BA417" s="136" t="str">
        <f>IF(P417="","",IF(P417&lt;5,"Cor &lt;5 uC",IF(P417&lt;10,"5 ≤ Cor &lt; 10 uC",IF(P417&lt;15,"10 ≤ Cor &lt;15 uC",IF(P417&lt;30,"15 ≤ Cor &lt; 30 uC",IF(P417&lt;50,"30 ≤ Cor &lt; 50 uC","Cor &gt; 50 uC"))))))</f>
        <v>5 ≤ Cor &lt; 10 uC</v>
      </c>
      <c r="BB417" s="137" t="str">
        <f>IF(O417="","",IF(O417&lt;2.5,"Turbidez &lt; 2,5 uT",IF(O417&lt;5,"2,5 ≤ Turb &lt; 5,0 uT",IF(O417&lt;7.5,"5,0 ≤ Turb &lt; 7,5 uT",IF(O417&lt;10,"7,5 ≤ Turb &lt; 10,0 uT",IF(O417&lt;15,"10,0 ≤ Turb &lt; 15,0 uT","Turb &gt; 15 uT"))))))</f>
        <v>Turbidez &lt; 2,5 uT</v>
      </c>
      <c r="BC417" s="138" t="str">
        <f>IF(AND(C417&gt;D417,D417&gt;E417),"TOR &gt; SM &gt; BNN",IF(AND(C417&gt;E417,E417&gt;D417),"TOR &gt; BNN &gt; SM",IF(AND(D417&gt;C417,C417&gt;E417),"SM &gt; TOR &gt; BNN",IF(AND(D417&gt;E417,E417&gt;C417),"SM &gt; BNN &gt; TOR",IF(AND(C417=D417,D417=E417),"TOR = SM = BNN","Comb. diferentes")))))</f>
        <v>SM &gt; BNN &gt; TOR</v>
      </c>
      <c r="BD417" s="137" t="str">
        <f>IF(OR(AE417="",AQ417="-"),"",IF(AE417&lt;=0.25,"Tipo 1 (≤0,25) uT",IF(AE417&lt;=0.5,"Tipo 2 (0,25-0,50) uT",IF(AE417&lt;=0.75,"Tipo 3 (0,50-0,75) uT","Tipo 4 (&gt;0,75) uT"))))</f>
        <v>Tipo 1 (≤0,25) uT</v>
      </c>
      <c r="BE417" s="137" t="str">
        <f t="shared" si="42"/>
        <v>Tipo 1 (≤0,25) uT</v>
      </c>
      <c r="BF417" s="137" t="str">
        <f>IF(OR(AF417="",AQ417="-"),"",IF(AF417&lt;=0.25,"Tipo 1 (≤0,25) uT",IF(AF417&lt;=0.5,"Tipo 2 (0,25-0,50) uT",IF(AF417&lt;=0.75,"Tipo 3 (0,50-0,75) uT","Tipo 4 (&gt;0,75) uT"))))</f>
        <v>Tipo 1 (≤0,25) uT</v>
      </c>
      <c r="BG417" s="137" t="str">
        <f t="shared" si="43"/>
        <v>Tipo 1 (≤0,25) uT</v>
      </c>
      <c r="BH417" s="137" t="str">
        <f>IF(OR(R417="",R417="-"),"",IF(R417&lt;=0.25,"Tipo 1 (≤0,25) uT",IF(R417&lt;=0.5,"Tipo 2 (0,25-0,50) uT",IF(R417&lt;=0.75,"Tipo 3 (0,50-0,75) uT","Tipo 4 (&gt;0,75) uT"))))</f>
        <v>Tipo 1 (≤0,25) uT</v>
      </c>
    </row>
    <row r="418" spans="1:60" ht="15" thickBot="1" x14ac:dyDescent="0.35">
      <c r="A418" s="74">
        <v>46305</v>
      </c>
      <c r="B418" s="139">
        <v>0.8125</v>
      </c>
      <c r="C418" s="118">
        <v>0</v>
      </c>
      <c r="D418" s="116">
        <v>1956</v>
      </c>
      <c r="E418" s="116">
        <v>250</v>
      </c>
      <c r="F418" s="116">
        <v>2230</v>
      </c>
      <c r="G418" s="144" t="s">
        <v>100</v>
      </c>
      <c r="H418" s="122">
        <v>9.5</v>
      </c>
      <c r="I418" s="116">
        <v>33</v>
      </c>
      <c r="J418" s="10">
        <v>90</v>
      </c>
      <c r="K418" s="116">
        <v>90</v>
      </c>
      <c r="L418" s="116">
        <v>90</v>
      </c>
      <c r="M418" s="122">
        <v>27.3</v>
      </c>
      <c r="N418" s="122">
        <v>6.5</v>
      </c>
      <c r="O418" s="79">
        <v>1.1100000000000001</v>
      </c>
      <c r="P418" s="116">
        <v>9</v>
      </c>
      <c r="Q418" s="122">
        <v>6.1</v>
      </c>
      <c r="R418" s="10">
        <v>0.13</v>
      </c>
      <c r="S418" s="79">
        <v>22.36</v>
      </c>
      <c r="T418" s="79">
        <v>0.88</v>
      </c>
      <c r="U418" s="79">
        <v>0.7</v>
      </c>
      <c r="V418" s="85">
        <f t="shared" si="44"/>
        <v>1661.35</v>
      </c>
      <c r="W418" s="85">
        <f t="shared" si="45"/>
        <v>1640.3023207999997</v>
      </c>
      <c r="X418" s="85">
        <f t="shared" si="46"/>
        <v>0.98733097830077943</v>
      </c>
      <c r="Y418" s="116">
        <v>3</v>
      </c>
      <c r="Z418" s="116">
        <v>4</v>
      </c>
      <c r="AA418" s="122">
        <v>6.1</v>
      </c>
      <c r="AB418" s="116">
        <v>22</v>
      </c>
      <c r="AC418" s="122">
        <v>6.1</v>
      </c>
      <c r="AD418" s="122">
        <v>5.7</v>
      </c>
      <c r="AE418" s="79">
        <v>0.14000000000000001</v>
      </c>
      <c r="AF418" s="79">
        <v>0.11</v>
      </c>
      <c r="AG418" s="85">
        <f>(O418+0.3*H418+2)*(F418/2/AK418)</f>
        <v>1661.35</v>
      </c>
      <c r="AH418" s="85">
        <f t="shared" si="47"/>
        <v>1900.6500864</v>
      </c>
      <c r="AI418" s="85">
        <f t="shared" si="48"/>
        <v>1.1440395379661119</v>
      </c>
      <c r="AJ418" s="116">
        <v>3</v>
      </c>
      <c r="AK418" s="116">
        <v>4</v>
      </c>
      <c r="AL418" s="122">
        <v>6.4</v>
      </c>
      <c r="AM418" s="116">
        <v>24</v>
      </c>
      <c r="AN418" s="122">
        <v>6.2</v>
      </c>
      <c r="AO418" s="122">
        <v>5.9</v>
      </c>
      <c r="AP418" s="79">
        <v>0.12</v>
      </c>
      <c r="AQ418" s="79">
        <v>0.14000000000000001</v>
      </c>
      <c r="AR418" s="132">
        <f>SUM(C418:E418)</f>
        <v>2206</v>
      </c>
      <c r="AS418" s="134">
        <f>C418/AR418</f>
        <v>0</v>
      </c>
      <c r="AT418" s="134">
        <f>D418/AR418</f>
        <v>0.88667271078875798</v>
      </c>
      <c r="AU418" s="134">
        <f>E418/AR418</f>
        <v>0.11332728921124206</v>
      </c>
      <c r="AV418" s="151">
        <f>IF(AND(F418&lt;&gt;"",Z418&lt;&gt;""),AB418/(F418/2/Z418),"")</f>
        <v>7.8923766816143492E-2</v>
      </c>
      <c r="AW418" s="151">
        <f>IF(AND(F418&lt;&gt;"",AK418&lt;&gt;""),AM418/(F418/2/AK418),"")</f>
        <v>8.6098654708520184E-2</v>
      </c>
      <c r="AX418" s="43">
        <f>IF(AND(AQ418&lt;&gt;"",1-(AQ418/O418)&gt;0),1-(AQ418/O418),"")</f>
        <v>0.87387387387387383</v>
      </c>
      <c r="AY418" s="41">
        <f>IF(AND(AF418&lt;&gt;"",1-(AF418/O418)&gt;0),1-(AF418/O418),"")</f>
        <v>0.90090090090090091</v>
      </c>
      <c r="AZ418" s="136" t="str">
        <f>IF(Q418="","",IF(Q418&lt;2.5,"Alc. Bruta &lt; 2,5 mg/L",IF(Q418&lt;5,"2,5 ≤ Alc. Bruta &lt; 5,0 mg/L",IF(Q418&lt;7.5,"5,0 ≤ Alc. Bruta &lt; 7,5 mg/L",IF(Q418&lt;10,"7,5 ≤ Alc. Bruta &lt; 10,0 mg/L",IF(Q418&lt;15,"10,0 ≤ Alca. Bruta &lt; 15,0 mg/L","Alc. Bruta &gt; 15 mg/L"))))))</f>
        <v>5,0 ≤ Alc. Bruta &lt; 7,5 mg/L</v>
      </c>
      <c r="BA418" s="136" t="str">
        <f>IF(P418="","",IF(P418&lt;5,"Cor &lt;5 uC",IF(P418&lt;10,"5 ≤ Cor &lt; 10 uC",IF(P418&lt;15,"10 ≤ Cor &lt;15 uC",IF(P418&lt;30,"15 ≤ Cor &lt; 30 uC",IF(P418&lt;50,"30 ≤ Cor &lt; 50 uC","Cor &gt; 50 uC"))))))</f>
        <v>5 ≤ Cor &lt; 10 uC</v>
      </c>
      <c r="BB418" s="137" t="str">
        <f>IF(O418="","",IF(O418&lt;2.5,"Turbidez &lt; 2,5 uT",IF(O418&lt;5,"2,5 ≤ Turb &lt; 5,0 uT",IF(O418&lt;7.5,"5,0 ≤ Turb &lt; 7,5 uT",IF(O418&lt;10,"7,5 ≤ Turb &lt; 10,0 uT",IF(O418&lt;15,"10,0 ≤ Turb &lt; 15,0 uT","Turb &gt; 15 uT"))))))</f>
        <v>Turbidez &lt; 2,5 uT</v>
      </c>
      <c r="BC418" s="138" t="str">
        <f>IF(AND(C418&gt;D418,D418&gt;E418),"TOR &gt; SM &gt; BNN",IF(AND(C418&gt;E418,E418&gt;D418),"TOR &gt; BNN &gt; SM",IF(AND(D418&gt;C418,C418&gt;E418),"SM &gt; TOR &gt; BNN",IF(AND(D418&gt;E418,E418&gt;C418),"SM &gt; BNN &gt; TOR",IF(AND(C418=D418,D418=E418),"TOR = SM = BNN","Comb. diferentes")))))</f>
        <v>SM &gt; BNN &gt; TOR</v>
      </c>
      <c r="BD418" s="137" t="str">
        <f>IF(OR(AE418="",AQ418="-"),"",IF(AE418&lt;=0.25,"Tipo 1 (≤0,25) uT",IF(AE418&lt;=0.5,"Tipo 2 (0,25-0,50) uT",IF(AE418&lt;=0.75,"Tipo 3 (0,50-0,75) uT","Tipo 4 (&gt;0,75) uT"))))</f>
        <v>Tipo 1 (≤0,25) uT</v>
      </c>
      <c r="BE418" s="137" t="str">
        <f t="shared" si="42"/>
        <v>Tipo 1 (≤0,25) uT</v>
      </c>
      <c r="BF418" s="137" t="str">
        <f>IF(OR(AF418="",AQ418="-"),"",IF(AF418&lt;=0.25,"Tipo 1 (≤0,25) uT",IF(AF418&lt;=0.5,"Tipo 2 (0,25-0,50) uT",IF(AF418&lt;=0.75,"Tipo 3 (0,50-0,75) uT","Tipo 4 (&gt;0,75) uT"))))</f>
        <v>Tipo 1 (≤0,25) uT</v>
      </c>
      <c r="BG418" s="137" t="str">
        <f t="shared" si="43"/>
        <v>Tipo 1 (≤0,25) uT</v>
      </c>
      <c r="BH418" s="137" t="str">
        <f>IF(OR(R418="",R418="-"),"",IF(R418&lt;=0.25,"Tipo 1 (≤0,25) uT",IF(R418&lt;=0.5,"Tipo 2 (0,25-0,50) uT",IF(R418&lt;=0.75,"Tipo 3 (0,50-0,75) uT","Tipo 4 (&gt;0,75) uT"))))</f>
        <v>Tipo 1 (≤0,25) uT</v>
      </c>
    </row>
    <row r="419" spans="1:60" ht="15" thickBot="1" x14ac:dyDescent="0.35">
      <c r="A419" s="74">
        <v>46305</v>
      </c>
      <c r="B419" s="139">
        <v>0.89583333333333337</v>
      </c>
      <c r="C419" s="118">
        <v>0</v>
      </c>
      <c r="D419" s="116">
        <v>1520</v>
      </c>
      <c r="E419" s="116">
        <v>250</v>
      </c>
      <c r="F419" s="116">
        <v>1880</v>
      </c>
      <c r="G419" s="144" t="s">
        <v>100</v>
      </c>
      <c r="H419" s="122">
        <v>9.5</v>
      </c>
      <c r="I419" s="116">
        <v>33</v>
      </c>
      <c r="J419" s="10">
        <v>90</v>
      </c>
      <c r="K419" s="116">
        <v>90</v>
      </c>
      <c r="L419" s="116">
        <v>90</v>
      </c>
      <c r="M419" s="122">
        <v>26.8</v>
      </c>
      <c r="N419" s="122">
        <v>6.5</v>
      </c>
      <c r="O419" s="79">
        <v>1.08</v>
      </c>
      <c r="P419" s="116">
        <v>9</v>
      </c>
      <c r="Q419" s="122">
        <v>7.1</v>
      </c>
      <c r="R419" s="10">
        <v>0.13</v>
      </c>
      <c r="S419" s="79">
        <v>22.36</v>
      </c>
      <c r="T419" s="79">
        <v>0.88</v>
      </c>
      <c r="U419" s="79">
        <v>0.7</v>
      </c>
      <c r="V419" s="85">
        <f t="shared" si="44"/>
        <v>1393.55</v>
      </c>
      <c r="W419" s="85">
        <f t="shared" si="45"/>
        <v>1640.3023207999997</v>
      </c>
      <c r="X419" s="85">
        <f t="shared" si="46"/>
        <v>1.1770674326719528</v>
      </c>
      <c r="Y419" s="116">
        <v>2</v>
      </c>
      <c r="Z419" s="116">
        <v>4</v>
      </c>
      <c r="AA419" s="122">
        <v>6.1</v>
      </c>
      <c r="AB419" s="116">
        <v>22</v>
      </c>
      <c r="AC419" s="122">
        <v>6.2</v>
      </c>
      <c r="AD419" s="122">
        <v>5.3</v>
      </c>
      <c r="AE419" s="79">
        <v>0.13</v>
      </c>
      <c r="AF419" s="79">
        <v>0.12</v>
      </c>
      <c r="AG419" s="85">
        <f>(O419+0.3*H419+2)*(F419/2/AK419)</f>
        <v>1858.0666666666664</v>
      </c>
      <c r="AH419" s="85">
        <f t="shared" si="47"/>
        <v>2003.3416509599997</v>
      </c>
      <c r="AI419" s="85">
        <f t="shared" si="48"/>
        <v>1.0781860989702559</v>
      </c>
      <c r="AJ419" s="116">
        <v>2</v>
      </c>
      <c r="AK419" s="116">
        <v>3</v>
      </c>
      <c r="AL419" s="122">
        <v>6.3</v>
      </c>
      <c r="AM419" s="116">
        <v>25.8</v>
      </c>
      <c r="AN419" s="122">
        <v>6.2</v>
      </c>
      <c r="AO419" s="122">
        <v>5.2</v>
      </c>
      <c r="AP419" s="79">
        <v>0.13</v>
      </c>
      <c r="AQ419" s="79">
        <v>0.15</v>
      </c>
      <c r="AR419" s="132">
        <f>SUM(C419:E419)</f>
        <v>1770</v>
      </c>
      <c r="AS419" s="134">
        <f>C419/AR419</f>
        <v>0</v>
      </c>
      <c r="AT419" s="134">
        <f>D419/AR419</f>
        <v>0.85875706214689262</v>
      </c>
      <c r="AU419" s="134">
        <f>E419/AR419</f>
        <v>0.14124293785310735</v>
      </c>
      <c r="AV419" s="151">
        <f>IF(AND(F419&lt;&gt;"",Z419&lt;&gt;""),AB419/(F419/2/Z419),"")</f>
        <v>9.3617021276595741E-2</v>
      </c>
      <c r="AW419" s="151">
        <f>IF(AND(F419&lt;&gt;"",AK419&lt;&gt;""),AM419/(F419/2/AK419),"")</f>
        <v>8.2340425531914896E-2</v>
      </c>
      <c r="AX419" s="43">
        <f>IF(AND(AQ419&lt;&gt;"",1-(AQ419/O419)&gt;0),1-(AQ419/O419),"")</f>
        <v>0.86111111111111116</v>
      </c>
      <c r="AY419" s="41">
        <f>IF(AND(AF419&lt;&gt;"",1-(AF419/O419)&gt;0),1-(AF419/O419),"")</f>
        <v>0.88888888888888884</v>
      </c>
      <c r="AZ419" s="136" t="str">
        <f>IF(Q419="","",IF(Q419&lt;2.5,"Alc. Bruta &lt; 2,5 mg/L",IF(Q419&lt;5,"2,5 ≤ Alc. Bruta &lt; 5,0 mg/L",IF(Q419&lt;7.5,"5,0 ≤ Alc. Bruta &lt; 7,5 mg/L",IF(Q419&lt;10,"7,5 ≤ Alc. Bruta &lt; 10,0 mg/L",IF(Q419&lt;15,"10,0 ≤ Alca. Bruta &lt; 15,0 mg/L","Alc. Bruta &gt; 15 mg/L"))))))</f>
        <v>5,0 ≤ Alc. Bruta &lt; 7,5 mg/L</v>
      </c>
      <c r="BA419" s="136" t="str">
        <f>IF(P419="","",IF(P419&lt;5,"Cor &lt;5 uC",IF(P419&lt;10,"5 ≤ Cor &lt; 10 uC",IF(P419&lt;15,"10 ≤ Cor &lt;15 uC",IF(P419&lt;30,"15 ≤ Cor &lt; 30 uC",IF(P419&lt;50,"30 ≤ Cor &lt; 50 uC","Cor &gt; 50 uC"))))))</f>
        <v>5 ≤ Cor &lt; 10 uC</v>
      </c>
      <c r="BB419" s="137" t="str">
        <f>IF(O419="","",IF(O419&lt;2.5,"Turbidez &lt; 2,5 uT",IF(O419&lt;5,"2,5 ≤ Turb &lt; 5,0 uT",IF(O419&lt;7.5,"5,0 ≤ Turb &lt; 7,5 uT",IF(O419&lt;10,"7,5 ≤ Turb &lt; 10,0 uT",IF(O419&lt;15,"10,0 ≤ Turb &lt; 15,0 uT","Turb &gt; 15 uT"))))))</f>
        <v>Turbidez &lt; 2,5 uT</v>
      </c>
      <c r="BC419" s="138" t="str">
        <f>IF(AND(C419&gt;D419,D419&gt;E419),"TOR &gt; SM &gt; BNN",IF(AND(C419&gt;E419,E419&gt;D419),"TOR &gt; BNN &gt; SM",IF(AND(D419&gt;C419,C419&gt;E419),"SM &gt; TOR &gt; BNN",IF(AND(D419&gt;E419,E419&gt;C419),"SM &gt; BNN &gt; TOR",IF(AND(C419=D419,D419=E419),"TOR = SM = BNN","Comb. diferentes")))))</f>
        <v>SM &gt; BNN &gt; TOR</v>
      </c>
      <c r="BD419" s="137" t="str">
        <f>IF(OR(AE419="",AQ419="-"),"",IF(AE419&lt;=0.25,"Tipo 1 (≤0,25) uT",IF(AE419&lt;=0.5,"Tipo 2 (0,25-0,50) uT",IF(AE419&lt;=0.75,"Tipo 3 (0,50-0,75) uT","Tipo 4 (&gt;0,75) uT"))))</f>
        <v>Tipo 1 (≤0,25) uT</v>
      </c>
      <c r="BE419" s="137" t="str">
        <f t="shared" si="42"/>
        <v>Tipo 1 (≤0,25) uT</v>
      </c>
      <c r="BF419" s="137" t="str">
        <f>IF(OR(AF419="",AQ419="-"),"",IF(AF419&lt;=0.25,"Tipo 1 (≤0,25) uT",IF(AF419&lt;=0.5,"Tipo 2 (0,25-0,50) uT",IF(AF419&lt;=0.75,"Tipo 3 (0,50-0,75) uT","Tipo 4 (&gt;0,75) uT"))))</f>
        <v>Tipo 1 (≤0,25) uT</v>
      </c>
      <c r="BG419" s="137" t="str">
        <f t="shared" si="43"/>
        <v>Tipo 1 (≤0,25) uT</v>
      </c>
      <c r="BH419" s="137" t="str">
        <f>IF(OR(R419="",R419="-"),"",IF(R419&lt;=0.25,"Tipo 1 (≤0,25) uT",IF(R419&lt;=0.5,"Tipo 2 (0,25-0,50) uT",IF(R419&lt;=0.75,"Tipo 3 (0,50-0,75) uT","Tipo 4 (&gt;0,75) uT"))))</f>
        <v>Tipo 1 (≤0,25) uT</v>
      </c>
    </row>
    <row r="420" spans="1:60" ht="15" thickBot="1" x14ac:dyDescent="0.35">
      <c r="A420" s="74">
        <v>46305</v>
      </c>
      <c r="B420" s="139">
        <v>0.97916666666666663</v>
      </c>
      <c r="C420" s="118">
        <v>0</v>
      </c>
      <c r="D420" s="116">
        <v>1550</v>
      </c>
      <c r="E420" s="116">
        <v>250</v>
      </c>
      <c r="F420" s="116">
        <v>1901</v>
      </c>
      <c r="G420" s="144" t="s">
        <v>100</v>
      </c>
      <c r="H420" s="122">
        <v>9.5</v>
      </c>
      <c r="I420" s="116">
        <v>33</v>
      </c>
      <c r="J420" s="10">
        <v>90</v>
      </c>
      <c r="K420" s="116">
        <v>90</v>
      </c>
      <c r="L420" s="116">
        <v>90</v>
      </c>
      <c r="M420" s="122">
        <v>26.3</v>
      </c>
      <c r="N420" s="122">
        <v>6.4</v>
      </c>
      <c r="O420" s="79">
        <v>1.07</v>
      </c>
      <c r="P420" s="116">
        <v>9</v>
      </c>
      <c r="Q420" s="122">
        <v>7.2</v>
      </c>
      <c r="R420" s="10">
        <v>0.11</v>
      </c>
      <c r="S420" s="79">
        <v>22.36</v>
      </c>
      <c r="T420" s="79">
        <v>0.88</v>
      </c>
      <c r="U420" s="79">
        <v>0.7</v>
      </c>
      <c r="V420" s="85">
        <f t="shared" si="44"/>
        <v>1406.74</v>
      </c>
      <c r="W420" s="85">
        <f t="shared" si="45"/>
        <v>1640.3023207999997</v>
      </c>
      <c r="X420" s="85">
        <f t="shared" si="46"/>
        <v>1.1660309089099619</v>
      </c>
      <c r="Y420" s="116">
        <v>2</v>
      </c>
      <c r="Z420" s="116">
        <v>4</v>
      </c>
      <c r="AA420" s="122">
        <v>6.1</v>
      </c>
      <c r="AB420" s="116">
        <v>22</v>
      </c>
      <c r="AC420" s="122">
        <v>6.2</v>
      </c>
      <c r="AD420" s="122">
        <v>5.5</v>
      </c>
      <c r="AE420" s="79">
        <v>0.12</v>
      </c>
      <c r="AF420" s="79">
        <v>0.12</v>
      </c>
      <c r="AG420" s="85">
        <f>(O420+0.3*H420+2)*(F420/2/AK420)</f>
        <v>1875.6533333333332</v>
      </c>
      <c r="AH420" s="85">
        <f t="shared" si="47"/>
        <v>2018.8714311999995</v>
      </c>
      <c r="AI420" s="85">
        <f t="shared" si="48"/>
        <v>1.0763563795726288</v>
      </c>
      <c r="AJ420" s="116">
        <v>2</v>
      </c>
      <c r="AK420" s="116">
        <v>3</v>
      </c>
      <c r="AL420" s="122">
        <v>6.3</v>
      </c>
      <c r="AM420" s="116">
        <v>26</v>
      </c>
      <c r="AN420" s="122">
        <v>6.2</v>
      </c>
      <c r="AO420" s="122">
        <v>5.3</v>
      </c>
      <c r="AP420" s="79">
        <v>0.11</v>
      </c>
      <c r="AQ420" s="79">
        <v>0.14000000000000001</v>
      </c>
      <c r="AR420" s="132">
        <f>SUM(C420:E420)</f>
        <v>1800</v>
      </c>
      <c r="AS420" s="134">
        <f>C420/AR420</f>
        <v>0</v>
      </c>
      <c r="AT420" s="134">
        <f>D420/AR420</f>
        <v>0.86111111111111116</v>
      </c>
      <c r="AU420" s="134">
        <f>E420/AR420</f>
        <v>0.1388888888888889</v>
      </c>
      <c r="AV420" s="151">
        <f>IF(AND(F420&lt;&gt;"",Z420&lt;&gt;""),AB420/(F420/2/Z420),"")</f>
        <v>9.258285113098369E-2</v>
      </c>
      <c r="AW420" s="151">
        <f>IF(AND(F420&lt;&gt;"",AK420&lt;&gt;""),AM420/(F420/2/AK420),"")</f>
        <v>8.2062072593371921E-2</v>
      </c>
      <c r="AX420" s="43">
        <f>IF(AND(AQ420&lt;&gt;"",1-(AQ420/O420)&gt;0),1-(AQ420/O420),"")</f>
        <v>0.86915887850467288</v>
      </c>
      <c r="AY420" s="41">
        <f>IF(AND(AF420&lt;&gt;"",1-(AF420/O420)&gt;0),1-(AF420/O420),"")</f>
        <v>0.88785046728971961</v>
      </c>
      <c r="AZ420" s="136" t="str">
        <f>IF(Q420="","",IF(Q420&lt;2.5,"Alc. Bruta &lt; 2,5 mg/L",IF(Q420&lt;5,"2,5 ≤ Alc. Bruta &lt; 5,0 mg/L",IF(Q420&lt;7.5,"5,0 ≤ Alc. Bruta &lt; 7,5 mg/L",IF(Q420&lt;10,"7,5 ≤ Alc. Bruta &lt; 10,0 mg/L",IF(Q420&lt;15,"10,0 ≤ Alca. Bruta &lt; 15,0 mg/L","Alc. Bruta &gt; 15 mg/L"))))))</f>
        <v>5,0 ≤ Alc. Bruta &lt; 7,5 mg/L</v>
      </c>
      <c r="BA420" s="136" t="str">
        <f>IF(P420="","",IF(P420&lt;5,"Cor &lt;5 uC",IF(P420&lt;10,"5 ≤ Cor &lt; 10 uC",IF(P420&lt;15,"10 ≤ Cor &lt;15 uC",IF(P420&lt;30,"15 ≤ Cor &lt; 30 uC",IF(P420&lt;50,"30 ≤ Cor &lt; 50 uC","Cor &gt; 50 uC"))))))</f>
        <v>5 ≤ Cor &lt; 10 uC</v>
      </c>
      <c r="BB420" s="137" t="str">
        <f>IF(O420="","",IF(O420&lt;2.5,"Turbidez &lt; 2,5 uT",IF(O420&lt;5,"2,5 ≤ Turb &lt; 5,0 uT",IF(O420&lt;7.5,"5,0 ≤ Turb &lt; 7,5 uT",IF(O420&lt;10,"7,5 ≤ Turb &lt; 10,0 uT",IF(O420&lt;15,"10,0 ≤ Turb &lt; 15,0 uT","Turb &gt; 15 uT"))))))</f>
        <v>Turbidez &lt; 2,5 uT</v>
      </c>
      <c r="BC420" s="138" t="str">
        <f>IF(AND(C420&gt;D420,D420&gt;E420),"TOR &gt; SM &gt; BNN",IF(AND(C420&gt;E420,E420&gt;D420),"TOR &gt; BNN &gt; SM",IF(AND(D420&gt;C420,C420&gt;E420),"SM &gt; TOR &gt; BNN",IF(AND(D420&gt;E420,E420&gt;C420),"SM &gt; BNN &gt; TOR",IF(AND(C420=D420,D420=E420),"TOR = SM = BNN","Comb. diferentes")))))</f>
        <v>SM &gt; BNN &gt; TOR</v>
      </c>
      <c r="BD420" s="137" t="str">
        <f>IF(OR(AE420="",AQ420="-"),"",IF(AE420&lt;=0.25,"Tipo 1 (≤0,25) uT",IF(AE420&lt;=0.5,"Tipo 2 (0,25-0,50) uT",IF(AE420&lt;=0.75,"Tipo 3 (0,50-0,75) uT","Tipo 4 (&gt;0,75) uT"))))</f>
        <v>Tipo 1 (≤0,25) uT</v>
      </c>
      <c r="BE420" s="137" t="str">
        <f t="shared" si="42"/>
        <v>Tipo 1 (≤0,25) uT</v>
      </c>
      <c r="BF420" s="137" t="str">
        <f>IF(OR(AF420="",AQ420="-"),"",IF(AF420&lt;=0.25,"Tipo 1 (≤0,25) uT",IF(AF420&lt;=0.5,"Tipo 2 (0,25-0,50) uT",IF(AF420&lt;=0.75,"Tipo 3 (0,50-0,75) uT","Tipo 4 (&gt;0,75) uT"))))</f>
        <v>Tipo 1 (≤0,25) uT</v>
      </c>
      <c r="BG420" s="137" t="str">
        <f t="shared" si="43"/>
        <v>Tipo 1 (≤0,25) uT</v>
      </c>
      <c r="BH420" s="137" t="str">
        <f>IF(OR(R420="",R420="-"),"",IF(R420&lt;=0.25,"Tipo 1 (≤0,25) uT",IF(R420&lt;=0.5,"Tipo 2 (0,25-0,50) uT",IF(R420&lt;=0.75,"Tipo 3 (0,50-0,75) uT","Tipo 4 (&gt;0,75) uT"))))</f>
        <v>Tipo 1 (≤0,25) uT</v>
      </c>
    </row>
    <row r="421" spans="1:60" ht="15" thickBot="1" x14ac:dyDescent="0.35">
      <c r="A421" s="74">
        <v>46306</v>
      </c>
      <c r="B421" s="139">
        <v>6.25E-2</v>
      </c>
      <c r="C421" s="118">
        <v>0</v>
      </c>
      <c r="D421" s="116">
        <v>1557</v>
      </c>
      <c r="E421" s="116">
        <v>250</v>
      </c>
      <c r="F421" s="116">
        <v>1909</v>
      </c>
      <c r="G421" s="144" t="s">
        <v>100</v>
      </c>
      <c r="H421" s="122">
        <v>9.5</v>
      </c>
      <c r="I421" s="116">
        <v>33</v>
      </c>
      <c r="J421" s="10">
        <v>90</v>
      </c>
      <c r="K421" s="116">
        <v>90</v>
      </c>
      <c r="L421" s="116">
        <v>90</v>
      </c>
      <c r="M421" s="122">
        <v>26.3</v>
      </c>
      <c r="N421" s="122">
        <v>6.4</v>
      </c>
      <c r="O421" s="79">
        <v>1.05</v>
      </c>
      <c r="P421" s="116">
        <v>9</v>
      </c>
      <c r="Q421" s="122">
        <v>7.6</v>
      </c>
      <c r="R421" s="10">
        <v>0.11</v>
      </c>
      <c r="S421" s="79">
        <v>22.36</v>
      </c>
      <c r="T421" s="79">
        <v>0.88</v>
      </c>
      <c r="U421" s="79">
        <v>0.7</v>
      </c>
      <c r="V421" s="85">
        <f t="shared" si="44"/>
        <v>1407.8875</v>
      </c>
      <c r="W421" s="85">
        <f t="shared" si="45"/>
        <v>1640.3023207999997</v>
      </c>
      <c r="X421" s="85">
        <f t="shared" si="46"/>
        <v>1.1650805343466717</v>
      </c>
      <c r="Y421" s="116">
        <v>2</v>
      </c>
      <c r="Z421" s="116">
        <v>4</v>
      </c>
      <c r="AA421" s="122">
        <v>6.1</v>
      </c>
      <c r="AB421" s="116">
        <v>22</v>
      </c>
      <c r="AC421" s="122">
        <v>6.1</v>
      </c>
      <c r="AD421" s="122">
        <v>5.8</v>
      </c>
      <c r="AE421" s="79">
        <v>0.12</v>
      </c>
      <c r="AF421" s="79">
        <v>0.11</v>
      </c>
      <c r="AG421" s="85">
        <f>(O421+0.3*H421+2)*(F421/2/AK421)</f>
        <v>1877.1833333333336</v>
      </c>
      <c r="AH421" s="85">
        <f t="shared" si="47"/>
        <v>2018.8714311999995</v>
      </c>
      <c r="AI421" s="85">
        <f t="shared" si="48"/>
        <v>1.0754790943168395</v>
      </c>
      <c r="AJ421" s="116">
        <v>2</v>
      </c>
      <c r="AK421" s="116">
        <v>3</v>
      </c>
      <c r="AL421" s="122">
        <v>6.3</v>
      </c>
      <c r="AM421" s="116">
        <v>26</v>
      </c>
      <c r="AN421" s="122">
        <v>6.1</v>
      </c>
      <c r="AO421" s="122">
        <v>5.8</v>
      </c>
      <c r="AP421" s="79">
        <v>0.1</v>
      </c>
      <c r="AQ421" s="79">
        <v>0.14000000000000001</v>
      </c>
      <c r="AR421" s="132">
        <f>SUM(C421:E421)</f>
        <v>1807</v>
      </c>
      <c r="AS421" s="134">
        <f>C421/AR421</f>
        <v>0</v>
      </c>
      <c r="AT421" s="134">
        <f>D421/AR421</f>
        <v>0.86164914222468181</v>
      </c>
      <c r="AU421" s="134">
        <f>E421/AR421</f>
        <v>0.13835085777531822</v>
      </c>
      <c r="AV421" s="151">
        <f>IF(AND(F421&lt;&gt;"",Z421&lt;&gt;""),AB421/(F421/2/Z421),"")</f>
        <v>9.2194866422210586E-2</v>
      </c>
      <c r="AW421" s="151">
        <f>IF(AND(F421&lt;&gt;"",AK421&lt;&gt;""),AM421/(F421/2/AK421),"")</f>
        <v>8.1718177056050278E-2</v>
      </c>
      <c r="AX421" s="43">
        <f>IF(AND(AQ421&lt;&gt;"",1-(AQ421/O421)&gt;0),1-(AQ421/O421),"")</f>
        <v>0.8666666666666667</v>
      </c>
      <c r="AY421" s="41">
        <f>IF(AND(AF421&lt;&gt;"",1-(AF421/O421)&gt;0),1-(AF421/O421),"")</f>
        <v>0.89523809523809528</v>
      </c>
      <c r="AZ421" s="136" t="str">
        <f>IF(Q421="","",IF(Q421&lt;2.5,"Alc. Bruta &lt; 2,5 mg/L",IF(Q421&lt;5,"2,5 ≤ Alc. Bruta &lt; 5,0 mg/L",IF(Q421&lt;7.5,"5,0 ≤ Alc. Bruta &lt; 7,5 mg/L",IF(Q421&lt;10,"7,5 ≤ Alc. Bruta &lt; 10,0 mg/L",IF(Q421&lt;15,"10,0 ≤ Alca. Bruta &lt; 15,0 mg/L","Alc. Bruta &gt; 15 mg/L"))))))</f>
        <v>7,5 ≤ Alc. Bruta &lt; 10,0 mg/L</v>
      </c>
      <c r="BA421" s="136" t="str">
        <f>IF(P421="","",IF(P421&lt;5,"Cor &lt;5 uC",IF(P421&lt;10,"5 ≤ Cor &lt; 10 uC",IF(P421&lt;15,"10 ≤ Cor &lt;15 uC",IF(P421&lt;30,"15 ≤ Cor &lt; 30 uC",IF(P421&lt;50,"30 ≤ Cor &lt; 50 uC","Cor &gt; 50 uC"))))))</f>
        <v>5 ≤ Cor &lt; 10 uC</v>
      </c>
      <c r="BB421" s="137" t="str">
        <f>IF(O421="","",IF(O421&lt;2.5,"Turbidez &lt; 2,5 uT",IF(O421&lt;5,"2,5 ≤ Turb &lt; 5,0 uT",IF(O421&lt;7.5,"5,0 ≤ Turb &lt; 7,5 uT",IF(O421&lt;10,"7,5 ≤ Turb &lt; 10,0 uT",IF(O421&lt;15,"10,0 ≤ Turb &lt; 15,0 uT","Turb &gt; 15 uT"))))))</f>
        <v>Turbidez &lt; 2,5 uT</v>
      </c>
      <c r="BC421" s="138" t="str">
        <f>IF(AND(C421&gt;D421,D421&gt;E421),"TOR &gt; SM &gt; BNN",IF(AND(C421&gt;E421,E421&gt;D421),"TOR &gt; BNN &gt; SM",IF(AND(D421&gt;C421,C421&gt;E421),"SM &gt; TOR &gt; BNN",IF(AND(D421&gt;E421,E421&gt;C421),"SM &gt; BNN &gt; TOR",IF(AND(C421=D421,D421=E421),"TOR = SM = BNN","Comb. diferentes")))))</f>
        <v>SM &gt; BNN &gt; TOR</v>
      </c>
      <c r="BD421" s="137" t="str">
        <f>IF(OR(AE421="",AQ421="-"),"",IF(AE421&lt;=0.25,"Tipo 1 (≤0,25) uT",IF(AE421&lt;=0.5,"Tipo 2 (0,25-0,50) uT",IF(AE421&lt;=0.75,"Tipo 3 (0,50-0,75) uT","Tipo 4 (&gt;0,75) uT"))))</f>
        <v>Tipo 1 (≤0,25) uT</v>
      </c>
      <c r="BE421" s="137" t="str">
        <f t="shared" si="42"/>
        <v>Tipo 1 (≤0,25) uT</v>
      </c>
      <c r="BF421" s="137" t="str">
        <f>IF(OR(AF421="",AQ421="-"),"",IF(AF421&lt;=0.25,"Tipo 1 (≤0,25) uT",IF(AF421&lt;=0.5,"Tipo 2 (0,25-0,50) uT",IF(AF421&lt;=0.75,"Tipo 3 (0,50-0,75) uT","Tipo 4 (&gt;0,75) uT"))))</f>
        <v>Tipo 1 (≤0,25) uT</v>
      </c>
      <c r="BG421" s="137" t="str">
        <f t="shared" si="43"/>
        <v>Tipo 1 (≤0,25) uT</v>
      </c>
      <c r="BH421" s="137" t="str">
        <f>IF(OR(R421="",R421="-"),"",IF(R421&lt;=0.25,"Tipo 1 (≤0,25) uT",IF(R421&lt;=0.5,"Tipo 2 (0,25-0,50) uT",IF(R421&lt;=0.75,"Tipo 3 (0,50-0,75) uT","Tipo 4 (&gt;0,75) uT"))))</f>
        <v>Tipo 1 (≤0,25) uT</v>
      </c>
    </row>
    <row r="422" spans="1:60" ht="15" thickBot="1" x14ac:dyDescent="0.35">
      <c r="A422" s="74">
        <v>46306</v>
      </c>
      <c r="B422" s="139">
        <v>0.14583333333333334</v>
      </c>
      <c r="C422" s="118">
        <v>0</v>
      </c>
      <c r="D422" s="116">
        <v>1550</v>
      </c>
      <c r="E422" s="116">
        <v>250</v>
      </c>
      <c r="F422" s="116">
        <v>1900</v>
      </c>
      <c r="G422" s="144" t="s">
        <v>100</v>
      </c>
      <c r="H422" s="122">
        <v>9.5</v>
      </c>
      <c r="I422" s="116">
        <v>33</v>
      </c>
      <c r="J422" s="10">
        <v>90</v>
      </c>
      <c r="K422" s="116">
        <v>90</v>
      </c>
      <c r="L422" s="116">
        <v>90</v>
      </c>
      <c r="M422" s="122">
        <v>26</v>
      </c>
      <c r="N422" s="122">
        <v>6.4</v>
      </c>
      <c r="O422" s="79">
        <v>1.0900000000000001</v>
      </c>
      <c r="P422" s="116">
        <v>9</v>
      </c>
      <c r="Q422" s="122">
        <v>7.1</v>
      </c>
      <c r="R422" s="10">
        <v>0.11</v>
      </c>
      <c r="S422" s="79">
        <v>22.36</v>
      </c>
      <c r="T422" s="79">
        <v>0.88</v>
      </c>
      <c r="U422" s="79">
        <v>0.7</v>
      </c>
      <c r="V422" s="85">
        <f t="shared" si="44"/>
        <v>1410.75</v>
      </c>
      <c r="W422" s="85">
        <f t="shared" si="45"/>
        <v>1640.3023207999997</v>
      </c>
      <c r="X422" s="85">
        <f t="shared" si="46"/>
        <v>1.1627165130604287</v>
      </c>
      <c r="Y422" s="116">
        <v>2</v>
      </c>
      <c r="Z422" s="116">
        <v>4</v>
      </c>
      <c r="AA422" s="122">
        <v>6.1</v>
      </c>
      <c r="AB422" s="116">
        <v>22</v>
      </c>
      <c r="AC422" s="122">
        <v>6.2</v>
      </c>
      <c r="AD422" s="122">
        <v>5.7</v>
      </c>
      <c r="AE422" s="79">
        <v>0.11</v>
      </c>
      <c r="AF422" s="79">
        <v>0.11</v>
      </c>
      <c r="AG422" s="85">
        <f>(O422+0.3*H422+2)*(F422/2/AK422)</f>
        <v>1881.0000000000002</v>
      </c>
      <c r="AH422" s="85">
        <f t="shared" si="47"/>
        <v>2080.9905521599994</v>
      </c>
      <c r="AI422" s="85">
        <f t="shared" si="48"/>
        <v>1.1063213993407757</v>
      </c>
      <c r="AJ422" s="116">
        <v>2</v>
      </c>
      <c r="AK422" s="116">
        <v>3</v>
      </c>
      <c r="AL422" s="122">
        <v>6.3</v>
      </c>
      <c r="AM422" s="116">
        <v>26.8</v>
      </c>
      <c r="AN422" s="122">
        <v>6.2</v>
      </c>
      <c r="AO422" s="122">
        <v>5.6</v>
      </c>
      <c r="AP422" s="79">
        <v>0.12</v>
      </c>
      <c r="AQ422" s="79">
        <v>0.15</v>
      </c>
      <c r="AR422" s="132">
        <f>SUM(C422:E422)</f>
        <v>1800</v>
      </c>
      <c r="AS422" s="134">
        <f>C422/AR422</f>
        <v>0</v>
      </c>
      <c r="AT422" s="134">
        <f>D422/AR422</f>
        <v>0.86111111111111116</v>
      </c>
      <c r="AU422" s="134">
        <f>E422/AR422</f>
        <v>0.1388888888888889</v>
      </c>
      <c r="AV422" s="151">
        <f>IF(AND(F422&lt;&gt;"",Z422&lt;&gt;""),AB422/(F422/2/Z422),"")</f>
        <v>9.2631578947368426E-2</v>
      </c>
      <c r="AW422" s="151">
        <f>IF(AND(F422&lt;&gt;"",AK422&lt;&gt;""),AM422/(F422/2/AK422),"")</f>
        <v>8.4631578947368419E-2</v>
      </c>
      <c r="AX422" s="43">
        <f>IF(AND(AQ422&lt;&gt;"",1-(AQ422/O422)&gt;0),1-(AQ422/O422),"")</f>
        <v>0.86238532110091748</v>
      </c>
      <c r="AY422" s="41">
        <f>IF(AND(AF422&lt;&gt;"",1-(AF422/O422)&gt;0),1-(AF422/O422),"")</f>
        <v>0.8990825688073395</v>
      </c>
      <c r="AZ422" s="136" t="str">
        <f>IF(Q422="","",IF(Q422&lt;2.5,"Alc. Bruta &lt; 2,5 mg/L",IF(Q422&lt;5,"2,5 ≤ Alc. Bruta &lt; 5,0 mg/L",IF(Q422&lt;7.5,"5,0 ≤ Alc. Bruta &lt; 7,5 mg/L",IF(Q422&lt;10,"7,5 ≤ Alc. Bruta &lt; 10,0 mg/L",IF(Q422&lt;15,"10,0 ≤ Alca. Bruta &lt; 15,0 mg/L","Alc. Bruta &gt; 15 mg/L"))))))</f>
        <v>5,0 ≤ Alc. Bruta &lt; 7,5 mg/L</v>
      </c>
      <c r="BA422" s="136" t="str">
        <f>IF(P422="","",IF(P422&lt;5,"Cor &lt;5 uC",IF(P422&lt;10,"5 ≤ Cor &lt; 10 uC",IF(P422&lt;15,"10 ≤ Cor &lt;15 uC",IF(P422&lt;30,"15 ≤ Cor &lt; 30 uC",IF(P422&lt;50,"30 ≤ Cor &lt; 50 uC","Cor &gt; 50 uC"))))))</f>
        <v>5 ≤ Cor &lt; 10 uC</v>
      </c>
      <c r="BB422" s="137" t="str">
        <f>IF(O422="","",IF(O422&lt;2.5,"Turbidez &lt; 2,5 uT",IF(O422&lt;5,"2,5 ≤ Turb &lt; 5,0 uT",IF(O422&lt;7.5,"5,0 ≤ Turb &lt; 7,5 uT",IF(O422&lt;10,"7,5 ≤ Turb &lt; 10,0 uT",IF(O422&lt;15,"10,0 ≤ Turb &lt; 15,0 uT","Turb &gt; 15 uT"))))))</f>
        <v>Turbidez &lt; 2,5 uT</v>
      </c>
      <c r="BC422" s="138" t="str">
        <f>IF(AND(C422&gt;D422,D422&gt;E422),"TOR &gt; SM &gt; BNN",IF(AND(C422&gt;E422,E422&gt;D422),"TOR &gt; BNN &gt; SM",IF(AND(D422&gt;C422,C422&gt;E422),"SM &gt; TOR &gt; BNN",IF(AND(D422&gt;E422,E422&gt;C422),"SM &gt; BNN &gt; TOR",IF(AND(C422=D422,D422=E422),"TOR = SM = BNN","Comb. diferentes")))))</f>
        <v>SM &gt; BNN &gt; TOR</v>
      </c>
      <c r="BD422" s="137" t="str">
        <f>IF(OR(AE422="",AQ422="-"),"",IF(AE422&lt;=0.25,"Tipo 1 (≤0,25) uT",IF(AE422&lt;=0.5,"Tipo 2 (0,25-0,50) uT",IF(AE422&lt;=0.75,"Tipo 3 (0,50-0,75) uT","Tipo 4 (&gt;0,75) uT"))))</f>
        <v>Tipo 1 (≤0,25) uT</v>
      </c>
      <c r="BE422" s="137" t="str">
        <f t="shared" si="42"/>
        <v>Tipo 1 (≤0,25) uT</v>
      </c>
      <c r="BF422" s="137" t="str">
        <f>IF(OR(AF422="",AQ422="-"),"",IF(AF422&lt;=0.25,"Tipo 1 (≤0,25) uT",IF(AF422&lt;=0.5,"Tipo 2 (0,25-0,50) uT",IF(AF422&lt;=0.75,"Tipo 3 (0,50-0,75) uT","Tipo 4 (&gt;0,75) uT"))))</f>
        <v>Tipo 1 (≤0,25) uT</v>
      </c>
      <c r="BG422" s="137" t="str">
        <f t="shared" si="43"/>
        <v>Tipo 1 (≤0,25) uT</v>
      </c>
      <c r="BH422" s="137" t="str">
        <f>IF(OR(R422="",R422="-"),"",IF(R422&lt;=0.25,"Tipo 1 (≤0,25) uT",IF(R422&lt;=0.5,"Tipo 2 (0,25-0,50) uT",IF(R422&lt;=0.75,"Tipo 3 (0,50-0,75) uT","Tipo 4 (&gt;0,75) uT"))))</f>
        <v>Tipo 1 (≤0,25) uT</v>
      </c>
    </row>
    <row r="423" spans="1:60" ht="15" thickBot="1" x14ac:dyDescent="0.35">
      <c r="A423" s="75">
        <v>46306</v>
      </c>
      <c r="B423" s="140">
        <v>0.22916666666666666</v>
      </c>
      <c r="C423" s="118">
        <v>0</v>
      </c>
      <c r="D423" s="117">
        <v>1554</v>
      </c>
      <c r="E423" s="117">
        <v>250</v>
      </c>
      <c r="F423" s="117">
        <v>1880</v>
      </c>
      <c r="G423" s="144" t="s">
        <v>100</v>
      </c>
      <c r="H423" s="123">
        <v>9.5</v>
      </c>
      <c r="I423" s="117">
        <v>33</v>
      </c>
      <c r="J423" s="11">
        <v>90</v>
      </c>
      <c r="K423" s="117">
        <v>90</v>
      </c>
      <c r="L423" s="117">
        <v>90</v>
      </c>
      <c r="M423" s="123">
        <v>25.8</v>
      </c>
      <c r="N423" s="123">
        <v>6.4</v>
      </c>
      <c r="O423" s="80">
        <v>1.06</v>
      </c>
      <c r="P423" s="117">
        <v>9</v>
      </c>
      <c r="Q423" s="123">
        <v>7.2</v>
      </c>
      <c r="R423" s="11">
        <v>0.12</v>
      </c>
      <c r="S423" s="79">
        <v>22.36</v>
      </c>
      <c r="T423" s="79">
        <v>0.88</v>
      </c>
      <c r="U423" s="79">
        <v>0.7</v>
      </c>
      <c r="V423" s="85">
        <f t="shared" si="44"/>
        <v>1851.8</v>
      </c>
      <c r="W423" s="85">
        <f t="shared" si="45"/>
        <v>1640.3023207999997</v>
      </c>
      <c r="X423" s="85">
        <f t="shared" si="46"/>
        <v>0.88578805529754823</v>
      </c>
      <c r="Y423" s="117">
        <v>2</v>
      </c>
      <c r="Z423" s="117">
        <v>3</v>
      </c>
      <c r="AA423" s="123">
        <v>6.1</v>
      </c>
      <c r="AB423" s="117">
        <v>22</v>
      </c>
      <c r="AC423" s="123">
        <v>6.2</v>
      </c>
      <c r="AD423" s="123">
        <v>5.7</v>
      </c>
      <c r="AE423" s="80">
        <v>0.12</v>
      </c>
      <c r="AF423" s="80">
        <v>0.11</v>
      </c>
      <c r="AG423" s="85">
        <f>(O423+0.3*H423+2)*(F423/2/AK423)</f>
        <v>1388.8500000000001</v>
      </c>
      <c r="AH423" s="85">
        <f t="shared" si="47"/>
        <v>1863.5736287999996</v>
      </c>
      <c r="AI423" s="85">
        <f t="shared" si="48"/>
        <v>1.3418105834323357</v>
      </c>
      <c r="AJ423" s="117">
        <v>2</v>
      </c>
      <c r="AK423" s="117">
        <v>4</v>
      </c>
      <c r="AL423" s="123">
        <v>6.3</v>
      </c>
      <c r="AM423" s="117">
        <v>24</v>
      </c>
      <c r="AN423" s="123">
        <v>6.2</v>
      </c>
      <c r="AO423" s="123">
        <v>5.7</v>
      </c>
      <c r="AP423" s="80">
        <v>0.13</v>
      </c>
      <c r="AQ423" s="80">
        <v>0.16</v>
      </c>
      <c r="AR423" s="132">
        <f>SUM(C423:E423)</f>
        <v>1804</v>
      </c>
      <c r="AS423" s="134">
        <f>C423/AR423</f>
        <v>0</v>
      </c>
      <c r="AT423" s="134">
        <f>D423/AR423</f>
        <v>0.86141906873614194</v>
      </c>
      <c r="AU423" s="134">
        <f>E423/AR423</f>
        <v>0.13858093126385809</v>
      </c>
      <c r="AV423" s="151">
        <f>IF(AND(F423&lt;&gt;"",Z423&lt;&gt;""),AB423/(F423/2/Z423),"")</f>
        <v>7.0212765957446813E-2</v>
      </c>
      <c r="AW423" s="151">
        <f>IF(AND(F423&lt;&gt;"",AK423&lt;&gt;""),AM423/(F423/2/AK423),"")</f>
        <v>0.10212765957446808</v>
      </c>
      <c r="AX423" s="43">
        <f>IF(AND(AQ423&lt;&gt;"",1-(AQ423/O423)&gt;0),1-(AQ423/O423),"")</f>
        <v>0.84905660377358494</v>
      </c>
      <c r="AY423" s="41">
        <f>IF(AND(AF423&lt;&gt;"",1-(AF423/O423)&gt;0),1-(AF423/O423),"")</f>
        <v>0.89622641509433965</v>
      </c>
      <c r="AZ423" s="136" t="str">
        <f>IF(Q423="","",IF(Q423&lt;2.5,"Alc. Bruta &lt; 2,5 mg/L",IF(Q423&lt;5,"2,5 ≤ Alc. Bruta &lt; 5,0 mg/L",IF(Q423&lt;7.5,"5,0 ≤ Alc. Bruta &lt; 7,5 mg/L",IF(Q423&lt;10,"7,5 ≤ Alc. Bruta &lt; 10,0 mg/L",IF(Q423&lt;15,"10,0 ≤ Alca. Bruta &lt; 15,0 mg/L","Alc. Bruta &gt; 15 mg/L"))))))</f>
        <v>5,0 ≤ Alc. Bruta &lt; 7,5 mg/L</v>
      </c>
      <c r="BA423" s="136" t="str">
        <f>IF(P423="","",IF(P423&lt;5,"Cor &lt;5 uC",IF(P423&lt;10,"5 ≤ Cor &lt; 10 uC",IF(P423&lt;15,"10 ≤ Cor &lt;15 uC",IF(P423&lt;30,"15 ≤ Cor &lt; 30 uC",IF(P423&lt;50,"30 ≤ Cor &lt; 50 uC","Cor &gt; 50 uC"))))))</f>
        <v>5 ≤ Cor &lt; 10 uC</v>
      </c>
      <c r="BB423" s="137" t="str">
        <f>IF(O423="","",IF(O423&lt;2.5,"Turbidez &lt; 2,5 uT",IF(O423&lt;5,"2,5 ≤ Turb &lt; 5,0 uT",IF(O423&lt;7.5,"5,0 ≤ Turb &lt; 7,5 uT",IF(O423&lt;10,"7,5 ≤ Turb &lt; 10,0 uT",IF(O423&lt;15,"10,0 ≤ Turb &lt; 15,0 uT","Turb &gt; 15 uT"))))))</f>
        <v>Turbidez &lt; 2,5 uT</v>
      </c>
      <c r="BC423" s="138" t="str">
        <f>IF(AND(C423&gt;D423,D423&gt;E423),"TOR &gt; SM &gt; BNN",IF(AND(C423&gt;E423,E423&gt;D423),"TOR &gt; BNN &gt; SM",IF(AND(D423&gt;C423,C423&gt;E423),"SM &gt; TOR &gt; BNN",IF(AND(D423&gt;E423,E423&gt;C423),"SM &gt; BNN &gt; TOR",IF(AND(C423=D423,D423=E423),"TOR = SM = BNN","Comb. diferentes")))))</f>
        <v>SM &gt; BNN &gt; TOR</v>
      </c>
      <c r="BD423" s="137" t="str">
        <f>IF(OR(AE423="",AQ423="-"),"",IF(AE423&lt;=0.25,"Tipo 1 (≤0,25) uT",IF(AE423&lt;=0.5,"Tipo 2 (0,25-0,50) uT",IF(AE423&lt;=0.75,"Tipo 3 (0,50-0,75) uT","Tipo 4 (&gt;0,75) uT"))))</f>
        <v>Tipo 1 (≤0,25) uT</v>
      </c>
      <c r="BE423" s="137" t="str">
        <f t="shared" si="42"/>
        <v>Tipo 1 (≤0,25) uT</v>
      </c>
      <c r="BF423" s="137" t="str">
        <f>IF(OR(AF423="",AQ423="-"),"",IF(AF423&lt;=0.25,"Tipo 1 (≤0,25) uT",IF(AF423&lt;=0.5,"Tipo 2 (0,25-0,50) uT",IF(AF423&lt;=0.75,"Tipo 3 (0,50-0,75) uT","Tipo 4 (&gt;0,75) uT"))))</f>
        <v>Tipo 1 (≤0,25) uT</v>
      </c>
      <c r="BG423" s="137" t="str">
        <f t="shared" si="43"/>
        <v>Tipo 1 (≤0,25) uT</v>
      </c>
      <c r="BH423" s="137" t="str">
        <f>IF(OR(R423="",R423="-"),"",IF(R423&lt;=0.25,"Tipo 1 (≤0,25) uT",IF(R423&lt;=0.5,"Tipo 2 (0,25-0,50) uT",IF(R423&lt;=0.75,"Tipo 3 (0,50-0,75) uT","Tipo 4 (&gt;0,75) uT"))))</f>
        <v>Tipo 1 (≤0,25) uT</v>
      </c>
    </row>
    <row r="424" spans="1:60" ht="15" thickBot="1" x14ac:dyDescent="0.35">
      <c r="A424" s="73">
        <v>46306</v>
      </c>
      <c r="B424" s="141">
        <v>0.3125</v>
      </c>
      <c r="C424" s="118">
        <v>0</v>
      </c>
      <c r="D424" s="118">
        <v>1000</v>
      </c>
      <c r="E424" s="118">
        <v>300</v>
      </c>
      <c r="F424" s="118">
        <v>1356</v>
      </c>
      <c r="G424" s="146" t="s">
        <v>100</v>
      </c>
      <c r="H424" s="124">
        <v>9.5</v>
      </c>
      <c r="I424" s="118">
        <v>33</v>
      </c>
      <c r="J424" s="9">
        <v>90</v>
      </c>
      <c r="K424" s="118">
        <v>90</v>
      </c>
      <c r="L424" s="118">
        <v>90</v>
      </c>
      <c r="M424" s="124">
        <v>25.8</v>
      </c>
      <c r="N424" s="124">
        <v>6.5</v>
      </c>
      <c r="O424" s="81">
        <v>1.36</v>
      </c>
      <c r="P424" s="118">
        <v>9</v>
      </c>
      <c r="Q424" s="124">
        <v>8.5</v>
      </c>
      <c r="R424" s="9">
        <v>0.11</v>
      </c>
      <c r="S424" s="79">
        <v>22.36</v>
      </c>
      <c r="T424" s="79">
        <v>0.88</v>
      </c>
      <c r="U424" s="79">
        <v>0.7</v>
      </c>
      <c r="V424" s="85">
        <f t="shared" si="44"/>
        <v>2105.19</v>
      </c>
      <c r="W424" s="85">
        <f t="shared" si="45"/>
        <v>1826.4971712000001</v>
      </c>
      <c r="X424" s="85">
        <f t="shared" si="46"/>
        <v>0.86761630598663309</v>
      </c>
      <c r="Y424" s="118">
        <v>1</v>
      </c>
      <c r="Z424" s="118">
        <v>2</v>
      </c>
      <c r="AA424" s="124">
        <v>6.2</v>
      </c>
      <c r="AB424" s="118">
        <v>24</v>
      </c>
      <c r="AC424" s="124">
        <v>6.3</v>
      </c>
      <c r="AD424" s="124">
        <v>6.2</v>
      </c>
      <c r="AE424" s="81">
        <v>0.15</v>
      </c>
      <c r="AF424" s="81">
        <v>0.12</v>
      </c>
      <c r="AG424" s="85">
        <f>(O424+0.3*H424+2)*(F424/2/AK424)</f>
        <v>1403.46</v>
      </c>
      <c r="AH424" s="85">
        <f t="shared" si="47"/>
        <v>1941.2225299999996</v>
      </c>
      <c r="AI424" s="85">
        <f t="shared" si="48"/>
        <v>1.3831691177518415</v>
      </c>
      <c r="AJ424" s="118">
        <v>2</v>
      </c>
      <c r="AK424" s="118">
        <v>3</v>
      </c>
      <c r="AL424" s="124">
        <v>6.3</v>
      </c>
      <c r="AM424" s="118">
        <v>25</v>
      </c>
      <c r="AN424" s="124">
        <v>6.3</v>
      </c>
      <c r="AO424" s="124">
        <v>6.3</v>
      </c>
      <c r="AP424" s="81">
        <v>0.15</v>
      </c>
      <c r="AQ424" s="81">
        <v>0.17</v>
      </c>
      <c r="AR424" s="132">
        <f>SUM(C424:E424)</f>
        <v>1300</v>
      </c>
      <c r="AS424" s="134">
        <f>C424/AR424</f>
        <v>0</v>
      </c>
      <c r="AT424" s="134">
        <f>D424/AR424</f>
        <v>0.76923076923076927</v>
      </c>
      <c r="AU424" s="134">
        <f>E424/AR424</f>
        <v>0.23076923076923078</v>
      </c>
      <c r="AV424" s="151">
        <f>IF(AND(F424&lt;&gt;"",Z424&lt;&gt;""),AB424/(F424/2/Z424),"")</f>
        <v>7.0796460176991149E-2</v>
      </c>
      <c r="AW424" s="151">
        <f>IF(AND(F424&lt;&gt;"",AK424&lt;&gt;""),AM424/(F424/2/AK424),"")</f>
        <v>0.11061946902654868</v>
      </c>
      <c r="AX424" s="43">
        <f>IF(AND(AQ424&lt;&gt;"",1-(AQ424/O424)&gt;0),1-(AQ424/O424),"")</f>
        <v>0.875</v>
      </c>
      <c r="AY424" s="41">
        <f>IF(AND(AF424&lt;&gt;"",1-(AF424/O424)&gt;0),1-(AF424/O424),"")</f>
        <v>0.91176470588235292</v>
      </c>
      <c r="AZ424" s="136" t="str">
        <f>IF(Q424="","",IF(Q424&lt;2.5,"Alc. Bruta &lt; 2,5 mg/L",IF(Q424&lt;5,"2,5 ≤ Alc. Bruta &lt; 5,0 mg/L",IF(Q424&lt;7.5,"5,0 ≤ Alc. Bruta &lt; 7,5 mg/L",IF(Q424&lt;10,"7,5 ≤ Alc. Bruta &lt; 10,0 mg/L",IF(Q424&lt;15,"10,0 ≤ Alca. Bruta &lt; 15,0 mg/L","Alc. Bruta &gt; 15 mg/L"))))))</f>
        <v>7,5 ≤ Alc. Bruta &lt; 10,0 mg/L</v>
      </c>
      <c r="BA424" s="136" t="str">
        <f>IF(P424="","",IF(P424&lt;5,"Cor &lt;5 uC",IF(P424&lt;10,"5 ≤ Cor &lt; 10 uC",IF(P424&lt;15,"10 ≤ Cor &lt;15 uC",IF(P424&lt;30,"15 ≤ Cor &lt; 30 uC",IF(P424&lt;50,"30 ≤ Cor &lt; 50 uC","Cor &gt; 50 uC"))))))</f>
        <v>5 ≤ Cor &lt; 10 uC</v>
      </c>
      <c r="BB424" s="137" t="str">
        <f>IF(O424="","",IF(O424&lt;2.5,"Turbidez &lt; 2,5 uT",IF(O424&lt;5,"2,5 ≤ Turb &lt; 5,0 uT",IF(O424&lt;7.5,"5,0 ≤ Turb &lt; 7,5 uT",IF(O424&lt;10,"7,5 ≤ Turb &lt; 10,0 uT",IF(O424&lt;15,"10,0 ≤ Turb &lt; 15,0 uT","Turb &gt; 15 uT"))))))</f>
        <v>Turbidez &lt; 2,5 uT</v>
      </c>
      <c r="BC424" s="138" t="str">
        <f>IF(AND(C424&gt;D424,D424&gt;E424),"TOR &gt; SM &gt; BNN",IF(AND(C424&gt;E424,E424&gt;D424),"TOR &gt; BNN &gt; SM",IF(AND(D424&gt;C424,C424&gt;E424),"SM &gt; TOR &gt; BNN",IF(AND(D424&gt;E424,E424&gt;C424),"SM &gt; BNN &gt; TOR",IF(AND(C424=D424,D424=E424),"TOR = SM = BNN","Comb. diferentes")))))</f>
        <v>SM &gt; BNN &gt; TOR</v>
      </c>
      <c r="BD424" s="137" t="str">
        <f>IF(OR(AE424="",AQ424="-"),"",IF(AE424&lt;=0.25,"Tipo 1 (≤0,25) uT",IF(AE424&lt;=0.5,"Tipo 2 (0,25-0,50) uT",IF(AE424&lt;=0.75,"Tipo 3 (0,50-0,75) uT","Tipo 4 (&gt;0,75) uT"))))</f>
        <v>Tipo 1 (≤0,25) uT</v>
      </c>
      <c r="BE424" s="137" t="str">
        <f t="shared" si="42"/>
        <v>Tipo 1 (≤0,25) uT</v>
      </c>
      <c r="BF424" s="137" t="str">
        <f>IF(OR(AF424="",AQ424="-"),"",IF(AF424&lt;=0.25,"Tipo 1 (≤0,25) uT",IF(AF424&lt;=0.5,"Tipo 2 (0,25-0,50) uT",IF(AF424&lt;=0.75,"Tipo 3 (0,50-0,75) uT","Tipo 4 (&gt;0,75) uT"))))</f>
        <v>Tipo 1 (≤0,25) uT</v>
      </c>
      <c r="BG424" s="137" t="str">
        <f t="shared" si="43"/>
        <v>Tipo 1 (≤0,25) uT</v>
      </c>
      <c r="BH424" s="137" t="str">
        <f>IF(OR(R424="",R424="-"),"",IF(R424&lt;=0.25,"Tipo 1 (≤0,25) uT",IF(R424&lt;=0.5,"Tipo 2 (0,25-0,50) uT",IF(R424&lt;=0.75,"Tipo 3 (0,50-0,75) uT","Tipo 4 (&gt;0,75) uT"))))</f>
        <v>Tipo 1 (≤0,25) uT</v>
      </c>
    </row>
    <row r="425" spans="1:60" ht="15" thickBot="1" x14ac:dyDescent="0.35">
      <c r="A425" s="74">
        <v>46306</v>
      </c>
      <c r="B425" s="139">
        <v>0.39583333333333331</v>
      </c>
      <c r="C425" s="118">
        <v>0</v>
      </c>
      <c r="D425" s="116">
        <v>1015</v>
      </c>
      <c r="E425" s="116">
        <v>300</v>
      </c>
      <c r="F425" s="116">
        <v>1280</v>
      </c>
      <c r="G425" s="144" t="s">
        <v>100</v>
      </c>
      <c r="H425" s="122">
        <v>9.5</v>
      </c>
      <c r="I425" s="116">
        <v>33</v>
      </c>
      <c r="J425" s="10">
        <v>90</v>
      </c>
      <c r="K425" s="116">
        <v>90</v>
      </c>
      <c r="L425" s="116">
        <v>90</v>
      </c>
      <c r="M425" s="122">
        <v>26</v>
      </c>
      <c r="N425" s="122">
        <v>6.6</v>
      </c>
      <c r="O425" s="79">
        <v>1.39</v>
      </c>
      <c r="P425" s="116">
        <v>9</v>
      </c>
      <c r="Q425" s="122">
        <v>8.9</v>
      </c>
      <c r="R425" s="10">
        <v>0.11</v>
      </c>
      <c r="S425" s="79">
        <v>22.36</v>
      </c>
      <c r="T425" s="79">
        <v>0.88</v>
      </c>
      <c r="U425" s="79">
        <v>0.7</v>
      </c>
      <c r="V425" s="85">
        <f t="shared" si="44"/>
        <v>1996.8000000000002</v>
      </c>
      <c r="W425" s="85">
        <f t="shared" si="45"/>
        <v>1826.4971712000001</v>
      </c>
      <c r="X425" s="85">
        <f t="shared" si="46"/>
        <v>0.91471212499999999</v>
      </c>
      <c r="Y425" s="116">
        <v>1</v>
      </c>
      <c r="Z425" s="116">
        <v>2</v>
      </c>
      <c r="AA425" s="122">
        <v>6.2</v>
      </c>
      <c r="AB425" s="116">
        <v>24</v>
      </c>
      <c r="AC425" s="122">
        <v>6.3</v>
      </c>
      <c r="AD425" s="122">
        <v>7.1</v>
      </c>
      <c r="AE425" s="79">
        <v>0.16</v>
      </c>
      <c r="AF425" s="79">
        <v>0.11</v>
      </c>
      <c r="AG425" s="85">
        <f>(O425+0.3*H425+2)*(F425/2/AK425)</f>
        <v>1331.2</v>
      </c>
      <c r="AH425" s="85">
        <f t="shared" si="47"/>
        <v>1941.2225299999996</v>
      </c>
      <c r="AI425" s="85">
        <f t="shared" si="48"/>
        <v>1.4582500976562496</v>
      </c>
      <c r="AJ425" s="116">
        <v>2</v>
      </c>
      <c r="AK425" s="116">
        <v>3</v>
      </c>
      <c r="AL425" s="122">
        <v>6.3</v>
      </c>
      <c r="AM425" s="116">
        <v>25</v>
      </c>
      <c r="AN425" s="122">
        <v>6.3</v>
      </c>
      <c r="AO425" s="122">
        <v>7.3</v>
      </c>
      <c r="AP425" s="79">
        <v>0.15</v>
      </c>
      <c r="AQ425" s="79">
        <v>0.16</v>
      </c>
      <c r="AR425" s="132">
        <f>SUM(C425:E425)</f>
        <v>1315</v>
      </c>
      <c r="AS425" s="134">
        <f>C425/AR425</f>
        <v>0</v>
      </c>
      <c r="AT425" s="134">
        <f>D425/AR425</f>
        <v>0.77186311787072248</v>
      </c>
      <c r="AU425" s="134">
        <f>E425/AR425</f>
        <v>0.22813688212927757</v>
      </c>
      <c r="AV425" s="151">
        <f>IF(AND(F425&lt;&gt;"",Z425&lt;&gt;""),AB425/(F425/2/Z425),"")</f>
        <v>7.4999999999999997E-2</v>
      </c>
      <c r="AW425" s="151">
        <f>IF(AND(F425&lt;&gt;"",AK425&lt;&gt;""),AM425/(F425/2/AK425),"")</f>
        <v>0.1171875</v>
      </c>
      <c r="AX425" s="43">
        <f>IF(AND(AQ425&lt;&gt;"",1-(AQ425/O425)&gt;0),1-(AQ425/O425),"")</f>
        <v>0.8848920863309353</v>
      </c>
      <c r="AY425" s="41">
        <f>IF(AND(AF425&lt;&gt;"",1-(AF425/O425)&gt;0),1-(AF425/O425),"")</f>
        <v>0.92086330935251803</v>
      </c>
      <c r="AZ425" s="136" t="str">
        <f>IF(Q425="","",IF(Q425&lt;2.5,"Alc. Bruta &lt; 2,5 mg/L",IF(Q425&lt;5,"2,5 ≤ Alc. Bruta &lt; 5,0 mg/L",IF(Q425&lt;7.5,"5,0 ≤ Alc. Bruta &lt; 7,5 mg/L",IF(Q425&lt;10,"7,5 ≤ Alc. Bruta &lt; 10,0 mg/L",IF(Q425&lt;15,"10,0 ≤ Alca. Bruta &lt; 15,0 mg/L","Alc. Bruta &gt; 15 mg/L"))))))</f>
        <v>7,5 ≤ Alc. Bruta &lt; 10,0 mg/L</v>
      </c>
      <c r="BA425" s="136" t="str">
        <f>IF(P425="","",IF(P425&lt;5,"Cor &lt;5 uC",IF(P425&lt;10,"5 ≤ Cor &lt; 10 uC",IF(P425&lt;15,"10 ≤ Cor &lt;15 uC",IF(P425&lt;30,"15 ≤ Cor &lt; 30 uC",IF(P425&lt;50,"30 ≤ Cor &lt; 50 uC","Cor &gt; 50 uC"))))))</f>
        <v>5 ≤ Cor &lt; 10 uC</v>
      </c>
      <c r="BB425" s="137" t="str">
        <f>IF(O425="","",IF(O425&lt;2.5,"Turbidez &lt; 2,5 uT",IF(O425&lt;5,"2,5 ≤ Turb &lt; 5,0 uT",IF(O425&lt;7.5,"5,0 ≤ Turb &lt; 7,5 uT",IF(O425&lt;10,"7,5 ≤ Turb &lt; 10,0 uT",IF(O425&lt;15,"10,0 ≤ Turb &lt; 15,0 uT","Turb &gt; 15 uT"))))))</f>
        <v>Turbidez &lt; 2,5 uT</v>
      </c>
      <c r="BC425" s="138" t="str">
        <f>IF(AND(C425&gt;D425,D425&gt;E425),"TOR &gt; SM &gt; BNN",IF(AND(C425&gt;E425,E425&gt;D425),"TOR &gt; BNN &gt; SM",IF(AND(D425&gt;C425,C425&gt;E425),"SM &gt; TOR &gt; BNN",IF(AND(D425&gt;E425,E425&gt;C425),"SM &gt; BNN &gt; TOR",IF(AND(C425=D425,D425=E425),"TOR = SM = BNN","Comb. diferentes")))))</f>
        <v>SM &gt; BNN &gt; TOR</v>
      </c>
      <c r="BD425" s="137" t="str">
        <f>IF(OR(AE425="",AQ425="-"),"",IF(AE425&lt;=0.25,"Tipo 1 (≤0,25) uT",IF(AE425&lt;=0.5,"Tipo 2 (0,25-0,50) uT",IF(AE425&lt;=0.75,"Tipo 3 (0,50-0,75) uT","Tipo 4 (&gt;0,75) uT"))))</f>
        <v>Tipo 1 (≤0,25) uT</v>
      </c>
      <c r="BE425" s="137" t="str">
        <f t="shared" si="42"/>
        <v>Tipo 1 (≤0,25) uT</v>
      </c>
      <c r="BF425" s="137" t="str">
        <f>IF(OR(AF425="",AQ425="-"),"",IF(AF425&lt;=0.25,"Tipo 1 (≤0,25) uT",IF(AF425&lt;=0.5,"Tipo 2 (0,25-0,50) uT",IF(AF425&lt;=0.75,"Tipo 3 (0,50-0,75) uT","Tipo 4 (&gt;0,75) uT"))))</f>
        <v>Tipo 1 (≤0,25) uT</v>
      </c>
      <c r="BG425" s="137" t="str">
        <f t="shared" si="43"/>
        <v>Tipo 1 (≤0,25) uT</v>
      </c>
      <c r="BH425" s="137" t="str">
        <f>IF(OR(R425="",R425="-"),"",IF(R425&lt;=0.25,"Tipo 1 (≤0,25) uT",IF(R425&lt;=0.5,"Tipo 2 (0,25-0,50) uT",IF(R425&lt;=0.75,"Tipo 3 (0,50-0,75) uT","Tipo 4 (&gt;0,75) uT"))))</f>
        <v>Tipo 1 (≤0,25) uT</v>
      </c>
    </row>
    <row r="426" spans="1:60" ht="15" thickBot="1" x14ac:dyDescent="0.35">
      <c r="A426" s="74">
        <v>46306</v>
      </c>
      <c r="B426" s="139">
        <v>0.5625</v>
      </c>
      <c r="C426" s="118">
        <v>0</v>
      </c>
      <c r="D426" s="116">
        <v>1565</v>
      </c>
      <c r="E426" s="116">
        <v>400</v>
      </c>
      <c r="F426" s="116">
        <v>2026</v>
      </c>
      <c r="G426" s="144" t="s">
        <v>100</v>
      </c>
      <c r="H426" s="122">
        <v>9.5</v>
      </c>
      <c r="I426" s="116">
        <v>33</v>
      </c>
      <c r="J426" s="10">
        <v>90</v>
      </c>
      <c r="K426" s="116">
        <v>90</v>
      </c>
      <c r="L426" s="116">
        <v>90</v>
      </c>
      <c r="M426" s="122">
        <v>27.5</v>
      </c>
      <c r="N426" s="122">
        <v>6.5</v>
      </c>
      <c r="O426" s="79">
        <v>1.25</v>
      </c>
      <c r="P426" s="116">
        <v>8</v>
      </c>
      <c r="Q426" s="122">
        <v>8.4</v>
      </c>
      <c r="R426" s="10">
        <v>0.11</v>
      </c>
      <c r="S426" s="79">
        <v>22.36</v>
      </c>
      <c r="T426" s="79">
        <v>0.88</v>
      </c>
      <c r="U426" s="79">
        <v>0.7</v>
      </c>
      <c r="V426" s="85">
        <f t="shared" si="44"/>
        <v>2059.7666666666669</v>
      </c>
      <c r="W426" s="85">
        <f t="shared" si="45"/>
        <v>1902.60122</v>
      </c>
      <c r="X426" s="85">
        <f t="shared" si="46"/>
        <v>0.92369745116760793</v>
      </c>
      <c r="Y426" s="116">
        <v>3</v>
      </c>
      <c r="Z426" s="116">
        <v>3</v>
      </c>
      <c r="AA426" s="122">
        <v>6.2</v>
      </c>
      <c r="AB426" s="116">
        <v>25</v>
      </c>
      <c r="AC426" s="122">
        <v>6.3</v>
      </c>
      <c r="AD426" s="122">
        <v>9</v>
      </c>
      <c r="AE426" s="79">
        <v>0.18</v>
      </c>
      <c r="AF426" s="79">
        <v>0.11</v>
      </c>
      <c r="AG426" s="85">
        <f>(O426+0.3*H426+2)*(F426/2/AK426)</f>
        <v>1544.8249999999998</v>
      </c>
      <c r="AH426" s="85">
        <f t="shared" si="47"/>
        <v>1979.8438399999998</v>
      </c>
      <c r="AI426" s="85">
        <f t="shared" si="48"/>
        <v>1.2815974883886525</v>
      </c>
      <c r="AJ426" s="116">
        <v>2</v>
      </c>
      <c r="AK426" s="116">
        <v>4</v>
      </c>
      <c r="AL426" s="122">
        <v>6.4</v>
      </c>
      <c r="AM426" s="116">
        <v>25</v>
      </c>
      <c r="AN426" s="122">
        <v>6.3</v>
      </c>
      <c r="AO426" s="122">
        <v>7.2</v>
      </c>
      <c r="AP426" s="79">
        <v>0.16</v>
      </c>
      <c r="AQ426" s="79">
        <v>0.19</v>
      </c>
      <c r="AR426" s="132">
        <f>SUM(C426:E426)</f>
        <v>1965</v>
      </c>
      <c r="AS426" s="134">
        <f>C426/AR426</f>
        <v>0</v>
      </c>
      <c r="AT426" s="134">
        <f>D426/AR426</f>
        <v>0.79643765903307884</v>
      </c>
      <c r="AU426" s="134">
        <f>E426/AR426</f>
        <v>0.20356234096692111</v>
      </c>
      <c r="AV426" s="151">
        <f>IF(AND(F426&lt;&gt;"",Z426&lt;&gt;""),AB426/(F426/2/Z426),"")</f>
        <v>7.4037512339585387E-2</v>
      </c>
      <c r="AW426" s="151">
        <f>IF(AND(F426&lt;&gt;"",AK426&lt;&gt;""),AM426/(F426/2/AK426),"")</f>
        <v>9.8716683119447188E-2</v>
      </c>
      <c r="AX426" s="43">
        <f>IF(AND(AQ426&lt;&gt;"",1-(AQ426/O426)&gt;0),1-(AQ426/O426),"")</f>
        <v>0.84799999999999998</v>
      </c>
      <c r="AY426" s="41">
        <f>IF(AND(AF426&lt;&gt;"",1-(AF426/O426)&gt;0),1-(AF426/O426),"")</f>
        <v>0.91200000000000003</v>
      </c>
      <c r="AZ426" s="136" t="str">
        <f>IF(Q426="","",IF(Q426&lt;2.5,"Alc. Bruta &lt; 2,5 mg/L",IF(Q426&lt;5,"2,5 ≤ Alc. Bruta &lt; 5,0 mg/L",IF(Q426&lt;7.5,"5,0 ≤ Alc. Bruta &lt; 7,5 mg/L",IF(Q426&lt;10,"7,5 ≤ Alc. Bruta &lt; 10,0 mg/L",IF(Q426&lt;15,"10,0 ≤ Alca. Bruta &lt; 15,0 mg/L","Alc. Bruta &gt; 15 mg/L"))))))</f>
        <v>7,5 ≤ Alc. Bruta &lt; 10,0 mg/L</v>
      </c>
      <c r="BA426" s="136" t="str">
        <f>IF(P426="","",IF(P426&lt;5,"Cor &lt;5 uC",IF(P426&lt;10,"5 ≤ Cor &lt; 10 uC",IF(P426&lt;15,"10 ≤ Cor &lt;15 uC",IF(P426&lt;30,"15 ≤ Cor &lt; 30 uC",IF(P426&lt;50,"30 ≤ Cor &lt; 50 uC","Cor &gt; 50 uC"))))))</f>
        <v>5 ≤ Cor &lt; 10 uC</v>
      </c>
      <c r="BB426" s="137" t="str">
        <f>IF(O426="","",IF(O426&lt;2.5,"Turbidez &lt; 2,5 uT",IF(O426&lt;5,"2,5 ≤ Turb &lt; 5,0 uT",IF(O426&lt;7.5,"5,0 ≤ Turb &lt; 7,5 uT",IF(O426&lt;10,"7,5 ≤ Turb &lt; 10,0 uT",IF(O426&lt;15,"10,0 ≤ Turb &lt; 15,0 uT","Turb &gt; 15 uT"))))))</f>
        <v>Turbidez &lt; 2,5 uT</v>
      </c>
      <c r="BC426" s="138" t="str">
        <f>IF(AND(C426&gt;D426,D426&gt;E426),"TOR &gt; SM &gt; BNN",IF(AND(C426&gt;E426,E426&gt;D426),"TOR &gt; BNN &gt; SM",IF(AND(D426&gt;C426,C426&gt;E426),"SM &gt; TOR &gt; BNN",IF(AND(D426&gt;E426,E426&gt;C426),"SM &gt; BNN &gt; TOR",IF(AND(C426=D426,D426=E426),"TOR = SM = BNN","Comb. diferentes")))))</f>
        <v>SM &gt; BNN &gt; TOR</v>
      </c>
      <c r="BD426" s="137" t="str">
        <f>IF(OR(AE426="",AQ426="-"),"",IF(AE426&lt;=0.25,"Tipo 1 (≤0,25) uT",IF(AE426&lt;=0.5,"Tipo 2 (0,25-0,50) uT",IF(AE426&lt;=0.75,"Tipo 3 (0,50-0,75) uT","Tipo 4 (&gt;0,75) uT"))))</f>
        <v>Tipo 1 (≤0,25) uT</v>
      </c>
      <c r="BE426" s="137" t="str">
        <f t="shared" si="42"/>
        <v>Tipo 1 (≤0,25) uT</v>
      </c>
      <c r="BF426" s="137" t="str">
        <f>IF(OR(AF426="",AQ426="-"),"",IF(AF426&lt;=0.25,"Tipo 1 (≤0,25) uT",IF(AF426&lt;=0.5,"Tipo 2 (0,25-0,50) uT",IF(AF426&lt;=0.75,"Tipo 3 (0,50-0,75) uT","Tipo 4 (&gt;0,75) uT"))))</f>
        <v>Tipo 1 (≤0,25) uT</v>
      </c>
      <c r="BG426" s="137" t="str">
        <f t="shared" si="43"/>
        <v>Tipo 1 (≤0,25) uT</v>
      </c>
      <c r="BH426" s="137" t="str">
        <f>IF(OR(R426="",R426="-"),"",IF(R426&lt;=0.25,"Tipo 1 (≤0,25) uT",IF(R426&lt;=0.5,"Tipo 2 (0,25-0,50) uT",IF(R426&lt;=0.75,"Tipo 3 (0,50-0,75) uT","Tipo 4 (&gt;0,75) uT"))))</f>
        <v>Tipo 1 (≤0,25) uT</v>
      </c>
    </row>
    <row r="427" spans="1:60" ht="15" thickBot="1" x14ac:dyDescent="0.35">
      <c r="A427" s="74">
        <v>46306</v>
      </c>
      <c r="B427" s="139">
        <v>0.64583333333333337</v>
      </c>
      <c r="C427" s="118">
        <v>0</v>
      </c>
      <c r="D427" s="116">
        <v>1598</v>
      </c>
      <c r="E427" s="116">
        <v>205</v>
      </c>
      <c r="F427" s="116">
        <v>1815</v>
      </c>
      <c r="G427" s="144" t="s">
        <v>100</v>
      </c>
      <c r="H427" s="122">
        <v>9.5</v>
      </c>
      <c r="I427" s="116">
        <v>33</v>
      </c>
      <c r="J427" s="10">
        <v>90</v>
      </c>
      <c r="K427" s="116">
        <v>90</v>
      </c>
      <c r="L427" s="116">
        <v>90</v>
      </c>
      <c r="M427" s="122">
        <v>27.7</v>
      </c>
      <c r="N427" s="122">
        <v>6.4</v>
      </c>
      <c r="O427" s="79">
        <v>1.29</v>
      </c>
      <c r="P427" s="116">
        <v>10</v>
      </c>
      <c r="Q427" s="122">
        <v>7.6</v>
      </c>
      <c r="R427" s="10">
        <v>0.21</v>
      </c>
      <c r="S427" s="79">
        <v>22.36</v>
      </c>
      <c r="T427" s="79">
        <v>0.88</v>
      </c>
      <c r="U427" s="79">
        <v>0.7</v>
      </c>
      <c r="V427" s="85">
        <f t="shared" si="44"/>
        <v>1857.3500000000001</v>
      </c>
      <c r="W427" s="85">
        <f t="shared" si="45"/>
        <v>1863.5736287999996</v>
      </c>
      <c r="X427" s="85">
        <f t="shared" si="46"/>
        <v>1.003350810994158</v>
      </c>
      <c r="Y427" s="116">
        <v>1</v>
      </c>
      <c r="Z427" s="116">
        <v>3</v>
      </c>
      <c r="AA427" s="122">
        <v>6.3</v>
      </c>
      <c r="AB427" s="116">
        <v>24</v>
      </c>
      <c r="AC427" s="122">
        <v>6.2</v>
      </c>
      <c r="AD427" s="122">
        <v>6.9</v>
      </c>
      <c r="AE427" s="79">
        <v>0.19</v>
      </c>
      <c r="AF427" s="79">
        <v>0.11</v>
      </c>
      <c r="AG427" s="85">
        <f>(O427+0.3*H427+2)*(F427/2/AK427)</f>
        <v>1393.0125</v>
      </c>
      <c r="AH427" s="85">
        <f t="shared" si="47"/>
        <v>1941.2225299999996</v>
      </c>
      <c r="AI427" s="85">
        <f t="shared" si="48"/>
        <v>1.3935427930474418</v>
      </c>
      <c r="AJ427" s="116">
        <v>2</v>
      </c>
      <c r="AK427" s="116">
        <v>4</v>
      </c>
      <c r="AL427" s="122">
        <v>6.3</v>
      </c>
      <c r="AM427" s="116">
        <v>25</v>
      </c>
      <c r="AN427" s="122">
        <v>6.2</v>
      </c>
      <c r="AO427" s="122">
        <v>7.1</v>
      </c>
      <c r="AP427" s="79">
        <v>0.16</v>
      </c>
      <c r="AQ427" s="79">
        <v>0.21</v>
      </c>
      <c r="AR427" s="132">
        <f>SUM(C427:E427)</f>
        <v>1803</v>
      </c>
      <c r="AS427" s="134">
        <f>C427/AR427</f>
        <v>0</v>
      </c>
      <c r="AT427" s="134">
        <f>D427/AR427</f>
        <v>0.88630061009428729</v>
      </c>
      <c r="AU427" s="134">
        <f>E427/AR427</f>
        <v>0.1136993899057127</v>
      </c>
      <c r="AV427" s="151">
        <f>IF(AND(F427&lt;&gt;"",Z427&lt;&gt;""),AB427/(F427/2/Z427),"")</f>
        <v>7.9338842975206617E-2</v>
      </c>
      <c r="AW427" s="151">
        <f>IF(AND(F427&lt;&gt;"",AK427&lt;&gt;""),AM427/(F427/2/AK427),"")</f>
        <v>0.11019283746556474</v>
      </c>
      <c r="AX427" s="43">
        <f>IF(AND(AQ427&lt;&gt;"",1-(AQ427/O427)&gt;0),1-(AQ427/O427),"")</f>
        <v>0.83720930232558144</v>
      </c>
      <c r="AY427" s="41">
        <f>IF(AND(AF427&lt;&gt;"",1-(AF427/O427)&gt;0),1-(AF427/O427),"")</f>
        <v>0.9147286821705426</v>
      </c>
      <c r="AZ427" s="136" t="str">
        <f>IF(Q427="","",IF(Q427&lt;2.5,"Alc. Bruta &lt; 2,5 mg/L",IF(Q427&lt;5,"2,5 ≤ Alc. Bruta &lt; 5,0 mg/L",IF(Q427&lt;7.5,"5,0 ≤ Alc. Bruta &lt; 7,5 mg/L",IF(Q427&lt;10,"7,5 ≤ Alc. Bruta &lt; 10,0 mg/L",IF(Q427&lt;15,"10,0 ≤ Alca. Bruta &lt; 15,0 mg/L","Alc. Bruta &gt; 15 mg/L"))))))</f>
        <v>7,5 ≤ Alc. Bruta &lt; 10,0 mg/L</v>
      </c>
      <c r="BA427" s="136" t="str">
        <f>IF(P427="","",IF(P427&lt;5,"Cor &lt;5 uC",IF(P427&lt;10,"5 ≤ Cor &lt; 10 uC",IF(P427&lt;15,"10 ≤ Cor &lt;15 uC",IF(P427&lt;30,"15 ≤ Cor &lt; 30 uC",IF(P427&lt;50,"30 ≤ Cor &lt; 50 uC","Cor &gt; 50 uC"))))))</f>
        <v>10 ≤ Cor &lt;15 uC</v>
      </c>
      <c r="BB427" s="137" t="str">
        <f>IF(O427="","",IF(O427&lt;2.5,"Turbidez &lt; 2,5 uT",IF(O427&lt;5,"2,5 ≤ Turb &lt; 5,0 uT",IF(O427&lt;7.5,"5,0 ≤ Turb &lt; 7,5 uT",IF(O427&lt;10,"7,5 ≤ Turb &lt; 10,0 uT",IF(O427&lt;15,"10,0 ≤ Turb &lt; 15,0 uT","Turb &gt; 15 uT"))))))</f>
        <v>Turbidez &lt; 2,5 uT</v>
      </c>
      <c r="BC427" s="138" t="str">
        <f>IF(AND(C427&gt;D427,D427&gt;E427),"TOR &gt; SM &gt; BNN",IF(AND(C427&gt;E427,E427&gt;D427),"TOR &gt; BNN &gt; SM",IF(AND(D427&gt;C427,C427&gt;E427),"SM &gt; TOR &gt; BNN",IF(AND(D427&gt;E427,E427&gt;C427),"SM &gt; BNN &gt; TOR",IF(AND(C427=D427,D427=E427),"TOR = SM = BNN","Comb. diferentes")))))</f>
        <v>SM &gt; BNN &gt; TOR</v>
      </c>
      <c r="BD427" s="137" t="str">
        <f>IF(OR(AE427="",AQ427="-"),"",IF(AE427&lt;=0.25,"Tipo 1 (≤0,25) uT",IF(AE427&lt;=0.5,"Tipo 2 (0,25-0,50) uT",IF(AE427&lt;=0.75,"Tipo 3 (0,50-0,75) uT","Tipo 4 (&gt;0,75) uT"))))</f>
        <v>Tipo 1 (≤0,25) uT</v>
      </c>
      <c r="BE427" s="137" t="str">
        <f t="shared" si="42"/>
        <v>Tipo 1 (≤0,25) uT</v>
      </c>
      <c r="BF427" s="137" t="str">
        <f>IF(OR(AF427="",AQ427="-"),"",IF(AF427&lt;=0.25,"Tipo 1 (≤0,25) uT",IF(AF427&lt;=0.5,"Tipo 2 (0,25-0,50) uT",IF(AF427&lt;=0.75,"Tipo 3 (0,50-0,75) uT","Tipo 4 (&gt;0,75) uT"))))</f>
        <v>Tipo 1 (≤0,25) uT</v>
      </c>
      <c r="BG427" s="137" t="str">
        <f t="shared" si="43"/>
        <v>Tipo 1 (≤0,25) uT</v>
      </c>
      <c r="BH427" s="137" t="str">
        <f>IF(OR(R427="",R427="-"),"",IF(R427&lt;=0.25,"Tipo 1 (≤0,25) uT",IF(R427&lt;=0.5,"Tipo 2 (0,25-0,50) uT",IF(R427&lt;=0.75,"Tipo 3 (0,50-0,75) uT","Tipo 4 (&gt;0,75) uT"))))</f>
        <v>Tipo 1 (≤0,25) uT</v>
      </c>
    </row>
    <row r="428" spans="1:60" ht="15" thickBot="1" x14ac:dyDescent="0.35">
      <c r="A428" s="74">
        <v>46306</v>
      </c>
      <c r="B428" s="139">
        <v>0.72916666666666663</v>
      </c>
      <c r="C428" s="118">
        <v>0</v>
      </c>
      <c r="D428" s="116">
        <v>1608</v>
      </c>
      <c r="E428" s="116">
        <v>205</v>
      </c>
      <c r="F428" s="116">
        <v>1826</v>
      </c>
      <c r="G428" s="144" t="s">
        <v>100</v>
      </c>
      <c r="H428" s="122">
        <v>9.5</v>
      </c>
      <c r="I428" s="116">
        <v>33</v>
      </c>
      <c r="J428" s="10">
        <v>90</v>
      </c>
      <c r="K428" s="116">
        <v>90</v>
      </c>
      <c r="L428" s="116">
        <v>90</v>
      </c>
      <c r="M428" s="122">
        <v>27.6</v>
      </c>
      <c r="N428" s="122">
        <v>6.4</v>
      </c>
      <c r="O428" s="79">
        <v>1.1599999999999999</v>
      </c>
      <c r="P428" s="116">
        <v>10</v>
      </c>
      <c r="Q428" s="122">
        <v>7.6</v>
      </c>
      <c r="R428" s="10">
        <v>0.21</v>
      </c>
      <c r="S428" s="79">
        <v>22.36</v>
      </c>
      <c r="T428" s="79">
        <v>0.88</v>
      </c>
      <c r="U428" s="79">
        <v>0.7</v>
      </c>
      <c r="V428" s="85">
        <f t="shared" si="44"/>
        <v>1829.0433333333331</v>
      </c>
      <c r="W428" s="85">
        <f t="shared" si="45"/>
        <v>1863.5736287999996</v>
      </c>
      <c r="X428" s="85">
        <f t="shared" si="46"/>
        <v>1.0188788832048812</v>
      </c>
      <c r="Y428" s="116">
        <v>1</v>
      </c>
      <c r="Z428" s="116">
        <v>3</v>
      </c>
      <c r="AA428" s="122">
        <v>6.3</v>
      </c>
      <c r="AB428" s="116">
        <v>24</v>
      </c>
      <c r="AC428" s="122">
        <v>6</v>
      </c>
      <c r="AD428" s="122">
        <v>6</v>
      </c>
      <c r="AE428" s="79">
        <v>0.21</v>
      </c>
      <c r="AF428" s="79">
        <v>0.12</v>
      </c>
      <c r="AG428" s="85">
        <f>(O428+0.3*H428+2)*(F428/2/AK428)</f>
        <v>1371.7825</v>
      </c>
      <c r="AH428" s="85">
        <f t="shared" si="47"/>
        <v>1941.2225299999996</v>
      </c>
      <c r="AI428" s="85">
        <f t="shared" si="48"/>
        <v>1.4151095600067791</v>
      </c>
      <c r="AJ428" s="116">
        <v>2</v>
      </c>
      <c r="AK428" s="116">
        <v>4</v>
      </c>
      <c r="AL428" s="122">
        <v>6.3</v>
      </c>
      <c r="AM428" s="116">
        <v>25</v>
      </c>
      <c r="AN428" s="122">
        <v>6.1</v>
      </c>
      <c r="AO428" s="122">
        <v>5.8</v>
      </c>
      <c r="AP428" s="79">
        <v>0.14000000000000001</v>
      </c>
      <c r="AQ428" s="79">
        <v>0.19</v>
      </c>
      <c r="AR428" s="132">
        <f>SUM(C428:E428)</f>
        <v>1813</v>
      </c>
      <c r="AS428" s="134">
        <f>C428/AR428</f>
        <v>0</v>
      </c>
      <c r="AT428" s="134">
        <f>D428/AR428</f>
        <v>0.88692774407060126</v>
      </c>
      <c r="AU428" s="134">
        <f>E428/AR428</f>
        <v>0.11307225592939879</v>
      </c>
      <c r="AV428" s="151">
        <f>IF(AND(F428&lt;&gt;"",Z428&lt;&gt;""),AB428/(F428/2/Z428),"")</f>
        <v>7.8860898138006577E-2</v>
      </c>
      <c r="AW428" s="151">
        <f>IF(AND(F428&lt;&gt;"",AK428&lt;&gt;""),AM428/(F428/2/AK428),"")</f>
        <v>0.10952902519167579</v>
      </c>
      <c r="AX428" s="43">
        <f>IF(AND(AQ428&lt;&gt;"",1-(AQ428/O428)&gt;0),1-(AQ428/O428),"")</f>
        <v>0.83620689655172409</v>
      </c>
      <c r="AY428" s="41">
        <f>IF(AND(AF428&lt;&gt;"",1-(AF428/O428)&gt;0),1-(AF428/O428),"")</f>
        <v>0.89655172413793105</v>
      </c>
      <c r="AZ428" s="136" t="str">
        <f>IF(Q428="","",IF(Q428&lt;2.5,"Alc. Bruta &lt; 2,5 mg/L",IF(Q428&lt;5,"2,5 ≤ Alc. Bruta &lt; 5,0 mg/L",IF(Q428&lt;7.5,"5,0 ≤ Alc. Bruta &lt; 7,5 mg/L",IF(Q428&lt;10,"7,5 ≤ Alc. Bruta &lt; 10,0 mg/L",IF(Q428&lt;15,"10,0 ≤ Alca. Bruta &lt; 15,0 mg/L","Alc. Bruta &gt; 15 mg/L"))))))</f>
        <v>7,5 ≤ Alc. Bruta &lt; 10,0 mg/L</v>
      </c>
      <c r="BA428" s="136" t="str">
        <f>IF(P428="","",IF(P428&lt;5,"Cor &lt;5 uC",IF(P428&lt;10,"5 ≤ Cor &lt; 10 uC",IF(P428&lt;15,"10 ≤ Cor &lt;15 uC",IF(P428&lt;30,"15 ≤ Cor &lt; 30 uC",IF(P428&lt;50,"30 ≤ Cor &lt; 50 uC","Cor &gt; 50 uC"))))))</f>
        <v>10 ≤ Cor &lt;15 uC</v>
      </c>
      <c r="BB428" s="137" t="str">
        <f>IF(O428="","",IF(O428&lt;2.5,"Turbidez &lt; 2,5 uT",IF(O428&lt;5,"2,5 ≤ Turb &lt; 5,0 uT",IF(O428&lt;7.5,"5,0 ≤ Turb &lt; 7,5 uT",IF(O428&lt;10,"7,5 ≤ Turb &lt; 10,0 uT",IF(O428&lt;15,"10,0 ≤ Turb &lt; 15,0 uT","Turb &gt; 15 uT"))))))</f>
        <v>Turbidez &lt; 2,5 uT</v>
      </c>
      <c r="BC428" s="138" t="str">
        <f>IF(AND(C428&gt;D428,D428&gt;E428),"TOR &gt; SM &gt; BNN",IF(AND(C428&gt;E428,E428&gt;D428),"TOR &gt; BNN &gt; SM",IF(AND(D428&gt;C428,C428&gt;E428),"SM &gt; TOR &gt; BNN",IF(AND(D428&gt;E428,E428&gt;C428),"SM &gt; BNN &gt; TOR",IF(AND(C428=D428,D428=E428),"TOR = SM = BNN","Comb. diferentes")))))</f>
        <v>SM &gt; BNN &gt; TOR</v>
      </c>
      <c r="BD428" s="137" t="str">
        <f>IF(OR(AE428="",AQ428="-"),"",IF(AE428&lt;=0.25,"Tipo 1 (≤0,25) uT",IF(AE428&lt;=0.5,"Tipo 2 (0,25-0,50) uT",IF(AE428&lt;=0.75,"Tipo 3 (0,50-0,75) uT","Tipo 4 (&gt;0,75) uT"))))</f>
        <v>Tipo 1 (≤0,25) uT</v>
      </c>
      <c r="BE428" s="137" t="str">
        <f t="shared" si="42"/>
        <v>Tipo 1 (≤0,25) uT</v>
      </c>
      <c r="BF428" s="137" t="str">
        <f>IF(OR(AF428="",AQ428="-"),"",IF(AF428&lt;=0.25,"Tipo 1 (≤0,25) uT",IF(AF428&lt;=0.5,"Tipo 2 (0,25-0,50) uT",IF(AF428&lt;=0.75,"Tipo 3 (0,50-0,75) uT","Tipo 4 (&gt;0,75) uT"))))</f>
        <v>Tipo 1 (≤0,25) uT</v>
      </c>
      <c r="BG428" s="137" t="str">
        <f t="shared" si="43"/>
        <v>Tipo 1 (≤0,25) uT</v>
      </c>
      <c r="BH428" s="137" t="str">
        <f>IF(OR(R428="",R428="-"),"",IF(R428&lt;=0.25,"Tipo 1 (≤0,25) uT",IF(R428&lt;=0.5,"Tipo 2 (0,25-0,50) uT",IF(R428&lt;=0.75,"Tipo 3 (0,50-0,75) uT","Tipo 4 (&gt;0,75) uT"))))</f>
        <v>Tipo 1 (≤0,25) uT</v>
      </c>
    </row>
    <row r="429" spans="1:60" ht="15" thickBot="1" x14ac:dyDescent="0.35">
      <c r="A429" s="74">
        <v>46306</v>
      </c>
      <c r="B429" s="139">
        <v>0.8125</v>
      </c>
      <c r="C429" s="118">
        <v>0</v>
      </c>
      <c r="D429" s="116">
        <v>1600</v>
      </c>
      <c r="E429" s="116">
        <v>205</v>
      </c>
      <c r="F429" s="116">
        <v>1815</v>
      </c>
      <c r="G429" s="144" t="s">
        <v>100</v>
      </c>
      <c r="H429" s="122">
        <v>9.5</v>
      </c>
      <c r="I429" s="116">
        <v>33</v>
      </c>
      <c r="J429" s="10">
        <v>90</v>
      </c>
      <c r="K429" s="116">
        <v>90</v>
      </c>
      <c r="L429" s="116">
        <v>90</v>
      </c>
      <c r="M429" s="122">
        <v>27.4</v>
      </c>
      <c r="N429" s="122">
        <v>6.5</v>
      </c>
      <c r="O429" s="79">
        <v>0.99</v>
      </c>
      <c r="P429" s="116">
        <v>9</v>
      </c>
      <c r="Q429" s="122">
        <v>6.5</v>
      </c>
      <c r="R429" s="10">
        <v>0.1</v>
      </c>
      <c r="S429" s="79">
        <v>22.36</v>
      </c>
      <c r="T429" s="79">
        <v>0.88</v>
      </c>
      <c r="U429" s="79">
        <v>0.7</v>
      </c>
      <c r="V429" s="85">
        <f t="shared" si="44"/>
        <v>1324.95</v>
      </c>
      <c r="W429" s="85">
        <f t="shared" si="45"/>
        <v>1826.4971712000001</v>
      </c>
      <c r="X429" s="85">
        <f t="shared" si="46"/>
        <v>1.3785404514887354</v>
      </c>
      <c r="Y429" s="116">
        <v>3</v>
      </c>
      <c r="Z429" s="116">
        <v>4</v>
      </c>
      <c r="AA429" s="122">
        <v>6.2</v>
      </c>
      <c r="AB429" s="116">
        <v>24</v>
      </c>
      <c r="AC429" s="122">
        <v>6.1</v>
      </c>
      <c r="AD429" s="122">
        <v>6.1</v>
      </c>
      <c r="AE429" s="79">
        <v>0.17</v>
      </c>
      <c r="AF429" s="79">
        <v>0.11</v>
      </c>
      <c r="AG429" s="85">
        <f>(O429+0.3*H429+2)*(F429/2/AK429)</f>
        <v>1324.95</v>
      </c>
      <c r="AH429" s="85">
        <f t="shared" si="47"/>
        <v>1750.3931224</v>
      </c>
      <c r="AI429" s="85">
        <f t="shared" si="48"/>
        <v>1.3211012660100381</v>
      </c>
      <c r="AJ429" s="116">
        <v>2</v>
      </c>
      <c r="AK429" s="116">
        <v>4</v>
      </c>
      <c r="AL429" s="122">
        <v>6.2</v>
      </c>
      <c r="AM429" s="116">
        <v>23</v>
      </c>
      <c r="AN429" s="122">
        <v>6.1</v>
      </c>
      <c r="AO429" s="122">
        <v>5.7</v>
      </c>
      <c r="AP429" s="79">
        <v>0.12</v>
      </c>
      <c r="AQ429" s="79">
        <v>0.13</v>
      </c>
      <c r="AR429" s="132">
        <f>SUM(C429:E429)</f>
        <v>1805</v>
      </c>
      <c r="AS429" s="134">
        <f>C429/AR429</f>
        <v>0</v>
      </c>
      <c r="AT429" s="134">
        <f>D429/AR429</f>
        <v>0.88642659279778391</v>
      </c>
      <c r="AU429" s="134">
        <f>E429/AR429</f>
        <v>0.11357340720221606</v>
      </c>
      <c r="AV429" s="151">
        <f>IF(AND(F429&lt;&gt;"",Z429&lt;&gt;""),AB429/(F429/2/Z429),"")</f>
        <v>0.10578512396694215</v>
      </c>
      <c r="AW429" s="151">
        <f>IF(AND(F429&lt;&gt;"",AK429&lt;&gt;""),AM429/(F429/2/AK429),"")</f>
        <v>0.10137741046831956</v>
      </c>
      <c r="AX429" s="43">
        <f>IF(AND(AQ429&lt;&gt;"",1-(AQ429/O429)&gt;0),1-(AQ429/O429),"")</f>
        <v>0.86868686868686873</v>
      </c>
      <c r="AY429" s="41">
        <f>IF(AND(AF429&lt;&gt;"",1-(AF429/O429)&gt;0),1-(AF429/O429),"")</f>
        <v>0.88888888888888884</v>
      </c>
      <c r="AZ429" s="136" t="str">
        <f>IF(Q429="","",IF(Q429&lt;2.5,"Alc. Bruta &lt; 2,5 mg/L",IF(Q429&lt;5,"2,5 ≤ Alc. Bruta &lt; 5,0 mg/L",IF(Q429&lt;7.5,"5,0 ≤ Alc. Bruta &lt; 7,5 mg/L",IF(Q429&lt;10,"7,5 ≤ Alc. Bruta &lt; 10,0 mg/L",IF(Q429&lt;15,"10,0 ≤ Alca. Bruta &lt; 15,0 mg/L","Alc. Bruta &gt; 15 mg/L"))))))</f>
        <v>5,0 ≤ Alc. Bruta &lt; 7,5 mg/L</v>
      </c>
      <c r="BA429" s="136" t="str">
        <f>IF(P429="","",IF(P429&lt;5,"Cor &lt;5 uC",IF(P429&lt;10,"5 ≤ Cor &lt; 10 uC",IF(P429&lt;15,"10 ≤ Cor &lt;15 uC",IF(P429&lt;30,"15 ≤ Cor &lt; 30 uC",IF(P429&lt;50,"30 ≤ Cor &lt; 50 uC","Cor &gt; 50 uC"))))))</f>
        <v>5 ≤ Cor &lt; 10 uC</v>
      </c>
      <c r="BB429" s="137" t="str">
        <f>IF(O429="","",IF(O429&lt;2.5,"Turbidez &lt; 2,5 uT",IF(O429&lt;5,"2,5 ≤ Turb &lt; 5,0 uT",IF(O429&lt;7.5,"5,0 ≤ Turb &lt; 7,5 uT",IF(O429&lt;10,"7,5 ≤ Turb &lt; 10,0 uT",IF(O429&lt;15,"10,0 ≤ Turb &lt; 15,0 uT","Turb &gt; 15 uT"))))))</f>
        <v>Turbidez &lt; 2,5 uT</v>
      </c>
      <c r="BC429" s="138" t="str">
        <f>IF(AND(C429&gt;D429,D429&gt;E429),"TOR &gt; SM &gt; BNN",IF(AND(C429&gt;E429,E429&gt;D429),"TOR &gt; BNN &gt; SM",IF(AND(D429&gt;C429,C429&gt;E429),"SM &gt; TOR &gt; BNN",IF(AND(D429&gt;E429,E429&gt;C429),"SM &gt; BNN &gt; TOR",IF(AND(C429=D429,D429=E429),"TOR = SM = BNN","Comb. diferentes")))))</f>
        <v>SM &gt; BNN &gt; TOR</v>
      </c>
      <c r="BD429" s="137" t="str">
        <f>IF(OR(AE429="",AQ429="-"),"",IF(AE429&lt;=0.25,"Tipo 1 (≤0,25) uT",IF(AE429&lt;=0.5,"Tipo 2 (0,25-0,50) uT",IF(AE429&lt;=0.75,"Tipo 3 (0,50-0,75) uT","Tipo 4 (&gt;0,75) uT"))))</f>
        <v>Tipo 1 (≤0,25) uT</v>
      </c>
      <c r="BE429" s="137" t="str">
        <f t="shared" si="42"/>
        <v>Tipo 1 (≤0,25) uT</v>
      </c>
      <c r="BF429" s="137" t="str">
        <f>IF(OR(AF429="",AQ429="-"),"",IF(AF429&lt;=0.25,"Tipo 1 (≤0,25) uT",IF(AF429&lt;=0.5,"Tipo 2 (0,25-0,50) uT",IF(AF429&lt;=0.75,"Tipo 3 (0,50-0,75) uT","Tipo 4 (&gt;0,75) uT"))))</f>
        <v>Tipo 1 (≤0,25) uT</v>
      </c>
      <c r="BG429" s="137" t="str">
        <f t="shared" si="43"/>
        <v>Tipo 1 (≤0,25) uT</v>
      </c>
      <c r="BH429" s="137" t="str">
        <f>IF(OR(R429="",R429="-"),"",IF(R429&lt;=0.25,"Tipo 1 (≤0,25) uT",IF(R429&lt;=0.5,"Tipo 2 (0,25-0,50) uT",IF(R429&lt;=0.75,"Tipo 3 (0,50-0,75) uT","Tipo 4 (&gt;0,75) uT"))))</f>
        <v>Tipo 1 (≤0,25) uT</v>
      </c>
    </row>
    <row r="430" spans="1:60" ht="15" thickBot="1" x14ac:dyDescent="0.35">
      <c r="A430" s="74">
        <v>46306</v>
      </c>
      <c r="B430" s="139">
        <v>0.89583333333333337</v>
      </c>
      <c r="C430" s="118">
        <v>0</v>
      </c>
      <c r="D430" s="116">
        <v>1583</v>
      </c>
      <c r="E430" s="116">
        <v>205</v>
      </c>
      <c r="F430" s="116">
        <v>1825</v>
      </c>
      <c r="G430" s="144" t="s">
        <v>100</v>
      </c>
      <c r="H430" s="122">
        <v>9.5</v>
      </c>
      <c r="I430" s="116">
        <v>33</v>
      </c>
      <c r="J430" s="10">
        <v>90</v>
      </c>
      <c r="K430" s="116">
        <v>90</v>
      </c>
      <c r="L430" s="116">
        <v>90</v>
      </c>
      <c r="M430" s="122">
        <v>25.3</v>
      </c>
      <c r="N430" s="122">
        <v>6.2</v>
      </c>
      <c r="O430" s="79">
        <v>0.97</v>
      </c>
      <c r="P430" s="116">
        <v>5</v>
      </c>
      <c r="Q430" s="122">
        <v>8.4</v>
      </c>
      <c r="R430" s="10">
        <v>0.11</v>
      </c>
      <c r="S430" s="79">
        <v>22.36</v>
      </c>
      <c r="T430" s="79">
        <v>0.88</v>
      </c>
      <c r="U430" s="79">
        <v>0.7</v>
      </c>
      <c r="V430" s="85">
        <f t="shared" si="44"/>
        <v>1327.6875</v>
      </c>
      <c r="W430" s="85">
        <f t="shared" si="45"/>
        <v>1640.3023207999997</v>
      </c>
      <c r="X430" s="85">
        <f t="shared" si="46"/>
        <v>1.2354581336346089</v>
      </c>
      <c r="Y430" s="116">
        <v>3</v>
      </c>
      <c r="Z430" s="116">
        <v>4</v>
      </c>
      <c r="AA430" s="122">
        <v>6.1</v>
      </c>
      <c r="AB430" s="116">
        <v>22</v>
      </c>
      <c r="AC430" s="122">
        <v>6.1</v>
      </c>
      <c r="AD430" s="122">
        <v>5.8</v>
      </c>
      <c r="AE430" s="79">
        <v>0.14000000000000001</v>
      </c>
      <c r="AF430" s="79">
        <v>0.15</v>
      </c>
      <c r="AG430" s="85">
        <f>(O430+0.3*H430+2)*(F430/2/AK430)</f>
        <v>1770.2500000000002</v>
      </c>
      <c r="AH430" s="85">
        <f t="shared" si="47"/>
        <v>1900.6500864</v>
      </c>
      <c r="AI430" s="85">
        <f t="shared" si="48"/>
        <v>1.073661960965965</v>
      </c>
      <c r="AJ430" s="116">
        <v>2</v>
      </c>
      <c r="AK430" s="116">
        <v>3</v>
      </c>
      <c r="AL430" s="122">
        <v>6.4</v>
      </c>
      <c r="AM430" s="116">
        <v>24</v>
      </c>
      <c r="AN430" s="122">
        <v>6</v>
      </c>
      <c r="AO430" s="122">
        <v>5.6</v>
      </c>
      <c r="AP430" s="79">
        <v>0.13</v>
      </c>
      <c r="AQ430" s="79">
        <v>0.13</v>
      </c>
      <c r="AR430" s="132">
        <f>SUM(C430:E430)</f>
        <v>1788</v>
      </c>
      <c r="AS430" s="134">
        <f>C430/AR430</f>
        <v>0</v>
      </c>
      <c r="AT430" s="134">
        <f>D430/AR430</f>
        <v>0.88534675615212532</v>
      </c>
      <c r="AU430" s="134">
        <f>E430/AR430</f>
        <v>0.11465324384787472</v>
      </c>
      <c r="AV430" s="151">
        <f>IF(AND(F430&lt;&gt;"",Z430&lt;&gt;""),AB430/(F430/2/Z430),"")</f>
        <v>9.6438356164383565E-2</v>
      </c>
      <c r="AW430" s="151">
        <f>IF(AND(F430&lt;&gt;"",AK430&lt;&gt;""),AM430/(F430/2/AK430),"")</f>
        <v>7.8904109589041094E-2</v>
      </c>
      <c r="AX430" s="43">
        <f>IF(AND(AQ430&lt;&gt;"",1-(AQ430/O430)&gt;0),1-(AQ430/O430),"")</f>
        <v>0.865979381443299</v>
      </c>
      <c r="AY430" s="41">
        <f>IF(AND(AF430&lt;&gt;"",1-(AF430/O430)&gt;0),1-(AF430/O430),"")</f>
        <v>0.84536082474226804</v>
      </c>
      <c r="AZ430" s="136" t="str">
        <f>IF(Q430="","",IF(Q430&lt;2.5,"Alc. Bruta &lt; 2,5 mg/L",IF(Q430&lt;5,"2,5 ≤ Alc. Bruta &lt; 5,0 mg/L",IF(Q430&lt;7.5,"5,0 ≤ Alc. Bruta &lt; 7,5 mg/L",IF(Q430&lt;10,"7,5 ≤ Alc. Bruta &lt; 10,0 mg/L",IF(Q430&lt;15,"10,0 ≤ Alca. Bruta &lt; 15,0 mg/L","Alc. Bruta &gt; 15 mg/L"))))))</f>
        <v>7,5 ≤ Alc. Bruta &lt; 10,0 mg/L</v>
      </c>
      <c r="BA430" s="136" t="str">
        <f>IF(P430="","",IF(P430&lt;5,"Cor &lt;5 uC",IF(P430&lt;10,"5 ≤ Cor &lt; 10 uC",IF(P430&lt;15,"10 ≤ Cor &lt;15 uC",IF(P430&lt;30,"15 ≤ Cor &lt; 30 uC",IF(P430&lt;50,"30 ≤ Cor &lt; 50 uC","Cor &gt; 50 uC"))))))</f>
        <v>5 ≤ Cor &lt; 10 uC</v>
      </c>
      <c r="BB430" s="137" t="str">
        <f>IF(O430="","",IF(O430&lt;2.5,"Turbidez &lt; 2,5 uT",IF(O430&lt;5,"2,5 ≤ Turb &lt; 5,0 uT",IF(O430&lt;7.5,"5,0 ≤ Turb &lt; 7,5 uT",IF(O430&lt;10,"7,5 ≤ Turb &lt; 10,0 uT",IF(O430&lt;15,"10,0 ≤ Turb &lt; 15,0 uT","Turb &gt; 15 uT"))))))</f>
        <v>Turbidez &lt; 2,5 uT</v>
      </c>
      <c r="BC430" s="138" t="str">
        <f>IF(AND(C430&gt;D430,D430&gt;E430),"TOR &gt; SM &gt; BNN",IF(AND(C430&gt;E430,E430&gt;D430),"TOR &gt; BNN &gt; SM",IF(AND(D430&gt;C430,C430&gt;E430),"SM &gt; TOR &gt; BNN",IF(AND(D430&gt;E430,E430&gt;C430),"SM &gt; BNN &gt; TOR",IF(AND(C430=D430,D430=E430),"TOR = SM = BNN","Comb. diferentes")))))</f>
        <v>SM &gt; BNN &gt; TOR</v>
      </c>
      <c r="BD430" s="137" t="str">
        <f>IF(OR(AE430="",AQ430="-"),"",IF(AE430&lt;=0.25,"Tipo 1 (≤0,25) uT",IF(AE430&lt;=0.5,"Tipo 2 (0,25-0,50) uT",IF(AE430&lt;=0.75,"Tipo 3 (0,50-0,75) uT","Tipo 4 (&gt;0,75) uT"))))</f>
        <v>Tipo 1 (≤0,25) uT</v>
      </c>
      <c r="BE430" s="137" t="str">
        <f t="shared" si="42"/>
        <v>Tipo 1 (≤0,25) uT</v>
      </c>
      <c r="BF430" s="137" t="str">
        <f>IF(OR(AF430="",AQ430="-"),"",IF(AF430&lt;=0.25,"Tipo 1 (≤0,25) uT",IF(AF430&lt;=0.5,"Tipo 2 (0,25-0,50) uT",IF(AF430&lt;=0.75,"Tipo 3 (0,50-0,75) uT","Tipo 4 (&gt;0,75) uT"))))</f>
        <v>Tipo 1 (≤0,25) uT</v>
      </c>
      <c r="BG430" s="137" t="str">
        <f t="shared" si="43"/>
        <v>Tipo 1 (≤0,25) uT</v>
      </c>
      <c r="BH430" s="137" t="str">
        <f>IF(OR(R430="",R430="-"),"",IF(R430&lt;=0.25,"Tipo 1 (≤0,25) uT",IF(R430&lt;=0.5,"Tipo 2 (0,25-0,50) uT",IF(R430&lt;=0.75,"Tipo 3 (0,50-0,75) uT","Tipo 4 (&gt;0,75) uT"))))</f>
        <v>Tipo 1 (≤0,25) uT</v>
      </c>
    </row>
    <row r="431" spans="1:60" ht="15" thickBot="1" x14ac:dyDescent="0.35">
      <c r="A431" s="74">
        <v>46307</v>
      </c>
      <c r="B431" s="139">
        <v>6.25E-2</v>
      </c>
      <c r="C431" s="118">
        <v>0</v>
      </c>
      <c r="D431" s="116">
        <v>1600</v>
      </c>
      <c r="E431" s="116">
        <v>205</v>
      </c>
      <c r="F431" s="116">
        <v>1828</v>
      </c>
      <c r="G431" s="144" t="s">
        <v>100</v>
      </c>
      <c r="H431" s="122">
        <v>9.5</v>
      </c>
      <c r="I431" s="116">
        <v>33</v>
      </c>
      <c r="J431" s="10">
        <v>90</v>
      </c>
      <c r="K431" s="116">
        <v>90</v>
      </c>
      <c r="L431" s="116">
        <v>90</v>
      </c>
      <c r="M431" s="122">
        <v>26.2</v>
      </c>
      <c r="N431" s="122">
        <v>6.4</v>
      </c>
      <c r="O431" s="79">
        <v>1</v>
      </c>
      <c r="P431" s="116">
        <v>8</v>
      </c>
      <c r="Q431" s="122">
        <v>6.6</v>
      </c>
      <c r="R431" s="10">
        <v>0.11</v>
      </c>
      <c r="S431" s="79">
        <v>22.36</v>
      </c>
      <c r="T431" s="79">
        <v>0.88</v>
      </c>
      <c r="U431" s="79">
        <v>0.7</v>
      </c>
      <c r="V431" s="85">
        <f t="shared" si="44"/>
        <v>1336.7249999999999</v>
      </c>
      <c r="W431" s="85">
        <f t="shared" si="45"/>
        <v>1640.3023207999997</v>
      </c>
      <c r="X431" s="85">
        <f t="shared" si="46"/>
        <v>1.2271052915147094</v>
      </c>
      <c r="Y431" s="116">
        <v>3</v>
      </c>
      <c r="Z431" s="116">
        <v>4</v>
      </c>
      <c r="AA431" s="122">
        <v>6.1</v>
      </c>
      <c r="AB431" s="116">
        <v>22</v>
      </c>
      <c r="AC431" s="122">
        <v>5.9</v>
      </c>
      <c r="AD431" s="122">
        <v>5.9</v>
      </c>
      <c r="AE431" s="79">
        <v>0.12</v>
      </c>
      <c r="AF431" s="79">
        <v>0.15</v>
      </c>
      <c r="AG431" s="85">
        <f>(O431+0.3*H431+2)*(F431/2/AK431)</f>
        <v>1782.3</v>
      </c>
      <c r="AH431" s="85">
        <f t="shared" si="47"/>
        <v>1900.6500864</v>
      </c>
      <c r="AI431" s="85">
        <f t="shared" si="48"/>
        <v>1.066403010940919</v>
      </c>
      <c r="AJ431" s="116">
        <v>2</v>
      </c>
      <c r="AK431" s="116">
        <v>3</v>
      </c>
      <c r="AL431" s="122">
        <v>6.4</v>
      </c>
      <c r="AM431" s="116">
        <v>24</v>
      </c>
      <c r="AN431" s="122">
        <v>6</v>
      </c>
      <c r="AO431" s="122">
        <v>6.1</v>
      </c>
      <c r="AP431" s="79">
        <v>0.11</v>
      </c>
      <c r="AQ431" s="79">
        <v>0.15</v>
      </c>
      <c r="AR431" s="132">
        <f>SUM(C431:E431)</f>
        <v>1805</v>
      </c>
      <c r="AS431" s="134">
        <f>C431/AR431</f>
        <v>0</v>
      </c>
      <c r="AT431" s="134">
        <f>D431/AR431</f>
        <v>0.88642659279778391</v>
      </c>
      <c r="AU431" s="134">
        <f>E431/AR431</f>
        <v>0.11357340720221606</v>
      </c>
      <c r="AV431" s="151">
        <f>IF(AND(F431&lt;&gt;"",Z431&lt;&gt;""),AB431/(F431/2/Z431),"")</f>
        <v>9.6280087527352301E-2</v>
      </c>
      <c r="AW431" s="151">
        <f>IF(AND(F431&lt;&gt;"",AK431&lt;&gt;""),AM431/(F431/2/AK431),"")</f>
        <v>7.8774617067833688E-2</v>
      </c>
      <c r="AX431" s="43">
        <f>IF(AND(AQ431&lt;&gt;"",1-(AQ431/O431)&gt;0),1-(AQ431/O431),"")</f>
        <v>0.85</v>
      </c>
      <c r="AY431" s="41">
        <f>IF(AND(AF431&lt;&gt;"",1-(AF431/O431)&gt;0),1-(AF431/O431),"")</f>
        <v>0.85</v>
      </c>
      <c r="AZ431" s="136" t="str">
        <f>IF(Q431="","",IF(Q431&lt;2.5,"Alc. Bruta &lt; 2,5 mg/L",IF(Q431&lt;5,"2,5 ≤ Alc. Bruta &lt; 5,0 mg/L",IF(Q431&lt;7.5,"5,0 ≤ Alc. Bruta &lt; 7,5 mg/L",IF(Q431&lt;10,"7,5 ≤ Alc. Bruta &lt; 10,0 mg/L",IF(Q431&lt;15,"10,0 ≤ Alca. Bruta &lt; 15,0 mg/L","Alc. Bruta &gt; 15 mg/L"))))))</f>
        <v>5,0 ≤ Alc. Bruta &lt; 7,5 mg/L</v>
      </c>
      <c r="BA431" s="136" t="str">
        <f>IF(P431="","",IF(P431&lt;5,"Cor &lt;5 uC",IF(P431&lt;10,"5 ≤ Cor &lt; 10 uC",IF(P431&lt;15,"10 ≤ Cor &lt;15 uC",IF(P431&lt;30,"15 ≤ Cor &lt; 30 uC",IF(P431&lt;50,"30 ≤ Cor &lt; 50 uC","Cor &gt; 50 uC"))))))</f>
        <v>5 ≤ Cor &lt; 10 uC</v>
      </c>
      <c r="BB431" s="137" t="str">
        <f>IF(O431="","",IF(O431&lt;2.5,"Turbidez &lt; 2,5 uT",IF(O431&lt;5,"2,5 ≤ Turb &lt; 5,0 uT",IF(O431&lt;7.5,"5,0 ≤ Turb &lt; 7,5 uT",IF(O431&lt;10,"7,5 ≤ Turb &lt; 10,0 uT",IF(O431&lt;15,"10,0 ≤ Turb &lt; 15,0 uT","Turb &gt; 15 uT"))))))</f>
        <v>Turbidez &lt; 2,5 uT</v>
      </c>
      <c r="BC431" s="138" t="str">
        <f>IF(AND(C431&gt;D431,D431&gt;E431),"TOR &gt; SM &gt; BNN",IF(AND(C431&gt;E431,E431&gt;D431),"TOR &gt; BNN &gt; SM",IF(AND(D431&gt;C431,C431&gt;E431),"SM &gt; TOR &gt; BNN",IF(AND(D431&gt;E431,E431&gt;C431),"SM &gt; BNN &gt; TOR",IF(AND(C431=D431,D431=E431),"TOR = SM = BNN","Comb. diferentes")))))</f>
        <v>SM &gt; BNN &gt; TOR</v>
      </c>
      <c r="BD431" s="137" t="str">
        <f>IF(OR(AE431="",AQ431="-"),"",IF(AE431&lt;=0.25,"Tipo 1 (≤0,25) uT",IF(AE431&lt;=0.5,"Tipo 2 (0,25-0,50) uT",IF(AE431&lt;=0.75,"Tipo 3 (0,50-0,75) uT","Tipo 4 (&gt;0,75) uT"))))</f>
        <v>Tipo 1 (≤0,25) uT</v>
      </c>
      <c r="BE431" s="137" t="str">
        <f t="shared" si="42"/>
        <v>Tipo 1 (≤0,25) uT</v>
      </c>
      <c r="BF431" s="137" t="str">
        <f>IF(OR(AF431="",AQ431="-"),"",IF(AF431&lt;=0.25,"Tipo 1 (≤0,25) uT",IF(AF431&lt;=0.5,"Tipo 2 (0,25-0,50) uT",IF(AF431&lt;=0.75,"Tipo 3 (0,50-0,75) uT","Tipo 4 (&gt;0,75) uT"))))</f>
        <v>Tipo 1 (≤0,25) uT</v>
      </c>
      <c r="BG431" s="137" t="str">
        <f t="shared" si="43"/>
        <v>Tipo 1 (≤0,25) uT</v>
      </c>
      <c r="BH431" s="137" t="str">
        <f>IF(OR(R431="",R431="-"),"",IF(R431&lt;=0.25,"Tipo 1 (≤0,25) uT",IF(R431&lt;=0.5,"Tipo 2 (0,25-0,50) uT",IF(R431&lt;=0.75,"Tipo 3 (0,50-0,75) uT","Tipo 4 (&gt;0,75) uT"))))</f>
        <v>Tipo 1 (≤0,25) uT</v>
      </c>
    </row>
    <row r="432" spans="1:60" ht="15" thickBot="1" x14ac:dyDescent="0.35">
      <c r="A432" s="74">
        <v>46307</v>
      </c>
      <c r="B432" s="139">
        <v>0.14583333333333334</v>
      </c>
      <c r="C432" s="118">
        <v>0</v>
      </c>
      <c r="D432" s="116">
        <v>1588</v>
      </c>
      <c r="E432" s="116">
        <v>205</v>
      </c>
      <c r="F432" s="116">
        <v>1817</v>
      </c>
      <c r="G432" s="144" t="s">
        <v>100</v>
      </c>
      <c r="H432" s="122">
        <v>9.5</v>
      </c>
      <c r="I432" s="116">
        <v>33</v>
      </c>
      <c r="J432" s="10">
        <v>90</v>
      </c>
      <c r="K432" s="116">
        <v>90</v>
      </c>
      <c r="L432" s="116">
        <v>90</v>
      </c>
      <c r="M432" s="122">
        <v>25.9</v>
      </c>
      <c r="N432" s="122">
        <v>6.4</v>
      </c>
      <c r="O432" s="79">
        <v>1.04</v>
      </c>
      <c r="P432" s="116">
        <v>5</v>
      </c>
      <c r="Q432" s="122">
        <v>6.7</v>
      </c>
      <c r="R432" s="10">
        <v>0.11</v>
      </c>
      <c r="S432" s="79">
        <v>22.36</v>
      </c>
      <c r="T432" s="79">
        <v>0.88</v>
      </c>
      <c r="U432" s="79">
        <v>0.7</v>
      </c>
      <c r="V432" s="85">
        <f t="shared" si="44"/>
        <v>1337.7662500000001</v>
      </c>
      <c r="W432" s="85">
        <f t="shared" si="45"/>
        <v>1608.2667015999998</v>
      </c>
      <c r="X432" s="85">
        <f t="shared" si="46"/>
        <v>1.2022030766585714</v>
      </c>
      <c r="Y432" s="116">
        <v>3</v>
      </c>
      <c r="Z432" s="116">
        <v>4</v>
      </c>
      <c r="AA432" s="122">
        <v>5.8</v>
      </c>
      <c r="AB432" s="116">
        <v>23</v>
      </c>
      <c r="AC432" s="122">
        <v>6.2</v>
      </c>
      <c r="AD432" s="122">
        <v>5.5</v>
      </c>
      <c r="AE432" s="79">
        <v>0.16</v>
      </c>
      <c r="AF432" s="79">
        <v>0.15</v>
      </c>
      <c r="AG432" s="85">
        <f>(O432+0.3*H432+2)*(F432/2/AK432)</f>
        <v>1783.6883333333335</v>
      </c>
      <c r="AH432" s="85">
        <f t="shared" si="47"/>
        <v>1979.8438399999998</v>
      </c>
      <c r="AI432" s="85">
        <f t="shared" si="48"/>
        <v>1.1099718504634122</v>
      </c>
      <c r="AJ432" s="116">
        <v>2</v>
      </c>
      <c r="AK432" s="116">
        <v>3</v>
      </c>
      <c r="AL432" s="122">
        <v>6.4</v>
      </c>
      <c r="AM432" s="116">
        <v>25</v>
      </c>
      <c r="AN432" s="122">
        <v>6.1</v>
      </c>
      <c r="AO432" s="122">
        <v>5.9</v>
      </c>
      <c r="AP432" s="79">
        <v>0.14000000000000001</v>
      </c>
      <c r="AQ432" s="79">
        <v>0.16</v>
      </c>
      <c r="AR432" s="132">
        <f>SUM(C432:E432)</f>
        <v>1793</v>
      </c>
      <c r="AS432" s="134">
        <f>C432/AR432</f>
        <v>0</v>
      </c>
      <c r="AT432" s="134">
        <f>D432/AR432</f>
        <v>0.88566648075850529</v>
      </c>
      <c r="AU432" s="134">
        <f>E432/AR432</f>
        <v>0.11433351924149471</v>
      </c>
      <c r="AV432" s="151">
        <f>IF(AND(F432&lt;&gt;"",Z432&lt;&gt;""),AB432/(F432/2/Z432),"")</f>
        <v>0.10126582278481013</v>
      </c>
      <c r="AW432" s="151">
        <f>IF(AND(F432&lt;&gt;"",AK432&lt;&gt;""),AM432/(F432/2/AK432),"")</f>
        <v>8.2553659878921298E-2</v>
      </c>
      <c r="AX432" s="43">
        <f>IF(AND(AQ432&lt;&gt;"",1-(AQ432/O432)&gt;0),1-(AQ432/O432),"")</f>
        <v>0.84615384615384615</v>
      </c>
      <c r="AY432" s="41">
        <f>IF(AND(AF432&lt;&gt;"",1-(AF432/O432)&gt;0),1-(AF432/O432),"")</f>
        <v>0.85576923076923084</v>
      </c>
      <c r="AZ432" s="136" t="str">
        <f>IF(Q432="","",IF(Q432&lt;2.5,"Alc. Bruta &lt; 2,5 mg/L",IF(Q432&lt;5,"2,5 ≤ Alc. Bruta &lt; 5,0 mg/L",IF(Q432&lt;7.5,"5,0 ≤ Alc. Bruta &lt; 7,5 mg/L",IF(Q432&lt;10,"7,5 ≤ Alc. Bruta &lt; 10,0 mg/L",IF(Q432&lt;15,"10,0 ≤ Alca. Bruta &lt; 15,0 mg/L","Alc. Bruta &gt; 15 mg/L"))))))</f>
        <v>5,0 ≤ Alc. Bruta &lt; 7,5 mg/L</v>
      </c>
      <c r="BA432" s="136" t="str">
        <f>IF(P432="","",IF(P432&lt;5,"Cor &lt;5 uC",IF(P432&lt;10,"5 ≤ Cor &lt; 10 uC",IF(P432&lt;15,"10 ≤ Cor &lt;15 uC",IF(P432&lt;30,"15 ≤ Cor &lt; 30 uC",IF(P432&lt;50,"30 ≤ Cor &lt; 50 uC","Cor &gt; 50 uC"))))))</f>
        <v>5 ≤ Cor &lt; 10 uC</v>
      </c>
      <c r="BB432" s="137" t="str">
        <f>IF(O432="","",IF(O432&lt;2.5,"Turbidez &lt; 2,5 uT",IF(O432&lt;5,"2,5 ≤ Turb &lt; 5,0 uT",IF(O432&lt;7.5,"5,0 ≤ Turb &lt; 7,5 uT",IF(O432&lt;10,"7,5 ≤ Turb &lt; 10,0 uT",IF(O432&lt;15,"10,0 ≤ Turb &lt; 15,0 uT","Turb &gt; 15 uT"))))))</f>
        <v>Turbidez &lt; 2,5 uT</v>
      </c>
      <c r="BC432" s="138" t="str">
        <f>IF(AND(C432&gt;D432,D432&gt;E432),"TOR &gt; SM &gt; BNN",IF(AND(C432&gt;E432,E432&gt;D432),"TOR &gt; BNN &gt; SM",IF(AND(D432&gt;C432,C432&gt;E432),"SM &gt; TOR &gt; BNN",IF(AND(D432&gt;E432,E432&gt;C432),"SM &gt; BNN &gt; TOR",IF(AND(C432=D432,D432=E432),"TOR = SM = BNN","Comb. diferentes")))))</f>
        <v>SM &gt; BNN &gt; TOR</v>
      </c>
      <c r="BD432" s="137" t="str">
        <f>IF(OR(AE432="",AQ432="-"),"",IF(AE432&lt;=0.25,"Tipo 1 (≤0,25) uT",IF(AE432&lt;=0.5,"Tipo 2 (0,25-0,50) uT",IF(AE432&lt;=0.75,"Tipo 3 (0,50-0,75) uT","Tipo 4 (&gt;0,75) uT"))))</f>
        <v>Tipo 1 (≤0,25) uT</v>
      </c>
      <c r="BE432" s="137" t="str">
        <f t="shared" si="42"/>
        <v>Tipo 1 (≤0,25) uT</v>
      </c>
      <c r="BF432" s="137" t="str">
        <f>IF(OR(AF432="",AQ432="-"),"",IF(AF432&lt;=0.25,"Tipo 1 (≤0,25) uT",IF(AF432&lt;=0.5,"Tipo 2 (0,25-0,50) uT",IF(AF432&lt;=0.75,"Tipo 3 (0,50-0,75) uT","Tipo 4 (&gt;0,75) uT"))))</f>
        <v>Tipo 1 (≤0,25) uT</v>
      </c>
      <c r="BG432" s="137" t="str">
        <f t="shared" si="43"/>
        <v>Tipo 1 (≤0,25) uT</v>
      </c>
      <c r="BH432" s="137" t="str">
        <f>IF(OR(R432="",R432="-"),"",IF(R432&lt;=0.25,"Tipo 1 (≤0,25) uT",IF(R432&lt;=0.5,"Tipo 2 (0,25-0,50) uT",IF(R432&lt;=0.75,"Tipo 3 (0,50-0,75) uT","Tipo 4 (&gt;0,75) uT"))))</f>
        <v>Tipo 1 (≤0,25) uT</v>
      </c>
    </row>
    <row r="433" spans="1:60" ht="15" thickBot="1" x14ac:dyDescent="0.35">
      <c r="A433" s="75">
        <v>46307</v>
      </c>
      <c r="B433" s="140">
        <v>0.22916666666666666</v>
      </c>
      <c r="C433" s="118">
        <v>0</v>
      </c>
      <c r="D433" s="117">
        <v>1002</v>
      </c>
      <c r="E433" s="117">
        <v>241</v>
      </c>
      <c r="F433" s="117">
        <v>1262</v>
      </c>
      <c r="G433" s="145" t="s">
        <v>100</v>
      </c>
      <c r="H433" s="123">
        <v>9.5</v>
      </c>
      <c r="I433" s="117">
        <v>33</v>
      </c>
      <c r="J433" s="11">
        <v>90</v>
      </c>
      <c r="K433" s="117">
        <v>90</v>
      </c>
      <c r="L433" s="117">
        <v>90</v>
      </c>
      <c r="M433" s="123">
        <v>25.5</v>
      </c>
      <c r="N433" s="123">
        <v>6.5</v>
      </c>
      <c r="O433" s="80">
        <v>0.95</v>
      </c>
      <c r="P433" s="117">
        <v>4</v>
      </c>
      <c r="Q433" s="123">
        <v>7.7</v>
      </c>
      <c r="R433" s="11">
        <v>0.11</v>
      </c>
      <c r="S433" s="79">
        <v>22.36</v>
      </c>
      <c r="T433" s="79">
        <v>0.88</v>
      </c>
      <c r="U433" s="79">
        <v>0.7</v>
      </c>
      <c r="V433" s="85">
        <f t="shared" si="44"/>
        <v>1829.8999999999999</v>
      </c>
      <c r="W433" s="85">
        <f t="shared" si="45"/>
        <v>1679.3299119999999</v>
      </c>
      <c r="X433" s="85">
        <f t="shared" si="46"/>
        <v>0.91771676703645011</v>
      </c>
      <c r="Y433" s="117">
        <v>1</v>
      </c>
      <c r="Z433" s="117">
        <v>2</v>
      </c>
      <c r="AA433" s="123">
        <v>6</v>
      </c>
      <c r="AB433" s="117">
        <v>23</v>
      </c>
      <c r="AC433" s="123">
        <v>6.2</v>
      </c>
      <c r="AD433" s="123">
        <v>5.7</v>
      </c>
      <c r="AE433" s="80">
        <v>0.11</v>
      </c>
      <c r="AF433" s="80">
        <v>0.1</v>
      </c>
      <c r="AG433" s="85">
        <f>(O433+0.3*H433+2)*(F433/2/AK433)</f>
        <v>1219.9333333333334</v>
      </c>
      <c r="AH433" s="85">
        <f t="shared" si="47"/>
        <v>1900.6500864</v>
      </c>
      <c r="AI433" s="85">
        <f t="shared" si="48"/>
        <v>1.5579950432264058</v>
      </c>
      <c r="AJ433" s="117">
        <v>1</v>
      </c>
      <c r="AK433" s="117">
        <v>3</v>
      </c>
      <c r="AL433" s="123">
        <v>6.4</v>
      </c>
      <c r="AM433" s="117">
        <v>24</v>
      </c>
      <c r="AN433" s="123">
        <v>6.1</v>
      </c>
      <c r="AO433" s="123">
        <v>5.3</v>
      </c>
      <c r="AP433" s="80">
        <v>0.11</v>
      </c>
      <c r="AQ433" s="80">
        <v>0.16</v>
      </c>
      <c r="AR433" s="132">
        <f>SUM(C433:E433)</f>
        <v>1243</v>
      </c>
      <c r="AS433" s="134">
        <f>C433/AR433</f>
        <v>0</v>
      </c>
      <c r="AT433" s="134">
        <f>D433/AR433</f>
        <v>0.80611423974255836</v>
      </c>
      <c r="AU433" s="134">
        <f>E433/AR433</f>
        <v>0.19388576025744167</v>
      </c>
      <c r="AV433" s="151">
        <f>IF(AND(F433&lt;&gt;"",Z433&lt;&gt;""),AB433/(F433/2/Z433),"")</f>
        <v>7.2900158478605384E-2</v>
      </c>
      <c r="AW433" s="151">
        <f>IF(AND(F433&lt;&gt;"",AK433&lt;&gt;""),AM433/(F433/2/AK433),"")</f>
        <v>0.11410459587955625</v>
      </c>
      <c r="AX433" s="43">
        <f>IF(AND(AQ433&lt;&gt;"",1-(AQ433/O433)&gt;0),1-(AQ433/O433),"")</f>
        <v>0.83157894736842097</v>
      </c>
      <c r="AY433" s="41">
        <f>IF(AND(AF433&lt;&gt;"",1-(AF433/O433)&gt;0),1-(AF433/O433),"")</f>
        <v>0.89473684210526316</v>
      </c>
      <c r="AZ433" s="136" t="str">
        <f>IF(Q433="","",IF(Q433&lt;2.5,"Alc. Bruta &lt; 2,5 mg/L",IF(Q433&lt;5,"2,5 ≤ Alc. Bruta &lt; 5,0 mg/L",IF(Q433&lt;7.5,"5,0 ≤ Alc. Bruta &lt; 7,5 mg/L",IF(Q433&lt;10,"7,5 ≤ Alc. Bruta &lt; 10,0 mg/L",IF(Q433&lt;15,"10,0 ≤ Alca. Bruta &lt; 15,0 mg/L","Alc. Bruta &gt; 15 mg/L"))))))</f>
        <v>7,5 ≤ Alc. Bruta &lt; 10,0 mg/L</v>
      </c>
      <c r="BA433" s="136" t="str">
        <f>IF(P433="","",IF(P433&lt;5,"Cor &lt;5 uC",IF(P433&lt;10,"5 ≤ Cor &lt; 10 uC",IF(P433&lt;15,"10 ≤ Cor &lt;15 uC",IF(P433&lt;30,"15 ≤ Cor &lt; 30 uC",IF(P433&lt;50,"30 ≤ Cor &lt; 50 uC","Cor &gt; 50 uC"))))))</f>
        <v>Cor &lt;5 uC</v>
      </c>
      <c r="BB433" s="137" t="str">
        <f>IF(O433="","",IF(O433&lt;2.5,"Turbidez &lt; 2,5 uT",IF(O433&lt;5,"2,5 ≤ Turb &lt; 5,0 uT",IF(O433&lt;7.5,"5,0 ≤ Turb &lt; 7,5 uT",IF(O433&lt;10,"7,5 ≤ Turb &lt; 10,0 uT",IF(O433&lt;15,"10,0 ≤ Turb &lt; 15,0 uT","Turb &gt; 15 uT"))))))</f>
        <v>Turbidez &lt; 2,5 uT</v>
      </c>
      <c r="BC433" s="138" t="str">
        <f>IF(AND(C433&gt;D433,D433&gt;E433),"TOR &gt; SM &gt; BNN",IF(AND(C433&gt;E433,E433&gt;D433),"TOR &gt; BNN &gt; SM",IF(AND(D433&gt;C433,C433&gt;E433),"SM &gt; TOR &gt; BNN",IF(AND(D433&gt;E433,E433&gt;C433),"SM &gt; BNN &gt; TOR",IF(AND(C433=D433,D433=E433),"TOR = SM = BNN","Comb. diferentes")))))</f>
        <v>SM &gt; BNN &gt; TOR</v>
      </c>
      <c r="BD433" s="137" t="str">
        <f>IF(OR(AE433="",AQ433="-"),"",IF(AE433&lt;=0.25,"Tipo 1 (≤0,25) uT",IF(AE433&lt;=0.5,"Tipo 2 (0,25-0,50) uT",IF(AE433&lt;=0.75,"Tipo 3 (0,50-0,75) uT","Tipo 4 (&gt;0,75) uT"))))</f>
        <v>Tipo 1 (≤0,25) uT</v>
      </c>
      <c r="BE433" s="137" t="str">
        <f t="shared" si="42"/>
        <v>Tipo 1 (≤0,25) uT</v>
      </c>
      <c r="BF433" s="137" t="str">
        <f>IF(OR(AF433="",AQ433="-"),"",IF(AF433&lt;=0.25,"Tipo 1 (≤0,25) uT",IF(AF433&lt;=0.5,"Tipo 2 (0,25-0,50) uT",IF(AF433&lt;=0.75,"Tipo 3 (0,50-0,75) uT","Tipo 4 (&gt;0,75) uT"))))</f>
        <v>Tipo 1 (≤0,25) uT</v>
      </c>
      <c r="BG433" s="137" t="str">
        <f t="shared" si="43"/>
        <v>Tipo 1 (≤0,25) uT</v>
      </c>
      <c r="BH433" s="137" t="str">
        <f>IF(OR(R433="",R433="-"),"",IF(R433&lt;=0.25,"Tipo 1 (≤0,25) uT",IF(R433&lt;=0.5,"Tipo 2 (0,25-0,50) uT",IF(R433&lt;=0.75,"Tipo 3 (0,50-0,75) uT","Tipo 4 (&gt;0,75) uT"))))</f>
        <v>Tipo 1 (≤0,25) uT</v>
      </c>
    </row>
    <row r="434" spans="1:60" x14ac:dyDescent="0.3">
      <c r="A434" s="73">
        <v>46307</v>
      </c>
      <c r="B434" s="141">
        <v>0.3125</v>
      </c>
      <c r="C434" s="118">
        <v>0</v>
      </c>
      <c r="D434" s="118">
        <v>1011</v>
      </c>
      <c r="E434" s="118">
        <v>245</v>
      </c>
      <c r="F434" s="118">
        <v>1290</v>
      </c>
      <c r="G434" s="144" t="s">
        <v>100</v>
      </c>
      <c r="H434" s="124">
        <v>9.5</v>
      </c>
      <c r="I434" s="118">
        <v>33</v>
      </c>
      <c r="J434" s="9">
        <v>90</v>
      </c>
      <c r="K434" s="118">
        <v>90</v>
      </c>
      <c r="L434" s="118">
        <v>90</v>
      </c>
      <c r="M434" s="124">
        <v>25.3</v>
      </c>
      <c r="N434" s="124">
        <v>6.4</v>
      </c>
      <c r="O434" s="81">
        <v>0.96</v>
      </c>
      <c r="P434" s="118">
        <v>5</v>
      </c>
      <c r="Q434" s="124">
        <v>7.9</v>
      </c>
      <c r="R434" s="9">
        <v>0.11</v>
      </c>
      <c r="S434" s="79">
        <v>22.36</v>
      </c>
      <c r="T434" s="79">
        <v>0.88</v>
      </c>
      <c r="U434" s="79">
        <v>0.7</v>
      </c>
      <c r="V434" s="85">
        <f t="shared" si="44"/>
        <v>1249.1500000000001</v>
      </c>
      <c r="W434" s="85">
        <f t="shared" si="45"/>
        <v>1674.2890735999999</v>
      </c>
      <c r="X434" s="85">
        <f t="shared" si="46"/>
        <v>1.340342691910499</v>
      </c>
      <c r="Y434" s="118">
        <v>1</v>
      </c>
      <c r="Z434" s="118">
        <v>3</v>
      </c>
      <c r="AA434" s="124">
        <v>6.2</v>
      </c>
      <c r="AB434" s="118">
        <v>22</v>
      </c>
      <c r="AC434" s="124">
        <v>6.2</v>
      </c>
      <c r="AD434" s="124">
        <v>5.4</v>
      </c>
      <c r="AE434" s="81">
        <v>0.11</v>
      </c>
      <c r="AF434" s="81"/>
      <c r="AG434" s="85">
        <f>(O434+0.3*H434+2)*(F434/2/AK434)</f>
        <v>1873.7250000000001</v>
      </c>
      <c r="AH434" s="85">
        <f t="shared" si="47"/>
        <v>2018.46515</v>
      </c>
      <c r="AI434" s="85">
        <f t="shared" si="48"/>
        <v>1.0772472748135398</v>
      </c>
      <c r="AJ434" s="118">
        <v>1</v>
      </c>
      <c r="AK434" s="118">
        <v>2</v>
      </c>
      <c r="AL434" s="124">
        <v>6.5</v>
      </c>
      <c r="AM434" s="118">
        <v>25</v>
      </c>
      <c r="AN434" s="124">
        <v>6.1</v>
      </c>
      <c r="AO434" s="124">
        <v>5.8</v>
      </c>
      <c r="AP434" s="81">
        <v>0.12</v>
      </c>
      <c r="AQ434" s="81">
        <v>0.17</v>
      </c>
      <c r="AR434" s="132">
        <f>SUM(C434:E434)</f>
        <v>1256</v>
      </c>
      <c r="AS434" s="134">
        <f>C434/AR434</f>
        <v>0</v>
      </c>
      <c r="AT434" s="134">
        <f>D434/AR434</f>
        <v>0.80493630573248409</v>
      </c>
      <c r="AU434" s="134">
        <f>E434/AR434</f>
        <v>0.19506369426751594</v>
      </c>
      <c r="AV434" s="151">
        <f>IF(AND(F434&lt;&gt;"",Z434&lt;&gt;""),AB434/(F434/2/Z434),"")</f>
        <v>0.10232558139534884</v>
      </c>
      <c r="AW434" s="151">
        <f>IF(AND(F434&lt;&gt;"",AK434&lt;&gt;""),AM434/(F434/2/AK434),"")</f>
        <v>7.7519379844961239E-2</v>
      </c>
      <c r="AX434" s="43">
        <f>IF(AND(AQ434&lt;&gt;"",1-(AQ434/O434)&gt;0),1-(AQ434/O434),"")</f>
        <v>0.82291666666666663</v>
      </c>
      <c r="AY434" s="41" t="str">
        <f>IF(AND(AF434&lt;&gt;"",1-(AF434/O434)&gt;0),1-(AF434/O434),"")</f>
        <v/>
      </c>
      <c r="AZ434" s="136" t="str">
        <f>IF(Q434="","",IF(Q434&lt;2.5,"Alc. Bruta &lt; 2,5 mg/L",IF(Q434&lt;5,"2,5 ≤ Alc. Bruta &lt; 5,0 mg/L",IF(Q434&lt;7.5,"5,0 ≤ Alc. Bruta &lt; 7,5 mg/L",IF(Q434&lt;10,"7,5 ≤ Alc. Bruta &lt; 10,0 mg/L",IF(Q434&lt;15,"10,0 ≤ Alca. Bruta &lt; 15,0 mg/L","Alc. Bruta &gt; 15 mg/L"))))))</f>
        <v>7,5 ≤ Alc. Bruta &lt; 10,0 mg/L</v>
      </c>
      <c r="BA434" s="136" t="str">
        <f>IF(P434="","",IF(P434&lt;5,"Cor &lt;5 uC",IF(P434&lt;10,"5 ≤ Cor &lt; 10 uC",IF(P434&lt;15,"10 ≤ Cor &lt;15 uC",IF(P434&lt;30,"15 ≤ Cor &lt; 30 uC",IF(P434&lt;50,"30 ≤ Cor &lt; 50 uC","Cor &gt; 50 uC"))))))</f>
        <v>5 ≤ Cor &lt; 10 uC</v>
      </c>
      <c r="BB434" s="137" t="str">
        <f>IF(O434="","",IF(O434&lt;2.5,"Turbidez &lt; 2,5 uT",IF(O434&lt;5,"2,5 ≤ Turb &lt; 5,0 uT",IF(O434&lt;7.5,"5,0 ≤ Turb &lt; 7,5 uT",IF(O434&lt;10,"7,5 ≤ Turb &lt; 10,0 uT",IF(O434&lt;15,"10,0 ≤ Turb &lt; 15,0 uT","Turb &gt; 15 uT"))))))</f>
        <v>Turbidez &lt; 2,5 uT</v>
      </c>
      <c r="BC434" s="138" t="str">
        <f>IF(AND(C434&gt;D434,D434&gt;E434),"TOR &gt; SM &gt; BNN",IF(AND(C434&gt;E434,E434&gt;D434),"TOR &gt; BNN &gt; SM",IF(AND(D434&gt;C434,C434&gt;E434),"SM &gt; TOR &gt; BNN",IF(AND(D434&gt;E434,E434&gt;C434),"SM &gt; BNN &gt; TOR",IF(AND(C434=D434,D434=E434),"TOR = SM = BNN","Comb. diferentes")))))</f>
        <v>SM &gt; BNN &gt; TOR</v>
      </c>
      <c r="BD434" s="137" t="str">
        <f>IF(OR(AE434="",AQ434="-"),"",IF(AE434&lt;=0.25,"Tipo 1 (≤0,25) uT",IF(AE434&lt;=0.5,"Tipo 2 (0,25-0,50) uT",IF(AE434&lt;=0.75,"Tipo 3 (0,50-0,75) uT","Tipo 4 (&gt;0,75) uT"))))</f>
        <v>Tipo 1 (≤0,25) uT</v>
      </c>
      <c r="BE434" s="137" t="str">
        <f t="shared" si="42"/>
        <v>Tipo 1 (≤0,25) uT</v>
      </c>
      <c r="BF434" s="137" t="str">
        <f>IF(OR(AF434="",AQ434="-"),"",IF(AF434&lt;=0.25,"Tipo 1 (≤0,25) uT",IF(AF434&lt;=0.5,"Tipo 2 (0,25-0,50) uT",IF(AF434&lt;=0.75,"Tipo 3 (0,50-0,75) uT","Tipo 4 (&gt;0,75) uT"))))</f>
        <v/>
      </c>
      <c r="BG434" s="137" t="str">
        <f t="shared" si="43"/>
        <v>Tipo 1 (≤0,25) uT</v>
      </c>
      <c r="BH434" s="137" t="str">
        <f>IF(OR(R434="",R434="-"),"",IF(R434&lt;=0.25,"Tipo 1 (≤0,25) uT",IF(R434&lt;=0.5,"Tipo 2 (0,25-0,50) uT",IF(R434&lt;=0.75,"Tipo 3 (0,50-0,75) uT","Tipo 4 (&gt;0,75) uT"))))</f>
        <v>Tipo 1 (≤0,25) uT</v>
      </c>
    </row>
    <row r="435" spans="1:60" x14ac:dyDescent="0.3">
      <c r="A435" s="74">
        <v>46307</v>
      </c>
      <c r="B435" s="139">
        <v>0.39583333333333331</v>
      </c>
      <c r="C435" s="116">
        <v>0</v>
      </c>
      <c r="D435" s="116">
        <v>1020</v>
      </c>
      <c r="E435" s="116">
        <v>242</v>
      </c>
      <c r="F435" s="116">
        <v>1271</v>
      </c>
      <c r="G435" s="144" t="s">
        <v>100</v>
      </c>
      <c r="H435" s="122">
        <v>9.5</v>
      </c>
      <c r="I435" s="116">
        <v>33</v>
      </c>
      <c r="J435" s="10">
        <v>90</v>
      </c>
      <c r="K435" s="116">
        <v>90</v>
      </c>
      <c r="L435" s="116">
        <v>90</v>
      </c>
      <c r="M435" s="122">
        <v>26</v>
      </c>
      <c r="N435" s="122">
        <v>6.4</v>
      </c>
      <c r="O435" s="79">
        <v>1.1100000000000001</v>
      </c>
      <c r="P435" s="116">
        <v>5</v>
      </c>
      <c r="Q435" s="122">
        <v>7.4</v>
      </c>
      <c r="R435" s="10">
        <v>0.11</v>
      </c>
      <c r="S435" s="79">
        <v>22.36</v>
      </c>
      <c r="T435" s="79">
        <v>0.88</v>
      </c>
      <c r="U435" s="79">
        <v>0.7</v>
      </c>
      <c r="V435" s="85">
        <f t="shared" si="44"/>
        <v>1262.5266666666666</v>
      </c>
      <c r="W435" s="85">
        <f t="shared" si="45"/>
        <v>1674.2890735999999</v>
      </c>
      <c r="X435" s="85">
        <f t="shared" si="46"/>
        <v>1.3261415523368483</v>
      </c>
      <c r="Y435" s="116">
        <v>1</v>
      </c>
      <c r="Z435" s="116">
        <v>3</v>
      </c>
      <c r="AA435" s="122">
        <v>6.2</v>
      </c>
      <c r="AB435" s="116">
        <v>22</v>
      </c>
      <c r="AC435" s="122">
        <v>6.2</v>
      </c>
      <c r="AD435" s="122">
        <v>5.6</v>
      </c>
      <c r="AE435" s="79">
        <v>0.12</v>
      </c>
      <c r="AF435" s="79"/>
      <c r="AG435" s="85">
        <f>(O435+0.3*H435+2)*(F435/2/AK435)</f>
        <v>1893.79</v>
      </c>
      <c r="AH435" s="85">
        <f t="shared" si="47"/>
        <v>2006.8787570000002</v>
      </c>
      <c r="AI435" s="85">
        <f t="shared" si="48"/>
        <v>1.059715574060482</v>
      </c>
      <c r="AJ435" s="116">
        <v>1</v>
      </c>
      <c r="AK435" s="116">
        <v>2</v>
      </c>
      <c r="AL435" s="122">
        <v>6.47</v>
      </c>
      <c r="AM435" s="116">
        <v>25</v>
      </c>
      <c r="AN435" s="122">
        <v>6.1</v>
      </c>
      <c r="AO435" s="122">
        <v>5.4</v>
      </c>
      <c r="AP435" s="79">
        <v>0.1</v>
      </c>
      <c r="AQ435" s="79">
        <v>0.17</v>
      </c>
      <c r="AR435" s="132">
        <f>SUM(C435:E435)</f>
        <v>1262</v>
      </c>
      <c r="AS435" s="134">
        <f>C435/AR435</f>
        <v>0</v>
      </c>
      <c r="AT435" s="134">
        <f>D435/AR435</f>
        <v>0.80824088748019018</v>
      </c>
      <c r="AU435" s="134">
        <f>E435/AR435</f>
        <v>0.19175911251980982</v>
      </c>
      <c r="AV435" s="151">
        <f>IF(AND(F435&lt;&gt;"",Z435&lt;&gt;""),AB435/(F435/2/Z435),"")</f>
        <v>0.1038552321007081</v>
      </c>
      <c r="AW435" s="151">
        <f>IF(AND(F435&lt;&gt;"",AK435&lt;&gt;""),AM435/(F435/2/AK435),"")</f>
        <v>7.8678206136900075E-2</v>
      </c>
      <c r="AX435" s="43">
        <f>IF(AND(AQ435&lt;&gt;"",1-(AQ435/O435)&gt;0),1-(AQ435/O435),"")</f>
        <v>0.84684684684684686</v>
      </c>
      <c r="AY435" s="41" t="str">
        <f>IF(AND(AF435&lt;&gt;"",1-(AF435/O435)&gt;0),1-(AF435/O435),"")</f>
        <v/>
      </c>
      <c r="AZ435" s="136" t="str">
        <f>IF(Q435="","",IF(Q435&lt;2.5,"Alc. Bruta &lt; 2,5 mg/L",IF(Q435&lt;5,"2,5 ≤ Alc. Bruta &lt; 5,0 mg/L",IF(Q435&lt;7.5,"5,0 ≤ Alc. Bruta &lt; 7,5 mg/L",IF(Q435&lt;10,"7,5 ≤ Alc. Bruta &lt; 10,0 mg/L",IF(Q435&lt;15,"10,0 ≤ Alca. Bruta &lt; 15,0 mg/L","Alc. Bruta &gt; 15 mg/L"))))))</f>
        <v>5,0 ≤ Alc. Bruta &lt; 7,5 mg/L</v>
      </c>
      <c r="BA435" s="136" t="str">
        <f>IF(P435="","",IF(P435&lt;5,"Cor &lt;5 uC",IF(P435&lt;10,"5 ≤ Cor &lt; 10 uC",IF(P435&lt;15,"10 ≤ Cor &lt;15 uC",IF(P435&lt;30,"15 ≤ Cor &lt; 30 uC",IF(P435&lt;50,"30 ≤ Cor &lt; 50 uC","Cor &gt; 50 uC"))))))</f>
        <v>5 ≤ Cor &lt; 10 uC</v>
      </c>
      <c r="BB435" s="137" t="str">
        <f>IF(O435="","",IF(O435&lt;2.5,"Turbidez &lt; 2,5 uT",IF(O435&lt;5,"2,5 ≤ Turb &lt; 5,0 uT",IF(O435&lt;7.5,"5,0 ≤ Turb &lt; 7,5 uT",IF(O435&lt;10,"7,5 ≤ Turb &lt; 10,0 uT",IF(O435&lt;15,"10,0 ≤ Turb &lt; 15,0 uT","Turb &gt; 15 uT"))))))</f>
        <v>Turbidez &lt; 2,5 uT</v>
      </c>
      <c r="BC435" s="138" t="str">
        <f>IF(AND(C435&gt;D435,D435&gt;E435),"TOR &gt; SM &gt; BNN",IF(AND(C435&gt;E435,E435&gt;D435),"TOR &gt; BNN &gt; SM",IF(AND(D435&gt;C435,C435&gt;E435),"SM &gt; TOR &gt; BNN",IF(AND(D435&gt;E435,E435&gt;C435),"SM &gt; BNN &gt; TOR",IF(AND(C435=D435,D435=E435),"TOR = SM = BNN","Comb. diferentes")))))</f>
        <v>SM &gt; BNN &gt; TOR</v>
      </c>
      <c r="BD435" s="137" t="str">
        <f>IF(OR(AE435="",AQ435="-"),"",IF(AE435&lt;=0.25,"Tipo 1 (≤0,25) uT",IF(AE435&lt;=0.5,"Tipo 2 (0,25-0,50) uT",IF(AE435&lt;=0.75,"Tipo 3 (0,50-0,75) uT","Tipo 4 (&gt;0,75) uT"))))</f>
        <v>Tipo 1 (≤0,25) uT</v>
      </c>
      <c r="BE435" s="137" t="str">
        <f t="shared" si="42"/>
        <v>Tipo 1 (≤0,25) uT</v>
      </c>
      <c r="BF435" s="137" t="str">
        <f>IF(OR(AF435="",AQ435="-"),"",IF(AF435&lt;=0.25,"Tipo 1 (≤0,25) uT",IF(AF435&lt;=0.5,"Tipo 2 (0,25-0,50) uT",IF(AF435&lt;=0.75,"Tipo 3 (0,50-0,75) uT","Tipo 4 (&gt;0,75) uT"))))</f>
        <v/>
      </c>
      <c r="BG435" s="137" t="str">
        <f t="shared" si="43"/>
        <v>Tipo 1 (≤0,25) uT</v>
      </c>
      <c r="BH435" s="137" t="str">
        <f>IF(OR(R435="",R435="-"),"",IF(R435&lt;=0.25,"Tipo 1 (≤0,25) uT",IF(R435&lt;=0.5,"Tipo 2 (0,25-0,50) uT",IF(R435&lt;=0.75,"Tipo 3 (0,50-0,75) uT","Tipo 4 (&gt;0,75) uT"))))</f>
        <v>Tipo 1 (≤0,25) uT</v>
      </c>
    </row>
    <row r="436" spans="1:60" x14ac:dyDescent="0.3">
      <c r="A436" s="74">
        <v>46307</v>
      </c>
      <c r="B436" s="139">
        <v>0.47916666666666669</v>
      </c>
      <c r="C436" s="116">
        <v>0</v>
      </c>
      <c r="D436" s="116">
        <v>1634</v>
      </c>
      <c r="E436" s="116">
        <v>209</v>
      </c>
      <c r="F436" s="116">
        <v>1747</v>
      </c>
      <c r="G436" s="144" t="s">
        <v>100</v>
      </c>
      <c r="H436" s="122">
        <v>9.5</v>
      </c>
      <c r="I436" s="116">
        <v>33</v>
      </c>
      <c r="J436" s="10">
        <v>90</v>
      </c>
      <c r="K436" s="116">
        <v>90</v>
      </c>
      <c r="L436" s="116">
        <v>90</v>
      </c>
      <c r="M436" s="122">
        <v>26.4</v>
      </c>
      <c r="N436" s="122">
        <v>6.5</v>
      </c>
      <c r="O436" s="79">
        <v>1.03</v>
      </c>
      <c r="P436" s="116">
        <v>6</v>
      </c>
      <c r="Q436" s="122">
        <v>7.1</v>
      </c>
      <c r="R436" s="10">
        <v>0.11</v>
      </c>
      <c r="S436" s="79">
        <v>22.36</v>
      </c>
      <c r="T436" s="79">
        <v>0.88</v>
      </c>
      <c r="U436" s="79">
        <v>0.7</v>
      </c>
      <c r="V436" s="85">
        <f t="shared" si="44"/>
        <v>1284.0450000000001</v>
      </c>
      <c r="W436" s="85">
        <f t="shared" si="45"/>
        <v>1674.2890735999999</v>
      </c>
      <c r="X436" s="85">
        <f t="shared" si="46"/>
        <v>1.3039177549073435</v>
      </c>
      <c r="Y436" s="116">
        <v>2</v>
      </c>
      <c r="Z436" s="116">
        <v>4</v>
      </c>
      <c r="AA436" s="122">
        <v>6.2</v>
      </c>
      <c r="AB436" s="116">
        <v>22</v>
      </c>
      <c r="AC436" s="122">
        <v>6.3</v>
      </c>
      <c r="AD436" s="122">
        <v>5.6</v>
      </c>
      <c r="AE436" s="79">
        <v>0.16</v>
      </c>
      <c r="AF436" s="79"/>
      <c r="AG436" s="85">
        <f>(O436+0.3*H436+2)*(F436/2/AK436)</f>
        <v>2568.09</v>
      </c>
      <c r="AH436" s="85">
        <f t="shared" si="47"/>
        <v>2018.46515</v>
      </c>
      <c r="AI436" s="85">
        <f t="shared" si="48"/>
        <v>0.78597913235128047</v>
      </c>
      <c r="AJ436" s="116">
        <v>2</v>
      </c>
      <c r="AK436" s="116">
        <v>2</v>
      </c>
      <c r="AL436" s="122">
        <v>6.5</v>
      </c>
      <c r="AM436" s="116">
        <v>25</v>
      </c>
      <c r="AN436" s="122">
        <v>6.3</v>
      </c>
      <c r="AO436" s="122">
        <v>6.2</v>
      </c>
      <c r="AP436" s="79">
        <v>0.15</v>
      </c>
      <c r="AQ436" s="79">
        <v>0.16</v>
      </c>
      <c r="AR436" s="132">
        <f>SUM(C436:E436)</f>
        <v>1843</v>
      </c>
      <c r="AS436" s="134">
        <f>C436/AR436</f>
        <v>0</v>
      </c>
      <c r="AT436" s="134">
        <f>D436/AR436</f>
        <v>0.88659793814432986</v>
      </c>
      <c r="AU436" s="134">
        <f>E436/AR436</f>
        <v>0.1134020618556701</v>
      </c>
      <c r="AV436" s="151">
        <f>IF(AND(F436&lt;&gt;"",Z436&lt;&gt;""),AB436/(F436/2/Z436),"")</f>
        <v>0.10074413279908415</v>
      </c>
      <c r="AW436" s="151">
        <f>IF(AND(F436&lt;&gt;"",AK436&lt;&gt;""),AM436/(F436/2/AK436),"")</f>
        <v>5.7240984544934176E-2</v>
      </c>
      <c r="AX436" s="43">
        <f>IF(AND(AQ436&lt;&gt;"",1-(AQ436/O436)&gt;0),1-(AQ436/O436),"")</f>
        <v>0.84466019417475735</v>
      </c>
      <c r="AY436" s="41" t="str">
        <f>IF(AND(AF436&lt;&gt;"",1-(AF436/O436)&gt;0),1-(AF436/O436),"")</f>
        <v/>
      </c>
      <c r="AZ436" s="136" t="str">
        <f>IF(Q436="","",IF(Q436&lt;2.5,"Alc. Bruta &lt; 2,5 mg/L",IF(Q436&lt;5,"2,5 ≤ Alc. Bruta &lt; 5,0 mg/L",IF(Q436&lt;7.5,"5,0 ≤ Alc. Bruta &lt; 7,5 mg/L",IF(Q436&lt;10,"7,5 ≤ Alc. Bruta &lt; 10,0 mg/L",IF(Q436&lt;15,"10,0 ≤ Alca. Bruta &lt; 15,0 mg/L","Alc. Bruta &gt; 15 mg/L"))))))</f>
        <v>5,0 ≤ Alc. Bruta &lt; 7,5 mg/L</v>
      </c>
      <c r="BA436" s="136" t="str">
        <f>IF(P436="","",IF(P436&lt;5,"Cor &lt;5 uC",IF(P436&lt;10,"5 ≤ Cor &lt; 10 uC",IF(P436&lt;15,"10 ≤ Cor &lt;15 uC",IF(P436&lt;30,"15 ≤ Cor &lt; 30 uC",IF(P436&lt;50,"30 ≤ Cor &lt; 50 uC","Cor &gt; 50 uC"))))))</f>
        <v>5 ≤ Cor &lt; 10 uC</v>
      </c>
      <c r="BB436" s="137" t="str">
        <f>IF(O436="","",IF(O436&lt;2.5,"Turbidez &lt; 2,5 uT",IF(O436&lt;5,"2,5 ≤ Turb &lt; 5,0 uT",IF(O436&lt;7.5,"5,0 ≤ Turb &lt; 7,5 uT",IF(O436&lt;10,"7,5 ≤ Turb &lt; 10,0 uT",IF(O436&lt;15,"10,0 ≤ Turb &lt; 15,0 uT","Turb &gt; 15 uT"))))))</f>
        <v>Turbidez &lt; 2,5 uT</v>
      </c>
      <c r="BC436" s="138" t="str">
        <f>IF(AND(C436&gt;D436,D436&gt;E436),"TOR &gt; SM &gt; BNN",IF(AND(C436&gt;E436,E436&gt;D436),"TOR &gt; BNN &gt; SM",IF(AND(D436&gt;C436,C436&gt;E436),"SM &gt; TOR &gt; BNN",IF(AND(D436&gt;E436,E436&gt;C436),"SM &gt; BNN &gt; TOR",IF(AND(C436=D436,D436=E436),"TOR = SM = BNN","Comb. diferentes")))))</f>
        <v>SM &gt; BNN &gt; TOR</v>
      </c>
      <c r="BD436" s="137" t="str">
        <f>IF(OR(AE436="",AQ436="-"),"",IF(AE436&lt;=0.25,"Tipo 1 (≤0,25) uT",IF(AE436&lt;=0.5,"Tipo 2 (0,25-0,50) uT",IF(AE436&lt;=0.75,"Tipo 3 (0,50-0,75) uT","Tipo 4 (&gt;0,75) uT"))))</f>
        <v>Tipo 1 (≤0,25) uT</v>
      </c>
      <c r="BE436" s="137" t="str">
        <f t="shared" si="42"/>
        <v>Tipo 1 (≤0,25) uT</v>
      </c>
      <c r="BF436" s="137" t="str">
        <f>IF(OR(AF436="",AQ436="-"),"",IF(AF436&lt;=0.25,"Tipo 1 (≤0,25) uT",IF(AF436&lt;=0.5,"Tipo 2 (0,25-0,50) uT",IF(AF436&lt;=0.75,"Tipo 3 (0,50-0,75) uT","Tipo 4 (&gt;0,75) uT"))))</f>
        <v/>
      </c>
      <c r="BG436" s="137" t="str">
        <f t="shared" si="43"/>
        <v>Tipo 1 (≤0,25) uT</v>
      </c>
      <c r="BH436" s="137" t="str">
        <f>IF(OR(R436="",R436="-"),"",IF(R436&lt;=0.25,"Tipo 1 (≤0,25) uT",IF(R436&lt;=0.5,"Tipo 2 (0,25-0,50) uT",IF(R436&lt;=0.75,"Tipo 3 (0,50-0,75) uT","Tipo 4 (&gt;0,75) uT"))))</f>
        <v>Tipo 1 (≤0,25) uT</v>
      </c>
    </row>
    <row r="437" spans="1:60" x14ac:dyDescent="0.3">
      <c r="A437" s="74">
        <v>46307</v>
      </c>
      <c r="B437" s="139">
        <v>0.64583333333333337</v>
      </c>
      <c r="C437" s="116">
        <v>0</v>
      </c>
      <c r="D437" s="116">
        <v>1630</v>
      </c>
      <c r="E437" s="116">
        <v>210</v>
      </c>
      <c r="F437" s="116">
        <v>1771</v>
      </c>
      <c r="G437" s="144" t="s">
        <v>100</v>
      </c>
      <c r="H437" s="122">
        <v>9.5</v>
      </c>
      <c r="I437" s="116">
        <v>33</v>
      </c>
      <c r="J437" s="10">
        <v>90</v>
      </c>
      <c r="K437" s="116">
        <v>90</v>
      </c>
      <c r="L437" s="116">
        <v>90</v>
      </c>
      <c r="M437" s="122">
        <v>26.6</v>
      </c>
      <c r="N437" s="122">
        <v>6.4</v>
      </c>
      <c r="O437" s="79">
        <v>1.07</v>
      </c>
      <c r="P437" s="116">
        <v>7</v>
      </c>
      <c r="Q437" s="122">
        <v>6.9</v>
      </c>
      <c r="R437" s="10">
        <v>0.12</v>
      </c>
      <c r="S437" s="79">
        <v>22.36</v>
      </c>
      <c r="T437" s="79">
        <v>0.88</v>
      </c>
      <c r="U437" s="79">
        <v>0.7</v>
      </c>
      <c r="V437" s="85">
        <f t="shared" si="44"/>
        <v>1310.54</v>
      </c>
      <c r="W437" s="85">
        <f t="shared" si="45"/>
        <v>1640.3023207999997</v>
      </c>
      <c r="X437" s="85">
        <f t="shared" si="46"/>
        <v>1.2516232398858484</v>
      </c>
      <c r="Y437" s="116">
        <v>2</v>
      </c>
      <c r="Z437" s="116">
        <v>4</v>
      </c>
      <c r="AA437" s="122">
        <v>6.1</v>
      </c>
      <c r="AB437" s="116">
        <v>22</v>
      </c>
      <c r="AC437" s="122">
        <v>6.2</v>
      </c>
      <c r="AD437" s="122">
        <v>3.8</v>
      </c>
      <c r="AE437" s="79">
        <v>0.12</v>
      </c>
      <c r="AF437" s="79"/>
      <c r="AG437" s="85">
        <f>(O437+0.3*H437+2)*(F437/2/AK437)</f>
        <v>2621.08</v>
      </c>
      <c r="AH437" s="85">
        <f t="shared" si="47"/>
        <v>1979.8438399999998</v>
      </c>
      <c r="AI437" s="85">
        <f t="shared" si="48"/>
        <v>0.75535422039769862</v>
      </c>
      <c r="AJ437" s="116">
        <v>2</v>
      </c>
      <c r="AK437" s="116">
        <v>2</v>
      </c>
      <c r="AL437" s="122">
        <v>6.4</v>
      </c>
      <c r="AM437" s="116">
        <v>25</v>
      </c>
      <c r="AN437" s="122">
        <v>6.2</v>
      </c>
      <c r="AO437" s="122">
        <v>4.9000000000000004</v>
      </c>
      <c r="AP437" s="79">
        <v>0.1</v>
      </c>
      <c r="AQ437" s="79">
        <v>0.17</v>
      </c>
      <c r="AR437" s="132">
        <f>SUM(C437:E437)</f>
        <v>1840</v>
      </c>
      <c r="AS437" s="134">
        <f>C437/AR437</f>
        <v>0</v>
      </c>
      <c r="AT437" s="134">
        <f>D437/AR437</f>
        <v>0.88586956521739135</v>
      </c>
      <c r="AU437" s="134">
        <f>E437/AR437</f>
        <v>0.11413043478260869</v>
      </c>
      <c r="AV437" s="151">
        <f>IF(AND(F437&lt;&gt;"",Z437&lt;&gt;""),AB437/(F437/2/Z437),"")</f>
        <v>9.9378881987577633E-2</v>
      </c>
      <c r="AW437" s="151">
        <f>IF(AND(F437&lt;&gt;"",AK437&lt;&gt;""),AM437/(F437/2/AK437),"")</f>
        <v>5.6465273856578208E-2</v>
      </c>
      <c r="AX437" s="43">
        <f>IF(AND(AQ437&lt;&gt;"",1-(AQ437/O437)&gt;0),1-(AQ437/O437),"")</f>
        <v>0.84112149532710279</v>
      </c>
      <c r="AY437" s="41" t="str">
        <f>IF(AND(AF437&lt;&gt;"",1-(AF437/O437)&gt;0),1-(AF437/O437),"")</f>
        <v/>
      </c>
      <c r="AZ437" s="136" t="str">
        <f>IF(Q437="","",IF(Q437&lt;2.5,"Alc. Bruta &lt; 2,5 mg/L",IF(Q437&lt;5,"2,5 ≤ Alc. Bruta &lt; 5,0 mg/L",IF(Q437&lt;7.5,"5,0 ≤ Alc. Bruta &lt; 7,5 mg/L",IF(Q437&lt;10,"7,5 ≤ Alc. Bruta &lt; 10,0 mg/L",IF(Q437&lt;15,"10,0 ≤ Alca. Bruta &lt; 15,0 mg/L","Alc. Bruta &gt; 15 mg/L"))))))</f>
        <v>5,0 ≤ Alc. Bruta &lt; 7,5 mg/L</v>
      </c>
      <c r="BA437" s="136" t="str">
        <f>IF(P437="","",IF(P437&lt;5,"Cor &lt;5 uC",IF(P437&lt;10,"5 ≤ Cor &lt; 10 uC",IF(P437&lt;15,"10 ≤ Cor &lt;15 uC",IF(P437&lt;30,"15 ≤ Cor &lt; 30 uC",IF(P437&lt;50,"30 ≤ Cor &lt; 50 uC","Cor &gt; 50 uC"))))))</f>
        <v>5 ≤ Cor &lt; 10 uC</v>
      </c>
      <c r="BB437" s="137" t="str">
        <f>IF(O437="","",IF(O437&lt;2.5,"Turbidez &lt; 2,5 uT",IF(O437&lt;5,"2,5 ≤ Turb &lt; 5,0 uT",IF(O437&lt;7.5,"5,0 ≤ Turb &lt; 7,5 uT",IF(O437&lt;10,"7,5 ≤ Turb &lt; 10,0 uT",IF(O437&lt;15,"10,0 ≤ Turb &lt; 15,0 uT","Turb &gt; 15 uT"))))))</f>
        <v>Turbidez &lt; 2,5 uT</v>
      </c>
      <c r="BC437" s="138" t="str">
        <f>IF(AND(C437&gt;D437,D437&gt;E437),"TOR &gt; SM &gt; BNN",IF(AND(C437&gt;E437,E437&gt;D437),"TOR &gt; BNN &gt; SM",IF(AND(D437&gt;C437,C437&gt;E437),"SM &gt; TOR &gt; BNN",IF(AND(D437&gt;E437,E437&gt;C437),"SM &gt; BNN &gt; TOR",IF(AND(C437=D437,D437=E437),"TOR = SM = BNN","Comb. diferentes")))))</f>
        <v>SM &gt; BNN &gt; TOR</v>
      </c>
      <c r="BD437" s="137" t="str">
        <f>IF(OR(AE437="",AQ437="-"),"",IF(AE437&lt;=0.25,"Tipo 1 (≤0,25) uT",IF(AE437&lt;=0.5,"Tipo 2 (0,25-0,50) uT",IF(AE437&lt;=0.75,"Tipo 3 (0,50-0,75) uT","Tipo 4 (&gt;0,75) uT"))))</f>
        <v>Tipo 1 (≤0,25) uT</v>
      </c>
      <c r="BE437" s="137" t="str">
        <f t="shared" si="42"/>
        <v>Tipo 1 (≤0,25) uT</v>
      </c>
      <c r="BF437" s="137" t="str">
        <f>IF(OR(AF437="",AQ437="-"),"",IF(AF437&lt;=0.25,"Tipo 1 (≤0,25) uT",IF(AF437&lt;=0.5,"Tipo 2 (0,25-0,50) uT",IF(AF437&lt;=0.75,"Tipo 3 (0,50-0,75) uT","Tipo 4 (&gt;0,75) uT"))))</f>
        <v/>
      </c>
      <c r="BG437" s="137" t="str">
        <f t="shared" si="43"/>
        <v>Tipo 1 (≤0,25) uT</v>
      </c>
      <c r="BH437" s="137" t="str">
        <f>IF(OR(R437="",R437="-"),"",IF(R437&lt;=0.25,"Tipo 1 (≤0,25) uT",IF(R437&lt;=0.5,"Tipo 2 (0,25-0,50) uT",IF(R437&lt;=0.75,"Tipo 3 (0,50-0,75) uT","Tipo 4 (&gt;0,75) uT"))))</f>
        <v>Tipo 1 (≤0,25) uT</v>
      </c>
    </row>
    <row r="438" spans="1:60" x14ac:dyDescent="0.3">
      <c r="A438" s="74">
        <v>46307</v>
      </c>
      <c r="B438" s="139">
        <v>0.72916666666666663</v>
      </c>
      <c r="C438" s="116">
        <v>0</v>
      </c>
      <c r="D438" s="116">
        <v>1642</v>
      </c>
      <c r="E438" s="116">
        <v>210</v>
      </c>
      <c r="F438" s="116">
        <v>1760</v>
      </c>
      <c r="G438" s="144" t="s">
        <v>100</v>
      </c>
      <c r="H438" s="122">
        <v>9.5</v>
      </c>
      <c r="I438" s="116">
        <v>33</v>
      </c>
      <c r="J438" s="10">
        <v>90</v>
      </c>
      <c r="K438" s="116">
        <v>90</v>
      </c>
      <c r="L438" s="116">
        <v>90</v>
      </c>
      <c r="M438" s="122">
        <v>26.9</v>
      </c>
      <c r="N438" s="122">
        <v>6.5</v>
      </c>
      <c r="O438" s="79">
        <v>1.1000000000000001</v>
      </c>
      <c r="P438" s="116">
        <v>8</v>
      </c>
      <c r="Q438" s="122">
        <v>6.8</v>
      </c>
      <c r="R438" s="10">
        <v>0.12</v>
      </c>
      <c r="S438" s="79">
        <v>22.36</v>
      </c>
      <c r="T438" s="79">
        <v>0.88</v>
      </c>
      <c r="U438" s="79">
        <v>0.7</v>
      </c>
      <c r="V438" s="85">
        <f t="shared" si="44"/>
        <v>1309</v>
      </c>
      <c r="W438" s="85">
        <f t="shared" si="45"/>
        <v>1640.3023207999997</v>
      </c>
      <c r="X438" s="85">
        <f t="shared" si="46"/>
        <v>1.253095737815126</v>
      </c>
      <c r="Y438" s="116">
        <v>2</v>
      </c>
      <c r="Z438" s="116">
        <v>4</v>
      </c>
      <c r="AA438" s="122">
        <v>6.1</v>
      </c>
      <c r="AB438" s="116">
        <v>22</v>
      </c>
      <c r="AC438" s="122">
        <v>6.2</v>
      </c>
      <c r="AD438" s="122">
        <v>4.2</v>
      </c>
      <c r="AE438" s="79">
        <v>0.14000000000000001</v>
      </c>
      <c r="AF438" s="79"/>
      <c r="AG438" s="85">
        <f>(O438+0.3*H438+2)*(F438/2/AK438)</f>
        <v>2618</v>
      </c>
      <c r="AH438" s="85">
        <f t="shared" si="47"/>
        <v>2018.46515</v>
      </c>
      <c r="AI438" s="85">
        <f t="shared" si="48"/>
        <v>0.77099509167303282</v>
      </c>
      <c r="AJ438" s="116">
        <v>2</v>
      </c>
      <c r="AK438" s="116">
        <v>2</v>
      </c>
      <c r="AL438" s="122">
        <v>6.5</v>
      </c>
      <c r="AM438" s="116">
        <v>25</v>
      </c>
      <c r="AN438" s="122">
        <v>6.2</v>
      </c>
      <c r="AO438" s="122">
        <v>4.5999999999999996</v>
      </c>
      <c r="AP438" s="79">
        <v>0.18</v>
      </c>
      <c r="AQ438" s="79">
        <v>0.16</v>
      </c>
      <c r="AR438" s="132">
        <f>SUM(C438:E438)</f>
        <v>1852</v>
      </c>
      <c r="AS438" s="134">
        <f>C438/AR438</f>
        <v>0</v>
      </c>
      <c r="AT438" s="134">
        <f>D438/AR438</f>
        <v>0.88660907127429811</v>
      </c>
      <c r="AU438" s="134">
        <f>E438/AR438</f>
        <v>0.11339092872570194</v>
      </c>
      <c r="AV438" s="151">
        <f>IF(AND(F438&lt;&gt;"",Z438&lt;&gt;""),AB438/(F438/2/Z438),"")</f>
        <v>0.1</v>
      </c>
      <c r="AW438" s="151">
        <f>IF(AND(F438&lt;&gt;"",AK438&lt;&gt;""),AM438/(F438/2/AK438),"")</f>
        <v>5.6818181818181816E-2</v>
      </c>
      <c r="AX438" s="43">
        <f>IF(AND(AQ438&lt;&gt;"",1-(AQ438/O438)&gt;0),1-(AQ438/O438),"")</f>
        <v>0.8545454545454545</v>
      </c>
      <c r="AY438" s="41" t="str">
        <f>IF(AND(AF438&lt;&gt;"",1-(AF438/O438)&gt;0),1-(AF438/O438),"")</f>
        <v/>
      </c>
      <c r="AZ438" s="136" t="str">
        <f>IF(Q438="","",IF(Q438&lt;2.5,"Alc. Bruta &lt; 2,5 mg/L",IF(Q438&lt;5,"2,5 ≤ Alc. Bruta &lt; 5,0 mg/L",IF(Q438&lt;7.5,"5,0 ≤ Alc. Bruta &lt; 7,5 mg/L",IF(Q438&lt;10,"7,5 ≤ Alc. Bruta &lt; 10,0 mg/L",IF(Q438&lt;15,"10,0 ≤ Alca. Bruta &lt; 15,0 mg/L","Alc. Bruta &gt; 15 mg/L"))))))</f>
        <v>5,0 ≤ Alc. Bruta &lt; 7,5 mg/L</v>
      </c>
      <c r="BA438" s="136" t="str">
        <f>IF(P438="","",IF(P438&lt;5,"Cor &lt;5 uC",IF(P438&lt;10,"5 ≤ Cor &lt; 10 uC",IF(P438&lt;15,"10 ≤ Cor &lt;15 uC",IF(P438&lt;30,"15 ≤ Cor &lt; 30 uC",IF(P438&lt;50,"30 ≤ Cor &lt; 50 uC","Cor &gt; 50 uC"))))))</f>
        <v>5 ≤ Cor &lt; 10 uC</v>
      </c>
      <c r="BB438" s="137" t="str">
        <f>IF(O438="","",IF(O438&lt;2.5,"Turbidez &lt; 2,5 uT",IF(O438&lt;5,"2,5 ≤ Turb &lt; 5,0 uT",IF(O438&lt;7.5,"5,0 ≤ Turb &lt; 7,5 uT",IF(O438&lt;10,"7,5 ≤ Turb &lt; 10,0 uT",IF(O438&lt;15,"10,0 ≤ Turb &lt; 15,0 uT","Turb &gt; 15 uT"))))))</f>
        <v>Turbidez &lt; 2,5 uT</v>
      </c>
      <c r="BC438" s="138" t="str">
        <f>IF(AND(C438&gt;D438,D438&gt;E438),"TOR &gt; SM &gt; BNN",IF(AND(C438&gt;E438,E438&gt;D438),"TOR &gt; BNN &gt; SM",IF(AND(D438&gt;C438,C438&gt;E438),"SM &gt; TOR &gt; BNN",IF(AND(D438&gt;E438,E438&gt;C438),"SM &gt; BNN &gt; TOR",IF(AND(C438=D438,D438=E438),"TOR = SM = BNN","Comb. diferentes")))))</f>
        <v>SM &gt; BNN &gt; TOR</v>
      </c>
      <c r="BD438" s="137" t="str">
        <f>IF(OR(AE438="",AQ438="-"),"",IF(AE438&lt;=0.25,"Tipo 1 (≤0,25) uT",IF(AE438&lt;=0.5,"Tipo 2 (0,25-0,50) uT",IF(AE438&lt;=0.75,"Tipo 3 (0,50-0,75) uT","Tipo 4 (&gt;0,75) uT"))))</f>
        <v>Tipo 1 (≤0,25) uT</v>
      </c>
      <c r="BE438" s="137" t="str">
        <f t="shared" si="42"/>
        <v>Tipo 1 (≤0,25) uT</v>
      </c>
      <c r="BF438" s="137" t="str">
        <f>IF(OR(AF438="",AQ438="-"),"",IF(AF438&lt;=0.25,"Tipo 1 (≤0,25) uT",IF(AF438&lt;=0.5,"Tipo 2 (0,25-0,50) uT",IF(AF438&lt;=0.75,"Tipo 3 (0,50-0,75) uT","Tipo 4 (&gt;0,75) uT"))))</f>
        <v/>
      </c>
      <c r="BG438" s="137" t="str">
        <f t="shared" si="43"/>
        <v>Tipo 1 (≤0,25) uT</v>
      </c>
      <c r="BH438" s="137" t="str">
        <f>IF(OR(R438="",R438="-"),"",IF(R438&lt;=0.25,"Tipo 1 (≤0,25) uT",IF(R438&lt;=0.5,"Tipo 2 (0,25-0,50) uT",IF(R438&lt;=0.75,"Tipo 3 (0,50-0,75) uT","Tipo 4 (&gt;0,75) uT"))))</f>
        <v>Tipo 1 (≤0,25) uT</v>
      </c>
    </row>
    <row r="439" spans="1:60" x14ac:dyDescent="0.3">
      <c r="A439" s="74">
        <v>46307</v>
      </c>
      <c r="B439" s="139">
        <v>0.8125</v>
      </c>
      <c r="C439" s="116">
        <v>0</v>
      </c>
      <c r="D439" s="116">
        <v>1570</v>
      </c>
      <c r="E439" s="116">
        <v>209</v>
      </c>
      <c r="F439" s="116">
        <v>1770</v>
      </c>
      <c r="G439" s="144" t="s">
        <v>100</v>
      </c>
      <c r="H439" s="122">
        <v>9.5</v>
      </c>
      <c r="I439" s="116">
        <v>33</v>
      </c>
      <c r="J439" s="10">
        <v>90</v>
      </c>
      <c r="K439" s="116">
        <v>90</v>
      </c>
      <c r="L439" s="116">
        <v>90</v>
      </c>
      <c r="M439" s="122">
        <v>26</v>
      </c>
      <c r="N439" s="122">
        <v>6.6</v>
      </c>
      <c r="O439" s="79">
        <v>1</v>
      </c>
      <c r="P439" s="116">
        <v>8</v>
      </c>
      <c r="Q439" s="122">
        <v>7.4</v>
      </c>
      <c r="R439" s="10">
        <v>0.13</v>
      </c>
      <c r="S439" s="79">
        <v>22.36</v>
      </c>
      <c r="T439" s="79">
        <v>0.88</v>
      </c>
      <c r="U439" s="79">
        <v>0.7</v>
      </c>
      <c r="V439" s="85">
        <f t="shared" si="44"/>
        <v>1294.3125</v>
      </c>
      <c r="W439" s="85">
        <f t="shared" si="45"/>
        <v>1702.49467076</v>
      </c>
      <c r="X439" s="85">
        <f t="shared" si="46"/>
        <v>1.3153660115003138</v>
      </c>
      <c r="Y439" s="116">
        <v>2</v>
      </c>
      <c r="Z439" s="116">
        <v>4</v>
      </c>
      <c r="AA439" s="122">
        <v>6.15</v>
      </c>
      <c r="AB439" s="116">
        <v>22.6</v>
      </c>
      <c r="AC439" s="122">
        <v>6.3</v>
      </c>
      <c r="AD439" s="122">
        <v>5.0999999999999996</v>
      </c>
      <c r="AE439" s="79">
        <v>0.14000000000000001</v>
      </c>
      <c r="AF439" s="79"/>
      <c r="AG439" s="85">
        <f>(O439+0.3*H439+2)*(F439/2/AK439)</f>
        <v>1725.75</v>
      </c>
      <c r="AH439" s="85">
        <f t="shared" si="47"/>
        <v>1922.8959609599995</v>
      </c>
      <c r="AI439" s="85">
        <f t="shared" si="48"/>
        <v>1.1142378449717512</v>
      </c>
      <c r="AJ439" s="116">
        <v>2</v>
      </c>
      <c r="AK439" s="116">
        <v>3</v>
      </c>
      <c r="AL439" s="122">
        <v>6.46</v>
      </c>
      <c r="AM439" s="116">
        <v>24</v>
      </c>
      <c r="AN439" s="122">
        <v>6.3</v>
      </c>
      <c r="AO439" s="122">
        <v>5.3</v>
      </c>
      <c r="AP439" s="79">
        <v>0.17</v>
      </c>
      <c r="AQ439" s="79">
        <v>0.17</v>
      </c>
      <c r="AR439" s="132">
        <f>SUM(C439:E439)</f>
        <v>1779</v>
      </c>
      <c r="AS439" s="134">
        <f>C439/AR439</f>
        <v>0</v>
      </c>
      <c r="AT439" s="134">
        <f>D439/AR439</f>
        <v>0.88251826869027539</v>
      </c>
      <c r="AU439" s="134">
        <f>E439/AR439</f>
        <v>0.11748173130972456</v>
      </c>
      <c r="AV439" s="151">
        <f>IF(AND(F439&lt;&gt;"",Z439&lt;&gt;""),AB439/(F439/2/Z439),"")</f>
        <v>0.10214689265536724</v>
      </c>
      <c r="AW439" s="151">
        <f>IF(AND(F439&lt;&gt;"",AK439&lt;&gt;""),AM439/(F439/2/AK439),"")</f>
        <v>8.1355932203389825E-2</v>
      </c>
      <c r="AX439" s="43">
        <f>IF(AND(AQ439&lt;&gt;"",1-(AQ439/O439)&gt;0),1-(AQ439/O439),"")</f>
        <v>0.83</v>
      </c>
      <c r="AY439" s="41" t="str">
        <f>IF(AND(AF439&lt;&gt;"",1-(AF439/O439)&gt;0),1-(AF439/O439),"")</f>
        <v/>
      </c>
      <c r="AZ439" s="136" t="str">
        <f>IF(Q439="","",IF(Q439&lt;2.5,"Alc. Bruta &lt; 2,5 mg/L",IF(Q439&lt;5,"2,5 ≤ Alc. Bruta &lt; 5,0 mg/L",IF(Q439&lt;7.5,"5,0 ≤ Alc. Bruta &lt; 7,5 mg/L",IF(Q439&lt;10,"7,5 ≤ Alc. Bruta &lt; 10,0 mg/L",IF(Q439&lt;15,"10,0 ≤ Alca. Bruta &lt; 15,0 mg/L","Alc. Bruta &gt; 15 mg/L"))))))</f>
        <v>5,0 ≤ Alc. Bruta &lt; 7,5 mg/L</v>
      </c>
      <c r="BA439" s="136" t="str">
        <f>IF(P439="","",IF(P439&lt;5,"Cor &lt;5 uC",IF(P439&lt;10,"5 ≤ Cor &lt; 10 uC",IF(P439&lt;15,"10 ≤ Cor &lt;15 uC",IF(P439&lt;30,"15 ≤ Cor &lt; 30 uC",IF(P439&lt;50,"30 ≤ Cor &lt; 50 uC","Cor &gt; 50 uC"))))))</f>
        <v>5 ≤ Cor &lt; 10 uC</v>
      </c>
      <c r="BB439" s="137" t="str">
        <f>IF(O439="","",IF(O439&lt;2.5,"Turbidez &lt; 2,5 uT",IF(O439&lt;5,"2,5 ≤ Turb &lt; 5,0 uT",IF(O439&lt;7.5,"5,0 ≤ Turb &lt; 7,5 uT",IF(O439&lt;10,"7,5 ≤ Turb &lt; 10,0 uT",IF(O439&lt;15,"10,0 ≤ Turb &lt; 15,0 uT","Turb &gt; 15 uT"))))))</f>
        <v>Turbidez &lt; 2,5 uT</v>
      </c>
      <c r="BC439" s="138" t="str">
        <f>IF(AND(C439&gt;D439,D439&gt;E439),"TOR &gt; SM &gt; BNN",IF(AND(C439&gt;E439,E439&gt;D439),"TOR &gt; BNN &gt; SM",IF(AND(D439&gt;C439,C439&gt;E439),"SM &gt; TOR &gt; BNN",IF(AND(D439&gt;E439,E439&gt;C439),"SM &gt; BNN &gt; TOR",IF(AND(C439=D439,D439=E439),"TOR = SM = BNN","Comb. diferentes")))))</f>
        <v>SM &gt; BNN &gt; TOR</v>
      </c>
      <c r="BD439" s="137" t="str">
        <f>IF(OR(AE439="",AQ439="-"),"",IF(AE439&lt;=0.25,"Tipo 1 (≤0,25) uT",IF(AE439&lt;=0.5,"Tipo 2 (0,25-0,50) uT",IF(AE439&lt;=0.75,"Tipo 3 (0,50-0,75) uT","Tipo 4 (&gt;0,75) uT"))))</f>
        <v>Tipo 1 (≤0,25) uT</v>
      </c>
      <c r="BE439" s="137" t="str">
        <f t="shared" si="42"/>
        <v>Tipo 1 (≤0,25) uT</v>
      </c>
      <c r="BF439" s="137" t="str">
        <f>IF(OR(AF439="",AQ439="-"),"",IF(AF439&lt;=0.25,"Tipo 1 (≤0,25) uT",IF(AF439&lt;=0.5,"Tipo 2 (0,25-0,50) uT",IF(AF439&lt;=0.75,"Tipo 3 (0,50-0,75) uT","Tipo 4 (&gt;0,75) uT"))))</f>
        <v/>
      </c>
      <c r="BG439" s="137" t="str">
        <f t="shared" si="43"/>
        <v>Tipo 1 (≤0,25) uT</v>
      </c>
      <c r="BH439" s="137" t="str">
        <f>IF(OR(R439="",R439="-"),"",IF(R439&lt;=0.25,"Tipo 1 (≤0,25) uT",IF(R439&lt;=0.5,"Tipo 2 (0,25-0,50) uT",IF(R439&lt;=0.75,"Tipo 3 (0,50-0,75) uT","Tipo 4 (&gt;0,75) uT"))))</f>
        <v>Tipo 1 (≤0,25) uT</v>
      </c>
    </row>
    <row r="440" spans="1:60" x14ac:dyDescent="0.3">
      <c r="A440" s="74">
        <v>46307</v>
      </c>
      <c r="B440" s="139">
        <v>0.89583333333333337</v>
      </c>
      <c r="C440" s="116">
        <v>0</v>
      </c>
      <c r="D440" s="116">
        <v>1574</v>
      </c>
      <c r="E440" s="116">
        <v>209</v>
      </c>
      <c r="F440" s="116">
        <v>1739</v>
      </c>
      <c r="G440" s="144" t="s">
        <v>100</v>
      </c>
      <c r="H440" s="122">
        <v>9.5</v>
      </c>
      <c r="I440" s="116">
        <v>33</v>
      </c>
      <c r="J440" s="10">
        <v>90</v>
      </c>
      <c r="K440" s="116">
        <v>90</v>
      </c>
      <c r="L440" s="116">
        <v>90</v>
      </c>
      <c r="M440" s="122">
        <v>25.7</v>
      </c>
      <c r="N440" s="122">
        <v>6.6</v>
      </c>
      <c r="O440" s="79">
        <v>1.1299999999999999</v>
      </c>
      <c r="P440" s="116">
        <v>8</v>
      </c>
      <c r="Q440" s="122">
        <v>7</v>
      </c>
      <c r="R440" s="10">
        <v>0.14000000000000001</v>
      </c>
      <c r="S440" s="79">
        <v>22.36</v>
      </c>
      <c r="T440" s="79">
        <v>0.88</v>
      </c>
      <c r="U440" s="79">
        <v>0.7</v>
      </c>
      <c r="V440" s="85">
        <f t="shared" si="44"/>
        <v>1299.9025000000001</v>
      </c>
      <c r="W440" s="85">
        <f t="shared" si="45"/>
        <v>1724.0550928119999</v>
      </c>
      <c r="X440" s="85">
        <f t="shared" si="46"/>
        <v>1.3262956974173061</v>
      </c>
      <c r="Y440" s="116">
        <v>2</v>
      </c>
      <c r="Z440" s="116">
        <v>4</v>
      </c>
      <c r="AA440" s="122">
        <v>6.19</v>
      </c>
      <c r="AB440" s="116">
        <v>22.7</v>
      </c>
      <c r="AC440" s="122">
        <v>6.2</v>
      </c>
      <c r="AD440" s="122">
        <v>5.0999999999999996</v>
      </c>
      <c r="AE440" s="79">
        <v>0.15</v>
      </c>
      <c r="AF440" s="79"/>
      <c r="AG440" s="85">
        <f>(O440+0.3*H440+2)*(F440/2/AK440)</f>
        <v>1733.2033333333334</v>
      </c>
      <c r="AH440" s="85">
        <f t="shared" si="47"/>
        <v>1934.0188982399998</v>
      </c>
      <c r="AI440" s="85">
        <f t="shared" si="48"/>
        <v>1.1158638233867539</v>
      </c>
      <c r="AJ440" s="116">
        <v>2</v>
      </c>
      <c r="AK440" s="116">
        <v>3</v>
      </c>
      <c r="AL440" s="122">
        <v>6.49</v>
      </c>
      <c r="AM440" s="116">
        <v>24</v>
      </c>
      <c r="AN440" s="122">
        <v>6.4</v>
      </c>
      <c r="AO440" s="122">
        <v>5.0999999999999996</v>
      </c>
      <c r="AP440" s="79">
        <v>0.19</v>
      </c>
      <c r="AQ440" s="79">
        <v>0.16</v>
      </c>
      <c r="AR440" s="132">
        <f>SUM(C440:E440)</f>
        <v>1783</v>
      </c>
      <c r="AS440" s="134">
        <f>C440/AR440</f>
        <v>0</v>
      </c>
      <c r="AT440" s="134">
        <f>D440/AR440</f>
        <v>0.88278182837913632</v>
      </c>
      <c r="AU440" s="134">
        <f>E440/AR440</f>
        <v>0.11721817162086372</v>
      </c>
      <c r="AV440" s="151">
        <f>IF(AND(F440&lt;&gt;"",Z440&lt;&gt;""),AB440/(F440/2/Z440),"")</f>
        <v>0.10442783208740655</v>
      </c>
      <c r="AW440" s="151">
        <f>IF(AND(F440&lt;&gt;"",AK440&lt;&gt;""),AM440/(F440/2/AK440),"")</f>
        <v>8.2806210465784943E-2</v>
      </c>
      <c r="AX440" s="43">
        <f>IF(AND(AQ440&lt;&gt;"",1-(AQ440/O440)&gt;0),1-(AQ440/O440),"")</f>
        <v>0.8584070796460177</v>
      </c>
      <c r="AY440" s="41" t="str">
        <f>IF(AND(AF440&lt;&gt;"",1-(AF440/O440)&gt;0),1-(AF440/O440),"")</f>
        <v/>
      </c>
      <c r="AZ440" s="136" t="str">
        <f>IF(Q440="","",IF(Q440&lt;2.5,"Alc. Bruta &lt; 2,5 mg/L",IF(Q440&lt;5,"2,5 ≤ Alc. Bruta &lt; 5,0 mg/L",IF(Q440&lt;7.5,"5,0 ≤ Alc. Bruta &lt; 7,5 mg/L",IF(Q440&lt;10,"7,5 ≤ Alc. Bruta &lt; 10,0 mg/L",IF(Q440&lt;15,"10,0 ≤ Alca. Bruta &lt; 15,0 mg/L","Alc. Bruta &gt; 15 mg/L"))))))</f>
        <v>5,0 ≤ Alc. Bruta &lt; 7,5 mg/L</v>
      </c>
      <c r="BA440" s="136" t="str">
        <f>IF(P440="","",IF(P440&lt;5,"Cor &lt;5 uC",IF(P440&lt;10,"5 ≤ Cor &lt; 10 uC",IF(P440&lt;15,"10 ≤ Cor &lt;15 uC",IF(P440&lt;30,"15 ≤ Cor &lt; 30 uC",IF(P440&lt;50,"30 ≤ Cor &lt; 50 uC","Cor &gt; 50 uC"))))))</f>
        <v>5 ≤ Cor &lt; 10 uC</v>
      </c>
      <c r="BB440" s="137" t="str">
        <f>IF(O440="","",IF(O440&lt;2.5,"Turbidez &lt; 2,5 uT",IF(O440&lt;5,"2,5 ≤ Turb &lt; 5,0 uT",IF(O440&lt;7.5,"5,0 ≤ Turb &lt; 7,5 uT",IF(O440&lt;10,"7,5 ≤ Turb &lt; 10,0 uT",IF(O440&lt;15,"10,0 ≤ Turb &lt; 15,0 uT","Turb &gt; 15 uT"))))))</f>
        <v>Turbidez &lt; 2,5 uT</v>
      </c>
      <c r="BC440" s="138" t="str">
        <f>IF(AND(C440&gt;D440,D440&gt;E440),"TOR &gt; SM &gt; BNN",IF(AND(C440&gt;E440,E440&gt;D440),"TOR &gt; BNN &gt; SM",IF(AND(D440&gt;C440,C440&gt;E440),"SM &gt; TOR &gt; BNN",IF(AND(D440&gt;E440,E440&gt;C440),"SM &gt; BNN &gt; TOR",IF(AND(C440=D440,D440=E440),"TOR = SM = BNN","Comb. diferentes")))))</f>
        <v>SM &gt; BNN &gt; TOR</v>
      </c>
      <c r="BD440" s="137" t="str">
        <f>IF(OR(AE440="",AQ440="-"),"",IF(AE440&lt;=0.25,"Tipo 1 (≤0,25) uT",IF(AE440&lt;=0.5,"Tipo 2 (0,25-0,50) uT",IF(AE440&lt;=0.75,"Tipo 3 (0,50-0,75) uT","Tipo 4 (&gt;0,75) uT"))))</f>
        <v>Tipo 1 (≤0,25) uT</v>
      </c>
      <c r="BE440" s="137" t="str">
        <f t="shared" si="42"/>
        <v>Tipo 1 (≤0,25) uT</v>
      </c>
      <c r="BF440" s="137" t="str">
        <f>IF(OR(AF440="",AQ440="-"),"",IF(AF440&lt;=0.25,"Tipo 1 (≤0,25) uT",IF(AF440&lt;=0.5,"Tipo 2 (0,25-0,50) uT",IF(AF440&lt;=0.75,"Tipo 3 (0,50-0,75) uT","Tipo 4 (&gt;0,75) uT"))))</f>
        <v/>
      </c>
      <c r="BG440" s="137" t="str">
        <f t="shared" si="43"/>
        <v>Tipo 1 (≤0,25) uT</v>
      </c>
      <c r="BH440" s="137" t="str">
        <f>IF(OR(R440="",R440="-"),"",IF(R440&lt;=0.25,"Tipo 1 (≤0,25) uT",IF(R440&lt;=0.5,"Tipo 2 (0,25-0,50) uT",IF(R440&lt;=0.75,"Tipo 3 (0,50-0,75) uT","Tipo 4 (&gt;0,75) uT"))))</f>
        <v>Tipo 1 (≤0,25) uT</v>
      </c>
    </row>
    <row r="441" spans="1:60" x14ac:dyDescent="0.3">
      <c r="A441" s="74">
        <v>46307</v>
      </c>
      <c r="B441" s="139">
        <v>0.97916666666666663</v>
      </c>
      <c r="C441" s="116">
        <v>0</v>
      </c>
      <c r="D441" s="116">
        <v>1585</v>
      </c>
      <c r="E441" s="116">
        <v>209</v>
      </c>
      <c r="F441" s="116">
        <v>1850</v>
      </c>
      <c r="G441" s="144" t="s">
        <v>100</v>
      </c>
      <c r="H441" s="122">
        <v>9.5</v>
      </c>
      <c r="I441" s="116">
        <v>-11.68</v>
      </c>
      <c r="J441" s="10">
        <v>90</v>
      </c>
      <c r="K441" s="116">
        <v>90</v>
      </c>
      <c r="L441" s="116">
        <v>90</v>
      </c>
      <c r="M441" s="122">
        <v>25.8</v>
      </c>
      <c r="N441" s="122">
        <v>6.6</v>
      </c>
      <c r="O441" s="79">
        <v>1.01</v>
      </c>
      <c r="P441" s="116">
        <v>8</v>
      </c>
      <c r="Q441" s="122">
        <v>7.1</v>
      </c>
      <c r="R441" s="10">
        <v>0.12</v>
      </c>
      <c r="S441" s="79">
        <v>22.36</v>
      </c>
      <c r="T441" s="79">
        <v>0.88</v>
      </c>
      <c r="U441" s="79">
        <v>0.7</v>
      </c>
      <c r="V441" s="85">
        <f t="shared" si="44"/>
        <v>1355.125</v>
      </c>
      <c r="W441" s="85">
        <f t="shared" si="45"/>
        <v>1716.4601364560001</v>
      </c>
      <c r="X441" s="85">
        <f t="shared" si="46"/>
        <v>1.2666433992849369</v>
      </c>
      <c r="Y441" s="116">
        <v>2</v>
      </c>
      <c r="Z441" s="116">
        <v>4</v>
      </c>
      <c r="AA441" s="122">
        <v>6.19</v>
      </c>
      <c r="AB441" s="116">
        <v>22.6</v>
      </c>
      <c r="AC441" s="122">
        <v>6.2</v>
      </c>
      <c r="AD441" s="122">
        <v>5.2</v>
      </c>
      <c r="AE441" s="79">
        <v>0.14000000000000001</v>
      </c>
      <c r="AF441" s="79"/>
      <c r="AG441" s="85">
        <f>(O441+0.3*H441+2)*(F441/2/AK441)</f>
        <v>1806.8333333333333</v>
      </c>
      <c r="AH441" s="85">
        <f t="shared" si="47"/>
        <v>1926.6036067200002</v>
      </c>
      <c r="AI441" s="85">
        <f t="shared" si="48"/>
        <v>1.0662873941813487</v>
      </c>
      <c r="AJ441" s="116">
        <v>2</v>
      </c>
      <c r="AK441" s="116">
        <v>3</v>
      </c>
      <c r="AL441" s="122">
        <v>6.47</v>
      </c>
      <c r="AM441" s="116">
        <v>24</v>
      </c>
      <c r="AN441" s="122">
        <v>6.2</v>
      </c>
      <c r="AO441" s="122">
        <v>5.2</v>
      </c>
      <c r="AP441" s="79">
        <v>0.18</v>
      </c>
      <c r="AQ441" s="79">
        <v>0.19</v>
      </c>
      <c r="AR441" s="132">
        <f>SUM(C441:E441)</f>
        <v>1794</v>
      </c>
      <c r="AS441" s="134">
        <f>C441/AR441</f>
        <v>0</v>
      </c>
      <c r="AT441" s="134">
        <f>D441/AR441</f>
        <v>0.8835005574136009</v>
      </c>
      <c r="AU441" s="134">
        <f>E441/AR441</f>
        <v>0.1164994425863991</v>
      </c>
      <c r="AV441" s="151">
        <f>IF(AND(F441&lt;&gt;"",Z441&lt;&gt;""),AB441/(F441/2/Z441),"")</f>
        <v>9.7729729729729736E-2</v>
      </c>
      <c r="AW441" s="151">
        <f>IF(AND(F441&lt;&gt;"",AK441&lt;&gt;""),AM441/(F441/2/AK441),"")</f>
        <v>7.7837837837837848E-2</v>
      </c>
      <c r="AX441" s="43">
        <f>IF(AND(AQ441&lt;&gt;"",1-(AQ441/O441)&gt;0),1-(AQ441/O441),"")</f>
        <v>0.81188118811881194</v>
      </c>
      <c r="AY441" s="41" t="str">
        <f>IF(AND(AF441&lt;&gt;"",1-(AF441/O441)&gt;0),1-(AF441/O441),"")</f>
        <v/>
      </c>
      <c r="AZ441" s="136" t="str">
        <f>IF(Q441="","",IF(Q441&lt;2.5,"Alc. Bruta &lt; 2,5 mg/L",IF(Q441&lt;5,"2,5 ≤ Alc. Bruta &lt; 5,0 mg/L",IF(Q441&lt;7.5,"5,0 ≤ Alc. Bruta &lt; 7,5 mg/L",IF(Q441&lt;10,"7,5 ≤ Alc. Bruta &lt; 10,0 mg/L",IF(Q441&lt;15,"10,0 ≤ Alca. Bruta &lt; 15,0 mg/L","Alc. Bruta &gt; 15 mg/L"))))))</f>
        <v>5,0 ≤ Alc. Bruta &lt; 7,5 mg/L</v>
      </c>
      <c r="BA441" s="136" t="str">
        <f>IF(P441="","",IF(P441&lt;5,"Cor &lt;5 uC",IF(P441&lt;10,"5 ≤ Cor &lt; 10 uC",IF(P441&lt;15,"10 ≤ Cor &lt;15 uC",IF(P441&lt;30,"15 ≤ Cor &lt; 30 uC",IF(P441&lt;50,"30 ≤ Cor &lt; 50 uC","Cor &gt; 50 uC"))))))</f>
        <v>5 ≤ Cor &lt; 10 uC</v>
      </c>
      <c r="BB441" s="137" t="str">
        <f>IF(O441="","",IF(O441&lt;2.5,"Turbidez &lt; 2,5 uT",IF(O441&lt;5,"2,5 ≤ Turb &lt; 5,0 uT",IF(O441&lt;7.5,"5,0 ≤ Turb &lt; 7,5 uT",IF(O441&lt;10,"7,5 ≤ Turb &lt; 10,0 uT",IF(O441&lt;15,"10,0 ≤ Turb &lt; 15,0 uT","Turb &gt; 15 uT"))))))</f>
        <v>Turbidez &lt; 2,5 uT</v>
      </c>
      <c r="BC441" s="138" t="str">
        <f>IF(AND(C441&gt;D441,D441&gt;E441),"TOR &gt; SM &gt; BNN",IF(AND(C441&gt;E441,E441&gt;D441),"TOR &gt; BNN &gt; SM",IF(AND(D441&gt;C441,C441&gt;E441),"SM &gt; TOR &gt; BNN",IF(AND(D441&gt;E441,E441&gt;C441),"SM &gt; BNN &gt; TOR",IF(AND(C441=D441,D441=E441),"TOR = SM = BNN","Comb. diferentes")))))</f>
        <v>SM &gt; BNN &gt; TOR</v>
      </c>
      <c r="BD441" s="137" t="str">
        <f>IF(OR(AE441="",AQ441="-"),"",IF(AE441&lt;=0.25,"Tipo 1 (≤0,25) uT",IF(AE441&lt;=0.5,"Tipo 2 (0,25-0,50) uT",IF(AE441&lt;=0.75,"Tipo 3 (0,50-0,75) uT","Tipo 4 (&gt;0,75) uT"))))</f>
        <v>Tipo 1 (≤0,25) uT</v>
      </c>
      <c r="BE441" s="137" t="str">
        <f t="shared" si="42"/>
        <v>Tipo 1 (≤0,25) uT</v>
      </c>
      <c r="BF441" s="137" t="str">
        <f>IF(OR(AF441="",AQ441="-"),"",IF(AF441&lt;=0.25,"Tipo 1 (≤0,25) uT",IF(AF441&lt;=0.5,"Tipo 2 (0,25-0,50) uT",IF(AF441&lt;=0.75,"Tipo 3 (0,50-0,75) uT","Tipo 4 (&gt;0,75) uT"))))</f>
        <v/>
      </c>
      <c r="BG441" s="137" t="str">
        <f t="shared" si="43"/>
        <v>Tipo 1 (≤0,25) uT</v>
      </c>
      <c r="BH441" s="137" t="str">
        <f>IF(OR(R441="",R441="-"),"",IF(R441&lt;=0.25,"Tipo 1 (≤0,25) uT",IF(R441&lt;=0.5,"Tipo 2 (0,25-0,50) uT",IF(R441&lt;=0.75,"Tipo 3 (0,50-0,75) uT","Tipo 4 (&gt;0,75) uT"))))</f>
        <v>Tipo 1 (≤0,25) uT</v>
      </c>
    </row>
    <row r="442" spans="1:60" x14ac:dyDescent="0.3">
      <c r="A442" s="74">
        <v>46308</v>
      </c>
      <c r="B442" s="139">
        <v>0.14583333333333334</v>
      </c>
      <c r="C442" s="116">
        <v>0</v>
      </c>
      <c r="D442" s="116">
        <v>1536</v>
      </c>
      <c r="E442" s="116">
        <v>209</v>
      </c>
      <c r="F442" s="116">
        <v>1788</v>
      </c>
      <c r="G442" s="144" t="s">
        <v>100</v>
      </c>
      <c r="H442" s="122">
        <v>9.5</v>
      </c>
      <c r="I442" s="116">
        <v>-12.68</v>
      </c>
      <c r="J442" s="10">
        <v>90</v>
      </c>
      <c r="K442" s="116">
        <v>90</v>
      </c>
      <c r="L442" s="116">
        <v>90</v>
      </c>
      <c r="M442" s="122">
        <v>25.6</v>
      </c>
      <c r="N442" s="122">
        <v>6.5</v>
      </c>
      <c r="O442" s="79">
        <v>0.97</v>
      </c>
      <c r="P442" s="116">
        <v>8</v>
      </c>
      <c r="Q442" s="122">
        <v>6.9</v>
      </c>
      <c r="R442" s="10">
        <v>0.15</v>
      </c>
      <c r="S442" s="79">
        <v>22.36</v>
      </c>
      <c r="T442" s="79">
        <v>0.88</v>
      </c>
      <c r="U442" s="79">
        <v>0.7</v>
      </c>
      <c r="V442" s="85">
        <f t="shared" si="44"/>
        <v>1300.77</v>
      </c>
      <c r="W442" s="85">
        <f t="shared" si="45"/>
        <v>1716.4601364560001</v>
      </c>
      <c r="X442" s="85">
        <f t="shared" si="46"/>
        <v>1.3195723582616452</v>
      </c>
      <c r="Y442" s="116">
        <v>2</v>
      </c>
      <c r="Z442" s="116">
        <v>4</v>
      </c>
      <c r="AA442" s="122">
        <v>6.19</v>
      </c>
      <c r="AB442" s="116">
        <v>22.6</v>
      </c>
      <c r="AC442" s="122">
        <v>6.2</v>
      </c>
      <c r="AD442" s="122">
        <v>5</v>
      </c>
      <c r="AE442" s="79">
        <v>0.13</v>
      </c>
      <c r="AF442" s="79"/>
      <c r="AG442" s="85">
        <f>(O442+0.3*H442+2)*(F442/2/AK442)</f>
        <v>1734.3600000000001</v>
      </c>
      <c r="AH442" s="85">
        <f t="shared" si="47"/>
        <v>1926.6036067200002</v>
      </c>
      <c r="AI442" s="85">
        <f t="shared" si="48"/>
        <v>1.1108441192831939</v>
      </c>
      <c r="AJ442" s="116">
        <v>2</v>
      </c>
      <c r="AK442" s="116">
        <v>3</v>
      </c>
      <c r="AL442" s="122">
        <v>6.47</v>
      </c>
      <c r="AM442" s="116">
        <v>24</v>
      </c>
      <c r="AN442" s="122">
        <v>6.2</v>
      </c>
      <c r="AO442" s="122">
        <v>5.6</v>
      </c>
      <c r="AP442" s="79">
        <v>0.19</v>
      </c>
      <c r="AQ442" s="79">
        <v>0.16</v>
      </c>
      <c r="AR442" s="132">
        <f>SUM(C442:E442)</f>
        <v>1745</v>
      </c>
      <c r="AS442" s="134">
        <f>C442/AR442</f>
        <v>0</v>
      </c>
      <c r="AT442" s="134">
        <f>D442/AR442</f>
        <v>0.88022922636103151</v>
      </c>
      <c r="AU442" s="134">
        <f>E442/AR442</f>
        <v>0.11977077363896849</v>
      </c>
      <c r="AV442" s="151">
        <f>IF(AND(F442&lt;&gt;"",Z442&lt;&gt;""),AB442/(F442/2/Z442),"")</f>
        <v>0.1011185682326622</v>
      </c>
      <c r="AW442" s="151">
        <f>IF(AND(F442&lt;&gt;"",AK442&lt;&gt;""),AM442/(F442/2/AK442),"")</f>
        <v>8.0536912751677847E-2</v>
      </c>
      <c r="AX442" s="43">
        <f>IF(AND(AQ442&lt;&gt;"",1-(AQ442/O442)&gt;0),1-(AQ442/O442),"")</f>
        <v>0.83505154639175261</v>
      </c>
      <c r="AY442" s="41" t="str">
        <f>IF(AND(AF442&lt;&gt;"",1-(AF442/O442)&gt;0),1-(AF442/O442),"")</f>
        <v/>
      </c>
      <c r="AZ442" s="136" t="str">
        <f>IF(Q442="","",IF(Q442&lt;2.5,"Alc. Bruta &lt; 2,5 mg/L",IF(Q442&lt;5,"2,5 ≤ Alc. Bruta &lt; 5,0 mg/L",IF(Q442&lt;7.5,"5,0 ≤ Alc. Bruta &lt; 7,5 mg/L",IF(Q442&lt;10,"7,5 ≤ Alc. Bruta &lt; 10,0 mg/L",IF(Q442&lt;15,"10,0 ≤ Alca. Bruta &lt; 15,0 mg/L","Alc. Bruta &gt; 15 mg/L"))))))</f>
        <v>5,0 ≤ Alc. Bruta &lt; 7,5 mg/L</v>
      </c>
      <c r="BA442" s="136" t="str">
        <f>IF(P442="","",IF(P442&lt;5,"Cor &lt;5 uC",IF(P442&lt;10,"5 ≤ Cor &lt; 10 uC",IF(P442&lt;15,"10 ≤ Cor &lt;15 uC",IF(P442&lt;30,"15 ≤ Cor &lt; 30 uC",IF(P442&lt;50,"30 ≤ Cor &lt; 50 uC","Cor &gt; 50 uC"))))))</f>
        <v>5 ≤ Cor &lt; 10 uC</v>
      </c>
      <c r="BB442" s="137" t="str">
        <f>IF(O442="","",IF(O442&lt;2.5,"Turbidez &lt; 2,5 uT",IF(O442&lt;5,"2,5 ≤ Turb &lt; 5,0 uT",IF(O442&lt;7.5,"5,0 ≤ Turb &lt; 7,5 uT",IF(O442&lt;10,"7,5 ≤ Turb &lt; 10,0 uT",IF(O442&lt;15,"10,0 ≤ Turb &lt; 15,0 uT","Turb &gt; 15 uT"))))))</f>
        <v>Turbidez &lt; 2,5 uT</v>
      </c>
      <c r="BC442" s="138" t="str">
        <f>IF(AND(C442&gt;D442,D442&gt;E442),"TOR &gt; SM &gt; BNN",IF(AND(C442&gt;E442,E442&gt;D442),"TOR &gt; BNN &gt; SM",IF(AND(D442&gt;C442,C442&gt;E442),"SM &gt; TOR &gt; BNN",IF(AND(D442&gt;E442,E442&gt;C442),"SM &gt; BNN &gt; TOR",IF(AND(C442=D442,D442=E442),"TOR = SM = BNN","Comb. diferentes")))))</f>
        <v>SM &gt; BNN &gt; TOR</v>
      </c>
      <c r="BD442" s="137" t="str">
        <f>IF(OR(AE442="",AQ442="-"),"",IF(AE442&lt;=0.25,"Tipo 1 (≤0,25) uT",IF(AE442&lt;=0.5,"Tipo 2 (0,25-0,50) uT",IF(AE442&lt;=0.75,"Tipo 3 (0,50-0,75) uT","Tipo 4 (&gt;0,75) uT"))))</f>
        <v>Tipo 1 (≤0,25) uT</v>
      </c>
      <c r="BE442" s="137" t="str">
        <f t="shared" si="42"/>
        <v>Tipo 1 (≤0,25) uT</v>
      </c>
      <c r="BF442" s="137" t="str">
        <f>IF(OR(AF442="",AQ442="-"),"",IF(AF442&lt;=0.25,"Tipo 1 (≤0,25) uT",IF(AF442&lt;=0.5,"Tipo 2 (0,25-0,50) uT",IF(AF442&lt;=0.75,"Tipo 3 (0,50-0,75) uT","Tipo 4 (&gt;0,75) uT"))))</f>
        <v/>
      </c>
      <c r="BG442" s="137" t="str">
        <f t="shared" si="43"/>
        <v>Tipo 1 (≤0,25) uT</v>
      </c>
      <c r="BH442" s="137" t="str">
        <f>IF(OR(R442="",R442="-"),"",IF(R442&lt;=0.25,"Tipo 1 (≤0,25) uT",IF(R442&lt;=0.5,"Tipo 2 (0,25-0,50) uT",IF(R442&lt;=0.75,"Tipo 3 (0,50-0,75) uT","Tipo 4 (&gt;0,75) uT"))))</f>
        <v>Tipo 1 (≤0,25) uT</v>
      </c>
    </row>
    <row r="443" spans="1:60" ht="15" thickBot="1" x14ac:dyDescent="0.35">
      <c r="A443" s="75">
        <v>46308</v>
      </c>
      <c r="B443" s="140">
        <v>0.22916666666666666</v>
      </c>
      <c r="C443" s="117">
        <v>0</v>
      </c>
      <c r="D443" s="117">
        <v>1510</v>
      </c>
      <c r="E443" s="117">
        <v>291</v>
      </c>
      <c r="F443" s="117">
        <v>1913</v>
      </c>
      <c r="G443" s="145" t="s">
        <v>100</v>
      </c>
      <c r="H443" s="123">
        <v>9.5</v>
      </c>
      <c r="I443" s="117">
        <v>-12.74</v>
      </c>
      <c r="J443" s="11">
        <v>90</v>
      </c>
      <c r="K443" s="117">
        <v>90</v>
      </c>
      <c r="L443" s="117">
        <v>90</v>
      </c>
      <c r="M443" s="123">
        <v>25.4</v>
      </c>
      <c r="N443" s="123">
        <v>6.4</v>
      </c>
      <c r="O443" s="80">
        <v>0.93</v>
      </c>
      <c r="P443" s="117">
        <v>8</v>
      </c>
      <c r="Q443" s="123">
        <v>7.2</v>
      </c>
      <c r="R443" s="11">
        <v>0.12</v>
      </c>
      <c r="S443" s="79">
        <v>22.36</v>
      </c>
      <c r="T443" s="79">
        <v>0.88</v>
      </c>
      <c r="U443" s="79">
        <v>0.7</v>
      </c>
      <c r="V443" s="85">
        <f t="shared" si="44"/>
        <v>1382.1425000000002</v>
      </c>
      <c r="W443" s="85">
        <f t="shared" si="45"/>
        <v>1716.4601364560001</v>
      </c>
      <c r="X443" s="85">
        <f t="shared" si="46"/>
        <v>1.2418836237623834</v>
      </c>
      <c r="Y443" s="117">
        <v>2</v>
      </c>
      <c r="Z443" s="117">
        <v>4</v>
      </c>
      <c r="AA443" s="123">
        <v>6.19</v>
      </c>
      <c r="AB443" s="117">
        <v>22.6</v>
      </c>
      <c r="AC443" s="123">
        <v>6.2</v>
      </c>
      <c r="AD443" s="123">
        <v>5.6</v>
      </c>
      <c r="AE443" s="80">
        <v>0.16</v>
      </c>
      <c r="AF443" s="80"/>
      <c r="AG443" s="85">
        <f>(O443+0.3*H443+2)*(F443/2/AK443)</f>
        <v>1382.1425000000002</v>
      </c>
      <c r="AH443" s="85">
        <f t="shared" si="47"/>
        <v>1952.5113874239998</v>
      </c>
      <c r="AI443" s="85">
        <f t="shared" si="48"/>
        <v>1.4126701027021451</v>
      </c>
      <c r="AJ443" s="117">
        <v>3</v>
      </c>
      <c r="AK443" s="117">
        <v>4</v>
      </c>
      <c r="AL443" s="123">
        <v>6.37</v>
      </c>
      <c r="AM443" s="117">
        <v>24.8</v>
      </c>
      <c r="AN443" s="123">
        <v>6.2</v>
      </c>
      <c r="AO443" s="123">
        <v>5.8</v>
      </c>
      <c r="AP443" s="80">
        <v>0.2</v>
      </c>
      <c r="AQ443" s="80">
        <v>0.19</v>
      </c>
      <c r="AR443" s="132">
        <f>SUM(C443:E443)</f>
        <v>1801</v>
      </c>
      <c r="AS443" s="134">
        <f>C443/AR443</f>
        <v>0</v>
      </c>
      <c r="AT443" s="134">
        <f>D443/AR443</f>
        <v>0.83842309827873407</v>
      </c>
      <c r="AU443" s="134">
        <f>E443/AR443</f>
        <v>0.16157690172126596</v>
      </c>
      <c r="AV443" s="151">
        <f>IF(AND(F443&lt;&gt;"",Z443&lt;&gt;""),AB443/(F443/2/Z443),"")</f>
        <v>9.4511238891792998E-2</v>
      </c>
      <c r="AW443" s="151">
        <f>IF(AND(F443&lt;&gt;"",AK443&lt;&gt;""),AM443/(F443/2/AK443),"")</f>
        <v>0.10371144798745427</v>
      </c>
      <c r="AX443" s="43">
        <f>IF(AND(AQ443&lt;&gt;"",1-(AQ443/O443)&gt;0),1-(AQ443/O443),"")</f>
        <v>0.79569892473118276</v>
      </c>
      <c r="AY443" s="41" t="str">
        <f>IF(AND(AF443&lt;&gt;"",1-(AF443/O443)&gt;0),1-(AF443/O443),"")</f>
        <v/>
      </c>
      <c r="AZ443" s="136" t="str">
        <f>IF(Q443="","",IF(Q443&lt;2.5,"Alc. Bruta &lt; 2,5 mg/L",IF(Q443&lt;5,"2,5 ≤ Alc. Bruta &lt; 5,0 mg/L",IF(Q443&lt;7.5,"5,0 ≤ Alc. Bruta &lt; 7,5 mg/L",IF(Q443&lt;10,"7,5 ≤ Alc. Bruta &lt; 10,0 mg/L",IF(Q443&lt;15,"10,0 ≤ Alca. Bruta &lt; 15,0 mg/L","Alc. Bruta &gt; 15 mg/L"))))))</f>
        <v>5,0 ≤ Alc. Bruta &lt; 7,5 mg/L</v>
      </c>
      <c r="BA443" s="136" t="str">
        <f>IF(P443="","",IF(P443&lt;5,"Cor &lt;5 uC",IF(P443&lt;10,"5 ≤ Cor &lt; 10 uC",IF(P443&lt;15,"10 ≤ Cor &lt;15 uC",IF(P443&lt;30,"15 ≤ Cor &lt; 30 uC",IF(P443&lt;50,"30 ≤ Cor &lt; 50 uC","Cor &gt; 50 uC"))))))</f>
        <v>5 ≤ Cor &lt; 10 uC</v>
      </c>
      <c r="BB443" s="137" t="str">
        <f>IF(O443="","",IF(O443&lt;2.5,"Turbidez &lt; 2,5 uT",IF(O443&lt;5,"2,5 ≤ Turb &lt; 5,0 uT",IF(O443&lt;7.5,"5,0 ≤ Turb &lt; 7,5 uT",IF(O443&lt;10,"7,5 ≤ Turb &lt; 10,0 uT",IF(O443&lt;15,"10,0 ≤ Turb &lt; 15,0 uT","Turb &gt; 15 uT"))))))</f>
        <v>Turbidez &lt; 2,5 uT</v>
      </c>
      <c r="BC443" s="138" t="str">
        <f>IF(AND(C443&gt;D443,D443&gt;E443),"TOR &gt; SM &gt; BNN",IF(AND(C443&gt;E443,E443&gt;D443),"TOR &gt; BNN &gt; SM",IF(AND(D443&gt;C443,C443&gt;E443),"SM &gt; TOR &gt; BNN",IF(AND(D443&gt;E443,E443&gt;C443),"SM &gt; BNN &gt; TOR",IF(AND(C443=D443,D443=E443),"TOR = SM = BNN","Comb. diferentes")))))</f>
        <v>SM &gt; BNN &gt; TOR</v>
      </c>
      <c r="BD443" s="137" t="str">
        <f>IF(OR(AE443="",AQ443="-"),"",IF(AE443&lt;=0.25,"Tipo 1 (≤0,25) uT",IF(AE443&lt;=0.5,"Tipo 2 (0,25-0,50) uT",IF(AE443&lt;=0.75,"Tipo 3 (0,50-0,75) uT","Tipo 4 (&gt;0,75) uT"))))</f>
        <v>Tipo 1 (≤0,25) uT</v>
      </c>
      <c r="BE443" s="137" t="str">
        <f t="shared" si="42"/>
        <v>Tipo 1 (≤0,25) uT</v>
      </c>
      <c r="BF443" s="137" t="str">
        <f>IF(OR(AF443="",AQ443="-"),"",IF(AF443&lt;=0.25,"Tipo 1 (≤0,25) uT",IF(AF443&lt;=0.5,"Tipo 2 (0,25-0,50) uT",IF(AF443&lt;=0.75,"Tipo 3 (0,50-0,75) uT","Tipo 4 (&gt;0,75) uT"))))</f>
        <v/>
      </c>
      <c r="BG443" s="137" t="str">
        <f t="shared" si="43"/>
        <v>Tipo 1 (≤0,25) uT</v>
      </c>
      <c r="BH443" s="137" t="str">
        <f>IF(OR(R443="",R443="-"),"",IF(R443&lt;=0.25,"Tipo 1 (≤0,25) uT",IF(R443&lt;=0.5,"Tipo 2 (0,25-0,50) uT",IF(R443&lt;=0.75,"Tipo 3 (0,50-0,75) uT","Tipo 4 (&gt;0,75) uT"))))</f>
        <v>Tipo 1 (≤0,25) uT</v>
      </c>
    </row>
    <row r="444" spans="1:60" x14ac:dyDescent="0.3">
      <c r="A444" s="73">
        <v>46308</v>
      </c>
      <c r="B444" s="141">
        <v>0.3125</v>
      </c>
      <c r="C444" s="118">
        <v>0</v>
      </c>
      <c r="D444" s="118">
        <v>1985</v>
      </c>
      <c r="E444" s="118">
        <v>254</v>
      </c>
      <c r="F444" s="118">
        <v>2252</v>
      </c>
      <c r="G444" s="146" t="s">
        <v>100</v>
      </c>
      <c r="H444" s="124">
        <v>9.5</v>
      </c>
      <c r="I444" s="118">
        <v>-15</v>
      </c>
      <c r="J444" s="9">
        <v>90</v>
      </c>
      <c r="K444" s="118">
        <v>90</v>
      </c>
      <c r="L444" s="118">
        <v>90</v>
      </c>
      <c r="M444" s="124">
        <v>25.3</v>
      </c>
      <c r="N444" s="124">
        <v>6.3</v>
      </c>
      <c r="O444" s="81">
        <v>1.06</v>
      </c>
      <c r="P444" s="118">
        <v>8</v>
      </c>
      <c r="Q444" s="124">
        <v>6.9</v>
      </c>
      <c r="R444" s="9">
        <v>0.15</v>
      </c>
      <c r="S444" s="79">
        <v>22.36</v>
      </c>
      <c r="T444" s="79">
        <v>0.88</v>
      </c>
      <c r="U444" s="79">
        <v>0.7</v>
      </c>
      <c r="V444" s="85">
        <f t="shared" si="44"/>
        <v>1663.665</v>
      </c>
      <c r="W444" s="85">
        <f t="shared" si="45"/>
        <v>1735.17231264</v>
      </c>
      <c r="X444" s="85">
        <f t="shared" si="46"/>
        <v>1.0429817978018412</v>
      </c>
      <c r="Y444" s="118">
        <v>3</v>
      </c>
      <c r="Z444" s="118">
        <v>4</v>
      </c>
      <c r="AA444" s="124">
        <v>6.2</v>
      </c>
      <c r="AB444" s="118">
        <v>22.8</v>
      </c>
      <c r="AC444" s="124">
        <v>6.3</v>
      </c>
      <c r="AD444" s="124">
        <v>5.2</v>
      </c>
      <c r="AE444" s="81">
        <v>0.21</v>
      </c>
      <c r="AF444" s="81"/>
      <c r="AG444" s="85">
        <f>(O444+0.3*H444+2)*(F444/2/AK444)</f>
        <v>1663.665</v>
      </c>
      <c r="AH444" s="85">
        <f t="shared" si="47"/>
        <v>1964.00508928</v>
      </c>
      <c r="AI444" s="85">
        <f t="shared" si="48"/>
        <v>1.1805291866331262</v>
      </c>
      <c r="AJ444" s="118">
        <v>3</v>
      </c>
      <c r="AK444" s="118">
        <v>4</v>
      </c>
      <c r="AL444" s="124">
        <v>6.4</v>
      </c>
      <c r="AM444" s="118">
        <v>24.8</v>
      </c>
      <c r="AN444" s="124">
        <v>6.3</v>
      </c>
      <c r="AO444" s="124">
        <v>6</v>
      </c>
      <c r="AP444" s="81">
        <v>0.19</v>
      </c>
      <c r="AQ444" s="81">
        <v>0.18</v>
      </c>
      <c r="AR444" s="132">
        <f>SUM(C444:E444)</f>
        <v>2239</v>
      </c>
      <c r="AS444" s="134">
        <f>C444/AR444</f>
        <v>0</v>
      </c>
      <c r="AT444" s="134">
        <f>D444/AR444</f>
        <v>0.88655649843680218</v>
      </c>
      <c r="AU444" s="134">
        <f>E444/AR444</f>
        <v>0.11344350156319785</v>
      </c>
      <c r="AV444" s="151">
        <f>IF(AND(F444&lt;&gt;"",Z444&lt;&gt;""),AB444/(F444/2/Z444),"")</f>
        <v>8.099467140319716E-2</v>
      </c>
      <c r="AW444" s="151">
        <f>IF(AND(F444&lt;&gt;"",AK444&lt;&gt;""),AM444/(F444/2/AK444),"")</f>
        <v>8.8099467140319715E-2</v>
      </c>
      <c r="AX444" s="43">
        <f>IF(AND(AQ444&lt;&gt;"",1-(AQ444/O444)&gt;0),1-(AQ444/O444),"")</f>
        <v>0.83018867924528306</v>
      </c>
      <c r="AY444" s="41" t="str">
        <f>IF(AND(AF444&lt;&gt;"",1-(AF444/O444)&gt;0),1-(AF444/O444),"")</f>
        <v/>
      </c>
      <c r="AZ444" s="136" t="str">
        <f>IF(Q444="","",IF(Q444&lt;2.5,"Alc. Bruta &lt; 2,5 mg/L",IF(Q444&lt;5,"2,5 ≤ Alc. Bruta &lt; 5,0 mg/L",IF(Q444&lt;7.5,"5,0 ≤ Alc. Bruta &lt; 7,5 mg/L",IF(Q444&lt;10,"7,5 ≤ Alc. Bruta &lt; 10,0 mg/L",IF(Q444&lt;15,"10,0 ≤ Alca. Bruta &lt; 15,0 mg/L","Alc. Bruta &gt; 15 mg/L"))))))</f>
        <v>5,0 ≤ Alc. Bruta &lt; 7,5 mg/L</v>
      </c>
      <c r="BA444" s="136" t="str">
        <f>IF(P444="","",IF(P444&lt;5,"Cor &lt;5 uC",IF(P444&lt;10,"5 ≤ Cor &lt; 10 uC",IF(P444&lt;15,"10 ≤ Cor &lt;15 uC",IF(P444&lt;30,"15 ≤ Cor &lt; 30 uC",IF(P444&lt;50,"30 ≤ Cor &lt; 50 uC","Cor &gt; 50 uC"))))))</f>
        <v>5 ≤ Cor &lt; 10 uC</v>
      </c>
      <c r="BB444" s="137" t="str">
        <f>IF(O444="","",IF(O444&lt;2.5,"Turbidez &lt; 2,5 uT",IF(O444&lt;5,"2,5 ≤ Turb &lt; 5,0 uT",IF(O444&lt;7.5,"5,0 ≤ Turb &lt; 7,5 uT",IF(O444&lt;10,"7,5 ≤ Turb &lt; 10,0 uT",IF(O444&lt;15,"10,0 ≤ Turb &lt; 15,0 uT","Turb &gt; 15 uT"))))))</f>
        <v>Turbidez &lt; 2,5 uT</v>
      </c>
      <c r="BC444" s="138" t="str">
        <f>IF(AND(C444&gt;D444,D444&gt;E444),"TOR &gt; SM &gt; BNN",IF(AND(C444&gt;E444,E444&gt;D444),"TOR &gt; BNN &gt; SM",IF(AND(D444&gt;C444,C444&gt;E444),"SM &gt; TOR &gt; BNN",IF(AND(D444&gt;E444,E444&gt;C444),"SM &gt; BNN &gt; TOR",IF(AND(C444=D444,D444=E444),"TOR = SM = BNN","Comb. diferentes")))))</f>
        <v>SM &gt; BNN &gt; TOR</v>
      </c>
      <c r="BD444" s="137" t="str">
        <f>IF(OR(AE444="",AQ444="-"),"",IF(AE444&lt;=0.25,"Tipo 1 (≤0,25) uT",IF(AE444&lt;=0.5,"Tipo 2 (0,25-0,50) uT",IF(AE444&lt;=0.75,"Tipo 3 (0,50-0,75) uT","Tipo 4 (&gt;0,75) uT"))))</f>
        <v>Tipo 1 (≤0,25) uT</v>
      </c>
      <c r="BE444" s="137" t="str">
        <f t="shared" si="42"/>
        <v>Tipo 1 (≤0,25) uT</v>
      </c>
      <c r="BF444" s="137" t="str">
        <f>IF(OR(AF444="",AQ444="-"),"",IF(AF444&lt;=0.25,"Tipo 1 (≤0,25) uT",IF(AF444&lt;=0.5,"Tipo 2 (0,25-0,50) uT",IF(AF444&lt;=0.75,"Tipo 3 (0,50-0,75) uT","Tipo 4 (&gt;0,75) uT"))))</f>
        <v/>
      </c>
      <c r="BG444" s="137" t="str">
        <f t="shared" si="43"/>
        <v>Tipo 1 (≤0,25) uT</v>
      </c>
      <c r="BH444" s="137" t="str">
        <f>IF(OR(R444="",R444="-"),"",IF(R444&lt;=0.25,"Tipo 1 (≤0,25) uT",IF(R444&lt;=0.5,"Tipo 2 (0,25-0,50) uT",IF(R444&lt;=0.75,"Tipo 3 (0,50-0,75) uT","Tipo 4 (&gt;0,75) uT"))))</f>
        <v>Tipo 1 (≤0,25) uT</v>
      </c>
    </row>
    <row r="445" spans="1:60" x14ac:dyDescent="0.3">
      <c r="A445" s="74">
        <v>46308</v>
      </c>
      <c r="B445" s="139">
        <v>0.39583333333333331</v>
      </c>
      <c r="C445" s="116">
        <v>0</v>
      </c>
      <c r="D445" s="116">
        <v>1997</v>
      </c>
      <c r="E445" s="116">
        <v>254</v>
      </c>
      <c r="F445" s="116">
        <v>2251</v>
      </c>
      <c r="G445" s="144" t="s">
        <v>100</v>
      </c>
      <c r="H445" s="122">
        <v>9.5</v>
      </c>
      <c r="I445" s="116">
        <v>-23</v>
      </c>
      <c r="J445" s="10">
        <v>90</v>
      </c>
      <c r="K445" s="116">
        <v>90</v>
      </c>
      <c r="L445" s="116">
        <v>90</v>
      </c>
      <c r="M445" s="122">
        <v>26.3</v>
      </c>
      <c r="N445" s="122">
        <v>6.5</v>
      </c>
      <c r="O445" s="79">
        <v>1.05</v>
      </c>
      <c r="P445" s="116">
        <v>11</v>
      </c>
      <c r="Q445" s="122">
        <v>7</v>
      </c>
      <c r="R445" s="10">
        <v>0.16</v>
      </c>
      <c r="S445" s="79">
        <v>22.36</v>
      </c>
      <c r="T445" s="79">
        <v>0.88</v>
      </c>
      <c r="U445" s="79">
        <v>0.7</v>
      </c>
      <c r="V445" s="85">
        <f t="shared" si="44"/>
        <v>1660.1125000000002</v>
      </c>
      <c r="W445" s="85">
        <f t="shared" si="45"/>
        <v>1712.3410980000001</v>
      </c>
      <c r="X445" s="85">
        <f t="shared" si="46"/>
        <v>1.0314608787055093</v>
      </c>
      <c r="Y445" s="116">
        <v>3</v>
      </c>
      <c r="Z445" s="116">
        <v>4</v>
      </c>
      <c r="AA445" s="122">
        <v>6.2</v>
      </c>
      <c r="AB445" s="116">
        <v>22.5</v>
      </c>
      <c r="AC445" s="122">
        <v>6.5</v>
      </c>
      <c r="AD445" s="122">
        <v>5.2</v>
      </c>
      <c r="AE445" s="79">
        <v>0.22</v>
      </c>
      <c r="AF445" s="79"/>
      <c r="AG445" s="85">
        <f>(O445+0.3*H445+2)*(F445/2/AK445)</f>
        <v>1660.1125000000002</v>
      </c>
      <c r="AH445" s="85">
        <f t="shared" si="47"/>
        <v>1956.0857139199998</v>
      </c>
      <c r="AI445" s="85">
        <f t="shared" si="48"/>
        <v>1.1782850342491846</v>
      </c>
      <c r="AJ445" s="116">
        <v>3</v>
      </c>
      <c r="AK445" s="116">
        <v>4</v>
      </c>
      <c r="AL445" s="122">
        <v>6.4</v>
      </c>
      <c r="AM445" s="116">
        <v>24.7</v>
      </c>
      <c r="AN445" s="122">
        <v>6.1</v>
      </c>
      <c r="AO445" s="122">
        <v>5</v>
      </c>
      <c r="AP445" s="79">
        <v>0.28000000000000003</v>
      </c>
      <c r="AQ445" s="79">
        <v>0.17</v>
      </c>
      <c r="AR445" s="132">
        <f>SUM(C445:E445)</f>
        <v>2251</v>
      </c>
      <c r="AS445" s="134">
        <f>C445/AR445</f>
        <v>0</v>
      </c>
      <c r="AT445" s="134">
        <f>D445/AR445</f>
        <v>0.88716126166148379</v>
      </c>
      <c r="AU445" s="134">
        <f>E445/AR445</f>
        <v>0.11283873833851621</v>
      </c>
      <c r="AV445" s="151">
        <f>IF(AND(F445&lt;&gt;"",Z445&lt;&gt;""),AB445/(F445/2/Z445),"")</f>
        <v>7.9964460239893384E-2</v>
      </c>
      <c r="AW445" s="151">
        <f>IF(AND(F445&lt;&gt;"",AK445&lt;&gt;""),AM445/(F445/2/AK445),"")</f>
        <v>8.7783207463349625E-2</v>
      </c>
      <c r="AX445" s="43">
        <f>IF(AND(AQ445&lt;&gt;"",1-(AQ445/O445)&gt;0),1-(AQ445/O445),"")</f>
        <v>0.83809523809523812</v>
      </c>
      <c r="AY445" s="41" t="str">
        <f>IF(AND(AF445&lt;&gt;"",1-(AF445/O445)&gt;0),1-(AF445/O445),"")</f>
        <v/>
      </c>
      <c r="AZ445" s="136" t="str">
        <f>IF(Q445="","",IF(Q445&lt;2.5,"Alc. Bruta &lt; 2,5 mg/L",IF(Q445&lt;5,"2,5 ≤ Alc. Bruta &lt; 5,0 mg/L",IF(Q445&lt;7.5,"5,0 ≤ Alc. Bruta &lt; 7,5 mg/L",IF(Q445&lt;10,"7,5 ≤ Alc. Bruta &lt; 10,0 mg/L",IF(Q445&lt;15,"10,0 ≤ Alca. Bruta &lt; 15,0 mg/L","Alc. Bruta &gt; 15 mg/L"))))))</f>
        <v>5,0 ≤ Alc. Bruta &lt; 7,5 mg/L</v>
      </c>
      <c r="BA445" s="136" t="str">
        <f>IF(P445="","",IF(P445&lt;5,"Cor &lt;5 uC",IF(P445&lt;10,"5 ≤ Cor &lt; 10 uC",IF(P445&lt;15,"10 ≤ Cor &lt;15 uC",IF(P445&lt;30,"15 ≤ Cor &lt; 30 uC",IF(P445&lt;50,"30 ≤ Cor &lt; 50 uC","Cor &gt; 50 uC"))))))</f>
        <v>10 ≤ Cor &lt;15 uC</v>
      </c>
      <c r="BB445" s="137" t="str">
        <f>IF(O445="","",IF(O445&lt;2.5,"Turbidez &lt; 2,5 uT",IF(O445&lt;5,"2,5 ≤ Turb &lt; 5,0 uT",IF(O445&lt;7.5,"5,0 ≤ Turb &lt; 7,5 uT",IF(O445&lt;10,"7,5 ≤ Turb &lt; 10,0 uT",IF(O445&lt;15,"10,0 ≤ Turb &lt; 15,0 uT","Turb &gt; 15 uT"))))))</f>
        <v>Turbidez &lt; 2,5 uT</v>
      </c>
      <c r="BC445" s="138" t="str">
        <f>IF(AND(C445&gt;D445,D445&gt;E445),"TOR &gt; SM &gt; BNN",IF(AND(C445&gt;E445,E445&gt;D445),"TOR &gt; BNN &gt; SM",IF(AND(D445&gt;C445,C445&gt;E445),"SM &gt; TOR &gt; BNN",IF(AND(D445&gt;E445,E445&gt;C445),"SM &gt; BNN &gt; TOR",IF(AND(C445=D445,D445=E445),"TOR = SM = BNN","Comb. diferentes")))))</f>
        <v>SM &gt; BNN &gt; TOR</v>
      </c>
      <c r="BD445" s="137" t="str">
        <f>IF(OR(AE445="",AQ445="-"),"",IF(AE445&lt;=0.25,"Tipo 1 (≤0,25) uT",IF(AE445&lt;=0.5,"Tipo 2 (0,25-0,50) uT",IF(AE445&lt;=0.75,"Tipo 3 (0,50-0,75) uT","Tipo 4 (&gt;0,75) uT"))))</f>
        <v>Tipo 1 (≤0,25) uT</v>
      </c>
      <c r="BE445" s="137" t="str">
        <f t="shared" si="42"/>
        <v>Tipo 2 (0,25-0,50) uT</v>
      </c>
      <c r="BF445" s="137" t="str">
        <f>IF(OR(AF445="",AQ445="-"),"",IF(AF445&lt;=0.25,"Tipo 1 (≤0,25) uT",IF(AF445&lt;=0.5,"Tipo 2 (0,25-0,50) uT",IF(AF445&lt;=0.75,"Tipo 3 (0,50-0,75) uT","Tipo 4 (&gt;0,75) uT"))))</f>
        <v/>
      </c>
      <c r="BG445" s="137" t="str">
        <f t="shared" si="43"/>
        <v>Tipo 1 (≤0,25) uT</v>
      </c>
      <c r="BH445" s="137" t="str">
        <f>IF(OR(R445="",R445="-"),"",IF(R445&lt;=0.25,"Tipo 1 (≤0,25) uT",IF(R445&lt;=0.5,"Tipo 2 (0,25-0,50) uT",IF(R445&lt;=0.75,"Tipo 3 (0,50-0,75) uT","Tipo 4 (&gt;0,75) uT"))))</f>
        <v>Tipo 1 (≤0,25) uT</v>
      </c>
    </row>
    <row r="446" spans="1:60" x14ac:dyDescent="0.3">
      <c r="A446" s="74">
        <v>46308</v>
      </c>
      <c r="B446" s="139">
        <v>0.47916666666666669</v>
      </c>
      <c r="C446" s="116">
        <v>354</v>
      </c>
      <c r="D446" s="116">
        <v>1700</v>
      </c>
      <c r="E446" s="116">
        <v>252</v>
      </c>
      <c r="F446" s="116">
        <v>2332</v>
      </c>
      <c r="G446" s="144" t="s">
        <v>100</v>
      </c>
      <c r="H446" s="122">
        <v>9.5</v>
      </c>
      <c r="I446" s="116">
        <v>-22</v>
      </c>
      <c r="J446" s="10">
        <v>90</v>
      </c>
      <c r="K446" s="116">
        <v>90</v>
      </c>
      <c r="L446" s="116">
        <v>90</v>
      </c>
      <c r="M446" s="122">
        <v>26.4</v>
      </c>
      <c r="N446" s="122">
        <v>6.4</v>
      </c>
      <c r="O446" s="79">
        <v>1.0900000000000001</v>
      </c>
      <c r="P446" s="116">
        <v>9</v>
      </c>
      <c r="Q446" s="122">
        <v>6.7</v>
      </c>
      <c r="R446" s="10">
        <v>0.31</v>
      </c>
      <c r="S446" s="79">
        <v>22.36</v>
      </c>
      <c r="T446" s="79">
        <v>0.88</v>
      </c>
      <c r="U446" s="79">
        <v>0.7</v>
      </c>
      <c r="V446" s="85">
        <f t="shared" si="44"/>
        <v>1731.5100000000002</v>
      </c>
      <c r="W446" s="85">
        <f t="shared" si="45"/>
        <v>1719.9515028800001</v>
      </c>
      <c r="X446" s="85">
        <f t="shared" si="46"/>
        <v>0.99332461428464169</v>
      </c>
      <c r="Y446" s="116">
        <v>3</v>
      </c>
      <c r="Z446" s="116">
        <v>4</v>
      </c>
      <c r="AA446" s="122">
        <v>6.2</v>
      </c>
      <c r="AB446" s="116">
        <v>22.6</v>
      </c>
      <c r="AC446" s="122">
        <v>6.5</v>
      </c>
      <c r="AD446" s="122">
        <v>6.2</v>
      </c>
      <c r="AE446" s="79">
        <v>0.21</v>
      </c>
      <c r="AF446" s="79">
        <v>0.23</v>
      </c>
      <c r="AG446" s="85">
        <f>(O446+0.3*H446+2)*(F446/2/AK446)</f>
        <v>1731.5100000000002</v>
      </c>
      <c r="AH446" s="85">
        <f t="shared" si="47"/>
        <v>1964.00508928</v>
      </c>
      <c r="AI446" s="85">
        <f t="shared" si="48"/>
        <v>1.1342730271728143</v>
      </c>
      <c r="AJ446" s="116">
        <v>3</v>
      </c>
      <c r="AK446" s="116">
        <v>4</v>
      </c>
      <c r="AL446" s="122">
        <v>6.4</v>
      </c>
      <c r="AM446" s="116">
        <v>24.8</v>
      </c>
      <c r="AN446" s="122">
        <v>6.4</v>
      </c>
      <c r="AO446" s="122">
        <v>5.4</v>
      </c>
      <c r="AP446" s="79">
        <v>0.28999999999999998</v>
      </c>
      <c r="AQ446" s="79">
        <v>0.18</v>
      </c>
      <c r="AR446" s="132">
        <f>SUM(C446:E446)</f>
        <v>2306</v>
      </c>
      <c r="AS446" s="134">
        <f>C446/AR446</f>
        <v>0.15351257588898526</v>
      </c>
      <c r="AT446" s="134">
        <f>D446/AR446</f>
        <v>0.73720728534258462</v>
      </c>
      <c r="AU446" s="134">
        <f>E446/AR446</f>
        <v>0.10928013876843018</v>
      </c>
      <c r="AV446" s="151">
        <f>IF(AND(F446&lt;&gt;"",Z446&lt;&gt;""),AB446/(F446/2/Z446),"")</f>
        <v>7.753001715265867E-2</v>
      </c>
      <c r="AW446" s="151">
        <f>IF(AND(F446&lt;&gt;"",AK446&lt;&gt;""),AM446/(F446/2/AK446),"")</f>
        <v>8.5077186963979423E-2</v>
      </c>
      <c r="AX446" s="43">
        <f>IF(AND(AQ446&lt;&gt;"",1-(AQ446/O446)&gt;0),1-(AQ446/O446),"")</f>
        <v>0.83486238532110091</v>
      </c>
      <c r="AY446" s="41">
        <f>IF(AND(AF446&lt;&gt;"",1-(AF446/O446)&gt;0),1-(AF446/O446),"")</f>
        <v>0.78899082568807344</v>
      </c>
      <c r="AZ446" s="136" t="str">
        <f>IF(Q446="","",IF(Q446&lt;2.5,"Alc. Bruta &lt; 2,5 mg/L",IF(Q446&lt;5,"2,5 ≤ Alc. Bruta &lt; 5,0 mg/L",IF(Q446&lt;7.5,"5,0 ≤ Alc. Bruta &lt; 7,5 mg/L",IF(Q446&lt;10,"7,5 ≤ Alc. Bruta &lt; 10,0 mg/L",IF(Q446&lt;15,"10,0 ≤ Alca. Bruta &lt; 15,0 mg/L","Alc. Bruta &gt; 15 mg/L"))))))</f>
        <v>5,0 ≤ Alc. Bruta &lt; 7,5 mg/L</v>
      </c>
      <c r="BA446" s="136" t="str">
        <f>IF(P446="","",IF(P446&lt;5,"Cor &lt;5 uC",IF(P446&lt;10,"5 ≤ Cor &lt; 10 uC",IF(P446&lt;15,"10 ≤ Cor &lt;15 uC",IF(P446&lt;30,"15 ≤ Cor &lt; 30 uC",IF(P446&lt;50,"30 ≤ Cor &lt; 50 uC","Cor &gt; 50 uC"))))))</f>
        <v>5 ≤ Cor &lt; 10 uC</v>
      </c>
      <c r="BB446" s="137" t="str">
        <f>IF(O446="","",IF(O446&lt;2.5,"Turbidez &lt; 2,5 uT",IF(O446&lt;5,"2,5 ≤ Turb &lt; 5,0 uT",IF(O446&lt;7.5,"5,0 ≤ Turb &lt; 7,5 uT",IF(O446&lt;10,"7,5 ≤ Turb &lt; 10,0 uT",IF(O446&lt;15,"10,0 ≤ Turb &lt; 15,0 uT","Turb &gt; 15 uT"))))))</f>
        <v>Turbidez &lt; 2,5 uT</v>
      </c>
      <c r="BC446" s="138" t="str">
        <f>IF(AND(C446&gt;D446,D446&gt;E446),"TOR &gt; SM &gt; BNN",IF(AND(C446&gt;E446,E446&gt;D446),"TOR &gt; BNN &gt; SM",IF(AND(D446&gt;C446,C446&gt;E446),"SM &gt; TOR &gt; BNN",IF(AND(D446&gt;E446,E446&gt;C446),"SM &gt; BNN &gt; TOR",IF(AND(C446=D446,D446=E446),"TOR = SM = BNN","Comb. diferentes")))))</f>
        <v>SM &gt; TOR &gt; BNN</v>
      </c>
      <c r="BD446" s="137" t="str">
        <f>IF(OR(AE446="",AQ446="-"),"",IF(AE446&lt;=0.25,"Tipo 1 (≤0,25) uT",IF(AE446&lt;=0.5,"Tipo 2 (0,25-0,50) uT",IF(AE446&lt;=0.75,"Tipo 3 (0,50-0,75) uT","Tipo 4 (&gt;0,75) uT"))))</f>
        <v>Tipo 1 (≤0,25) uT</v>
      </c>
      <c r="BE446" s="137" t="str">
        <f t="shared" si="42"/>
        <v>Tipo 2 (0,25-0,50) uT</v>
      </c>
      <c r="BF446" s="137" t="str">
        <f>IF(OR(AF446="",AQ446="-"),"",IF(AF446&lt;=0.25,"Tipo 1 (≤0,25) uT",IF(AF446&lt;=0.5,"Tipo 2 (0,25-0,50) uT",IF(AF446&lt;=0.75,"Tipo 3 (0,50-0,75) uT","Tipo 4 (&gt;0,75) uT"))))</f>
        <v>Tipo 1 (≤0,25) uT</v>
      </c>
      <c r="BG446" s="137" t="str">
        <f t="shared" si="43"/>
        <v>Tipo 1 (≤0,25) uT</v>
      </c>
      <c r="BH446" s="137" t="str">
        <f>IF(OR(R446="",R446="-"),"",IF(R446&lt;=0.25,"Tipo 1 (≤0,25) uT",IF(R446&lt;=0.5,"Tipo 2 (0,25-0,50) uT",IF(R446&lt;=0.75,"Tipo 3 (0,50-0,75) uT","Tipo 4 (&gt;0,75) uT"))))</f>
        <v>Tipo 2 (0,25-0,50) uT</v>
      </c>
    </row>
    <row r="447" spans="1:60" x14ac:dyDescent="0.3">
      <c r="A447" s="74">
        <v>46308</v>
      </c>
      <c r="B447" s="139">
        <v>0.72916666666666663</v>
      </c>
      <c r="C447" s="116">
        <v>360</v>
      </c>
      <c r="D447" s="116">
        <v>1613</v>
      </c>
      <c r="E447" s="116">
        <v>252</v>
      </c>
      <c r="F447" s="116">
        <v>2363</v>
      </c>
      <c r="G447" s="144" t="s">
        <v>100</v>
      </c>
      <c r="H447" s="122">
        <v>9.8000000000000007</v>
      </c>
      <c r="I447" s="116">
        <v>-21</v>
      </c>
      <c r="J447" s="10">
        <v>90</v>
      </c>
      <c r="K447" s="116">
        <v>90</v>
      </c>
      <c r="L447" s="116">
        <v>90</v>
      </c>
      <c r="M447" s="122">
        <v>26.7</v>
      </c>
      <c r="N447" s="122">
        <v>6.2</v>
      </c>
      <c r="O447" s="79">
        <v>1.79</v>
      </c>
      <c r="P447" s="116">
        <v>14</v>
      </c>
      <c r="Q447" s="122">
        <v>6.5</v>
      </c>
      <c r="R447" s="10">
        <v>0.14000000000000001</v>
      </c>
      <c r="S447" s="79">
        <v>22.36</v>
      </c>
      <c r="T447" s="79">
        <v>0.88</v>
      </c>
      <c r="U447" s="79">
        <v>0.7</v>
      </c>
      <c r="V447" s="85">
        <f t="shared" si="44"/>
        <v>1987.8737500000002</v>
      </c>
      <c r="W447" s="85">
        <f t="shared" si="45"/>
        <v>1727.5619077599999</v>
      </c>
      <c r="X447" s="85">
        <f t="shared" si="46"/>
        <v>0.86905011334849602</v>
      </c>
      <c r="Y447" s="116">
        <v>3</v>
      </c>
      <c r="Z447" s="116">
        <v>4</v>
      </c>
      <c r="AA447" s="122">
        <v>6.2</v>
      </c>
      <c r="AB447" s="116">
        <v>22.7</v>
      </c>
      <c r="AC447" s="122">
        <v>5.9</v>
      </c>
      <c r="AD447" s="122">
        <v>5.3</v>
      </c>
      <c r="AE447" s="79">
        <v>0.18</v>
      </c>
      <c r="AF447" s="79">
        <v>0.12</v>
      </c>
      <c r="AG447" s="85">
        <f>(O447+0.3*H447+2)*(F447/2/AK447)</f>
        <v>1987.8737500000002</v>
      </c>
      <c r="AH447" s="85">
        <f t="shared" si="47"/>
        <v>1956.0857139199998</v>
      </c>
      <c r="AI447" s="85">
        <f t="shared" si="48"/>
        <v>0.98400902668994927</v>
      </c>
      <c r="AJ447" s="116">
        <v>3</v>
      </c>
      <c r="AK447" s="116">
        <v>4</v>
      </c>
      <c r="AL447" s="122">
        <v>6.4</v>
      </c>
      <c r="AM447" s="116">
        <v>24.7</v>
      </c>
      <c r="AN447" s="122">
        <v>6</v>
      </c>
      <c r="AO447" s="122">
        <v>5.5</v>
      </c>
      <c r="AP447" s="79">
        <v>0.13</v>
      </c>
      <c r="AQ447" s="79">
        <v>0.2</v>
      </c>
      <c r="AR447" s="132">
        <f>SUM(C447:E447)</f>
        <v>2225</v>
      </c>
      <c r="AS447" s="134">
        <f>C447/AR447</f>
        <v>0.16179775280898875</v>
      </c>
      <c r="AT447" s="134">
        <f>D447/AR447</f>
        <v>0.72494382022471915</v>
      </c>
      <c r="AU447" s="134">
        <f>E447/AR447</f>
        <v>0.11325842696629214</v>
      </c>
      <c r="AV447" s="151">
        <f>IF(AND(F447&lt;&gt;"",Z447&lt;&gt;""),AB447/(F447/2/Z447),"")</f>
        <v>7.6851460008463809E-2</v>
      </c>
      <c r="AW447" s="151">
        <f>IF(AND(F447&lt;&gt;"",AK447&lt;&gt;""),AM447/(F447/2/AK447),"")</f>
        <v>8.3622513753702915E-2</v>
      </c>
      <c r="AX447" s="43">
        <f>IF(AND(AQ447&lt;&gt;"",1-(AQ447/O447)&gt;0),1-(AQ447/O447),"")</f>
        <v>0.88826815642458101</v>
      </c>
      <c r="AY447" s="41">
        <f>IF(AND(AF447&lt;&gt;"",1-(AF447/O447)&gt;0),1-(AF447/O447),"")</f>
        <v>0.93296089385474856</v>
      </c>
      <c r="AZ447" s="136" t="str">
        <f>IF(Q447="","",IF(Q447&lt;2.5,"Alc. Bruta &lt; 2,5 mg/L",IF(Q447&lt;5,"2,5 ≤ Alc. Bruta &lt; 5,0 mg/L",IF(Q447&lt;7.5,"5,0 ≤ Alc. Bruta &lt; 7,5 mg/L",IF(Q447&lt;10,"7,5 ≤ Alc. Bruta &lt; 10,0 mg/L",IF(Q447&lt;15,"10,0 ≤ Alca. Bruta &lt; 15,0 mg/L","Alc. Bruta &gt; 15 mg/L"))))))</f>
        <v>5,0 ≤ Alc. Bruta &lt; 7,5 mg/L</v>
      </c>
      <c r="BA447" s="136" t="str">
        <f>IF(P447="","",IF(P447&lt;5,"Cor &lt;5 uC",IF(P447&lt;10,"5 ≤ Cor &lt; 10 uC",IF(P447&lt;15,"10 ≤ Cor &lt;15 uC",IF(P447&lt;30,"15 ≤ Cor &lt; 30 uC",IF(P447&lt;50,"30 ≤ Cor &lt; 50 uC","Cor &gt; 50 uC"))))))</f>
        <v>10 ≤ Cor &lt;15 uC</v>
      </c>
      <c r="BB447" s="137" t="str">
        <f>IF(O447="","",IF(O447&lt;2.5,"Turbidez &lt; 2,5 uT",IF(O447&lt;5,"2,5 ≤ Turb &lt; 5,0 uT",IF(O447&lt;7.5,"5,0 ≤ Turb &lt; 7,5 uT",IF(O447&lt;10,"7,5 ≤ Turb &lt; 10,0 uT",IF(O447&lt;15,"10,0 ≤ Turb &lt; 15,0 uT","Turb &gt; 15 uT"))))))</f>
        <v>Turbidez &lt; 2,5 uT</v>
      </c>
      <c r="BC447" s="138" t="str">
        <f>IF(AND(C447&gt;D447,D447&gt;E447),"TOR &gt; SM &gt; BNN",IF(AND(C447&gt;E447,E447&gt;D447),"TOR &gt; BNN &gt; SM",IF(AND(D447&gt;C447,C447&gt;E447),"SM &gt; TOR &gt; BNN",IF(AND(D447&gt;E447,E447&gt;C447),"SM &gt; BNN &gt; TOR",IF(AND(C447=D447,D447=E447),"TOR = SM = BNN","Comb. diferentes")))))</f>
        <v>SM &gt; TOR &gt; BNN</v>
      </c>
      <c r="BD447" s="137" t="str">
        <f>IF(OR(AE447="",AQ447="-"),"",IF(AE447&lt;=0.25,"Tipo 1 (≤0,25) uT",IF(AE447&lt;=0.5,"Tipo 2 (0,25-0,50) uT",IF(AE447&lt;=0.75,"Tipo 3 (0,50-0,75) uT","Tipo 4 (&gt;0,75) uT"))))</f>
        <v>Tipo 1 (≤0,25) uT</v>
      </c>
      <c r="BE447" s="137" t="str">
        <f t="shared" si="42"/>
        <v>Tipo 1 (≤0,25) uT</v>
      </c>
      <c r="BF447" s="137" t="str">
        <f>IF(OR(AF447="",AQ447="-"),"",IF(AF447&lt;=0.25,"Tipo 1 (≤0,25) uT",IF(AF447&lt;=0.5,"Tipo 2 (0,25-0,50) uT",IF(AF447&lt;=0.75,"Tipo 3 (0,50-0,75) uT","Tipo 4 (&gt;0,75) uT"))))</f>
        <v>Tipo 1 (≤0,25) uT</v>
      </c>
      <c r="BG447" s="137" t="str">
        <f t="shared" si="43"/>
        <v>Tipo 1 (≤0,25) uT</v>
      </c>
      <c r="BH447" s="137" t="str">
        <f>IF(OR(R447="",R447="-"),"",IF(R447&lt;=0.25,"Tipo 1 (≤0,25) uT",IF(R447&lt;=0.5,"Tipo 2 (0,25-0,50) uT",IF(R447&lt;=0.75,"Tipo 3 (0,50-0,75) uT","Tipo 4 (&gt;0,75) uT"))))</f>
        <v>Tipo 1 (≤0,25) uT</v>
      </c>
    </row>
    <row r="448" spans="1:60" x14ac:dyDescent="0.3">
      <c r="A448" s="74">
        <v>46308</v>
      </c>
      <c r="B448" s="139">
        <v>0.8125</v>
      </c>
      <c r="C448" s="116">
        <v>200</v>
      </c>
      <c r="D448" s="116">
        <v>1782</v>
      </c>
      <c r="E448" s="116">
        <v>200</v>
      </c>
      <c r="F448" s="116">
        <v>2250</v>
      </c>
      <c r="G448" s="144" t="s">
        <v>100</v>
      </c>
      <c r="H448" s="122">
        <v>9.8000000000000007</v>
      </c>
      <c r="I448" s="116">
        <v>-20</v>
      </c>
      <c r="J448" s="10">
        <v>90</v>
      </c>
      <c r="K448" s="116">
        <v>90</v>
      </c>
      <c r="L448" s="116">
        <v>90</v>
      </c>
      <c r="M448" s="122">
        <v>26.2</v>
      </c>
      <c r="N448" s="122">
        <v>6.3</v>
      </c>
      <c r="O448" s="79">
        <v>1.7</v>
      </c>
      <c r="P448" s="116">
        <v>13</v>
      </c>
      <c r="Q448" s="122">
        <v>6.9</v>
      </c>
      <c r="R448" s="10">
        <v>0.13</v>
      </c>
      <c r="S448" s="79">
        <v>22.36</v>
      </c>
      <c r="T448" s="79">
        <v>0.88</v>
      </c>
      <c r="U448" s="79">
        <v>0.7</v>
      </c>
      <c r="V448" s="85">
        <f t="shared" si="44"/>
        <v>1867.5</v>
      </c>
      <c r="W448" s="85">
        <f t="shared" si="45"/>
        <v>1735.17231264</v>
      </c>
      <c r="X448" s="85">
        <f t="shared" si="46"/>
        <v>0.92914180061044171</v>
      </c>
      <c r="Y448" s="116">
        <v>3</v>
      </c>
      <c r="Z448" s="116">
        <v>4</v>
      </c>
      <c r="AA448" s="122">
        <v>6.2</v>
      </c>
      <c r="AB448" s="116">
        <v>22.8</v>
      </c>
      <c r="AC448" s="122">
        <v>6</v>
      </c>
      <c r="AD448" s="122">
        <v>5.4</v>
      </c>
      <c r="AE448" s="79">
        <v>0.19</v>
      </c>
      <c r="AF448" s="79">
        <v>0.13</v>
      </c>
      <c r="AG448" s="85">
        <f>(O448+0.3*H448+2)*(F448/2/AK448)</f>
        <v>1867.5</v>
      </c>
      <c r="AH448" s="85">
        <f t="shared" si="47"/>
        <v>1956.0857139199998</v>
      </c>
      <c r="AI448" s="85">
        <f t="shared" si="48"/>
        <v>1.0474354559143237</v>
      </c>
      <c r="AJ448" s="116">
        <v>3</v>
      </c>
      <c r="AK448" s="116">
        <v>4</v>
      </c>
      <c r="AL448" s="122">
        <v>6.4</v>
      </c>
      <c r="AM448" s="116">
        <v>24.7</v>
      </c>
      <c r="AN448" s="122">
        <v>6.1</v>
      </c>
      <c r="AO448" s="122">
        <v>5.6</v>
      </c>
      <c r="AP448" s="79">
        <v>0.17</v>
      </c>
      <c r="AQ448" s="79">
        <v>0.18</v>
      </c>
      <c r="AR448" s="132">
        <f>SUM(C448:E448)</f>
        <v>2182</v>
      </c>
      <c r="AS448" s="134">
        <f>C448/AR448</f>
        <v>9.1659028414298807E-2</v>
      </c>
      <c r="AT448" s="134">
        <f>D448/AR448</f>
        <v>0.81668194317140241</v>
      </c>
      <c r="AU448" s="134">
        <f>E448/AR448</f>
        <v>9.1659028414298807E-2</v>
      </c>
      <c r="AV448" s="151">
        <f>IF(AND(F448&lt;&gt;"",Z448&lt;&gt;""),AB448/(F448/2/Z448),"")</f>
        <v>8.1066666666666676E-2</v>
      </c>
      <c r="AW448" s="151">
        <f>IF(AND(F448&lt;&gt;"",AK448&lt;&gt;""),AM448/(F448/2/AK448),"")</f>
        <v>8.7822222222222218E-2</v>
      </c>
      <c r="AX448" s="43">
        <f>IF(AND(AQ448&lt;&gt;"",1-(AQ448/O448)&gt;0),1-(AQ448/O448),"")</f>
        <v>0.89411764705882357</v>
      </c>
      <c r="AY448" s="41">
        <f>IF(AND(AF448&lt;&gt;"",1-(AF448/O448)&gt;0),1-(AF448/O448),"")</f>
        <v>0.92352941176470593</v>
      </c>
      <c r="AZ448" s="136" t="str">
        <f>IF(Q448="","",IF(Q448&lt;2.5,"Alc. Bruta &lt; 2,5 mg/L",IF(Q448&lt;5,"2,5 ≤ Alc. Bruta &lt; 5,0 mg/L",IF(Q448&lt;7.5,"5,0 ≤ Alc. Bruta &lt; 7,5 mg/L",IF(Q448&lt;10,"7,5 ≤ Alc. Bruta &lt; 10,0 mg/L",IF(Q448&lt;15,"10,0 ≤ Alca. Bruta &lt; 15,0 mg/L","Alc. Bruta &gt; 15 mg/L"))))))</f>
        <v>5,0 ≤ Alc. Bruta &lt; 7,5 mg/L</v>
      </c>
      <c r="BA448" s="136" t="str">
        <f>IF(P448="","",IF(P448&lt;5,"Cor &lt;5 uC",IF(P448&lt;10,"5 ≤ Cor &lt; 10 uC",IF(P448&lt;15,"10 ≤ Cor &lt;15 uC",IF(P448&lt;30,"15 ≤ Cor &lt; 30 uC",IF(P448&lt;50,"30 ≤ Cor &lt; 50 uC","Cor &gt; 50 uC"))))))</f>
        <v>10 ≤ Cor &lt;15 uC</v>
      </c>
      <c r="BB448" s="137" t="str">
        <f>IF(O448="","",IF(O448&lt;2.5,"Turbidez &lt; 2,5 uT",IF(O448&lt;5,"2,5 ≤ Turb &lt; 5,0 uT",IF(O448&lt;7.5,"5,0 ≤ Turb &lt; 7,5 uT",IF(O448&lt;10,"7,5 ≤ Turb &lt; 10,0 uT",IF(O448&lt;15,"10,0 ≤ Turb &lt; 15,0 uT","Turb &gt; 15 uT"))))))</f>
        <v>Turbidez &lt; 2,5 uT</v>
      </c>
      <c r="BC448" s="138" t="str">
        <f>IF(AND(C448&gt;D448,D448&gt;E448),"TOR &gt; SM &gt; BNN",IF(AND(C448&gt;E448,E448&gt;D448),"TOR &gt; BNN &gt; SM",IF(AND(D448&gt;C448,C448&gt;E448),"SM &gt; TOR &gt; BNN",IF(AND(D448&gt;E448,E448&gt;C448),"SM &gt; BNN &gt; TOR",IF(AND(C448=D448,D448=E448),"TOR = SM = BNN","Comb. diferentes")))))</f>
        <v>Comb. diferentes</v>
      </c>
      <c r="BD448" s="137" t="str">
        <f>IF(OR(AE448="",AQ448="-"),"",IF(AE448&lt;=0.25,"Tipo 1 (≤0,25) uT",IF(AE448&lt;=0.5,"Tipo 2 (0,25-0,50) uT",IF(AE448&lt;=0.75,"Tipo 3 (0,50-0,75) uT","Tipo 4 (&gt;0,75) uT"))))</f>
        <v>Tipo 1 (≤0,25) uT</v>
      </c>
      <c r="BE448" s="137" t="str">
        <f t="shared" si="42"/>
        <v>Tipo 1 (≤0,25) uT</v>
      </c>
      <c r="BF448" s="137" t="str">
        <f>IF(OR(AF448="",AQ448="-"),"",IF(AF448&lt;=0.25,"Tipo 1 (≤0,25) uT",IF(AF448&lt;=0.5,"Tipo 2 (0,25-0,50) uT",IF(AF448&lt;=0.75,"Tipo 3 (0,50-0,75) uT","Tipo 4 (&gt;0,75) uT"))))</f>
        <v>Tipo 1 (≤0,25) uT</v>
      </c>
      <c r="BG448" s="137" t="str">
        <f t="shared" si="43"/>
        <v>Tipo 1 (≤0,25) uT</v>
      </c>
      <c r="BH448" s="137" t="str">
        <f>IF(OR(R448="",R448="-"),"",IF(R448&lt;=0.25,"Tipo 1 (≤0,25) uT",IF(R448&lt;=0.5,"Tipo 2 (0,25-0,50) uT",IF(R448&lt;=0.75,"Tipo 3 (0,50-0,75) uT","Tipo 4 (&gt;0,75) uT"))))</f>
        <v>Tipo 1 (≤0,25) uT</v>
      </c>
    </row>
    <row r="449" spans="1:60" x14ac:dyDescent="0.3">
      <c r="A449" s="74">
        <v>46308</v>
      </c>
      <c r="B449" s="139">
        <v>0.89583333333333337</v>
      </c>
      <c r="C449" s="116">
        <v>268</v>
      </c>
      <c r="D449" s="116">
        <v>1713</v>
      </c>
      <c r="E449" s="116">
        <v>200</v>
      </c>
      <c r="F449" s="116">
        <v>2250</v>
      </c>
      <c r="G449" s="144" t="s">
        <v>100</v>
      </c>
      <c r="H449" s="122">
        <v>9.8000000000000007</v>
      </c>
      <c r="I449" s="116">
        <v>-19</v>
      </c>
      <c r="J449" s="10">
        <v>90</v>
      </c>
      <c r="K449" s="116">
        <v>90</v>
      </c>
      <c r="L449" s="116">
        <v>90</v>
      </c>
      <c r="M449" s="122">
        <v>26</v>
      </c>
      <c r="N449" s="122">
        <v>6.3</v>
      </c>
      <c r="O449" s="79">
        <v>1.58</v>
      </c>
      <c r="P449" s="116">
        <v>12</v>
      </c>
      <c r="Q449" s="122">
        <v>6.8</v>
      </c>
      <c r="R449" s="10">
        <v>0.13</v>
      </c>
      <c r="S449" s="79">
        <v>22.36</v>
      </c>
      <c r="T449" s="79">
        <v>0.88</v>
      </c>
      <c r="U449" s="79">
        <v>0.7</v>
      </c>
      <c r="V449" s="85">
        <f t="shared" si="44"/>
        <v>1833.7499999999998</v>
      </c>
      <c r="W449" s="85">
        <f t="shared" si="45"/>
        <v>1727.5619077599999</v>
      </c>
      <c r="X449" s="85">
        <f t="shared" si="46"/>
        <v>0.94209238323653721</v>
      </c>
      <c r="Y449" s="116">
        <v>3</v>
      </c>
      <c r="Z449" s="116">
        <v>4</v>
      </c>
      <c r="AA449" s="122">
        <v>6.2</v>
      </c>
      <c r="AB449" s="116">
        <v>22.7</v>
      </c>
      <c r="AC449" s="122">
        <v>6.1</v>
      </c>
      <c r="AD449" s="122">
        <v>5.5</v>
      </c>
      <c r="AE449" s="79">
        <v>0.18</v>
      </c>
      <c r="AF449" s="79"/>
      <c r="AG449" s="85">
        <f>(O449+0.3*H449+2)*(F449/2/AK449)</f>
        <v>1833.7499999999998</v>
      </c>
      <c r="AH449" s="85">
        <f t="shared" si="47"/>
        <v>1956.0857139199998</v>
      </c>
      <c r="AI449" s="85">
        <f t="shared" si="48"/>
        <v>1.0667134090906611</v>
      </c>
      <c r="AJ449" s="116">
        <v>3</v>
      </c>
      <c r="AK449" s="116">
        <v>4</v>
      </c>
      <c r="AL449" s="122">
        <v>6.4</v>
      </c>
      <c r="AM449" s="116">
        <v>24.7</v>
      </c>
      <c r="AN449" s="122">
        <v>6.1</v>
      </c>
      <c r="AO449" s="122">
        <v>5.7</v>
      </c>
      <c r="AP449" s="79">
        <v>0.16</v>
      </c>
      <c r="AQ449" s="79">
        <v>0.15</v>
      </c>
      <c r="AR449" s="132">
        <f>SUM(C449:E449)</f>
        <v>2181</v>
      </c>
      <c r="AS449" s="134">
        <f>C449/AR449</f>
        <v>0.1228794131132508</v>
      </c>
      <c r="AT449" s="134">
        <f>D449/AR449</f>
        <v>0.78541953232462169</v>
      </c>
      <c r="AU449" s="134">
        <f>E449/AR449</f>
        <v>9.170105456212746E-2</v>
      </c>
      <c r="AV449" s="151">
        <f>IF(AND(F449&lt;&gt;"",Z449&lt;&gt;""),AB449/(F449/2/Z449),"")</f>
        <v>8.0711111111111108E-2</v>
      </c>
      <c r="AW449" s="151">
        <f>IF(AND(F449&lt;&gt;"",AK449&lt;&gt;""),AM449/(F449/2/AK449),"")</f>
        <v>8.7822222222222218E-2</v>
      </c>
      <c r="AX449" s="43">
        <f>IF(AND(AQ449&lt;&gt;"",1-(AQ449/O449)&gt;0),1-(AQ449/O449),"")</f>
        <v>0.90506329113924056</v>
      </c>
      <c r="AY449" s="41" t="str">
        <f>IF(AND(AF449&lt;&gt;"",1-(AF449/O449)&gt;0),1-(AF449/O449),"")</f>
        <v/>
      </c>
      <c r="AZ449" s="136" t="str">
        <f>IF(Q449="","",IF(Q449&lt;2.5,"Alc. Bruta &lt; 2,5 mg/L",IF(Q449&lt;5,"2,5 ≤ Alc. Bruta &lt; 5,0 mg/L",IF(Q449&lt;7.5,"5,0 ≤ Alc. Bruta &lt; 7,5 mg/L",IF(Q449&lt;10,"7,5 ≤ Alc. Bruta &lt; 10,0 mg/L",IF(Q449&lt;15,"10,0 ≤ Alca. Bruta &lt; 15,0 mg/L","Alc. Bruta &gt; 15 mg/L"))))))</f>
        <v>5,0 ≤ Alc. Bruta &lt; 7,5 mg/L</v>
      </c>
      <c r="BA449" s="136" t="str">
        <f>IF(P449="","",IF(P449&lt;5,"Cor &lt;5 uC",IF(P449&lt;10,"5 ≤ Cor &lt; 10 uC",IF(P449&lt;15,"10 ≤ Cor &lt;15 uC",IF(P449&lt;30,"15 ≤ Cor &lt; 30 uC",IF(P449&lt;50,"30 ≤ Cor &lt; 50 uC","Cor &gt; 50 uC"))))))</f>
        <v>10 ≤ Cor &lt;15 uC</v>
      </c>
      <c r="BB449" s="137" t="str">
        <f>IF(O449="","",IF(O449&lt;2.5,"Turbidez &lt; 2,5 uT",IF(O449&lt;5,"2,5 ≤ Turb &lt; 5,0 uT",IF(O449&lt;7.5,"5,0 ≤ Turb &lt; 7,5 uT",IF(O449&lt;10,"7,5 ≤ Turb &lt; 10,0 uT",IF(O449&lt;15,"10,0 ≤ Turb &lt; 15,0 uT","Turb &gt; 15 uT"))))))</f>
        <v>Turbidez &lt; 2,5 uT</v>
      </c>
      <c r="BC449" s="138" t="str">
        <f>IF(AND(C449&gt;D449,D449&gt;E449),"TOR &gt; SM &gt; BNN",IF(AND(C449&gt;E449,E449&gt;D449),"TOR &gt; BNN &gt; SM",IF(AND(D449&gt;C449,C449&gt;E449),"SM &gt; TOR &gt; BNN",IF(AND(D449&gt;E449,E449&gt;C449),"SM &gt; BNN &gt; TOR",IF(AND(C449=D449,D449=E449),"TOR = SM = BNN","Comb. diferentes")))))</f>
        <v>SM &gt; TOR &gt; BNN</v>
      </c>
      <c r="BD449" s="137" t="str">
        <f>IF(OR(AE449="",AQ449="-"),"",IF(AE449&lt;=0.25,"Tipo 1 (≤0,25) uT",IF(AE449&lt;=0.5,"Tipo 2 (0,25-0,50) uT",IF(AE449&lt;=0.75,"Tipo 3 (0,50-0,75) uT","Tipo 4 (&gt;0,75) uT"))))</f>
        <v>Tipo 1 (≤0,25) uT</v>
      </c>
      <c r="BE449" s="137" t="str">
        <f t="shared" si="42"/>
        <v>Tipo 1 (≤0,25) uT</v>
      </c>
      <c r="BF449" s="137" t="str">
        <f>IF(OR(AF449="",AQ449="-"),"",IF(AF449&lt;=0.25,"Tipo 1 (≤0,25) uT",IF(AF449&lt;=0.5,"Tipo 2 (0,25-0,50) uT",IF(AF449&lt;=0.75,"Tipo 3 (0,50-0,75) uT","Tipo 4 (&gt;0,75) uT"))))</f>
        <v/>
      </c>
      <c r="BG449" s="137" t="str">
        <f t="shared" si="43"/>
        <v>Tipo 1 (≤0,25) uT</v>
      </c>
      <c r="BH449" s="137" t="str">
        <f>IF(OR(R449="",R449="-"),"",IF(R449&lt;=0.25,"Tipo 1 (≤0,25) uT",IF(R449&lt;=0.5,"Tipo 2 (0,25-0,50) uT",IF(R449&lt;=0.75,"Tipo 3 (0,50-0,75) uT","Tipo 4 (&gt;0,75) uT"))))</f>
        <v>Tipo 1 (≤0,25) uT</v>
      </c>
    </row>
    <row r="450" spans="1:60" x14ac:dyDescent="0.3">
      <c r="A450" s="74">
        <v>46309</v>
      </c>
      <c r="B450" s="139">
        <v>6.25E-2</v>
      </c>
      <c r="C450" s="116">
        <v>260</v>
      </c>
      <c r="D450" s="116">
        <v>1715</v>
      </c>
      <c r="E450" s="116">
        <v>200</v>
      </c>
      <c r="F450" s="116">
        <v>2255</v>
      </c>
      <c r="G450" s="144" t="s">
        <v>100</v>
      </c>
      <c r="H450" s="122">
        <v>9.8000000000000007</v>
      </c>
      <c r="I450" s="116">
        <v>-18</v>
      </c>
      <c r="J450" s="10">
        <v>90</v>
      </c>
      <c r="K450" s="116">
        <v>90</v>
      </c>
      <c r="L450" s="116">
        <v>90</v>
      </c>
      <c r="M450" s="122">
        <v>26</v>
      </c>
      <c r="N450" s="122">
        <v>6.3</v>
      </c>
      <c r="O450" s="79">
        <v>1.7</v>
      </c>
      <c r="P450" s="116">
        <v>12</v>
      </c>
      <c r="Q450" s="122">
        <v>6.7</v>
      </c>
      <c r="R450" s="10">
        <v>0.14000000000000001</v>
      </c>
      <c r="S450" s="79">
        <v>22.36</v>
      </c>
      <c r="T450" s="79">
        <v>0.88</v>
      </c>
      <c r="U450" s="79">
        <v>0.7</v>
      </c>
      <c r="V450" s="85">
        <f t="shared" si="44"/>
        <v>1871.6499999999999</v>
      </c>
      <c r="W450" s="85">
        <f t="shared" si="45"/>
        <v>1735.17231264</v>
      </c>
      <c r="X450" s="85">
        <f t="shared" si="46"/>
        <v>0.92708161923436549</v>
      </c>
      <c r="Y450" s="116">
        <v>3</v>
      </c>
      <c r="Z450" s="116">
        <v>4</v>
      </c>
      <c r="AA450" s="122">
        <v>6.2</v>
      </c>
      <c r="AB450" s="116">
        <v>22.8</v>
      </c>
      <c r="AC450" s="122">
        <v>6.1</v>
      </c>
      <c r="AD450" s="122">
        <v>5.6</v>
      </c>
      <c r="AE450" s="79">
        <v>0.19</v>
      </c>
      <c r="AF450" s="79"/>
      <c r="AG450" s="85">
        <f>(O450+0.3*H450+2)*(F450/2/AK450)</f>
        <v>1871.6499999999999</v>
      </c>
      <c r="AH450" s="85">
        <f t="shared" si="47"/>
        <v>1956.0857139199998</v>
      </c>
      <c r="AI450" s="85">
        <f t="shared" si="48"/>
        <v>1.0451129826196137</v>
      </c>
      <c r="AJ450" s="116">
        <v>3</v>
      </c>
      <c r="AK450" s="116">
        <v>4</v>
      </c>
      <c r="AL450" s="122">
        <v>6.4</v>
      </c>
      <c r="AM450" s="116">
        <v>24.7</v>
      </c>
      <c r="AN450" s="122">
        <v>6</v>
      </c>
      <c r="AO450" s="122">
        <v>5.6</v>
      </c>
      <c r="AP450" s="79">
        <v>0.16</v>
      </c>
      <c r="AQ450" s="79">
        <v>0.17</v>
      </c>
      <c r="AR450" s="132">
        <f>SUM(C450:E450)</f>
        <v>2175</v>
      </c>
      <c r="AS450" s="134">
        <f>C450/AR450</f>
        <v>0.11954022988505747</v>
      </c>
      <c r="AT450" s="134">
        <f>D450/AR450</f>
        <v>0.78850574712643673</v>
      </c>
      <c r="AU450" s="134">
        <f>E450/AR450</f>
        <v>9.1954022988505746E-2</v>
      </c>
      <c r="AV450" s="151">
        <f>IF(AND(F450&lt;&gt;"",Z450&lt;&gt;""),AB450/(F450/2/Z450),"")</f>
        <v>8.0886917960088692E-2</v>
      </c>
      <c r="AW450" s="151">
        <f>IF(AND(F450&lt;&gt;"",AK450&lt;&gt;""),AM450/(F450/2/AK450),"")</f>
        <v>8.7627494456762753E-2</v>
      </c>
      <c r="AX450" s="43">
        <f>IF(AND(AQ450&lt;&gt;"",1-(AQ450/O450)&gt;0),1-(AQ450/O450),"")</f>
        <v>0.9</v>
      </c>
      <c r="AY450" s="41" t="str">
        <f>IF(AND(AF450&lt;&gt;"",1-(AF450/O450)&gt;0),1-(AF450/O450),"")</f>
        <v/>
      </c>
      <c r="AZ450" s="136" t="str">
        <f>IF(Q450="","",IF(Q450&lt;2.5,"Alc. Bruta &lt; 2,5 mg/L",IF(Q450&lt;5,"2,5 ≤ Alc. Bruta &lt; 5,0 mg/L",IF(Q450&lt;7.5,"5,0 ≤ Alc. Bruta &lt; 7,5 mg/L",IF(Q450&lt;10,"7,5 ≤ Alc. Bruta &lt; 10,0 mg/L",IF(Q450&lt;15,"10,0 ≤ Alca. Bruta &lt; 15,0 mg/L","Alc. Bruta &gt; 15 mg/L"))))))</f>
        <v>5,0 ≤ Alc. Bruta &lt; 7,5 mg/L</v>
      </c>
      <c r="BA450" s="136" t="str">
        <f>IF(P450="","",IF(P450&lt;5,"Cor &lt;5 uC",IF(P450&lt;10,"5 ≤ Cor &lt; 10 uC",IF(P450&lt;15,"10 ≤ Cor &lt;15 uC",IF(P450&lt;30,"15 ≤ Cor &lt; 30 uC",IF(P450&lt;50,"30 ≤ Cor &lt; 50 uC","Cor &gt; 50 uC"))))))</f>
        <v>10 ≤ Cor &lt;15 uC</v>
      </c>
      <c r="BB450" s="137" t="str">
        <f>IF(O450="","",IF(O450&lt;2.5,"Turbidez &lt; 2,5 uT",IF(O450&lt;5,"2,5 ≤ Turb &lt; 5,0 uT",IF(O450&lt;7.5,"5,0 ≤ Turb &lt; 7,5 uT",IF(O450&lt;10,"7,5 ≤ Turb &lt; 10,0 uT",IF(O450&lt;15,"10,0 ≤ Turb &lt; 15,0 uT","Turb &gt; 15 uT"))))))</f>
        <v>Turbidez &lt; 2,5 uT</v>
      </c>
      <c r="BC450" s="138" t="str">
        <f>IF(AND(C450&gt;D450,D450&gt;E450),"TOR &gt; SM &gt; BNN",IF(AND(C450&gt;E450,E450&gt;D450),"TOR &gt; BNN &gt; SM",IF(AND(D450&gt;C450,C450&gt;E450),"SM &gt; TOR &gt; BNN",IF(AND(D450&gt;E450,E450&gt;C450),"SM &gt; BNN &gt; TOR",IF(AND(C450=D450,D450=E450),"TOR = SM = BNN","Comb. diferentes")))))</f>
        <v>SM &gt; TOR &gt; BNN</v>
      </c>
      <c r="BD450" s="137" t="str">
        <f>IF(OR(AE450="",AQ450="-"),"",IF(AE450&lt;=0.25,"Tipo 1 (≤0,25) uT",IF(AE450&lt;=0.5,"Tipo 2 (0,25-0,50) uT",IF(AE450&lt;=0.75,"Tipo 3 (0,50-0,75) uT","Tipo 4 (&gt;0,75) uT"))))</f>
        <v>Tipo 1 (≤0,25) uT</v>
      </c>
      <c r="BE450" s="137" t="str">
        <f t="shared" ref="BE450:BE508" si="49">IF(OR(AP450="",AZ450="-"),"",IF(AP450&lt;=0.25,"Tipo 1 (≤0,25) uT",IF(AP450&lt;=0.5,"Tipo 2 (0,25-0,50) uT",IF(AP450&lt;=0.75,"Tipo 3 (0,50-0,75) uT","Tipo 4 (&gt;0,75) uT"))))</f>
        <v>Tipo 1 (≤0,25) uT</v>
      </c>
      <c r="BF450" s="137" t="str">
        <f>IF(OR(AF450="",AQ450="-"),"",IF(AF450&lt;=0.25,"Tipo 1 (≤0,25) uT",IF(AF450&lt;=0.5,"Tipo 2 (0,25-0,50) uT",IF(AF450&lt;=0.75,"Tipo 3 (0,50-0,75) uT","Tipo 4 (&gt;0,75) uT"))))</f>
        <v/>
      </c>
      <c r="BG450" s="137" t="str">
        <f t="shared" ref="BG450:BG508" si="50">IF(OR(AQ450="",AQ450="-"),"",IF(AQ450&lt;=0.25,"Tipo 1 (≤0,25) uT",IF(AQ450&lt;=0.5,"Tipo 2 (0,25-0,50) uT",IF(AQ450&lt;=0.75,"Tipo 3 (0,50-0,75) uT","Tipo 4 (&gt;0,75) uT"))))</f>
        <v>Tipo 1 (≤0,25) uT</v>
      </c>
      <c r="BH450" s="137" t="str">
        <f>IF(OR(R450="",R450="-"),"",IF(R450&lt;=0.25,"Tipo 1 (≤0,25) uT",IF(R450&lt;=0.5,"Tipo 2 (0,25-0,50) uT",IF(R450&lt;=0.75,"Tipo 3 (0,50-0,75) uT","Tipo 4 (&gt;0,75) uT"))))</f>
        <v>Tipo 1 (≤0,25) uT</v>
      </c>
    </row>
    <row r="451" spans="1:60" ht="15" thickBot="1" x14ac:dyDescent="0.35">
      <c r="A451" s="75">
        <v>46309</v>
      </c>
      <c r="B451" s="140">
        <v>0.22916666666666666</v>
      </c>
      <c r="C451" s="117">
        <v>294</v>
      </c>
      <c r="D451" s="117">
        <v>1215</v>
      </c>
      <c r="E451" s="117">
        <v>290</v>
      </c>
      <c r="F451" s="117">
        <v>1901</v>
      </c>
      <c r="G451" s="145" t="s">
        <v>100</v>
      </c>
      <c r="H451" s="123">
        <v>9.8000000000000007</v>
      </c>
      <c r="I451" s="117">
        <v>-17</v>
      </c>
      <c r="J451" s="11">
        <v>90</v>
      </c>
      <c r="K451" s="117">
        <v>90</v>
      </c>
      <c r="L451" s="117">
        <v>90</v>
      </c>
      <c r="M451" s="123">
        <v>25.4</v>
      </c>
      <c r="N451" s="123">
        <v>6.2</v>
      </c>
      <c r="O451" s="80">
        <v>1.68</v>
      </c>
      <c r="P451" s="117">
        <v>8</v>
      </c>
      <c r="Q451" s="123">
        <v>5.6</v>
      </c>
      <c r="R451" s="11">
        <v>0.15</v>
      </c>
      <c r="S451" s="79">
        <v>22.36</v>
      </c>
      <c r="T451" s="79">
        <v>0.88</v>
      </c>
      <c r="U451" s="79">
        <v>0.7</v>
      </c>
      <c r="V451" s="85">
        <f t="shared" ref="V451:V491" si="51">(O451+0.3*H451+2)*(F451/2/Z451)</f>
        <v>2097.4366666666665</v>
      </c>
      <c r="W451" s="85">
        <f t="shared" ref="W451:W511" si="52">S451*(U451*AA451*0.987-T451)*AB451</f>
        <v>1552.9780239999996</v>
      </c>
      <c r="X451" s="85">
        <f t="shared" ref="X451:X511" si="53">W451/V451</f>
        <v>0.74041712375900093</v>
      </c>
      <c r="Y451" s="117">
        <v>2</v>
      </c>
      <c r="Z451" s="117">
        <v>3</v>
      </c>
      <c r="AA451" s="123">
        <v>6.3</v>
      </c>
      <c r="AB451" s="117">
        <v>20</v>
      </c>
      <c r="AC451" s="123">
        <v>6.2</v>
      </c>
      <c r="AD451" s="123">
        <v>5.7</v>
      </c>
      <c r="AE451" s="80">
        <v>0.18</v>
      </c>
      <c r="AF451" s="80"/>
      <c r="AG451" s="85">
        <f>(O451+0.3*H451+2)*(F451/2/AK451)</f>
        <v>2097.4366666666665</v>
      </c>
      <c r="AH451" s="85">
        <f t="shared" ref="AH451:AH511" si="54">S451*(U451*AL451*0.987-T451)*AM451</f>
        <v>1552.9780239999996</v>
      </c>
      <c r="AI451" s="85">
        <f t="shared" ref="AI451:AI511" si="55">AH451/AG451</f>
        <v>0.74041712375900093</v>
      </c>
      <c r="AJ451" s="117">
        <v>2</v>
      </c>
      <c r="AK451" s="117">
        <v>3</v>
      </c>
      <c r="AL451" s="123">
        <v>6.3</v>
      </c>
      <c r="AM451" s="117">
        <v>20</v>
      </c>
      <c r="AN451" s="123">
        <v>6.1</v>
      </c>
      <c r="AO451" s="123">
        <v>5.7</v>
      </c>
      <c r="AP451" s="80">
        <v>0.2</v>
      </c>
      <c r="AQ451" s="80">
        <v>0.16</v>
      </c>
      <c r="AR451" s="132">
        <f>SUM(C451:E451)</f>
        <v>1799</v>
      </c>
      <c r="AS451" s="134">
        <f>C451/AR451</f>
        <v>0.16342412451361868</v>
      </c>
      <c r="AT451" s="134">
        <f>D451/AR451</f>
        <v>0.67537520844913845</v>
      </c>
      <c r="AU451" s="134">
        <f>E451/AR451</f>
        <v>0.16120066703724292</v>
      </c>
      <c r="AV451" s="151">
        <f>IF(AND(F451&lt;&gt;"",Z451&lt;&gt;""),AB451/(F451/2/Z451),"")</f>
        <v>6.3124671225670698E-2</v>
      </c>
      <c r="AW451" s="151">
        <f>IF(AND(F451&lt;&gt;"",AK451&lt;&gt;""),AM451/(F451/2/AK451),"")</f>
        <v>6.3124671225670698E-2</v>
      </c>
      <c r="AX451" s="43">
        <f>IF(AND(AQ451&lt;&gt;"",1-(AQ451/O451)&gt;0),1-(AQ451/O451),"")</f>
        <v>0.90476190476190477</v>
      </c>
      <c r="AY451" s="41" t="str">
        <f>IF(AND(AF451&lt;&gt;"",1-(AF451/O451)&gt;0),1-(AF451/O451),"")</f>
        <v/>
      </c>
      <c r="AZ451" s="136" t="str">
        <f>IF(Q451="","",IF(Q451&lt;2.5,"Alc. Bruta &lt; 2,5 mg/L",IF(Q451&lt;5,"2,5 ≤ Alc. Bruta &lt; 5,0 mg/L",IF(Q451&lt;7.5,"5,0 ≤ Alc. Bruta &lt; 7,5 mg/L",IF(Q451&lt;10,"7,5 ≤ Alc. Bruta &lt; 10,0 mg/L",IF(Q451&lt;15,"10,0 ≤ Alca. Bruta &lt; 15,0 mg/L","Alc. Bruta &gt; 15 mg/L"))))))</f>
        <v>5,0 ≤ Alc. Bruta &lt; 7,5 mg/L</v>
      </c>
      <c r="BA451" s="136" t="str">
        <f>IF(P451="","",IF(P451&lt;5,"Cor &lt;5 uC",IF(P451&lt;10,"5 ≤ Cor &lt; 10 uC",IF(P451&lt;15,"10 ≤ Cor &lt;15 uC",IF(P451&lt;30,"15 ≤ Cor &lt; 30 uC",IF(P451&lt;50,"30 ≤ Cor &lt; 50 uC","Cor &gt; 50 uC"))))))</f>
        <v>5 ≤ Cor &lt; 10 uC</v>
      </c>
      <c r="BB451" s="137" t="str">
        <f>IF(O451="","",IF(O451&lt;2.5,"Turbidez &lt; 2,5 uT",IF(O451&lt;5,"2,5 ≤ Turb &lt; 5,0 uT",IF(O451&lt;7.5,"5,0 ≤ Turb &lt; 7,5 uT",IF(O451&lt;10,"7,5 ≤ Turb &lt; 10,0 uT",IF(O451&lt;15,"10,0 ≤ Turb &lt; 15,0 uT","Turb &gt; 15 uT"))))))</f>
        <v>Turbidez &lt; 2,5 uT</v>
      </c>
      <c r="BC451" s="138" t="str">
        <f>IF(AND(C451&gt;D451,D451&gt;E451),"TOR &gt; SM &gt; BNN",IF(AND(C451&gt;E451,E451&gt;D451),"TOR &gt; BNN &gt; SM",IF(AND(D451&gt;C451,C451&gt;E451),"SM &gt; TOR &gt; BNN",IF(AND(D451&gt;E451,E451&gt;C451),"SM &gt; BNN &gt; TOR",IF(AND(C451=D451,D451=E451),"TOR = SM = BNN","Comb. diferentes")))))</f>
        <v>SM &gt; TOR &gt; BNN</v>
      </c>
      <c r="BD451" s="137" t="str">
        <f>IF(OR(AE451="",AQ451="-"),"",IF(AE451&lt;=0.25,"Tipo 1 (≤0,25) uT",IF(AE451&lt;=0.5,"Tipo 2 (0,25-0,50) uT",IF(AE451&lt;=0.75,"Tipo 3 (0,50-0,75) uT","Tipo 4 (&gt;0,75) uT"))))</f>
        <v>Tipo 1 (≤0,25) uT</v>
      </c>
      <c r="BE451" s="137" t="str">
        <f t="shared" si="49"/>
        <v>Tipo 1 (≤0,25) uT</v>
      </c>
      <c r="BF451" s="137" t="str">
        <f>IF(OR(AF451="",AQ451="-"),"",IF(AF451&lt;=0.25,"Tipo 1 (≤0,25) uT",IF(AF451&lt;=0.5,"Tipo 2 (0,25-0,50) uT",IF(AF451&lt;=0.75,"Tipo 3 (0,50-0,75) uT","Tipo 4 (&gt;0,75) uT"))))</f>
        <v/>
      </c>
      <c r="BG451" s="137" t="str">
        <f t="shared" si="50"/>
        <v>Tipo 1 (≤0,25) uT</v>
      </c>
      <c r="BH451" s="137" t="str">
        <f>IF(OR(R451="",R451="-"),"",IF(R451&lt;=0.25,"Tipo 1 (≤0,25) uT",IF(R451&lt;=0.5,"Tipo 2 (0,25-0,50) uT",IF(R451&lt;=0.75,"Tipo 3 (0,50-0,75) uT","Tipo 4 (&gt;0,75) uT"))))</f>
        <v>Tipo 1 (≤0,25) uT</v>
      </c>
    </row>
    <row r="452" spans="1:60" x14ac:dyDescent="0.3">
      <c r="A452" s="73">
        <v>46309</v>
      </c>
      <c r="B452" s="141">
        <v>0.3125</v>
      </c>
      <c r="C452" s="118">
        <v>0</v>
      </c>
      <c r="D452" s="118">
        <v>1000</v>
      </c>
      <c r="E452" s="118">
        <v>306</v>
      </c>
      <c r="F452" s="118">
        <v>1340</v>
      </c>
      <c r="G452" s="146" t="s">
        <v>100</v>
      </c>
      <c r="H452" s="124">
        <v>9.8000000000000007</v>
      </c>
      <c r="I452" s="118">
        <v>27</v>
      </c>
      <c r="J452" s="9">
        <v>90</v>
      </c>
      <c r="K452" s="118">
        <v>90</v>
      </c>
      <c r="L452" s="118">
        <v>90</v>
      </c>
      <c r="M452" s="124">
        <v>24.5</v>
      </c>
      <c r="N452" s="124">
        <v>6.5</v>
      </c>
      <c r="O452" s="81">
        <v>1.71</v>
      </c>
      <c r="P452" s="118">
        <v>8</v>
      </c>
      <c r="Q452" s="124">
        <v>6.1</v>
      </c>
      <c r="R452" s="9">
        <v>0.15</v>
      </c>
      <c r="S452" s="79">
        <v>22.36</v>
      </c>
      <c r="T452" s="79">
        <v>0.88</v>
      </c>
      <c r="U452" s="79">
        <v>0.7</v>
      </c>
      <c r="V452" s="85">
        <f t="shared" si="51"/>
        <v>1113.875</v>
      </c>
      <c r="W452" s="85">
        <f t="shared" si="52"/>
        <v>1774.2485591999998</v>
      </c>
      <c r="X452" s="85">
        <f t="shared" si="53"/>
        <v>1.5928614603972617</v>
      </c>
      <c r="Y452" s="118">
        <v>2</v>
      </c>
      <c r="Z452" s="118">
        <v>4</v>
      </c>
      <c r="AA452" s="124">
        <v>6</v>
      </c>
      <c r="AB452" s="118">
        <v>24.3</v>
      </c>
      <c r="AC452" s="124">
        <v>6</v>
      </c>
      <c r="AD452" s="124">
        <v>5.3</v>
      </c>
      <c r="AE452" s="81">
        <v>0.11</v>
      </c>
      <c r="AF452" s="81"/>
      <c r="AG452" s="85">
        <f>(O452+0.3*H452+2)*(F452/2/AK452)</f>
        <v>1485.1666666666667</v>
      </c>
      <c r="AH452" s="85">
        <f t="shared" si="54"/>
        <v>2018.46515</v>
      </c>
      <c r="AI452" s="85">
        <f t="shared" si="55"/>
        <v>1.3590832566490854</v>
      </c>
      <c r="AJ452" s="118">
        <v>1</v>
      </c>
      <c r="AK452" s="118">
        <v>3</v>
      </c>
      <c r="AL452" s="124">
        <v>6.5</v>
      </c>
      <c r="AM452" s="118">
        <v>25</v>
      </c>
      <c r="AN452" s="124">
        <v>6</v>
      </c>
      <c r="AO452" s="124">
        <v>5.4</v>
      </c>
      <c r="AP452" s="81">
        <v>0.15</v>
      </c>
      <c r="AQ452" s="81">
        <v>0.18</v>
      </c>
      <c r="AR452" s="132">
        <f>SUM(C452:E452)</f>
        <v>1306</v>
      </c>
      <c r="AS452" s="134">
        <f>C452/AR452</f>
        <v>0</v>
      </c>
      <c r="AT452" s="134">
        <f>D452/AR452</f>
        <v>0.76569678407350694</v>
      </c>
      <c r="AU452" s="134">
        <f>E452/AR452</f>
        <v>0.23430321592649311</v>
      </c>
      <c r="AV452" s="151">
        <f>IF(AND(F452&lt;&gt;"",Z452&lt;&gt;""),AB452/(F452/2/Z452),"")</f>
        <v>0.14507462686567166</v>
      </c>
      <c r="AW452" s="151">
        <f>IF(AND(F452&lt;&gt;"",AK452&lt;&gt;""),AM452/(F452/2/AK452),"")</f>
        <v>0.11194029850746268</v>
      </c>
      <c r="AX452" s="43">
        <f>IF(AND(AQ452&lt;&gt;"",1-(AQ452/O452)&gt;0),1-(AQ452/O452),"")</f>
        <v>0.89473684210526316</v>
      </c>
      <c r="AY452" s="41" t="str">
        <f>IF(AND(AF452&lt;&gt;"",1-(AF452/O452)&gt;0),1-(AF452/O452),"")</f>
        <v/>
      </c>
      <c r="AZ452" s="136" t="str">
        <f>IF(Q452="","",IF(Q452&lt;2.5,"Alc. Bruta &lt; 2,5 mg/L",IF(Q452&lt;5,"2,5 ≤ Alc. Bruta &lt; 5,0 mg/L",IF(Q452&lt;7.5,"5,0 ≤ Alc. Bruta &lt; 7,5 mg/L",IF(Q452&lt;10,"7,5 ≤ Alc. Bruta &lt; 10,0 mg/L",IF(Q452&lt;15,"10,0 ≤ Alca. Bruta &lt; 15,0 mg/L","Alc. Bruta &gt; 15 mg/L"))))))</f>
        <v>5,0 ≤ Alc. Bruta &lt; 7,5 mg/L</v>
      </c>
      <c r="BA452" s="136" t="str">
        <f>IF(P452="","",IF(P452&lt;5,"Cor &lt;5 uC",IF(P452&lt;10,"5 ≤ Cor &lt; 10 uC",IF(P452&lt;15,"10 ≤ Cor &lt;15 uC",IF(P452&lt;30,"15 ≤ Cor &lt; 30 uC",IF(P452&lt;50,"30 ≤ Cor &lt; 50 uC","Cor &gt; 50 uC"))))))</f>
        <v>5 ≤ Cor &lt; 10 uC</v>
      </c>
      <c r="BB452" s="137" t="str">
        <f>IF(O452="","",IF(O452&lt;2.5,"Turbidez &lt; 2,5 uT",IF(O452&lt;5,"2,5 ≤ Turb &lt; 5,0 uT",IF(O452&lt;7.5,"5,0 ≤ Turb &lt; 7,5 uT",IF(O452&lt;10,"7,5 ≤ Turb &lt; 10,0 uT",IF(O452&lt;15,"10,0 ≤ Turb &lt; 15,0 uT","Turb &gt; 15 uT"))))))</f>
        <v>Turbidez &lt; 2,5 uT</v>
      </c>
      <c r="BC452" s="138" t="str">
        <f>IF(AND(C452&gt;D452,D452&gt;E452),"TOR &gt; SM &gt; BNN",IF(AND(C452&gt;E452,E452&gt;D452),"TOR &gt; BNN &gt; SM",IF(AND(D452&gt;C452,C452&gt;E452),"SM &gt; TOR &gt; BNN",IF(AND(D452&gt;E452,E452&gt;C452),"SM &gt; BNN &gt; TOR",IF(AND(C452=D452,D452=E452),"TOR = SM = BNN","Comb. diferentes")))))</f>
        <v>SM &gt; BNN &gt; TOR</v>
      </c>
      <c r="BD452" s="137" t="str">
        <f>IF(OR(AE452="",AQ452="-"),"",IF(AE452&lt;=0.25,"Tipo 1 (≤0,25) uT",IF(AE452&lt;=0.5,"Tipo 2 (0,25-0,50) uT",IF(AE452&lt;=0.75,"Tipo 3 (0,50-0,75) uT","Tipo 4 (&gt;0,75) uT"))))</f>
        <v>Tipo 1 (≤0,25) uT</v>
      </c>
      <c r="BE452" s="137" t="str">
        <f t="shared" si="49"/>
        <v>Tipo 1 (≤0,25) uT</v>
      </c>
      <c r="BF452" s="137" t="str">
        <f>IF(OR(AF452="",AQ452="-"),"",IF(AF452&lt;=0.25,"Tipo 1 (≤0,25) uT",IF(AF452&lt;=0.5,"Tipo 2 (0,25-0,50) uT",IF(AF452&lt;=0.75,"Tipo 3 (0,50-0,75) uT","Tipo 4 (&gt;0,75) uT"))))</f>
        <v/>
      </c>
      <c r="BG452" s="137" t="str">
        <f t="shared" si="50"/>
        <v>Tipo 1 (≤0,25) uT</v>
      </c>
      <c r="BH452" s="137" t="str">
        <f>IF(OR(R452="",R452="-"),"",IF(R452&lt;=0.25,"Tipo 1 (≤0,25) uT",IF(R452&lt;=0.5,"Tipo 2 (0,25-0,50) uT",IF(R452&lt;=0.75,"Tipo 3 (0,50-0,75) uT","Tipo 4 (&gt;0,75) uT"))))</f>
        <v>Tipo 1 (≤0,25) uT</v>
      </c>
    </row>
    <row r="453" spans="1:60" x14ac:dyDescent="0.3">
      <c r="A453" s="74">
        <v>46309</v>
      </c>
      <c r="B453" s="139">
        <v>0.47916666666666669</v>
      </c>
      <c r="C453" s="116">
        <v>353</v>
      </c>
      <c r="D453" s="116">
        <v>1599</v>
      </c>
      <c r="E453" s="116">
        <v>300</v>
      </c>
      <c r="F453" s="116">
        <v>2300</v>
      </c>
      <c r="G453" s="144" t="s">
        <v>100</v>
      </c>
      <c r="H453" s="122">
        <v>10.4</v>
      </c>
      <c r="I453" s="116">
        <v>95</v>
      </c>
      <c r="J453" s="10">
        <v>90</v>
      </c>
      <c r="K453" s="116">
        <v>90</v>
      </c>
      <c r="L453" s="116">
        <v>90</v>
      </c>
      <c r="M453" s="122">
        <v>26.6</v>
      </c>
      <c r="N453" s="122">
        <v>6.3</v>
      </c>
      <c r="O453" s="79">
        <v>1.24</v>
      </c>
      <c r="P453" s="116">
        <v>8</v>
      </c>
      <c r="Q453" s="122">
        <v>7.1</v>
      </c>
      <c r="R453" s="10">
        <v>0.2</v>
      </c>
      <c r="S453" s="79">
        <v>22.36</v>
      </c>
      <c r="T453" s="79">
        <v>0.88</v>
      </c>
      <c r="U453" s="79">
        <v>0.7</v>
      </c>
      <c r="V453" s="85">
        <f t="shared" si="51"/>
        <v>2438</v>
      </c>
      <c r="W453" s="85">
        <f t="shared" si="52"/>
        <v>1774.2485591999998</v>
      </c>
      <c r="X453" s="85">
        <f t="shared" si="53"/>
        <v>0.72774756324856438</v>
      </c>
      <c r="Y453" s="116">
        <v>3</v>
      </c>
      <c r="Z453" s="116">
        <v>3</v>
      </c>
      <c r="AA453" s="122">
        <v>6</v>
      </c>
      <c r="AB453" s="116">
        <v>24.3</v>
      </c>
      <c r="AC453" s="122">
        <v>6</v>
      </c>
      <c r="AD453" s="122">
        <v>4.7</v>
      </c>
      <c r="AE453" s="79">
        <v>0.11</v>
      </c>
      <c r="AF453" s="79">
        <v>0.51</v>
      </c>
      <c r="AG453" s="85">
        <f>(O453+0.3*H453+2)*(F453/2/AK453)</f>
        <v>1828.5</v>
      </c>
      <c r="AH453" s="85">
        <f t="shared" si="54"/>
        <v>1979.8438399999998</v>
      </c>
      <c r="AI453" s="85">
        <f t="shared" si="55"/>
        <v>1.0827693956795186</v>
      </c>
      <c r="AJ453" s="116">
        <v>3</v>
      </c>
      <c r="AK453" s="116">
        <v>4</v>
      </c>
      <c r="AL453" s="122">
        <v>6.4</v>
      </c>
      <c r="AM453" s="116">
        <v>25</v>
      </c>
      <c r="AN453" s="122">
        <v>6.1</v>
      </c>
      <c r="AO453" s="122">
        <v>4.2</v>
      </c>
      <c r="AP453" s="79">
        <v>0.22</v>
      </c>
      <c r="AQ453" s="79">
        <v>0.3</v>
      </c>
      <c r="AR453" s="132">
        <f>SUM(C453:E453)</f>
        <v>2252</v>
      </c>
      <c r="AS453" s="134">
        <f>C453/AR453</f>
        <v>0.15674955595026643</v>
      </c>
      <c r="AT453" s="134">
        <f>D453/AR453</f>
        <v>0.71003552397868563</v>
      </c>
      <c r="AU453" s="134">
        <f>E453/AR453</f>
        <v>0.13321492007104796</v>
      </c>
      <c r="AV453" s="151">
        <f>IF(AND(F453&lt;&gt;"",Z453&lt;&gt;""),AB453/(F453/2/Z453),"")</f>
        <v>6.3391304347826097E-2</v>
      </c>
      <c r="AW453" s="151">
        <f>IF(AND(F453&lt;&gt;"",AK453&lt;&gt;""),AM453/(F453/2/AK453),"")</f>
        <v>8.6956521739130432E-2</v>
      </c>
      <c r="AX453" s="43">
        <f>IF(AND(AQ453&lt;&gt;"",1-(AQ453/O453)&gt;0),1-(AQ453/O453),"")</f>
        <v>0.75806451612903225</v>
      </c>
      <c r="AY453" s="41">
        <f>IF(AND(AF453&lt;&gt;"",1-(AF453/O453)&gt;0),1-(AF453/O453),"")</f>
        <v>0.58870967741935476</v>
      </c>
      <c r="AZ453" s="136" t="str">
        <f>IF(Q453="","",IF(Q453&lt;2.5,"Alc. Bruta &lt; 2,5 mg/L",IF(Q453&lt;5,"2,5 ≤ Alc. Bruta &lt; 5,0 mg/L",IF(Q453&lt;7.5,"5,0 ≤ Alc. Bruta &lt; 7,5 mg/L",IF(Q453&lt;10,"7,5 ≤ Alc. Bruta &lt; 10,0 mg/L",IF(Q453&lt;15,"10,0 ≤ Alca. Bruta &lt; 15,0 mg/L","Alc. Bruta &gt; 15 mg/L"))))))</f>
        <v>5,0 ≤ Alc. Bruta &lt; 7,5 mg/L</v>
      </c>
      <c r="BA453" s="136" t="str">
        <f>IF(P453="","",IF(P453&lt;5,"Cor &lt;5 uC",IF(P453&lt;10,"5 ≤ Cor &lt; 10 uC",IF(P453&lt;15,"10 ≤ Cor &lt;15 uC",IF(P453&lt;30,"15 ≤ Cor &lt; 30 uC",IF(P453&lt;50,"30 ≤ Cor &lt; 50 uC","Cor &gt; 50 uC"))))))</f>
        <v>5 ≤ Cor &lt; 10 uC</v>
      </c>
      <c r="BB453" s="137" t="str">
        <f>IF(O453="","",IF(O453&lt;2.5,"Turbidez &lt; 2,5 uT",IF(O453&lt;5,"2,5 ≤ Turb &lt; 5,0 uT",IF(O453&lt;7.5,"5,0 ≤ Turb &lt; 7,5 uT",IF(O453&lt;10,"7,5 ≤ Turb &lt; 10,0 uT",IF(O453&lt;15,"10,0 ≤ Turb &lt; 15,0 uT","Turb &gt; 15 uT"))))))</f>
        <v>Turbidez &lt; 2,5 uT</v>
      </c>
      <c r="BC453" s="138" t="str">
        <f>IF(AND(C453&gt;D453,D453&gt;E453),"TOR &gt; SM &gt; BNN",IF(AND(C453&gt;E453,E453&gt;D453),"TOR &gt; BNN &gt; SM",IF(AND(D453&gt;C453,C453&gt;E453),"SM &gt; TOR &gt; BNN",IF(AND(D453&gt;E453,E453&gt;C453),"SM &gt; BNN &gt; TOR",IF(AND(C453=D453,D453=E453),"TOR = SM = BNN","Comb. diferentes")))))</f>
        <v>SM &gt; TOR &gt; BNN</v>
      </c>
      <c r="BD453" s="137" t="str">
        <f>IF(OR(AE453="",AQ453="-"),"",IF(AE453&lt;=0.25,"Tipo 1 (≤0,25) uT",IF(AE453&lt;=0.5,"Tipo 2 (0,25-0,50) uT",IF(AE453&lt;=0.75,"Tipo 3 (0,50-0,75) uT","Tipo 4 (&gt;0,75) uT"))))</f>
        <v>Tipo 1 (≤0,25) uT</v>
      </c>
      <c r="BE453" s="137" t="str">
        <f t="shared" si="49"/>
        <v>Tipo 1 (≤0,25) uT</v>
      </c>
      <c r="BF453" s="137" t="str">
        <f>IF(OR(AF453="",AQ453="-"),"",IF(AF453&lt;=0.25,"Tipo 1 (≤0,25) uT",IF(AF453&lt;=0.5,"Tipo 2 (0,25-0,50) uT",IF(AF453&lt;=0.75,"Tipo 3 (0,50-0,75) uT","Tipo 4 (&gt;0,75) uT"))))</f>
        <v>Tipo 3 (0,50-0,75) uT</v>
      </c>
      <c r="BG453" s="137" t="str">
        <f t="shared" si="50"/>
        <v>Tipo 2 (0,25-0,50) uT</v>
      </c>
      <c r="BH453" s="137" t="str">
        <f>IF(OR(R453="",R453="-"),"",IF(R453&lt;=0.25,"Tipo 1 (≤0,25) uT",IF(R453&lt;=0.5,"Tipo 2 (0,25-0,50) uT",IF(R453&lt;=0.75,"Tipo 3 (0,50-0,75) uT","Tipo 4 (&gt;0,75) uT"))))</f>
        <v>Tipo 1 (≤0,25) uT</v>
      </c>
    </row>
    <row r="454" spans="1:60" x14ac:dyDescent="0.3">
      <c r="A454" s="74">
        <v>46309</v>
      </c>
      <c r="B454" s="139">
        <v>0.72916666666666663</v>
      </c>
      <c r="C454" s="116">
        <v>275</v>
      </c>
      <c r="D454" s="116">
        <v>1660</v>
      </c>
      <c r="E454" s="116">
        <v>270</v>
      </c>
      <c r="F454" s="116">
        <v>1989</v>
      </c>
      <c r="G454" s="144" t="s">
        <v>100</v>
      </c>
      <c r="H454" s="122">
        <v>10.4</v>
      </c>
      <c r="I454" s="116">
        <v>61</v>
      </c>
      <c r="J454" s="10">
        <v>90</v>
      </c>
      <c r="K454" s="116">
        <v>90</v>
      </c>
      <c r="L454" s="116">
        <v>90</v>
      </c>
      <c r="M454" s="122">
        <v>27</v>
      </c>
      <c r="N454" s="122">
        <v>6.4</v>
      </c>
      <c r="O454" s="79">
        <v>1.1000000000000001</v>
      </c>
      <c r="P454" s="116">
        <v>8</v>
      </c>
      <c r="Q454" s="122">
        <v>6.9</v>
      </c>
      <c r="R454" s="10">
        <v>0.2</v>
      </c>
      <c r="S454" s="79">
        <v>22.36</v>
      </c>
      <c r="T454" s="79">
        <v>0.88</v>
      </c>
      <c r="U454" s="79">
        <v>0.7</v>
      </c>
      <c r="V454" s="85">
        <f t="shared" si="51"/>
        <v>2061.9300000000003</v>
      </c>
      <c r="W454" s="85">
        <f t="shared" si="52"/>
        <v>1774.2485591999998</v>
      </c>
      <c r="X454" s="85">
        <f t="shared" si="53"/>
        <v>0.86047953092490992</v>
      </c>
      <c r="Y454" s="116">
        <v>3</v>
      </c>
      <c r="Z454" s="116">
        <v>3</v>
      </c>
      <c r="AA454" s="122">
        <v>6</v>
      </c>
      <c r="AB454" s="116">
        <v>24.3</v>
      </c>
      <c r="AC454" s="122">
        <v>6</v>
      </c>
      <c r="AD454" s="122">
        <v>4.3</v>
      </c>
      <c r="AE454" s="79">
        <v>0.13</v>
      </c>
      <c r="AF454" s="79">
        <v>0.13</v>
      </c>
      <c r="AG454" s="85">
        <f>(O454+0.3*H454+2)*(F454/2/AK454)</f>
        <v>1546.4475000000002</v>
      </c>
      <c r="AH454" s="85">
        <f t="shared" si="54"/>
        <v>1979.8438399999998</v>
      </c>
      <c r="AI454" s="85">
        <f t="shared" si="55"/>
        <v>1.2802528634176067</v>
      </c>
      <c r="AJ454" s="116">
        <v>3</v>
      </c>
      <c r="AK454" s="116">
        <v>4</v>
      </c>
      <c r="AL454" s="122">
        <v>6.4</v>
      </c>
      <c r="AM454" s="116">
        <v>25</v>
      </c>
      <c r="AN454" s="122">
        <v>6.1</v>
      </c>
      <c r="AO454" s="122">
        <v>4.2</v>
      </c>
      <c r="AP454" s="79">
        <v>0.11</v>
      </c>
      <c r="AQ454" s="79">
        <v>0.14000000000000001</v>
      </c>
      <c r="AR454" s="132">
        <f>SUM(C454:E454)</f>
        <v>2205</v>
      </c>
      <c r="AS454" s="134">
        <f>C454/AR454</f>
        <v>0.12471655328798185</v>
      </c>
      <c r="AT454" s="134">
        <f>D454/AR454</f>
        <v>0.75283446712018143</v>
      </c>
      <c r="AU454" s="134">
        <f>E454/AR454</f>
        <v>0.12244897959183673</v>
      </c>
      <c r="AV454" s="151">
        <f>IF(AND(F454&lt;&gt;"",Z454&lt;&gt;""),AB454/(F454/2/Z454),"")</f>
        <v>7.3303167420814483E-2</v>
      </c>
      <c r="AW454" s="151">
        <f>IF(AND(F454&lt;&gt;"",AK454&lt;&gt;""),AM454/(F454/2/AK454),"")</f>
        <v>0.10055304172951232</v>
      </c>
      <c r="AX454" s="43">
        <f>IF(AND(AQ454&lt;&gt;"",1-(AQ454/O454)&gt;0),1-(AQ454/O454),"")</f>
        <v>0.87272727272727268</v>
      </c>
      <c r="AY454" s="41">
        <f>IF(AND(AF454&lt;&gt;"",1-(AF454/O454)&gt;0),1-(AF454/O454),"")</f>
        <v>0.88181818181818183</v>
      </c>
      <c r="AZ454" s="136" t="str">
        <f>IF(Q454="","",IF(Q454&lt;2.5,"Alc. Bruta &lt; 2,5 mg/L",IF(Q454&lt;5,"2,5 ≤ Alc. Bruta &lt; 5,0 mg/L",IF(Q454&lt;7.5,"5,0 ≤ Alc. Bruta &lt; 7,5 mg/L",IF(Q454&lt;10,"7,5 ≤ Alc. Bruta &lt; 10,0 mg/L",IF(Q454&lt;15,"10,0 ≤ Alca. Bruta &lt; 15,0 mg/L","Alc. Bruta &gt; 15 mg/L"))))))</f>
        <v>5,0 ≤ Alc. Bruta &lt; 7,5 mg/L</v>
      </c>
      <c r="BA454" s="136" t="str">
        <f>IF(P454="","",IF(P454&lt;5,"Cor &lt;5 uC",IF(P454&lt;10,"5 ≤ Cor &lt; 10 uC",IF(P454&lt;15,"10 ≤ Cor &lt;15 uC",IF(P454&lt;30,"15 ≤ Cor &lt; 30 uC",IF(P454&lt;50,"30 ≤ Cor &lt; 50 uC","Cor &gt; 50 uC"))))))</f>
        <v>5 ≤ Cor &lt; 10 uC</v>
      </c>
      <c r="BB454" s="137" t="str">
        <f>IF(O454="","",IF(O454&lt;2.5,"Turbidez &lt; 2,5 uT",IF(O454&lt;5,"2,5 ≤ Turb &lt; 5,0 uT",IF(O454&lt;7.5,"5,0 ≤ Turb &lt; 7,5 uT",IF(O454&lt;10,"7,5 ≤ Turb &lt; 10,0 uT",IF(O454&lt;15,"10,0 ≤ Turb &lt; 15,0 uT","Turb &gt; 15 uT"))))))</f>
        <v>Turbidez &lt; 2,5 uT</v>
      </c>
      <c r="BC454" s="138" t="str">
        <f>IF(AND(C454&gt;D454,D454&gt;E454),"TOR &gt; SM &gt; BNN",IF(AND(C454&gt;E454,E454&gt;D454),"TOR &gt; BNN &gt; SM",IF(AND(D454&gt;C454,C454&gt;E454),"SM &gt; TOR &gt; BNN",IF(AND(D454&gt;E454,E454&gt;C454),"SM &gt; BNN &gt; TOR",IF(AND(C454=D454,D454=E454),"TOR = SM = BNN","Comb. diferentes")))))</f>
        <v>SM &gt; TOR &gt; BNN</v>
      </c>
      <c r="BD454" s="137" t="str">
        <f>IF(OR(AE454="",AQ454="-"),"",IF(AE454&lt;=0.25,"Tipo 1 (≤0,25) uT",IF(AE454&lt;=0.5,"Tipo 2 (0,25-0,50) uT",IF(AE454&lt;=0.75,"Tipo 3 (0,50-0,75) uT","Tipo 4 (&gt;0,75) uT"))))</f>
        <v>Tipo 1 (≤0,25) uT</v>
      </c>
      <c r="BE454" s="137" t="str">
        <f t="shared" si="49"/>
        <v>Tipo 1 (≤0,25) uT</v>
      </c>
      <c r="BF454" s="137" t="str">
        <f>IF(OR(AF454="",AQ454="-"),"",IF(AF454&lt;=0.25,"Tipo 1 (≤0,25) uT",IF(AF454&lt;=0.5,"Tipo 2 (0,25-0,50) uT",IF(AF454&lt;=0.75,"Tipo 3 (0,50-0,75) uT","Tipo 4 (&gt;0,75) uT"))))</f>
        <v>Tipo 1 (≤0,25) uT</v>
      </c>
      <c r="BG454" s="137" t="str">
        <f t="shared" si="50"/>
        <v>Tipo 1 (≤0,25) uT</v>
      </c>
      <c r="BH454" s="137" t="str">
        <f>IF(OR(R454="",R454="-"),"",IF(R454&lt;=0.25,"Tipo 1 (≤0,25) uT",IF(R454&lt;=0.5,"Tipo 2 (0,25-0,50) uT",IF(R454&lt;=0.75,"Tipo 3 (0,50-0,75) uT","Tipo 4 (&gt;0,75) uT"))))</f>
        <v>Tipo 1 (≤0,25) uT</v>
      </c>
    </row>
    <row r="455" spans="1:60" x14ac:dyDescent="0.3">
      <c r="A455" s="74">
        <v>46309</v>
      </c>
      <c r="B455" s="139">
        <v>0.8125</v>
      </c>
      <c r="C455" s="116">
        <v>267</v>
      </c>
      <c r="D455" s="116">
        <v>1641</v>
      </c>
      <c r="E455" s="116">
        <v>277</v>
      </c>
      <c r="F455" s="116">
        <v>2348</v>
      </c>
      <c r="G455" s="144" t="s">
        <v>100</v>
      </c>
      <c r="H455" s="122">
        <v>10.4</v>
      </c>
      <c r="I455" s="116">
        <v>38</v>
      </c>
      <c r="J455" s="10">
        <v>90</v>
      </c>
      <c r="K455" s="116">
        <v>90</v>
      </c>
      <c r="L455" s="116">
        <v>90</v>
      </c>
      <c r="M455" s="122">
        <v>27</v>
      </c>
      <c r="N455" s="122">
        <v>6.4</v>
      </c>
      <c r="O455" s="79">
        <v>1.3</v>
      </c>
      <c r="P455" s="116">
        <v>5</v>
      </c>
      <c r="Q455" s="122">
        <v>6.2</v>
      </c>
      <c r="R455" s="10">
        <v>0.2</v>
      </c>
      <c r="S455" s="79">
        <v>22.36</v>
      </c>
      <c r="T455" s="79">
        <v>0.88</v>
      </c>
      <c r="U455" s="79">
        <v>0.7</v>
      </c>
      <c r="V455" s="85">
        <f t="shared" si="51"/>
        <v>2512.3599999999997</v>
      </c>
      <c r="W455" s="85">
        <f t="shared" si="52"/>
        <v>1774.2485591999998</v>
      </c>
      <c r="X455" s="85">
        <f t="shared" si="53"/>
        <v>0.70620793166584406</v>
      </c>
      <c r="Y455" s="116">
        <v>3</v>
      </c>
      <c r="Z455" s="116">
        <v>3</v>
      </c>
      <c r="AA455" s="122">
        <v>6</v>
      </c>
      <c r="AB455" s="116">
        <v>24.3</v>
      </c>
      <c r="AC455" s="122">
        <v>6</v>
      </c>
      <c r="AD455" s="122">
        <v>4.7</v>
      </c>
      <c r="AE455" s="79">
        <v>0.13</v>
      </c>
      <c r="AF455" s="79">
        <v>0.13</v>
      </c>
      <c r="AG455" s="85">
        <f>(O455+0.3*H455+2)*(F455/2/AK455)</f>
        <v>1884.27</v>
      </c>
      <c r="AH455" s="85">
        <f t="shared" si="54"/>
        <v>1964.00508928</v>
      </c>
      <c r="AI455" s="85">
        <f t="shared" si="55"/>
        <v>1.0423161698058134</v>
      </c>
      <c r="AJ455" s="116">
        <v>3</v>
      </c>
      <c r="AK455" s="116">
        <v>4</v>
      </c>
      <c r="AL455" s="122">
        <v>6.4</v>
      </c>
      <c r="AM455" s="116">
        <v>24.8</v>
      </c>
      <c r="AN455" s="122">
        <v>6.1</v>
      </c>
      <c r="AO455" s="122">
        <v>5.0999999999999996</v>
      </c>
      <c r="AP455" s="79">
        <v>0.25</v>
      </c>
      <c r="AQ455" s="79">
        <v>0.13</v>
      </c>
      <c r="AR455" s="132">
        <f>SUM(C455:E455)</f>
        <v>2185</v>
      </c>
      <c r="AS455" s="134">
        <f>C455/AR455</f>
        <v>0.12219679633867277</v>
      </c>
      <c r="AT455" s="134">
        <f>D455/AR455</f>
        <v>0.75102974828375291</v>
      </c>
      <c r="AU455" s="134">
        <f>E455/AR455</f>
        <v>0.12677345537757437</v>
      </c>
      <c r="AV455" s="151">
        <f>IF(AND(F455&lt;&gt;"",Z455&lt;&gt;""),AB455/(F455/2/Z455),"")</f>
        <v>6.2095400340715506E-2</v>
      </c>
      <c r="AW455" s="151">
        <f>IF(AND(F455&lt;&gt;"",AK455&lt;&gt;""),AM455/(F455/2/AK455),"")</f>
        <v>8.4497444633730837E-2</v>
      </c>
      <c r="AX455" s="43">
        <f>IF(AND(AQ455&lt;&gt;"",1-(AQ455/O455)&gt;0),1-(AQ455/O455),"")</f>
        <v>0.9</v>
      </c>
      <c r="AY455" s="41">
        <f>IF(AND(AF455&lt;&gt;"",1-(AF455/O455)&gt;0),1-(AF455/O455),"")</f>
        <v>0.9</v>
      </c>
      <c r="AZ455" s="136" t="str">
        <f>IF(Q455="","",IF(Q455&lt;2.5,"Alc. Bruta &lt; 2,5 mg/L",IF(Q455&lt;5,"2,5 ≤ Alc. Bruta &lt; 5,0 mg/L",IF(Q455&lt;7.5,"5,0 ≤ Alc. Bruta &lt; 7,5 mg/L",IF(Q455&lt;10,"7,5 ≤ Alc. Bruta &lt; 10,0 mg/L",IF(Q455&lt;15,"10,0 ≤ Alca. Bruta &lt; 15,0 mg/L","Alc. Bruta &gt; 15 mg/L"))))))</f>
        <v>5,0 ≤ Alc. Bruta &lt; 7,5 mg/L</v>
      </c>
      <c r="BA455" s="136" t="str">
        <f>IF(P455="","",IF(P455&lt;5,"Cor &lt;5 uC",IF(P455&lt;10,"5 ≤ Cor &lt; 10 uC",IF(P455&lt;15,"10 ≤ Cor &lt;15 uC",IF(P455&lt;30,"15 ≤ Cor &lt; 30 uC",IF(P455&lt;50,"30 ≤ Cor &lt; 50 uC","Cor &gt; 50 uC"))))))</f>
        <v>5 ≤ Cor &lt; 10 uC</v>
      </c>
      <c r="BB455" s="137" t="str">
        <f>IF(O455="","",IF(O455&lt;2.5,"Turbidez &lt; 2,5 uT",IF(O455&lt;5,"2,5 ≤ Turb &lt; 5,0 uT",IF(O455&lt;7.5,"5,0 ≤ Turb &lt; 7,5 uT",IF(O455&lt;10,"7,5 ≤ Turb &lt; 10,0 uT",IF(O455&lt;15,"10,0 ≤ Turb &lt; 15,0 uT","Turb &gt; 15 uT"))))))</f>
        <v>Turbidez &lt; 2,5 uT</v>
      </c>
      <c r="BC455" s="138" t="str">
        <f>IF(AND(C455&gt;D455,D455&gt;E455),"TOR &gt; SM &gt; BNN",IF(AND(C455&gt;E455,E455&gt;D455),"TOR &gt; BNN &gt; SM",IF(AND(D455&gt;C455,C455&gt;E455),"SM &gt; TOR &gt; BNN",IF(AND(D455&gt;E455,E455&gt;C455),"SM &gt; BNN &gt; TOR",IF(AND(C455=D455,D455=E455),"TOR = SM = BNN","Comb. diferentes")))))</f>
        <v>SM &gt; BNN &gt; TOR</v>
      </c>
      <c r="BD455" s="137" t="str">
        <f>IF(OR(AE455="",AQ455="-"),"",IF(AE455&lt;=0.25,"Tipo 1 (≤0,25) uT",IF(AE455&lt;=0.5,"Tipo 2 (0,25-0,50) uT",IF(AE455&lt;=0.75,"Tipo 3 (0,50-0,75) uT","Tipo 4 (&gt;0,75) uT"))))</f>
        <v>Tipo 1 (≤0,25) uT</v>
      </c>
      <c r="BE455" s="137" t="str">
        <f t="shared" si="49"/>
        <v>Tipo 1 (≤0,25) uT</v>
      </c>
      <c r="BF455" s="137" t="str">
        <f>IF(OR(AF455="",AQ455="-"),"",IF(AF455&lt;=0.25,"Tipo 1 (≤0,25) uT",IF(AF455&lt;=0.5,"Tipo 2 (0,25-0,50) uT",IF(AF455&lt;=0.75,"Tipo 3 (0,50-0,75) uT","Tipo 4 (&gt;0,75) uT"))))</f>
        <v>Tipo 1 (≤0,25) uT</v>
      </c>
      <c r="BG455" s="137" t="str">
        <f t="shared" si="50"/>
        <v>Tipo 1 (≤0,25) uT</v>
      </c>
      <c r="BH455" s="137" t="str">
        <f>IF(OR(R455="",R455="-"),"",IF(R455&lt;=0.25,"Tipo 1 (≤0,25) uT",IF(R455&lt;=0.5,"Tipo 2 (0,25-0,50) uT",IF(R455&lt;=0.75,"Tipo 3 (0,50-0,75) uT","Tipo 4 (&gt;0,75) uT"))))</f>
        <v>Tipo 1 (≤0,25) uT</v>
      </c>
    </row>
    <row r="456" spans="1:60" x14ac:dyDescent="0.3">
      <c r="A456" s="74">
        <v>46309</v>
      </c>
      <c r="B456" s="139">
        <v>0.89583333333333337</v>
      </c>
      <c r="C456" s="116">
        <v>270</v>
      </c>
      <c r="D456" s="116">
        <v>1600</v>
      </c>
      <c r="E456" s="116">
        <v>276</v>
      </c>
      <c r="F456" s="116">
        <v>2343</v>
      </c>
      <c r="G456" s="144" t="s">
        <v>100</v>
      </c>
      <c r="H456" s="122">
        <v>10.4</v>
      </c>
      <c r="I456" s="116">
        <v>26</v>
      </c>
      <c r="J456" s="10">
        <v>90</v>
      </c>
      <c r="K456" s="116">
        <v>90</v>
      </c>
      <c r="L456" s="116">
        <v>90</v>
      </c>
      <c r="M456" s="122">
        <v>26.7</v>
      </c>
      <c r="N456" s="122">
        <v>6.4</v>
      </c>
      <c r="O456" s="79">
        <v>1.2</v>
      </c>
      <c r="P456" s="116">
        <v>9</v>
      </c>
      <c r="Q456" s="122">
        <v>6.7</v>
      </c>
      <c r="R456" s="10">
        <v>0.2</v>
      </c>
      <c r="S456" s="79">
        <v>22.36</v>
      </c>
      <c r="T456" s="79">
        <v>0.88</v>
      </c>
      <c r="U456" s="79">
        <v>0.7</v>
      </c>
      <c r="V456" s="85">
        <f t="shared" si="51"/>
        <v>2467.96</v>
      </c>
      <c r="W456" s="85">
        <f t="shared" si="52"/>
        <v>1752.3442559999999</v>
      </c>
      <c r="X456" s="85">
        <f t="shared" si="53"/>
        <v>0.71003754355824233</v>
      </c>
      <c r="Y456" s="116">
        <v>3</v>
      </c>
      <c r="Z456" s="116">
        <v>3</v>
      </c>
      <c r="AA456" s="122">
        <v>6</v>
      </c>
      <c r="AB456" s="116">
        <v>24</v>
      </c>
      <c r="AC456" s="122">
        <v>6</v>
      </c>
      <c r="AD456" s="122">
        <v>5.0999999999999996</v>
      </c>
      <c r="AE456" s="79">
        <v>0.19</v>
      </c>
      <c r="AF456" s="79">
        <v>0.13</v>
      </c>
      <c r="AG456" s="85">
        <f>(O456+0.3*H456+2)*(F456/2/AK456)</f>
        <v>1850.97</v>
      </c>
      <c r="AH456" s="85">
        <f t="shared" si="54"/>
        <v>1979.8438399999998</v>
      </c>
      <c r="AI456" s="85">
        <f t="shared" si="55"/>
        <v>1.0696250290388281</v>
      </c>
      <c r="AJ456" s="116">
        <v>3</v>
      </c>
      <c r="AK456" s="116">
        <v>4</v>
      </c>
      <c r="AL456" s="122">
        <v>6.4</v>
      </c>
      <c r="AM456" s="116">
        <v>25</v>
      </c>
      <c r="AN456" s="122">
        <v>6</v>
      </c>
      <c r="AO456" s="122">
        <v>4.5999999999999996</v>
      </c>
      <c r="AP456" s="79">
        <v>0.22</v>
      </c>
      <c r="AQ456" s="79">
        <v>0.12</v>
      </c>
      <c r="AR456" s="132">
        <f>SUM(C456:E456)</f>
        <v>2146</v>
      </c>
      <c r="AS456" s="134">
        <f>C456/AR456</f>
        <v>0.12581547064305684</v>
      </c>
      <c r="AT456" s="134">
        <f>D456/AR456</f>
        <v>0.74557315936626278</v>
      </c>
      <c r="AU456" s="134">
        <f>E456/AR456</f>
        <v>0.12861136999068035</v>
      </c>
      <c r="AV456" s="151">
        <f>IF(AND(F456&lt;&gt;"",Z456&lt;&gt;""),AB456/(F456/2/Z456),"")</f>
        <v>6.1459667093469908E-2</v>
      </c>
      <c r="AW456" s="151">
        <f>IF(AND(F456&lt;&gt;"",AK456&lt;&gt;""),AM456/(F456/2/AK456),"")</f>
        <v>8.5360648740930425E-2</v>
      </c>
      <c r="AX456" s="43">
        <f>IF(AND(AQ456&lt;&gt;"",1-(AQ456/O456)&gt;0),1-(AQ456/O456),"")</f>
        <v>0.9</v>
      </c>
      <c r="AY456" s="41">
        <f>IF(AND(AF456&lt;&gt;"",1-(AF456/O456)&gt;0),1-(AF456/O456),"")</f>
        <v>0.89166666666666661</v>
      </c>
      <c r="AZ456" s="136" t="str">
        <f>IF(Q456="","",IF(Q456&lt;2.5,"Alc. Bruta &lt; 2,5 mg/L",IF(Q456&lt;5,"2,5 ≤ Alc. Bruta &lt; 5,0 mg/L",IF(Q456&lt;7.5,"5,0 ≤ Alc. Bruta &lt; 7,5 mg/L",IF(Q456&lt;10,"7,5 ≤ Alc. Bruta &lt; 10,0 mg/L",IF(Q456&lt;15,"10,0 ≤ Alca. Bruta &lt; 15,0 mg/L","Alc. Bruta &gt; 15 mg/L"))))))</f>
        <v>5,0 ≤ Alc. Bruta &lt; 7,5 mg/L</v>
      </c>
      <c r="BA456" s="136" t="str">
        <f>IF(P456="","",IF(P456&lt;5,"Cor &lt;5 uC",IF(P456&lt;10,"5 ≤ Cor &lt; 10 uC",IF(P456&lt;15,"10 ≤ Cor &lt;15 uC",IF(P456&lt;30,"15 ≤ Cor &lt; 30 uC",IF(P456&lt;50,"30 ≤ Cor &lt; 50 uC","Cor &gt; 50 uC"))))))</f>
        <v>5 ≤ Cor &lt; 10 uC</v>
      </c>
      <c r="BB456" s="137" t="str">
        <f>IF(O456="","",IF(O456&lt;2.5,"Turbidez &lt; 2,5 uT",IF(O456&lt;5,"2,5 ≤ Turb &lt; 5,0 uT",IF(O456&lt;7.5,"5,0 ≤ Turb &lt; 7,5 uT",IF(O456&lt;10,"7,5 ≤ Turb &lt; 10,0 uT",IF(O456&lt;15,"10,0 ≤ Turb &lt; 15,0 uT","Turb &gt; 15 uT"))))))</f>
        <v>Turbidez &lt; 2,5 uT</v>
      </c>
      <c r="BC456" s="138" t="str">
        <f>IF(AND(C456&gt;D456,D456&gt;E456),"TOR &gt; SM &gt; BNN",IF(AND(C456&gt;E456,E456&gt;D456),"TOR &gt; BNN &gt; SM",IF(AND(D456&gt;C456,C456&gt;E456),"SM &gt; TOR &gt; BNN",IF(AND(D456&gt;E456,E456&gt;C456),"SM &gt; BNN &gt; TOR",IF(AND(C456=D456,D456=E456),"TOR = SM = BNN","Comb. diferentes")))))</f>
        <v>SM &gt; BNN &gt; TOR</v>
      </c>
      <c r="BD456" s="137" t="str">
        <f>IF(OR(AE456="",AQ456="-"),"",IF(AE456&lt;=0.25,"Tipo 1 (≤0,25) uT",IF(AE456&lt;=0.5,"Tipo 2 (0,25-0,50) uT",IF(AE456&lt;=0.75,"Tipo 3 (0,50-0,75) uT","Tipo 4 (&gt;0,75) uT"))))</f>
        <v>Tipo 1 (≤0,25) uT</v>
      </c>
      <c r="BE456" s="137" t="str">
        <f t="shared" si="49"/>
        <v>Tipo 1 (≤0,25) uT</v>
      </c>
      <c r="BF456" s="137" t="str">
        <f>IF(OR(AF456="",AQ456="-"),"",IF(AF456&lt;=0.25,"Tipo 1 (≤0,25) uT",IF(AF456&lt;=0.5,"Tipo 2 (0,25-0,50) uT",IF(AF456&lt;=0.75,"Tipo 3 (0,50-0,75) uT","Tipo 4 (&gt;0,75) uT"))))</f>
        <v>Tipo 1 (≤0,25) uT</v>
      </c>
      <c r="BG456" s="137" t="str">
        <f t="shared" si="50"/>
        <v>Tipo 1 (≤0,25) uT</v>
      </c>
      <c r="BH456" s="137" t="str">
        <f>IF(OR(R456="",R456="-"),"",IF(R456&lt;=0.25,"Tipo 1 (≤0,25) uT",IF(R456&lt;=0.5,"Tipo 2 (0,25-0,50) uT",IF(R456&lt;=0.75,"Tipo 3 (0,50-0,75) uT","Tipo 4 (&gt;0,75) uT"))))</f>
        <v>Tipo 1 (≤0,25) uT</v>
      </c>
    </row>
    <row r="457" spans="1:60" ht="15" thickBot="1" x14ac:dyDescent="0.35">
      <c r="A457" s="74">
        <v>46310</v>
      </c>
      <c r="B457" s="139">
        <v>6.25E-2</v>
      </c>
      <c r="C457" s="116">
        <v>270</v>
      </c>
      <c r="D457" s="116">
        <v>1588</v>
      </c>
      <c r="E457" s="116">
        <v>277</v>
      </c>
      <c r="F457" s="116">
        <v>2344</v>
      </c>
      <c r="G457" s="144" t="s">
        <v>100</v>
      </c>
      <c r="H457" s="122">
        <v>10.4</v>
      </c>
      <c r="I457" s="116">
        <v>37</v>
      </c>
      <c r="J457" s="10">
        <v>90</v>
      </c>
      <c r="K457" s="116">
        <v>90</v>
      </c>
      <c r="L457" s="116">
        <v>90</v>
      </c>
      <c r="M457" s="122">
        <v>26</v>
      </c>
      <c r="N457" s="122">
        <v>6.3</v>
      </c>
      <c r="O457" s="79">
        <v>1.31</v>
      </c>
      <c r="P457" s="116">
        <v>13</v>
      </c>
      <c r="Q457" s="122">
        <v>6.9</v>
      </c>
      <c r="R457" s="10">
        <v>0.19</v>
      </c>
      <c r="S457" s="79">
        <v>22.36</v>
      </c>
      <c r="T457" s="79">
        <v>0.88</v>
      </c>
      <c r="U457" s="79">
        <v>0.7</v>
      </c>
      <c r="V457" s="85">
        <f t="shared" si="51"/>
        <v>2511.9866666666667</v>
      </c>
      <c r="W457" s="85">
        <f t="shared" si="52"/>
        <v>1715.2677983999997</v>
      </c>
      <c r="X457" s="85">
        <f t="shared" si="53"/>
        <v>0.68283316195945831</v>
      </c>
      <c r="Y457" s="116">
        <v>3</v>
      </c>
      <c r="Z457" s="116">
        <v>3</v>
      </c>
      <c r="AA457" s="122">
        <v>5.9</v>
      </c>
      <c r="AB457" s="116">
        <v>24</v>
      </c>
      <c r="AC457" s="122">
        <v>6</v>
      </c>
      <c r="AD457" s="122">
        <v>5</v>
      </c>
      <c r="AE457" s="79">
        <v>0.25</v>
      </c>
      <c r="AF457" s="79">
        <v>0.12</v>
      </c>
      <c r="AG457" s="85">
        <f>(O457+0.3*H457+2)*(F457/2/AK457)</f>
        <v>1883.99</v>
      </c>
      <c r="AH457" s="85">
        <f t="shared" si="54"/>
        <v>1979.8438399999998</v>
      </c>
      <c r="AI457" s="85">
        <f t="shared" si="55"/>
        <v>1.0508781044485374</v>
      </c>
      <c r="AJ457" s="116">
        <v>3</v>
      </c>
      <c r="AK457" s="116">
        <v>4</v>
      </c>
      <c r="AL457" s="122">
        <v>6.4</v>
      </c>
      <c r="AM457" s="116">
        <v>25</v>
      </c>
      <c r="AN457" s="122">
        <v>6.1</v>
      </c>
      <c r="AO457" s="122">
        <v>5</v>
      </c>
      <c r="AP457" s="79">
        <v>0.32</v>
      </c>
      <c r="AQ457" s="79">
        <v>0.14000000000000001</v>
      </c>
      <c r="AR457" s="132">
        <f>SUM(C457:E457)</f>
        <v>2135</v>
      </c>
      <c r="AS457" s="134">
        <f>C457/AR457</f>
        <v>0.12646370023419204</v>
      </c>
      <c r="AT457" s="134">
        <f>D457/AR457</f>
        <v>0.74379391100702574</v>
      </c>
      <c r="AU457" s="134">
        <f>E457/AR457</f>
        <v>0.12974238875878219</v>
      </c>
      <c r="AV457" s="151">
        <f>IF(AND(F457&lt;&gt;"",Z457&lt;&gt;""),AB457/(F457/2/Z457),"")</f>
        <v>6.1433447098976107E-2</v>
      </c>
      <c r="AW457" s="151">
        <f>IF(AND(F457&lt;&gt;"",AK457&lt;&gt;""),AM457/(F457/2/AK457),"")</f>
        <v>8.5324232081911269E-2</v>
      </c>
      <c r="AX457" s="43">
        <f>IF(AND(AQ457&lt;&gt;"",1-(AQ457/O457)&gt;0),1-(AQ457/O457),"")</f>
        <v>0.89312977099236646</v>
      </c>
      <c r="AY457" s="41">
        <f>IF(AND(AF457&lt;&gt;"",1-(AF457/O457)&gt;0),1-(AF457/O457),"")</f>
        <v>0.90839694656488557</v>
      </c>
      <c r="AZ457" s="136" t="str">
        <f>IF(Q457="","",IF(Q457&lt;2.5,"Alc. Bruta &lt; 2,5 mg/L",IF(Q457&lt;5,"2,5 ≤ Alc. Bruta &lt; 5,0 mg/L",IF(Q457&lt;7.5,"5,0 ≤ Alc. Bruta &lt; 7,5 mg/L",IF(Q457&lt;10,"7,5 ≤ Alc. Bruta &lt; 10,0 mg/L",IF(Q457&lt;15,"10,0 ≤ Alca. Bruta &lt; 15,0 mg/L","Alc. Bruta &gt; 15 mg/L"))))))</f>
        <v>5,0 ≤ Alc. Bruta &lt; 7,5 mg/L</v>
      </c>
      <c r="BA457" s="136" t="str">
        <f>IF(P457="","",IF(P457&lt;5,"Cor &lt;5 uC",IF(P457&lt;10,"5 ≤ Cor &lt; 10 uC",IF(P457&lt;15,"10 ≤ Cor &lt;15 uC",IF(P457&lt;30,"15 ≤ Cor &lt; 30 uC",IF(P457&lt;50,"30 ≤ Cor &lt; 50 uC","Cor &gt; 50 uC"))))))</f>
        <v>10 ≤ Cor &lt;15 uC</v>
      </c>
      <c r="BB457" s="137" t="str">
        <f>IF(O457="","",IF(O457&lt;2.5,"Turbidez &lt; 2,5 uT",IF(O457&lt;5,"2,5 ≤ Turb &lt; 5,0 uT",IF(O457&lt;7.5,"5,0 ≤ Turb &lt; 7,5 uT",IF(O457&lt;10,"7,5 ≤ Turb &lt; 10,0 uT",IF(O457&lt;15,"10,0 ≤ Turb &lt; 15,0 uT","Turb &gt; 15 uT"))))))</f>
        <v>Turbidez &lt; 2,5 uT</v>
      </c>
      <c r="BC457" s="138" t="str">
        <f>IF(AND(C457&gt;D457,D457&gt;E457),"TOR &gt; SM &gt; BNN",IF(AND(C457&gt;E457,E457&gt;D457),"TOR &gt; BNN &gt; SM",IF(AND(D457&gt;C457,C457&gt;E457),"SM &gt; TOR &gt; BNN",IF(AND(D457&gt;E457,E457&gt;C457),"SM &gt; BNN &gt; TOR",IF(AND(C457=D457,D457=E457),"TOR = SM = BNN","Comb. diferentes")))))</f>
        <v>SM &gt; BNN &gt; TOR</v>
      </c>
      <c r="BD457" s="137" t="str">
        <f>IF(OR(AE457="",AQ457="-"),"",IF(AE457&lt;=0.25,"Tipo 1 (≤0,25) uT",IF(AE457&lt;=0.5,"Tipo 2 (0,25-0,50) uT",IF(AE457&lt;=0.75,"Tipo 3 (0,50-0,75) uT","Tipo 4 (&gt;0,75) uT"))))</f>
        <v>Tipo 1 (≤0,25) uT</v>
      </c>
      <c r="BE457" s="137" t="str">
        <f t="shared" si="49"/>
        <v>Tipo 2 (0,25-0,50) uT</v>
      </c>
      <c r="BF457" s="137" t="str">
        <f>IF(OR(AF457="",AQ457="-"),"",IF(AF457&lt;=0.25,"Tipo 1 (≤0,25) uT",IF(AF457&lt;=0.5,"Tipo 2 (0,25-0,50) uT",IF(AF457&lt;=0.75,"Tipo 3 (0,50-0,75) uT","Tipo 4 (&gt;0,75) uT"))))</f>
        <v>Tipo 1 (≤0,25) uT</v>
      </c>
      <c r="BG457" s="137" t="str">
        <f t="shared" si="50"/>
        <v>Tipo 1 (≤0,25) uT</v>
      </c>
      <c r="BH457" s="137" t="str">
        <f>IF(OR(R457="",R457="-"),"",IF(R457&lt;=0.25,"Tipo 1 (≤0,25) uT",IF(R457&lt;=0.5,"Tipo 2 (0,25-0,50) uT",IF(R457&lt;=0.75,"Tipo 3 (0,50-0,75) uT","Tipo 4 (&gt;0,75) uT"))))</f>
        <v>Tipo 1 (≤0,25) uT</v>
      </c>
    </row>
    <row r="458" spans="1:60" ht="15" thickBot="1" x14ac:dyDescent="0.35">
      <c r="A458" s="74">
        <v>46310</v>
      </c>
      <c r="B458" s="139">
        <v>0.8125</v>
      </c>
      <c r="C458" s="118">
        <v>0</v>
      </c>
      <c r="D458" s="116">
        <v>1976</v>
      </c>
      <c r="E458" s="116">
        <v>280</v>
      </c>
      <c r="F458" s="116">
        <v>1953</v>
      </c>
      <c r="G458" s="144" t="s">
        <v>100</v>
      </c>
      <c r="H458" s="122">
        <v>10.4</v>
      </c>
      <c r="I458" s="116">
        <v>37</v>
      </c>
      <c r="J458" s="10">
        <v>90</v>
      </c>
      <c r="K458" s="116">
        <v>90</v>
      </c>
      <c r="L458" s="116">
        <v>90</v>
      </c>
      <c r="M458" s="122">
        <v>24.9</v>
      </c>
      <c r="N458" s="122">
        <v>6.5</v>
      </c>
      <c r="O458" s="79">
        <v>1.35</v>
      </c>
      <c r="P458" s="116">
        <v>10</v>
      </c>
      <c r="Q458" s="122">
        <v>7</v>
      </c>
      <c r="R458" s="10">
        <v>0.1</v>
      </c>
      <c r="S458" s="79">
        <v>22.36</v>
      </c>
      <c r="T458" s="79">
        <v>0.88</v>
      </c>
      <c r="U458" s="79">
        <v>0.7</v>
      </c>
      <c r="V458" s="85">
        <f t="shared" si="51"/>
        <v>2105.9850000000001</v>
      </c>
      <c r="W458" s="85">
        <f t="shared" si="52"/>
        <v>1789.4207135999998</v>
      </c>
      <c r="X458" s="85">
        <f t="shared" si="53"/>
        <v>0.84968350372865886</v>
      </c>
      <c r="Y458" s="116">
        <v>3</v>
      </c>
      <c r="Z458" s="116">
        <v>3</v>
      </c>
      <c r="AA458" s="122">
        <v>6.1</v>
      </c>
      <c r="AB458" s="116">
        <v>24</v>
      </c>
      <c r="AC458" s="122">
        <v>6.1</v>
      </c>
      <c r="AD458" s="122">
        <v>5.4</v>
      </c>
      <c r="AE458" s="79">
        <v>0.14000000000000001</v>
      </c>
      <c r="AF458" s="79">
        <v>0.32</v>
      </c>
      <c r="AG458" s="85">
        <f>(O458+0.3*H458+2)*(F458/2/AK458)</f>
        <v>1579.4887500000002</v>
      </c>
      <c r="AH458" s="85">
        <f t="shared" si="54"/>
        <v>1979.8438399999998</v>
      </c>
      <c r="AI458" s="85">
        <f t="shared" si="55"/>
        <v>1.2534713146896421</v>
      </c>
      <c r="AJ458" s="116">
        <v>3</v>
      </c>
      <c r="AK458" s="116">
        <v>4</v>
      </c>
      <c r="AL458" s="122">
        <v>6.4</v>
      </c>
      <c r="AM458" s="116">
        <v>25</v>
      </c>
      <c r="AN458" s="122">
        <v>6.1</v>
      </c>
      <c r="AO458" s="122">
        <v>5.0999999999999996</v>
      </c>
      <c r="AP458" s="79">
        <v>0.14000000000000001</v>
      </c>
      <c r="AQ458" s="79">
        <v>0.13</v>
      </c>
      <c r="AR458" s="132">
        <f>SUM(C458:E458)</f>
        <v>2256</v>
      </c>
      <c r="AS458" s="134">
        <f>C458/AR458</f>
        <v>0</v>
      </c>
      <c r="AT458" s="134">
        <f>D458/AR458</f>
        <v>0.87588652482269502</v>
      </c>
      <c r="AU458" s="134">
        <f>E458/AR458</f>
        <v>0.12411347517730496</v>
      </c>
      <c r="AV458" s="151">
        <f>IF(AND(F458&lt;&gt;"",Z458&lt;&gt;""),AB458/(F458/2/Z458),"")</f>
        <v>7.3732718894009217E-2</v>
      </c>
      <c r="AW458" s="151">
        <f>IF(AND(F458&lt;&gt;"",AK458&lt;&gt;""),AM458/(F458/2/AK458),"")</f>
        <v>0.10240655401945725</v>
      </c>
      <c r="AX458" s="43">
        <f>IF(AND(AQ458&lt;&gt;"",1-(AQ458/O458)&gt;0),1-(AQ458/O458),"")</f>
        <v>0.90370370370370368</v>
      </c>
      <c r="AY458" s="41">
        <f>IF(AND(AF458&lt;&gt;"",1-(AF458/O458)&gt;0),1-(AF458/O458),"")</f>
        <v>0.76296296296296295</v>
      </c>
      <c r="AZ458" s="136" t="str">
        <f>IF(Q458="","",IF(Q458&lt;2.5,"Alc. Bruta &lt; 2,5 mg/L",IF(Q458&lt;5,"2,5 ≤ Alc. Bruta &lt; 5,0 mg/L",IF(Q458&lt;7.5,"5,0 ≤ Alc. Bruta &lt; 7,5 mg/L",IF(Q458&lt;10,"7,5 ≤ Alc. Bruta &lt; 10,0 mg/L",IF(Q458&lt;15,"10,0 ≤ Alca. Bruta &lt; 15,0 mg/L","Alc. Bruta &gt; 15 mg/L"))))))</f>
        <v>5,0 ≤ Alc. Bruta &lt; 7,5 mg/L</v>
      </c>
      <c r="BA458" s="136" t="str">
        <f>IF(P458="","",IF(P458&lt;5,"Cor &lt;5 uC",IF(P458&lt;10,"5 ≤ Cor &lt; 10 uC",IF(P458&lt;15,"10 ≤ Cor &lt;15 uC",IF(P458&lt;30,"15 ≤ Cor &lt; 30 uC",IF(P458&lt;50,"30 ≤ Cor &lt; 50 uC","Cor &gt; 50 uC"))))))</f>
        <v>10 ≤ Cor &lt;15 uC</v>
      </c>
      <c r="BB458" s="137" t="str">
        <f>IF(O458="","",IF(O458&lt;2.5,"Turbidez &lt; 2,5 uT",IF(O458&lt;5,"2,5 ≤ Turb &lt; 5,0 uT",IF(O458&lt;7.5,"5,0 ≤ Turb &lt; 7,5 uT",IF(O458&lt;10,"7,5 ≤ Turb &lt; 10,0 uT",IF(O458&lt;15,"10,0 ≤ Turb &lt; 15,0 uT","Turb &gt; 15 uT"))))))</f>
        <v>Turbidez &lt; 2,5 uT</v>
      </c>
      <c r="BC458" s="138" t="str">
        <f>IF(AND(C458&gt;D458,D458&gt;E458),"TOR &gt; SM &gt; BNN",IF(AND(C458&gt;E458,E458&gt;D458),"TOR &gt; BNN &gt; SM",IF(AND(D458&gt;C458,C458&gt;E458),"SM &gt; TOR &gt; BNN",IF(AND(D458&gt;E458,E458&gt;C458),"SM &gt; BNN &gt; TOR",IF(AND(C458=D458,D458=E458),"TOR = SM = BNN","Comb. diferentes")))))</f>
        <v>SM &gt; BNN &gt; TOR</v>
      </c>
      <c r="BD458" s="137" t="str">
        <f>IF(OR(AE458="",AQ458="-"),"",IF(AE458&lt;=0.25,"Tipo 1 (≤0,25) uT",IF(AE458&lt;=0.5,"Tipo 2 (0,25-0,50) uT",IF(AE458&lt;=0.75,"Tipo 3 (0,50-0,75) uT","Tipo 4 (&gt;0,75) uT"))))</f>
        <v>Tipo 1 (≤0,25) uT</v>
      </c>
      <c r="BE458" s="137" t="str">
        <f t="shared" si="49"/>
        <v>Tipo 1 (≤0,25) uT</v>
      </c>
      <c r="BF458" s="137" t="str">
        <f>IF(OR(AF458="",AQ458="-"),"",IF(AF458&lt;=0.25,"Tipo 1 (≤0,25) uT",IF(AF458&lt;=0.5,"Tipo 2 (0,25-0,50) uT",IF(AF458&lt;=0.75,"Tipo 3 (0,50-0,75) uT","Tipo 4 (&gt;0,75) uT"))))</f>
        <v>Tipo 2 (0,25-0,50) uT</v>
      </c>
      <c r="BG458" s="137" t="str">
        <f t="shared" si="50"/>
        <v>Tipo 1 (≤0,25) uT</v>
      </c>
      <c r="BH458" s="137" t="str">
        <f>IF(OR(R458="",R458="-"),"",IF(R458&lt;=0.25,"Tipo 1 (≤0,25) uT",IF(R458&lt;=0.5,"Tipo 2 (0,25-0,50) uT",IF(R458&lt;=0.75,"Tipo 3 (0,50-0,75) uT","Tipo 4 (&gt;0,75) uT"))))</f>
        <v>Tipo 1 (≤0,25) uT</v>
      </c>
    </row>
    <row r="459" spans="1:60" ht="15" thickBot="1" x14ac:dyDescent="0.35">
      <c r="A459" s="74">
        <v>46310</v>
      </c>
      <c r="B459" s="139">
        <v>0.89583333333333337</v>
      </c>
      <c r="C459" s="118">
        <v>0</v>
      </c>
      <c r="D459" s="116">
        <v>1995</v>
      </c>
      <c r="E459" s="116">
        <v>279</v>
      </c>
      <c r="F459" s="116">
        <v>1953</v>
      </c>
      <c r="G459" s="144" t="s">
        <v>100</v>
      </c>
      <c r="H459" s="122">
        <v>10.4</v>
      </c>
      <c r="I459" s="116">
        <v>37</v>
      </c>
      <c r="J459" s="10">
        <v>90</v>
      </c>
      <c r="K459" s="116">
        <v>90</v>
      </c>
      <c r="L459" s="116">
        <v>90</v>
      </c>
      <c r="M459" s="122">
        <v>24.8</v>
      </c>
      <c r="N459" s="122">
        <v>6.4</v>
      </c>
      <c r="O459" s="79">
        <v>1.39</v>
      </c>
      <c r="P459" s="116">
        <v>10</v>
      </c>
      <c r="Q459" s="122">
        <v>7.5</v>
      </c>
      <c r="R459" s="10">
        <v>0.11</v>
      </c>
      <c r="S459" s="79">
        <v>22.36</v>
      </c>
      <c r="T459" s="79">
        <v>0.88</v>
      </c>
      <c r="U459" s="79">
        <v>0.7</v>
      </c>
      <c r="V459" s="85">
        <f t="shared" si="51"/>
        <v>2119.0050000000001</v>
      </c>
      <c r="W459" s="85">
        <f t="shared" si="52"/>
        <v>1826.4971712000001</v>
      </c>
      <c r="X459" s="85">
        <f t="shared" si="53"/>
        <v>0.86195982133123805</v>
      </c>
      <c r="Y459" s="116">
        <v>3</v>
      </c>
      <c r="Z459" s="116">
        <v>3</v>
      </c>
      <c r="AA459" s="122">
        <v>6.2</v>
      </c>
      <c r="AB459" s="116">
        <v>24</v>
      </c>
      <c r="AC459" s="122">
        <v>6.2</v>
      </c>
      <c r="AD459" s="122">
        <v>5.4</v>
      </c>
      <c r="AE459" s="79">
        <v>0.13</v>
      </c>
      <c r="AF459" s="79">
        <v>0.3</v>
      </c>
      <c r="AG459" s="85">
        <f>(O459+0.3*H459+2)*(F459/2/AK459)</f>
        <v>1589.2537499999999</v>
      </c>
      <c r="AH459" s="85">
        <f t="shared" si="54"/>
        <v>1979.8438399999998</v>
      </c>
      <c r="AI459" s="85">
        <f t="shared" si="55"/>
        <v>1.2457694940156661</v>
      </c>
      <c r="AJ459" s="116">
        <v>3</v>
      </c>
      <c r="AK459" s="116">
        <v>4</v>
      </c>
      <c r="AL459" s="122">
        <v>6.4</v>
      </c>
      <c r="AM459" s="116">
        <v>25</v>
      </c>
      <c r="AN459" s="122">
        <v>6.2</v>
      </c>
      <c r="AO459" s="122">
        <v>5.4</v>
      </c>
      <c r="AP459" s="79">
        <v>0.12</v>
      </c>
      <c r="AQ459" s="79">
        <v>0.02</v>
      </c>
      <c r="AR459" s="132">
        <f>SUM(C459:E459)</f>
        <v>2274</v>
      </c>
      <c r="AS459" s="134">
        <f>C459/AR459</f>
        <v>0</v>
      </c>
      <c r="AT459" s="134">
        <f>D459/AR459</f>
        <v>0.87730870712401055</v>
      </c>
      <c r="AU459" s="134">
        <f>E459/AR459</f>
        <v>0.12269129287598944</v>
      </c>
      <c r="AV459" s="151">
        <f>IF(AND(F459&lt;&gt;"",Z459&lt;&gt;""),AB459/(F459/2/Z459),"")</f>
        <v>7.3732718894009217E-2</v>
      </c>
      <c r="AW459" s="151">
        <f>IF(AND(F459&lt;&gt;"",AK459&lt;&gt;""),AM459/(F459/2/AK459),"")</f>
        <v>0.10240655401945725</v>
      </c>
      <c r="AX459" s="43">
        <f>IF(AND(AQ459&lt;&gt;"",1-(AQ459/O459)&gt;0),1-(AQ459/O459),"")</f>
        <v>0.98561151079136688</v>
      </c>
      <c r="AY459" s="41">
        <f>IF(AND(AF459&lt;&gt;"",1-(AF459/O459)&gt;0),1-(AF459/O459),"")</f>
        <v>0.78417266187050361</v>
      </c>
      <c r="AZ459" s="136" t="str">
        <f>IF(Q459="","",IF(Q459&lt;2.5,"Alc. Bruta &lt; 2,5 mg/L",IF(Q459&lt;5,"2,5 ≤ Alc. Bruta &lt; 5,0 mg/L",IF(Q459&lt;7.5,"5,0 ≤ Alc. Bruta &lt; 7,5 mg/L",IF(Q459&lt;10,"7,5 ≤ Alc. Bruta &lt; 10,0 mg/L",IF(Q459&lt;15,"10,0 ≤ Alca. Bruta &lt; 15,0 mg/L","Alc. Bruta &gt; 15 mg/L"))))))</f>
        <v>7,5 ≤ Alc. Bruta &lt; 10,0 mg/L</v>
      </c>
      <c r="BA459" s="136" t="str">
        <f>IF(P459="","",IF(P459&lt;5,"Cor &lt;5 uC",IF(P459&lt;10,"5 ≤ Cor &lt; 10 uC",IF(P459&lt;15,"10 ≤ Cor &lt;15 uC",IF(P459&lt;30,"15 ≤ Cor &lt; 30 uC",IF(P459&lt;50,"30 ≤ Cor &lt; 50 uC","Cor &gt; 50 uC"))))))</f>
        <v>10 ≤ Cor &lt;15 uC</v>
      </c>
      <c r="BB459" s="137" t="str">
        <f>IF(O459="","",IF(O459&lt;2.5,"Turbidez &lt; 2,5 uT",IF(O459&lt;5,"2,5 ≤ Turb &lt; 5,0 uT",IF(O459&lt;7.5,"5,0 ≤ Turb &lt; 7,5 uT",IF(O459&lt;10,"7,5 ≤ Turb &lt; 10,0 uT",IF(O459&lt;15,"10,0 ≤ Turb &lt; 15,0 uT","Turb &gt; 15 uT"))))))</f>
        <v>Turbidez &lt; 2,5 uT</v>
      </c>
      <c r="BC459" s="138" t="str">
        <f>IF(AND(C459&gt;D459,D459&gt;E459),"TOR &gt; SM &gt; BNN",IF(AND(C459&gt;E459,E459&gt;D459),"TOR &gt; BNN &gt; SM",IF(AND(D459&gt;C459,C459&gt;E459),"SM &gt; TOR &gt; BNN",IF(AND(D459&gt;E459,E459&gt;C459),"SM &gt; BNN &gt; TOR",IF(AND(C459=D459,D459=E459),"TOR = SM = BNN","Comb. diferentes")))))</f>
        <v>SM &gt; BNN &gt; TOR</v>
      </c>
      <c r="BD459" s="137" t="str">
        <f>IF(OR(AE459="",AQ459="-"),"",IF(AE459&lt;=0.25,"Tipo 1 (≤0,25) uT",IF(AE459&lt;=0.5,"Tipo 2 (0,25-0,50) uT",IF(AE459&lt;=0.75,"Tipo 3 (0,50-0,75) uT","Tipo 4 (&gt;0,75) uT"))))</f>
        <v>Tipo 1 (≤0,25) uT</v>
      </c>
      <c r="BE459" s="137" t="str">
        <f t="shared" si="49"/>
        <v>Tipo 1 (≤0,25) uT</v>
      </c>
      <c r="BF459" s="137" t="str">
        <f>IF(OR(AF459="",AQ459="-"),"",IF(AF459&lt;=0.25,"Tipo 1 (≤0,25) uT",IF(AF459&lt;=0.5,"Tipo 2 (0,25-0,50) uT",IF(AF459&lt;=0.75,"Tipo 3 (0,50-0,75) uT","Tipo 4 (&gt;0,75) uT"))))</f>
        <v>Tipo 2 (0,25-0,50) uT</v>
      </c>
      <c r="BG459" s="137" t="str">
        <f t="shared" si="50"/>
        <v>Tipo 1 (≤0,25) uT</v>
      </c>
      <c r="BH459" s="137" t="str">
        <f>IF(OR(R459="",R459="-"),"",IF(R459&lt;=0.25,"Tipo 1 (≤0,25) uT",IF(R459&lt;=0.5,"Tipo 2 (0,25-0,50) uT",IF(R459&lt;=0.75,"Tipo 3 (0,50-0,75) uT","Tipo 4 (&gt;0,75) uT"))))</f>
        <v>Tipo 1 (≤0,25) uT</v>
      </c>
    </row>
    <row r="460" spans="1:60" ht="15" thickBot="1" x14ac:dyDescent="0.35">
      <c r="A460" s="74">
        <v>46310</v>
      </c>
      <c r="B460" s="139">
        <v>0.97916666666666663</v>
      </c>
      <c r="C460" s="118">
        <v>0</v>
      </c>
      <c r="D460" s="116">
        <v>1984</v>
      </c>
      <c r="E460" s="116">
        <v>279</v>
      </c>
      <c r="F460" s="116">
        <v>1961</v>
      </c>
      <c r="G460" s="144" t="s">
        <v>100</v>
      </c>
      <c r="H460" s="122">
        <v>10.4</v>
      </c>
      <c r="I460" s="116">
        <v>37</v>
      </c>
      <c r="J460" s="10">
        <v>90</v>
      </c>
      <c r="K460" s="116">
        <v>90</v>
      </c>
      <c r="L460" s="116">
        <v>90</v>
      </c>
      <c r="M460" s="122">
        <v>24.7</v>
      </c>
      <c r="N460" s="122">
        <v>6.4</v>
      </c>
      <c r="O460" s="79">
        <v>1.44</v>
      </c>
      <c r="P460" s="116">
        <v>11</v>
      </c>
      <c r="Q460" s="122">
        <v>7.9</v>
      </c>
      <c r="R460" s="10">
        <v>0.11</v>
      </c>
      <c r="S460" s="79">
        <v>22.36</v>
      </c>
      <c r="T460" s="79">
        <v>0.88</v>
      </c>
      <c r="U460" s="79">
        <v>0.7</v>
      </c>
      <c r="V460" s="85">
        <f t="shared" si="51"/>
        <v>2144.0266666666666</v>
      </c>
      <c r="W460" s="85">
        <f t="shared" si="52"/>
        <v>1826.4971712000001</v>
      </c>
      <c r="X460" s="85">
        <f t="shared" si="53"/>
        <v>0.85190039825375319</v>
      </c>
      <c r="Y460" s="116">
        <v>3</v>
      </c>
      <c r="Z460" s="116">
        <v>3</v>
      </c>
      <c r="AA460" s="122">
        <v>6.2</v>
      </c>
      <c r="AB460" s="116">
        <v>24</v>
      </c>
      <c r="AC460" s="122">
        <v>6.2</v>
      </c>
      <c r="AD460" s="122">
        <v>5.5</v>
      </c>
      <c r="AE460" s="79">
        <v>0.13</v>
      </c>
      <c r="AF460" s="79">
        <v>0.31</v>
      </c>
      <c r="AG460" s="85">
        <f>(O460+0.3*H460+2)*(F460/2/AK460)</f>
        <v>1608.0200000000002</v>
      </c>
      <c r="AH460" s="85">
        <f t="shared" si="54"/>
        <v>1979.8438399999998</v>
      </c>
      <c r="AI460" s="85">
        <f t="shared" si="55"/>
        <v>1.2312308553376199</v>
      </c>
      <c r="AJ460" s="116">
        <v>3</v>
      </c>
      <c r="AK460" s="116">
        <v>4</v>
      </c>
      <c r="AL460" s="122">
        <v>6.4</v>
      </c>
      <c r="AM460" s="116">
        <v>25</v>
      </c>
      <c r="AN460" s="122">
        <v>6.2</v>
      </c>
      <c r="AO460" s="122">
        <v>5.7</v>
      </c>
      <c r="AP460" s="79">
        <v>0.12</v>
      </c>
      <c r="AQ460" s="79">
        <v>0.24</v>
      </c>
      <c r="AR460" s="132">
        <f>SUM(C460:E460)</f>
        <v>2263</v>
      </c>
      <c r="AS460" s="134">
        <f>C460/AR460</f>
        <v>0</v>
      </c>
      <c r="AT460" s="134">
        <f>D460/AR460</f>
        <v>0.87671232876712324</v>
      </c>
      <c r="AU460" s="134">
        <f>E460/AR460</f>
        <v>0.12328767123287671</v>
      </c>
      <c r="AV460" s="151">
        <f>IF(AND(F460&lt;&gt;"",Z460&lt;&gt;""),AB460/(F460/2/Z460),"")</f>
        <v>7.3431922488526272E-2</v>
      </c>
      <c r="AW460" s="151">
        <f>IF(AND(F460&lt;&gt;"",AK460&lt;&gt;""),AM460/(F460/2/AK460),"")</f>
        <v>0.10198878123406425</v>
      </c>
      <c r="AX460" s="43">
        <f>IF(AND(AQ460&lt;&gt;"",1-(AQ460/O460)&gt;0),1-(AQ460/O460),"")</f>
        <v>0.83333333333333337</v>
      </c>
      <c r="AY460" s="41">
        <f>IF(AND(AF460&lt;&gt;"",1-(AF460/O460)&gt;0),1-(AF460/O460),"")</f>
        <v>0.78472222222222221</v>
      </c>
      <c r="AZ460" s="136" t="str">
        <f>IF(Q460="","",IF(Q460&lt;2.5,"Alc. Bruta &lt; 2,5 mg/L",IF(Q460&lt;5,"2,5 ≤ Alc. Bruta &lt; 5,0 mg/L",IF(Q460&lt;7.5,"5,0 ≤ Alc. Bruta &lt; 7,5 mg/L",IF(Q460&lt;10,"7,5 ≤ Alc. Bruta &lt; 10,0 mg/L",IF(Q460&lt;15,"10,0 ≤ Alca. Bruta &lt; 15,0 mg/L","Alc. Bruta &gt; 15 mg/L"))))))</f>
        <v>7,5 ≤ Alc. Bruta &lt; 10,0 mg/L</v>
      </c>
      <c r="BA460" s="136" t="str">
        <f>IF(P460="","",IF(P460&lt;5,"Cor &lt;5 uC",IF(P460&lt;10,"5 ≤ Cor &lt; 10 uC",IF(P460&lt;15,"10 ≤ Cor &lt;15 uC",IF(P460&lt;30,"15 ≤ Cor &lt; 30 uC",IF(P460&lt;50,"30 ≤ Cor &lt; 50 uC","Cor &gt; 50 uC"))))))</f>
        <v>10 ≤ Cor &lt;15 uC</v>
      </c>
      <c r="BB460" s="137" t="str">
        <f>IF(O460="","",IF(O460&lt;2.5,"Turbidez &lt; 2,5 uT",IF(O460&lt;5,"2,5 ≤ Turb &lt; 5,0 uT",IF(O460&lt;7.5,"5,0 ≤ Turb &lt; 7,5 uT",IF(O460&lt;10,"7,5 ≤ Turb &lt; 10,0 uT",IF(O460&lt;15,"10,0 ≤ Turb &lt; 15,0 uT","Turb &gt; 15 uT"))))))</f>
        <v>Turbidez &lt; 2,5 uT</v>
      </c>
      <c r="BC460" s="138" t="str">
        <f>IF(AND(C460&gt;D460,D460&gt;E460),"TOR &gt; SM &gt; BNN",IF(AND(C460&gt;E460,E460&gt;D460),"TOR &gt; BNN &gt; SM",IF(AND(D460&gt;C460,C460&gt;E460),"SM &gt; TOR &gt; BNN",IF(AND(D460&gt;E460,E460&gt;C460),"SM &gt; BNN &gt; TOR",IF(AND(C460=D460,D460=E460),"TOR = SM = BNN","Comb. diferentes")))))</f>
        <v>SM &gt; BNN &gt; TOR</v>
      </c>
      <c r="BD460" s="137" t="str">
        <f>IF(OR(AE460="",AQ460="-"),"",IF(AE460&lt;=0.25,"Tipo 1 (≤0,25) uT",IF(AE460&lt;=0.5,"Tipo 2 (0,25-0,50) uT",IF(AE460&lt;=0.75,"Tipo 3 (0,50-0,75) uT","Tipo 4 (&gt;0,75) uT"))))</f>
        <v>Tipo 1 (≤0,25) uT</v>
      </c>
      <c r="BE460" s="137" t="str">
        <f t="shared" si="49"/>
        <v>Tipo 1 (≤0,25) uT</v>
      </c>
      <c r="BF460" s="137" t="str">
        <f>IF(OR(AF460="",AQ460="-"),"",IF(AF460&lt;=0.25,"Tipo 1 (≤0,25) uT",IF(AF460&lt;=0.5,"Tipo 2 (0,25-0,50) uT",IF(AF460&lt;=0.75,"Tipo 3 (0,50-0,75) uT","Tipo 4 (&gt;0,75) uT"))))</f>
        <v>Tipo 2 (0,25-0,50) uT</v>
      </c>
      <c r="BG460" s="137" t="str">
        <f t="shared" si="50"/>
        <v>Tipo 1 (≤0,25) uT</v>
      </c>
      <c r="BH460" s="137" t="str">
        <f>IF(OR(R460="",R460="-"),"",IF(R460&lt;=0.25,"Tipo 1 (≤0,25) uT",IF(R460&lt;=0.5,"Tipo 2 (0,25-0,50) uT",IF(R460&lt;=0.75,"Tipo 3 (0,50-0,75) uT","Tipo 4 (&gt;0,75) uT"))))</f>
        <v>Tipo 1 (≤0,25) uT</v>
      </c>
    </row>
    <row r="461" spans="1:60" ht="15" thickBot="1" x14ac:dyDescent="0.35">
      <c r="A461" s="74">
        <v>46311</v>
      </c>
      <c r="B461" s="139">
        <v>6.25E-2</v>
      </c>
      <c r="C461" s="118">
        <v>0</v>
      </c>
      <c r="D461" s="116">
        <v>1958</v>
      </c>
      <c r="E461" s="116">
        <v>279</v>
      </c>
      <c r="F461" s="116">
        <v>1930</v>
      </c>
      <c r="G461" s="144" t="s">
        <v>100</v>
      </c>
      <c r="H461" s="122">
        <v>10.4</v>
      </c>
      <c r="I461" s="116">
        <v>37</v>
      </c>
      <c r="J461" s="10">
        <v>90</v>
      </c>
      <c r="K461" s="116">
        <v>90</v>
      </c>
      <c r="L461" s="116">
        <v>90</v>
      </c>
      <c r="M461" s="122">
        <v>24.7</v>
      </c>
      <c r="N461" s="122">
        <v>6.1</v>
      </c>
      <c r="O461" s="79">
        <v>1.41</v>
      </c>
      <c r="P461" s="116">
        <v>11</v>
      </c>
      <c r="Q461" s="122">
        <v>6.7</v>
      </c>
      <c r="R461" s="10">
        <v>0.08</v>
      </c>
      <c r="S461" s="79">
        <v>22.36</v>
      </c>
      <c r="T461" s="79">
        <v>0.88</v>
      </c>
      <c r="U461" s="79">
        <v>0.7</v>
      </c>
      <c r="V461" s="85">
        <f t="shared" si="51"/>
        <v>2100.4833333333336</v>
      </c>
      <c r="W461" s="85">
        <f t="shared" si="52"/>
        <v>1826.4971712000001</v>
      </c>
      <c r="X461" s="85">
        <f t="shared" si="53"/>
        <v>0.86956042079203988</v>
      </c>
      <c r="Y461" s="116">
        <v>3</v>
      </c>
      <c r="Z461" s="116">
        <v>3</v>
      </c>
      <c r="AA461" s="122">
        <v>6.2</v>
      </c>
      <c r="AB461" s="116">
        <v>24</v>
      </c>
      <c r="AC461" s="122">
        <v>6.1</v>
      </c>
      <c r="AD461" s="122">
        <v>5.7</v>
      </c>
      <c r="AE461" s="79">
        <v>0.12</v>
      </c>
      <c r="AF461" s="79">
        <v>0.28000000000000003</v>
      </c>
      <c r="AG461" s="85">
        <f>(O461+0.3*H461+2)*(F461/2/AK461)</f>
        <v>1575.3625</v>
      </c>
      <c r="AH461" s="85">
        <f t="shared" si="54"/>
        <v>1979.8438399999998</v>
      </c>
      <c r="AI461" s="85">
        <f t="shared" si="55"/>
        <v>1.2567544549270404</v>
      </c>
      <c r="AJ461" s="116">
        <v>3</v>
      </c>
      <c r="AK461" s="116">
        <v>4</v>
      </c>
      <c r="AL461" s="122">
        <v>6.4</v>
      </c>
      <c r="AM461" s="116">
        <v>25</v>
      </c>
      <c r="AN461" s="122">
        <v>6.1</v>
      </c>
      <c r="AO461" s="122">
        <v>5.9</v>
      </c>
      <c r="AP461" s="79">
        <v>0.13</v>
      </c>
      <c r="AQ461" s="79">
        <v>0.1</v>
      </c>
      <c r="AR461" s="132">
        <f>SUM(C461:E461)</f>
        <v>2237</v>
      </c>
      <c r="AS461" s="134">
        <f>C461/AR461</f>
        <v>0</v>
      </c>
      <c r="AT461" s="134">
        <f>D461/AR461</f>
        <v>0.87527939204291461</v>
      </c>
      <c r="AU461" s="134">
        <f>E461/AR461</f>
        <v>0.12472060795708538</v>
      </c>
      <c r="AV461" s="151">
        <f>IF(AND(F461&lt;&gt;"",Z461&lt;&gt;""),AB461/(F461/2/Z461),"")</f>
        <v>7.4611398963730563E-2</v>
      </c>
      <c r="AW461" s="151">
        <f>IF(AND(F461&lt;&gt;"",AK461&lt;&gt;""),AM461/(F461/2/AK461),"")</f>
        <v>0.10362694300518134</v>
      </c>
      <c r="AX461" s="43">
        <f>IF(AND(AQ461&lt;&gt;"",1-(AQ461/O461)&gt;0),1-(AQ461/O461),"")</f>
        <v>0.92907801418439717</v>
      </c>
      <c r="AY461" s="41">
        <f>IF(AND(AF461&lt;&gt;"",1-(AF461/O461)&gt;0),1-(AF461/O461),"")</f>
        <v>0.80141843971631199</v>
      </c>
      <c r="AZ461" s="136" t="str">
        <f>IF(Q461="","",IF(Q461&lt;2.5,"Alc. Bruta &lt; 2,5 mg/L",IF(Q461&lt;5,"2,5 ≤ Alc. Bruta &lt; 5,0 mg/L",IF(Q461&lt;7.5,"5,0 ≤ Alc. Bruta &lt; 7,5 mg/L",IF(Q461&lt;10,"7,5 ≤ Alc. Bruta &lt; 10,0 mg/L",IF(Q461&lt;15,"10,0 ≤ Alca. Bruta &lt; 15,0 mg/L","Alc. Bruta &gt; 15 mg/L"))))))</f>
        <v>5,0 ≤ Alc. Bruta &lt; 7,5 mg/L</v>
      </c>
      <c r="BA461" s="136" t="str">
        <f>IF(P461="","",IF(P461&lt;5,"Cor &lt;5 uC",IF(P461&lt;10,"5 ≤ Cor &lt; 10 uC",IF(P461&lt;15,"10 ≤ Cor &lt;15 uC",IF(P461&lt;30,"15 ≤ Cor &lt; 30 uC",IF(P461&lt;50,"30 ≤ Cor &lt; 50 uC","Cor &gt; 50 uC"))))))</f>
        <v>10 ≤ Cor &lt;15 uC</v>
      </c>
      <c r="BB461" s="137" t="str">
        <f>IF(O461="","",IF(O461&lt;2.5,"Turbidez &lt; 2,5 uT",IF(O461&lt;5,"2,5 ≤ Turb &lt; 5,0 uT",IF(O461&lt;7.5,"5,0 ≤ Turb &lt; 7,5 uT",IF(O461&lt;10,"7,5 ≤ Turb &lt; 10,0 uT",IF(O461&lt;15,"10,0 ≤ Turb &lt; 15,0 uT","Turb &gt; 15 uT"))))))</f>
        <v>Turbidez &lt; 2,5 uT</v>
      </c>
      <c r="BC461" s="138" t="str">
        <f>IF(AND(C461&gt;D461,D461&gt;E461),"TOR &gt; SM &gt; BNN",IF(AND(C461&gt;E461,E461&gt;D461),"TOR &gt; BNN &gt; SM",IF(AND(D461&gt;C461,C461&gt;E461),"SM &gt; TOR &gt; BNN",IF(AND(D461&gt;E461,E461&gt;C461),"SM &gt; BNN &gt; TOR",IF(AND(C461=D461,D461=E461),"TOR = SM = BNN","Comb. diferentes")))))</f>
        <v>SM &gt; BNN &gt; TOR</v>
      </c>
      <c r="BD461" s="137" t="str">
        <f>IF(OR(AE461="",AQ461="-"),"",IF(AE461&lt;=0.25,"Tipo 1 (≤0,25) uT",IF(AE461&lt;=0.5,"Tipo 2 (0,25-0,50) uT",IF(AE461&lt;=0.75,"Tipo 3 (0,50-0,75) uT","Tipo 4 (&gt;0,75) uT"))))</f>
        <v>Tipo 1 (≤0,25) uT</v>
      </c>
      <c r="BE461" s="137" t="str">
        <f t="shared" si="49"/>
        <v>Tipo 1 (≤0,25) uT</v>
      </c>
      <c r="BF461" s="137" t="str">
        <f>IF(OR(AF461="",AQ461="-"),"",IF(AF461&lt;=0.25,"Tipo 1 (≤0,25) uT",IF(AF461&lt;=0.5,"Tipo 2 (0,25-0,50) uT",IF(AF461&lt;=0.75,"Tipo 3 (0,50-0,75) uT","Tipo 4 (&gt;0,75) uT"))))</f>
        <v>Tipo 2 (0,25-0,50) uT</v>
      </c>
      <c r="BG461" s="137" t="str">
        <f t="shared" si="50"/>
        <v>Tipo 1 (≤0,25) uT</v>
      </c>
      <c r="BH461" s="137" t="str">
        <f>IF(OR(R461="",R461="-"),"",IF(R461&lt;=0.25,"Tipo 1 (≤0,25) uT",IF(R461&lt;=0.5,"Tipo 2 (0,25-0,50) uT",IF(R461&lt;=0.75,"Tipo 3 (0,50-0,75) uT","Tipo 4 (&gt;0,75) uT"))))</f>
        <v>Tipo 1 (≤0,25) uT</v>
      </c>
    </row>
    <row r="462" spans="1:60" ht="15" thickBot="1" x14ac:dyDescent="0.35">
      <c r="A462" s="74">
        <v>46311</v>
      </c>
      <c r="B462" s="139">
        <v>0.14583333333333334</v>
      </c>
      <c r="C462" s="118">
        <v>0</v>
      </c>
      <c r="D462" s="116">
        <v>1891</v>
      </c>
      <c r="E462" s="116">
        <v>279</v>
      </c>
      <c r="F462" s="116">
        <v>1905</v>
      </c>
      <c r="G462" s="144" t="s">
        <v>100</v>
      </c>
      <c r="H462" s="122">
        <v>10.4</v>
      </c>
      <c r="I462" s="116">
        <v>37</v>
      </c>
      <c r="J462" s="10">
        <v>90</v>
      </c>
      <c r="K462" s="116">
        <v>90</v>
      </c>
      <c r="L462" s="116">
        <v>90</v>
      </c>
      <c r="M462" s="122">
        <v>24.6</v>
      </c>
      <c r="N462" s="122">
        <v>6.4</v>
      </c>
      <c r="O462" s="79">
        <v>1.39</v>
      </c>
      <c r="P462" s="116">
        <v>11</v>
      </c>
      <c r="Q462" s="122">
        <v>7.2</v>
      </c>
      <c r="R462" s="10">
        <v>0.08</v>
      </c>
      <c r="S462" s="79">
        <v>22.36</v>
      </c>
      <c r="T462" s="79">
        <v>0.88</v>
      </c>
      <c r="U462" s="79">
        <v>0.7</v>
      </c>
      <c r="V462" s="85">
        <f t="shared" si="51"/>
        <v>2066.9249999999997</v>
      </c>
      <c r="W462" s="85">
        <f t="shared" si="52"/>
        <v>1752.3442559999999</v>
      </c>
      <c r="X462" s="85">
        <f t="shared" si="53"/>
        <v>0.84780253565078567</v>
      </c>
      <c r="Y462" s="116">
        <v>3</v>
      </c>
      <c r="Z462" s="116">
        <v>3</v>
      </c>
      <c r="AA462" s="122">
        <v>6</v>
      </c>
      <c r="AB462" s="116">
        <v>24</v>
      </c>
      <c r="AC462" s="122">
        <v>6.1</v>
      </c>
      <c r="AD462" s="122">
        <v>5.6</v>
      </c>
      <c r="AE462" s="79">
        <v>0.16</v>
      </c>
      <c r="AF462" s="79">
        <v>0.26</v>
      </c>
      <c r="AG462" s="85">
        <f>(O462+0.3*H462+2)*(F462/2/AK462)</f>
        <v>1550.1937499999999</v>
      </c>
      <c r="AH462" s="85">
        <f t="shared" si="54"/>
        <v>1979.8438399999998</v>
      </c>
      <c r="AI462" s="85">
        <f t="shared" si="55"/>
        <v>1.2771589615814152</v>
      </c>
      <c r="AJ462" s="116">
        <v>3</v>
      </c>
      <c r="AK462" s="116">
        <v>4</v>
      </c>
      <c r="AL462" s="122">
        <v>6.4</v>
      </c>
      <c r="AM462" s="116">
        <v>25</v>
      </c>
      <c r="AN462" s="122">
        <v>6</v>
      </c>
      <c r="AO462" s="122">
        <v>5.5</v>
      </c>
      <c r="AP462" s="79">
        <v>0.18</v>
      </c>
      <c r="AQ462" s="79">
        <v>0.11</v>
      </c>
      <c r="AR462" s="132">
        <f>SUM(C462:E462)</f>
        <v>2170</v>
      </c>
      <c r="AS462" s="134">
        <f>C462/AR462</f>
        <v>0</v>
      </c>
      <c r="AT462" s="134">
        <f>D462/AR462</f>
        <v>0.87142857142857144</v>
      </c>
      <c r="AU462" s="134">
        <f>E462/AR462</f>
        <v>0.12857142857142856</v>
      </c>
      <c r="AV462" s="151">
        <f>IF(AND(F462&lt;&gt;"",Z462&lt;&gt;""),AB462/(F462/2/Z462),"")</f>
        <v>7.5590551181102361E-2</v>
      </c>
      <c r="AW462" s="151">
        <f>IF(AND(F462&lt;&gt;"",AK462&lt;&gt;""),AM462/(F462/2/AK462),"")</f>
        <v>0.10498687664041995</v>
      </c>
      <c r="AX462" s="43">
        <f>IF(AND(AQ462&lt;&gt;"",1-(AQ462/O462)&gt;0),1-(AQ462/O462),"")</f>
        <v>0.92086330935251803</v>
      </c>
      <c r="AY462" s="41">
        <f>IF(AND(AF462&lt;&gt;"",1-(AF462/O462)&gt;0),1-(AF462/O462),"")</f>
        <v>0.81294964028776973</v>
      </c>
      <c r="AZ462" s="136" t="str">
        <f>IF(Q462="","",IF(Q462&lt;2.5,"Alc. Bruta &lt; 2,5 mg/L",IF(Q462&lt;5,"2,5 ≤ Alc. Bruta &lt; 5,0 mg/L",IF(Q462&lt;7.5,"5,0 ≤ Alc. Bruta &lt; 7,5 mg/L",IF(Q462&lt;10,"7,5 ≤ Alc. Bruta &lt; 10,0 mg/L",IF(Q462&lt;15,"10,0 ≤ Alca. Bruta &lt; 15,0 mg/L","Alc. Bruta &gt; 15 mg/L"))))))</f>
        <v>5,0 ≤ Alc. Bruta &lt; 7,5 mg/L</v>
      </c>
      <c r="BA462" s="136" t="str">
        <f>IF(P462="","",IF(P462&lt;5,"Cor &lt;5 uC",IF(P462&lt;10,"5 ≤ Cor &lt; 10 uC",IF(P462&lt;15,"10 ≤ Cor &lt;15 uC",IF(P462&lt;30,"15 ≤ Cor &lt; 30 uC",IF(P462&lt;50,"30 ≤ Cor &lt; 50 uC","Cor &gt; 50 uC"))))))</f>
        <v>10 ≤ Cor &lt;15 uC</v>
      </c>
      <c r="BB462" s="137" t="str">
        <f>IF(O462="","",IF(O462&lt;2.5,"Turbidez &lt; 2,5 uT",IF(O462&lt;5,"2,5 ≤ Turb &lt; 5,0 uT",IF(O462&lt;7.5,"5,0 ≤ Turb &lt; 7,5 uT",IF(O462&lt;10,"7,5 ≤ Turb &lt; 10,0 uT",IF(O462&lt;15,"10,0 ≤ Turb &lt; 15,0 uT","Turb &gt; 15 uT"))))))</f>
        <v>Turbidez &lt; 2,5 uT</v>
      </c>
      <c r="BC462" s="138" t="str">
        <f>IF(AND(C462&gt;D462,D462&gt;E462),"TOR &gt; SM &gt; BNN",IF(AND(C462&gt;E462,E462&gt;D462),"TOR &gt; BNN &gt; SM",IF(AND(D462&gt;C462,C462&gt;E462),"SM &gt; TOR &gt; BNN",IF(AND(D462&gt;E462,E462&gt;C462),"SM &gt; BNN &gt; TOR",IF(AND(C462=D462,D462=E462),"TOR = SM = BNN","Comb. diferentes")))))</f>
        <v>SM &gt; BNN &gt; TOR</v>
      </c>
      <c r="BD462" s="137" t="str">
        <f>IF(OR(AE462="",AQ462="-"),"",IF(AE462&lt;=0.25,"Tipo 1 (≤0,25) uT",IF(AE462&lt;=0.5,"Tipo 2 (0,25-0,50) uT",IF(AE462&lt;=0.75,"Tipo 3 (0,50-0,75) uT","Tipo 4 (&gt;0,75) uT"))))</f>
        <v>Tipo 1 (≤0,25) uT</v>
      </c>
      <c r="BE462" s="137" t="str">
        <f t="shared" si="49"/>
        <v>Tipo 1 (≤0,25) uT</v>
      </c>
      <c r="BF462" s="137" t="str">
        <f>IF(OR(AF462="",AQ462="-"),"",IF(AF462&lt;=0.25,"Tipo 1 (≤0,25) uT",IF(AF462&lt;=0.5,"Tipo 2 (0,25-0,50) uT",IF(AF462&lt;=0.75,"Tipo 3 (0,50-0,75) uT","Tipo 4 (&gt;0,75) uT"))))</f>
        <v>Tipo 2 (0,25-0,50) uT</v>
      </c>
      <c r="BG462" s="137" t="str">
        <f t="shared" si="50"/>
        <v>Tipo 1 (≤0,25) uT</v>
      </c>
      <c r="BH462" s="137" t="str">
        <f>IF(OR(R462="",R462="-"),"",IF(R462&lt;=0.25,"Tipo 1 (≤0,25) uT",IF(R462&lt;=0.5,"Tipo 2 (0,25-0,50) uT",IF(R462&lt;=0.75,"Tipo 3 (0,50-0,75) uT","Tipo 4 (&gt;0,75) uT"))))</f>
        <v>Tipo 1 (≤0,25) uT</v>
      </c>
    </row>
    <row r="463" spans="1:60" ht="15" thickBot="1" x14ac:dyDescent="0.35">
      <c r="A463" s="75">
        <v>46311</v>
      </c>
      <c r="B463" s="140">
        <v>0.22916666666666666</v>
      </c>
      <c r="C463" s="118">
        <v>0</v>
      </c>
      <c r="D463" s="117">
        <v>1885</v>
      </c>
      <c r="E463" s="117">
        <v>280</v>
      </c>
      <c r="F463" s="117">
        <v>1904</v>
      </c>
      <c r="G463" s="145" t="s">
        <v>100</v>
      </c>
      <c r="H463" s="123">
        <v>10.4</v>
      </c>
      <c r="I463" s="116">
        <v>37</v>
      </c>
      <c r="J463" s="11">
        <v>90</v>
      </c>
      <c r="K463" s="117">
        <v>90</v>
      </c>
      <c r="L463" s="117">
        <v>90</v>
      </c>
      <c r="M463" s="123">
        <v>24.5</v>
      </c>
      <c r="N463" s="123">
        <v>6.4</v>
      </c>
      <c r="O463" s="80">
        <v>1.36</v>
      </c>
      <c r="P463" s="117">
        <v>10</v>
      </c>
      <c r="Q463" s="123">
        <v>7.3</v>
      </c>
      <c r="R463" s="11">
        <v>0.08</v>
      </c>
      <c r="S463" s="79">
        <v>22.36</v>
      </c>
      <c r="T463" s="79">
        <v>0.88</v>
      </c>
      <c r="U463" s="79">
        <v>0.7</v>
      </c>
      <c r="V463" s="85">
        <f t="shared" si="51"/>
        <v>2056.3200000000002</v>
      </c>
      <c r="W463" s="85">
        <f t="shared" si="52"/>
        <v>1679.3299119999999</v>
      </c>
      <c r="X463" s="85">
        <f t="shared" si="53"/>
        <v>0.81666759648303755</v>
      </c>
      <c r="Y463" s="117">
        <v>3</v>
      </c>
      <c r="Z463" s="117">
        <v>3</v>
      </c>
      <c r="AA463" s="123">
        <v>6</v>
      </c>
      <c r="AB463" s="117">
        <v>23</v>
      </c>
      <c r="AC463" s="123">
        <v>6.1</v>
      </c>
      <c r="AD463" s="123">
        <v>5.6</v>
      </c>
      <c r="AE463" s="80">
        <v>0.17</v>
      </c>
      <c r="AF463" s="80">
        <v>0.24</v>
      </c>
      <c r="AG463" s="85">
        <f>(O463+0.3*H463+2)*(F463/2/AK463)</f>
        <v>1542.24</v>
      </c>
      <c r="AH463" s="85">
        <f t="shared" si="54"/>
        <v>1979.8438399999998</v>
      </c>
      <c r="AI463" s="85">
        <f t="shared" si="55"/>
        <v>1.2837456167652244</v>
      </c>
      <c r="AJ463" s="117">
        <v>3</v>
      </c>
      <c r="AK463" s="117">
        <v>4</v>
      </c>
      <c r="AL463" s="123">
        <v>6.4</v>
      </c>
      <c r="AM463" s="117">
        <v>25</v>
      </c>
      <c r="AN463" s="123">
        <v>6</v>
      </c>
      <c r="AO463" s="123">
        <v>5.4</v>
      </c>
      <c r="AP463" s="80">
        <v>0.16</v>
      </c>
      <c r="AQ463" s="80">
        <v>0.1</v>
      </c>
      <c r="AR463" s="132">
        <f>SUM(C463:E463)</f>
        <v>2165</v>
      </c>
      <c r="AS463" s="134">
        <f>C463/AR463</f>
        <v>0</v>
      </c>
      <c r="AT463" s="134">
        <f>D463/AR463</f>
        <v>0.87066974595842961</v>
      </c>
      <c r="AU463" s="134">
        <f>E463/AR463</f>
        <v>0.12933025404157045</v>
      </c>
      <c r="AV463" s="151">
        <f>IF(AND(F463&lt;&gt;"",Z463&lt;&gt;""),AB463/(F463/2/Z463),"")</f>
        <v>7.2478991596638662E-2</v>
      </c>
      <c r="AW463" s="151">
        <f>IF(AND(F463&lt;&gt;"",AK463&lt;&gt;""),AM463/(F463/2/AK463),"")</f>
        <v>0.10504201680672269</v>
      </c>
      <c r="AX463" s="43">
        <f>IF(AND(AQ463&lt;&gt;"",1-(AQ463/O463)&gt;0),1-(AQ463/O463),"")</f>
        <v>0.92647058823529416</v>
      </c>
      <c r="AY463" s="41">
        <f>IF(AND(AF463&lt;&gt;"",1-(AF463/O463)&gt;0),1-(AF463/O463),"")</f>
        <v>0.82352941176470584</v>
      </c>
      <c r="AZ463" s="136" t="str">
        <f>IF(Q463="","",IF(Q463&lt;2.5,"Alc. Bruta &lt; 2,5 mg/L",IF(Q463&lt;5,"2,5 ≤ Alc. Bruta &lt; 5,0 mg/L",IF(Q463&lt;7.5,"5,0 ≤ Alc. Bruta &lt; 7,5 mg/L",IF(Q463&lt;10,"7,5 ≤ Alc. Bruta &lt; 10,0 mg/L",IF(Q463&lt;15,"10,0 ≤ Alca. Bruta &lt; 15,0 mg/L","Alc. Bruta &gt; 15 mg/L"))))))</f>
        <v>5,0 ≤ Alc. Bruta &lt; 7,5 mg/L</v>
      </c>
      <c r="BA463" s="136" t="str">
        <f>IF(P463="","",IF(P463&lt;5,"Cor &lt;5 uC",IF(P463&lt;10,"5 ≤ Cor &lt; 10 uC",IF(P463&lt;15,"10 ≤ Cor &lt;15 uC",IF(P463&lt;30,"15 ≤ Cor &lt; 30 uC",IF(P463&lt;50,"30 ≤ Cor &lt; 50 uC","Cor &gt; 50 uC"))))))</f>
        <v>10 ≤ Cor &lt;15 uC</v>
      </c>
      <c r="BB463" s="137" t="str">
        <f>IF(O463="","",IF(O463&lt;2.5,"Turbidez &lt; 2,5 uT",IF(O463&lt;5,"2,5 ≤ Turb &lt; 5,0 uT",IF(O463&lt;7.5,"5,0 ≤ Turb &lt; 7,5 uT",IF(O463&lt;10,"7,5 ≤ Turb &lt; 10,0 uT",IF(O463&lt;15,"10,0 ≤ Turb &lt; 15,0 uT","Turb &gt; 15 uT"))))))</f>
        <v>Turbidez &lt; 2,5 uT</v>
      </c>
      <c r="BC463" s="138" t="str">
        <f>IF(AND(C463&gt;D463,D463&gt;E463),"TOR &gt; SM &gt; BNN",IF(AND(C463&gt;E463,E463&gt;D463),"TOR &gt; BNN &gt; SM",IF(AND(D463&gt;C463,C463&gt;E463),"SM &gt; TOR &gt; BNN",IF(AND(D463&gt;E463,E463&gt;C463),"SM &gt; BNN &gt; TOR",IF(AND(C463=D463,D463=E463),"TOR = SM = BNN","Comb. diferentes")))))</f>
        <v>SM &gt; BNN &gt; TOR</v>
      </c>
      <c r="BD463" s="137" t="str">
        <f>IF(OR(AE463="",AQ463="-"),"",IF(AE463&lt;=0.25,"Tipo 1 (≤0,25) uT",IF(AE463&lt;=0.5,"Tipo 2 (0,25-0,50) uT",IF(AE463&lt;=0.75,"Tipo 3 (0,50-0,75) uT","Tipo 4 (&gt;0,75) uT"))))</f>
        <v>Tipo 1 (≤0,25) uT</v>
      </c>
      <c r="BE463" s="137" t="str">
        <f t="shared" si="49"/>
        <v>Tipo 1 (≤0,25) uT</v>
      </c>
      <c r="BF463" s="137" t="str">
        <f>IF(OR(AF463="",AQ463="-"),"",IF(AF463&lt;=0.25,"Tipo 1 (≤0,25) uT",IF(AF463&lt;=0.5,"Tipo 2 (0,25-0,50) uT",IF(AF463&lt;=0.75,"Tipo 3 (0,50-0,75) uT","Tipo 4 (&gt;0,75) uT"))))</f>
        <v>Tipo 1 (≤0,25) uT</v>
      </c>
      <c r="BG463" s="137" t="str">
        <f t="shared" si="50"/>
        <v>Tipo 1 (≤0,25) uT</v>
      </c>
      <c r="BH463" s="137" t="str">
        <f>IF(OR(R463="",R463="-"),"",IF(R463&lt;=0.25,"Tipo 1 (≤0,25) uT",IF(R463&lt;=0.5,"Tipo 2 (0,25-0,50) uT",IF(R463&lt;=0.75,"Tipo 3 (0,50-0,75) uT","Tipo 4 (&gt;0,75) uT"))))</f>
        <v>Tipo 1 (≤0,25) uT</v>
      </c>
    </row>
    <row r="464" spans="1:60" ht="15" thickBot="1" x14ac:dyDescent="0.35">
      <c r="A464" s="73">
        <v>46311</v>
      </c>
      <c r="B464" s="141">
        <v>0.3125</v>
      </c>
      <c r="C464" s="118">
        <v>0</v>
      </c>
      <c r="D464" s="118">
        <v>1870</v>
      </c>
      <c r="E464" s="118">
        <v>280</v>
      </c>
      <c r="F464" s="118">
        <v>2200</v>
      </c>
      <c r="G464" s="146" t="s">
        <v>100</v>
      </c>
      <c r="H464" s="124">
        <v>10.4</v>
      </c>
      <c r="I464" s="116">
        <v>37</v>
      </c>
      <c r="J464" s="9">
        <v>90</v>
      </c>
      <c r="K464" s="118">
        <v>90</v>
      </c>
      <c r="L464" s="118">
        <v>90</v>
      </c>
      <c r="M464" s="124">
        <v>25</v>
      </c>
      <c r="N464" s="124">
        <v>6.4</v>
      </c>
      <c r="O464" s="81">
        <v>1.58</v>
      </c>
      <c r="P464" s="118">
        <v>8</v>
      </c>
      <c r="Q464" s="124">
        <v>6.9</v>
      </c>
      <c r="R464" s="9">
        <v>0.15</v>
      </c>
      <c r="S464" s="79">
        <v>22.36</v>
      </c>
      <c r="T464" s="79">
        <v>0.88</v>
      </c>
      <c r="U464" s="79">
        <v>0.7</v>
      </c>
      <c r="V464" s="85">
        <f t="shared" si="51"/>
        <v>2456.666666666667</v>
      </c>
      <c r="W464" s="85">
        <f t="shared" si="52"/>
        <v>1608.2667015999998</v>
      </c>
      <c r="X464" s="85">
        <f t="shared" si="53"/>
        <v>0.6546540169335141</v>
      </c>
      <c r="Y464" s="118">
        <v>3</v>
      </c>
      <c r="Z464" s="118">
        <v>3</v>
      </c>
      <c r="AA464" s="124">
        <v>5.8</v>
      </c>
      <c r="AB464" s="118">
        <v>23</v>
      </c>
      <c r="AC464" s="124">
        <v>6.1</v>
      </c>
      <c r="AD464" s="124">
        <v>5.5</v>
      </c>
      <c r="AE464" s="81">
        <v>0.13</v>
      </c>
      <c r="AF464" s="81"/>
      <c r="AG464" s="85">
        <f>(O464+0.3*H464+2)*(F464/2/AK464)</f>
        <v>1842.5</v>
      </c>
      <c r="AH464" s="85">
        <f t="shared" si="54"/>
        <v>1979.8438399999998</v>
      </c>
      <c r="AI464" s="85">
        <f t="shared" si="55"/>
        <v>1.0745421112618723</v>
      </c>
      <c r="AJ464" s="118">
        <v>3</v>
      </c>
      <c r="AK464" s="118">
        <v>4</v>
      </c>
      <c r="AL464" s="124">
        <v>6.4</v>
      </c>
      <c r="AM464" s="118">
        <v>25</v>
      </c>
      <c r="AN464" s="124">
        <v>6.1</v>
      </c>
      <c r="AO464" s="124">
        <v>5.3</v>
      </c>
      <c r="AP464" s="81">
        <v>0.21</v>
      </c>
      <c r="AQ464" s="81">
        <v>0.12</v>
      </c>
      <c r="AR464" s="132">
        <f>SUM(C464:E464)</f>
        <v>2150</v>
      </c>
      <c r="AS464" s="134">
        <f>C464/AR464</f>
        <v>0</v>
      </c>
      <c r="AT464" s="134">
        <f>D464/AR464</f>
        <v>0.86976744186046506</v>
      </c>
      <c r="AU464" s="134">
        <f>E464/AR464</f>
        <v>0.13023255813953488</v>
      </c>
      <c r="AV464" s="151">
        <f>IF(AND(F464&lt;&gt;"",Z464&lt;&gt;""),AB464/(F464/2/Z464),"")</f>
        <v>6.2727272727272729E-2</v>
      </c>
      <c r="AW464" s="151">
        <f>IF(AND(F464&lt;&gt;"",AK464&lt;&gt;""),AM464/(F464/2/AK464),"")</f>
        <v>9.0909090909090912E-2</v>
      </c>
      <c r="AX464" s="43">
        <f>IF(AND(AQ464&lt;&gt;"",1-(AQ464/O464)&gt;0),1-(AQ464/O464),"")</f>
        <v>0.92405063291139244</v>
      </c>
      <c r="AY464" s="41" t="str">
        <f>IF(AND(AF464&lt;&gt;"",1-(AF464/O464)&gt;0),1-(AF464/O464),"")</f>
        <v/>
      </c>
      <c r="AZ464" s="136" t="str">
        <f>IF(Q464="","",IF(Q464&lt;2.5,"Alc. Bruta &lt; 2,5 mg/L",IF(Q464&lt;5,"2,5 ≤ Alc. Bruta &lt; 5,0 mg/L",IF(Q464&lt;7.5,"5,0 ≤ Alc. Bruta &lt; 7,5 mg/L",IF(Q464&lt;10,"7,5 ≤ Alc. Bruta &lt; 10,0 mg/L",IF(Q464&lt;15,"10,0 ≤ Alca. Bruta &lt; 15,0 mg/L","Alc. Bruta &gt; 15 mg/L"))))))</f>
        <v>5,0 ≤ Alc. Bruta &lt; 7,5 mg/L</v>
      </c>
      <c r="BA464" s="136" t="str">
        <f>IF(P464="","",IF(P464&lt;5,"Cor &lt;5 uC",IF(P464&lt;10,"5 ≤ Cor &lt; 10 uC",IF(P464&lt;15,"10 ≤ Cor &lt;15 uC",IF(P464&lt;30,"15 ≤ Cor &lt; 30 uC",IF(P464&lt;50,"30 ≤ Cor &lt; 50 uC","Cor &gt; 50 uC"))))))</f>
        <v>5 ≤ Cor &lt; 10 uC</v>
      </c>
      <c r="BB464" s="137" t="str">
        <f>IF(O464="","",IF(O464&lt;2.5,"Turbidez &lt; 2,5 uT",IF(O464&lt;5,"2,5 ≤ Turb &lt; 5,0 uT",IF(O464&lt;7.5,"5,0 ≤ Turb &lt; 7,5 uT",IF(O464&lt;10,"7,5 ≤ Turb &lt; 10,0 uT",IF(O464&lt;15,"10,0 ≤ Turb &lt; 15,0 uT","Turb &gt; 15 uT"))))))</f>
        <v>Turbidez &lt; 2,5 uT</v>
      </c>
      <c r="BC464" s="138" t="str">
        <f>IF(AND(C464&gt;D464,D464&gt;E464),"TOR &gt; SM &gt; BNN",IF(AND(C464&gt;E464,E464&gt;D464),"TOR &gt; BNN &gt; SM",IF(AND(D464&gt;C464,C464&gt;E464),"SM &gt; TOR &gt; BNN",IF(AND(D464&gt;E464,E464&gt;C464),"SM &gt; BNN &gt; TOR",IF(AND(C464=D464,D464=E464),"TOR = SM = BNN","Comb. diferentes")))))</f>
        <v>SM &gt; BNN &gt; TOR</v>
      </c>
      <c r="BD464" s="137" t="str">
        <f>IF(OR(AE464="",AQ464="-"),"",IF(AE464&lt;=0.25,"Tipo 1 (≤0,25) uT",IF(AE464&lt;=0.5,"Tipo 2 (0,25-0,50) uT",IF(AE464&lt;=0.75,"Tipo 3 (0,50-0,75) uT","Tipo 4 (&gt;0,75) uT"))))</f>
        <v>Tipo 1 (≤0,25) uT</v>
      </c>
      <c r="BE464" s="137" t="str">
        <f t="shared" si="49"/>
        <v>Tipo 1 (≤0,25) uT</v>
      </c>
      <c r="BF464" s="137" t="str">
        <f>IF(OR(AF464="",AQ464="-"),"",IF(AF464&lt;=0.25,"Tipo 1 (≤0,25) uT",IF(AF464&lt;=0.5,"Tipo 2 (0,25-0,50) uT",IF(AF464&lt;=0.75,"Tipo 3 (0,50-0,75) uT","Tipo 4 (&gt;0,75) uT"))))</f>
        <v/>
      </c>
      <c r="BG464" s="137" t="str">
        <f t="shared" si="50"/>
        <v>Tipo 1 (≤0,25) uT</v>
      </c>
      <c r="BH464" s="137" t="str">
        <f>IF(OR(R464="",R464="-"),"",IF(R464&lt;=0.25,"Tipo 1 (≤0,25) uT",IF(R464&lt;=0.5,"Tipo 2 (0,25-0,50) uT",IF(R464&lt;=0.75,"Tipo 3 (0,50-0,75) uT","Tipo 4 (&gt;0,75) uT"))))</f>
        <v>Tipo 1 (≤0,25) uT</v>
      </c>
    </row>
    <row r="465" spans="1:60" ht="15" thickBot="1" x14ac:dyDescent="0.35">
      <c r="A465" s="74">
        <v>46311</v>
      </c>
      <c r="B465" s="139">
        <v>0.39583333333333331</v>
      </c>
      <c r="C465" s="118">
        <v>0</v>
      </c>
      <c r="D465" s="116">
        <v>1888</v>
      </c>
      <c r="E465" s="116">
        <v>250</v>
      </c>
      <c r="F465" s="116">
        <v>2200</v>
      </c>
      <c r="G465" s="144" t="s">
        <v>100</v>
      </c>
      <c r="H465" s="122">
        <v>10.4</v>
      </c>
      <c r="I465" s="116">
        <v>37</v>
      </c>
      <c r="J465" s="10">
        <v>90</v>
      </c>
      <c r="K465" s="116">
        <v>90</v>
      </c>
      <c r="L465" s="116">
        <v>90</v>
      </c>
      <c r="M465" s="122">
        <v>26.1</v>
      </c>
      <c r="N465" s="122">
        <v>6.4</v>
      </c>
      <c r="O465" s="79">
        <v>1.55</v>
      </c>
      <c r="P465" s="116">
        <v>8</v>
      </c>
      <c r="Q465" s="122">
        <v>6.9</v>
      </c>
      <c r="R465" s="10">
        <v>0.14000000000000001</v>
      </c>
      <c r="S465" s="79">
        <v>22.36</v>
      </c>
      <c r="T465" s="79">
        <v>0.88</v>
      </c>
      <c r="U465" s="79">
        <v>0.7</v>
      </c>
      <c r="V465" s="85">
        <f t="shared" si="51"/>
        <v>2445.666666666667</v>
      </c>
      <c r="W465" s="85">
        <f t="shared" si="52"/>
        <v>1608.2667015999998</v>
      </c>
      <c r="X465" s="85">
        <f t="shared" si="53"/>
        <v>0.65759848777429453</v>
      </c>
      <c r="Y465" s="116">
        <v>3</v>
      </c>
      <c r="Z465" s="116">
        <v>3</v>
      </c>
      <c r="AA465" s="122">
        <v>5.8</v>
      </c>
      <c r="AB465" s="116">
        <v>23</v>
      </c>
      <c r="AC465" s="122">
        <v>6.2</v>
      </c>
      <c r="AD465" s="122">
        <v>5.6</v>
      </c>
      <c r="AE465" s="79">
        <v>0.18</v>
      </c>
      <c r="AF465" s="79"/>
      <c r="AG465" s="85">
        <f>(O465+0.3*H465+2)*(F465/2/AK465)</f>
        <v>1834.25</v>
      </c>
      <c r="AH465" s="85">
        <f t="shared" si="54"/>
        <v>1979.8438399999998</v>
      </c>
      <c r="AI465" s="85">
        <f t="shared" si="55"/>
        <v>1.0793751342510562</v>
      </c>
      <c r="AJ465" s="116">
        <v>3</v>
      </c>
      <c r="AK465" s="116">
        <v>4</v>
      </c>
      <c r="AL465" s="122">
        <v>6.4</v>
      </c>
      <c r="AM465" s="116">
        <v>25</v>
      </c>
      <c r="AN465" s="122">
        <v>6.2</v>
      </c>
      <c r="AO465" s="122">
        <v>5.7</v>
      </c>
      <c r="AP465" s="79">
        <v>0.22</v>
      </c>
      <c r="AQ465" s="79">
        <v>0.13</v>
      </c>
      <c r="AR465" s="132">
        <f>SUM(C465:E465)</f>
        <v>2138</v>
      </c>
      <c r="AS465" s="134">
        <f>C465/AR465</f>
        <v>0</v>
      </c>
      <c r="AT465" s="134">
        <f>D465/AR465</f>
        <v>0.88306828811973803</v>
      </c>
      <c r="AU465" s="134">
        <f>E465/AR465</f>
        <v>0.11693171188026193</v>
      </c>
      <c r="AV465" s="151">
        <f>IF(AND(F465&lt;&gt;"",Z465&lt;&gt;""),AB465/(F465/2/Z465),"")</f>
        <v>6.2727272727272729E-2</v>
      </c>
      <c r="AW465" s="151">
        <f>IF(AND(F465&lt;&gt;"",AK465&lt;&gt;""),AM465/(F465/2/AK465),"")</f>
        <v>9.0909090909090912E-2</v>
      </c>
      <c r="AX465" s="43">
        <f>IF(AND(AQ465&lt;&gt;"",1-(AQ465/O465)&gt;0),1-(AQ465/O465),"")</f>
        <v>0.91612903225806452</v>
      </c>
      <c r="AY465" s="41" t="str">
        <f>IF(AND(AF465&lt;&gt;"",1-(AF465/O465)&gt;0),1-(AF465/O465),"")</f>
        <v/>
      </c>
      <c r="AZ465" s="136" t="str">
        <f>IF(Q465="","",IF(Q465&lt;2.5,"Alc. Bruta &lt; 2,5 mg/L",IF(Q465&lt;5,"2,5 ≤ Alc. Bruta &lt; 5,0 mg/L",IF(Q465&lt;7.5,"5,0 ≤ Alc. Bruta &lt; 7,5 mg/L",IF(Q465&lt;10,"7,5 ≤ Alc. Bruta &lt; 10,0 mg/L",IF(Q465&lt;15,"10,0 ≤ Alca. Bruta &lt; 15,0 mg/L","Alc. Bruta &gt; 15 mg/L"))))))</f>
        <v>5,0 ≤ Alc. Bruta &lt; 7,5 mg/L</v>
      </c>
      <c r="BA465" s="136" t="str">
        <f>IF(P465="","",IF(P465&lt;5,"Cor &lt;5 uC",IF(P465&lt;10,"5 ≤ Cor &lt; 10 uC",IF(P465&lt;15,"10 ≤ Cor &lt;15 uC",IF(P465&lt;30,"15 ≤ Cor &lt; 30 uC",IF(P465&lt;50,"30 ≤ Cor &lt; 50 uC","Cor &gt; 50 uC"))))))</f>
        <v>5 ≤ Cor &lt; 10 uC</v>
      </c>
      <c r="BB465" s="137" t="str">
        <f>IF(O465="","",IF(O465&lt;2.5,"Turbidez &lt; 2,5 uT",IF(O465&lt;5,"2,5 ≤ Turb &lt; 5,0 uT",IF(O465&lt;7.5,"5,0 ≤ Turb &lt; 7,5 uT",IF(O465&lt;10,"7,5 ≤ Turb &lt; 10,0 uT",IF(O465&lt;15,"10,0 ≤ Turb &lt; 15,0 uT","Turb &gt; 15 uT"))))))</f>
        <v>Turbidez &lt; 2,5 uT</v>
      </c>
      <c r="BC465" s="138" t="str">
        <f>IF(AND(C465&gt;D465,D465&gt;E465),"TOR &gt; SM &gt; BNN",IF(AND(C465&gt;E465,E465&gt;D465),"TOR &gt; BNN &gt; SM",IF(AND(D465&gt;C465,C465&gt;E465),"SM &gt; TOR &gt; BNN",IF(AND(D465&gt;E465,E465&gt;C465),"SM &gt; BNN &gt; TOR",IF(AND(C465=D465,D465=E465),"TOR = SM = BNN","Comb. diferentes")))))</f>
        <v>SM &gt; BNN &gt; TOR</v>
      </c>
      <c r="BD465" s="137" t="str">
        <f>IF(OR(AE465="",AQ465="-"),"",IF(AE465&lt;=0.25,"Tipo 1 (≤0,25) uT",IF(AE465&lt;=0.5,"Tipo 2 (0,25-0,50) uT",IF(AE465&lt;=0.75,"Tipo 3 (0,50-0,75) uT","Tipo 4 (&gt;0,75) uT"))))</f>
        <v>Tipo 1 (≤0,25) uT</v>
      </c>
      <c r="BE465" s="137" t="str">
        <f t="shared" si="49"/>
        <v>Tipo 1 (≤0,25) uT</v>
      </c>
      <c r="BF465" s="137" t="str">
        <f>IF(OR(AF465="",AQ465="-"),"",IF(AF465&lt;=0.25,"Tipo 1 (≤0,25) uT",IF(AF465&lt;=0.5,"Tipo 2 (0,25-0,50) uT",IF(AF465&lt;=0.75,"Tipo 3 (0,50-0,75) uT","Tipo 4 (&gt;0,75) uT"))))</f>
        <v/>
      </c>
      <c r="BG465" s="137" t="str">
        <f t="shared" si="50"/>
        <v>Tipo 1 (≤0,25) uT</v>
      </c>
      <c r="BH465" s="137" t="str">
        <f>IF(OR(R465="",R465="-"),"",IF(R465&lt;=0.25,"Tipo 1 (≤0,25) uT",IF(R465&lt;=0.5,"Tipo 2 (0,25-0,50) uT",IF(R465&lt;=0.75,"Tipo 3 (0,50-0,75) uT","Tipo 4 (&gt;0,75) uT"))))</f>
        <v>Tipo 1 (≤0,25) uT</v>
      </c>
    </row>
    <row r="466" spans="1:60" ht="15" thickBot="1" x14ac:dyDescent="0.35">
      <c r="A466" s="74">
        <v>46311</v>
      </c>
      <c r="B466" s="139">
        <v>0.64583333333333337</v>
      </c>
      <c r="C466" s="118">
        <v>0</v>
      </c>
      <c r="D466" s="116">
        <v>1865</v>
      </c>
      <c r="E466" s="116">
        <v>500</v>
      </c>
      <c r="F466" s="116">
        <v>2420</v>
      </c>
      <c r="G466" s="144" t="s">
        <v>100</v>
      </c>
      <c r="H466" s="122">
        <v>10</v>
      </c>
      <c r="I466" s="116">
        <v>-3</v>
      </c>
      <c r="J466" s="10">
        <v>90</v>
      </c>
      <c r="K466" s="116">
        <v>90</v>
      </c>
      <c r="L466" s="116">
        <v>90</v>
      </c>
      <c r="M466" s="122">
        <v>25.9</v>
      </c>
      <c r="N466" s="122">
        <v>6.4</v>
      </c>
      <c r="O466" s="79">
        <v>1.48</v>
      </c>
      <c r="P466" s="116">
        <v>8</v>
      </c>
      <c r="Q466" s="122">
        <v>7.9</v>
      </c>
      <c r="R466" s="10">
        <v>0.1</v>
      </c>
      <c r="S466" s="79">
        <v>22.36</v>
      </c>
      <c r="T466" s="79">
        <v>0.88</v>
      </c>
      <c r="U466" s="79">
        <v>0.7</v>
      </c>
      <c r="V466" s="85">
        <f t="shared" si="51"/>
        <v>1960.2</v>
      </c>
      <c r="W466" s="85">
        <f t="shared" si="52"/>
        <v>1826.4971712000001</v>
      </c>
      <c r="X466" s="85">
        <f t="shared" si="53"/>
        <v>0.93179123109886752</v>
      </c>
      <c r="Y466" s="116">
        <v>3</v>
      </c>
      <c r="Z466" s="116">
        <v>4</v>
      </c>
      <c r="AA466" s="122">
        <v>6.2</v>
      </c>
      <c r="AB466" s="116">
        <v>24</v>
      </c>
      <c r="AC466" s="122">
        <v>6.2</v>
      </c>
      <c r="AD466" s="122">
        <v>6.3</v>
      </c>
      <c r="AE466" s="79">
        <v>0.21</v>
      </c>
      <c r="AF466" s="79">
        <v>0.18</v>
      </c>
      <c r="AG466" s="85">
        <f>(O466+0.3*H466+2)*(F466/2/AK466)</f>
        <v>2613.6</v>
      </c>
      <c r="AH466" s="85">
        <f t="shared" si="54"/>
        <v>1979.8438399999998</v>
      </c>
      <c r="AI466" s="85">
        <f t="shared" si="55"/>
        <v>0.75751600857055401</v>
      </c>
      <c r="AJ466" s="116">
        <v>3</v>
      </c>
      <c r="AK466" s="116">
        <v>3</v>
      </c>
      <c r="AL466" s="122">
        <v>6.4</v>
      </c>
      <c r="AM466" s="116">
        <v>25</v>
      </c>
      <c r="AN466" s="122">
        <v>6.1</v>
      </c>
      <c r="AO466" s="122">
        <v>6.4</v>
      </c>
      <c r="AP466" s="79">
        <v>0.19</v>
      </c>
      <c r="AQ466" s="79">
        <v>0.14000000000000001</v>
      </c>
      <c r="AR466" s="132">
        <f>SUM(C466:E466)</f>
        <v>2365</v>
      </c>
      <c r="AS466" s="134">
        <f>C466/AR466</f>
        <v>0</v>
      </c>
      <c r="AT466" s="134">
        <f>D466/AR466</f>
        <v>0.78858350951374212</v>
      </c>
      <c r="AU466" s="134">
        <f>E466/AR466</f>
        <v>0.21141649048625794</v>
      </c>
      <c r="AV466" s="151">
        <f>IF(AND(F466&lt;&gt;"",Z466&lt;&gt;""),AB466/(F466/2/Z466),"")</f>
        <v>7.9338842975206617E-2</v>
      </c>
      <c r="AW466" s="151">
        <f>IF(AND(F466&lt;&gt;"",AK466&lt;&gt;""),AM466/(F466/2/AK466),"")</f>
        <v>6.1983471074380167E-2</v>
      </c>
      <c r="AX466" s="43">
        <f>IF(AND(AQ466&lt;&gt;"",1-(AQ466/O466)&gt;0),1-(AQ466/O466),"")</f>
        <v>0.90540540540540537</v>
      </c>
      <c r="AY466" s="41">
        <f>IF(AND(AF466&lt;&gt;"",1-(AF466/O466)&gt;0),1-(AF466/O466),"")</f>
        <v>0.8783783783783784</v>
      </c>
      <c r="AZ466" s="136" t="str">
        <f>IF(Q466="","",IF(Q466&lt;2.5,"Alc. Bruta &lt; 2,5 mg/L",IF(Q466&lt;5,"2,5 ≤ Alc. Bruta &lt; 5,0 mg/L",IF(Q466&lt;7.5,"5,0 ≤ Alc. Bruta &lt; 7,5 mg/L",IF(Q466&lt;10,"7,5 ≤ Alc. Bruta &lt; 10,0 mg/L",IF(Q466&lt;15,"10,0 ≤ Alca. Bruta &lt; 15,0 mg/L","Alc. Bruta &gt; 15 mg/L"))))))</f>
        <v>7,5 ≤ Alc. Bruta &lt; 10,0 mg/L</v>
      </c>
      <c r="BA466" s="136" t="str">
        <f>IF(P466="","",IF(P466&lt;5,"Cor &lt;5 uC",IF(P466&lt;10,"5 ≤ Cor &lt; 10 uC",IF(P466&lt;15,"10 ≤ Cor &lt;15 uC",IF(P466&lt;30,"15 ≤ Cor &lt; 30 uC",IF(P466&lt;50,"30 ≤ Cor &lt; 50 uC","Cor &gt; 50 uC"))))))</f>
        <v>5 ≤ Cor &lt; 10 uC</v>
      </c>
      <c r="BB466" s="137" t="str">
        <f>IF(O466="","",IF(O466&lt;2.5,"Turbidez &lt; 2,5 uT",IF(O466&lt;5,"2,5 ≤ Turb &lt; 5,0 uT",IF(O466&lt;7.5,"5,0 ≤ Turb &lt; 7,5 uT",IF(O466&lt;10,"7,5 ≤ Turb &lt; 10,0 uT",IF(O466&lt;15,"10,0 ≤ Turb &lt; 15,0 uT","Turb &gt; 15 uT"))))))</f>
        <v>Turbidez &lt; 2,5 uT</v>
      </c>
      <c r="BC466" s="138" t="str">
        <f>IF(AND(C466&gt;D466,D466&gt;E466),"TOR &gt; SM &gt; BNN",IF(AND(C466&gt;E466,E466&gt;D466),"TOR &gt; BNN &gt; SM",IF(AND(D466&gt;C466,C466&gt;E466),"SM &gt; TOR &gt; BNN",IF(AND(D466&gt;E466,E466&gt;C466),"SM &gt; BNN &gt; TOR",IF(AND(C466=D466,D466=E466),"TOR = SM = BNN","Comb. diferentes")))))</f>
        <v>SM &gt; BNN &gt; TOR</v>
      </c>
      <c r="BD466" s="137" t="str">
        <f>IF(OR(AE466="",AQ466="-"),"",IF(AE466&lt;=0.25,"Tipo 1 (≤0,25) uT",IF(AE466&lt;=0.5,"Tipo 2 (0,25-0,50) uT",IF(AE466&lt;=0.75,"Tipo 3 (0,50-0,75) uT","Tipo 4 (&gt;0,75) uT"))))</f>
        <v>Tipo 1 (≤0,25) uT</v>
      </c>
      <c r="BE466" s="137" t="str">
        <f t="shared" si="49"/>
        <v>Tipo 1 (≤0,25) uT</v>
      </c>
      <c r="BF466" s="137" t="str">
        <f>IF(OR(AF466="",AQ466="-"),"",IF(AF466&lt;=0.25,"Tipo 1 (≤0,25) uT",IF(AF466&lt;=0.5,"Tipo 2 (0,25-0,50) uT",IF(AF466&lt;=0.75,"Tipo 3 (0,50-0,75) uT","Tipo 4 (&gt;0,75) uT"))))</f>
        <v>Tipo 1 (≤0,25) uT</v>
      </c>
      <c r="BG466" s="137" t="str">
        <f t="shared" si="50"/>
        <v>Tipo 1 (≤0,25) uT</v>
      </c>
      <c r="BH466" s="137" t="str">
        <f>IF(OR(R466="",R466="-"),"",IF(R466&lt;=0.25,"Tipo 1 (≤0,25) uT",IF(R466&lt;=0.5,"Tipo 2 (0,25-0,50) uT",IF(R466&lt;=0.75,"Tipo 3 (0,50-0,75) uT","Tipo 4 (&gt;0,75) uT"))))</f>
        <v>Tipo 1 (≤0,25) uT</v>
      </c>
    </row>
    <row r="467" spans="1:60" ht="15" thickBot="1" x14ac:dyDescent="0.35">
      <c r="A467" s="74">
        <v>46311</v>
      </c>
      <c r="B467" s="139">
        <v>0.72916666666666663</v>
      </c>
      <c r="C467" s="118">
        <v>0</v>
      </c>
      <c r="D467" s="116">
        <v>1870</v>
      </c>
      <c r="E467" s="116">
        <v>499</v>
      </c>
      <c r="F467" s="116">
        <v>2420</v>
      </c>
      <c r="G467" s="144" t="s">
        <v>100</v>
      </c>
      <c r="H467" s="122">
        <v>9.5</v>
      </c>
      <c r="I467" s="116">
        <v>-2</v>
      </c>
      <c r="J467" s="10">
        <v>90</v>
      </c>
      <c r="K467" s="116">
        <v>90</v>
      </c>
      <c r="L467" s="116">
        <v>90</v>
      </c>
      <c r="M467" s="122">
        <v>25.5</v>
      </c>
      <c r="N467" s="122">
        <v>6.4</v>
      </c>
      <c r="O467" s="79">
        <v>1.51</v>
      </c>
      <c r="P467" s="116">
        <v>9</v>
      </c>
      <c r="Q467" s="122">
        <v>8.1</v>
      </c>
      <c r="R467" s="10">
        <v>0.11</v>
      </c>
      <c r="S467" s="79">
        <v>22.36</v>
      </c>
      <c r="T467" s="79">
        <v>0.88</v>
      </c>
      <c r="U467" s="79">
        <v>0.7</v>
      </c>
      <c r="V467" s="85">
        <f t="shared" si="51"/>
        <v>1923.9</v>
      </c>
      <c r="W467" s="85">
        <f t="shared" si="52"/>
        <v>1826.4971712000001</v>
      </c>
      <c r="X467" s="85">
        <f t="shared" si="53"/>
        <v>0.94937219772337444</v>
      </c>
      <c r="Y467" s="116">
        <v>3</v>
      </c>
      <c r="Z467" s="116">
        <v>4</v>
      </c>
      <c r="AA467" s="122">
        <v>6.2</v>
      </c>
      <c r="AB467" s="116">
        <v>24</v>
      </c>
      <c r="AC467" s="122">
        <v>6.2</v>
      </c>
      <c r="AD467" s="122">
        <v>6.2</v>
      </c>
      <c r="AE467" s="79">
        <v>0.23</v>
      </c>
      <c r="AF467" s="79">
        <v>0.16</v>
      </c>
      <c r="AG467" s="85">
        <f>(O467+0.3*H467+2)*(F467/2/AK467)</f>
        <v>1923.9</v>
      </c>
      <c r="AH467" s="85">
        <f t="shared" si="54"/>
        <v>1979.8438399999998</v>
      </c>
      <c r="AI467" s="85">
        <f t="shared" si="55"/>
        <v>1.0290783512656581</v>
      </c>
      <c r="AJ467" s="116">
        <v>4</v>
      </c>
      <c r="AK467" s="116">
        <v>4</v>
      </c>
      <c r="AL467" s="122">
        <v>6.4</v>
      </c>
      <c r="AM467" s="116">
        <v>25</v>
      </c>
      <c r="AN467" s="122">
        <v>6.1</v>
      </c>
      <c r="AO467" s="122">
        <v>6.9</v>
      </c>
      <c r="AP467" s="79">
        <v>0.18</v>
      </c>
      <c r="AQ467" s="79">
        <v>0.13</v>
      </c>
      <c r="AR467" s="132">
        <f>SUM(C467:E467)</f>
        <v>2369</v>
      </c>
      <c r="AS467" s="134">
        <f>C467/AR467</f>
        <v>0</v>
      </c>
      <c r="AT467" s="134">
        <f>D467/AR467</f>
        <v>0.78936260025327143</v>
      </c>
      <c r="AU467" s="134">
        <f>E467/AR467</f>
        <v>0.21063739974672857</v>
      </c>
      <c r="AV467" s="151">
        <f>IF(AND(F467&lt;&gt;"",Z467&lt;&gt;""),AB467/(F467/2/Z467),"")</f>
        <v>7.9338842975206617E-2</v>
      </c>
      <c r="AW467" s="151">
        <f>IF(AND(F467&lt;&gt;"",AK467&lt;&gt;""),AM467/(F467/2/AK467),"")</f>
        <v>8.2644628099173556E-2</v>
      </c>
      <c r="AX467" s="43">
        <f>IF(AND(AQ467&lt;&gt;"",1-(AQ467/O467)&gt;0),1-(AQ467/O467),"")</f>
        <v>0.91390728476821192</v>
      </c>
      <c r="AY467" s="41">
        <f>IF(AND(AF467&lt;&gt;"",1-(AF467/O467)&gt;0),1-(AF467/O467),"")</f>
        <v>0.89403973509933776</v>
      </c>
      <c r="AZ467" s="136" t="str">
        <f>IF(Q467="","",IF(Q467&lt;2.5,"Alc. Bruta &lt; 2,5 mg/L",IF(Q467&lt;5,"2,5 ≤ Alc. Bruta &lt; 5,0 mg/L",IF(Q467&lt;7.5,"5,0 ≤ Alc. Bruta &lt; 7,5 mg/L",IF(Q467&lt;10,"7,5 ≤ Alc. Bruta &lt; 10,0 mg/L",IF(Q467&lt;15,"10,0 ≤ Alca. Bruta &lt; 15,0 mg/L","Alc. Bruta &gt; 15 mg/L"))))))</f>
        <v>7,5 ≤ Alc. Bruta &lt; 10,0 mg/L</v>
      </c>
      <c r="BA467" s="136" t="str">
        <f>IF(P467="","",IF(P467&lt;5,"Cor &lt;5 uC",IF(P467&lt;10,"5 ≤ Cor &lt; 10 uC",IF(P467&lt;15,"10 ≤ Cor &lt;15 uC",IF(P467&lt;30,"15 ≤ Cor &lt; 30 uC",IF(P467&lt;50,"30 ≤ Cor &lt; 50 uC","Cor &gt; 50 uC"))))))</f>
        <v>5 ≤ Cor &lt; 10 uC</v>
      </c>
      <c r="BB467" s="137" t="str">
        <f>IF(O467="","",IF(O467&lt;2.5,"Turbidez &lt; 2,5 uT",IF(O467&lt;5,"2,5 ≤ Turb &lt; 5,0 uT",IF(O467&lt;7.5,"5,0 ≤ Turb &lt; 7,5 uT",IF(O467&lt;10,"7,5 ≤ Turb &lt; 10,0 uT",IF(O467&lt;15,"10,0 ≤ Turb &lt; 15,0 uT","Turb &gt; 15 uT"))))))</f>
        <v>Turbidez &lt; 2,5 uT</v>
      </c>
      <c r="BC467" s="138" t="str">
        <f>IF(AND(C467&gt;D467,D467&gt;E467),"TOR &gt; SM &gt; BNN",IF(AND(C467&gt;E467,E467&gt;D467),"TOR &gt; BNN &gt; SM",IF(AND(D467&gt;C467,C467&gt;E467),"SM &gt; TOR &gt; BNN",IF(AND(D467&gt;E467,E467&gt;C467),"SM &gt; BNN &gt; TOR",IF(AND(C467=D467,D467=E467),"TOR = SM = BNN","Comb. diferentes")))))</f>
        <v>SM &gt; BNN &gt; TOR</v>
      </c>
      <c r="BD467" s="137" t="str">
        <f>IF(OR(AE467="",AQ467="-"),"",IF(AE467&lt;=0.25,"Tipo 1 (≤0,25) uT",IF(AE467&lt;=0.5,"Tipo 2 (0,25-0,50) uT",IF(AE467&lt;=0.75,"Tipo 3 (0,50-0,75) uT","Tipo 4 (&gt;0,75) uT"))))</f>
        <v>Tipo 1 (≤0,25) uT</v>
      </c>
      <c r="BE467" s="137" t="str">
        <f t="shared" si="49"/>
        <v>Tipo 1 (≤0,25) uT</v>
      </c>
      <c r="BF467" s="137" t="str">
        <f>IF(OR(AF467="",AQ467="-"),"",IF(AF467&lt;=0.25,"Tipo 1 (≤0,25) uT",IF(AF467&lt;=0.5,"Tipo 2 (0,25-0,50) uT",IF(AF467&lt;=0.75,"Tipo 3 (0,50-0,75) uT","Tipo 4 (&gt;0,75) uT"))))</f>
        <v>Tipo 1 (≤0,25) uT</v>
      </c>
      <c r="BG467" s="137" t="str">
        <f t="shared" si="50"/>
        <v>Tipo 1 (≤0,25) uT</v>
      </c>
      <c r="BH467" s="137" t="str">
        <f>IF(OR(R467="",R467="-"),"",IF(R467&lt;=0.25,"Tipo 1 (≤0,25) uT",IF(R467&lt;=0.5,"Tipo 2 (0,25-0,50) uT",IF(R467&lt;=0.75,"Tipo 3 (0,50-0,75) uT","Tipo 4 (&gt;0,75) uT"))))</f>
        <v>Tipo 1 (≤0,25) uT</v>
      </c>
    </row>
    <row r="468" spans="1:60" ht="15" thickBot="1" x14ac:dyDescent="0.35">
      <c r="A468" s="74">
        <v>46311</v>
      </c>
      <c r="B468" s="139">
        <v>0.8125</v>
      </c>
      <c r="C468" s="118">
        <v>0</v>
      </c>
      <c r="D468" s="116">
        <v>1362</v>
      </c>
      <c r="E468" s="116">
        <v>500</v>
      </c>
      <c r="F468" s="116">
        <v>1862</v>
      </c>
      <c r="G468" s="144" t="s">
        <v>100</v>
      </c>
      <c r="H468" s="122">
        <v>9.5</v>
      </c>
      <c r="I468" s="116">
        <v>14</v>
      </c>
      <c r="J468" s="10">
        <v>90</v>
      </c>
      <c r="K468" s="116">
        <v>90</v>
      </c>
      <c r="L468" s="116">
        <v>90</v>
      </c>
      <c r="M468" s="122">
        <v>25.1</v>
      </c>
      <c r="N468" s="122">
        <v>6.5</v>
      </c>
      <c r="O468" s="79">
        <v>1.38</v>
      </c>
      <c r="P468" s="116">
        <v>11</v>
      </c>
      <c r="Q468" s="122">
        <v>9.5</v>
      </c>
      <c r="R468" s="10">
        <v>0.09</v>
      </c>
      <c r="S468" s="79">
        <v>22.36</v>
      </c>
      <c r="T468" s="79">
        <v>0.88</v>
      </c>
      <c r="U468" s="79">
        <v>0.7</v>
      </c>
      <c r="V468" s="85">
        <f t="shared" si="51"/>
        <v>1450.0325</v>
      </c>
      <c r="W468" s="85">
        <f t="shared" si="52"/>
        <v>1826.4971712000001</v>
      </c>
      <c r="X468" s="85">
        <f t="shared" si="53"/>
        <v>1.2596249885433604</v>
      </c>
      <c r="Y468" s="116">
        <v>3</v>
      </c>
      <c r="Z468" s="116">
        <v>4</v>
      </c>
      <c r="AA468" s="122">
        <v>6.2</v>
      </c>
      <c r="AB468" s="116">
        <v>24</v>
      </c>
      <c r="AC468" s="122">
        <v>6.3</v>
      </c>
      <c r="AD468" s="122">
        <v>7.8</v>
      </c>
      <c r="AE468" s="79">
        <v>0.23</v>
      </c>
      <c r="AF468" s="79">
        <v>0.12</v>
      </c>
      <c r="AG468" s="85">
        <f>(O468+0.3*H468+2)*(F468/2/AK468)</f>
        <v>1933.3766666666668</v>
      </c>
      <c r="AH468" s="85">
        <f t="shared" si="54"/>
        <v>1979.8438399999998</v>
      </c>
      <c r="AI468" s="85">
        <f t="shared" si="55"/>
        <v>1.0240342061298624</v>
      </c>
      <c r="AJ468" s="116">
        <v>3</v>
      </c>
      <c r="AK468" s="116">
        <v>3</v>
      </c>
      <c r="AL468" s="122">
        <v>6.4</v>
      </c>
      <c r="AM468" s="116">
        <v>25</v>
      </c>
      <c r="AN468" s="122">
        <v>6.3</v>
      </c>
      <c r="AO468" s="122">
        <v>8.1</v>
      </c>
      <c r="AP468" s="79">
        <v>0.16</v>
      </c>
      <c r="AQ468" s="79">
        <v>0.13</v>
      </c>
      <c r="AR468" s="132">
        <f>SUM(C468:E468)</f>
        <v>1862</v>
      </c>
      <c r="AS468" s="134">
        <f>C468/AR468</f>
        <v>0</v>
      </c>
      <c r="AT468" s="134">
        <f>D468/AR468</f>
        <v>0.73147153598281422</v>
      </c>
      <c r="AU468" s="134">
        <f>E468/AR468</f>
        <v>0.26852846401718583</v>
      </c>
      <c r="AV468" s="151">
        <f>IF(AND(F468&lt;&gt;"",Z468&lt;&gt;""),AB468/(F468/2/Z468),"")</f>
        <v>0.10311493018259936</v>
      </c>
      <c r="AW468" s="151">
        <f>IF(AND(F468&lt;&gt;"",AK468&lt;&gt;""),AM468/(F468/2/AK468),"")</f>
        <v>8.0558539205155752E-2</v>
      </c>
      <c r="AX468" s="43">
        <f>IF(AND(AQ468&lt;&gt;"",1-(AQ468/O468)&gt;0),1-(AQ468/O468),"")</f>
        <v>0.90579710144927539</v>
      </c>
      <c r="AY468" s="41">
        <f>IF(AND(AF468&lt;&gt;"",1-(AF468/O468)&gt;0),1-(AF468/O468),"")</f>
        <v>0.91304347826086962</v>
      </c>
      <c r="AZ468" s="136" t="str">
        <f>IF(Q468="","",IF(Q468&lt;2.5,"Alc. Bruta &lt; 2,5 mg/L",IF(Q468&lt;5,"2,5 ≤ Alc. Bruta &lt; 5,0 mg/L",IF(Q468&lt;7.5,"5,0 ≤ Alc. Bruta &lt; 7,5 mg/L",IF(Q468&lt;10,"7,5 ≤ Alc. Bruta &lt; 10,0 mg/L",IF(Q468&lt;15,"10,0 ≤ Alca. Bruta &lt; 15,0 mg/L","Alc. Bruta &gt; 15 mg/L"))))))</f>
        <v>7,5 ≤ Alc. Bruta &lt; 10,0 mg/L</v>
      </c>
      <c r="BA468" s="136" t="str">
        <f>IF(P468="","",IF(P468&lt;5,"Cor &lt;5 uC",IF(P468&lt;10,"5 ≤ Cor &lt; 10 uC",IF(P468&lt;15,"10 ≤ Cor &lt;15 uC",IF(P468&lt;30,"15 ≤ Cor &lt; 30 uC",IF(P468&lt;50,"30 ≤ Cor &lt; 50 uC","Cor &gt; 50 uC"))))))</f>
        <v>10 ≤ Cor &lt;15 uC</v>
      </c>
      <c r="BB468" s="137" t="str">
        <f>IF(O468="","",IF(O468&lt;2.5,"Turbidez &lt; 2,5 uT",IF(O468&lt;5,"2,5 ≤ Turb &lt; 5,0 uT",IF(O468&lt;7.5,"5,0 ≤ Turb &lt; 7,5 uT",IF(O468&lt;10,"7,5 ≤ Turb &lt; 10,0 uT",IF(O468&lt;15,"10,0 ≤ Turb &lt; 15,0 uT","Turb &gt; 15 uT"))))))</f>
        <v>Turbidez &lt; 2,5 uT</v>
      </c>
      <c r="BC468" s="138" t="str">
        <f>IF(AND(C468&gt;D468,D468&gt;E468),"TOR &gt; SM &gt; BNN",IF(AND(C468&gt;E468,E468&gt;D468),"TOR &gt; BNN &gt; SM",IF(AND(D468&gt;C468,C468&gt;E468),"SM &gt; TOR &gt; BNN",IF(AND(D468&gt;E468,E468&gt;C468),"SM &gt; BNN &gt; TOR",IF(AND(C468=D468,D468=E468),"TOR = SM = BNN","Comb. diferentes")))))</f>
        <v>SM &gt; BNN &gt; TOR</v>
      </c>
      <c r="BD468" s="137" t="str">
        <f>IF(OR(AE468="",AQ468="-"),"",IF(AE468&lt;=0.25,"Tipo 1 (≤0,25) uT",IF(AE468&lt;=0.5,"Tipo 2 (0,25-0,50) uT",IF(AE468&lt;=0.75,"Tipo 3 (0,50-0,75) uT","Tipo 4 (&gt;0,75) uT"))))</f>
        <v>Tipo 1 (≤0,25) uT</v>
      </c>
      <c r="BE468" s="137" t="str">
        <f t="shared" si="49"/>
        <v>Tipo 1 (≤0,25) uT</v>
      </c>
      <c r="BF468" s="137" t="str">
        <f>IF(OR(AF468="",AQ468="-"),"",IF(AF468&lt;=0.25,"Tipo 1 (≤0,25) uT",IF(AF468&lt;=0.5,"Tipo 2 (0,25-0,50) uT",IF(AF468&lt;=0.75,"Tipo 3 (0,50-0,75) uT","Tipo 4 (&gt;0,75) uT"))))</f>
        <v>Tipo 1 (≤0,25) uT</v>
      </c>
      <c r="BG468" s="137" t="str">
        <f t="shared" si="50"/>
        <v>Tipo 1 (≤0,25) uT</v>
      </c>
      <c r="BH468" s="137" t="str">
        <f>IF(OR(R468="",R468="-"),"",IF(R468&lt;=0.25,"Tipo 1 (≤0,25) uT",IF(R468&lt;=0.5,"Tipo 2 (0,25-0,50) uT",IF(R468&lt;=0.75,"Tipo 3 (0,50-0,75) uT","Tipo 4 (&gt;0,75) uT"))))</f>
        <v>Tipo 1 (≤0,25) uT</v>
      </c>
    </row>
    <row r="469" spans="1:60" ht="15" thickBot="1" x14ac:dyDescent="0.35">
      <c r="A469" s="74">
        <v>46311</v>
      </c>
      <c r="B469" s="139">
        <v>0.89583333333333337</v>
      </c>
      <c r="C469" s="118">
        <v>0</v>
      </c>
      <c r="D469" s="116">
        <v>1381</v>
      </c>
      <c r="E469" s="116">
        <v>501</v>
      </c>
      <c r="F469" s="116">
        <v>1870</v>
      </c>
      <c r="G469" s="144" t="s">
        <v>100</v>
      </c>
      <c r="H469" s="122">
        <v>9.5</v>
      </c>
      <c r="I469" s="116">
        <v>5</v>
      </c>
      <c r="J469" s="10">
        <v>20</v>
      </c>
      <c r="K469" s="116">
        <v>90</v>
      </c>
      <c r="L469" s="116">
        <v>90</v>
      </c>
      <c r="M469" s="122">
        <v>24.6</v>
      </c>
      <c r="N469" s="122">
        <v>6.5</v>
      </c>
      <c r="O469" s="79">
        <v>1.46</v>
      </c>
      <c r="P469" s="116">
        <v>8</v>
      </c>
      <c r="Q469" s="122">
        <v>9.9</v>
      </c>
      <c r="R469" s="10">
        <v>0.08</v>
      </c>
      <c r="S469" s="79">
        <v>22.36</v>
      </c>
      <c r="T469" s="79">
        <v>0.88</v>
      </c>
      <c r="U469" s="79">
        <v>0.7</v>
      </c>
      <c r="V469" s="85">
        <f t="shared" si="51"/>
        <v>1474.9625000000001</v>
      </c>
      <c r="W469" s="85">
        <f t="shared" si="52"/>
        <v>1750.3931224</v>
      </c>
      <c r="X469" s="85">
        <f t="shared" si="53"/>
        <v>1.1867373729162605</v>
      </c>
      <c r="Y469" s="116">
        <v>3</v>
      </c>
      <c r="Z469" s="116">
        <v>4</v>
      </c>
      <c r="AA469" s="122">
        <v>6.2</v>
      </c>
      <c r="AB469" s="116">
        <v>23</v>
      </c>
      <c r="AC469" s="122">
        <v>6.4</v>
      </c>
      <c r="AD469" s="122">
        <v>7.6</v>
      </c>
      <c r="AE469" s="79">
        <v>0.16</v>
      </c>
      <c r="AF469" s="79">
        <v>0.1</v>
      </c>
      <c r="AG469" s="85">
        <f>(O469+0.3*H469+2)*(F469/2/AK469)</f>
        <v>1966.616666666667</v>
      </c>
      <c r="AH469" s="85">
        <f t="shared" si="54"/>
        <v>1979.8438399999998</v>
      </c>
      <c r="AI469" s="85">
        <f t="shared" si="55"/>
        <v>1.006725852352178</v>
      </c>
      <c r="AJ469" s="116">
        <v>3</v>
      </c>
      <c r="AK469" s="116">
        <v>3</v>
      </c>
      <c r="AL469" s="122">
        <v>6.4</v>
      </c>
      <c r="AM469" s="116">
        <v>25</v>
      </c>
      <c r="AN469" s="122">
        <v>6.4</v>
      </c>
      <c r="AO469" s="122">
        <v>8.3000000000000007</v>
      </c>
      <c r="AP469" s="79">
        <v>0.19</v>
      </c>
      <c r="AQ469" s="79">
        <v>7.0000000000000007E-2</v>
      </c>
      <c r="AR469" s="132">
        <f>SUM(C469:E469)</f>
        <v>1882</v>
      </c>
      <c r="AS469" s="134">
        <f>C469/AR469</f>
        <v>0</v>
      </c>
      <c r="AT469" s="134">
        <f>D469/AR469</f>
        <v>0.73379383634431461</v>
      </c>
      <c r="AU469" s="134">
        <f>E469/AR469</f>
        <v>0.26620616365568545</v>
      </c>
      <c r="AV469" s="151">
        <f>IF(AND(F469&lt;&gt;"",Z469&lt;&gt;""),AB469/(F469/2/Z469),"")</f>
        <v>9.8395721925133683E-2</v>
      </c>
      <c r="AW469" s="151">
        <f>IF(AND(F469&lt;&gt;"",AK469&lt;&gt;""),AM469/(F469/2/AK469),"")</f>
        <v>8.0213903743315509E-2</v>
      </c>
      <c r="AX469" s="43">
        <f>IF(AND(AQ469&lt;&gt;"",1-(AQ469/O469)&gt;0),1-(AQ469/O469),"")</f>
        <v>0.95205479452054798</v>
      </c>
      <c r="AY469" s="41">
        <f>IF(AND(AF469&lt;&gt;"",1-(AF469/O469)&gt;0),1-(AF469/O469),"")</f>
        <v>0.93150684931506844</v>
      </c>
      <c r="AZ469" s="136" t="str">
        <f>IF(Q469="","",IF(Q469&lt;2.5,"Alc. Bruta &lt; 2,5 mg/L",IF(Q469&lt;5,"2,5 ≤ Alc. Bruta &lt; 5,0 mg/L",IF(Q469&lt;7.5,"5,0 ≤ Alc. Bruta &lt; 7,5 mg/L",IF(Q469&lt;10,"7,5 ≤ Alc. Bruta &lt; 10,0 mg/L",IF(Q469&lt;15,"10,0 ≤ Alca. Bruta &lt; 15,0 mg/L","Alc. Bruta &gt; 15 mg/L"))))))</f>
        <v>7,5 ≤ Alc. Bruta &lt; 10,0 mg/L</v>
      </c>
      <c r="BA469" s="136" t="str">
        <f>IF(P469="","",IF(P469&lt;5,"Cor &lt;5 uC",IF(P469&lt;10,"5 ≤ Cor &lt; 10 uC",IF(P469&lt;15,"10 ≤ Cor &lt;15 uC",IF(P469&lt;30,"15 ≤ Cor &lt; 30 uC",IF(P469&lt;50,"30 ≤ Cor &lt; 50 uC","Cor &gt; 50 uC"))))))</f>
        <v>5 ≤ Cor &lt; 10 uC</v>
      </c>
      <c r="BB469" s="137" t="str">
        <f>IF(O469="","",IF(O469&lt;2.5,"Turbidez &lt; 2,5 uT",IF(O469&lt;5,"2,5 ≤ Turb &lt; 5,0 uT",IF(O469&lt;7.5,"5,0 ≤ Turb &lt; 7,5 uT",IF(O469&lt;10,"7,5 ≤ Turb &lt; 10,0 uT",IF(O469&lt;15,"10,0 ≤ Turb &lt; 15,0 uT","Turb &gt; 15 uT"))))))</f>
        <v>Turbidez &lt; 2,5 uT</v>
      </c>
      <c r="BC469" s="138" t="str">
        <f>IF(AND(C469&gt;D469,D469&gt;E469),"TOR &gt; SM &gt; BNN",IF(AND(C469&gt;E469,E469&gt;D469),"TOR &gt; BNN &gt; SM",IF(AND(D469&gt;C469,C469&gt;E469),"SM &gt; TOR &gt; BNN",IF(AND(D469&gt;E469,E469&gt;C469),"SM &gt; BNN &gt; TOR",IF(AND(C469=D469,D469=E469),"TOR = SM = BNN","Comb. diferentes")))))</f>
        <v>SM &gt; BNN &gt; TOR</v>
      </c>
      <c r="BD469" s="137" t="str">
        <f>IF(OR(AE469="",AQ469="-"),"",IF(AE469&lt;=0.25,"Tipo 1 (≤0,25) uT",IF(AE469&lt;=0.5,"Tipo 2 (0,25-0,50) uT",IF(AE469&lt;=0.75,"Tipo 3 (0,50-0,75) uT","Tipo 4 (&gt;0,75) uT"))))</f>
        <v>Tipo 1 (≤0,25) uT</v>
      </c>
      <c r="BE469" s="137" t="str">
        <f t="shared" si="49"/>
        <v>Tipo 1 (≤0,25) uT</v>
      </c>
      <c r="BF469" s="137" t="str">
        <f>IF(OR(AF469="",AQ469="-"),"",IF(AF469&lt;=0.25,"Tipo 1 (≤0,25) uT",IF(AF469&lt;=0.5,"Tipo 2 (0,25-0,50) uT",IF(AF469&lt;=0.75,"Tipo 3 (0,50-0,75) uT","Tipo 4 (&gt;0,75) uT"))))</f>
        <v>Tipo 1 (≤0,25) uT</v>
      </c>
      <c r="BG469" s="137" t="str">
        <f t="shared" si="50"/>
        <v>Tipo 1 (≤0,25) uT</v>
      </c>
      <c r="BH469" s="137" t="str">
        <f>IF(OR(R469="",R469="-"),"",IF(R469&lt;=0.25,"Tipo 1 (≤0,25) uT",IF(R469&lt;=0.5,"Tipo 2 (0,25-0,50) uT",IF(R469&lt;=0.75,"Tipo 3 (0,50-0,75) uT","Tipo 4 (&gt;0,75) uT"))))</f>
        <v>Tipo 1 (≤0,25) uT</v>
      </c>
    </row>
    <row r="470" spans="1:60" ht="15" thickBot="1" x14ac:dyDescent="0.35">
      <c r="A470" s="74">
        <v>46312</v>
      </c>
      <c r="B470" s="139">
        <v>6.25E-2</v>
      </c>
      <c r="C470" s="118">
        <v>0</v>
      </c>
      <c r="D470" s="116">
        <v>1419</v>
      </c>
      <c r="E470" s="116">
        <v>500</v>
      </c>
      <c r="F470" s="116">
        <v>1923</v>
      </c>
      <c r="G470" s="144" t="s">
        <v>100</v>
      </c>
      <c r="H470" s="122">
        <v>9.5</v>
      </c>
      <c r="I470" s="116">
        <v>0</v>
      </c>
      <c r="J470" s="10">
        <v>90</v>
      </c>
      <c r="K470" s="116">
        <v>90</v>
      </c>
      <c r="L470" s="116">
        <v>90</v>
      </c>
      <c r="M470" s="122">
        <v>24.6</v>
      </c>
      <c r="N470" s="122">
        <v>6.6</v>
      </c>
      <c r="O470" s="79">
        <v>1.44</v>
      </c>
      <c r="P470" s="116">
        <v>10</v>
      </c>
      <c r="Q470" s="122">
        <v>10.1</v>
      </c>
      <c r="R470" s="10">
        <v>0.09</v>
      </c>
      <c r="S470" s="79">
        <v>22.36</v>
      </c>
      <c r="T470" s="79">
        <v>0.88</v>
      </c>
      <c r="U470" s="79">
        <v>0.7</v>
      </c>
      <c r="V470" s="85">
        <f t="shared" si="51"/>
        <v>1511.95875</v>
      </c>
      <c r="W470" s="85">
        <f t="shared" si="52"/>
        <v>1750.3931224</v>
      </c>
      <c r="X470" s="85">
        <f t="shared" si="53"/>
        <v>1.1576989930446184</v>
      </c>
      <c r="Y470" s="116">
        <v>3</v>
      </c>
      <c r="Z470" s="116">
        <v>4</v>
      </c>
      <c r="AA470" s="122">
        <v>6.2</v>
      </c>
      <c r="AB470" s="116">
        <v>23</v>
      </c>
      <c r="AC470" s="122">
        <v>6.3</v>
      </c>
      <c r="AD470" s="122">
        <v>7.4</v>
      </c>
      <c r="AE470" s="79">
        <v>0.19</v>
      </c>
      <c r="AF470" s="79">
        <v>0.1</v>
      </c>
      <c r="AG470" s="85">
        <f>(O470+0.3*H470+2)*(F470/2/AK470)</f>
        <v>2015.9449999999999</v>
      </c>
      <c r="AH470" s="85">
        <f t="shared" si="54"/>
        <v>1979.8438399999998</v>
      </c>
      <c r="AI470" s="85">
        <f t="shared" si="55"/>
        <v>0.9820921900151045</v>
      </c>
      <c r="AJ470" s="116">
        <v>3</v>
      </c>
      <c r="AK470" s="116">
        <v>3</v>
      </c>
      <c r="AL470" s="122">
        <v>6.4</v>
      </c>
      <c r="AM470" s="116">
        <v>25</v>
      </c>
      <c r="AN470" s="122">
        <v>6.3</v>
      </c>
      <c r="AO470" s="122">
        <v>7.9</v>
      </c>
      <c r="AP470" s="79">
        <v>0.17</v>
      </c>
      <c r="AQ470" s="79">
        <v>7.0000000000000007E-2</v>
      </c>
      <c r="AR470" s="132">
        <f>SUM(C470:E470)</f>
        <v>1919</v>
      </c>
      <c r="AS470" s="134">
        <f>C470/AR470</f>
        <v>0</v>
      </c>
      <c r="AT470" s="134">
        <f>D470/AR470</f>
        <v>0.73944762897342364</v>
      </c>
      <c r="AU470" s="134">
        <f>E470/AR470</f>
        <v>0.26055237102657636</v>
      </c>
      <c r="AV470" s="151">
        <f>IF(AND(F470&lt;&gt;"",Z470&lt;&gt;""),AB470/(F470/2/Z470),"")</f>
        <v>9.5683827353094122E-2</v>
      </c>
      <c r="AW470" s="151">
        <f>IF(AND(F470&lt;&gt;"",AK470&lt;&gt;""),AM470/(F470/2/AK470),"")</f>
        <v>7.8003120124804995E-2</v>
      </c>
      <c r="AX470" s="43">
        <f>IF(AND(AQ470&lt;&gt;"",1-(AQ470/O470)&gt;0),1-(AQ470/O470),"")</f>
        <v>0.95138888888888884</v>
      </c>
      <c r="AY470" s="41">
        <f>IF(AND(AF470&lt;&gt;"",1-(AF470/O470)&gt;0),1-(AF470/O470),"")</f>
        <v>0.93055555555555558</v>
      </c>
      <c r="AZ470" s="136" t="str">
        <f>IF(Q470="","",IF(Q470&lt;2.5,"Alc. Bruta &lt; 2,5 mg/L",IF(Q470&lt;5,"2,5 ≤ Alc. Bruta &lt; 5,0 mg/L",IF(Q470&lt;7.5,"5,0 ≤ Alc. Bruta &lt; 7,5 mg/L",IF(Q470&lt;10,"7,5 ≤ Alc. Bruta &lt; 10,0 mg/L",IF(Q470&lt;15,"10,0 ≤ Alca. Bruta &lt; 15,0 mg/L","Alc. Bruta &gt; 15 mg/L"))))))</f>
        <v>10,0 ≤ Alca. Bruta &lt; 15,0 mg/L</v>
      </c>
      <c r="BA470" s="136" t="str">
        <f>IF(P470="","",IF(P470&lt;5,"Cor &lt;5 uC",IF(P470&lt;10,"5 ≤ Cor &lt; 10 uC",IF(P470&lt;15,"10 ≤ Cor &lt;15 uC",IF(P470&lt;30,"15 ≤ Cor &lt; 30 uC",IF(P470&lt;50,"30 ≤ Cor &lt; 50 uC","Cor &gt; 50 uC"))))))</f>
        <v>10 ≤ Cor &lt;15 uC</v>
      </c>
      <c r="BB470" s="137" t="str">
        <f>IF(O470="","",IF(O470&lt;2.5,"Turbidez &lt; 2,5 uT",IF(O470&lt;5,"2,5 ≤ Turb &lt; 5,0 uT",IF(O470&lt;7.5,"5,0 ≤ Turb &lt; 7,5 uT",IF(O470&lt;10,"7,5 ≤ Turb &lt; 10,0 uT",IF(O470&lt;15,"10,0 ≤ Turb &lt; 15,0 uT","Turb &gt; 15 uT"))))))</f>
        <v>Turbidez &lt; 2,5 uT</v>
      </c>
      <c r="BC470" s="138" t="str">
        <f>IF(AND(C470&gt;D470,D470&gt;E470),"TOR &gt; SM &gt; BNN",IF(AND(C470&gt;E470,E470&gt;D470),"TOR &gt; BNN &gt; SM",IF(AND(D470&gt;C470,C470&gt;E470),"SM &gt; TOR &gt; BNN",IF(AND(D470&gt;E470,E470&gt;C470),"SM &gt; BNN &gt; TOR",IF(AND(C470=D470,D470=E470),"TOR = SM = BNN","Comb. diferentes")))))</f>
        <v>SM &gt; BNN &gt; TOR</v>
      </c>
      <c r="BD470" s="137" t="str">
        <f>IF(OR(AE470="",AQ470="-"),"",IF(AE470&lt;=0.25,"Tipo 1 (≤0,25) uT",IF(AE470&lt;=0.5,"Tipo 2 (0,25-0,50) uT",IF(AE470&lt;=0.75,"Tipo 3 (0,50-0,75) uT","Tipo 4 (&gt;0,75) uT"))))</f>
        <v>Tipo 1 (≤0,25) uT</v>
      </c>
      <c r="BE470" s="137" t="str">
        <f t="shared" si="49"/>
        <v>Tipo 1 (≤0,25) uT</v>
      </c>
      <c r="BF470" s="137" t="str">
        <f>IF(OR(AF470="",AQ470="-"),"",IF(AF470&lt;=0.25,"Tipo 1 (≤0,25) uT",IF(AF470&lt;=0.5,"Tipo 2 (0,25-0,50) uT",IF(AF470&lt;=0.75,"Tipo 3 (0,50-0,75) uT","Tipo 4 (&gt;0,75) uT"))))</f>
        <v>Tipo 1 (≤0,25) uT</v>
      </c>
      <c r="BG470" s="137" t="str">
        <f t="shared" si="50"/>
        <v>Tipo 1 (≤0,25) uT</v>
      </c>
      <c r="BH470" s="137" t="str">
        <f>IF(OR(R470="",R470="-"),"",IF(R470&lt;=0.25,"Tipo 1 (≤0,25) uT",IF(R470&lt;=0.5,"Tipo 2 (0,25-0,50) uT",IF(R470&lt;=0.75,"Tipo 3 (0,50-0,75) uT","Tipo 4 (&gt;0,75) uT"))))</f>
        <v>Tipo 1 (≤0,25) uT</v>
      </c>
    </row>
    <row r="471" spans="1:60" ht="15" thickBot="1" x14ac:dyDescent="0.35">
      <c r="A471" s="74">
        <v>46312</v>
      </c>
      <c r="B471" s="139">
        <v>0.14583333333333334</v>
      </c>
      <c r="C471" s="118">
        <v>0</v>
      </c>
      <c r="D471" s="116">
        <v>1381</v>
      </c>
      <c r="E471" s="116">
        <v>500</v>
      </c>
      <c r="F471" s="116">
        <v>1936</v>
      </c>
      <c r="G471" s="144" t="s">
        <v>100</v>
      </c>
      <c r="H471" s="122">
        <v>9.5</v>
      </c>
      <c r="I471" s="116">
        <v>0</v>
      </c>
      <c r="J471" s="10">
        <v>90</v>
      </c>
      <c r="K471" s="116">
        <v>90</v>
      </c>
      <c r="L471" s="116">
        <v>90</v>
      </c>
      <c r="M471" s="122">
        <v>24.2</v>
      </c>
      <c r="N471" s="122">
        <v>6.5</v>
      </c>
      <c r="O471" s="79">
        <v>1.28</v>
      </c>
      <c r="P471" s="116">
        <v>6</v>
      </c>
      <c r="Q471" s="122">
        <v>9.6</v>
      </c>
      <c r="R471" s="10">
        <v>0.09</v>
      </c>
      <c r="S471" s="79">
        <v>22.36</v>
      </c>
      <c r="T471" s="79">
        <v>0.88</v>
      </c>
      <c r="U471" s="79">
        <v>0.7</v>
      </c>
      <c r="V471" s="85">
        <f t="shared" si="51"/>
        <v>1483.46</v>
      </c>
      <c r="W471" s="85">
        <f t="shared" si="52"/>
        <v>1900.6500864</v>
      </c>
      <c r="X471" s="85">
        <f t="shared" si="53"/>
        <v>1.2812277286883367</v>
      </c>
      <c r="Y471" s="116">
        <v>3</v>
      </c>
      <c r="Z471" s="116">
        <v>4</v>
      </c>
      <c r="AA471" s="122">
        <v>6.4</v>
      </c>
      <c r="AB471" s="116">
        <v>24</v>
      </c>
      <c r="AC471" s="122">
        <v>6.3</v>
      </c>
      <c r="AD471" s="122">
        <v>8.6</v>
      </c>
      <c r="AE471" s="79">
        <v>0.26</v>
      </c>
      <c r="AF471" s="79">
        <v>0.1</v>
      </c>
      <c r="AG471" s="85">
        <f>(O471+0.3*H471+2)*(F471/2/AK471)</f>
        <v>1977.9466666666667</v>
      </c>
      <c r="AH471" s="85">
        <f t="shared" si="54"/>
        <v>1979.8438399999998</v>
      </c>
      <c r="AI471" s="85">
        <f t="shared" si="55"/>
        <v>1.000959163037763</v>
      </c>
      <c r="AJ471" s="116">
        <v>3</v>
      </c>
      <c r="AK471" s="116">
        <v>3</v>
      </c>
      <c r="AL471" s="122">
        <v>6.4</v>
      </c>
      <c r="AM471" s="116">
        <v>25</v>
      </c>
      <c r="AN471" s="122">
        <v>6.3</v>
      </c>
      <c r="AO471" s="122">
        <v>8.1999999999999993</v>
      </c>
      <c r="AP471" s="79">
        <v>0.18</v>
      </c>
      <c r="AQ471" s="79">
        <v>0.08</v>
      </c>
      <c r="AR471" s="132">
        <f>SUM(C471:E471)</f>
        <v>1881</v>
      </c>
      <c r="AS471" s="134">
        <f>C471/AR471</f>
        <v>0</v>
      </c>
      <c r="AT471" s="134">
        <f>D471/AR471</f>
        <v>0.73418394471026049</v>
      </c>
      <c r="AU471" s="134">
        <f>E471/AR471</f>
        <v>0.26581605528973951</v>
      </c>
      <c r="AV471" s="151">
        <f>IF(AND(F471&lt;&gt;"",Z471&lt;&gt;""),AB471/(F471/2/Z471),"")</f>
        <v>9.9173553719008267E-2</v>
      </c>
      <c r="AW471" s="151">
        <f>IF(AND(F471&lt;&gt;"",AK471&lt;&gt;""),AM471/(F471/2/AK471),"")</f>
        <v>7.7479338842975198E-2</v>
      </c>
      <c r="AX471" s="43">
        <f>IF(AND(AQ471&lt;&gt;"",1-(AQ471/O471)&gt;0),1-(AQ471/O471),"")</f>
        <v>0.9375</v>
      </c>
      <c r="AY471" s="41">
        <f>IF(AND(AF471&lt;&gt;"",1-(AF471/O471)&gt;0),1-(AF471/O471),"")</f>
        <v>0.921875</v>
      </c>
      <c r="AZ471" s="136" t="str">
        <f>IF(Q471="","",IF(Q471&lt;2.5,"Alc. Bruta &lt; 2,5 mg/L",IF(Q471&lt;5,"2,5 ≤ Alc. Bruta &lt; 5,0 mg/L",IF(Q471&lt;7.5,"5,0 ≤ Alc. Bruta &lt; 7,5 mg/L",IF(Q471&lt;10,"7,5 ≤ Alc. Bruta &lt; 10,0 mg/L",IF(Q471&lt;15,"10,0 ≤ Alca. Bruta &lt; 15,0 mg/L","Alc. Bruta &gt; 15 mg/L"))))))</f>
        <v>7,5 ≤ Alc. Bruta &lt; 10,0 mg/L</v>
      </c>
      <c r="BA471" s="136" t="str">
        <f>IF(P471="","",IF(P471&lt;5,"Cor &lt;5 uC",IF(P471&lt;10,"5 ≤ Cor &lt; 10 uC",IF(P471&lt;15,"10 ≤ Cor &lt;15 uC",IF(P471&lt;30,"15 ≤ Cor &lt; 30 uC",IF(P471&lt;50,"30 ≤ Cor &lt; 50 uC","Cor &gt; 50 uC"))))))</f>
        <v>5 ≤ Cor &lt; 10 uC</v>
      </c>
      <c r="BB471" s="137" t="str">
        <f>IF(O471="","",IF(O471&lt;2.5,"Turbidez &lt; 2,5 uT",IF(O471&lt;5,"2,5 ≤ Turb &lt; 5,0 uT",IF(O471&lt;7.5,"5,0 ≤ Turb &lt; 7,5 uT",IF(O471&lt;10,"7,5 ≤ Turb &lt; 10,0 uT",IF(O471&lt;15,"10,0 ≤ Turb &lt; 15,0 uT","Turb &gt; 15 uT"))))))</f>
        <v>Turbidez &lt; 2,5 uT</v>
      </c>
      <c r="BC471" s="138" t="str">
        <f>IF(AND(C471&gt;D471,D471&gt;E471),"TOR &gt; SM &gt; BNN",IF(AND(C471&gt;E471,E471&gt;D471),"TOR &gt; BNN &gt; SM",IF(AND(D471&gt;C471,C471&gt;E471),"SM &gt; TOR &gt; BNN",IF(AND(D471&gt;E471,E471&gt;C471),"SM &gt; BNN &gt; TOR",IF(AND(C471=D471,D471=E471),"TOR = SM = BNN","Comb. diferentes")))))</f>
        <v>SM &gt; BNN &gt; TOR</v>
      </c>
      <c r="BD471" s="137" t="str">
        <f>IF(OR(AE471="",AQ471="-"),"",IF(AE471&lt;=0.25,"Tipo 1 (≤0,25) uT",IF(AE471&lt;=0.5,"Tipo 2 (0,25-0,50) uT",IF(AE471&lt;=0.75,"Tipo 3 (0,50-0,75) uT","Tipo 4 (&gt;0,75) uT"))))</f>
        <v>Tipo 2 (0,25-0,50) uT</v>
      </c>
      <c r="BE471" s="137" t="str">
        <f t="shared" si="49"/>
        <v>Tipo 1 (≤0,25) uT</v>
      </c>
      <c r="BF471" s="137" t="str">
        <f>IF(OR(AF471="",AQ471="-"),"",IF(AF471&lt;=0.25,"Tipo 1 (≤0,25) uT",IF(AF471&lt;=0.5,"Tipo 2 (0,25-0,50) uT",IF(AF471&lt;=0.75,"Tipo 3 (0,50-0,75) uT","Tipo 4 (&gt;0,75) uT"))))</f>
        <v>Tipo 1 (≤0,25) uT</v>
      </c>
      <c r="BG471" s="137" t="str">
        <f t="shared" si="50"/>
        <v>Tipo 1 (≤0,25) uT</v>
      </c>
      <c r="BH471" s="137" t="str">
        <f>IF(OR(R471="",R471="-"),"",IF(R471&lt;=0.25,"Tipo 1 (≤0,25) uT",IF(R471&lt;=0.5,"Tipo 2 (0,25-0,50) uT",IF(R471&lt;=0.75,"Tipo 3 (0,50-0,75) uT","Tipo 4 (&gt;0,75) uT"))))</f>
        <v>Tipo 1 (≤0,25) uT</v>
      </c>
    </row>
    <row r="472" spans="1:60" ht="15" thickBot="1" x14ac:dyDescent="0.35">
      <c r="A472" s="75">
        <v>46312</v>
      </c>
      <c r="B472" s="140">
        <v>0.22916666666666666</v>
      </c>
      <c r="C472" s="118">
        <v>0</v>
      </c>
      <c r="D472" s="117">
        <v>1360</v>
      </c>
      <c r="E472" s="117">
        <v>500</v>
      </c>
      <c r="F472" s="117">
        <v>1868</v>
      </c>
      <c r="G472" s="145" t="s">
        <v>100</v>
      </c>
      <c r="H472" s="123">
        <v>9.5</v>
      </c>
      <c r="I472" s="117">
        <v>1</v>
      </c>
      <c r="J472" s="11">
        <v>90</v>
      </c>
      <c r="K472" s="117">
        <v>90</v>
      </c>
      <c r="L472" s="117">
        <v>90</v>
      </c>
      <c r="M472" s="123">
        <v>24.1</v>
      </c>
      <c r="N472" s="123">
        <v>6.6</v>
      </c>
      <c r="O472" s="80">
        <v>1.26</v>
      </c>
      <c r="P472" s="117">
        <v>7</v>
      </c>
      <c r="Q472" s="123">
        <v>8.4</v>
      </c>
      <c r="R472" s="11">
        <v>0.09</v>
      </c>
      <c r="S472" s="79">
        <v>22.36</v>
      </c>
      <c r="T472" s="79">
        <v>0.88</v>
      </c>
      <c r="U472" s="79">
        <v>0.7</v>
      </c>
      <c r="V472" s="85">
        <f t="shared" si="51"/>
        <v>1426.6850000000002</v>
      </c>
      <c r="W472" s="85">
        <f t="shared" si="52"/>
        <v>1752.3442559999999</v>
      </c>
      <c r="X472" s="85">
        <f t="shared" si="53"/>
        <v>1.228262900359925</v>
      </c>
      <c r="Y472" s="117">
        <v>3</v>
      </c>
      <c r="Z472" s="117">
        <v>4</v>
      </c>
      <c r="AA472" s="123">
        <v>6</v>
      </c>
      <c r="AB472" s="117">
        <v>24</v>
      </c>
      <c r="AC472" s="123">
        <v>6.3</v>
      </c>
      <c r="AD472" s="123">
        <v>8.6999999999999993</v>
      </c>
      <c r="AE472" s="80">
        <v>0.13</v>
      </c>
      <c r="AF472" s="80">
        <v>0.1</v>
      </c>
      <c r="AG472" s="85">
        <f>(O472+0.3*H472+2)*(F472/2/AK472)</f>
        <v>1902.2466666666667</v>
      </c>
      <c r="AH472" s="85">
        <f t="shared" si="54"/>
        <v>1979.8438399999998</v>
      </c>
      <c r="AI472" s="85">
        <f t="shared" si="55"/>
        <v>1.0407923823408811</v>
      </c>
      <c r="AJ472" s="117">
        <v>3</v>
      </c>
      <c r="AK472" s="117">
        <v>3</v>
      </c>
      <c r="AL472" s="123">
        <v>6.4</v>
      </c>
      <c r="AM472" s="117">
        <v>25</v>
      </c>
      <c r="AN472" s="123">
        <v>6.3</v>
      </c>
      <c r="AO472" s="123">
        <v>7.9</v>
      </c>
      <c r="AP472" s="80">
        <v>0.14000000000000001</v>
      </c>
      <c r="AQ472" s="80">
        <v>7.0000000000000007E-2</v>
      </c>
      <c r="AR472" s="132">
        <f>SUM(C472:E472)</f>
        <v>1860</v>
      </c>
      <c r="AS472" s="134">
        <f>C472/AR472</f>
        <v>0</v>
      </c>
      <c r="AT472" s="134">
        <f>D472/AR472</f>
        <v>0.73118279569892475</v>
      </c>
      <c r="AU472" s="134">
        <f>E472/AR472</f>
        <v>0.26881720430107525</v>
      </c>
      <c r="AV472" s="151">
        <f>IF(AND(F472&lt;&gt;"",Z472&lt;&gt;""),AB472/(F472/2/Z472),"")</f>
        <v>0.10278372591006424</v>
      </c>
      <c r="AW472" s="151">
        <f>IF(AND(F472&lt;&gt;"",AK472&lt;&gt;""),AM472/(F472/2/AK472),"")</f>
        <v>8.0299785867237697E-2</v>
      </c>
      <c r="AX472" s="43">
        <f>IF(AND(AQ472&lt;&gt;"",1-(AQ472/O472)&gt;0),1-(AQ472/O472),"")</f>
        <v>0.94444444444444442</v>
      </c>
      <c r="AY472" s="41">
        <f>IF(AND(AF472&lt;&gt;"",1-(AF472/O472)&gt;0),1-(AF472/O472),"")</f>
        <v>0.92063492063492058</v>
      </c>
      <c r="AZ472" s="136" t="str">
        <f>IF(Q472="","",IF(Q472&lt;2.5,"Alc. Bruta &lt; 2,5 mg/L",IF(Q472&lt;5,"2,5 ≤ Alc. Bruta &lt; 5,0 mg/L",IF(Q472&lt;7.5,"5,0 ≤ Alc. Bruta &lt; 7,5 mg/L",IF(Q472&lt;10,"7,5 ≤ Alc. Bruta &lt; 10,0 mg/L",IF(Q472&lt;15,"10,0 ≤ Alca. Bruta &lt; 15,0 mg/L","Alc. Bruta &gt; 15 mg/L"))))))</f>
        <v>7,5 ≤ Alc. Bruta &lt; 10,0 mg/L</v>
      </c>
      <c r="BA472" s="136" t="str">
        <f>IF(P472="","",IF(P472&lt;5,"Cor &lt;5 uC",IF(P472&lt;10,"5 ≤ Cor &lt; 10 uC",IF(P472&lt;15,"10 ≤ Cor &lt;15 uC",IF(P472&lt;30,"15 ≤ Cor &lt; 30 uC",IF(P472&lt;50,"30 ≤ Cor &lt; 50 uC","Cor &gt; 50 uC"))))))</f>
        <v>5 ≤ Cor &lt; 10 uC</v>
      </c>
      <c r="BB472" s="137" t="str">
        <f>IF(O472="","",IF(O472&lt;2.5,"Turbidez &lt; 2,5 uT",IF(O472&lt;5,"2,5 ≤ Turb &lt; 5,0 uT",IF(O472&lt;7.5,"5,0 ≤ Turb &lt; 7,5 uT",IF(O472&lt;10,"7,5 ≤ Turb &lt; 10,0 uT",IF(O472&lt;15,"10,0 ≤ Turb &lt; 15,0 uT","Turb &gt; 15 uT"))))))</f>
        <v>Turbidez &lt; 2,5 uT</v>
      </c>
      <c r="BC472" s="138" t="str">
        <f>IF(AND(C472&gt;D472,D472&gt;E472),"TOR &gt; SM &gt; BNN",IF(AND(C472&gt;E472,E472&gt;D472),"TOR &gt; BNN &gt; SM",IF(AND(D472&gt;C472,C472&gt;E472),"SM &gt; TOR &gt; BNN",IF(AND(D472&gt;E472,E472&gt;C472),"SM &gt; BNN &gt; TOR",IF(AND(C472=D472,D472=E472),"TOR = SM = BNN","Comb. diferentes")))))</f>
        <v>SM &gt; BNN &gt; TOR</v>
      </c>
      <c r="BD472" s="137" t="str">
        <f>IF(OR(AE472="",AQ472="-"),"",IF(AE472&lt;=0.25,"Tipo 1 (≤0,25) uT",IF(AE472&lt;=0.5,"Tipo 2 (0,25-0,50) uT",IF(AE472&lt;=0.75,"Tipo 3 (0,50-0,75) uT","Tipo 4 (&gt;0,75) uT"))))</f>
        <v>Tipo 1 (≤0,25) uT</v>
      </c>
      <c r="BE472" s="137" t="str">
        <f t="shared" si="49"/>
        <v>Tipo 1 (≤0,25) uT</v>
      </c>
      <c r="BF472" s="137" t="str">
        <f>IF(OR(AF472="",AQ472="-"),"",IF(AF472&lt;=0.25,"Tipo 1 (≤0,25) uT",IF(AF472&lt;=0.5,"Tipo 2 (0,25-0,50) uT",IF(AF472&lt;=0.75,"Tipo 3 (0,50-0,75) uT","Tipo 4 (&gt;0,75) uT"))))</f>
        <v>Tipo 1 (≤0,25) uT</v>
      </c>
      <c r="BG472" s="137" t="str">
        <f t="shared" si="50"/>
        <v>Tipo 1 (≤0,25) uT</v>
      </c>
      <c r="BH472" s="137" t="str">
        <f>IF(OR(R472="",R472="-"),"",IF(R472&lt;=0.25,"Tipo 1 (≤0,25) uT",IF(R472&lt;=0.5,"Tipo 2 (0,25-0,50) uT",IF(R472&lt;=0.75,"Tipo 3 (0,50-0,75) uT","Tipo 4 (&gt;0,75) uT"))))</f>
        <v>Tipo 1 (≤0,25) uT</v>
      </c>
    </row>
    <row r="473" spans="1:60" x14ac:dyDescent="0.3">
      <c r="A473" s="73">
        <v>46312</v>
      </c>
      <c r="B473" s="141">
        <v>0.3125</v>
      </c>
      <c r="C473" s="118">
        <v>0</v>
      </c>
      <c r="D473" s="118">
        <v>1380</v>
      </c>
      <c r="E473" s="118">
        <v>500</v>
      </c>
      <c r="F473" s="118">
        <v>1896</v>
      </c>
      <c r="G473" s="146" t="s">
        <v>100</v>
      </c>
      <c r="H473" s="124">
        <v>9.5</v>
      </c>
      <c r="I473" s="118">
        <v>-11</v>
      </c>
      <c r="J473" s="9">
        <v>90</v>
      </c>
      <c r="K473" s="118">
        <v>90</v>
      </c>
      <c r="L473" s="118">
        <v>90</v>
      </c>
      <c r="M473" s="124">
        <v>24</v>
      </c>
      <c r="N473" s="124">
        <v>6.5</v>
      </c>
      <c r="O473" s="81">
        <v>1.24</v>
      </c>
      <c r="P473" s="118">
        <v>6</v>
      </c>
      <c r="Q473" s="124">
        <v>9.1999999999999993</v>
      </c>
      <c r="R473" s="9">
        <v>0.09</v>
      </c>
      <c r="S473" s="79">
        <v>22.36</v>
      </c>
      <c r="T473" s="79">
        <v>0.88</v>
      </c>
      <c r="U473" s="79">
        <v>0.7</v>
      </c>
      <c r="V473" s="85">
        <f t="shared" si="51"/>
        <v>1443.33</v>
      </c>
      <c r="W473" s="85">
        <f t="shared" si="52"/>
        <v>1679.3299119999999</v>
      </c>
      <c r="X473" s="85">
        <f t="shared" si="53"/>
        <v>1.163510709262608</v>
      </c>
      <c r="Y473" s="118">
        <v>3</v>
      </c>
      <c r="Z473" s="118">
        <v>4</v>
      </c>
      <c r="AA473" s="124">
        <v>6</v>
      </c>
      <c r="AB473" s="118">
        <v>23</v>
      </c>
      <c r="AC473" s="124">
        <v>6.2</v>
      </c>
      <c r="AD473" s="124">
        <v>7.4</v>
      </c>
      <c r="AE473" s="81">
        <v>0.15</v>
      </c>
      <c r="AF473" s="81">
        <v>0.1</v>
      </c>
      <c r="AG473" s="85">
        <f>(O473+0.3*H473+2)*(F473/2/AK473)</f>
        <v>1924.44</v>
      </c>
      <c r="AH473" s="85">
        <f t="shared" si="54"/>
        <v>1979.8438399999998</v>
      </c>
      <c r="AI473" s="85">
        <f t="shared" si="55"/>
        <v>1.0287895907380846</v>
      </c>
      <c r="AJ473" s="118">
        <v>3</v>
      </c>
      <c r="AK473" s="118">
        <v>3</v>
      </c>
      <c r="AL473" s="124">
        <v>6.4</v>
      </c>
      <c r="AM473" s="118">
        <v>25</v>
      </c>
      <c r="AN473" s="124">
        <v>6.3</v>
      </c>
      <c r="AO473" s="124">
        <v>7.1</v>
      </c>
      <c r="AP473" s="81">
        <v>0.14000000000000001</v>
      </c>
      <c r="AQ473" s="81">
        <v>0.08</v>
      </c>
      <c r="AR473" s="132">
        <f>SUM(C473:E473)</f>
        <v>1880</v>
      </c>
      <c r="AS473" s="134">
        <f>C473/AR473</f>
        <v>0</v>
      </c>
      <c r="AT473" s="134">
        <f>D473/AR473</f>
        <v>0.73404255319148937</v>
      </c>
      <c r="AU473" s="134">
        <f>E473/AR473</f>
        <v>0.26595744680851063</v>
      </c>
      <c r="AV473" s="151">
        <f>IF(AND(F473&lt;&gt;"",Z473&lt;&gt;""),AB473/(F473/2/Z473),"")</f>
        <v>9.7046413502109699E-2</v>
      </c>
      <c r="AW473" s="151">
        <f>IF(AND(F473&lt;&gt;"",AK473&lt;&gt;""),AM473/(F473/2/AK473),"")</f>
        <v>7.9113924050632917E-2</v>
      </c>
      <c r="AX473" s="43">
        <f>IF(AND(AQ473&lt;&gt;"",1-(AQ473/O473)&gt;0),1-(AQ473/O473),"")</f>
        <v>0.93548387096774199</v>
      </c>
      <c r="AY473" s="41">
        <f>IF(AND(AF473&lt;&gt;"",1-(AF473/O473)&gt;0),1-(AF473/O473),"")</f>
        <v>0.91935483870967738</v>
      </c>
      <c r="AZ473" s="136" t="str">
        <f>IF(Q473="","",IF(Q473&lt;2.5,"Alc. Bruta &lt; 2,5 mg/L",IF(Q473&lt;5,"2,5 ≤ Alc. Bruta &lt; 5,0 mg/L",IF(Q473&lt;7.5,"5,0 ≤ Alc. Bruta &lt; 7,5 mg/L",IF(Q473&lt;10,"7,5 ≤ Alc. Bruta &lt; 10,0 mg/L",IF(Q473&lt;15,"10,0 ≤ Alca. Bruta &lt; 15,0 mg/L","Alc. Bruta &gt; 15 mg/L"))))))</f>
        <v>7,5 ≤ Alc. Bruta &lt; 10,0 mg/L</v>
      </c>
      <c r="BA473" s="136" t="str">
        <f>IF(P473="","",IF(P473&lt;5,"Cor &lt;5 uC",IF(P473&lt;10,"5 ≤ Cor &lt; 10 uC",IF(P473&lt;15,"10 ≤ Cor &lt;15 uC",IF(P473&lt;30,"15 ≤ Cor &lt; 30 uC",IF(P473&lt;50,"30 ≤ Cor &lt; 50 uC","Cor &gt; 50 uC"))))))</f>
        <v>5 ≤ Cor &lt; 10 uC</v>
      </c>
      <c r="BB473" s="137" t="str">
        <f>IF(O473="","",IF(O473&lt;2.5,"Turbidez &lt; 2,5 uT",IF(O473&lt;5,"2,5 ≤ Turb &lt; 5,0 uT",IF(O473&lt;7.5,"5,0 ≤ Turb &lt; 7,5 uT",IF(O473&lt;10,"7,5 ≤ Turb &lt; 10,0 uT",IF(O473&lt;15,"10,0 ≤ Turb &lt; 15,0 uT","Turb &gt; 15 uT"))))))</f>
        <v>Turbidez &lt; 2,5 uT</v>
      </c>
      <c r="BC473" s="138" t="str">
        <f>IF(AND(C473&gt;D473,D473&gt;E473),"TOR &gt; SM &gt; BNN",IF(AND(C473&gt;E473,E473&gt;D473),"TOR &gt; BNN &gt; SM",IF(AND(D473&gt;C473,C473&gt;E473),"SM &gt; TOR &gt; BNN",IF(AND(D473&gt;E473,E473&gt;C473),"SM &gt; BNN &gt; TOR",IF(AND(C473=D473,D473=E473),"TOR = SM = BNN","Comb. diferentes")))))</f>
        <v>SM &gt; BNN &gt; TOR</v>
      </c>
      <c r="BD473" s="137" t="str">
        <f>IF(OR(AE473="",AQ473="-"),"",IF(AE473&lt;=0.25,"Tipo 1 (≤0,25) uT",IF(AE473&lt;=0.5,"Tipo 2 (0,25-0,50) uT",IF(AE473&lt;=0.75,"Tipo 3 (0,50-0,75) uT","Tipo 4 (&gt;0,75) uT"))))</f>
        <v>Tipo 1 (≤0,25) uT</v>
      </c>
      <c r="BE473" s="137" t="str">
        <f t="shared" si="49"/>
        <v>Tipo 1 (≤0,25) uT</v>
      </c>
      <c r="BF473" s="137" t="str">
        <f>IF(OR(AF473="",AQ473="-"),"",IF(AF473&lt;=0.25,"Tipo 1 (≤0,25) uT",IF(AF473&lt;=0.5,"Tipo 2 (0,25-0,50) uT",IF(AF473&lt;=0.75,"Tipo 3 (0,50-0,75) uT","Tipo 4 (&gt;0,75) uT"))))</f>
        <v>Tipo 1 (≤0,25) uT</v>
      </c>
      <c r="BG473" s="137" t="str">
        <f t="shared" si="50"/>
        <v>Tipo 1 (≤0,25) uT</v>
      </c>
      <c r="BH473" s="137" t="str">
        <f>IF(OR(R473="",R473="-"),"",IF(R473&lt;=0.25,"Tipo 1 (≤0,25) uT",IF(R473&lt;=0.5,"Tipo 2 (0,25-0,50) uT",IF(R473&lt;=0.75,"Tipo 3 (0,50-0,75) uT","Tipo 4 (&gt;0,75) uT"))))</f>
        <v>Tipo 1 (≤0,25) uT</v>
      </c>
    </row>
    <row r="474" spans="1:60" x14ac:dyDescent="0.3">
      <c r="A474" s="74">
        <v>46312</v>
      </c>
      <c r="B474" s="139">
        <v>0.39583333333333331</v>
      </c>
      <c r="C474" s="116">
        <v>0</v>
      </c>
      <c r="D474" s="116">
        <v>1350</v>
      </c>
      <c r="E474" s="116">
        <v>499</v>
      </c>
      <c r="F474" s="116">
        <v>1900</v>
      </c>
      <c r="G474" s="144" t="s">
        <v>100</v>
      </c>
      <c r="H474" s="122">
        <v>9.5</v>
      </c>
      <c r="I474" s="116">
        <v>1</v>
      </c>
      <c r="J474" s="10">
        <v>90</v>
      </c>
      <c r="K474" s="116">
        <v>90</v>
      </c>
      <c r="L474" s="116">
        <v>90</v>
      </c>
      <c r="M474" s="122">
        <v>25.4</v>
      </c>
      <c r="N474" s="122">
        <v>6.6</v>
      </c>
      <c r="O474" s="79">
        <v>1.27</v>
      </c>
      <c r="P474" s="116">
        <v>7</v>
      </c>
      <c r="Q474" s="122">
        <v>9.4</v>
      </c>
      <c r="R474" s="10">
        <v>0.09</v>
      </c>
      <c r="S474" s="79">
        <v>22.36</v>
      </c>
      <c r="T474" s="79">
        <v>0.88</v>
      </c>
      <c r="U474" s="79">
        <v>0.7</v>
      </c>
      <c r="V474" s="85">
        <f t="shared" si="51"/>
        <v>1453.5</v>
      </c>
      <c r="W474" s="85">
        <f t="shared" si="52"/>
        <v>1714.8615171999998</v>
      </c>
      <c r="X474" s="85">
        <f t="shared" si="53"/>
        <v>1.1798152853113173</v>
      </c>
      <c r="Y474" s="116">
        <v>3</v>
      </c>
      <c r="Z474" s="116">
        <v>4</v>
      </c>
      <c r="AA474" s="122">
        <v>6.1</v>
      </c>
      <c r="AB474" s="116">
        <v>23</v>
      </c>
      <c r="AC474" s="122">
        <v>6.4</v>
      </c>
      <c r="AD474" s="122">
        <v>7.2</v>
      </c>
      <c r="AE474" s="79">
        <v>0.17</v>
      </c>
      <c r="AF474" s="79">
        <v>0.1</v>
      </c>
      <c r="AG474" s="85">
        <f>(O474+0.3*H474+2)*(F474/2/AK474)</f>
        <v>1938.0000000000002</v>
      </c>
      <c r="AH474" s="85">
        <f t="shared" si="54"/>
        <v>1979.8438399999998</v>
      </c>
      <c r="AI474" s="85">
        <f t="shared" si="55"/>
        <v>1.0215912487100101</v>
      </c>
      <c r="AJ474" s="116">
        <v>3</v>
      </c>
      <c r="AK474" s="116">
        <v>3</v>
      </c>
      <c r="AL474" s="122">
        <v>6.4</v>
      </c>
      <c r="AM474" s="116">
        <v>25</v>
      </c>
      <c r="AN474" s="122">
        <v>6.4</v>
      </c>
      <c r="AO474" s="122">
        <v>8.8000000000000007</v>
      </c>
      <c r="AP474" s="79">
        <v>0.2</v>
      </c>
      <c r="AQ474" s="79">
        <v>0.08</v>
      </c>
      <c r="AR474" s="132">
        <f>SUM(C474:E474)</f>
        <v>1849</v>
      </c>
      <c r="AS474" s="134">
        <f>C474/AR474</f>
        <v>0</v>
      </c>
      <c r="AT474" s="134">
        <f>D474/AR474</f>
        <v>0.73012439156300701</v>
      </c>
      <c r="AU474" s="134">
        <f>E474/AR474</f>
        <v>0.26987560843699299</v>
      </c>
      <c r="AV474" s="151">
        <f>IF(AND(F474&lt;&gt;"",Z474&lt;&gt;""),AB474/(F474/2/Z474),"")</f>
        <v>9.6842105263157896E-2</v>
      </c>
      <c r="AW474" s="151">
        <f>IF(AND(F474&lt;&gt;"",AK474&lt;&gt;""),AM474/(F474/2/AK474),"")</f>
        <v>7.8947368421052627E-2</v>
      </c>
      <c r="AX474" s="43">
        <f>IF(AND(AQ474&lt;&gt;"",1-(AQ474/O474)&gt;0),1-(AQ474/O474),"")</f>
        <v>0.93700787401574803</v>
      </c>
      <c r="AY474" s="41">
        <f>IF(AND(AF474&lt;&gt;"",1-(AF474/O474)&gt;0),1-(AF474/O474),"")</f>
        <v>0.92125984251968507</v>
      </c>
      <c r="AZ474" s="136" t="str">
        <f>IF(Q474="","",IF(Q474&lt;2.5,"Alc. Bruta &lt; 2,5 mg/L",IF(Q474&lt;5,"2,5 ≤ Alc. Bruta &lt; 5,0 mg/L",IF(Q474&lt;7.5,"5,0 ≤ Alc. Bruta &lt; 7,5 mg/L",IF(Q474&lt;10,"7,5 ≤ Alc. Bruta &lt; 10,0 mg/L",IF(Q474&lt;15,"10,0 ≤ Alca. Bruta &lt; 15,0 mg/L","Alc. Bruta &gt; 15 mg/L"))))))</f>
        <v>7,5 ≤ Alc. Bruta &lt; 10,0 mg/L</v>
      </c>
      <c r="BA474" s="136" t="str">
        <f>IF(P474="","",IF(P474&lt;5,"Cor &lt;5 uC",IF(P474&lt;10,"5 ≤ Cor &lt; 10 uC",IF(P474&lt;15,"10 ≤ Cor &lt;15 uC",IF(P474&lt;30,"15 ≤ Cor &lt; 30 uC",IF(P474&lt;50,"30 ≤ Cor &lt; 50 uC","Cor &gt; 50 uC"))))))</f>
        <v>5 ≤ Cor &lt; 10 uC</v>
      </c>
      <c r="BB474" s="137" t="str">
        <f>IF(O474="","",IF(O474&lt;2.5,"Turbidez &lt; 2,5 uT",IF(O474&lt;5,"2,5 ≤ Turb &lt; 5,0 uT",IF(O474&lt;7.5,"5,0 ≤ Turb &lt; 7,5 uT",IF(O474&lt;10,"7,5 ≤ Turb &lt; 10,0 uT",IF(O474&lt;15,"10,0 ≤ Turb &lt; 15,0 uT","Turb &gt; 15 uT"))))))</f>
        <v>Turbidez &lt; 2,5 uT</v>
      </c>
      <c r="BC474" s="138" t="str">
        <f>IF(AND(C474&gt;D474,D474&gt;E474),"TOR &gt; SM &gt; BNN",IF(AND(C474&gt;E474,E474&gt;D474),"TOR &gt; BNN &gt; SM",IF(AND(D474&gt;C474,C474&gt;E474),"SM &gt; TOR &gt; BNN",IF(AND(D474&gt;E474,E474&gt;C474),"SM &gt; BNN &gt; TOR",IF(AND(C474=D474,D474=E474),"TOR = SM = BNN","Comb. diferentes")))))</f>
        <v>SM &gt; BNN &gt; TOR</v>
      </c>
      <c r="BD474" s="137" t="str">
        <f>IF(OR(AE474="",AQ474="-"),"",IF(AE474&lt;=0.25,"Tipo 1 (≤0,25) uT",IF(AE474&lt;=0.5,"Tipo 2 (0,25-0,50) uT",IF(AE474&lt;=0.75,"Tipo 3 (0,50-0,75) uT","Tipo 4 (&gt;0,75) uT"))))</f>
        <v>Tipo 1 (≤0,25) uT</v>
      </c>
      <c r="BE474" s="137" t="str">
        <f t="shared" si="49"/>
        <v>Tipo 1 (≤0,25) uT</v>
      </c>
      <c r="BF474" s="137" t="str">
        <f>IF(OR(AF474="",AQ474="-"),"",IF(AF474&lt;=0.25,"Tipo 1 (≤0,25) uT",IF(AF474&lt;=0.5,"Tipo 2 (0,25-0,50) uT",IF(AF474&lt;=0.75,"Tipo 3 (0,50-0,75) uT","Tipo 4 (&gt;0,75) uT"))))</f>
        <v>Tipo 1 (≤0,25) uT</v>
      </c>
      <c r="BG474" s="137" t="str">
        <f t="shared" si="50"/>
        <v>Tipo 1 (≤0,25) uT</v>
      </c>
      <c r="BH474" s="137" t="str">
        <f>IF(OR(R474="",R474="-"),"",IF(R474&lt;=0.25,"Tipo 1 (≤0,25) uT",IF(R474&lt;=0.5,"Tipo 2 (0,25-0,50) uT",IF(R474&lt;=0.75,"Tipo 3 (0,50-0,75) uT","Tipo 4 (&gt;0,75) uT"))))</f>
        <v>Tipo 1 (≤0,25) uT</v>
      </c>
    </row>
    <row r="475" spans="1:60" x14ac:dyDescent="0.3">
      <c r="A475" s="74">
        <v>46312</v>
      </c>
      <c r="B475" s="139">
        <v>0.47916666666666669</v>
      </c>
      <c r="C475" s="116">
        <v>0</v>
      </c>
      <c r="D475" s="116">
        <v>1331</v>
      </c>
      <c r="E475" s="116">
        <v>500</v>
      </c>
      <c r="F475" s="116">
        <v>1893</v>
      </c>
      <c r="G475" s="144" t="s">
        <v>100</v>
      </c>
      <c r="H475" s="122">
        <v>9.5</v>
      </c>
      <c r="I475" s="116">
        <v>0.9</v>
      </c>
      <c r="J475" s="10">
        <v>90</v>
      </c>
      <c r="K475" s="116">
        <v>90</v>
      </c>
      <c r="L475" s="116">
        <v>90</v>
      </c>
      <c r="M475" s="122">
        <v>26.1</v>
      </c>
      <c r="N475" s="122">
        <v>6.5</v>
      </c>
      <c r="O475" s="79">
        <v>1.25</v>
      </c>
      <c r="P475" s="116">
        <v>7</v>
      </c>
      <c r="Q475" s="122">
        <v>10.1</v>
      </c>
      <c r="R475" s="10">
        <v>0.1</v>
      </c>
      <c r="S475" s="79">
        <v>22.36</v>
      </c>
      <c r="T475" s="79">
        <v>0.88</v>
      </c>
      <c r="U475" s="79">
        <v>0.7</v>
      </c>
      <c r="V475" s="85">
        <f t="shared" si="51"/>
        <v>1443.4124999999999</v>
      </c>
      <c r="W475" s="85">
        <f t="shared" si="52"/>
        <v>1752.3442559999999</v>
      </c>
      <c r="X475" s="85">
        <f t="shared" si="53"/>
        <v>1.2140287381465797</v>
      </c>
      <c r="Y475" s="116">
        <v>3</v>
      </c>
      <c r="Z475" s="116">
        <v>4</v>
      </c>
      <c r="AA475" s="122">
        <v>6</v>
      </c>
      <c r="AB475" s="116">
        <v>24</v>
      </c>
      <c r="AC475" s="122">
        <v>6.3</v>
      </c>
      <c r="AD475" s="122">
        <v>7.5</v>
      </c>
      <c r="AE475" s="79">
        <v>0.19</v>
      </c>
      <c r="AF475" s="79">
        <v>0.1</v>
      </c>
      <c r="AG475" s="85">
        <f>(O475+0.3*H475+2)*(F475/2/AK475)</f>
        <v>1924.55</v>
      </c>
      <c r="AH475" s="85">
        <f t="shared" si="54"/>
        <v>1979.8438399999998</v>
      </c>
      <c r="AI475" s="85">
        <f t="shared" si="55"/>
        <v>1.0287307890156139</v>
      </c>
      <c r="AJ475" s="116">
        <v>3</v>
      </c>
      <c r="AK475" s="116">
        <v>3</v>
      </c>
      <c r="AL475" s="122">
        <v>6.4</v>
      </c>
      <c r="AM475" s="116">
        <v>25</v>
      </c>
      <c r="AN475" s="122">
        <v>6.3</v>
      </c>
      <c r="AO475" s="122">
        <v>8.4</v>
      </c>
      <c r="AP475" s="79">
        <v>0.17</v>
      </c>
      <c r="AQ475" s="79">
        <v>0.1</v>
      </c>
      <c r="AR475" s="132">
        <f>SUM(C475:E475)</f>
        <v>1831</v>
      </c>
      <c r="AS475" s="134">
        <f>C475/AR475</f>
        <v>0</v>
      </c>
      <c r="AT475" s="134">
        <f>D475/AR475</f>
        <v>0.72692517749863461</v>
      </c>
      <c r="AU475" s="134">
        <f>E475/AR475</f>
        <v>0.27307482250136539</v>
      </c>
      <c r="AV475" s="151">
        <f>IF(AND(F475&lt;&gt;"",Z475&lt;&gt;""),AB475/(F475/2/Z475),"")</f>
        <v>0.10142630744849446</v>
      </c>
      <c r="AW475" s="151">
        <f>IF(AND(F475&lt;&gt;"",AK475&lt;&gt;""),AM475/(F475/2/AK475),"")</f>
        <v>7.9239302694136288E-2</v>
      </c>
      <c r="AX475" s="43">
        <f>IF(AND(AQ475&lt;&gt;"",1-(AQ475/O475)&gt;0),1-(AQ475/O475),"")</f>
        <v>0.92</v>
      </c>
      <c r="AY475" s="41">
        <f>IF(AND(AF475&lt;&gt;"",1-(AF475/O475)&gt;0),1-(AF475/O475),"")</f>
        <v>0.92</v>
      </c>
      <c r="AZ475" s="136" t="str">
        <f>IF(Q475="","",IF(Q475&lt;2.5,"Alc. Bruta &lt; 2,5 mg/L",IF(Q475&lt;5,"2,5 ≤ Alc. Bruta &lt; 5,0 mg/L",IF(Q475&lt;7.5,"5,0 ≤ Alc. Bruta &lt; 7,5 mg/L",IF(Q475&lt;10,"7,5 ≤ Alc. Bruta &lt; 10,0 mg/L",IF(Q475&lt;15,"10,0 ≤ Alca. Bruta &lt; 15,0 mg/L","Alc. Bruta &gt; 15 mg/L"))))))</f>
        <v>10,0 ≤ Alca. Bruta &lt; 15,0 mg/L</v>
      </c>
      <c r="BA475" s="136" t="str">
        <f>IF(P475="","",IF(P475&lt;5,"Cor &lt;5 uC",IF(P475&lt;10,"5 ≤ Cor &lt; 10 uC",IF(P475&lt;15,"10 ≤ Cor &lt;15 uC",IF(P475&lt;30,"15 ≤ Cor &lt; 30 uC",IF(P475&lt;50,"30 ≤ Cor &lt; 50 uC","Cor &gt; 50 uC"))))))</f>
        <v>5 ≤ Cor &lt; 10 uC</v>
      </c>
      <c r="BB475" s="137" t="str">
        <f>IF(O475="","",IF(O475&lt;2.5,"Turbidez &lt; 2,5 uT",IF(O475&lt;5,"2,5 ≤ Turb &lt; 5,0 uT",IF(O475&lt;7.5,"5,0 ≤ Turb &lt; 7,5 uT",IF(O475&lt;10,"7,5 ≤ Turb &lt; 10,0 uT",IF(O475&lt;15,"10,0 ≤ Turb &lt; 15,0 uT","Turb &gt; 15 uT"))))))</f>
        <v>Turbidez &lt; 2,5 uT</v>
      </c>
      <c r="BC475" s="138" t="str">
        <f>IF(AND(C475&gt;D475,D475&gt;E475),"TOR &gt; SM &gt; BNN",IF(AND(C475&gt;E475,E475&gt;D475),"TOR &gt; BNN &gt; SM",IF(AND(D475&gt;C475,C475&gt;E475),"SM &gt; TOR &gt; BNN",IF(AND(D475&gt;E475,E475&gt;C475),"SM &gt; BNN &gt; TOR",IF(AND(C475=D475,D475=E475),"TOR = SM = BNN","Comb. diferentes")))))</f>
        <v>SM &gt; BNN &gt; TOR</v>
      </c>
      <c r="BD475" s="137" t="str">
        <f>IF(OR(AE475="",AQ475="-"),"",IF(AE475&lt;=0.25,"Tipo 1 (≤0,25) uT",IF(AE475&lt;=0.5,"Tipo 2 (0,25-0,50) uT",IF(AE475&lt;=0.75,"Tipo 3 (0,50-0,75) uT","Tipo 4 (&gt;0,75) uT"))))</f>
        <v>Tipo 1 (≤0,25) uT</v>
      </c>
      <c r="BE475" s="137" t="str">
        <f t="shared" si="49"/>
        <v>Tipo 1 (≤0,25) uT</v>
      </c>
      <c r="BF475" s="137" t="str">
        <f>IF(OR(AF475="",AQ475="-"),"",IF(AF475&lt;=0.25,"Tipo 1 (≤0,25) uT",IF(AF475&lt;=0.5,"Tipo 2 (0,25-0,50) uT",IF(AF475&lt;=0.75,"Tipo 3 (0,50-0,75) uT","Tipo 4 (&gt;0,75) uT"))))</f>
        <v>Tipo 1 (≤0,25) uT</v>
      </c>
      <c r="BG475" s="137" t="str">
        <f t="shared" si="50"/>
        <v>Tipo 1 (≤0,25) uT</v>
      </c>
      <c r="BH475" s="137" t="str">
        <f>IF(OR(R475="",R475="-"),"",IF(R475&lt;=0.25,"Tipo 1 (≤0,25) uT",IF(R475&lt;=0.5,"Tipo 2 (0,25-0,50) uT",IF(R475&lt;=0.75,"Tipo 3 (0,50-0,75) uT","Tipo 4 (&gt;0,75) uT"))))</f>
        <v>Tipo 1 (≤0,25) uT</v>
      </c>
    </row>
    <row r="476" spans="1:60" x14ac:dyDescent="0.3">
      <c r="A476" s="74">
        <v>46312</v>
      </c>
      <c r="B476" s="139">
        <v>0.64583333333333337</v>
      </c>
      <c r="C476" s="116">
        <v>0</v>
      </c>
      <c r="D476" s="116">
        <v>1370</v>
      </c>
      <c r="E476" s="116">
        <v>500</v>
      </c>
      <c r="F476" s="116">
        <v>1891</v>
      </c>
      <c r="G476" s="144" t="s">
        <v>100</v>
      </c>
      <c r="H476" s="122">
        <v>9.5</v>
      </c>
      <c r="I476" s="116">
        <v>2.5</v>
      </c>
      <c r="J476" s="10">
        <v>90</v>
      </c>
      <c r="K476" s="116">
        <v>90</v>
      </c>
      <c r="L476" s="116">
        <v>90</v>
      </c>
      <c r="M476" s="122">
        <v>24.9</v>
      </c>
      <c r="N476" s="122">
        <v>6.5</v>
      </c>
      <c r="O476" s="79">
        <v>1.1000000000000001</v>
      </c>
      <c r="P476" s="116">
        <v>6</v>
      </c>
      <c r="Q476" s="122">
        <v>8.6</v>
      </c>
      <c r="R476" s="10">
        <v>0.11</v>
      </c>
      <c r="S476" s="79">
        <v>22.36</v>
      </c>
      <c r="T476" s="79">
        <v>0.88</v>
      </c>
      <c r="U476" s="79">
        <v>0.7</v>
      </c>
      <c r="V476" s="85">
        <f t="shared" si="51"/>
        <v>1406.4312500000001</v>
      </c>
      <c r="W476" s="85">
        <f t="shared" si="52"/>
        <v>1789.4207135999998</v>
      </c>
      <c r="X476" s="85">
        <f t="shared" si="53"/>
        <v>1.2723129648889697</v>
      </c>
      <c r="Y476" s="116">
        <v>3</v>
      </c>
      <c r="Z476" s="116">
        <v>4</v>
      </c>
      <c r="AA476" s="122">
        <v>6.1</v>
      </c>
      <c r="AB476" s="116">
        <v>24</v>
      </c>
      <c r="AC476" s="122">
        <v>6.4</v>
      </c>
      <c r="AD476" s="122">
        <v>7.2</v>
      </c>
      <c r="AE476" s="79">
        <v>0.14000000000000001</v>
      </c>
      <c r="AF476" s="79">
        <v>0.11</v>
      </c>
      <c r="AG476" s="85">
        <f>(O476+0.3*H476+2)*(F476/2/AK476)</f>
        <v>1875.2416666666668</v>
      </c>
      <c r="AH476" s="85">
        <f t="shared" si="54"/>
        <v>1900.6500864</v>
      </c>
      <c r="AI476" s="85">
        <f t="shared" si="55"/>
        <v>1.0135494108226051</v>
      </c>
      <c r="AJ476" s="116">
        <v>3</v>
      </c>
      <c r="AK476" s="116">
        <v>3</v>
      </c>
      <c r="AL476" s="122">
        <v>6.4</v>
      </c>
      <c r="AM476" s="116">
        <v>24</v>
      </c>
      <c r="AN476" s="122">
        <v>6.3</v>
      </c>
      <c r="AO476" s="122">
        <v>8</v>
      </c>
      <c r="AP476" s="79">
        <v>0.14000000000000001</v>
      </c>
      <c r="AQ476" s="79">
        <v>0.14000000000000001</v>
      </c>
      <c r="AR476" s="132">
        <f>SUM(C476:E476)</f>
        <v>1870</v>
      </c>
      <c r="AS476" s="134">
        <f>C476/AR476</f>
        <v>0</v>
      </c>
      <c r="AT476" s="134">
        <f>D476/AR476</f>
        <v>0.73262032085561501</v>
      </c>
      <c r="AU476" s="134">
        <f>E476/AR476</f>
        <v>0.26737967914438504</v>
      </c>
      <c r="AV476" s="151">
        <f>IF(AND(F476&lt;&gt;"",Z476&lt;&gt;""),AB476/(F476/2/Z476),"")</f>
        <v>0.10153358011634056</v>
      </c>
      <c r="AW476" s="151">
        <f>IF(AND(F476&lt;&gt;"",AK476&lt;&gt;""),AM476/(F476/2/AK476),"")</f>
        <v>7.615018508725542E-2</v>
      </c>
      <c r="AX476" s="43">
        <f>IF(AND(AQ476&lt;&gt;"",1-(AQ476/O476)&gt;0),1-(AQ476/O476),"")</f>
        <v>0.87272727272727268</v>
      </c>
      <c r="AY476" s="41">
        <f>IF(AND(AF476&lt;&gt;"",1-(AF476/O476)&gt;0),1-(AF476/O476),"")</f>
        <v>0.9</v>
      </c>
      <c r="AZ476" s="136" t="str">
        <f>IF(Q476="","",IF(Q476&lt;2.5,"Alc. Bruta &lt; 2,5 mg/L",IF(Q476&lt;5,"2,5 ≤ Alc. Bruta &lt; 5,0 mg/L",IF(Q476&lt;7.5,"5,0 ≤ Alc. Bruta &lt; 7,5 mg/L",IF(Q476&lt;10,"7,5 ≤ Alc. Bruta &lt; 10,0 mg/L",IF(Q476&lt;15,"10,0 ≤ Alca. Bruta &lt; 15,0 mg/L","Alc. Bruta &gt; 15 mg/L"))))))</f>
        <v>7,5 ≤ Alc. Bruta &lt; 10,0 mg/L</v>
      </c>
      <c r="BA476" s="136" t="str">
        <f>IF(P476="","",IF(P476&lt;5,"Cor &lt;5 uC",IF(P476&lt;10,"5 ≤ Cor &lt; 10 uC",IF(P476&lt;15,"10 ≤ Cor &lt;15 uC",IF(P476&lt;30,"15 ≤ Cor &lt; 30 uC",IF(P476&lt;50,"30 ≤ Cor &lt; 50 uC","Cor &gt; 50 uC"))))))</f>
        <v>5 ≤ Cor &lt; 10 uC</v>
      </c>
      <c r="BB476" s="137" t="str">
        <f>IF(O476="","",IF(O476&lt;2.5,"Turbidez &lt; 2,5 uT",IF(O476&lt;5,"2,5 ≤ Turb &lt; 5,0 uT",IF(O476&lt;7.5,"5,0 ≤ Turb &lt; 7,5 uT",IF(O476&lt;10,"7,5 ≤ Turb &lt; 10,0 uT",IF(O476&lt;15,"10,0 ≤ Turb &lt; 15,0 uT","Turb &gt; 15 uT"))))))</f>
        <v>Turbidez &lt; 2,5 uT</v>
      </c>
      <c r="BC476" s="138" t="str">
        <f>IF(AND(C476&gt;D476,D476&gt;E476),"TOR &gt; SM &gt; BNN",IF(AND(C476&gt;E476,E476&gt;D476),"TOR &gt; BNN &gt; SM",IF(AND(D476&gt;C476,C476&gt;E476),"SM &gt; TOR &gt; BNN",IF(AND(D476&gt;E476,E476&gt;C476),"SM &gt; BNN &gt; TOR",IF(AND(C476=D476,D476=E476),"TOR = SM = BNN","Comb. diferentes")))))</f>
        <v>SM &gt; BNN &gt; TOR</v>
      </c>
      <c r="BD476" s="137" t="str">
        <f>IF(OR(AE476="",AQ476="-"),"",IF(AE476&lt;=0.25,"Tipo 1 (≤0,25) uT",IF(AE476&lt;=0.5,"Tipo 2 (0,25-0,50) uT",IF(AE476&lt;=0.75,"Tipo 3 (0,50-0,75) uT","Tipo 4 (&gt;0,75) uT"))))</f>
        <v>Tipo 1 (≤0,25) uT</v>
      </c>
      <c r="BE476" s="137" t="str">
        <f t="shared" si="49"/>
        <v>Tipo 1 (≤0,25) uT</v>
      </c>
      <c r="BF476" s="137" t="str">
        <f>IF(OR(AF476="",AQ476="-"),"",IF(AF476&lt;=0.25,"Tipo 1 (≤0,25) uT",IF(AF476&lt;=0.5,"Tipo 2 (0,25-0,50) uT",IF(AF476&lt;=0.75,"Tipo 3 (0,50-0,75) uT","Tipo 4 (&gt;0,75) uT"))))</f>
        <v>Tipo 1 (≤0,25) uT</v>
      </c>
      <c r="BG476" s="137" t="str">
        <f t="shared" si="50"/>
        <v>Tipo 1 (≤0,25) uT</v>
      </c>
      <c r="BH476" s="137" t="str">
        <f>IF(OR(R476="",R476="-"),"",IF(R476&lt;=0.25,"Tipo 1 (≤0,25) uT",IF(R476&lt;=0.5,"Tipo 2 (0,25-0,50) uT",IF(R476&lt;=0.75,"Tipo 3 (0,50-0,75) uT","Tipo 4 (&gt;0,75) uT"))))</f>
        <v>Tipo 1 (≤0,25) uT</v>
      </c>
    </row>
    <row r="477" spans="1:60" x14ac:dyDescent="0.3">
      <c r="A477" s="74">
        <v>46312</v>
      </c>
      <c r="B477" s="139">
        <v>0.72916666666666663</v>
      </c>
      <c r="C477" s="116">
        <v>0</v>
      </c>
      <c r="D477" s="116">
        <v>1380</v>
      </c>
      <c r="E477" s="116">
        <v>400</v>
      </c>
      <c r="F477" s="116">
        <v>1810</v>
      </c>
      <c r="G477" s="144" t="s">
        <v>100</v>
      </c>
      <c r="H477" s="122">
        <v>9.5</v>
      </c>
      <c r="I477" s="116">
        <v>-7</v>
      </c>
      <c r="J477" s="10">
        <v>90</v>
      </c>
      <c r="K477" s="116">
        <v>90</v>
      </c>
      <c r="L477" s="116">
        <v>90</v>
      </c>
      <c r="M477" s="122">
        <v>23.7</v>
      </c>
      <c r="N477" s="122">
        <v>6.6</v>
      </c>
      <c r="O477" s="79">
        <v>1.21</v>
      </c>
      <c r="P477" s="116">
        <v>8</v>
      </c>
      <c r="Q477" s="122">
        <v>8.8000000000000007</v>
      </c>
      <c r="R477" s="10">
        <v>0.13</v>
      </c>
      <c r="S477" s="79">
        <v>22.36</v>
      </c>
      <c r="T477" s="79">
        <v>0.88</v>
      </c>
      <c r="U477" s="79">
        <v>0.7</v>
      </c>
      <c r="V477" s="85">
        <f t="shared" si="51"/>
        <v>1371.075</v>
      </c>
      <c r="W477" s="85">
        <f t="shared" si="52"/>
        <v>1381.5796800000001</v>
      </c>
      <c r="X477" s="85">
        <f t="shared" si="53"/>
        <v>1.0076616377659866</v>
      </c>
      <c r="Y477" s="116">
        <v>3</v>
      </c>
      <c r="Z477" s="116">
        <v>4</v>
      </c>
      <c r="AA477" s="122">
        <v>5</v>
      </c>
      <c r="AB477" s="116">
        <v>24</v>
      </c>
      <c r="AC477" s="122">
        <v>6.4</v>
      </c>
      <c r="AD477" s="122">
        <v>6.7</v>
      </c>
      <c r="AE477" s="79">
        <v>0.15</v>
      </c>
      <c r="AF477" s="79">
        <v>0.1</v>
      </c>
      <c r="AG477" s="85">
        <f>(O477+0.3*H477+2)*(F477/2/AK477)</f>
        <v>1828.1000000000004</v>
      </c>
      <c r="AH477" s="85">
        <f t="shared" si="54"/>
        <v>1979.8438399999998</v>
      </c>
      <c r="AI477" s="85">
        <f t="shared" si="55"/>
        <v>1.0830063125649578</v>
      </c>
      <c r="AJ477" s="116">
        <v>3</v>
      </c>
      <c r="AK477" s="116">
        <v>3</v>
      </c>
      <c r="AL477" s="122">
        <v>6.4</v>
      </c>
      <c r="AM477" s="116">
        <v>25</v>
      </c>
      <c r="AN477" s="122">
        <v>6.2</v>
      </c>
      <c r="AO477" s="122">
        <v>7.7</v>
      </c>
      <c r="AP477" s="79">
        <v>0.11</v>
      </c>
      <c r="AQ477" s="79">
        <v>0.11</v>
      </c>
      <c r="AR477" s="132">
        <f>SUM(C477:E477)</f>
        <v>1780</v>
      </c>
      <c r="AS477" s="134">
        <f>C477/AR477</f>
        <v>0</v>
      </c>
      <c r="AT477" s="134">
        <f>D477/AR477</f>
        <v>0.7752808988764045</v>
      </c>
      <c r="AU477" s="134">
        <f>E477/AR477</f>
        <v>0.2247191011235955</v>
      </c>
      <c r="AV477" s="151">
        <f>IF(AND(F477&lt;&gt;"",Z477&lt;&gt;""),AB477/(F477/2/Z477),"")</f>
        <v>0.10607734806629834</v>
      </c>
      <c r="AW477" s="151">
        <f>IF(AND(F477&lt;&gt;"",AK477&lt;&gt;""),AM477/(F477/2/AK477),"")</f>
        <v>8.2872928176795577E-2</v>
      </c>
      <c r="AX477" s="43">
        <f>IF(AND(AQ477&lt;&gt;"",1-(AQ477/O477)&gt;0),1-(AQ477/O477),"")</f>
        <v>0.90909090909090906</v>
      </c>
      <c r="AY477" s="41">
        <f>IF(AND(AF477&lt;&gt;"",1-(AF477/O477)&gt;0),1-(AF477/O477),"")</f>
        <v>0.9173553719008265</v>
      </c>
      <c r="AZ477" s="136" t="str">
        <f>IF(Q477="","",IF(Q477&lt;2.5,"Alc. Bruta &lt; 2,5 mg/L",IF(Q477&lt;5,"2,5 ≤ Alc. Bruta &lt; 5,0 mg/L",IF(Q477&lt;7.5,"5,0 ≤ Alc. Bruta &lt; 7,5 mg/L",IF(Q477&lt;10,"7,5 ≤ Alc. Bruta &lt; 10,0 mg/L",IF(Q477&lt;15,"10,0 ≤ Alca. Bruta &lt; 15,0 mg/L","Alc. Bruta &gt; 15 mg/L"))))))</f>
        <v>7,5 ≤ Alc. Bruta &lt; 10,0 mg/L</v>
      </c>
      <c r="BA477" s="136" t="str">
        <f>IF(P477="","",IF(P477&lt;5,"Cor &lt;5 uC",IF(P477&lt;10,"5 ≤ Cor &lt; 10 uC",IF(P477&lt;15,"10 ≤ Cor &lt;15 uC",IF(P477&lt;30,"15 ≤ Cor &lt; 30 uC",IF(P477&lt;50,"30 ≤ Cor &lt; 50 uC","Cor &gt; 50 uC"))))))</f>
        <v>5 ≤ Cor &lt; 10 uC</v>
      </c>
      <c r="BB477" s="137" t="str">
        <f>IF(O477="","",IF(O477&lt;2.5,"Turbidez &lt; 2,5 uT",IF(O477&lt;5,"2,5 ≤ Turb &lt; 5,0 uT",IF(O477&lt;7.5,"5,0 ≤ Turb &lt; 7,5 uT",IF(O477&lt;10,"7,5 ≤ Turb &lt; 10,0 uT",IF(O477&lt;15,"10,0 ≤ Turb &lt; 15,0 uT","Turb &gt; 15 uT"))))))</f>
        <v>Turbidez &lt; 2,5 uT</v>
      </c>
      <c r="BC477" s="138" t="str">
        <f>IF(AND(C477&gt;D477,D477&gt;E477),"TOR &gt; SM &gt; BNN",IF(AND(C477&gt;E477,E477&gt;D477),"TOR &gt; BNN &gt; SM",IF(AND(D477&gt;C477,C477&gt;E477),"SM &gt; TOR &gt; BNN",IF(AND(D477&gt;E477,E477&gt;C477),"SM &gt; BNN &gt; TOR",IF(AND(C477=D477,D477=E477),"TOR = SM = BNN","Comb. diferentes")))))</f>
        <v>SM &gt; BNN &gt; TOR</v>
      </c>
      <c r="BD477" s="137" t="str">
        <f>IF(OR(AE477="",AQ477="-"),"",IF(AE477&lt;=0.25,"Tipo 1 (≤0,25) uT",IF(AE477&lt;=0.5,"Tipo 2 (0,25-0,50) uT",IF(AE477&lt;=0.75,"Tipo 3 (0,50-0,75) uT","Tipo 4 (&gt;0,75) uT"))))</f>
        <v>Tipo 1 (≤0,25) uT</v>
      </c>
      <c r="BE477" s="137" t="str">
        <f t="shared" si="49"/>
        <v>Tipo 1 (≤0,25) uT</v>
      </c>
      <c r="BF477" s="137" t="str">
        <f>IF(OR(AF477="",AQ477="-"),"",IF(AF477&lt;=0.25,"Tipo 1 (≤0,25) uT",IF(AF477&lt;=0.5,"Tipo 2 (0,25-0,50) uT",IF(AF477&lt;=0.75,"Tipo 3 (0,50-0,75) uT","Tipo 4 (&gt;0,75) uT"))))</f>
        <v>Tipo 1 (≤0,25) uT</v>
      </c>
      <c r="BG477" s="137" t="str">
        <f t="shared" si="50"/>
        <v>Tipo 1 (≤0,25) uT</v>
      </c>
      <c r="BH477" s="137" t="str">
        <f>IF(OR(R477="",R477="-"),"",IF(R477&lt;=0.25,"Tipo 1 (≤0,25) uT",IF(R477&lt;=0.5,"Tipo 2 (0,25-0,50) uT",IF(R477&lt;=0.75,"Tipo 3 (0,50-0,75) uT","Tipo 4 (&gt;0,75) uT"))))</f>
        <v>Tipo 1 (≤0,25) uT</v>
      </c>
    </row>
    <row r="478" spans="1:60" x14ac:dyDescent="0.3">
      <c r="A478" s="74">
        <v>46312</v>
      </c>
      <c r="B478" s="139">
        <v>0.8125</v>
      </c>
      <c r="C478" s="116">
        <v>0</v>
      </c>
      <c r="D478" s="116">
        <v>1383</v>
      </c>
      <c r="E478" s="116">
        <v>427</v>
      </c>
      <c r="F478" s="116">
        <v>1833</v>
      </c>
      <c r="G478" s="144" t="s">
        <v>100</v>
      </c>
      <c r="H478" s="122">
        <v>9.5</v>
      </c>
      <c r="I478" s="116">
        <v>-11</v>
      </c>
      <c r="J478" s="10">
        <v>90</v>
      </c>
      <c r="K478" s="116">
        <v>90</v>
      </c>
      <c r="L478" s="116">
        <v>90</v>
      </c>
      <c r="M478" s="122">
        <v>24.9</v>
      </c>
      <c r="N478" s="122">
        <v>6.5</v>
      </c>
      <c r="O478" s="79">
        <v>1.19</v>
      </c>
      <c r="P478" s="116">
        <v>8</v>
      </c>
      <c r="Q478" s="122">
        <v>8.3000000000000007</v>
      </c>
      <c r="R478" s="10">
        <v>0.14000000000000001</v>
      </c>
      <c r="S478" s="79">
        <v>22.36</v>
      </c>
      <c r="T478" s="79">
        <v>0.88</v>
      </c>
      <c r="U478" s="79">
        <v>0.7</v>
      </c>
      <c r="V478" s="85">
        <f t="shared" si="51"/>
        <v>1383.915</v>
      </c>
      <c r="W478" s="85">
        <f t="shared" si="52"/>
        <v>1789.4207135999998</v>
      </c>
      <c r="X478" s="85">
        <f t="shared" si="53"/>
        <v>1.2930134535719318</v>
      </c>
      <c r="Y478" s="116">
        <v>3</v>
      </c>
      <c r="Z478" s="116">
        <v>4</v>
      </c>
      <c r="AA478" s="122">
        <v>6.1</v>
      </c>
      <c r="AB478" s="116">
        <v>24</v>
      </c>
      <c r="AC478" s="122">
        <v>6.3</v>
      </c>
      <c r="AD478" s="122">
        <v>7</v>
      </c>
      <c r="AE478" s="79">
        <v>0.14000000000000001</v>
      </c>
      <c r="AF478" s="79">
        <v>0.1</v>
      </c>
      <c r="AG478" s="85">
        <f>(O478+0.3*H478+2)*(F478/2/AK478)</f>
        <v>1845.22</v>
      </c>
      <c r="AH478" s="85">
        <f t="shared" si="54"/>
        <v>1979.8438399999998</v>
      </c>
      <c r="AI478" s="85">
        <f t="shared" si="55"/>
        <v>1.0729581513315485</v>
      </c>
      <c r="AJ478" s="116">
        <v>3</v>
      </c>
      <c r="AK478" s="116">
        <v>3</v>
      </c>
      <c r="AL478" s="122">
        <v>6.4</v>
      </c>
      <c r="AM478" s="116">
        <v>25</v>
      </c>
      <c r="AN478" s="122">
        <v>6.3</v>
      </c>
      <c r="AO478" s="122">
        <v>7.5</v>
      </c>
      <c r="AP478" s="79">
        <v>0.2</v>
      </c>
      <c r="AQ478" s="79">
        <v>0.11</v>
      </c>
      <c r="AR478" s="132">
        <f>SUM(C478:E478)</f>
        <v>1810</v>
      </c>
      <c r="AS478" s="134">
        <f>C478/AR478</f>
        <v>0</v>
      </c>
      <c r="AT478" s="134">
        <f>D478/AR478</f>
        <v>0.76408839779005522</v>
      </c>
      <c r="AU478" s="134">
        <f>E478/AR478</f>
        <v>0.23591160220994475</v>
      </c>
      <c r="AV478" s="151">
        <f>IF(AND(F478&lt;&gt;"",Z478&lt;&gt;""),AB478/(F478/2/Z478),"")</f>
        <v>0.10474631751227496</v>
      </c>
      <c r="AW478" s="151">
        <f>IF(AND(F478&lt;&gt;"",AK478&lt;&gt;""),AM478/(F478/2/AK478),"")</f>
        <v>8.1833060556464818E-2</v>
      </c>
      <c r="AX478" s="43">
        <f>IF(AND(AQ478&lt;&gt;"",1-(AQ478/O478)&gt;0),1-(AQ478/O478),"")</f>
        <v>0.90756302521008403</v>
      </c>
      <c r="AY478" s="41">
        <f>IF(AND(AF478&lt;&gt;"",1-(AF478/O478)&gt;0),1-(AF478/O478),"")</f>
        <v>0.91596638655462181</v>
      </c>
      <c r="AZ478" s="136" t="str">
        <f>IF(Q478="","",IF(Q478&lt;2.5,"Alc. Bruta &lt; 2,5 mg/L",IF(Q478&lt;5,"2,5 ≤ Alc. Bruta &lt; 5,0 mg/L",IF(Q478&lt;7.5,"5,0 ≤ Alc. Bruta &lt; 7,5 mg/L",IF(Q478&lt;10,"7,5 ≤ Alc. Bruta &lt; 10,0 mg/L",IF(Q478&lt;15,"10,0 ≤ Alca. Bruta &lt; 15,0 mg/L","Alc. Bruta &gt; 15 mg/L"))))))</f>
        <v>7,5 ≤ Alc. Bruta &lt; 10,0 mg/L</v>
      </c>
      <c r="BA478" s="136" t="str">
        <f>IF(P478="","",IF(P478&lt;5,"Cor &lt;5 uC",IF(P478&lt;10,"5 ≤ Cor &lt; 10 uC",IF(P478&lt;15,"10 ≤ Cor &lt;15 uC",IF(P478&lt;30,"15 ≤ Cor &lt; 30 uC",IF(P478&lt;50,"30 ≤ Cor &lt; 50 uC","Cor &gt; 50 uC"))))))</f>
        <v>5 ≤ Cor &lt; 10 uC</v>
      </c>
      <c r="BB478" s="137" t="str">
        <f>IF(O478="","",IF(O478&lt;2.5,"Turbidez &lt; 2,5 uT",IF(O478&lt;5,"2,5 ≤ Turb &lt; 5,0 uT",IF(O478&lt;7.5,"5,0 ≤ Turb &lt; 7,5 uT",IF(O478&lt;10,"7,5 ≤ Turb &lt; 10,0 uT",IF(O478&lt;15,"10,0 ≤ Turb &lt; 15,0 uT","Turb &gt; 15 uT"))))))</f>
        <v>Turbidez &lt; 2,5 uT</v>
      </c>
      <c r="BC478" s="138" t="str">
        <f>IF(AND(C478&gt;D478,D478&gt;E478),"TOR &gt; SM &gt; BNN",IF(AND(C478&gt;E478,E478&gt;D478),"TOR &gt; BNN &gt; SM",IF(AND(D478&gt;C478,C478&gt;E478),"SM &gt; TOR &gt; BNN",IF(AND(D478&gt;E478,E478&gt;C478),"SM &gt; BNN &gt; TOR",IF(AND(C478=D478,D478=E478),"TOR = SM = BNN","Comb. diferentes")))))</f>
        <v>SM &gt; BNN &gt; TOR</v>
      </c>
      <c r="BD478" s="137" t="str">
        <f>IF(OR(AE478="",AQ478="-"),"",IF(AE478&lt;=0.25,"Tipo 1 (≤0,25) uT",IF(AE478&lt;=0.5,"Tipo 2 (0,25-0,50) uT",IF(AE478&lt;=0.75,"Tipo 3 (0,50-0,75) uT","Tipo 4 (&gt;0,75) uT"))))</f>
        <v>Tipo 1 (≤0,25) uT</v>
      </c>
      <c r="BE478" s="137" t="str">
        <f t="shared" si="49"/>
        <v>Tipo 1 (≤0,25) uT</v>
      </c>
      <c r="BF478" s="137" t="str">
        <f>IF(OR(AF478="",AQ478="-"),"",IF(AF478&lt;=0.25,"Tipo 1 (≤0,25) uT",IF(AF478&lt;=0.5,"Tipo 2 (0,25-0,50) uT",IF(AF478&lt;=0.75,"Tipo 3 (0,50-0,75) uT","Tipo 4 (&gt;0,75) uT"))))</f>
        <v>Tipo 1 (≤0,25) uT</v>
      </c>
      <c r="BG478" s="137" t="str">
        <f t="shared" si="50"/>
        <v>Tipo 1 (≤0,25) uT</v>
      </c>
      <c r="BH478" s="137" t="str">
        <f>IF(OR(R478="",R478="-"),"",IF(R478&lt;=0.25,"Tipo 1 (≤0,25) uT",IF(R478&lt;=0.5,"Tipo 2 (0,25-0,50) uT",IF(R478&lt;=0.75,"Tipo 3 (0,50-0,75) uT","Tipo 4 (&gt;0,75) uT"))))</f>
        <v>Tipo 1 (≤0,25) uT</v>
      </c>
    </row>
    <row r="479" spans="1:60" x14ac:dyDescent="0.3">
      <c r="A479" s="74">
        <v>46312</v>
      </c>
      <c r="B479" s="139">
        <v>0.89583333333333337</v>
      </c>
      <c r="C479" s="116">
        <v>0</v>
      </c>
      <c r="D479" s="116">
        <v>1370</v>
      </c>
      <c r="E479" s="116">
        <v>429</v>
      </c>
      <c r="F479" s="116">
        <v>1860</v>
      </c>
      <c r="G479" s="144" t="s">
        <v>100</v>
      </c>
      <c r="H479" s="122">
        <v>9.5</v>
      </c>
      <c r="I479" s="116">
        <v>-21</v>
      </c>
      <c r="J479" s="10">
        <v>90</v>
      </c>
      <c r="K479" s="116">
        <v>90</v>
      </c>
      <c r="L479" s="116">
        <v>90</v>
      </c>
      <c r="M479" s="122">
        <v>25.2</v>
      </c>
      <c r="N479" s="122">
        <v>6.5</v>
      </c>
      <c r="O479" s="79">
        <v>1.44</v>
      </c>
      <c r="P479" s="116">
        <v>8</v>
      </c>
      <c r="Q479" s="122">
        <v>8.5</v>
      </c>
      <c r="R479" s="10">
        <v>0.12</v>
      </c>
      <c r="S479" s="79">
        <v>22.36</v>
      </c>
      <c r="T479" s="79">
        <v>0.88</v>
      </c>
      <c r="U479" s="79">
        <v>0.7</v>
      </c>
      <c r="V479" s="85">
        <f t="shared" si="51"/>
        <v>1462.425</v>
      </c>
      <c r="W479" s="85">
        <f t="shared" si="52"/>
        <v>1789.4207135999998</v>
      </c>
      <c r="X479" s="85">
        <f t="shared" si="53"/>
        <v>1.223598279296374</v>
      </c>
      <c r="Y479" s="116">
        <v>3</v>
      </c>
      <c r="Z479" s="116">
        <v>4</v>
      </c>
      <c r="AA479" s="122">
        <v>6.1</v>
      </c>
      <c r="AB479" s="116">
        <v>24</v>
      </c>
      <c r="AC479" s="122">
        <v>6.4</v>
      </c>
      <c r="AD479" s="122">
        <v>7.1</v>
      </c>
      <c r="AE479" s="79">
        <v>0.15</v>
      </c>
      <c r="AF479" s="79">
        <v>0.1</v>
      </c>
      <c r="AG479" s="85">
        <f>(O479+0.3*H479+2)*(F479/2/AK479)</f>
        <v>1949.9</v>
      </c>
      <c r="AH479" s="85">
        <f t="shared" si="54"/>
        <v>1979.8438399999998</v>
      </c>
      <c r="AI479" s="85">
        <f t="shared" si="55"/>
        <v>1.0153566029027128</v>
      </c>
      <c r="AJ479" s="116">
        <v>3</v>
      </c>
      <c r="AK479" s="116">
        <v>3</v>
      </c>
      <c r="AL479" s="122">
        <v>6.4</v>
      </c>
      <c r="AM479" s="116">
        <v>25</v>
      </c>
      <c r="AN479" s="122">
        <v>6.3</v>
      </c>
      <c r="AO479" s="122">
        <v>7.3</v>
      </c>
      <c r="AP479" s="79">
        <v>0.13</v>
      </c>
      <c r="AQ479" s="79">
        <v>0.11</v>
      </c>
      <c r="AR479" s="132">
        <f>SUM(C479:E479)</f>
        <v>1799</v>
      </c>
      <c r="AS479" s="134">
        <f>C479/AR479</f>
        <v>0</v>
      </c>
      <c r="AT479" s="134">
        <f>D479/AR479</f>
        <v>0.76153418565869924</v>
      </c>
      <c r="AU479" s="134">
        <f>E479/AR479</f>
        <v>0.23846581434130074</v>
      </c>
      <c r="AV479" s="151">
        <f>IF(AND(F479&lt;&gt;"",Z479&lt;&gt;""),AB479/(F479/2/Z479),"")</f>
        <v>0.1032258064516129</v>
      </c>
      <c r="AW479" s="151">
        <f>IF(AND(F479&lt;&gt;"",AK479&lt;&gt;""),AM479/(F479/2/AK479),"")</f>
        <v>8.0645161290322578E-2</v>
      </c>
      <c r="AX479" s="43">
        <f>IF(AND(AQ479&lt;&gt;"",1-(AQ479/O479)&gt;0),1-(AQ479/O479),"")</f>
        <v>0.92361111111111116</v>
      </c>
      <c r="AY479" s="41">
        <f>IF(AND(AF479&lt;&gt;"",1-(AF479/O479)&gt;0),1-(AF479/O479),"")</f>
        <v>0.93055555555555558</v>
      </c>
      <c r="AZ479" s="136" t="str">
        <f>IF(Q479="","",IF(Q479&lt;2.5,"Alc. Bruta &lt; 2,5 mg/L",IF(Q479&lt;5,"2,5 ≤ Alc. Bruta &lt; 5,0 mg/L",IF(Q479&lt;7.5,"5,0 ≤ Alc. Bruta &lt; 7,5 mg/L",IF(Q479&lt;10,"7,5 ≤ Alc. Bruta &lt; 10,0 mg/L",IF(Q479&lt;15,"10,0 ≤ Alca. Bruta &lt; 15,0 mg/L","Alc. Bruta &gt; 15 mg/L"))))))</f>
        <v>7,5 ≤ Alc. Bruta &lt; 10,0 mg/L</v>
      </c>
      <c r="BA479" s="136" t="str">
        <f>IF(P479="","",IF(P479&lt;5,"Cor &lt;5 uC",IF(P479&lt;10,"5 ≤ Cor &lt; 10 uC",IF(P479&lt;15,"10 ≤ Cor &lt;15 uC",IF(P479&lt;30,"15 ≤ Cor &lt; 30 uC",IF(P479&lt;50,"30 ≤ Cor &lt; 50 uC","Cor &gt; 50 uC"))))))</f>
        <v>5 ≤ Cor &lt; 10 uC</v>
      </c>
      <c r="BB479" s="137" t="str">
        <f>IF(O479="","",IF(O479&lt;2.5,"Turbidez &lt; 2,5 uT",IF(O479&lt;5,"2,5 ≤ Turb &lt; 5,0 uT",IF(O479&lt;7.5,"5,0 ≤ Turb &lt; 7,5 uT",IF(O479&lt;10,"7,5 ≤ Turb &lt; 10,0 uT",IF(O479&lt;15,"10,0 ≤ Turb &lt; 15,0 uT","Turb &gt; 15 uT"))))))</f>
        <v>Turbidez &lt; 2,5 uT</v>
      </c>
      <c r="BC479" s="138" t="str">
        <f>IF(AND(C479&gt;D479,D479&gt;E479),"TOR &gt; SM &gt; BNN",IF(AND(C479&gt;E479,E479&gt;D479),"TOR &gt; BNN &gt; SM",IF(AND(D479&gt;C479,C479&gt;E479),"SM &gt; TOR &gt; BNN",IF(AND(D479&gt;E479,E479&gt;C479),"SM &gt; BNN &gt; TOR",IF(AND(C479=D479,D479=E479),"TOR = SM = BNN","Comb. diferentes")))))</f>
        <v>SM &gt; BNN &gt; TOR</v>
      </c>
      <c r="BD479" s="137" t="str">
        <f>IF(OR(AE479="",AQ479="-"),"",IF(AE479&lt;=0.25,"Tipo 1 (≤0,25) uT",IF(AE479&lt;=0.5,"Tipo 2 (0,25-0,50) uT",IF(AE479&lt;=0.75,"Tipo 3 (0,50-0,75) uT","Tipo 4 (&gt;0,75) uT"))))</f>
        <v>Tipo 1 (≤0,25) uT</v>
      </c>
      <c r="BE479" s="137" t="str">
        <f t="shared" si="49"/>
        <v>Tipo 1 (≤0,25) uT</v>
      </c>
      <c r="BF479" s="137" t="str">
        <f>IF(OR(AF479="",AQ479="-"),"",IF(AF479&lt;=0.25,"Tipo 1 (≤0,25) uT",IF(AF479&lt;=0.5,"Tipo 2 (0,25-0,50) uT",IF(AF479&lt;=0.75,"Tipo 3 (0,50-0,75) uT","Tipo 4 (&gt;0,75) uT"))))</f>
        <v>Tipo 1 (≤0,25) uT</v>
      </c>
      <c r="BG479" s="137" t="str">
        <f t="shared" si="50"/>
        <v>Tipo 1 (≤0,25) uT</v>
      </c>
      <c r="BH479" s="137" t="str">
        <f>IF(OR(R479="",R479="-"),"",IF(R479&lt;=0.25,"Tipo 1 (≤0,25) uT",IF(R479&lt;=0.5,"Tipo 2 (0,25-0,50) uT",IF(R479&lt;=0.75,"Tipo 3 (0,50-0,75) uT","Tipo 4 (&gt;0,75) uT"))))</f>
        <v>Tipo 1 (≤0,25) uT</v>
      </c>
    </row>
    <row r="480" spans="1:60" x14ac:dyDescent="0.3">
      <c r="A480" s="74">
        <v>46312</v>
      </c>
      <c r="B480" s="139">
        <v>0.97916666666666663</v>
      </c>
      <c r="C480" s="116">
        <v>0</v>
      </c>
      <c r="D480" s="116">
        <v>1341</v>
      </c>
      <c r="E480" s="116">
        <v>427</v>
      </c>
      <c r="F480" s="116">
        <v>1800</v>
      </c>
      <c r="G480" s="144" t="s">
        <v>100</v>
      </c>
      <c r="H480" s="122">
        <v>9.5</v>
      </c>
      <c r="I480" s="116">
        <v>11.06</v>
      </c>
      <c r="J480" s="10">
        <v>90</v>
      </c>
      <c r="K480" s="116">
        <v>90</v>
      </c>
      <c r="L480" s="116">
        <v>90</v>
      </c>
      <c r="M480" s="122">
        <v>24.9</v>
      </c>
      <c r="N480" s="122">
        <v>6.5</v>
      </c>
      <c r="O480" s="79">
        <v>1.19</v>
      </c>
      <c r="P480" s="116">
        <v>7</v>
      </c>
      <c r="Q480" s="122">
        <v>7.5</v>
      </c>
      <c r="R480" s="10">
        <v>0.13</v>
      </c>
      <c r="S480" s="79">
        <v>22.36</v>
      </c>
      <c r="T480" s="79">
        <v>0.88</v>
      </c>
      <c r="U480" s="79">
        <v>0.7</v>
      </c>
      <c r="V480" s="85">
        <f t="shared" si="51"/>
        <v>1359</v>
      </c>
      <c r="W480" s="85">
        <f t="shared" si="52"/>
        <v>1789.4207135999998</v>
      </c>
      <c r="X480" s="85">
        <f t="shared" si="53"/>
        <v>1.3167187002207503</v>
      </c>
      <c r="Y480" s="116">
        <v>3</v>
      </c>
      <c r="Z480" s="116">
        <v>4</v>
      </c>
      <c r="AA480" s="122">
        <v>6.1</v>
      </c>
      <c r="AB480" s="116">
        <v>24</v>
      </c>
      <c r="AC480" s="122">
        <v>6.3</v>
      </c>
      <c r="AD480" s="122">
        <v>6.9</v>
      </c>
      <c r="AE480" s="79">
        <v>0.16</v>
      </c>
      <c r="AF480" s="79">
        <v>0.1</v>
      </c>
      <c r="AG480" s="85">
        <f>(O480+0.3*H480+2)*(F480/2/AK480)</f>
        <v>1812</v>
      </c>
      <c r="AH480" s="85">
        <f t="shared" si="54"/>
        <v>1979.8438399999998</v>
      </c>
      <c r="AI480" s="85">
        <f t="shared" si="55"/>
        <v>1.0926290507726268</v>
      </c>
      <c r="AJ480" s="116">
        <v>3</v>
      </c>
      <c r="AK480" s="116">
        <v>3</v>
      </c>
      <c r="AL480" s="122">
        <v>6.4</v>
      </c>
      <c r="AM480" s="116">
        <v>25</v>
      </c>
      <c r="AN480" s="122">
        <v>6.3</v>
      </c>
      <c r="AO480" s="122">
        <v>7</v>
      </c>
      <c r="AP480" s="79">
        <v>0.14000000000000001</v>
      </c>
      <c r="AQ480" s="79">
        <v>0.11</v>
      </c>
      <c r="AR480" s="132">
        <f>SUM(C480:E480)</f>
        <v>1768</v>
      </c>
      <c r="AS480" s="134">
        <f>C480/AR480</f>
        <v>0</v>
      </c>
      <c r="AT480" s="134">
        <f>D480/AR480</f>
        <v>0.75848416289592757</v>
      </c>
      <c r="AU480" s="134">
        <f>E480/AR480</f>
        <v>0.2415158371040724</v>
      </c>
      <c r="AV480" s="151">
        <f>IF(AND(F480&lt;&gt;"",Z480&lt;&gt;""),AB480/(F480/2/Z480),"")</f>
        <v>0.10666666666666667</v>
      </c>
      <c r="AW480" s="151">
        <f>IF(AND(F480&lt;&gt;"",AK480&lt;&gt;""),AM480/(F480/2/AK480),"")</f>
        <v>8.3333333333333329E-2</v>
      </c>
      <c r="AX480" s="43">
        <f>IF(AND(AQ480&lt;&gt;"",1-(AQ480/O480)&gt;0),1-(AQ480/O480),"")</f>
        <v>0.90756302521008403</v>
      </c>
      <c r="AY480" s="41">
        <f>IF(AND(AF480&lt;&gt;"",1-(AF480/O480)&gt;0),1-(AF480/O480),"")</f>
        <v>0.91596638655462181</v>
      </c>
      <c r="AZ480" s="136" t="str">
        <f>IF(Q480="","",IF(Q480&lt;2.5,"Alc. Bruta &lt; 2,5 mg/L",IF(Q480&lt;5,"2,5 ≤ Alc. Bruta &lt; 5,0 mg/L",IF(Q480&lt;7.5,"5,0 ≤ Alc. Bruta &lt; 7,5 mg/L",IF(Q480&lt;10,"7,5 ≤ Alc. Bruta &lt; 10,0 mg/L",IF(Q480&lt;15,"10,0 ≤ Alca. Bruta &lt; 15,0 mg/L","Alc. Bruta &gt; 15 mg/L"))))))</f>
        <v>7,5 ≤ Alc. Bruta &lt; 10,0 mg/L</v>
      </c>
      <c r="BA480" s="136" t="str">
        <f>IF(P480="","",IF(P480&lt;5,"Cor &lt;5 uC",IF(P480&lt;10,"5 ≤ Cor &lt; 10 uC",IF(P480&lt;15,"10 ≤ Cor &lt;15 uC",IF(P480&lt;30,"15 ≤ Cor &lt; 30 uC",IF(P480&lt;50,"30 ≤ Cor &lt; 50 uC","Cor &gt; 50 uC"))))))</f>
        <v>5 ≤ Cor &lt; 10 uC</v>
      </c>
      <c r="BB480" s="137" t="str">
        <f>IF(O480="","",IF(O480&lt;2.5,"Turbidez &lt; 2,5 uT",IF(O480&lt;5,"2,5 ≤ Turb &lt; 5,0 uT",IF(O480&lt;7.5,"5,0 ≤ Turb &lt; 7,5 uT",IF(O480&lt;10,"7,5 ≤ Turb &lt; 10,0 uT",IF(O480&lt;15,"10,0 ≤ Turb &lt; 15,0 uT","Turb &gt; 15 uT"))))))</f>
        <v>Turbidez &lt; 2,5 uT</v>
      </c>
      <c r="BC480" s="138" t="str">
        <f>IF(AND(C480&gt;D480,D480&gt;E480),"TOR &gt; SM &gt; BNN",IF(AND(C480&gt;E480,E480&gt;D480),"TOR &gt; BNN &gt; SM",IF(AND(D480&gt;C480,C480&gt;E480),"SM &gt; TOR &gt; BNN",IF(AND(D480&gt;E480,E480&gt;C480),"SM &gt; BNN &gt; TOR",IF(AND(C480=D480,D480=E480),"TOR = SM = BNN","Comb. diferentes")))))</f>
        <v>SM &gt; BNN &gt; TOR</v>
      </c>
      <c r="BD480" s="137" t="str">
        <f>IF(OR(AE480="",AQ480="-"),"",IF(AE480&lt;=0.25,"Tipo 1 (≤0,25) uT",IF(AE480&lt;=0.5,"Tipo 2 (0,25-0,50) uT",IF(AE480&lt;=0.75,"Tipo 3 (0,50-0,75) uT","Tipo 4 (&gt;0,75) uT"))))</f>
        <v>Tipo 1 (≤0,25) uT</v>
      </c>
      <c r="BE480" s="137" t="str">
        <f t="shared" si="49"/>
        <v>Tipo 1 (≤0,25) uT</v>
      </c>
      <c r="BF480" s="137" t="str">
        <f>IF(OR(AF480="",AQ480="-"),"",IF(AF480&lt;=0.25,"Tipo 1 (≤0,25) uT",IF(AF480&lt;=0.5,"Tipo 2 (0,25-0,50) uT",IF(AF480&lt;=0.75,"Tipo 3 (0,50-0,75) uT","Tipo 4 (&gt;0,75) uT"))))</f>
        <v>Tipo 1 (≤0,25) uT</v>
      </c>
      <c r="BG480" s="137" t="str">
        <f t="shared" si="50"/>
        <v>Tipo 1 (≤0,25) uT</v>
      </c>
      <c r="BH480" s="137" t="str">
        <f>IF(OR(R480="",R480="-"),"",IF(R480&lt;=0.25,"Tipo 1 (≤0,25) uT",IF(R480&lt;=0.5,"Tipo 2 (0,25-0,50) uT",IF(R480&lt;=0.75,"Tipo 3 (0,50-0,75) uT","Tipo 4 (&gt;0,75) uT"))))</f>
        <v>Tipo 1 (≤0,25) uT</v>
      </c>
    </row>
    <row r="481" spans="1:60" x14ac:dyDescent="0.3">
      <c r="A481" s="74">
        <v>46313</v>
      </c>
      <c r="B481" s="139">
        <v>0.14583333333333334</v>
      </c>
      <c r="C481" s="116">
        <v>0</v>
      </c>
      <c r="D481" s="116">
        <v>1389</v>
      </c>
      <c r="E481" s="116">
        <v>428</v>
      </c>
      <c r="F481" s="116">
        <v>1821</v>
      </c>
      <c r="G481" s="144" t="s">
        <v>100</v>
      </c>
      <c r="H481" s="122">
        <v>9.5</v>
      </c>
      <c r="I481" s="116">
        <v>-18</v>
      </c>
      <c r="J481" s="10">
        <v>90</v>
      </c>
      <c r="K481" s="116">
        <v>90</v>
      </c>
      <c r="L481" s="116">
        <v>90</v>
      </c>
      <c r="M481" s="122">
        <v>24.9</v>
      </c>
      <c r="N481" s="122">
        <v>6.5</v>
      </c>
      <c r="O481" s="79">
        <v>1.28</v>
      </c>
      <c r="P481" s="116">
        <v>8</v>
      </c>
      <c r="Q481" s="122">
        <v>7.9</v>
      </c>
      <c r="R481" s="10">
        <v>0.14000000000000001</v>
      </c>
      <c r="S481" s="79">
        <v>22.36</v>
      </c>
      <c r="T481" s="79">
        <v>0.88</v>
      </c>
      <c r="U481" s="79">
        <v>0.7</v>
      </c>
      <c r="V481" s="85">
        <f t="shared" si="51"/>
        <v>1395.3412499999999</v>
      </c>
      <c r="W481" s="85">
        <f t="shared" si="52"/>
        <v>1789.4207135999998</v>
      </c>
      <c r="X481" s="85">
        <f t="shared" si="53"/>
        <v>1.2824251512667599</v>
      </c>
      <c r="Y481" s="116">
        <v>3</v>
      </c>
      <c r="Z481" s="116">
        <v>4</v>
      </c>
      <c r="AA481" s="122">
        <v>6.1</v>
      </c>
      <c r="AB481" s="116">
        <v>24</v>
      </c>
      <c r="AC481" s="122">
        <v>6.3</v>
      </c>
      <c r="AD481" s="122">
        <v>6.9</v>
      </c>
      <c r="AE481" s="79">
        <v>0.17</v>
      </c>
      <c r="AF481" s="79">
        <v>0.11</v>
      </c>
      <c r="AG481" s="85">
        <f>(O481+0.3*H481+2)*(F481/2/AK481)</f>
        <v>1860.4549999999999</v>
      </c>
      <c r="AH481" s="85">
        <f t="shared" si="54"/>
        <v>1979.8438399999998</v>
      </c>
      <c r="AI481" s="85">
        <f t="shared" si="55"/>
        <v>1.0641718504344366</v>
      </c>
      <c r="AJ481" s="116">
        <v>3</v>
      </c>
      <c r="AK481" s="116">
        <v>3</v>
      </c>
      <c r="AL481" s="122">
        <v>6.4</v>
      </c>
      <c r="AM481" s="116">
        <v>25</v>
      </c>
      <c r="AN481" s="122">
        <v>6.3</v>
      </c>
      <c r="AO481" s="122">
        <v>7.1</v>
      </c>
      <c r="AP481" s="79">
        <v>0.15</v>
      </c>
      <c r="AQ481" s="79">
        <v>0.11</v>
      </c>
      <c r="AR481" s="132">
        <f>SUM(C481:E481)</f>
        <v>1817</v>
      </c>
      <c r="AS481" s="134">
        <f>C481/AR481</f>
        <v>0</v>
      </c>
      <c r="AT481" s="134">
        <f>D481/AR481</f>
        <v>0.7644468904788112</v>
      </c>
      <c r="AU481" s="134">
        <f>E481/AR481</f>
        <v>0.23555310952118877</v>
      </c>
      <c r="AV481" s="151">
        <f>IF(AND(F481&lt;&gt;"",Z481&lt;&gt;""),AB481/(F481/2/Z481),"")</f>
        <v>0.10543657331136738</v>
      </c>
      <c r="AW481" s="151">
        <f>IF(AND(F481&lt;&gt;"",AK481&lt;&gt;""),AM481/(F481/2/AK481),"")</f>
        <v>8.2372322899505759E-2</v>
      </c>
      <c r="AX481" s="43">
        <f>IF(AND(AQ481&lt;&gt;"",1-(AQ481/O481)&gt;0),1-(AQ481/O481),"")</f>
        <v>0.9140625</v>
      </c>
      <c r="AY481" s="41">
        <f>IF(AND(AF481&lt;&gt;"",1-(AF481/O481)&gt;0),1-(AF481/O481),"")</f>
        <v>0.9140625</v>
      </c>
      <c r="AZ481" s="136" t="str">
        <f>IF(Q481="","",IF(Q481&lt;2.5,"Alc. Bruta &lt; 2,5 mg/L",IF(Q481&lt;5,"2,5 ≤ Alc. Bruta &lt; 5,0 mg/L",IF(Q481&lt;7.5,"5,0 ≤ Alc. Bruta &lt; 7,5 mg/L",IF(Q481&lt;10,"7,5 ≤ Alc. Bruta &lt; 10,0 mg/L",IF(Q481&lt;15,"10,0 ≤ Alca. Bruta &lt; 15,0 mg/L","Alc. Bruta &gt; 15 mg/L"))))))</f>
        <v>7,5 ≤ Alc. Bruta &lt; 10,0 mg/L</v>
      </c>
      <c r="BA481" s="136" t="str">
        <f>IF(P481="","",IF(P481&lt;5,"Cor &lt;5 uC",IF(P481&lt;10,"5 ≤ Cor &lt; 10 uC",IF(P481&lt;15,"10 ≤ Cor &lt;15 uC",IF(P481&lt;30,"15 ≤ Cor &lt; 30 uC",IF(P481&lt;50,"30 ≤ Cor &lt; 50 uC","Cor &gt; 50 uC"))))))</f>
        <v>5 ≤ Cor &lt; 10 uC</v>
      </c>
      <c r="BB481" s="137" t="str">
        <f>IF(O481="","",IF(O481&lt;2.5,"Turbidez &lt; 2,5 uT",IF(O481&lt;5,"2,5 ≤ Turb &lt; 5,0 uT",IF(O481&lt;7.5,"5,0 ≤ Turb &lt; 7,5 uT",IF(O481&lt;10,"7,5 ≤ Turb &lt; 10,0 uT",IF(O481&lt;15,"10,0 ≤ Turb &lt; 15,0 uT","Turb &gt; 15 uT"))))))</f>
        <v>Turbidez &lt; 2,5 uT</v>
      </c>
      <c r="BC481" s="138" t="str">
        <f>IF(AND(C481&gt;D481,D481&gt;E481),"TOR &gt; SM &gt; BNN",IF(AND(C481&gt;E481,E481&gt;D481),"TOR &gt; BNN &gt; SM",IF(AND(D481&gt;C481,C481&gt;E481),"SM &gt; TOR &gt; BNN",IF(AND(D481&gt;E481,E481&gt;C481),"SM &gt; BNN &gt; TOR",IF(AND(C481=D481,D481=E481),"TOR = SM = BNN","Comb. diferentes")))))</f>
        <v>SM &gt; BNN &gt; TOR</v>
      </c>
      <c r="BD481" s="137" t="str">
        <f>IF(OR(AE481="",AQ481="-"),"",IF(AE481&lt;=0.25,"Tipo 1 (≤0,25) uT",IF(AE481&lt;=0.5,"Tipo 2 (0,25-0,50) uT",IF(AE481&lt;=0.75,"Tipo 3 (0,50-0,75) uT","Tipo 4 (&gt;0,75) uT"))))</f>
        <v>Tipo 1 (≤0,25) uT</v>
      </c>
      <c r="BE481" s="137" t="str">
        <f t="shared" si="49"/>
        <v>Tipo 1 (≤0,25) uT</v>
      </c>
      <c r="BF481" s="137" t="str">
        <f>IF(OR(AF481="",AQ481="-"),"",IF(AF481&lt;=0.25,"Tipo 1 (≤0,25) uT",IF(AF481&lt;=0.5,"Tipo 2 (0,25-0,50) uT",IF(AF481&lt;=0.75,"Tipo 3 (0,50-0,75) uT","Tipo 4 (&gt;0,75) uT"))))</f>
        <v>Tipo 1 (≤0,25) uT</v>
      </c>
      <c r="BG481" s="137" t="str">
        <f t="shared" si="50"/>
        <v>Tipo 1 (≤0,25) uT</v>
      </c>
      <c r="BH481" s="137" t="str">
        <f>IF(OR(R481="",R481="-"),"",IF(R481&lt;=0.25,"Tipo 1 (≤0,25) uT",IF(R481&lt;=0.5,"Tipo 2 (0,25-0,50) uT",IF(R481&lt;=0.75,"Tipo 3 (0,50-0,75) uT","Tipo 4 (&gt;0,75) uT"))))</f>
        <v>Tipo 1 (≤0,25) uT</v>
      </c>
    </row>
    <row r="482" spans="1:60" ht="15" thickBot="1" x14ac:dyDescent="0.35">
      <c r="A482" s="75">
        <v>46313</v>
      </c>
      <c r="B482" s="140">
        <v>0.22916666666666666</v>
      </c>
      <c r="C482" s="117">
        <v>0</v>
      </c>
      <c r="D482" s="117">
        <v>760</v>
      </c>
      <c r="E482" s="117">
        <v>500</v>
      </c>
      <c r="F482" s="117">
        <v>1250</v>
      </c>
      <c r="G482" s="145" t="s">
        <v>100</v>
      </c>
      <c r="H482" s="123">
        <v>9.5</v>
      </c>
      <c r="I482" s="117">
        <v>42</v>
      </c>
      <c r="J482" s="11">
        <v>90</v>
      </c>
      <c r="K482" s="117">
        <v>90</v>
      </c>
      <c r="L482" s="117">
        <v>90</v>
      </c>
      <c r="M482" s="123">
        <v>24.7</v>
      </c>
      <c r="N482" s="123">
        <v>6.4</v>
      </c>
      <c r="O482" s="80">
        <v>1.3</v>
      </c>
      <c r="P482" s="117">
        <v>8</v>
      </c>
      <c r="Q482" s="123">
        <v>7.5</v>
      </c>
      <c r="R482" s="11">
        <v>0.1</v>
      </c>
      <c r="S482" s="79">
        <v>22.36</v>
      </c>
      <c r="T482" s="79">
        <v>0.88</v>
      </c>
      <c r="U482" s="79">
        <v>0.7</v>
      </c>
      <c r="V482" s="85">
        <f t="shared" si="51"/>
        <v>1921.875</v>
      </c>
      <c r="W482" s="85">
        <f t="shared" si="52"/>
        <v>1774.2485591999998</v>
      </c>
      <c r="X482" s="85">
        <f t="shared" si="53"/>
        <v>0.92318624218536571</v>
      </c>
      <c r="Y482" s="117">
        <v>1</v>
      </c>
      <c r="Z482" s="117">
        <v>2</v>
      </c>
      <c r="AA482" s="123">
        <v>6</v>
      </c>
      <c r="AB482" s="117">
        <v>24.3</v>
      </c>
      <c r="AC482" s="123">
        <v>6.3</v>
      </c>
      <c r="AD482" s="123">
        <v>7</v>
      </c>
      <c r="AE482" s="80">
        <v>0.16</v>
      </c>
      <c r="AF482" s="80">
        <v>0.11</v>
      </c>
      <c r="AG482" s="85">
        <f>(O482+0.3*H482+2)*(F482/2/AK482)</f>
        <v>1281.2500000000002</v>
      </c>
      <c r="AH482" s="85">
        <f t="shared" si="54"/>
        <v>1979.8438399999998</v>
      </c>
      <c r="AI482" s="85">
        <f t="shared" si="55"/>
        <v>1.5452439726829263</v>
      </c>
      <c r="AJ482" s="117">
        <v>2</v>
      </c>
      <c r="AK482" s="117">
        <v>3</v>
      </c>
      <c r="AL482" s="123">
        <v>6.4</v>
      </c>
      <c r="AM482" s="117">
        <v>25</v>
      </c>
      <c r="AN482" s="123">
        <v>6.3</v>
      </c>
      <c r="AO482" s="123">
        <v>7</v>
      </c>
      <c r="AP482" s="80">
        <v>0.16</v>
      </c>
      <c r="AQ482" s="80">
        <v>0.11</v>
      </c>
      <c r="AR482" s="132">
        <f>SUM(C482:E482)</f>
        <v>1260</v>
      </c>
      <c r="AS482" s="134">
        <f>C482/AR482</f>
        <v>0</v>
      </c>
      <c r="AT482" s="134">
        <f>D482/AR482</f>
        <v>0.60317460317460314</v>
      </c>
      <c r="AU482" s="134">
        <f>E482/AR482</f>
        <v>0.3968253968253968</v>
      </c>
      <c r="AV482" s="151">
        <f>IF(AND(F482&lt;&gt;"",Z482&lt;&gt;""),AB482/(F482/2/Z482),"")</f>
        <v>7.7759999999999996E-2</v>
      </c>
      <c r="AW482" s="151">
        <f>IF(AND(F482&lt;&gt;"",AK482&lt;&gt;""),AM482/(F482/2/AK482),"")</f>
        <v>0.12</v>
      </c>
      <c r="AX482" s="43">
        <f>IF(AND(AQ482&lt;&gt;"",1-(AQ482/O482)&gt;0),1-(AQ482/O482),"")</f>
        <v>0.91538461538461535</v>
      </c>
      <c r="AY482" s="41">
        <f>IF(AND(AF482&lt;&gt;"",1-(AF482/O482)&gt;0),1-(AF482/O482),"")</f>
        <v>0.91538461538461535</v>
      </c>
      <c r="AZ482" s="136" t="str">
        <f>IF(Q482="","",IF(Q482&lt;2.5,"Alc. Bruta &lt; 2,5 mg/L",IF(Q482&lt;5,"2,5 ≤ Alc. Bruta &lt; 5,0 mg/L",IF(Q482&lt;7.5,"5,0 ≤ Alc. Bruta &lt; 7,5 mg/L",IF(Q482&lt;10,"7,5 ≤ Alc. Bruta &lt; 10,0 mg/L",IF(Q482&lt;15,"10,0 ≤ Alca. Bruta &lt; 15,0 mg/L","Alc. Bruta &gt; 15 mg/L"))))))</f>
        <v>7,5 ≤ Alc. Bruta &lt; 10,0 mg/L</v>
      </c>
      <c r="BA482" s="136" t="str">
        <f>IF(P482="","",IF(P482&lt;5,"Cor &lt;5 uC",IF(P482&lt;10,"5 ≤ Cor &lt; 10 uC",IF(P482&lt;15,"10 ≤ Cor &lt;15 uC",IF(P482&lt;30,"15 ≤ Cor &lt; 30 uC",IF(P482&lt;50,"30 ≤ Cor &lt; 50 uC","Cor &gt; 50 uC"))))))</f>
        <v>5 ≤ Cor &lt; 10 uC</v>
      </c>
      <c r="BB482" s="137" t="str">
        <f>IF(O482="","",IF(O482&lt;2.5,"Turbidez &lt; 2,5 uT",IF(O482&lt;5,"2,5 ≤ Turb &lt; 5,0 uT",IF(O482&lt;7.5,"5,0 ≤ Turb &lt; 7,5 uT",IF(O482&lt;10,"7,5 ≤ Turb &lt; 10,0 uT",IF(O482&lt;15,"10,0 ≤ Turb &lt; 15,0 uT","Turb &gt; 15 uT"))))))</f>
        <v>Turbidez &lt; 2,5 uT</v>
      </c>
      <c r="BC482" s="138" t="str">
        <f>IF(AND(C482&gt;D482,D482&gt;E482),"TOR &gt; SM &gt; BNN",IF(AND(C482&gt;E482,E482&gt;D482),"TOR &gt; BNN &gt; SM",IF(AND(D482&gt;C482,C482&gt;E482),"SM &gt; TOR &gt; BNN",IF(AND(D482&gt;E482,E482&gt;C482),"SM &gt; BNN &gt; TOR",IF(AND(C482=D482,D482=E482),"TOR = SM = BNN","Comb. diferentes")))))</f>
        <v>SM &gt; BNN &gt; TOR</v>
      </c>
      <c r="BD482" s="137" t="str">
        <f>IF(OR(AE482="",AQ482="-"),"",IF(AE482&lt;=0.25,"Tipo 1 (≤0,25) uT",IF(AE482&lt;=0.5,"Tipo 2 (0,25-0,50) uT",IF(AE482&lt;=0.75,"Tipo 3 (0,50-0,75) uT","Tipo 4 (&gt;0,75) uT"))))</f>
        <v>Tipo 1 (≤0,25) uT</v>
      </c>
      <c r="BE482" s="137" t="str">
        <f t="shared" si="49"/>
        <v>Tipo 1 (≤0,25) uT</v>
      </c>
      <c r="BF482" s="137" t="str">
        <f>IF(OR(AF482="",AQ482="-"),"",IF(AF482&lt;=0.25,"Tipo 1 (≤0,25) uT",IF(AF482&lt;=0.5,"Tipo 2 (0,25-0,50) uT",IF(AF482&lt;=0.75,"Tipo 3 (0,50-0,75) uT","Tipo 4 (&gt;0,75) uT"))))</f>
        <v>Tipo 1 (≤0,25) uT</v>
      </c>
      <c r="BG482" s="137" t="str">
        <f t="shared" si="50"/>
        <v>Tipo 1 (≤0,25) uT</v>
      </c>
      <c r="BH482" s="137" t="str">
        <f>IF(OR(R482="",R482="-"),"",IF(R482&lt;=0.25,"Tipo 1 (≤0,25) uT",IF(R482&lt;=0.5,"Tipo 2 (0,25-0,50) uT",IF(R482&lt;=0.75,"Tipo 3 (0,50-0,75) uT","Tipo 4 (&gt;0,75) uT"))))</f>
        <v>Tipo 1 (≤0,25) uT</v>
      </c>
    </row>
    <row r="483" spans="1:60" ht="15" thickBot="1" x14ac:dyDescent="0.35">
      <c r="A483" s="73">
        <v>46313</v>
      </c>
      <c r="B483" s="141">
        <v>0.3125</v>
      </c>
      <c r="C483" s="118">
        <v>0</v>
      </c>
      <c r="D483" s="118">
        <v>747</v>
      </c>
      <c r="E483" s="118">
        <v>500</v>
      </c>
      <c r="F483" s="118">
        <v>1260</v>
      </c>
      <c r="G483" s="146" t="s">
        <v>100</v>
      </c>
      <c r="H483" s="124">
        <v>9.5</v>
      </c>
      <c r="I483" s="118">
        <v>100</v>
      </c>
      <c r="J483" s="9">
        <v>90</v>
      </c>
      <c r="K483" s="118">
        <v>90</v>
      </c>
      <c r="L483" s="118">
        <v>90</v>
      </c>
      <c r="M483" s="124">
        <v>24.2</v>
      </c>
      <c r="N483" s="124">
        <v>6.5</v>
      </c>
      <c r="O483" s="81">
        <v>1.26</v>
      </c>
      <c r="P483" s="118">
        <v>8</v>
      </c>
      <c r="Q483" s="124">
        <v>12</v>
      </c>
      <c r="R483" s="9">
        <v>0.08</v>
      </c>
      <c r="S483" s="79">
        <v>22.36</v>
      </c>
      <c r="T483" s="79">
        <v>0.88</v>
      </c>
      <c r="U483" s="79">
        <v>0.7</v>
      </c>
      <c r="V483" s="85">
        <f t="shared" si="51"/>
        <v>1924.65</v>
      </c>
      <c r="W483" s="85">
        <f t="shared" si="52"/>
        <v>1789.4207135999998</v>
      </c>
      <c r="X483" s="85">
        <f t="shared" si="53"/>
        <v>0.92973824518743653</v>
      </c>
      <c r="Y483" s="118">
        <v>1</v>
      </c>
      <c r="Z483" s="118">
        <v>2</v>
      </c>
      <c r="AA483" s="124">
        <v>6.1</v>
      </c>
      <c r="AB483" s="118">
        <v>24</v>
      </c>
      <c r="AC483" s="124">
        <v>6.5</v>
      </c>
      <c r="AD483" s="124">
        <v>10.7</v>
      </c>
      <c r="AE483" s="81">
        <v>0.11</v>
      </c>
      <c r="AF483" s="81">
        <v>0.1</v>
      </c>
      <c r="AG483" s="85">
        <f>(O483+0.3*H483+2)*(F483/2/AK483)</f>
        <v>1283.1000000000001</v>
      </c>
      <c r="AH483" s="85">
        <f t="shared" si="54"/>
        <v>1979.8438399999998</v>
      </c>
      <c r="AI483" s="85">
        <f t="shared" si="55"/>
        <v>1.5430160081053694</v>
      </c>
      <c r="AJ483" s="118">
        <v>2</v>
      </c>
      <c r="AK483" s="118">
        <v>3</v>
      </c>
      <c r="AL483" s="124">
        <v>6.4</v>
      </c>
      <c r="AM483" s="118">
        <v>25</v>
      </c>
      <c r="AN483" s="124">
        <v>6.4</v>
      </c>
      <c r="AO483" s="124">
        <v>10.6</v>
      </c>
      <c r="AP483" s="81">
        <v>0.13</v>
      </c>
      <c r="AQ483" s="81">
        <v>0.13</v>
      </c>
      <c r="AR483" s="132">
        <f>SUM(C483:E483)</f>
        <v>1247</v>
      </c>
      <c r="AS483" s="134">
        <f>C483/AR483</f>
        <v>0</v>
      </c>
      <c r="AT483" s="134">
        <f>D483/AR483</f>
        <v>0.59903769045709698</v>
      </c>
      <c r="AU483" s="134">
        <f>E483/AR483</f>
        <v>0.40096230954290296</v>
      </c>
      <c r="AV483" s="151">
        <f>IF(AND(F483&lt;&gt;"",Z483&lt;&gt;""),AB483/(F483/2/Z483),"")</f>
        <v>7.6190476190476197E-2</v>
      </c>
      <c r="AW483" s="151">
        <f>IF(AND(F483&lt;&gt;"",AK483&lt;&gt;""),AM483/(F483/2/AK483),"")</f>
        <v>0.11904761904761904</v>
      </c>
      <c r="AX483" s="43">
        <f>IF(AND(AQ483&lt;&gt;"",1-(AQ483/O483)&gt;0),1-(AQ483/O483),"")</f>
        <v>0.89682539682539686</v>
      </c>
      <c r="AY483" s="41">
        <f>IF(AND(AF483&lt;&gt;"",1-(AF483/O483)&gt;0),1-(AF483/O483),"")</f>
        <v>0.92063492063492058</v>
      </c>
      <c r="AZ483" s="136" t="str">
        <f>IF(Q483="","",IF(Q483&lt;2.5,"Alc. Bruta &lt; 2,5 mg/L",IF(Q483&lt;5,"2,5 ≤ Alc. Bruta &lt; 5,0 mg/L",IF(Q483&lt;7.5,"5,0 ≤ Alc. Bruta &lt; 7,5 mg/L",IF(Q483&lt;10,"7,5 ≤ Alc. Bruta &lt; 10,0 mg/L",IF(Q483&lt;15,"10,0 ≤ Alca. Bruta &lt; 15,0 mg/L","Alc. Bruta &gt; 15 mg/L"))))))</f>
        <v>10,0 ≤ Alca. Bruta &lt; 15,0 mg/L</v>
      </c>
      <c r="BA483" s="136" t="str">
        <f>IF(P483="","",IF(P483&lt;5,"Cor &lt;5 uC",IF(P483&lt;10,"5 ≤ Cor &lt; 10 uC",IF(P483&lt;15,"10 ≤ Cor &lt;15 uC",IF(P483&lt;30,"15 ≤ Cor &lt; 30 uC",IF(P483&lt;50,"30 ≤ Cor &lt; 50 uC","Cor &gt; 50 uC"))))))</f>
        <v>5 ≤ Cor &lt; 10 uC</v>
      </c>
      <c r="BB483" s="137" t="str">
        <f>IF(O483="","",IF(O483&lt;2.5,"Turbidez &lt; 2,5 uT",IF(O483&lt;5,"2,5 ≤ Turb &lt; 5,0 uT",IF(O483&lt;7.5,"5,0 ≤ Turb &lt; 7,5 uT",IF(O483&lt;10,"7,5 ≤ Turb &lt; 10,0 uT",IF(O483&lt;15,"10,0 ≤ Turb &lt; 15,0 uT","Turb &gt; 15 uT"))))))</f>
        <v>Turbidez &lt; 2,5 uT</v>
      </c>
      <c r="BC483" s="138" t="str">
        <f>IF(AND(C483&gt;D483,D483&gt;E483),"TOR &gt; SM &gt; BNN",IF(AND(C483&gt;E483,E483&gt;D483),"TOR &gt; BNN &gt; SM",IF(AND(D483&gt;C483,C483&gt;E483),"SM &gt; TOR &gt; BNN",IF(AND(D483&gt;E483,E483&gt;C483),"SM &gt; BNN &gt; TOR",IF(AND(C483=D483,D483=E483),"TOR = SM = BNN","Comb. diferentes")))))</f>
        <v>SM &gt; BNN &gt; TOR</v>
      </c>
      <c r="BD483" s="137" t="str">
        <f>IF(OR(AE483="",AQ483="-"),"",IF(AE483&lt;=0.25,"Tipo 1 (≤0,25) uT",IF(AE483&lt;=0.5,"Tipo 2 (0,25-0,50) uT",IF(AE483&lt;=0.75,"Tipo 3 (0,50-0,75) uT","Tipo 4 (&gt;0,75) uT"))))</f>
        <v>Tipo 1 (≤0,25) uT</v>
      </c>
      <c r="BE483" s="137" t="str">
        <f t="shared" si="49"/>
        <v>Tipo 1 (≤0,25) uT</v>
      </c>
      <c r="BF483" s="137" t="str">
        <f>IF(OR(AF483="",AQ483="-"),"",IF(AF483&lt;=0.25,"Tipo 1 (≤0,25) uT",IF(AF483&lt;=0.5,"Tipo 2 (0,25-0,50) uT",IF(AF483&lt;=0.75,"Tipo 3 (0,50-0,75) uT","Tipo 4 (&gt;0,75) uT"))))</f>
        <v>Tipo 1 (≤0,25) uT</v>
      </c>
      <c r="BG483" s="137" t="str">
        <f t="shared" si="50"/>
        <v>Tipo 1 (≤0,25) uT</v>
      </c>
      <c r="BH483" s="137" t="str">
        <f>IF(OR(R483="",R483="-"),"",IF(R483&lt;=0.25,"Tipo 1 (≤0,25) uT",IF(R483&lt;=0.5,"Tipo 2 (0,25-0,50) uT",IF(R483&lt;=0.75,"Tipo 3 (0,50-0,75) uT","Tipo 4 (&gt;0,75) uT"))))</f>
        <v>Tipo 1 (≤0,25) uT</v>
      </c>
    </row>
    <row r="484" spans="1:60" x14ac:dyDescent="0.3">
      <c r="A484" s="74">
        <v>46313</v>
      </c>
      <c r="B484" s="139">
        <v>0.39583333333333331</v>
      </c>
      <c r="C484" s="118">
        <v>0</v>
      </c>
      <c r="D484" s="116">
        <v>769</v>
      </c>
      <c r="E484" s="116">
        <v>500</v>
      </c>
      <c r="F484" s="116">
        <v>1220</v>
      </c>
      <c r="G484" s="144" t="s">
        <v>100</v>
      </c>
      <c r="H484" s="122">
        <v>9.5</v>
      </c>
      <c r="I484" s="116">
        <v>25</v>
      </c>
      <c r="J484" s="10">
        <v>90</v>
      </c>
      <c r="K484" s="116">
        <v>90</v>
      </c>
      <c r="L484" s="116">
        <v>90</v>
      </c>
      <c r="M484" s="122">
        <v>25</v>
      </c>
      <c r="N484" s="122">
        <v>6.5</v>
      </c>
      <c r="O484" s="79">
        <v>1.24</v>
      </c>
      <c r="P484" s="116">
        <v>9</v>
      </c>
      <c r="Q484" s="122">
        <v>14.3</v>
      </c>
      <c r="R484" s="10">
        <v>7.0000000000000007E-2</v>
      </c>
      <c r="S484" s="79">
        <v>22.36</v>
      </c>
      <c r="T484" s="79">
        <v>0.88</v>
      </c>
      <c r="U484" s="79">
        <v>0.7</v>
      </c>
      <c r="V484" s="85">
        <f t="shared" si="51"/>
        <v>1857.45</v>
      </c>
      <c r="W484" s="85">
        <f t="shared" si="52"/>
        <v>1789.4207135999998</v>
      </c>
      <c r="X484" s="85">
        <f t="shared" si="53"/>
        <v>0.96337490301219397</v>
      </c>
      <c r="Y484" s="116">
        <v>1</v>
      </c>
      <c r="Z484" s="116">
        <v>2</v>
      </c>
      <c r="AA484" s="122">
        <v>6.1</v>
      </c>
      <c r="AB484" s="116">
        <v>24</v>
      </c>
      <c r="AC484" s="122">
        <v>6.5</v>
      </c>
      <c r="AD484" s="122">
        <v>10.1</v>
      </c>
      <c r="AE484" s="79">
        <v>0.14000000000000001</v>
      </c>
      <c r="AF484" s="79">
        <v>0.1</v>
      </c>
      <c r="AG484" s="85">
        <f>(O484+0.3*H484+2)*(F484/2/AK484)</f>
        <v>1238.3</v>
      </c>
      <c r="AH484" s="85">
        <f t="shared" si="54"/>
        <v>1979.8438399999998</v>
      </c>
      <c r="AI484" s="85">
        <f t="shared" si="55"/>
        <v>1.5988402164257449</v>
      </c>
      <c r="AJ484" s="116">
        <v>2</v>
      </c>
      <c r="AK484" s="116">
        <v>3</v>
      </c>
      <c r="AL484" s="122">
        <v>6.4</v>
      </c>
      <c r="AM484" s="116">
        <v>25</v>
      </c>
      <c r="AN484" s="122">
        <v>6.5</v>
      </c>
      <c r="AO484" s="122">
        <v>9.9</v>
      </c>
      <c r="AP484" s="79">
        <v>0.18</v>
      </c>
      <c r="AQ484" s="79">
        <v>0.16</v>
      </c>
      <c r="AR484" s="132">
        <f>SUM(C484:E484)</f>
        <v>1269</v>
      </c>
      <c r="AS484" s="134">
        <f>C484/AR484</f>
        <v>0</v>
      </c>
      <c r="AT484" s="134">
        <f>D484/AR484</f>
        <v>0.60598896769109534</v>
      </c>
      <c r="AU484" s="134">
        <f>E484/AR484</f>
        <v>0.39401103230890466</v>
      </c>
      <c r="AV484" s="151">
        <f>IF(AND(F484&lt;&gt;"",Z484&lt;&gt;""),AB484/(F484/2/Z484),"")</f>
        <v>7.8688524590163941E-2</v>
      </c>
      <c r="AW484" s="151">
        <f>IF(AND(F484&lt;&gt;"",AK484&lt;&gt;""),AM484/(F484/2/AK484),"")</f>
        <v>0.12295081967213115</v>
      </c>
      <c r="AX484" s="43">
        <f>IF(AND(AQ484&lt;&gt;"",1-(AQ484/O484)&gt;0),1-(AQ484/O484),"")</f>
        <v>0.87096774193548387</v>
      </c>
      <c r="AY484" s="41">
        <f>IF(AND(AF484&lt;&gt;"",1-(AF484/O484)&gt;0),1-(AF484/O484),"")</f>
        <v>0.91935483870967738</v>
      </c>
      <c r="AZ484" s="136" t="str">
        <f>IF(Q484="","",IF(Q484&lt;2.5,"Alc. Bruta &lt; 2,5 mg/L",IF(Q484&lt;5,"2,5 ≤ Alc. Bruta &lt; 5,0 mg/L",IF(Q484&lt;7.5,"5,0 ≤ Alc. Bruta &lt; 7,5 mg/L",IF(Q484&lt;10,"7,5 ≤ Alc. Bruta &lt; 10,0 mg/L",IF(Q484&lt;15,"10,0 ≤ Alca. Bruta &lt; 15,0 mg/L","Alc. Bruta &gt; 15 mg/L"))))))</f>
        <v>10,0 ≤ Alca. Bruta &lt; 15,0 mg/L</v>
      </c>
      <c r="BA484" s="136" t="str">
        <f>IF(P484="","",IF(P484&lt;5,"Cor &lt;5 uC",IF(P484&lt;10,"5 ≤ Cor &lt; 10 uC",IF(P484&lt;15,"10 ≤ Cor &lt;15 uC",IF(P484&lt;30,"15 ≤ Cor &lt; 30 uC",IF(P484&lt;50,"30 ≤ Cor &lt; 50 uC","Cor &gt; 50 uC"))))))</f>
        <v>5 ≤ Cor &lt; 10 uC</v>
      </c>
      <c r="BB484" s="137" t="str">
        <f>IF(O484="","",IF(O484&lt;2.5,"Turbidez &lt; 2,5 uT",IF(O484&lt;5,"2,5 ≤ Turb &lt; 5,0 uT",IF(O484&lt;7.5,"5,0 ≤ Turb &lt; 7,5 uT",IF(O484&lt;10,"7,5 ≤ Turb &lt; 10,0 uT",IF(O484&lt;15,"10,0 ≤ Turb &lt; 15,0 uT","Turb &gt; 15 uT"))))))</f>
        <v>Turbidez &lt; 2,5 uT</v>
      </c>
      <c r="BC484" s="138" t="str">
        <f>IF(AND(C484&gt;D484,D484&gt;E484),"TOR &gt; SM &gt; BNN",IF(AND(C484&gt;E484,E484&gt;D484),"TOR &gt; BNN &gt; SM",IF(AND(D484&gt;C484,C484&gt;E484),"SM &gt; TOR &gt; BNN",IF(AND(D484&gt;E484,E484&gt;C484),"SM &gt; BNN &gt; TOR",IF(AND(C484=D484,D484=E484),"TOR = SM = BNN","Comb. diferentes")))))</f>
        <v>SM &gt; BNN &gt; TOR</v>
      </c>
      <c r="BD484" s="137" t="str">
        <f>IF(OR(AE484="",AQ484="-"),"",IF(AE484&lt;=0.25,"Tipo 1 (≤0,25) uT",IF(AE484&lt;=0.5,"Tipo 2 (0,25-0,50) uT",IF(AE484&lt;=0.75,"Tipo 3 (0,50-0,75) uT","Tipo 4 (&gt;0,75) uT"))))</f>
        <v>Tipo 1 (≤0,25) uT</v>
      </c>
      <c r="BE484" s="137" t="str">
        <f t="shared" si="49"/>
        <v>Tipo 1 (≤0,25) uT</v>
      </c>
      <c r="BF484" s="137" t="str">
        <f>IF(OR(AF484="",AQ484="-"),"",IF(AF484&lt;=0.25,"Tipo 1 (≤0,25) uT",IF(AF484&lt;=0.5,"Tipo 2 (0,25-0,50) uT",IF(AF484&lt;=0.75,"Tipo 3 (0,50-0,75) uT","Tipo 4 (&gt;0,75) uT"))))</f>
        <v>Tipo 1 (≤0,25) uT</v>
      </c>
      <c r="BG484" s="137" t="str">
        <f t="shared" si="50"/>
        <v>Tipo 1 (≤0,25) uT</v>
      </c>
      <c r="BH484" s="137" t="str">
        <f>IF(OR(R484="",R484="-"),"",IF(R484&lt;=0.25,"Tipo 1 (≤0,25) uT",IF(R484&lt;=0.5,"Tipo 2 (0,25-0,50) uT",IF(R484&lt;=0.75,"Tipo 3 (0,50-0,75) uT","Tipo 4 (&gt;0,75) uT"))))</f>
        <v>Tipo 1 (≤0,25) uT</v>
      </c>
    </row>
    <row r="485" spans="1:60" x14ac:dyDescent="0.3">
      <c r="A485" s="74">
        <v>46313</v>
      </c>
      <c r="B485" s="139">
        <v>0.47916666666666669</v>
      </c>
      <c r="C485" s="116">
        <v>626</v>
      </c>
      <c r="D485" s="116">
        <v>725</v>
      </c>
      <c r="E485" s="116">
        <v>500</v>
      </c>
      <c r="F485" s="116">
        <v>1820</v>
      </c>
      <c r="G485" s="144" t="s">
        <v>100</v>
      </c>
      <c r="H485" s="122">
        <v>9.5</v>
      </c>
      <c r="I485" s="116">
        <v>22</v>
      </c>
      <c r="J485" s="10">
        <v>90</v>
      </c>
      <c r="K485" s="116">
        <v>90</v>
      </c>
      <c r="L485" s="116">
        <v>90</v>
      </c>
      <c r="M485" s="122">
        <v>25.2</v>
      </c>
      <c r="N485" s="122">
        <v>6.4</v>
      </c>
      <c r="O485" s="79">
        <v>1.29</v>
      </c>
      <c r="P485" s="116">
        <v>10</v>
      </c>
      <c r="Q485" s="122">
        <v>10.4</v>
      </c>
      <c r="R485" s="10">
        <v>0.09</v>
      </c>
      <c r="S485" s="79">
        <v>22.36</v>
      </c>
      <c r="T485" s="79">
        <v>0.88</v>
      </c>
      <c r="U485" s="79">
        <v>0.7</v>
      </c>
      <c r="V485" s="85">
        <f t="shared" si="51"/>
        <v>1862.4666666666667</v>
      </c>
      <c r="W485" s="85">
        <f t="shared" si="52"/>
        <v>1902.60122</v>
      </c>
      <c r="X485" s="85">
        <f t="shared" si="53"/>
        <v>1.0215491391344811</v>
      </c>
      <c r="Y485" s="116">
        <v>2</v>
      </c>
      <c r="Z485" s="116">
        <v>3</v>
      </c>
      <c r="AA485" s="122">
        <v>6.2</v>
      </c>
      <c r="AB485" s="116">
        <v>25</v>
      </c>
      <c r="AC485" s="122">
        <v>6.4</v>
      </c>
      <c r="AD485" s="122">
        <v>9.6999999999999993</v>
      </c>
      <c r="AE485" s="79">
        <v>0.18</v>
      </c>
      <c r="AF485" s="79">
        <v>0.1</v>
      </c>
      <c r="AG485" s="85">
        <f>(O485+0.3*H485+2)*(F485/2/AK485)</f>
        <v>1396.8500000000001</v>
      </c>
      <c r="AH485" s="85">
        <f t="shared" si="54"/>
        <v>1900.6500864</v>
      </c>
      <c r="AI485" s="85">
        <f t="shared" si="55"/>
        <v>1.3606687091670542</v>
      </c>
      <c r="AJ485" s="116">
        <v>2</v>
      </c>
      <c r="AK485" s="116">
        <v>4</v>
      </c>
      <c r="AL485" s="122">
        <v>6.4</v>
      </c>
      <c r="AM485" s="116">
        <v>24</v>
      </c>
      <c r="AN485" s="122">
        <v>6.5</v>
      </c>
      <c r="AO485" s="122">
        <v>9.1999999999999993</v>
      </c>
      <c r="AP485" s="79">
        <v>0.21</v>
      </c>
      <c r="AQ485" s="79">
        <v>0.12</v>
      </c>
      <c r="AR485" s="132">
        <f>SUM(C485:E485)</f>
        <v>1851</v>
      </c>
      <c r="AS485" s="134">
        <f>C485/AR485</f>
        <v>0.33819556996218259</v>
      </c>
      <c r="AT485" s="134">
        <f>D485/AR485</f>
        <v>0.39168017287952456</v>
      </c>
      <c r="AU485" s="134">
        <f>E485/AR485</f>
        <v>0.2701242571582928</v>
      </c>
      <c r="AV485" s="151">
        <f>IF(AND(F485&lt;&gt;"",Z485&lt;&gt;""),AB485/(F485/2/Z485),"")</f>
        <v>8.2417582417582416E-2</v>
      </c>
      <c r="AW485" s="151">
        <f>IF(AND(F485&lt;&gt;"",AK485&lt;&gt;""),AM485/(F485/2/AK485),"")</f>
        <v>0.10549450549450549</v>
      </c>
      <c r="AX485" s="43">
        <f>IF(AND(AQ485&lt;&gt;"",1-(AQ485/O485)&gt;0),1-(AQ485/O485),"")</f>
        <v>0.90697674418604657</v>
      </c>
      <c r="AY485" s="41">
        <f>IF(AND(AF485&lt;&gt;"",1-(AF485/O485)&gt;0),1-(AF485/O485),"")</f>
        <v>0.92248062015503873</v>
      </c>
      <c r="AZ485" s="136" t="str">
        <f>IF(Q485="","",IF(Q485&lt;2.5,"Alc. Bruta &lt; 2,5 mg/L",IF(Q485&lt;5,"2,5 ≤ Alc. Bruta &lt; 5,0 mg/L",IF(Q485&lt;7.5,"5,0 ≤ Alc. Bruta &lt; 7,5 mg/L",IF(Q485&lt;10,"7,5 ≤ Alc. Bruta &lt; 10,0 mg/L",IF(Q485&lt;15,"10,0 ≤ Alca. Bruta &lt; 15,0 mg/L","Alc. Bruta &gt; 15 mg/L"))))))</f>
        <v>10,0 ≤ Alca. Bruta &lt; 15,0 mg/L</v>
      </c>
      <c r="BA485" s="136" t="str">
        <f>IF(P485="","",IF(P485&lt;5,"Cor &lt;5 uC",IF(P485&lt;10,"5 ≤ Cor &lt; 10 uC",IF(P485&lt;15,"10 ≤ Cor &lt;15 uC",IF(P485&lt;30,"15 ≤ Cor &lt; 30 uC",IF(P485&lt;50,"30 ≤ Cor &lt; 50 uC","Cor &gt; 50 uC"))))))</f>
        <v>10 ≤ Cor &lt;15 uC</v>
      </c>
      <c r="BB485" s="137" t="str">
        <f>IF(O485="","",IF(O485&lt;2.5,"Turbidez &lt; 2,5 uT",IF(O485&lt;5,"2,5 ≤ Turb &lt; 5,0 uT",IF(O485&lt;7.5,"5,0 ≤ Turb &lt; 7,5 uT",IF(O485&lt;10,"7,5 ≤ Turb &lt; 10,0 uT",IF(O485&lt;15,"10,0 ≤ Turb &lt; 15,0 uT","Turb &gt; 15 uT"))))))</f>
        <v>Turbidez &lt; 2,5 uT</v>
      </c>
      <c r="BC485" s="138" t="str">
        <f>IF(AND(C485&gt;D485,D485&gt;E485),"TOR &gt; SM &gt; BNN",IF(AND(C485&gt;E485,E485&gt;D485),"TOR &gt; BNN &gt; SM",IF(AND(D485&gt;C485,C485&gt;E485),"SM &gt; TOR &gt; BNN",IF(AND(D485&gt;E485,E485&gt;C485),"SM &gt; BNN &gt; TOR",IF(AND(C485=D485,D485=E485),"TOR = SM = BNN","Comb. diferentes")))))</f>
        <v>SM &gt; TOR &gt; BNN</v>
      </c>
      <c r="BD485" s="137" t="str">
        <f>IF(OR(AE485="",AQ485="-"),"",IF(AE485&lt;=0.25,"Tipo 1 (≤0,25) uT",IF(AE485&lt;=0.5,"Tipo 2 (0,25-0,50) uT",IF(AE485&lt;=0.75,"Tipo 3 (0,50-0,75) uT","Tipo 4 (&gt;0,75) uT"))))</f>
        <v>Tipo 1 (≤0,25) uT</v>
      </c>
      <c r="BE485" s="137" t="str">
        <f t="shared" si="49"/>
        <v>Tipo 1 (≤0,25) uT</v>
      </c>
      <c r="BF485" s="137" t="str">
        <f>IF(OR(AF485="",AQ485="-"),"",IF(AF485&lt;=0.25,"Tipo 1 (≤0,25) uT",IF(AF485&lt;=0.5,"Tipo 2 (0,25-0,50) uT",IF(AF485&lt;=0.75,"Tipo 3 (0,50-0,75) uT","Tipo 4 (&gt;0,75) uT"))))</f>
        <v>Tipo 1 (≤0,25) uT</v>
      </c>
      <c r="BG485" s="137" t="str">
        <f t="shared" si="50"/>
        <v>Tipo 1 (≤0,25) uT</v>
      </c>
      <c r="BH485" s="137" t="str">
        <f>IF(OR(R485="",R485="-"),"",IF(R485&lt;=0.25,"Tipo 1 (≤0,25) uT",IF(R485&lt;=0.5,"Tipo 2 (0,25-0,50) uT",IF(R485&lt;=0.75,"Tipo 3 (0,50-0,75) uT","Tipo 4 (&gt;0,75) uT"))))</f>
        <v>Tipo 1 (≤0,25) uT</v>
      </c>
    </row>
    <row r="486" spans="1:60" x14ac:dyDescent="0.3">
      <c r="A486" s="74">
        <v>46313</v>
      </c>
      <c r="B486" s="139">
        <v>0.64583333333333337</v>
      </c>
      <c r="C486" s="116">
        <v>730</v>
      </c>
      <c r="D486" s="116">
        <v>613</v>
      </c>
      <c r="E486" s="116">
        <v>500</v>
      </c>
      <c r="F486" s="116">
        <v>1822</v>
      </c>
      <c r="G486" s="144" t="s">
        <v>100</v>
      </c>
      <c r="H486" s="122">
        <v>9.5</v>
      </c>
      <c r="I486" s="116">
        <v>124</v>
      </c>
      <c r="J486" s="10">
        <v>90</v>
      </c>
      <c r="K486" s="116">
        <v>90</v>
      </c>
      <c r="L486" s="116">
        <v>90</v>
      </c>
      <c r="M486" s="122">
        <v>25.5</v>
      </c>
      <c r="N486" s="122">
        <v>6.5</v>
      </c>
      <c r="O486" s="79">
        <v>1.89</v>
      </c>
      <c r="P486" s="116">
        <v>12</v>
      </c>
      <c r="Q486" s="122">
        <v>9.1999999999999993</v>
      </c>
      <c r="R486" s="10">
        <v>7.0000000000000007E-2</v>
      </c>
      <c r="S486" s="79">
        <v>22.36</v>
      </c>
      <c r="T486" s="79">
        <v>0.88</v>
      </c>
      <c r="U486" s="79">
        <v>0.7</v>
      </c>
      <c r="V486" s="85">
        <f t="shared" si="51"/>
        <v>2046.7133333333336</v>
      </c>
      <c r="W486" s="85">
        <f t="shared" si="52"/>
        <v>1826.4971712000001</v>
      </c>
      <c r="X486" s="85">
        <f t="shared" si="53"/>
        <v>0.89240497995159718</v>
      </c>
      <c r="Y486" s="116">
        <v>2</v>
      </c>
      <c r="Z486" s="116">
        <v>3</v>
      </c>
      <c r="AA486" s="122">
        <v>6.2</v>
      </c>
      <c r="AB486" s="116">
        <v>24</v>
      </c>
      <c r="AC486" s="122">
        <v>6.3</v>
      </c>
      <c r="AD486" s="122">
        <v>8.6999999999999993</v>
      </c>
      <c r="AE486" s="79">
        <v>0.12</v>
      </c>
      <c r="AF486" s="79">
        <v>0.1</v>
      </c>
      <c r="AG486" s="85">
        <f>(O486+0.3*H486+2)*(F486/2/AK486)</f>
        <v>1535.0350000000001</v>
      </c>
      <c r="AH486" s="85">
        <f t="shared" si="54"/>
        <v>1979.8438399999998</v>
      </c>
      <c r="AI486" s="85">
        <f t="shared" si="55"/>
        <v>1.2897711387688227</v>
      </c>
      <c r="AJ486" s="116">
        <v>2</v>
      </c>
      <c r="AK486" s="116">
        <v>4</v>
      </c>
      <c r="AL486" s="122">
        <v>6.4</v>
      </c>
      <c r="AM486" s="116">
        <v>25</v>
      </c>
      <c r="AN486" s="122">
        <v>6.3</v>
      </c>
      <c r="AO486" s="122">
        <v>8.3000000000000007</v>
      </c>
      <c r="AP486" s="79">
        <v>0.14000000000000001</v>
      </c>
      <c r="AQ486" s="79">
        <v>0.16</v>
      </c>
      <c r="AR486" s="132">
        <f>SUM(C486:E486)</f>
        <v>1843</v>
      </c>
      <c r="AS486" s="134">
        <f>C486/AR486</f>
        <v>0.39609332609875203</v>
      </c>
      <c r="AT486" s="134">
        <f>D486/AR486</f>
        <v>0.33260987520347257</v>
      </c>
      <c r="AU486" s="134">
        <f>E486/AR486</f>
        <v>0.27129679869777534</v>
      </c>
      <c r="AV486" s="151">
        <f>IF(AND(F486&lt;&gt;"",Z486&lt;&gt;""),AB486/(F486/2/Z486),"")</f>
        <v>7.9034028540065859E-2</v>
      </c>
      <c r="AW486" s="151">
        <f>IF(AND(F486&lt;&gt;"",AK486&lt;&gt;""),AM486/(F486/2/AK486),"")</f>
        <v>0.10976948408342481</v>
      </c>
      <c r="AX486" s="43">
        <f>IF(AND(AQ486&lt;&gt;"",1-(AQ486/O486)&gt;0),1-(AQ486/O486),"")</f>
        <v>0.91534391534391535</v>
      </c>
      <c r="AY486" s="41">
        <f>IF(AND(AF486&lt;&gt;"",1-(AF486/O486)&gt;0),1-(AF486/O486),"")</f>
        <v>0.94708994708994709</v>
      </c>
      <c r="AZ486" s="136" t="str">
        <f>IF(Q486="","",IF(Q486&lt;2.5,"Alc. Bruta &lt; 2,5 mg/L",IF(Q486&lt;5,"2,5 ≤ Alc. Bruta &lt; 5,0 mg/L",IF(Q486&lt;7.5,"5,0 ≤ Alc. Bruta &lt; 7,5 mg/L",IF(Q486&lt;10,"7,5 ≤ Alc. Bruta &lt; 10,0 mg/L",IF(Q486&lt;15,"10,0 ≤ Alca. Bruta &lt; 15,0 mg/L","Alc. Bruta &gt; 15 mg/L"))))))</f>
        <v>7,5 ≤ Alc. Bruta &lt; 10,0 mg/L</v>
      </c>
      <c r="BA486" s="136" t="str">
        <f>IF(P486="","",IF(P486&lt;5,"Cor &lt;5 uC",IF(P486&lt;10,"5 ≤ Cor &lt; 10 uC",IF(P486&lt;15,"10 ≤ Cor &lt;15 uC",IF(P486&lt;30,"15 ≤ Cor &lt; 30 uC",IF(P486&lt;50,"30 ≤ Cor &lt; 50 uC","Cor &gt; 50 uC"))))))</f>
        <v>10 ≤ Cor &lt;15 uC</v>
      </c>
      <c r="BB486" s="137" t="str">
        <f>IF(O486="","",IF(O486&lt;2.5,"Turbidez &lt; 2,5 uT",IF(O486&lt;5,"2,5 ≤ Turb &lt; 5,0 uT",IF(O486&lt;7.5,"5,0 ≤ Turb &lt; 7,5 uT",IF(O486&lt;10,"7,5 ≤ Turb &lt; 10,0 uT",IF(O486&lt;15,"10,0 ≤ Turb &lt; 15,0 uT","Turb &gt; 15 uT"))))))</f>
        <v>Turbidez &lt; 2,5 uT</v>
      </c>
      <c r="BC486" s="138" t="str">
        <f>IF(AND(C486&gt;D486,D486&gt;E486),"TOR &gt; SM &gt; BNN",IF(AND(C486&gt;E486,E486&gt;D486),"TOR &gt; BNN &gt; SM",IF(AND(D486&gt;C486,C486&gt;E486),"SM &gt; TOR &gt; BNN",IF(AND(D486&gt;E486,E486&gt;C486),"SM &gt; BNN &gt; TOR",IF(AND(C486=D486,D486=E486),"TOR = SM = BNN","Comb. diferentes")))))</f>
        <v>TOR &gt; SM &gt; BNN</v>
      </c>
      <c r="BD486" s="137" t="str">
        <f>IF(OR(AE486="",AQ486="-"),"",IF(AE486&lt;=0.25,"Tipo 1 (≤0,25) uT",IF(AE486&lt;=0.5,"Tipo 2 (0,25-0,50) uT",IF(AE486&lt;=0.75,"Tipo 3 (0,50-0,75) uT","Tipo 4 (&gt;0,75) uT"))))</f>
        <v>Tipo 1 (≤0,25) uT</v>
      </c>
      <c r="BE486" s="137" t="str">
        <f t="shared" si="49"/>
        <v>Tipo 1 (≤0,25) uT</v>
      </c>
      <c r="BF486" s="137" t="str">
        <f>IF(OR(AF486="",AQ486="-"),"",IF(AF486&lt;=0.25,"Tipo 1 (≤0,25) uT",IF(AF486&lt;=0.5,"Tipo 2 (0,25-0,50) uT",IF(AF486&lt;=0.75,"Tipo 3 (0,50-0,75) uT","Tipo 4 (&gt;0,75) uT"))))</f>
        <v>Tipo 1 (≤0,25) uT</v>
      </c>
      <c r="BG486" s="137" t="str">
        <f t="shared" si="50"/>
        <v>Tipo 1 (≤0,25) uT</v>
      </c>
      <c r="BH486" s="137" t="str">
        <f>IF(OR(R486="",R486="-"),"",IF(R486&lt;=0.25,"Tipo 1 (≤0,25) uT",IF(R486&lt;=0.5,"Tipo 2 (0,25-0,50) uT",IF(R486&lt;=0.75,"Tipo 3 (0,50-0,75) uT","Tipo 4 (&gt;0,75) uT"))))</f>
        <v>Tipo 1 (≤0,25) uT</v>
      </c>
    </row>
    <row r="487" spans="1:60" x14ac:dyDescent="0.3">
      <c r="A487" s="74">
        <v>46313</v>
      </c>
      <c r="B487" s="139">
        <v>0.72916666666666663</v>
      </c>
      <c r="C487" s="116">
        <v>717</v>
      </c>
      <c r="D487" s="116">
        <v>645</v>
      </c>
      <c r="E487" s="116">
        <v>233</v>
      </c>
      <c r="F487" s="116">
        <v>1649</v>
      </c>
      <c r="G487" s="144" t="s">
        <v>100</v>
      </c>
      <c r="H487" s="122">
        <v>9.5</v>
      </c>
      <c r="I487" s="116">
        <v>121</v>
      </c>
      <c r="J487" s="10">
        <v>90</v>
      </c>
      <c r="K487" s="116">
        <v>90</v>
      </c>
      <c r="L487" s="116">
        <v>90</v>
      </c>
      <c r="M487" s="122">
        <v>25.5</v>
      </c>
      <c r="N487" s="122">
        <v>6.5</v>
      </c>
      <c r="O487" s="79">
        <v>1.88</v>
      </c>
      <c r="P487" s="116">
        <v>13</v>
      </c>
      <c r="Q487" s="122">
        <v>9.5</v>
      </c>
      <c r="R487" s="10">
        <v>7.0000000000000007E-2</v>
      </c>
      <c r="S487" s="79">
        <v>22.36</v>
      </c>
      <c r="T487" s="79">
        <v>0.88</v>
      </c>
      <c r="U487" s="79">
        <v>0.7</v>
      </c>
      <c r="V487" s="85">
        <f t="shared" si="51"/>
        <v>1849.6283333333333</v>
      </c>
      <c r="W487" s="85">
        <f t="shared" si="52"/>
        <v>1826.4971712000001</v>
      </c>
      <c r="X487" s="85">
        <f t="shared" si="53"/>
        <v>0.98749415668192808</v>
      </c>
      <c r="Y487" s="116">
        <v>2</v>
      </c>
      <c r="Z487" s="116">
        <v>3</v>
      </c>
      <c r="AA487" s="122">
        <v>6.2</v>
      </c>
      <c r="AB487" s="116">
        <v>24</v>
      </c>
      <c r="AC487" s="122">
        <v>6.3</v>
      </c>
      <c r="AD487" s="122">
        <v>8.1</v>
      </c>
      <c r="AE487" s="79">
        <v>0.11</v>
      </c>
      <c r="AF487" s="79"/>
      <c r="AG487" s="85">
        <f>(O487+0.3*H487+2)*(F487/2/AK487)</f>
        <v>1849.6283333333333</v>
      </c>
      <c r="AH487" s="85">
        <f t="shared" si="54"/>
        <v>1900.6500864</v>
      </c>
      <c r="AI487" s="85">
        <f t="shared" si="55"/>
        <v>1.0275848678067756</v>
      </c>
      <c r="AJ487" s="116">
        <v>2</v>
      </c>
      <c r="AK487" s="116">
        <v>3</v>
      </c>
      <c r="AL487" s="122">
        <v>6.4</v>
      </c>
      <c r="AM487" s="116">
        <v>24</v>
      </c>
      <c r="AN487" s="122">
        <v>6.3</v>
      </c>
      <c r="AO487" s="122">
        <v>7.7</v>
      </c>
      <c r="AP487" s="79">
        <v>0.22</v>
      </c>
      <c r="AQ487" s="79">
        <v>0.17</v>
      </c>
      <c r="AR487" s="132">
        <f>SUM(C487:E487)</f>
        <v>1595</v>
      </c>
      <c r="AS487" s="134">
        <f>C487/AR487</f>
        <v>0.44952978056426335</v>
      </c>
      <c r="AT487" s="134">
        <f>D487/AR487</f>
        <v>0.40438871473354232</v>
      </c>
      <c r="AU487" s="134">
        <f>E487/AR487</f>
        <v>0.14608150470219436</v>
      </c>
      <c r="AV487" s="151">
        <f>IF(AND(F487&lt;&gt;"",Z487&lt;&gt;""),AB487/(F487/2/Z487),"")</f>
        <v>8.7325651910248644E-2</v>
      </c>
      <c r="AW487" s="151">
        <f>IF(AND(F487&lt;&gt;"",AK487&lt;&gt;""),AM487/(F487/2/AK487),"")</f>
        <v>8.7325651910248644E-2</v>
      </c>
      <c r="AX487" s="43">
        <f>IF(AND(AQ487&lt;&gt;"",1-(AQ487/O487)&gt;0),1-(AQ487/O487),"")</f>
        <v>0.90957446808510634</v>
      </c>
      <c r="AY487" s="41" t="str">
        <f>IF(AND(AF487&lt;&gt;"",1-(AF487/O487)&gt;0),1-(AF487/O487),"")</f>
        <v/>
      </c>
      <c r="AZ487" s="136" t="str">
        <f>IF(Q487="","",IF(Q487&lt;2.5,"Alc. Bruta &lt; 2,5 mg/L",IF(Q487&lt;5,"2,5 ≤ Alc. Bruta &lt; 5,0 mg/L",IF(Q487&lt;7.5,"5,0 ≤ Alc. Bruta &lt; 7,5 mg/L",IF(Q487&lt;10,"7,5 ≤ Alc. Bruta &lt; 10,0 mg/L",IF(Q487&lt;15,"10,0 ≤ Alca. Bruta &lt; 15,0 mg/L","Alc. Bruta &gt; 15 mg/L"))))))</f>
        <v>7,5 ≤ Alc. Bruta &lt; 10,0 mg/L</v>
      </c>
      <c r="BA487" s="136" t="str">
        <f>IF(P487="","",IF(P487&lt;5,"Cor &lt;5 uC",IF(P487&lt;10,"5 ≤ Cor &lt; 10 uC",IF(P487&lt;15,"10 ≤ Cor &lt;15 uC",IF(P487&lt;30,"15 ≤ Cor &lt; 30 uC",IF(P487&lt;50,"30 ≤ Cor &lt; 50 uC","Cor &gt; 50 uC"))))))</f>
        <v>10 ≤ Cor &lt;15 uC</v>
      </c>
      <c r="BB487" s="137" t="str">
        <f>IF(O487="","",IF(O487&lt;2.5,"Turbidez &lt; 2,5 uT",IF(O487&lt;5,"2,5 ≤ Turb &lt; 5,0 uT",IF(O487&lt;7.5,"5,0 ≤ Turb &lt; 7,5 uT",IF(O487&lt;10,"7,5 ≤ Turb &lt; 10,0 uT",IF(O487&lt;15,"10,0 ≤ Turb &lt; 15,0 uT","Turb &gt; 15 uT"))))))</f>
        <v>Turbidez &lt; 2,5 uT</v>
      </c>
      <c r="BC487" s="138" t="str">
        <f>IF(AND(C487&gt;D487,D487&gt;E487),"TOR &gt; SM &gt; BNN",IF(AND(C487&gt;E487,E487&gt;D487),"TOR &gt; BNN &gt; SM",IF(AND(D487&gt;C487,C487&gt;E487),"SM &gt; TOR &gt; BNN",IF(AND(D487&gt;E487,E487&gt;C487),"SM &gt; BNN &gt; TOR",IF(AND(C487=D487,D487=E487),"TOR = SM = BNN","Comb. diferentes")))))</f>
        <v>TOR &gt; SM &gt; BNN</v>
      </c>
      <c r="BD487" s="137" t="str">
        <f>IF(OR(AE487="",AQ487="-"),"",IF(AE487&lt;=0.25,"Tipo 1 (≤0,25) uT",IF(AE487&lt;=0.5,"Tipo 2 (0,25-0,50) uT",IF(AE487&lt;=0.75,"Tipo 3 (0,50-0,75) uT","Tipo 4 (&gt;0,75) uT"))))</f>
        <v>Tipo 1 (≤0,25) uT</v>
      </c>
      <c r="BE487" s="137" t="str">
        <f t="shared" si="49"/>
        <v>Tipo 1 (≤0,25) uT</v>
      </c>
      <c r="BF487" s="137" t="str">
        <f>IF(OR(AF487="",AQ487="-"),"",IF(AF487&lt;=0.25,"Tipo 1 (≤0,25) uT",IF(AF487&lt;=0.5,"Tipo 2 (0,25-0,50) uT",IF(AF487&lt;=0.75,"Tipo 3 (0,50-0,75) uT","Tipo 4 (&gt;0,75) uT"))))</f>
        <v/>
      </c>
      <c r="BG487" s="137" t="str">
        <f t="shared" si="50"/>
        <v>Tipo 1 (≤0,25) uT</v>
      </c>
      <c r="BH487" s="137" t="str">
        <f>IF(OR(R487="",R487="-"),"",IF(R487&lt;=0.25,"Tipo 1 (≤0,25) uT",IF(R487&lt;=0.5,"Tipo 2 (0,25-0,50) uT",IF(R487&lt;=0.75,"Tipo 3 (0,50-0,75) uT","Tipo 4 (&gt;0,75) uT"))))</f>
        <v>Tipo 1 (≤0,25) uT</v>
      </c>
    </row>
    <row r="488" spans="1:60" x14ac:dyDescent="0.3">
      <c r="A488" s="74">
        <v>46313</v>
      </c>
      <c r="B488" s="139">
        <v>0.8125</v>
      </c>
      <c r="C488" s="116">
        <v>650</v>
      </c>
      <c r="D488" s="116">
        <v>699</v>
      </c>
      <c r="E488" s="116">
        <v>230</v>
      </c>
      <c r="F488" s="116">
        <v>1620</v>
      </c>
      <c r="G488" s="144" t="s">
        <v>100</v>
      </c>
      <c r="H488" s="122">
        <v>9.5</v>
      </c>
      <c r="I488" s="116">
        <v>182</v>
      </c>
      <c r="J488" s="10">
        <v>90</v>
      </c>
      <c r="K488" s="116">
        <v>90</v>
      </c>
      <c r="L488" s="116">
        <v>90</v>
      </c>
      <c r="M488" s="122">
        <v>24.7</v>
      </c>
      <c r="N488" s="122">
        <v>6.6</v>
      </c>
      <c r="O488" s="79">
        <v>1.73</v>
      </c>
      <c r="P488" s="116">
        <v>12</v>
      </c>
      <c r="Q488" s="122">
        <v>10.1</v>
      </c>
      <c r="R488" s="10">
        <v>0.09</v>
      </c>
      <c r="S488" s="79">
        <v>22.36</v>
      </c>
      <c r="T488" s="79">
        <v>0.88</v>
      </c>
      <c r="U488" s="79">
        <v>0.7</v>
      </c>
      <c r="V488" s="85">
        <f t="shared" si="51"/>
        <v>1776.6</v>
      </c>
      <c r="W488" s="85">
        <f t="shared" si="52"/>
        <v>1826.4971712000001</v>
      </c>
      <c r="X488" s="85">
        <f t="shared" si="53"/>
        <v>1.0280857656197231</v>
      </c>
      <c r="Y488" s="116">
        <v>2</v>
      </c>
      <c r="Z488" s="116">
        <v>3</v>
      </c>
      <c r="AA488" s="122">
        <v>6.2</v>
      </c>
      <c r="AB488" s="116">
        <v>24</v>
      </c>
      <c r="AC488" s="122">
        <v>6.3</v>
      </c>
      <c r="AD488" s="122">
        <v>8</v>
      </c>
      <c r="AE488" s="79">
        <v>0.13</v>
      </c>
      <c r="AF488" s="79">
        <v>0.1</v>
      </c>
      <c r="AG488" s="85">
        <f>(O488+0.3*H488+2)*(F488/2/AK488)</f>
        <v>1776.6</v>
      </c>
      <c r="AH488" s="85">
        <f t="shared" si="54"/>
        <v>2251.8181347999994</v>
      </c>
      <c r="AI488" s="85">
        <f t="shared" si="55"/>
        <v>1.2674874112349428</v>
      </c>
      <c r="AJ488" s="116">
        <v>2</v>
      </c>
      <c r="AK488" s="116">
        <v>3</v>
      </c>
      <c r="AL488" s="122">
        <v>6.3</v>
      </c>
      <c r="AM488" s="116">
        <v>29</v>
      </c>
      <c r="AN488" s="122">
        <v>6.4</v>
      </c>
      <c r="AO488" s="122">
        <v>8</v>
      </c>
      <c r="AP488" s="79">
        <v>0.16</v>
      </c>
      <c r="AQ488" s="79">
        <v>2</v>
      </c>
      <c r="AR488" s="132">
        <f>SUM(C488:E488)</f>
        <v>1579</v>
      </c>
      <c r="AS488" s="134">
        <f>C488/AR488</f>
        <v>0.41165294490183663</v>
      </c>
      <c r="AT488" s="134">
        <f>D488/AR488</f>
        <v>0.44268524382520585</v>
      </c>
      <c r="AU488" s="134">
        <f>E488/AR488</f>
        <v>0.14566181127295758</v>
      </c>
      <c r="AV488" s="151">
        <f>IF(AND(F488&lt;&gt;"",Z488&lt;&gt;""),AB488/(F488/2/Z488),"")</f>
        <v>8.8888888888888892E-2</v>
      </c>
      <c r="AW488" s="151">
        <f>IF(AND(F488&lt;&gt;"",AK488&lt;&gt;""),AM488/(F488/2/AK488),"")</f>
        <v>0.10740740740740741</v>
      </c>
      <c r="AX488" s="43" t="str">
        <f>IF(AND(AQ488&lt;&gt;"",1-(AQ488/O488)&gt;0),1-(AQ488/O488),"")</f>
        <v/>
      </c>
      <c r="AY488" s="41">
        <f>IF(AND(AF488&lt;&gt;"",1-(AF488/O488)&gt;0),1-(AF488/O488),"")</f>
        <v>0.94219653179190754</v>
      </c>
      <c r="AZ488" s="136" t="str">
        <f>IF(Q488="","",IF(Q488&lt;2.5,"Alc. Bruta &lt; 2,5 mg/L",IF(Q488&lt;5,"2,5 ≤ Alc. Bruta &lt; 5,0 mg/L",IF(Q488&lt;7.5,"5,0 ≤ Alc. Bruta &lt; 7,5 mg/L",IF(Q488&lt;10,"7,5 ≤ Alc. Bruta &lt; 10,0 mg/L",IF(Q488&lt;15,"10,0 ≤ Alca. Bruta &lt; 15,0 mg/L","Alc. Bruta &gt; 15 mg/L"))))))</f>
        <v>10,0 ≤ Alca. Bruta &lt; 15,0 mg/L</v>
      </c>
      <c r="BA488" s="136" t="str">
        <f>IF(P488="","",IF(P488&lt;5,"Cor &lt;5 uC",IF(P488&lt;10,"5 ≤ Cor &lt; 10 uC",IF(P488&lt;15,"10 ≤ Cor &lt;15 uC",IF(P488&lt;30,"15 ≤ Cor &lt; 30 uC",IF(P488&lt;50,"30 ≤ Cor &lt; 50 uC","Cor &gt; 50 uC"))))))</f>
        <v>10 ≤ Cor &lt;15 uC</v>
      </c>
      <c r="BB488" s="137" t="str">
        <f>IF(O488="","",IF(O488&lt;2.5,"Turbidez &lt; 2,5 uT",IF(O488&lt;5,"2,5 ≤ Turb &lt; 5,0 uT",IF(O488&lt;7.5,"5,0 ≤ Turb &lt; 7,5 uT",IF(O488&lt;10,"7,5 ≤ Turb &lt; 10,0 uT",IF(O488&lt;15,"10,0 ≤ Turb &lt; 15,0 uT","Turb &gt; 15 uT"))))))</f>
        <v>Turbidez &lt; 2,5 uT</v>
      </c>
      <c r="BC488" s="138" t="str">
        <f>IF(AND(C488&gt;D488,D488&gt;E488),"TOR &gt; SM &gt; BNN",IF(AND(C488&gt;E488,E488&gt;D488),"TOR &gt; BNN &gt; SM",IF(AND(D488&gt;C488,C488&gt;E488),"SM &gt; TOR &gt; BNN",IF(AND(D488&gt;E488,E488&gt;C488),"SM &gt; BNN &gt; TOR",IF(AND(C488=D488,D488=E488),"TOR = SM = BNN","Comb. diferentes")))))</f>
        <v>SM &gt; TOR &gt; BNN</v>
      </c>
      <c r="BD488" s="137" t="str">
        <f>IF(OR(AE488="",AQ488="-"),"",IF(AE488&lt;=0.25,"Tipo 1 (≤0,25) uT",IF(AE488&lt;=0.5,"Tipo 2 (0,25-0,50) uT",IF(AE488&lt;=0.75,"Tipo 3 (0,50-0,75) uT","Tipo 4 (&gt;0,75) uT"))))</f>
        <v>Tipo 1 (≤0,25) uT</v>
      </c>
      <c r="BE488" s="137" t="str">
        <f t="shared" si="49"/>
        <v>Tipo 1 (≤0,25) uT</v>
      </c>
      <c r="BF488" s="137" t="str">
        <f>IF(OR(AF488="",AQ488="-"),"",IF(AF488&lt;=0.25,"Tipo 1 (≤0,25) uT",IF(AF488&lt;=0.5,"Tipo 2 (0,25-0,50) uT",IF(AF488&lt;=0.75,"Tipo 3 (0,50-0,75) uT","Tipo 4 (&gt;0,75) uT"))))</f>
        <v>Tipo 1 (≤0,25) uT</v>
      </c>
      <c r="BG488" s="137" t="str">
        <f t="shared" si="50"/>
        <v>Tipo 4 (&gt;0,75) uT</v>
      </c>
      <c r="BH488" s="137" t="str">
        <f>IF(OR(R488="",R488="-"),"",IF(R488&lt;=0.25,"Tipo 1 (≤0,25) uT",IF(R488&lt;=0.5,"Tipo 2 (0,25-0,50) uT",IF(R488&lt;=0.75,"Tipo 3 (0,50-0,75) uT","Tipo 4 (&gt;0,75) uT"))))</f>
        <v>Tipo 1 (≤0,25) uT</v>
      </c>
    </row>
    <row r="489" spans="1:60" x14ac:dyDescent="0.3">
      <c r="A489" s="74">
        <v>46313</v>
      </c>
      <c r="B489" s="139">
        <v>0.89583333333333337</v>
      </c>
      <c r="C489" s="116">
        <v>700</v>
      </c>
      <c r="D489" s="116">
        <v>721</v>
      </c>
      <c r="E489" s="116">
        <v>237</v>
      </c>
      <c r="F489" s="116">
        <v>1650</v>
      </c>
      <c r="G489" s="144" t="s">
        <v>100</v>
      </c>
      <c r="H489" s="122">
        <v>9.5</v>
      </c>
      <c r="I489" s="116">
        <v>144</v>
      </c>
      <c r="J489" s="10">
        <v>90</v>
      </c>
      <c r="K489" s="116">
        <v>90</v>
      </c>
      <c r="L489" s="116">
        <v>90</v>
      </c>
      <c r="M489" s="122">
        <v>24.3</v>
      </c>
      <c r="N489" s="122">
        <v>6.5</v>
      </c>
      <c r="O489" s="79">
        <v>1.44</v>
      </c>
      <c r="P489" s="116">
        <v>8</v>
      </c>
      <c r="Q489" s="122">
        <v>9.6</v>
      </c>
      <c r="R489" s="10">
        <v>0.11</v>
      </c>
      <c r="S489" s="79">
        <v>22.36</v>
      </c>
      <c r="T489" s="79">
        <v>0.88</v>
      </c>
      <c r="U489" s="79">
        <v>0.7</v>
      </c>
      <c r="V489" s="85">
        <f t="shared" si="51"/>
        <v>1729.75</v>
      </c>
      <c r="W489" s="85">
        <f t="shared" si="52"/>
        <v>1826.4971712000001</v>
      </c>
      <c r="X489" s="85">
        <f t="shared" si="53"/>
        <v>1.0559313029050441</v>
      </c>
      <c r="Y489" s="116">
        <v>2</v>
      </c>
      <c r="Z489" s="116">
        <v>3</v>
      </c>
      <c r="AA489" s="122">
        <v>6.2</v>
      </c>
      <c r="AB489" s="116">
        <v>24</v>
      </c>
      <c r="AC489" s="122">
        <v>6.4</v>
      </c>
      <c r="AD489" s="122">
        <v>8.4</v>
      </c>
      <c r="AE489" s="79">
        <v>0.12</v>
      </c>
      <c r="AF489" s="79"/>
      <c r="AG489" s="85">
        <f>(O489+0.3*H489+2)*(F489/2/AK489)</f>
        <v>1729.75</v>
      </c>
      <c r="AH489" s="85">
        <f t="shared" si="54"/>
        <v>1979.8438399999998</v>
      </c>
      <c r="AI489" s="85">
        <f t="shared" si="55"/>
        <v>1.1445838069085126</v>
      </c>
      <c r="AJ489" s="116">
        <v>2</v>
      </c>
      <c r="AK489" s="116">
        <v>3</v>
      </c>
      <c r="AL489" s="122">
        <v>6.4</v>
      </c>
      <c r="AM489" s="116">
        <v>25</v>
      </c>
      <c r="AN489" s="122">
        <v>6.3</v>
      </c>
      <c r="AO489" s="122">
        <v>7.4</v>
      </c>
      <c r="AP489" s="79">
        <v>0.2</v>
      </c>
      <c r="AQ489" s="79">
        <v>0.27</v>
      </c>
      <c r="AR489" s="132">
        <f>SUM(C489:E489)</f>
        <v>1658</v>
      </c>
      <c r="AS489" s="134">
        <f>C489/AR489</f>
        <v>0.42219541616405309</v>
      </c>
      <c r="AT489" s="134">
        <f>D489/AR489</f>
        <v>0.43486127864897467</v>
      </c>
      <c r="AU489" s="134">
        <f>E489/AR489</f>
        <v>0.14294330518697226</v>
      </c>
      <c r="AV489" s="151">
        <f>IF(AND(F489&lt;&gt;"",Z489&lt;&gt;""),AB489/(F489/2/Z489),"")</f>
        <v>8.727272727272728E-2</v>
      </c>
      <c r="AW489" s="151">
        <f>IF(AND(F489&lt;&gt;"",AK489&lt;&gt;""),AM489/(F489/2/AK489),"")</f>
        <v>9.0909090909090912E-2</v>
      </c>
      <c r="AX489" s="43">
        <f>IF(AND(AQ489&lt;&gt;"",1-(AQ489/O489)&gt;0),1-(AQ489/O489),"")</f>
        <v>0.8125</v>
      </c>
      <c r="AY489" s="41" t="str">
        <f>IF(AND(AF489&lt;&gt;"",1-(AF489/O489)&gt;0),1-(AF489/O489),"")</f>
        <v/>
      </c>
      <c r="AZ489" s="136" t="str">
        <f>IF(Q489="","",IF(Q489&lt;2.5,"Alc. Bruta &lt; 2,5 mg/L",IF(Q489&lt;5,"2,5 ≤ Alc. Bruta &lt; 5,0 mg/L",IF(Q489&lt;7.5,"5,0 ≤ Alc. Bruta &lt; 7,5 mg/L",IF(Q489&lt;10,"7,5 ≤ Alc. Bruta &lt; 10,0 mg/L",IF(Q489&lt;15,"10,0 ≤ Alca. Bruta &lt; 15,0 mg/L","Alc. Bruta &gt; 15 mg/L"))))))</f>
        <v>7,5 ≤ Alc. Bruta &lt; 10,0 mg/L</v>
      </c>
      <c r="BA489" s="136" t="str">
        <f>IF(P489="","",IF(P489&lt;5,"Cor &lt;5 uC",IF(P489&lt;10,"5 ≤ Cor &lt; 10 uC",IF(P489&lt;15,"10 ≤ Cor &lt;15 uC",IF(P489&lt;30,"15 ≤ Cor &lt; 30 uC",IF(P489&lt;50,"30 ≤ Cor &lt; 50 uC","Cor &gt; 50 uC"))))))</f>
        <v>5 ≤ Cor &lt; 10 uC</v>
      </c>
      <c r="BB489" s="137" t="str">
        <f>IF(O489="","",IF(O489&lt;2.5,"Turbidez &lt; 2,5 uT",IF(O489&lt;5,"2,5 ≤ Turb &lt; 5,0 uT",IF(O489&lt;7.5,"5,0 ≤ Turb &lt; 7,5 uT",IF(O489&lt;10,"7,5 ≤ Turb &lt; 10,0 uT",IF(O489&lt;15,"10,0 ≤ Turb &lt; 15,0 uT","Turb &gt; 15 uT"))))))</f>
        <v>Turbidez &lt; 2,5 uT</v>
      </c>
      <c r="BC489" s="138" t="str">
        <f>IF(AND(C489&gt;D489,D489&gt;E489),"TOR &gt; SM &gt; BNN",IF(AND(C489&gt;E489,E489&gt;D489),"TOR &gt; BNN &gt; SM",IF(AND(D489&gt;C489,C489&gt;E489),"SM &gt; TOR &gt; BNN",IF(AND(D489&gt;E489,E489&gt;C489),"SM &gt; BNN &gt; TOR",IF(AND(C489=D489,D489=E489),"TOR = SM = BNN","Comb. diferentes")))))</f>
        <v>SM &gt; TOR &gt; BNN</v>
      </c>
      <c r="BD489" s="137" t="str">
        <f>IF(OR(AE489="",AQ489="-"),"",IF(AE489&lt;=0.25,"Tipo 1 (≤0,25) uT",IF(AE489&lt;=0.5,"Tipo 2 (0,25-0,50) uT",IF(AE489&lt;=0.75,"Tipo 3 (0,50-0,75) uT","Tipo 4 (&gt;0,75) uT"))))</f>
        <v>Tipo 1 (≤0,25) uT</v>
      </c>
      <c r="BE489" s="137" t="str">
        <f t="shared" si="49"/>
        <v>Tipo 1 (≤0,25) uT</v>
      </c>
      <c r="BF489" s="137" t="str">
        <f>IF(OR(AF489="",AQ489="-"),"",IF(AF489&lt;=0.25,"Tipo 1 (≤0,25) uT",IF(AF489&lt;=0.5,"Tipo 2 (0,25-0,50) uT",IF(AF489&lt;=0.75,"Tipo 3 (0,50-0,75) uT","Tipo 4 (&gt;0,75) uT"))))</f>
        <v/>
      </c>
      <c r="BG489" s="137" t="str">
        <f t="shared" si="50"/>
        <v>Tipo 2 (0,25-0,50) uT</v>
      </c>
      <c r="BH489" s="137" t="str">
        <f>IF(OR(R489="",R489="-"),"",IF(R489&lt;=0.25,"Tipo 1 (≤0,25) uT",IF(R489&lt;=0.5,"Tipo 2 (0,25-0,50) uT",IF(R489&lt;=0.75,"Tipo 3 (0,50-0,75) uT","Tipo 4 (&gt;0,75) uT"))))</f>
        <v>Tipo 1 (≤0,25) uT</v>
      </c>
    </row>
    <row r="490" spans="1:60" x14ac:dyDescent="0.3">
      <c r="A490" s="74">
        <v>46313</v>
      </c>
      <c r="B490" s="139">
        <v>0.97916666666666663</v>
      </c>
      <c r="C490" s="116">
        <v>597</v>
      </c>
      <c r="D490" s="116">
        <v>711</v>
      </c>
      <c r="E490" s="116">
        <v>234</v>
      </c>
      <c r="F490" s="116">
        <v>1639</v>
      </c>
      <c r="G490" s="144" t="s">
        <v>100</v>
      </c>
      <c r="H490" s="122">
        <v>9.5</v>
      </c>
      <c r="I490" s="116">
        <v>95</v>
      </c>
      <c r="J490" s="10">
        <v>90</v>
      </c>
      <c r="K490" s="116">
        <v>90</v>
      </c>
      <c r="L490" s="116">
        <v>90</v>
      </c>
      <c r="M490" s="122">
        <v>23.8</v>
      </c>
      <c r="N490" s="122">
        <v>6.5</v>
      </c>
      <c r="O490" s="79">
        <v>1.7</v>
      </c>
      <c r="P490" s="116">
        <v>11</v>
      </c>
      <c r="Q490" s="122">
        <v>9.8000000000000007</v>
      </c>
      <c r="R490" s="10">
        <v>0.1</v>
      </c>
      <c r="S490" s="79">
        <v>22.36</v>
      </c>
      <c r="T490" s="79">
        <v>0.88</v>
      </c>
      <c r="U490" s="79">
        <v>0.7</v>
      </c>
      <c r="V490" s="85">
        <f t="shared" si="51"/>
        <v>1789.2416666666668</v>
      </c>
      <c r="W490" s="85">
        <f t="shared" si="52"/>
        <v>1826.4971712000001</v>
      </c>
      <c r="X490" s="85">
        <f t="shared" si="53"/>
        <v>1.0208219522423374</v>
      </c>
      <c r="Y490" s="116">
        <v>2</v>
      </c>
      <c r="Z490" s="116">
        <v>3</v>
      </c>
      <c r="AA490" s="122">
        <v>6.2</v>
      </c>
      <c r="AB490" s="116">
        <v>24</v>
      </c>
      <c r="AC490" s="122">
        <v>6.3</v>
      </c>
      <c r="AD490" s="122">
        <v>8.6999999999999993</v>
      </c>
      <c r="AE490" s="79">
        <v>0.16</v>
      </c>
      <c r="AF490" s="79">
        <v>0.1</v>
      </c>
      <c r="AG490" s="85">
        <f>(O490+0.3*H490+2)*(F490/2/AK490)</f>
        <v>1789.2416666666668</v>
      </c>
      <c r="AH490" s="85">
        <f t="shared" si="54"/>
        <v>1900.6500864</v>
      </c>
      <c r="AI490" s="85">
        <f t="shared" si="55"/>
        <v>1.0622657194994154</v>
      </c>
      <c r="AJ490" s="116">
        <v>2</v>
      </c>
      <c r="AK490" s="116">
        <v>3</v>
      </c>
      <c r="AL490" s="122">
        <v>6.4</v>
      </c>
      <c r="AM490" s="116">
        <v>24</v>
      </c>
      <c r="AN490" s="122">
        <v>6.3</v>
      </c>
      <c r="AO490" s="122">
        <v>7.9</v>
      </c>
      <c r="AP490" s="79">
        <v>0.14000000000000001</v>
      </c>
      <c r="AQ490" s="79">
        <v>0.33</v>
      </c>
      <c r="AR490" s="132">
        <f>SUM(C490:E490)</f>
        <v>1542</v>
      </c>
      <c r="AS490" s="134">
        <f>C490/AR490</f>
        <v>0.38715953307392997</v>
      </c>
      <c r="AT490" s="134">
        <f>D490/AR490</f>
        <v>0.46108949416342415</v>
      </c>
      <c r="AU490" s="134">
        <f>E490/AR490</f>
        <v>0.1517509727626459</v>
      </c>
      <c r="AV490" s="151">
        <f>IF(AND(F490&lt;&gt;"",Z490&lt;&gt;""),AB490/(F490/2/Z490),"")</f>
        <v>8.7858450274557645E-2</v>
      </c>
      <c r="AW490" s="151">
        <f>IF(AND(F490&lt;&gt;"",AK490&lt;&gt;""),AM490/(F490/2/AK490),"")</f>
        <v>8.7858450274557645E-2</v>
      </c>
      <c r="AX490" s="43">
        <f>IF(AND(AQ490&lt;&gt;"",1-(AQ490/O490)&gt;0),1-(AQ490/O490),"")</f>
        <v>0.80588235294117649</v>
      </c>
      <c r="AY490" s="41">
        <f>IF(AND(AF490&lt;&gt;"",1-(AF490/O490)&gt;0),1-(AF490/O490),"")</f>
        <v>0.94117647058823528</v>
      </c>
      <c r="AZ490" s="136" t="str">
        <f>IF(Q490="","",IF(Q490&lt;2.5,"Alc. Bruta &lt; 2,5 mg/L",IF(Q490&lt;5,"2,5 ≤ Alc. Bruta &lt; 5,0 mg/L",IF(Q490&lt;7.5,"5,0 ≤ Alc. Bruta &lt; 7,5 mg/L",IF(Q490&lt;10,"7,5 ≤ Alc. Bruta &lt; 10,0 mg/L",IF(Q490&lt;15,"10,0 ≤ Alca. Bruta &lt; 15,0 mg/L","Alc. Bruta &gt; 15 mg/L"))))))</f>
        <v>7,5 ≤ Alc. Bruta &lt; 10,0 mg/L</v>
      </c>
      <c r="BA490" s="136" t="str">
        <f>IF(P490="","",IF(P490&lt;5,"Cor &lt;5 uC",IF(P490&lt;10,"5 ≤ Cor &lt; 10 uC",IF(P490&lt;15,"10 ≤ Cor &lt;15 uC",IF(P490&lt;30,"15 ≤ Cor &lt; 30 uC",IF(P490&lt;50,"30 ≤ Cor &lt; 50 uC","Cor &gt; 50 uC"))))))</f>
        <v>10 ≤ Cor &lt;15 uC</v>
      </c>
      <c r="BB490" s="137" t="str">
        <f>IF(O490="","",IF(O490&lt;2.5,"Turbidez &lt; 2,5 uT",IF(O490&lt;5,"2,5 ≤ Turb &lt; 5,0 uT",IF(O490&lt;7.5,"5,0 ≤ Turb &lt; 7,5 uT",IF(O490&lt;10,"7,5 ≤ Turb &lt; 10,0 uT",IF(O490&lt;15,"10,0 ≤ Turb &lt; 15,0 uT","Turb &gt; 15 uT"))))))</f>
        <v>Turbidez &lt; 2,5 uT</v>
      </c>
      <c r="BC490" s="138" t="str">
        <f>IF(AND(C490&gt;D490,D490&gt;E490),"TOR &gt; SM &gt; BNN",IF(AND(C490&gt;E490,E490&gt;D490),"TOR &gt; BNN &gt; SM",IF(AND(D490&gt;C490,C490&gt;E490),"SM &gt; TOR &gt; BNN",IF(AND(D490&gt;E490,E490&gt;C490),"SM &gt; BNN &gt; TOR",IF(AND(C490=D490,D490=E490),"TOR = SM = BNN","Comb. diferentes")))))</f>
        <v>SM &gt; TOR &gt; BNN</v>
      </c>
      <c r="BD490" s="137" t="str">
        <f>IF(OR(AE490="",AQ490="-"),"",IF(AE490&lt;=0.25,"Tipo 1 (≤0,25) uT",IF(AE490&lt;=0.5,"Tipo 2 (0,25-0,50) uT",IF(AE490&lt;=0.75,"Tipo 3 (0,50-0,75) uT","Tipo 4 (&gt;0,75) uT"))))</f>
        <v>Tipo 1 (≤0,25) uT</v>
      </c>
      <c r="BE490" s="137" t="str">
        <f t="shared" si="49"/>
        <v>Tipo 1 (≤0,25) uT</v>
      </c>
      <c r="BF490" s="137" t="str">
        <f>IF(OR(AF490="",AQ490="-"),"",IF(AF490&lt;=0.25,"Tipo 1 (≤0,25) uT",IF(AF490&lt;=0.5,"Tipo 2 (0,25-0,50) uT",IF(AF490&lt;=0.75,"Tipo 3 (0,50-0,75) uT","Tipo 4 (&gt;0,75) uT"))))</f>
        <v>Tipo 1 (≤0,25) uT</v>
      </c>
      <c r="BG490" s="137" t="str">
        <f t="shared" si="50"/>
        <v>Tipo 2 (0,25-0,50) uT</v>
      </c>
      <c r="BH490" s="137" t="str">
        <f>IF(OR(R490="",R490="-"),"",IF(R490&lt;=0.25,"Tipo 1 (≤0,25) uT",IF(R490&lt;=0.5,"Tipo 2 (0,25-0,50) uT",IF(R490&lt;=0.75,"Tipo 3 (0,50-0,75) uT","Tipo 4 (&gt;0,75) uT"))))</f>
        <v>Tipo 1 (≤0,25) uT</v>
      </c>
    </row>
    <row r="491" spans="1:60" x14ac:dyDescent="0.3">
      <c r="A491" s="74">
        <v>46314</v>
      </c>
      <c r="B491" s="139">
        <v>0.14583333333333334</v>
      </c>
      <c r="C491" s="116">
        <v>625</v>
      </c>
      <c r="D491" s="116">
        <v>732</v>
      </c>
      <c r="E491" s="116">
        <v>233</v>
      </c>
      <c r="F491" s="116">
        <v>1619</v>
      </c>
      <c r="G491" s="144" t="s">
        <v>100</v>
      </c>
      <c r="H491" s="122">
        <v>9.5</v>
      </c>
      <c r="I491" s="116">
        <v>172</v>
      </c>
      <c r="J491" s="10">
        <v>90</v>
      </c>
      <c r="K491" s="116">
        <v>90</v>
      </c>
      <c r="L491" s="116">
        <v>90</v>
      </c>
      <c r="M491" s="122">
        <v>24.2</v>
      </c>
      <c r="N491" s="122">
        <v>6.4</v>
      </c>
      <c r="O491" s="79">
        <v>1.68</v>
      </c>
      <c r="P491" s="116">
        <v>13</v>
      </c>
      <c r="Q491" s="122">
        <v>7.8</v>
      </c>
      <c r="R491" s="10">
        <v>0.09</v>
      </c>
      <c r="S491" s="79">
        <v>22.36</v>
      </c>
      <c r="T491" s="79">
        <v>0.88</v>
      </c>
      <c r="U491" s="79">
        <v>0.7</v>
      </c>
      <c r="V491" s="85">
        <f t="shared" si="51"/>
        <v>1762.0116666666665</v>
      </c>
      <c r="W491" s="85">
        <f t="shared" si="52"/>
        <v>1826.4971712000001</v>
      </c>
      <c r="X491" s="85">
        <f t="shared" si="53"/>
        <v>1.0365976603635807</v>
      </c>
      <c r="Y491" s="116">
        <v>2</v>
      </c>
      <c r="Z491" s="116">
        <v>3</v>
      </c>
      <c r="AA491" s="122">
        <v>6.2</v>
      </c>
      <c r="AB491" s="116">
        <v>24</v>
      </c>
      <c r="AC491" s="122">
        <v>6.2</v>
      </c>
      <c r="AD491" s="122">
        <v>7.9</v>
      </c>
      <c r="AE491" s="79">
        <v>0.15</v>
      </c>
      <c r="AF491" s="79"/>
      <c r="AG491" s="85">
        <f>(O491+0.3*H491+2)*(F491/2/AK491)</f>
        <v>1762.0116666666665</v>
      </c>
      <c r="AH491" s="85">
        <f t="shared" si="54"/>
        <v>1900.6500864</v>
      </c>
      <c r="AI491" s="85">
        <f t="shared" si="55"/>
        <v>1.0786818965822209</v>
      </c>
      <c r="AJ491" s="116">
        <v>2</v>
      </c>
      <c r="AK491" s="116">
        <v>3</v>
      </c>
      <c r="AL491" s="122">
        <v>6.4</v>
      </c>
      <c r="AM491" s="116">
        <v>24</v>
      </c>
      <c r="AN491" s="122">
        <v>6.2</v>
      </c>
      <c r="AO491" s="122">
        <v>7.8</v>
      </c>
      <c r="AP491" s="79">
        <v>0.16</v>
      </c>
      <c r="AQ491" s="79">
        <v>0.56000000000000005</v>
      </c>
      <c r="AR491" s="132">
        <f>SUM(C491:E491)</f>
        <v>1590</v>
      </c>
      <c r="AS491" s="134">
        <f>C491/AR491</f>
        <v>0.39308176100628933</v>
      </c>
      <c r="AT491" s="134">
        <f>D491/AR491</f>
        <v>0.46037735849056605</v>
      </c>
      <c r="AU491" s="134">
        <f>E491/AR491</f>
        <v>0.14654088050314465</v>
      </c>
      <c r="AV491" s="151">
        <f>IF(AND(F491&lt;&gt;"",Z491&lt;&gt;""),AB491/(F491/2/Z491),"")</f>
        <v>8.894379246448425E-2</v>
      </c>
      <c r="AW491" s="151">
        <f>IF(AND(F491&lt;&gt;"",AK491&lt;&gt;""),AM491/(F491/2/AK491),"")</f>
        <v>8.894379246448425E-2</v>
      </c>
      <c r="AX491" s="43">
        <f>IF(AND(AQ491&lt;&gt;"",1-(AQ491/O491)&gt;0),1-(AQ491/O491),"")</f>
        <v>0.66666666666666663</v>
      </c>
      <c r="AY491" s="41" t="str">
        <f>IF(AND(AF491&lt;&gt;"",1-(AF491/O491)&gt;0),1-(AF491/O491),"")</f>
        <v/>
      </c>
      <c r="AZ491" s="136" t="str">
        <f>IF(Q491="","",IF(Q491&lt;2.5,"Alc. Bruta &lt; 2,5 mg/L",IF(Q491&lt;5,"2,5 ≤ Alc. Bruta &lt; 5,0 mg/L",IF(Q491&lt;7.5,"5,0 ≤ Alc. Bruta &lt; 7,5 mg/L",IF(Q491&lt;10,"7,5 ≤ Alc. Bruta &lt; 10,0 mg/L",IF(Q491&lt;15,"10,0 ≤ Alca. Bruta &lt; 15,0 mg/L","Alc. Bruta &gt; 15 mg/L"))))))</f>
        <v>7,5 ≤ Alc. Bruta &lt; 10,0 mg/L</v>
      </c>
      <c r="BA491" s="136" t="str">
        <f>IF(P491="","",IF(P491&lt;5,"Cor &lt;5 uC",IF(P491&lt;10,"5 ≤ Cor &lt; 10 uC",IF(P491&lt;15,"10 ≤ Cor &lt;15 uC",IF(P491&lt;30,"15 ≤ Cor &lt; 30 uC",IF(P491&lt;50,"30 ≤ Cor &lt; 50 uC","Cor &gt; 50 uC"))))))</f>
        <v>10 ≤ Cor &lt;15 uC</v>
      </c>
      <c r="BB491" s="137" t="str">
        <f>IF(O491="","",IF(O491&lt;2.5,"Turbidez &lt; 2,5 uT",IF(O491&lt;5,"2,5 ≤ Turb &lt; 5,0 uT",IF(O491&lt;7.5,"5,0 ≤ Turb &lt; 7,5 uT",IF(O491&lt;10,"7,5 ≤ Turb &lt; 10,0 uT",IF(O491&lt;15,"10,0 ≤ Turb &lt; 15,0 uT","Turb &gt; 15 uT"))))))</f>
        <v>Turbidez &lt; 2,5 uT</v>
      </c>
      <c r="BC491" s="138" t="str">
        <f>IF(AND(C491&gt;D491,D491&gt;E491),"TOR &gt; SM &gt; BNN",IF(AND(C491&gt;E491,E491&gt;D491),"TOR &gt; BNN &gt; SM",IF(AND(D491&gt;C491,C491&gt;E491),"SM &gt; TOR &gt; BNN",IF(AND(D491&gt;E491,E491&gt;C491),"SM &gt; BNN &gt; TOR",IF(AND(C491=D491,D491=E491),"TOR = SM = BNN","Comb. diferentes")))))</f>
        <v>SM &gt; TOR &gt; BNN</v>
      </c>
      <c r="BD491" s="137" t="str">
        <f>IF(OR(AE491="",AQ491="-"),"",IF(AE491&lt;=0.25,"Tipo 1 (≤0,25) uT",IF(AE491&lt;=0.5,"Tipo 2 (0,25-0,50) uT",IF(AE491&lt;=0.75,"Tipo 3 (0,50-0,75) uT","Tipo 4 (&gt;0,75) uT"))))</f>
        <v>Tipo 1 (≤0,25) uT</v>
      </c>
      <c r="BE491" s="137" t="str">
        <f t="shared" si="49"/>
        <v>Tipo 1 (≤0,25) uT</v>
      </c>
      <c r="BF491" s="137" t="str">
        <f>IF(OR(AF491="",AQ491="-"),"",IF(AF491&lt;=0.25,"Tipo 1 (≤0,25) uT",IF(AF491&lt;=0.5,"Tipo 2 (0,25-0,50) uT",IF(AF491&lt;=0.75,"Tipo 3 (0,50-0,75) uT","Tipo 4 (&gt;0,75) uT"))))</f>
        <v/>
      </c>
      <c r="BG491" s="137" t="str">
        <f t="shared" si="50"/>
        <v>Tipo 3 (0,50-0,75) uT</v>
      </c>
      <c r="BH491" s="137" t="str">
        <f>IF(OR(R491="",R491="-"),"",IF(R491&lt;=0.25,"Tipo 1 (≤0,25) uT",IF(R491&lt;=0.5,"Tipo 2 (0,25-0,50) uT",IF(R491&lt;=0.75,"Tipo 3 (0,50-0,75) uT","Tipo 4 (&gt;0,75) uT"))))</f>
        <v>Tipo 1 (≤0,25) uT</v>
      </c>
    </row>
    <row r="492" spans="1:60" ht="15" thickBot="1" x14ac:dyDescent="0.35">
      <c r="A492" s="75">
        <v>46314</v>
      </c>
      <c r="B492" s="140">
        <v>0.22916666666666666</v>
      </c>
      <c r="C492" s="117">
        <v>646</v>
      </c>
      <c r="D492" s="117">
        <v>710</v>
      </c>
      <c r="E492" s="117">
        <v>0</v>
      </c>
      <c r="F492" s="117">
        <v>1428</v>
      </c>
      <c r="G492" s="145" t="s">
        <v>100</v>
      </c>
      <c r="H492" s="123">
        <v>9.5</v>
      </c>
      <c r="I492" s="117">
        <v>222</v>
      </c>
      <c r="J492" s="11">
        <v>90</v>
      </c>
      <c r="K492" s="117">
        <v>90</v>
      </c>
      <c r="L492" s="117">
        <v>90</v>
      </c>
      <c r="M492" s="123">
        <v>24</v>
      </c>
      <c r="N492" s="123">
        <v>6.4</v>
      </c>
      <c r="O492" s="80">
        <v>2.54</v>
      </c>
      <c r="P492" s="117">
        <v>17</v>
      </c>
      <c r="Q492" s="123">
        <v>7</v>
      </c>
      <c r="R492" s="11">
        <v>0.13</v>
      </c>
      <c r="S492" s="79">
        <v>22.36</v>
      </c>
      <c r="T492" s="79">
        <v>0.88</v>
      </c>
      <c r="U492" s="79">
        <v>0.7</v>
      </c>
      <c r="V492" s="85">
        <f t="shared" ref="V492" si="56">(O492+0.3*H492+2)*(F492/2/Z492)</f>
        <v>1758.8200000000002</v>
      </c>
      <c r="W492" s="85">
        <f t="shared" si="52"/>
        <v>1826.4971712000001</v>
      </c>
      <c r="X492" s="85">
        <f t="shared" si="53"/>
        <v>1.0384787364255581</v>
      </c>
      <c r="Y492" s="117">
        <v>2</v>
      </c>
      <c r="Z492" s="117">
        <v>3</v>
      </c>
      <c r="AA492" s="123">
        <v>6.2</v>
      </c>
      <c r="AB492" s="117">
        <v>24</v>
      </c>
      <c r="AC492" s="123">
        <v>6.1</v>
      </c>
      <c r="AD492" s="123">
        <v>5</v>
      </c>
      <c r="AE492" s="80">
        <v>0.12</v>
      </c>
      <c r="AF492" s="80"/>
      <c r="AG492" s="85">
        <f>(O492+0.3*H492+2)*(F492/2/AK492)</f>
        <v>1758.8200000000002</v>
      </c>
      <c r="AH492" s="85">
        <f t="shared" si="54"/>
        <v>1900.6500864</v>
      </c>
      <c r="AI492" s="85">
        <f t="shared" si="55"/>
        <v>1.0806393413766047</v>
      </c>
      <c r="AJ492" s="117">
        <v>2</v>
      </c>
      <c r="AK492" s="117">
        <v>3</v>
      </c>
      <c r="AL492" s="123">
        <v>6.4</v>
      </c>
      <c r="AM492" s="117">
        <v>24</v>
      </c>
      <c r="AN492" s="123">
        <v>6.1</v>
      </c>
      <c r="AO492" s="123">
        <v>5.2</v>
      </c>
      <c r="AP492" s="80">
        <v>0.17</v>
      </c>
      <c r="AQ492" s="80">
        <v>0.41</v>
      </c>
      <c r="AR492" s="132">
        <f>SUM(C492:E492)</f>
        <v>1356</v>
      </c>
      <c r="AS492" s="134">
        <f>C492/AR492</f>
        <v>0.47640117994100295</v>
      </c>
      <c r="AT492" s="134">
        <f>D492/AR492</f>
        <v>0.52359882005899705</v>
      </c>
      <c r="AU492" s="134">
        <f>E492/AR492</f>
        <v>0</v>
      </c>
      <c r="AV492" s="151">
        <f>IF(AND(F492&lt;&gt;"",Z492&lt;&gt;""),AB492/(F492/2/Z492),"")</f>
        <v>0.10084033613445378</v>
      </c>
      <c r="AW492" s="151">
        <f>IF(AND(F492&lt;&gt;"",AK492&lt;&gt;""),AM492/(F492/2/AK492),"")</f>
        <v>0.10084033613445378</v>
      </c>
      <c r="AX492" s="43">
        <f>IF(AND(AQ492&lt;&gt;"",1-(AQ492/O492)&gt;0),1-(AQ492/O492),"")</f>
        <v>0.8385826771653544</v>
      </c>
      <c r="AY492" s="41" t="str">
        <f>IF(AND(AF492&lt;&gt;"",1-(AF492/O492)&gt;0),1-(AF492/O492),"")</f>
        <v/>
      </c>
      <c r="AZ492" s="136" t="str">
        <f>IF(Q492="","",IF(Q492&lt;2.5,"Alc. Bruta &lt; 2,5 mg/L",IF(Q492&lt;5,"2,5 ≤ Alc. Bruta &lt; 5,0 mg/L",IF(Q492&lt;7.5,"5,0 ≤ Alc. Bruta &lt; 7,5 mg/L",IF(Q492&lt;10,"7,5 ≤ Alc. Bruta &lt; 10,0 mg/L",IF(Q492&lt;15,"10,0 ≤ Alca. Bruta &lt; 15,0 mg/L","Alc. Bruta &gt; 15 mg/L"))))))</f>
        <v>5,0 ≤ Alc. Bruta &lt; 7,5 mg/L</v>
      </c>
      <c r="BA492" s="136" t="str">
        <f>IF(P492="","",IF(P492&lt;5,"Cor &lt;5 uC",IF(P492&lt;10,"5 ≤ Cor &lt; 10 uC",IF(P492&lt;15,"10 ≤ Cor &lt;15 uC",IF(P492&lt;30,"15 ≤ Cor &lt; 30 uC",IF(P492&lt;50,"30 ≤ Cor &lt; 50 uC","Cor &gt; 50 uC"))))))</f>
        <v>15 ≤ Cor &lt; 30 uC</v>
      </c>
      <c r="BB492" s="137" t="str">
        <f>IF(O492="","",IF(O492&lt;2.5,"Turbidez &lt; 2,5 uT",IF(O492&lt;5,"2,5 ≤ Turb &lt; 5,0 uT",IF(O492&lt;7.5,"5,0 ≤ Turb &lt; 7,5 uT",IF(O492&lt;10,"7,5 ≤ Turb &lt; 10,0 uT",IF(O492&lt;15,"10,0 ≤ Turb &lt; 15,0 uT","Turb &gt; 15 uT"))))))</f>
        <v>2,5 ≤ Turb &lt; 5,0 uT</v>
      </c>
      <c r="BC492" s="138" t="str">
        <f>IF(AND(C492&gt;D492,D492&gt;E492),"TOR &gt; SM &gt; BNN",IF(AND(C492&gt;E492,E492&gt;D492),"TOR &gt; BNN &gt; SM",IF(AND(D492&gt;C492,C492&gt;E492),"SM &gt; TOR &gt; BNN",IF(AND(D492&gt;E492,E492&gt;C492),"SM &gt; BNN &gt; TOR",IF(AND(C492=D492,D492=E492),"TOR = SM = BNN","Comb. diferentes")))))</f>
        <v>SM &gt; TOR &gt; BNN</v>
      </c>
      <c r="BD492" s="137" t="str">
        <f>IF(OR(AE492="",AQ492="-"),"",IF(AE492&lt;=0.25,"Tipo 1 (≤0,25) uT",IF(AE492&lt;=0.5,"Tipo 2 (0,25-0,50) uT",IF(AE492&lt;=0.75,"Tipo 3 (0,50-0,75) uT","Tipo 4 (&gt;0,75) uT"))))</f>
        <v>Tipo 1 (≤0,25) uT</v>
      </c>
      <c r="BE492" s="137" t="str">
        <f t="shared" si="49"/>
        <v>Tipo 1 (≤0,25) uT</v>
      </c>
      <c r="BF492" s="137" t="str">
        <f>IF(OR(AF492="",AQ492="-"),"",IF(AF492&lt;=0.25,"Tipo 1 (≤0,25) uT",IF(AF492&lt;=0.5,"Tipo 2 (0,25-0,50) uT",IF(AF492&lt;=0.75,"Tipo 3 (0,50-0,75) uT","Tipo 4 (&gt;0,75) uT"))))</f>
        <v/>
      </c>
      <c r="BG492" s="137" t="str">
        <f t="shared" si="50"/>
        <v>Tipo 2 (0,25-0,50) uT</v>
      </c>
      <c r="BH492" s="137" t="str">
        <f>IF(OR(R492="",R492="-"),"",IF(R492&lt;=0.25,"Tipo 1 (≤0,25) uT",IF(R492&lt;=0.5,"Tipo 2 (0,25-0,50) uT",IF(R492&lt;=0.75,"Tipo 3 (0,50-0,75) uT","Tipo 4 (&gt;0,75) uT"))))</f>
        <v>Tipo 1 (≤0,25) uT</v>
      </c>
    </row>
    <row r="493" spans="1:60" ht="15" thickBot="1" x14ac:dyDescent="0.35">
      <c r="A493" s="87">
        <v>46314</v>
      </c>
      <c r="B493" s="141">
        <v>0.3125</v>
      </c>
      <c r="C493" s="118">
        <v>626</v>
      </c>
      <c r="D493" s="118">
        <v>747</v>
      </c>
      <c r="E493" s="117">
        <v>0</v>
      </c>
      <c r="F493" s="118">
        <v>1421</v>
      </c>
      <c r="G493" s="146" t="s">
        <v>100</v>
      </c>
      <c r="H493" s="124">
        <v>9.5</v>
      </c>
      <c r="I493" s="118">
        <v>-230</v>
      </c>
      <c r="J493" s="9">
        <v>90</v>
      </c>
      <c r="K493" s="118">
        <v>90</v>
      </c>
      <c r="L493" s="118">
        <v>90</v>
      </c>
      <c r="M493" s="124">
        <v>24.3</v>
      </c>
      <c r="N493" s="124">
        <v>6</v>
      </c>
      <c r="O493" s="81">
        <v>1.76</v>
      </c>
      <c r="P493" s="118">
        <v>12</v>
      </c>
      <c r="Q493" s="124">
        <v>6.3</v>
      </c>
      <c r="R493" s="9">
        <v>0.25</v>
      </c>
      <c r="S493" s="79">
        <v>22.36</v>
      </c>
      <c r="T493" s="79">
        <v>0.88</v>
      </c>
      <c r="U493" s="79">
        <v>0.7</v>
      </c>
      <c r="V493" s="85">
        <f t="shared" ref="V493" si="57">(O493+0.3*H493+2)*(F493/2/Z493)</f>
        <v>1565.4683333333335</v>
      </c>
      <c r="W493" s="85">
        <f t="shared" si="52"/>
        <v>1730.4399527999999</v>
      </c>
      <c r="X493" s="85">
        <f t="shared" si="53"/>
        <v>1.1053816394454905</v>
      </c>
      <c r="Y493" s="116">
        <v>2</v>
      </c>
      <c r="Z493" s="119">
        <v>3</v>
      </c>
      <c r="AA493" s="125">
        <v>6</v>
      </c>
      <c r="AB493" s="119">
        <v>23.7</v>
      </c>
      <c r="AC493" s="124">
        <v>5.7</v>
      </c>
      <c r="AD493" s="124">
        <v>3.5</v>
      </c>
      <c r="AE493" s="81">
        <v>0.35</v>
      </c>
      <c r="AF493" s="81"/>
      <c r="AG493" s="85">
        <f>(O493+0.3*H493+2)*(F493/2/AK493)</f>
        <v>1565.4683333333335</v>
      </c>
      <c r="AH493" s="85">
        <f t="shared" si="54"/>
        <v>1948.16633856</v>
      </c>
      <c r="AI493" s="85">
        <f t="shared" si="55"/>
        <v>1.244462310145739</v>
      </c>
      <c r="AJ493" s="118">
        <v>2</v>
      </c>
      <c r="AK493" s="118">
        <v>3</v>
      </c>
      <c r="AL493" s="124">
        <v>6.4</v>
      </c>
      <c r="AM493" s="118">
        <v>24.6</v>
      </c>
      <c r="AN493" s="124">
        <v>5.7</v>
      </c>
      <c r="AO493" s="124">
        <v>3.6</v>
      </c>
      <c r="AP493" s="81">
        <v>0.39</v>
      </c>
      <c r="AQ493" s="81">
        <v>0.63</v>
      </c>
      <c r="AR493" s="132">
        <f>SUM(C493:E493)</f>
        <v>1373</v>
      </c>
      <c r="AS493" s="134">
        <f>C493/AR493</f>
        <v>0.45593590677348872</v>
      </c>
      <c r="AT493" s="134">
        <f>D493/AR493</f>
        <v>0.54406409322651128</v>
      </c>
      <c r="AU493" s="134">
        <f>E493/AR493</f>
        <v>0</v>
      </c>
      <c r="AV493" s="151">
        <f>IF(AND(F493&lt;&gt;"",Z493&lt;&gt;""),AB493/(F493/2/Z493),"")</f>
        <v>0.10007037297677691</v>
      </c>
      <c r="AW493" s="151">
        <f>IF(AND(F493&lt;&gt;"",AK493&lt;&gt;""),AM493/(F493/2/AK493),"")</f>
        <v>0.10387051372273047</v>
      </c>
      <c r="AX493" s="43">
        <f>IF(AND(AQ493&lt;&gt;"",1-(AQ493/O493)&gt;0),1-(AQ493/O493),"")</f>
        <v>0.64204545454545459</v>
      </c>
      <c r="AY493" s="41" t="str">
        <f>IF(AND(AF493&lt;&gt;"",1-(AF493/O493)&gt;0),1-(AF493/O493),"")</f>
        <v/>
      </c>
      <c r="AZ493" s="136" t="str">
        <f>IF(Q493="","",IF(Q493&lt;2.5,"Alc. Bruta &lt; 2,5 mg/L",IF(Q493&lt;5,"2,5 ≤ Alc. Bruta &lt; 5,0 mg/L",IF(Q493&lt;7.5,"5,0 ≤ Alc. Bruta &lt; 7,5 mg/L",IF(Q493&lt;10,"7,5 ≤ Alc. Bruta &lt; 10,0 mg/L",IF(Q493&lt;15,"10,0 ≤ Alca. Bruta &lt; 15,0 mg/L","Alc. Bruta &gt; 15 mg/L"))))))</f>
        <v>5,0 ≤ Alc. Bruta &lt; 7,5 mg/L</v>
      </c>
      <c r="BA493" s="136" t="str">
        <f>IF(P493="","",IF(P493&lt;5,"Cor &lt;5 uC",IF(P493&lt;10,"5 ≤ Cor &lt; 10 uC",IF(P493&lt;15,"10 ≤ Cor &lt;15 uC",IF(P493&lt;30,"15 ≤ Cor &lt; 30 uC",IF(P493&lt;50,"30 ≤ Cor &lt; 50 uC","Cor &gt; 50 uC"))))))</f>
        <v>10 ≤ Cor &lt;15 uC</v>
      </c>
      <c r="BB493" s="137" t="str">
        <f>IF(O493="","",IF(O493&lt;2.5,"Turbidez &lt; 2,5 uT",IF(O493&lt;5,"2,5 ≤ Turb &lt; 5,0 uT",IF(O493&lt;7.5,"5,0 ≤ Turb &lt; 7,5 uT",IF(O493&lt;10,"7,5 ≤ Turb &lt; 10,0 uT",IF(O493&lt;15,"10,0 ≤ Turb &lt; 15,0 uT","Turb &gt; 15 uT"))))))</f>
        <v>Turbidez &lt; 2,5 uT</v>
      </c>
      <c r="BC493" s="138" t="str">
        <f>IF(AND(C493&gt;D493,D493&gt;E493),"TOR &gt; SM &gt; BNN",IF(AND(C493&gt;E493,E493&gt;D493),"TOR &gt; BNN &gt; SM",IF(AND(D493&gt;C493,C493&gt;E493),"SM &gt; TOR &gt; BNN",IF(AND(D493&gt;E493,E493&gt;C493),"SM &gt; BNN &gt; TOR",IF(AND(C493=D493,D493=E493),"TOR = SM = BNN","Comb. diferentes")))))</f>
        <v>SM &gt; TOR &gt; BNN</v>
      </c>
      <c r="BD493" s="137" t="str">
        <f>IF(OR(AE493="",AQ493="-"),"",IF(AE493&lt;=0.25,"Tipo 1 (≤0,25) uT",IF(AE493&lt;=0.5,"Tipo 2 (0,25-0,50) uT",IF(AE493&lt;=0.75,"Tipo 3 (0,50-0,75) uT","Tipo 4 (&gt;0,75) uT"))))</f>
        <v>Tipo 2 (0,25-0,50) uT</v>
      </c>
      <c r="BE493" s="137" t="str">
        <f t="shared" si="49"/>
        <v>Tipo 2 (0,25-0,50) uT</v>
      </c>
      <c r="BF493" s="137" t="str">
        <f>IF(OR(AF493="",AQ493="-"),"",IF(AF493&lt;=0.25,"Tipo 1 (≤0,25) uT",IF(AF493&lt;=0.5,"Tipo 2 (0,25-0,50) uT",IF(AF493&lt;=0.75,"Tipo 3 (0,50-0,75) uT","Tipo 4 (&gt;0,75) uT"))))</f>
        <v/>
      </c>
      <c r="BG493" s="137" t="str">
        <f t="shared" si="50"/>
        <v>Tipo 3 (0,50-0,75) uT</v>
      </c>
      <c r="BH493" s="137" t="str">
        <f>IF(OR(R493="",R493="-"),"",IF(R493&lt;=0.25,"Tipo 1 (≤0,25) uT",IF(R493&lt;=0.5,"Tipo 2 (0,25-0,50) uT",IF(R493&lt;=0.75,"Tipo 3 (0,50-0,75) uT","Tipo 4 (&gt;0,75) uT"))))</f>
        <v>Tipo 1 (≤0,25) uT</v>
      </c>
    </row>
    <row r="494" spans="1:60" ht="15" thickBot="1" x14ac:dyDescent="0.35">
      <c r="A494" s="88">
        <v>46314</v>
      </c>
      <c r="B494" s="139">
        <v>0.39583333333333331</v>
      </c>
      <c r="C494" s="116">
        <v>1124</v>
      </c>
      <c r="D494" s="116">
        <v>1216</v>
      </c>
      <c r="E494" s="117">
        <v>0</v>
      </c>
      <c r="F494" s="116">
        <v>2100</v>
      </c>
      <c r="G494" s="144" t="s">
        <v>34</v>
      </c>
      <c r="H494" s="122">
        <v>9.5</v>
      </c>
      <c r="I494" s="116">
        <v>-153</v>
      </c>
      <c r="J494" s="10">
        <v>90</v>
      </c>
      <c r="K494" s="116">
        <v>90</v>
      </c>
      <c r="L494" s="116">
        <v>90</v>
      </c>
      <c r="M494" s="122">
        <v>25.1</v>
      </c>
      <c r="N494" s="122">
        <v>6.5</v>
      </c>
      <c r="O494" s="79">
        <v>1.83</v>
      </c>
      <c r="P494" s="116">
        <v>12</v>
      </c>
      <c r="Q494" s="122">
        <v>7.1</v>
      </c>
      <c r="R494" s="10">
        <v>0.08</v>
      </c>
      <c r="S494" s="79">
        <v>22.36</v>
      </c>
      <c r="T494" s="79">
        <v>0.88</v>
      </c>
      <c r="U494" s="79">
        <v>0.7</v>
      </c>
      <c r="V494" s="85">
        <f t="shared" ref="V494" si="58">(O494+0.3*H494+2)*(F494/2/Z494)</f>
        <v>1753.5</v>
      </c>
      <c r="W494" s="85">
        <f t="shared" si="52"/>
        <v>1752.3442559999999</v>
      </c>
      <c r="X494" s="85">
        <f t="shared" si="53"/>
        <v>0.99934089307100082</v>
      </c>
      <c r="Y494" s="116">
        <v>3</v>
      </c>
      <c r="Z494" s="116">
        <v>4</v>
      </c>
      <c r="AA494" s="122">
        <v>6</v>
      </c>
      <c r="AB494" s="116">
        <v>24</v>
      </c>
      <c r="AC494" s="122">
        <v>6.5</v>
      </c>
      <c r="AD494" s="122">
        <v>5.6</v>
      </c>
      <c r="AE494" s="79">
        <v>0.15</v>
      </c>
      <c r="AF494" s="79"/>
      <c r="AG494" s="85">
        <f>(O494+0.3*H494+2)*(F494/2/AK494)</f>
        <v>1753.5</v>
      </c>
      <c r="AH494" s="85">
        <f t="shared" si="54"/>
        <v>1979.8438399999998</v>
      </c>
      <c r="AI494" s="85">
        <f t="shared" si="55"/>
        <v>1.1290811747932705</v>
      </c>
      <c r="AJ494" s="116">
        <v>3</v>
      </c>
      <c r="AK494" s="116">
        <v>4</v>
      </c>
      <c r="AL494" s="122">
        <v>6.4</v>
      </c>
      <c r="AM494" s="116">
        <v>25</v>
      </c>
      <c r="AN494" s="122">
        <v>6.5</v>
      </c>
      <c r="AO494" s="122">
        <v>6.2</v>
      </c>
      <c r="AP494" s="79">
        <v>0.16</v>
      </c>
      <c r="AQ494" s="79">
        <v>0.38</v>
      </c>
      <c r="AR494" s="132">
        <f>SUM(C494:E494)</f>
        <v>2340</v>
      </c>
      <c r="AS494" s="134">
        <f>C494/AR494</f>
        <v>0.48034188034188036</v>
      </c>
      <c r="AT494" s="134">
        <f>D494/AR494</f>
        <v>0.5196581196581197</v>
      </c>
      <c r="AU494" s="134">
        <f>E494/AR494</f>
        <v>0</v>
      </c>
      <c r="AV494" s="151">
        <f>IF(AND(F494&lt;&gt;"",Z494&lt;&gt;""),AB494/(F494/2/Z494),"")</f>
        <v>9.1428571428571428E-2</v>
      </c>
      <c r="AW494" s="151">
        <f>IF(AND(F494&lt;&gt;"",AK494&lt;&gt;""),AM494/(F494/2/AK494),"")</f>
        <v>9.5238095238095233E-2</v>
      </c>
      <c r="AX494" s="43">
        <f>IF(AND(AQ494&lt;&gt;"",1-(AQ494/O494)&gt;0),1-(AQ494/O494),"")</f>
        <v>0.79234972677595628</v>
      </c>
      <c r="AY494" s="41" t="str">
        <f>IF(AND(AF494&lt;&gt;"",1-(AF494/O494)&gt;0),1-(AF494/O494),"")</f>
        <v/>
      </c>
      <c r="AZ494" s="136" t="str">
        <f>IF(Q494="","",IF(Q494&lt;2.5,"Alc. Bruta &lt; 2,5 mg/L",IF(Q494&lt;5,"2,5 ≤ Alc. Bruta &lt; 5,0 mg/L",IF(Q494&lt;7.5,"5,0 ≤ Alc. Bruta &lt; 7,5 mg/L",IF(Q494&lt;10,"7,5 ≤ Alc. Bruta &lt; 10,0 mg/L",IF(Q494&lt;15,"10,0 ≤ Alca. Bruta &lt; 15,0 mg/L","Alc. Bruta &gt; 15 mg/L"))))))</f>
        <v>5,0 ≤ Alc. Bruta &lt; 7,5 mg/L</v>
      </c>
      <c r="BA494" s="136" t="str">
        <f>IF(P494="","",IF(P494&lt;5,"Cor &lt;5 uC",IF(P494&lt;10,"5 ≤ Cor &lt; 10 uC",IF(P494&lt;15,"10 ≤ Cor &lt;15 uC",IF(P494&lt;30,"15 ≤ Cor &lt; 30 uC",IF(P494&lt;50,"30 ≤ Cor &lt; 50 uC","Cor &gt; 50 uC"))))))</f>
        <v>10 ≤ Cor &lt;15 uC</v>
      </c>
      <c r="BB494" s="137" t="str">
        <f>IF(O494="","",IF(O494&lt;2.5,"Turbidez &lt; 2,5 uT",IF(O494&lt;5,"2,5 ≤ Turb &lt; 5,0 uT",IF(O494&lt;7.5,"5,0 ≤ Turb &lt; 7,5 uT",IF(O494&lt;10,"7,5 ≤ Turb &lt; 10,0 uT",IF(O494&lt;15,"10,0 ≤ Turb &lt; 15,0 uT","Turb &gt; 15 uT"))))))</f>
        <v>Turbidez &lt; 2,5 uT</v>
      </c>
      <c r="BC494" s="138" t="str">
        <f>IF(AND(C494&gt;D494,D494&gt;E494),"TOR &gt; SM &gt; BNN",IF(AND(C494&gt;E494,E494&gt;D494),"TOR &gt; BNN &gt; SM",IF(AND(D494&gt;C494,C494&gt;E494),"SM &gt; TOR &gt; BNN",IF(AND(D494&gt;E494,E494&gt;C494),"SM &gt; BNN &gt; TOR",IF(AND(C494=D494,D494=E494),"TOR = SM = BNN","Comb. diferentes")))))</f>
        <v>SM &gt; TOR &gt; BNN</v>
      </c>
      <c r="BD494" s="137" t="str">
        <f>IF(OR(AE494="",AQ494="-"),"",IF(AE494&lt;=0.25,"Tipo 1 (≤0,25) uT",IF(AE494&lt;=0.5,"Tipo 2 (0,25-0,50) uT",IF(AE494&lt;=0.75,"Tipo 3 (0,50-0,75) uT","Tipo 4 (&gt;0,75) uT"))))</f>
        <v>Tipo 1 (≤0,25) uT</v>
      </c>
      <c r="BE494" s="137" t="str">
        <f t="shared" si="49"/>
        <v>Tipo 1 (≤0,25) uT</v>
      </c>
      <c r="BF494" s="137" t="str">
        <f>IF(OR(AF494="",AQ494="-"),"",IF(AF494&lt;=0.25,"Tipo 1 (≤0,25) uT",IF(AF494&lt;=0.5,"Tipo 2 (0,25-0,50) uT",IF(AF494&lt;=0.75,"Tipo 3 (0,50-0,75) uT","Tipo 4 (&gt;0,75) uT"))))</f>
        <v/>
      </c>
      <c r="BG494" s="137" t="str">
        <f t="shared" si="50"/>
        <v>Tipo 2 (0,25-0,50) uT</v>
      </c>
      <c r="BH494" s="137" t="str">
        <f>IF(OR(R494="",R494="-"),"",IF(R494&lt;=0.25,"Tipo 1 (≤0,25) uT",IF(R494&lt;=0.5,"Tipo 2 (0,25-0,50) uT",IF(R494&lt;=0.75,"Tipo 3 (0,50-0,75) uT","Tipo 4 (&gt;0,75) uT"))))</f>
        <v>Tipo 1 (≤0,25) uT</v>
      </c>
    </row>
    <row r="495" spans="1:60" ht="15" thickBot="1" x14ac:dyDescent="0.35">
      <c r="A495" s="88">
        <v>46314</v>
      </c>
      <c r="B495" s="139">
        <v>0.47916666666666669</v>
      </c>
      <c r="C495" s="116">
        <v>565</v>
      </c>
      <c r="D495" s="116">
        <v>1926</v>
      </c>
      <c r="E495" s="117">
        <v>0</v>
      </c>
      <c r="F495" s="116">
        <v>2055</v>
      </c>
      <c r="G495" s="144" t="s">
        <v>34</v>
      </c>
      <c r="H495" s="122">
        <v>9.5</v>
      </c>
      <c r="I495" s="116">
        <v>2</v>
      </c>
      <c r="J495" s="10">
        <v>90</v>
      </c>
      <c r="K495" s="116">
        <v>90</v>
      </c>
      <c r="L495" s="116">
        <v>90</v>
      </c>
      <c r="M495" s="122">
        <v>25.3</v>
      </c>
      <c r="N495" s="122">
        <v>6.5</v>
      </c>
      <c r="O495" s="79">
        <v>1.79</v>
      </c>
      <c r="P495" s="116">
        <v>11</v>
      </c>
      <c r="Q495" s="122">
        <v>6.9</v>
      </c>
      <c r="R495" s="10">
        <v>0.1</v>
      </c>
      <c r="S495" s="79">
        <v>22.36</v>
      </c>
      <c r="T495" s="79">
        <v>0.88</v>
      </c>
      <c r="U495" s="79">
        <v>0.7</v>
      </c>
      <c r="V495" s="85">
        <f t="shared" ref="V495:V511" si="59">(O495+0.3*H495+2)*(F495/2/Z495)</f>
        <v>1705.65</v>
      </c>
      <c r="W495" s="85">
        <f t="shared" si="52"/>
        <v>1752.3442559999999</v>
      </c>
      <c r="X495" s="85">
        <f t="shared" si="53"/>
        <v>1.0273762237270248</v>
      </c>
      <c r="Y495" s="116">
        <v>3</v>
      </c>
      <c r="Z495" s="116">
        <v>4</v>
      </c>
      <c r="AA495" s="122">
        <v>6</v>
      </c>
      <c r="AB495" s="116">
        <v>24</v>
      </c>
      <c r="AC495" s="122">
        <v>6.4</v>
      </c>
      <c r="AD495" s="122">
        <v>5.8</v>
      </c>
      <c r="AE495" s="79">
        <v>0.16</v>
      </c>
      <c r="AF495" s="79">
        <v>0.3</v>
      </c>
      <c r="AG495" s="85">
        <f>(O495+0.3*H495+2)*(F495/2/AK495)</f>
        <v>1705.65</v>
      </c>
      <c r="AH495" s="85">
        <f t="shared" si="54"/>
        <v>1979.8438399999998</v>
      </c>
      <c r="AI495" s="85">
        <f t="shared" si="55"/>
        <v>1.1607562161052969</v>
      </c>
      <c r="AJ495" s="116">
        <v>3</v>
      </c>
      <c r="AK495" s="116">
        <v>4</v>
      </c>
      <c r="AL495" s="122">
        <v>6.4</v>
      </c>
      <c r="AM495" s="116">
        <v>25</v>
      </c>
      <c r="AN495" s="122">
        <v>6.4</v>
      </c>
      <c r="AO495" s="122">
        <v>6.3</v>
      </c>
      <c r="AP495" s="79">
        <v>0.18</v>
      </c>
      <c r="AQ495" s="79">
        <v>0.33</v>
      </c>
      <c r="AR495" s="132">
        <f>SUM(C495:E495)</f>
        <v>2491</v>
      </c>
      <c r="AS495" s="134">
        <f>C495/AR495</f>
        <v>0.22681653954235248</v>
      </c>
      <c r="AT495" s="134">
        <f>D495/AR495</f>
        <v>0.77318346045764752</v>
      </c>
      <c r="AU495" s="134">
        <f>E495/AR495</f>
        <v>0</v>
      </c>
      <c r="AV495" s="151">
        <f>IF(AND(F495&lt;&gt;"",Z495&lt;&gt;""),AB495/(F495/2/Z495),"")</f>
        <v>9.3430656934306563E-2</v>
      </c>
      <c r="AW495" s="151">
        <f>IF(AND(F495&lt;&gt;"",AK495&lt;&gt;""),AM495/(F495/2/AK495),"")</f>
        <v>9.7323600973236016E-2</v>
      </c>
      <c r="AX495" s="43">
        <f>IF(AND(AQ495&lt;&gt;"",1-(AQ495/O495)&gt;0),1-(AQ495/O495),"")</f>
        <v>0.81564245810055869</v>
      </c>
      <c r="AY495" s="41">
        <f>IF(AND(AF495&lt;&gt;"",1-(AF495/O495)&gt;0),1-(AF495/O495),"")</f>
        <v>0.83240223463687157</v>
      </c>
      <c r="AZ495" s="136" t="str">
        <f>IF(Q495="","",IF(Q495&lt;2.5,"Alc. Bruta &lt; 2,5 mg/L",IF(Q495&lt;5,"2,5 ≤ Alc. Bruta &lt; 5,0 mg/L",IF(Q495&lt;7.5,"5,0 ≤ Alc. Bruta &lt; 7,5 mg/L",IF(Q495&lt;10,"7,5 ≤ Alc. Bruta &lt; 10,0 mg/L",IF(Q495&lt;15,"10,0 ≤ Alca. Bruta &lt; 15,0 mg/L","Alc. Bruta &gt; 15 mg/L"))))))</f>
        <v>5,0 ≤ Alc. Bruta &lt; 7,5 mg/L</v>
      </c>
      <c r="BA495" s="136" t="str">
        <f>IF(P495="","",IF(P495&lt;5,"Cor &lt;5 uC",IF(P495&lt;10,"5 ≤ Cor &lt; 10 uC",IF(P495&lt;15,"10 ≤ Cor &lt;15 uC",IF(P495&lt;30,"15 ≤ Cor &lt; 30 uC",IF(P495&lt;50,"30 ≤ Cor &lt; 50 uC","Cor &gt; 50 uC"))))))</f>
        <v>10 ≤ Cor &lt;15 uC</v>
      </c>
      <c r="BB495" s="137" t="str">
        <f>IF(O495="","",IF(O495&lt;2.5,"Turbidez &lt; 2,5 uT",IF(O495&lt;5,"2,5 ≤ Turb &lt; 5,0 uT",IF(O495&lt;7.5,"5,0 ≤ Turb &lt; 7,5 uT",IF(O495&lt;10,"7,5 ≤ Turb &lt; 10,0 uT",IF(O495&lt;15,"10,0 ≤ Turb &lt; 15,0 uT","Turb &gt; 15 uT"))))))</f>
        <v>Turbidez &lt; 2,5 uT</v>
      </c>
      <c r="BC495" s="138" t="str">
        <f>IF(AND(C495&gt;D495,D495&gt;E495),"TOR &gt; SM &gt; BNN",IF(AND(C495&gt;E495,E495&gt;D495),"TOR &gt; BNN &gt; SM",IF(AND(D495&gt;C495,C495&gt;E495),"SM &gt; TOR &gt; BNN",IF(AND(D495&gt;E495,E495&gt;C495),"SM &gt; BNN &gt; TOR",IF(AND(C495=D495,D495=E495),"TOR = SM = BNN","Comb. diferentes")))))</f>
        <v>SM &gt; TOR &gt; BNN</v>
      </c>
      <c r="BD495" s="137" t="str">
        <f>IF(OR(AE495="",AQ495="-"),"",IF(AE495&lt;=0.25,"Tipo 1 (≤0,25) uT",IF(AE495&lt;=0.5,"Tipo 2 (0,25-0,50) uT",IF(AE495&lt;=0.75,"Tipo 3 (0,50-0,75) uT","Tipo 4 (&gt;0,75) uT"))))</f>
        <v>Tipo 1 (≤0,25) uT</v>
      </c>
      <c r="BE495" s="137" t="str">
        <f t="shared" si="49"/>
        <v>Tipo 1 (≤0,25) uT</v>
      </c>
      <c r="BF495" s="137" t="str">
        <f>IF(OR(AF495="",AQ495="-"),"",IF(AF495&lt;=0.25,"Tipo 1 (≤0,25) uT",IF(AF495&lt;=0.5,"Tipo 2 (0,25-0,50) uT",IF(AF495&lt;=0.75,"Tipo 3 (0,50-0,75) uT","Tipo 4 (&gt;0,75) uT"))))</f>
        <v>Tipo 2 (0,25-0,50) uT</v>
      </c>
      <c r="BG495" s="137" t="str">
        <f t="shared" si="50"/>
        <v>Tipo 2 (0,25-0,50) uT</v>
      </c>
      <c r="BH495" s="137" t="str">
        <f>IF(OR(R495="",R495="-"),"",IF(R495&lt;=0.25,"Tipo 1 (≤0,25) uT",IF(R495&lt;=0.5,"Tipo 2 (0,25-0,50) uT",IF(R495&lt;=0.75,"Tipo 3 (0,50-0,75) uT","Tipo 4 (&gt;0,75) uT"))))</f>
        <v>Tipo 1 (≤0,25) uT</v>
      </c>
    </row>
    <row r="496" spans="1:60" ht="15" thickBot="1" x14ac:dyDescent="0.35">
      <c r="A496" s="88">
        <v>46314</v>
      </c>
      <c r="B496" s="139">
        <v>0.64583333333333337</v>
      </c>
      <c r="C496" s="116">
        <v>589</v>
      </c>
      <c r="D496" s="116">
        <v>1794</v>
      </c>
      <c r="E496" s="117">
        <v>0</v>
      </c>
      <c r="F496" s="116">
        <v>2311</v>
      </c>
      <c r="G496" s="144" t="s">
        <v>34</v>
      </c>
      <c r="H496" s="122">
        <v>9.5</v>
      </c>
      <c r="I496" s="116">
        <v>-78</v>
      </c>
      <c r="J496" s="10">
        <v>90</v>
      </c>
      <c r="K496" s="116">
        <v>90</v>
      </c>
      <c r="L496" s="116">
        <v>90</v>
      </c>
      <c r="M496" s="122">
        <v>25.9</v>
      </c>
      <c r="N496" s="122">
        <v>6.7</v>
      </c>
      <c r="O496" s="79">
        <v>1.5</v>
      </c>
      <c r="P496" s="116">
        <v>10</v>
      </c>
      <c r="Q496" s="122">
        <v>8.1</v>
      </c>
      <c r="R496" s="10">
        <v>0.25</v>
      </c>
      <c r="S496" s="79">
        <v>22.36</v>
      </c>
      <c r="T496" s="79">
        <v>0.88</v>
      </c>
      <c r="U496" s="79">
        <v>0.7</v>
      </c>
      <c r="V496" s="85">
        <f t="shared" si="59"/>
        <v>1834.3562499999998</v>
      </c>
      <c r="W496" s="85">
        <f t="shared" si="52"/>
        <v>1752.3442559999999</v>
      </c>
      <c r="X496" s="85">
        <f t="shared" si="53"/>
        <v>0.95529113060780857</v>
      </c>
      <c r="Y496" s="116">
        <v>3</v>
      </c>
      <c r="Z496" s="116">
        <v>4</v>
      </c>
      <c r="AA496" s="122">
        <v>6</v>
      </c>
      <c r="AB496" s="116">
        <v>24</v>
      </c>
      <c r="AC496" s="122">
        <v>6.5</v>
      </c>
      <c r="AD496" s="122">
        <v>7</v>
      </c>
      <c r="AE496" s="79">
        <v>0.27</v>
      </c>
      <c r="AF496" s="79">
        <v>0.24</v>
      </c>
      <c r="AG496" s="85">
        <f>(O496+0.3*H496+2)*(F496/2/AK496)</f>
        <v>1834.3562499999998</v>
      </c>
      <c r="AH496" s="85">
        <f t="shared" si="54"/>
        <v>1979.8438399999998</v>
      </c>
      <c r="AI496" s="85">
        <f t="shared" si="55"/>
        <v>1.0793126144389891</v>
      </c>
      <c r="AJ496" s="116">
        <v>3</v>
      </c>
      <c r="AK496" s="116">
        <v>4</v>
      </c>
      <c r="AL496" s="122">
        <v>6.4</v>
      </c>
      <c r="AM496" s="116">
        <v>25</v>
      </c>
      <c r="AN496" s="122">
        <v>6.8</v>
      </c>
      <c r="AO496" s="122">
        <v>7.2</v>
      </c>
      <c r="AP496" s="79">
        <v>0.2</v>
      </c>
      <c r="AQ496" s="79">
        <v>0.27</v>
      </c>
      <c r="AR496" s="132">
        <f>SUM(C496:E496)</f>
        <v>2383</v>
      </c>
      <c r="AS496" s="134">
        <f>C496/AR496</f>
        <v>0.24716743600503566</v>
      </c>
      <c r="AT496" s="134">
        <f>D496/AR496</f>
        <v>0.75283256399496434</v>
      </c>
      <c r="AU496" s="134">
        <f>E496/AR496</f>
        <v>0</v>
      </c>
      <c r="AV496" s="151">
        <f>IF(AND(F496&lt;&gt;"",Z496&lt;&gt;""),AB496/(F496/2/Z496),"")</f>
        <v>8.3080917351795763E-2</v>
      </c>
      <c r="AW496" s="151">
        <f>IF(AND(F496&lt;&gt;"",AK496&lt;&gt;""),AM496/(F496/2/AK496),"")</f>
        <v>8.6542622241453912E-2</v>
      </c>
      <c r="AX496" s="43">
        <f>IF(AND(AQ496&lt;&gt;"",1-(AQ496/O496)&gt;0),1-(AQ496/O496),"")</f>
        <v>0.82</v>
      </c>
      <c r="AY496" s="41">
        <f>IF(AND(AF496&lt;&gt;"",1-(AF496/O496)&gt;0),1-(AF496/O496),"")</f>
        <v>0.84</v>
      </c>
      <c r="AZ496" s="136" t="str">
        <f>IF(Q496="","",IF(Q496&lt;2.5,"Alc. Bruta &lt; 2,5 mg/L",IF(Q496&lt;5,"2,5 ≤ Alc. Bruta &lt; 5,0 mg/L",IF(Q496&lt;7.5,"5,0 ≤ Alc. Bruta &lt; 7,5 mg/L",IF(Q496&lt;10,"7,5 ≤ Alc. Bruta &lt; 10,0 mg/L",IF(Q496&lt;15,"10,0 ≤ Alca. Bruta &lt; 15,0 mg/L","Alc. Bruta &gt; 15 mg/L"))))))</f>
        <v>7,5 ≤ Alc. Bruta &lt; 10,0 mg/L</v>
      </c>
      <c r="BA496" s="136" t="str">
        <f>IF(P496="","",IF(P496&lt;5,"Cor &lt;5 uC",IF(P496&lt;10,"5 ≤ Cor &lt; 10 uC",IF(P496&lt;15,"10 ≤ Cor &lt;15 uC",IF(P496&lt;30,"15 ≤ Cor &lt; 30 uC",IF(P496&lt;50,"30 ≤ Cor &lt; 50 uC","Cor &gt; 50 uC"))))))</f>
        <v>10 ≤ Cor &lt;15 uC</v>
      </c>
      <c r="BB496" s="137" t="str">
        <f>IF(O496="","",IF(O496&lt;2.5,"Turbidez &lt; 2,5 uT",IF(O496&lt;5,"2,5 ≤ Turb &lt; 5,0 uT",IF(O496&lt;7.5,"5,0 ≤ Turb &lt; 7,5 uT",IF(O496&lt;10,"7,5 ≤ Turb &lt; 10,0 uT",IF(O496&lt;15,"10,0 ≤ Turb &lt; 15,0 uT","Turb &gt; 15 uT"))))))</f>
        <v>Turbidez &lt; 2,5 uT</v>
      </c>
      <c r="BC496" s="138" t="str">
        <f>IF(AND(C496&gt;D496,D496&gt;E496),"TOR &gt; SM &gt; BNN",IF(AND(C496&gt;E496,E496&gt;D496),"TOR &gt; BNN &gt; SM",IF(AND(D496&gt;C496,C496&gt;E496),"SM &gt; TOR &gt; BNN",IF(AND(D496&gt;E496,E496&gt;C496),"SM &gt; BNN &gt; TOR",IF(AND(C496=D496,D496=E496),"TOR = SM = BNN","Comb. diferentes")))))</f>
        <v>SM &gt; TOR &gt; BNN</v>
      </c>
      <c r="BD496" s="137" t="str">
        <f>IF(OR(AE496="",AQ496="-"),"",IF(AE496&lt;=0.25,"Tipo 1 (≤0,25) uT",IF(AE496&lt;=0.5,"Tipo 2 (0,25-0,50) uT",IF(AE496&lt;=0.75,"Tipo 3 (0,50-0,75) uT","Tipo 4 (&gt;0,75) uT"))))</f>
        <v>Tipo 2 (0,25-0,50) uT</v>
      </c>
      <c r="BE496" s="137" t="str">
        <f t="shared" si="49"/>
        <v>Tipo 1 (≤0,25) uT</v>
      </c>
      <c r="BF496" s="137" t="str">
        <f>IF(OR(AF496="",AQ496="-"),"",IF(AF496&lt;=0.25,"Tipo 1 (≤0,25) uT",IF(AF496&lt;=0.5,"Tipo 2 (0,25-0,50) uT",IF(AF496&lt;=0.75,"Tipo 3 (0,50-0,75) uT","Tipo 4 (&gt;0,75) uT"))))</f>
        <v>Tipo 1 (≤0,25) uT</v>
      </c>
      <c r="BG496" s="137" t="str">
        <f t="shared" si="50"/>
        <v>Tipo 2 (0,25-0,50) uT</v>
      </c>
      <c r="BH496" s="137" t="str">
        <f>IF(OR(R496="",R496="-"),"",IF(R496&lt;=0.25,"Tipo 1 (≤0,25) uT",IF(R496&lt;=0.5,"Tipo 2 (0,25-0,50) uT",IF(R496&lt;=0.75,"Tipo 3 (0,50-0,75) uT","Tipo 4 (&gt;0,75) uT"))))</f>
        <v>Tipo 1 (≤0,25) uT</v>
      </c>
    </row>
    <row r="497" spans="1:60" ht="15" thickBot="1" x14ac:dyDescent="0.35">
      <c r="A497" s="88">
        <v>46314</v>
      </c>
      <c r="B497" s="139">
        <v>0.72916666666666663</v>
      </c>
      <c r="C497" s="116">
        <v>589</v>
      </c>
      <c r="D497" s="116">
        <v>1919</v>
      </c>
      <c r="E497" s="117">
        <v>0</v>
      </c>
      <c r="F497" s="116">
        <v>2154</v>
      </c>
      <c r="G497" s="144" t="s">
        <v>34</v>
      </c>
      <c r="H497" s="122">
        <v>10.199999999999999</v>
      </c>
      <c r="I497" s="116">
        <v>-72</v>
      </c>
      <c r="J497" s="10">
        <v>90</v>
      </c>
      <c r="K497" s="116">
        <v>90</v>
      </c>
      <c r="L497" s="116">
        <v>90</v>
      </c>
      <c r="M497" s="122">
        <v>26.4</v>
      </c>
      <c r="N497" s="122">
        <v>6.7</v>
      </c>
      <c r="O497" s="79">
        <v>1.54</v>
      </c>
      <c r="P497" s="116">
        <v>10</v>
      </c>
      <c r="Q497" s="122">
        <v>7.9</v>
      </c>
      <c r="R497" s="10">
        <v>0.12</v>
      </c>
      <c r="S497" s="79">
        <v>22.36</v>
      </c>
      <c r="T497" s="79">
        <v>0.88</v>
      </c>
      <c r="U497" s="79">
        <v>0.7</v>
      </c>
      <c r="V497" s="85">
        <f t="shared" si="59"/>
        <v>1777.05</v>
      </c>
      <c r="W497" s="85">
        <f t="shared" si="52"/>
        <v>1752.3442559999999</v>
      </c>
      <c r="X497" s="85">
        <f t="shared" si="53"/>
        <v>0.98609732759348356</v>
      </c>
      <c r="Y497" s="116">
        <v>3</v>
      </c>
      <c r="Z497" s="116">
        <v>4</v>
      </c>
      <c r="AA497" s="122">
        <v>6</v>
      </c>
      <c r="AB497" s="116">
        <v>24</v>
      </c>
      <c r="AC497" s="122">
        <v>6.6</v>
      </c>
      <c r="AD497" s="122">
        <v>5.6</v>
      </c>
      <c r="AE497" s="79">
        <v>0.11</v>
      </c>
      <c r="AF497" s="79">
        <v>0.18</v>
      </c>
      <c r="AG497" s="85">
        <f>(O497+0.3*H497+2)*(F497/2/AK497)</f>
        <v>1777.05</v>
      </c>
      <c r="AH497" s="85">
        <f t="shared" si="54"/>
        <v>1979.8438399999998</v>
      </c>
      <c r="AI497" s="85">
        <f t="shared" si="55"/>
        <v>1.1141182521594777</v>
      </c>
      <c r="AJ497" s="116">
        <v>3</v>
      </c>
      <c r="AK497" s="116">
        <v>4</v>
      </c>
      <c r="AL497" s="122">
        <v>6.4</v>
      </c>
      <c r="AM497" s="116">
        <v>25</v>
      </c>
      <c r="AN497" s="122">
        <v>6.6</v>
      </c>
      <c r="AO497" s="122">
        <v>6.3</v>
      </c>
      <c r="AP497" s="79">
        <v>0.13</v>
      </c>
      <c r="AQ497" s="79">
        <v>0.18</v>
      </c>
      <c r="AR497" s="132">
        <f>SUM(C497:E497)</f>
        <v>2508</v>
      </c>
      <c r="AS497" s="134">
        <f>C497/AR497</f>
        <v>0.23484848484848486</v>
      </c>
      <c r="AT497" s="134">
        <f>D497/AR497</f>
        <v>0.76515151515151514</v>
      </c>
      <c r="AU497" s="134">
        <f>E497/AR497</f>
        <v>0</v>
      </c>
      <c r="AV497" s="151">
        <f>IF(AND(F497&lt;&gt;"",Z497&lt;&gt;""),AB497/(F497/2/Z497),"")</f>
        <v>8.9136490250696379E-2</v>
      </c>
      <c r="AW497" s="151">
        <f>IF(AND(F497&lt;&gt;"",AK497&lt;&gt;""),AM497/(F497/2/AK497),"")</f>
        <v>9.2850510677808723E-2</v>
      </c>
      <c r="AX497" s="43">
        <f>IF(AND(AQ497&lt;&gt;"",1-(AQ497/O497)&gt;0),1-(AQ497/O497),"")</f>
        <v>0.88311688311688308</v>
      </c>
      <c r="AY497" s="41">
        <f>IF(AND(AF497&lt;&gt;"",1-(AF497/O497)&gt;0),1-(AF497/O497),"")</f>
        <v>0.88311688311688308</v>
      </c>
      <c r="AZ497" s="136" t="str">
        <f>IF(Q497="","",IF(Q497&lt;2.5,"Alc. Bruta &lt; 2,5 mg/L",IF(Q497&lt;5,"2,5 ≤ Alc. Bruta &lt; 5,0 mg/L",IF(Q497&lt;7.5,"5,0 ≤ Alc. Bruta &lt; 7,5 mg/L",IF(Q497&lt;10,"7,5 ≤ Alc. Bruta &lt; 10,0 mg/L",IF(Q497&lt;15,"10,0 ≤ Alca. Bruta &lt; 15,0 mg/L","Alc. Bruta &gt; 15 mg/L"))))))</f>
        <v>7,5 ≤ Alc. Bruta &lt; 10,0 mg/L</v>
      </c>
      <c r="BA497" s="136" t="str">
        <f>IF(P497="","",IF(P497&lt;5,"Cor &lt;5 uC",IF(P497&lt;10,"5 ≤ Cor &lt; 10 uC",IF(P497&lt;15,"10 ≤ Cor &lt;15 uC",IF(P497&lt;30,"15 ≤ Cor &lt; 30 uC",IF(P497&lt;50,"30 ≤ Cor &lt; 50 uC","Cor &gt; 50 uC"))))))</f>
        <v>10 ≤ Cor &lt;15 uC</v>
      </c>
      <c r="BB497" s="137" t="str">
        <f>IF(O497="","",IF(O497&lt;2.5,"Turbidez &lt; 2,5 uT",IF(O497&lt;5,"2,5 ≤ Turb &lt; 5,0 uT",IF(O497&lt;7.5,"5,0 ≤ Turb &lt; 7,5 uT",IF(O497&lt;10,"7,5 ≤ Turb &lt; 10,0 uT",IF(O497&lt;15,"10,0 ≤ Turb &lt; 15,0 uT","Turb &gt; 15 uT"))))))</f>
        <v>Turbidez &lt; 2,5 uT</v>
      </c>
      <c r="BC497" s="138" t="str">
        <f>IF(AND(C497&gt;D497,D497&gt;E497),"TOR &gt; SM &gt; BNN",IF(AND(C497&gt;E497,E497&gt;D497),"TOR &gt; BNN &gt; SM",IF(AND(D497&gt;C497,C497&gt;E497),"SM &gt; TOR &gt; BNN",IF(AND(D497&gt;E497,E497&gt;C497),"SM &gt; BNN &gt; TOR",IF(AND(C497=D497,D497=E497),"TOR = SM = BNN","Comb. diferentes")))))</f>
        <v>SM &gt; TOR &gt; BNN</v>
      </c>
      <c r="BD497" s="137" t="str">
        <f>IF(OR(AE497="",AQ497="-"),"",IF(AE497&lt;=0.25,"Tipo 1 (≤0,25) uT",IF(AE497&lt;=0.5,"Tipo 2 (0,25-0,50) uT",IF(AE497&lt;=0.75,"Tipo 3 (0,50-0,75) uT","Tipo 4 (&gt;0,75) uT"))))</f>
        <v>Tipo 1 (≤0,25) uT</v>
      </c>
      <c r="BE497" s="137" t="str">
        <f t="shared" si="49"/>
        <v>Tipo 1 (≤0,25) uT</v>
      </c>
      <c r="BF497" s="137" t="str">
        <f>IF(OR(AF497="",AQ497="-"),"",IF(AF497&lt;=0.25,"Tipo 1 (≤0,25) uT",IF(AF497&lt;=0.5,"Tipo 2 (0,25-0,50) uT",IF(AF497&lt;=0.75,"Tipo 3 (0,50-0,75) uT","Tipo 4 (&gt;0,75) uT"))))</f>
        <v>Tipo 1 (≤0,25) uT</v>
      </c>
      <c r="BG497" s="137" t="str">
        <f t="shared" si="50"/>
        <v>Tipo 1 (≤0,25) uT</v>
      </c>
      <c r="BH497" s="137" t="str">
        <f>IF(OR(R497="",R497="-"),"",IF(R497&lt;=0.25,"Tipo 1 (≤0,25) uT",IF(R497&lt;=0.5,"Tipo 2 (0,25-0,50) uT",IF(R497&lt;=0.75,"Tipo 3 (0,50-0,75) uT","Tipo 4 (&gt;0,75) uT"))))</f>
        <v>Tipo 1 (≤0,25) uT</v>
      </c>
    </row>
    <row r="498" spans="1:60" ht="15" thickBot="1" x14ac:dyDescent="0.35">
      <c r="A498" s="88">
        <v>46314</v>
      </c>
      <c r="B498" s="139">
        <v>0.8125</v>
      </c>
      <c r="C498" s="116">
        <v>608</v>
      </c>
      <c r="D498" s="116">
        <v>1634</v>
      </c>
      <c r="E498" s="117">
        <v>0</v>
      </c>
      <c r="F498" s="116">
        <v>2112</v>
      </c>
      <c r="G498" s="144" t="s">
        <v>34</v>
      </c>
      <c r="H498" s="122">
        <v>10.199999999999999</v>
      </c>
      <c r="I498" s="116">
        <v>-51</v>
      </c>
      <c r="J498" s="10">
        <v>90</v>
      </c>
      <c r="K498" s="116">
        <v>90</v>
      </c>
      <c r="L498" s="116">
        <v>90</v>
      </c>
      <c r="M498" s="122">
        <v>26.4</v>
      </c>
      <c r="N498" s="122">
        <v>6.6</v>
      </c>
      <c r="O498" s="79">
        <v>1.54</v>
      </c>
      <c r="P498" s="116">
        <v>12</v>
      </c>
      <c r="Q498" s="122">
        <v>7.1</v>
      </c>
      <c r="R498" s="10">
        <v>0.19</v>
      </c>
      <c r="S498" s="79">
        <v>22.36</v>
      </c>
      <c r="T498" s="79">
        <v>0.88</v>
      </c>
      <c r="U498" s="79">
        <v>0.7</v>
      </c>
      <c r="V498" s="85">
        <f t="shared" si="59"/>
        <v>1742.3999999999999</v>
      </c>
      <c r="W498" s="85">
        <f t="shared" si="52"/>
        <v>1826.4971712000001</v>
      </c>
      <c r="X498" s="85">
        <f t="shared" si="53"/>
        <v>1.048265134986226</v>
      </c>
      <c r="Y498" s="116">
        <v>3</v>
      </c>
      <c r="Z498" s="116">
        <v>4</v>
      </c>
      <c r="AA498" s="122">
        <v>6.2</v>
      </c>
      <c r="AB498" s="116">
        <v>24</v>
      </c>
      <c r="AC498" s="122">
        <v>6.6</v>
      </c>
      <c r="AD498" s="122">
        <v>6</v>
      </c>
      <c r="AE498" s="79">
        <v>0.08</v>
      </c>
      <c r="AF498" s="79">
        <v>0.22</v>
      </c>
      <c r="AG498" s="85">
        <f>(O498+0.3*H498+2)*(F498/2/AK498)</f>
        <v>1742.3999999999999</v>
      </c>
      <c r="AH498" s="85">
        <f t="shared" si="54"/>
        <v>1979.8438399999998</v>
      </c>
      <c r="AI498" s="85">
        <f t="shared" si="55"/>
        <v>1.1362740128558311</v>
      </c>
      <c r="AJ498" s="116">
        <v>3</v>
      </c>
      <c r="AK498" s="116">
        <v>4</v>
      </c>
      <c r="AL498" s="122">
        <v>6.4</v>
      </c>
      <c r="AM498" s="116">
        <v>25</v>
      </c>
      <c r="AN498" s="122">
        <v>6.6</v>
      </c>
      <c r="AO498" s="122">
        <v>5.7</v>
      </c>
      <c r="AP498" s="79">
        <v>7.0000000000000007E-2</v>
      </c>
      <c r="AQ498" s="79">
        <v>0.27</v>
      </c>
      <c r="AR498" s="132">
        <f>SUM(C498:E498)</f>
        <v>2242</v>
      </c>
      <c r="AS498" s="134">
        <f>C498/AR498</f>
        <v>0.2711864406779661</v>
      </c>
      <c r="AT498" s="134">
        <f>D498/AR498</f>
        <v>0.72881355932203384</v>
      </c>
      <c r="AU498" s="134">
        <f>E498/AR498</f>
        <v>0</v>
      </c>
      <c r="AV498" s="151">
        <f>IF(AND(F498&lt;&gt;"",Z498&lt;&gt;""),AB498/(F498/2/Z498),"")</f>
        <v>9.0909090909090912E-2</v>
      </c>
      <c r="AW498" s="151">
        <f>IF(AND(F498&lt;&gt;"",AK498&lt;&gt;""),AM498/(F498/2/AK498),"")</f>
        <v>9.4696969696969696E-2</v>
      </c>
      <c r="AX498" s="43">
        <f>IF(AND(AQ498&lt;&gt;"",1-(AQ498/O498)&gt;0),1-(AQ498/O498),"")</f>
        <v>0.82467532467532467</v>
      </c>
      <c r="AY498" s="41">
        <f>IF(AND(AF498&lt;&gt;"",1-(AF498/O498)&gt;0),1-(AF498/O498),"")</f>
        <v>0.85714285714285721</v>
      </c>
      <c r="AZ498" s="136" t="str">
        <f>IF(Q498="","",IF(Q498&lt;2.5,"Alc. Bruta &lt; 2,5 mg/L",IF(Q498&lt;5,"2,5 ≤ Alc. Bruta &lt; 5,0 mg/L",IF(Q498&lt;7.5,"5,0 ≤ Alc. Bruta &lt; 7,5 mg/L",IF(Q498&lt;10,"7,5 ≤ Alc. Bruta &lt; 10,0 mg/L",IF(Q498&lt;15,"10,0 ≤ Alca. Bruta &lt; 15,0 mg/L","Alc. Bruta &gt; 15 mg/L"))))))</f>
        <v>5,0 ≤ Alc. Bruta &lt; 7,5 mg/L</v>
      </c>
      <c r="BA498" s="136" t="str">
        <f>IF(P498="","",IF(P498&lt;5,"Cor &lt;5 uC",IF(P498&lt;10,"5 ≤ Cor &lt; 10 uC",IF(P498&lt;15,"10 ≤ Cor &lt;15 uC",IF(P498&lt;30,"15 ≤ Cor &lt; 30 uC",IF(P498&lt;50,"30 ≤ Cor &lt; 50 uC","Cor &gt; 50 uC"))))))</f>
        <v>10 ≤ Cor &lt;15 uC</v>
      </c>
      <c r="BB498" s="137" t="str">
        <f>IF(O498="","",IF(O498&lt;2.5,"Turbidez &lt; 2,5 uT",IF(O498&lt;5,"2,5 ≤ Turb &lt; 5,0 uT",IF(O498&lt;7.5,"5,0 ≤ Turb &lt; 7,5 uT",IF(O498&lt;10,"7,5 ≤ Turb &lt; 10,0 uT",IF(O498&lt;15,"10,0 ≤ Turb &lt; 15,0 uT","Turb &gt; 15 uT"))))))</f>
        <v>Turbidez &lt; 2,5 uT</v>
      </c>
      <c r="BC498" s="138" t="str">
        <f>IF(AND(C498&gt;D498,D498&gt;E498),"TOR &gt; SM &gt; BNN",IF(AND(C498&gt;E498,E498&gt;D498),"TOR &gt; BNN &gt; SM",IF(AND(D498&gt;C498,C498&gt;E498),"SM &gt; TOR &gt; BNN",IF(AND(D498&gt;E498,E498&gt;C498),"SM &gt; BNN &gt; TOR",IF(AND(C498=D498,D498=E498),"TOR = SM = BNN","Comb. diferentes")))))</f>
        <v>SM &gt; TOR &gt; BNN</v>
      </c>
      <c r="BD498" s="137" t="str">
        <f>IF(OR(AE498="",AQ498="-"),"",IF(AE498&lt;=0.25,"Tipo 1 (≤0,25) uT",IF(AE498&lt;=0.5,"Tipo 2 (0,25-0,50) uT",IF(AE498&lt;=0.75,"Tipo 3 (0,50-0,75) uT","Tipo 4 (&gt;0,75) uT"))))</f>
        <v>Tipo 1 (≤0,25) uT</v>
      </c>
      <c r="BE498" s="137" t="str">
        <f t="shared" si="49"/>
        <v>Tipo 1 (≤0,25) uT</v>
      </c>
      <c r="BF498" s="137" t="str">
        <f>IF(OR(AF498="",AQ498="-"),"",IF(AF498&lt;=0.25,"Tipo 1 (≤0,25) uT",IF(AF498&lt;=0.5,"Tipo 2 (0,25-0,50) uT",IF(AF498&lt;=0.75,"Tipo 3 (0,50-0,75) uT","Tipo 4 (&gt;0,75) uT"))))</f>
        <v>Tipo 1 (≤0,25) uT</v>
      </c>
      <c r="BG498" s="137" t="str">
        <f t="shared" si="50"/>
        <v>Tipo 2 (0,25-0,50) uT</v>
      </c>
      <c r="BH498" s="137" t="str">
        <f>IF(OR(R498="",R498="-"),"",IF(R498&lt;=0.25,"Tipo 1 (≤0,25) uT",IF(R498&lt;=0.5,"Tipo 2 (0,25-0,50) uT",IF(R498&lt;=0.75,"Tipo 3 (0,50-0,75) uT","Tipo 4 (&gt;0,75) uT"))))</f>
        <v>Tipo 1 (≤0,25) uT</v>
      </c>
    </row>
    <row r="499" spans="1:60" ht="15" thickBot="1" x14ac:dyDescent="0.35">
      <c r="A499" s="88">
        <v>46314</v>
      </c>
      <c r="B499" s="139">
        <v>0.89583333333333337</v>
      </c>
      <c r="C499" s="116">
        <v>588</v>
      </c>
      <c r="D499" s="116">
        <v>1527</v>
      </c>
      <c r="E499" s="117">
        <v>0</v>
      </c>
      <c r="F499" s="116">
        <v>2105</v>
      </c>
      <c r="G499" s="144" t="s">
        <v>34</v>
      </c>
      <c r="H499" s="122">
        <v>10.199999999999999</v>
      </c>
      <c r="I499" s="116">
        <v>-80</v>
      </c>
      <c r="J499" s="10">
        <v>90</v>
      </c>
      <c r="K499" s="116">
        <v>90</v>
      </c>
      <c r="L499" s="116">
        <v>90</v>
      </c>
      <c r="M499" s="122">
        <v>25.7</v>
      </c>
      <c r="N499" s="122">
        <v>6.7</v>
      </c>
      <c r="O499" s="79">
        <v>1.56</v>
      </c>
      <c r="P499" s="116">
        <v>10</v>
      </c>
      <c r="Q499" s="122">
        <v>7.4</v>
      </c>
      <c r="R499" s="10">
        <v>0.1</v>
      </c>
      <c r="S499" s="79">
        <v>22.36</v>
      </c>
      <c r="T499" s="79">
        <v>0.88</v>
      </c>
      <c r="U499" s="79">
        <v>0.7</v>
      </c>
      <c r="V499" s="85">
        <f t="shared" si="59"/>
        <v>1741.8874999999998</v>
      </c>
      <c r="W499" s="85">
        <f t="shared" si="52"/>
        <v>1752.3442559999999</v>
      </c>
      <c r="X499" s="85">
        <f t="shared" si="53"/>
        <v>1.0060031178821824</v>
      </c>
      <c r="Y499" s="116">
        <v>3</v>
      </c>
      <c r="Z499" s="116">
        <v>4</v>
      </c>
      <c r="AA499" s="122">
        <v>6</v>
      </c>
      <c r="AB499" s="116">
        <v>24</v>
      </c>
      <c r="AC499" s="122">
        <v>6.7</v>
      </c>
      <c r="AD499" s="122">
        <v>6.3</v>
      </c>
      <c r="AE499" s="79">
        <v>0.13</v>
      </c>
      <c r="AF499" s="79">
        <v>0.16</v>
      </c>
      <c r="AG499" s="85">
        <f>(O499+0.3*H499+2)*(F499/2/AK499)</f>
        <v>1741.8874999999998</v>
      </c>
      <c r="AH499" s="85">
        <f t="shared" si="54"/>
        <v>1979.8438399999998</v>
      </c>
      <c r="AI499" s="85">
        <f t="shared" si="55"/>
        <v>1.136608328609052</v>
      </c>
      <c r="AJ499" s="116">
        <v>3</v>
      </c>
      <c r="AK499" s="116">
        <v>4</v>
      </c>
      <c r="AL499" s="122">
        <v>6.4</v>
      </c>
      <c r="AM499" s="116">
        <v>25</v>
      </c>
      <c r="AN499" s="122">
        <v>6.7</v>
      </c>
      <c r="AO499" s="122">
        <v>6.2</v>
      </c>
      <c r="AP499" s="79">
        <v>0.19</v>
      </c>
      <c r="AQ499" s="79">
        <v>0.16</v>
      </c>
      <c r="AR499" s="132">
        <f>SUM(C499:E499)</f>
        <v>2115</v>
      </c>
      <c r="AS499" s="134">
        <f>C499/AR499</f>
        <v>0.27801418439716313</v>
      </c>
      <c r="AT499" s="134">
        <f>D499/AR499</f>
        <v>0.72198581560283692</v>
      </c>
      <c r="AU499" s="134">
        <f>E499/AR499</f>
        <v>0</v>
      </c>
      <c r="AV499" s="151">
        <f>IF(AND(F499&lt;&gt;"",Z499&lt;&gt;""),AB499/(F499/2/Z499),"")</f>
        <v>9.1211401425178154E-2</v>
      </c>
      <c r="AW499" s="151">
        <f>IF(AND(F499&lt;&gt;"",AK499&lt;&gt;""),AM499/(F499/2/AK499),"")</f>
        <v>9.5011876484560567E-2</v>
      </c>
      <c r="AX499" s="43">
        <f>IF(AND(AQ499&lt;&gt;"",1-(AQ499/O499)&gt;0),1-(AQ499/O499),"")</f>
        <v>0.89743589743589747</v>
      </c>
      <c r="AY499" s="41">
        <f>IF(AND(AF499&lt;&gt;"",1-(AF499/O499)&gt;0),1-(AF499/O499),"")</f>
        <v>0.89743589743589747</v>
      </c>
      <c r="AZ499" s="136" t="str">
        <f>IF(Q499="","",IF(Q499&lt;2.5,"Alc. Bruta &lt; 2,5 mg/L",IF(Q499&lt;5,"2,5 ≤ Alc. Bruta &lt; 5,0 mg/L",IF(Q499&lt;7.5,"5,0 ≤ Alc. Bruta &lt; 7,5 mg/L",IF(Q499&lt;10,"7,5 ≤ Alc. Bruta &lt; 10,0 mg/L",IF(Q499&lt;15,"10,0 ≤ Alca. Bruta &lt; 15,0 mg/L","Alc. Bruta &gt; 15 mg/L"))))))</f>
        <v>5,0 ≤ Alc. Bruta &lt; 7,5 mg/L</v>
      </c>
      <c r="BA499" s="136" t="str">
        <f>IF(P499="","",IF(P499&lt;5,"Cor &lt;5 uC",IF(P499&lt;10,"5 ≤ Cor &lt; 10 uC",IF(P499&lt;15,"10 ≤ Cor &lt;15 uC",IF(P499&lt;30,"15 ≤ Cor &lt; 30 uC",IF(P499&lt;50,"30 ≤ Cor &lt; 50 uC","Cor &gt; 50 uC"))))))</f>
        <v>10 ≤ Cor &lt;15 uC</v>
      </c>
      <c r="BB499" s="137" t="str">
        <f>IF(O499="","",IF(O499&lt;2.5,"Turbidez &lt; 2,5 uT",IF(O499&lt;5,"2,5 ≤ Turb &lt; 5,0 uT",IF(O499&lt;7.5,"5,0 ≤ Turb &lt; 7,5 uT",IF(O499&lt;10,"7,5 ≤ Turb &lt; 10,0 uT",IF(O499&lt;15,"10,0 ≤ Turb &lt; 15,0 uT","Turb &gt; 15 uT"))))))</f>
        <v>Turbidez &lt; 2,5 uT</v>
      </c>
      <c r="BC499" s="138" t="str">
        <f>IF(AND(C499&gt;D499,D499&gt;E499),"TOR &gt; SM &gt; BNN",IF(AND(C499&gt;E499,E499&gt;D499),"TOR &gt; BNN &gt; SM",IF(AND(D499&gt;C499,C499&gt;E499),"SM &gt; TOR &gt; BNN",IF(AND(D499&gt;E499,E499&gt;C499),"SM &gt; BNN &gt; TOR",IF(AND(C499=D499,D499=E499),"TOR = SM = BNN","Comb. diferentes")))))</f>
        <v>SM &gt; TOR &gt; BNN</v>
      </c>
      <c r="BD499" s="137" t="str">
        <f>IF(OR(AE499="",AQ499="-"),"",IF(AE499&lt;=0.25,"Tipo 1 (≤0,25) uT",IF(AE499&lt;=0.5,"Tipo 2 (0,25-0,50) uT",IF(AE499&lt;=0.75,"Tipo 3 (0,50-0,75) uT","Tipo 4 (&gt;0,75) uT"))))</f>
        <v>Tipo 1 (≤0,25) uT</v>
      </c>
      <c r="BE499" s="137" t="str">
        <f t="shared" si="49"/>
        <v>Tipo 1 (≤0,25) uT</v>
      </c>
      <c r="BF499" s="137" t="str">
        <f>IF(OR(AF499="",AQ499="-"),"",IF(AF499&lt;=0.25,"Tipo 1 (≤0,25) uT",IF(AF499&lt;=0.5,"Tipo 2 (0,25-0,50) uT",IF(AF499&lt;=0.75,"Tipo 3 (0,50-0,75) uT","Tipo 4 (&gt;0,75) uT"))))</f>
        <v>Tipo 1 (≤0,25) uT</v>
      </c>
      <c r="BG499" s="137" t="str">
        <f t="shared" si="50"/>
        <v>Tipo 1 (≤0,25) uT</v>
      </c>
      <c r="BH499" s="137" t="str">
        <f>IF(OR(R499="",R499="-"),"",IF(R499&lt;=0.25,"Tipo 1 (≤0,25) uT",IF(R499&lt;=0.5,"Tipo 2 (0,25-0,50) uT",IF(R499&lt;=0.75,"Tipo 3 (0,50-0,75) uT","Tipo 4 (&gt;0,75) uT"))))</f>
        <v>Tipo 1 (≤0,25) uT</v>
      </c>
    </row>
    <row r="500" spans="1:60" ht="15" thickBot="1" x14ac:dyDescent="0.35">
      <c r="A500" s="88">
        <v>46315</v>
      </c>
      <c r="B500" s="139">
        <v>6.25E-2</v>
      </c>
      <c r="C500" s="116">
        <v>570</v>
      </c>
      <c r="D500" s="116">
        <v>820</v>
      </c>
      <c r="E500" s="117">
        <v>0</v>
      </c>
      <c r="F500" s="116">
        <v>1465</v>
      </c>
      <c r="G500" s="144" t="s">
        <v>100</v>
      </c>
      <c r="H500" s="122">
        <v>10.199999999999999</v>
      </c>
      <c r="I500" s="116">
        <v>200</v>
      </c>
      <c r="J500" s="10">
        <v>90</v>
      </c>
      <c r="K500" s="116">
        <v>90</v>
      </c>
      <c r="L500" s="116">
        <v>90</v>
      </c>
      <c r="M500" s="122">
        <v>25.4</v>
      </c>
      <c r="N500" s="122">
        <v>6.7</v>
      </c>
      <c r="O500" s="79">
        <v>2.36</v>
      </c>
      <c r="P500" s="116">
        <v>13</v>
      </c>
      <c r="Q500" s="122">
        <v>5.8</v>
      </c>
      <c r="R500" s="10">
        <v>0.23</v>
      </c>
      <c r="S500" s="79">
        <v>22.36</v>
      </c>
      <c r="T500" s="79">
        <v>0.88</v>
      </c>
      <c r="U500" s="79">
        <v>0.7</v>
      </c>
      <c r="V500" s="85">
        <f t="shared" si="59"/>
        <v>2717.5749999999998</v>
      </c>
      <c r="W500" s="85">
        <f t="shared" si="52"/>
        <v>1708.2758263999997</v>
      </c>
      <c r="X500" s="85">
        <f t="shared" si="53"/>
        <v>0.62860301055168666</v>
      </c>
      <c r="Y500" s="116">
        <v>2</v>
      </c>
      <c r="Z500" s="116">
        <v>2</v>
      </c>
      <c r="AA500" s="122">
        <v>6.3</v>
      </c>
      <c r="AB500" s="116">
        <v>22</v>
      </c>
      <c r="AC500" s="122">
        <v>6.4</v>
      </c>
      <c r="AD500" s="122">
        <v>4.5</v>
      </c>
      <c r="AE500" s="79">
        <v>0.34</v>
      </c>
      <c r="AF500" s="79">
        <v>0.09</v>
      </c>
      <c r="AG500" s="85">
        <f>(O500+0.3*H500+2)*(F500/2/AK500)</f>
        <v>1811.7166666666665</v>
      </c>
      <c r="AH500" s="85">
        <f t="shared" si="54"/>
        <v>1979.8438399999998</v>
      </c>
      <c r="AI500" s="85">
        <f t="shared" si="55"/>
        <v>1.092799926404975</v>
      </c>
      <c r="AJ500" s="116">
        <v>1</v>
      </c>
      <c r="AK500" s="116">
        <v>3</v>
      </c>
      <c r="AL500" s="122">
        <v>6.4</v>
      </c>
      <c r="AM500" s="116">
        <v>25</v>
      </c>
      <c r="AN500" s="122">
        <v>6.4</v>
      </c>
      <c r="AO500" s="122">
        <v>4.9000000000000004</v>
      </c>
      <c r="AP500" s="79">
        <v>0.17</v>
      </c>
      <c r="AQ500" s="79">
        <v>0.16</v>
      </c>
      <c r="AR500" s="132">
        <f>SUM(C500:E500)</f>
        <v>1390</v>
      </c>
      <c r="AS500" s="134">
        <f>C500/AR500</f>
        <v>0.41007194244604317</v>
      </c>
      <c r="AT500" s="134">
        <f>D500/AR500</f>
        <v>0.58992805755395683</v>
      </c>
      <c r="AU500" s="134">
        <f>E500/AR500</f>
        <v>0</v>
      </c>
      <c r="AV500" s="151">
        <f>IF(AND(F500&lt;&gt;"",Z500&lt;&gt;""),AB500/(F500/2/Z500),"")</f>
        <v>6.0068259385665526E-2</v>
      </c>
      <c r="AW500" s="151">
        <f>IF(AND(F500&lt;&gt;"",AK500&lt;&gt;""),AM500/(F500/2/AK500),"")</f>
        <v>0.10238907849829353</v>
      </c>
      <c r="AX500" s="43">
        <f>IF(AND(AQ500&lt;&gt;"",1-(AQ500/O500)&gt;0),1-(AQ500/O500),"")</f>
        <v>0.93220338983050843</v>
      </c>
      <c r="AY500" s="41">
        <f>IF(AND(AF500&lt;&gt;"",1-(AF500/O500)&gt;0),1-(AF500/O500),"")</f>
        <v>0.96186440677966101</v>
      </c>
      <c r="AZ500" s="136" t="str">
        <f>IF(Q500="","",IF(Q500&lt;2.5,"Alc. Bruta &lt; 2,5 mg/L",IF(Q500&lt;5,"2,5 ≤ Alc. Bruta &lt; 5,0 mg/L",IF(Q500&lt;7.5,"5,0 ≤ Alc. Bruta &lt; 7,5 mg/L",IF(Q500&lt;10,"7,5 ≤ Alc. Bruta &lt; 10,0 mg/L",IF(Q500&lt;15,"10,0 ≤ Alca. Bruta &lt; 15,0 mg/L","Alc. Bruta &gt; 15 mg/L"))))))</f>
        <v>5,0 ≤ Alc. Bruta &lt; 7,5 mg/L</v>
      </c>
      <c r="BA500" s="136" t="str">
        <f>IF(P500="","",IF(P500&lt;5,"Cor &lt;5 uC",IF(P500&lt;10,"5 ≤ Cor &lt; 10 uC",IF(P500&lt;15,"10 ≤ Cor &lt;15 uC",IF(P500&lt;30,"15 ≤ Cor &lt; 30 uC",IF(P500&lt;50,"30 ≤ Cor &lt; 50 uC","Cor &gt; 50 uC"))))))</f>
        <v>10 ≤ Cor &lt;15 uC</v>
      </c>
      <c r="BB500" s="137" t="str">
        <f>IF(O500="","",IF(O500&lt;2.5,"Turbidez &lt; 2,5 uT",IF(O500&lt;5,"2,5 ≤ Turb &lt; 5,0 uT",IF(O500&lt;7.5,"5,0 ≤ Turb &lt; 7,5 uT",IF(O500&lt;10,"7,5 ≤ Turb &lt; 10,0 uT",IF(O500&lt;15,"10,0 ≤ Turb &lt; 15,0 uT","Turb &gt; 15 uT"))))))</f>
        <v>Turbidez &lt; 2,5 uT</v>
      </c>
      <c r="BC500" s="138" t="str">
        <f>IF(AND(C500&gt;D500,D500&gt;E500),"TOR &gt; SM &gt; BNN",IF(AND(C500&gt;E500,E500&gt;D500),"TOR &gt; BNN &gt; SM",IF(AND(D500&gt;C500,C500&gt;E500),"SM &gt; TOR &gt; BNN",IF(AND(D500&gt;E500,E500&gt;C500),"SM &gt; BNN &gt; TOR",IF(AND(C500=D500,D500=E500),"TOR = SM = BNN","Comb. diferentes")))))</f>
        <v>SM &gt; TOR &gt; BNN</v>
      </c>
      <c r="BD500" s="137" t="str">
        <f>IF(OR(AE500="",AQ500="-"),"",IF(AE500&lt;=0.25,"Tipo 1 (≤0,25) uT",IF(AE500&lt;=0.5,"Tipo 2 (0,25-0,50) uT",IF(AE500&lt;=0.75,"Tipo 3 (0,50-0,75) uT","Tipo 4 (&gt;0,75) uT"))))</f>
        <v>Tipo 2 (0,25-0,50) uT</v>
      </c>
      <c r="BE500" s="137" t="str">
        <f t="shared" si="49"/>
        <v>Tipo 1 (≤0,25) uT</v>
      </c>
      <c r="BF500" s="137" t="str">
        <f>IF(OR(AF500="",AQ500="-"),"",IF(AF500&lt;=0.25,"Tipo 1 (≤0,25) uT",IF(AF500&lt;=0.5,"Tipo 2 (0,25-0,50) uT",IF(AF500&lt;=0.75,"Tipo 3 (0,50-0,75) uT","Tipo 4 (&gt;0,75) uT"))))</f>
        <v>Tipo 1 (≤0,25) uT</v>
      </c>
      <c r="BG500" s="137" t="str">
        <f t="shared" si="50"/>
        <v>Tipo 1 (≤0,25) uT</v>
      </c>
      <c r="BH500" s="137" t="str">
        <f>IF(OR(R500="",R500="-"),"",IF(R500&lt;=0.25,"Tipo 1 (≤0,25) uT",IF(R500&lt;=0.5,"Tipo 2 (0,25-0,50) uT",IF(R500&lt;=0.75,"Tipo 3 (0,50-0,75) uT","Tipo 4 (&gt;0,75) uT"))))</f>
        <v>Tipo 1 (≤0,25) uT</v>
      </c>
    </row>
    <row r="501" spans="1:60" ht="15" thickBot="1" x14ac:dyDescent="0.35">
      <c r="A501" s="88">
        <v>46315</v>
      </c>
      <c r="B501" s="139">
        <v>0.14583333333333334</v>
      </c>
      <c r="C501" s="116">
        <v>566</v>
      </c>
      <c r="D501" s="116">
        <v>804</v>
      </c>
      <c r="E501" s="117">
        <v>0</v>
      </c>
      <c r="F501" s="116">
        <v>1183</v>
      </c>
      <c r="G501" s="144" t="s">
        <v>34</v>
      </c>
      <c r="H501" s="122">
        <v>10</v>
      </c>
      <c r="I501" s="116">
        <v>179</v>
      </c>
      <c r="J501" s="10">
        <v>90</v>
      </c>
      <c r="K501" s="116">
        <v>90</v>
      </c>
      <c r="L501" s="116">
        <v>90</v>
      </c>
      <c r="M501" s="122">
        <v>24.1</v>
      </c>
      <c r="N501" s="122">
        <v>6.6</v>
      </c>
      <c r="O501" s="79">
        <v>2</v>
      </c>
      <c r="P501" s="116">
        <v>9</v>
      </c>
      <c r="Q501" s="122">
        <v>6.4</v>
      </c>
      <c r="R501" s="10">
        <v>0.15</v>
      </c>
      <c r="S501" s="79">
        <v>22.36</v>
      </c>
      <c r="T501" s="79">
        <v>0.88</v>
      </c>
      <c r="U501" s="79">
        <v>0.7</v>
      </c>
      <c r="V501" s="85">
        <f t="shared" si="59"/>
        <v>2070.25</v>
      </c>
      <c r="W501" s="85">
        <f t="shared" si="52"/>
        <v>1708.2758263999997</v>
      </c>
      <c r="X501" s="85">
        <f t="shared" si="53"/>
        <v>0.82515436609105164</v>
      </c>
      <c r="Y501" s="116">
        <v>2</v>
      </c>
      <c r="Z501" s="116">
        <v>2</v>
      </c>
      <c r="AA501" s="122">
        <v>6.3</v>
      </c>
      <c r="AB501" s="116">
        <v>22</v>
      </c>
      <c r="AC501" s="122">
        <v>6.2</v>
      </c>
      <c r="AD501" s="122">
        <v>4.3</v>
      </c>
      <c r="AE501" s="79">
        <v>0.11</v>
      </c>
      <c r="AF501" s="79"/>
      <c r="AG501" s="85">
        <f>(O501+0.3*H501+2)*(F501/2/AK501)</f>
        <v>1380.1666666666665</v>
      </c>
      <c r="AH501" s="85">
        <f t="shared" si="54"/>
        <v>1979.8438399999998</v>
      </c>
      <c r="AI501" s="85">
        <f t="shared" si="55"/>
        <v>1.4344962009419153</v>
      </c>
      <c r="AJ501" s="116">
        <v>1</v>
      </c>
      <c r="AK501" s="116">
        <v>3</v>
      </c>
      <c r="AL501" s="122">
        <v>6.4</v>
      </c>
      <c r="AM501" s="116">
        <v>25</v>
      </c>
      <c r="AN501" s="122">
        <v>6.1</v>
      </c>
      <c r="AO501" s="122">
        <v>3.4</v>
      </c>
      <c r="AP501" s="79">
        <v>0.15</v>
      </c>
      <c r="AQ501" s="79">
        <v>0.2</v>
      </c>
      <c r="AR501" s="132">
        <f>SUM(C501:E501)</f>
        <v>1370</v>
      </c>
      <c r="AS501" s="134">
        <f>C501/AR501</f>
        <v>0.41313868613138688</v>
      </c>
      <c r="AT501" s="134">
        <f>D501/AR501</f>
        <v>0.58686131386861318</v>
      </c>
      <c r="AU501" s="134">
        <f>E501/AR501</f>
        <v>0</v>
      </c>
      <c r="AV501" s="151">
        <f>IF(AND(F501&lt;&gt;"",Z501&lt;&gt;""),AB501/(F501/2/Z501),"")</f>
        <v>7.4387151310228231E-2</v>
      </c>
      <c r="AW501" s="151">
        <f>IF(AND(F501&lt;&gt;"",AK501&lt;&gt;""),AM501/(F501/2/AK501),"")</f>
        <v>0.12679628064243451</v>
      </c>
      <c r="AX501" s="43">
        <f>IF(AND(AQ501&lt;&gt;"",1-(AQ501/O501)&gt;0),1-(AQ501/O501),"")</f>
        <v>0.9</v>
      </c>
      <c r="AY501" s="41" t="str">
        <f>IF(AND(AF501&lt;&gt;"",1-(AF501/O501)&gt;0),1-(AF501/O501),"")</f>
        <v/>
      </c>
      <c r="AZ501" s="136" t="str">
        <f>IF(Q501="","",IF(Q501&lt;2.5,"Alc. Bruta &lt; 2,5 mg/L",IF(Q501&lt;5,"2,5 ≤ Alc. Bruta &lt; 5,0 mg/L",IF(Q501&lt;7.5,"5,0 ≤ Alc. Bruta &lt; 7,5 mg/L",IF(Q501&lt;10,"7,5 ≤ Alc. Bruta &lt; 10,0 mg/L",IF(Q501&lt;15,"10,0 ≤ Alca. Bruta &lt; 15,0 mg/L","Alc. Bruta &gt; 15 mg/L"))))))</f>
        <v>5,0 ≤ Alc. Bruta &lt; 7,5 mg/L</v>
      </c>
      <c r="BA501" s="136" t="str">
        <f>IF(P501="","",IF(P501&lt;5,"Cor &lt;5 uC",IF(P501&lt;10,"5 ≤ Cor &lt; 10 uC",IF(P501&lt;15,"10 ≤ Cor &lt;15 uC",IF(P501&lt;30,"15 ≤ Cor &lt; 30 uC",IF(P501&lt;50,"30 ≤ Cor &lt; 50 uC","Cor &gt; 50 uC"))))))</f>
        <v>5 ≤ Cor &lt; 10 uC</v>
      </c>
      <c r="BB501" s="137" t="str">
        <f>IF(O501="","",IF(O501&lt;2.5,"Turbidez &lt; 2,5 uT",IF(O501&lt;5,"2,5 ≤ Turb &lt; 5,0 uT",IF(O501&lt;7.5,"5,0 ≤ Turb &lt; 7,5 uT",IF(O501&lt;10,"7,5 ≤ Turb &lt; 10,0 uT",IF(O501&lt;15,"10,0 ≤ Turb &lt; 15,0 uT","Turb &gt; 15 uT"))))))</f>
        <v>Turbidez &lt; 2,5 uT</v>
      </c>
      <c r="BC501" s="138" t="str">
        <f>IF(AND(C501&gt;D501,D501&gt;E501),"TOR &gt; SM &gt; BNN",IF(AND(C501&gt;E501,E501&gt;D501),"TOR &gt; BNN &gt; SM",IF(AND(D501&gt;C501,C501&gt;E501),"SM &gt; TOR &gt; BNN",IF(AND(D501&gt;E501,E501&gt;C501),"SM &gt; BNN &gt; TOR",IF(AND(C501=D501,D501=E501),"TOR = SM = BNN","Comb. diferentes")))))</f>
        <v>SM &gt; TOR &gt; BNN</v>
      </c>
      <c r="BD501" s="137" t="str">
        <f>IF(OR(AE501="",AQ501="-"),"",IF(AE501&lt;=0.25,"Tipo 1 (≤0,25) uT",IF(AE501&lt;=0.5,"Tipo 2 (0,25-0,50) uT",IF(AE501&lt;=0.75,"Tipo 3 (0,50-0,75) uT","Tipo 4 (&gt;0,75) uT"))))</f>
        <v>Tipo 1 (≤0,25) uT</v>
      </c>
      <c r="BE501" s="137" t="str">
        <f t="shared" si="49"/>
        <v>Tipo 1 (≤0,25) uT</v>
      </c>
      <c r="BF501" s="137" t="str">
        <f>IF(OR(AF501="",AQ501="-"),"",IF(AF501&lt;=0.25,"Tipo 1 (≤0,25) uT",IF(AF501&lt;=0.5,"Tipo 2 (0,25-0,50) uT",IF(AF501&lt;=0.75,"Tipo 3 (0,50-0,75) uT","Tipo 4 (&gt;0,75) uT"))))</f>
        <v/>
      </c>
      <c r="BG501" s="137" t="str">
        <f t="shared" si="50"/>
        <v>Tipo 1 (≤0,25) uT</v>
      </c>
      <c r="BH501" s="137" t="str">
        <f>IF(OR(R501="",R501="-"),"",IF(R501&lt;=0.25,"Tipo 1 (≤0,25) uT",IF(R501&lt;=0.5,"Tipo 2 (0,25-0,50) uT",IF(R501&lt;=0.75,"Tipo 3 (0,50-0,75) uT","Tipo 4 (&gt;0,75) uT"))))</f>
        <v>Tipo 1 (≤0,25) uT</v>
      </c>
    </row>
    <row r="502" spans="1:60" ht="15" thickBot="1" x14ac:dyDescent="0.35">
      <c r="A502" s="89">
        <v>46315</v>
      </c>
      <c r="B502" s="140">
        <v>0.22916666666666666</v>
      </c>
      <c r="C502" s="117">
        <v>571</v>
      </c>
      <c r="D502" s="117">
        <v>780</v>
      </c>
      <c r="E502" s="117">
        <v>0</v>
      </c>
      <c r="F502" s="117">
        <v>1386</v>
      </c>
      <c r="G502" s="145" t="s">
        <v>34</v>
      </c>
      <c r="H502" s="123">
        <v>10</v>
      </c>
      <c r="I502" s="117">
        <v>163</v>
      </c>
      <c r="J502" s="11">
        <v>90</v>
      </c>
      <c r="K502" s="117">
        <v>90</v>
      </c>
      <c r="L502" s="117">
        <v>90</v>
      </c>
      <c r="M502" s="123">
        <v>23.9</v>
      </c>
      <c r="N502" s="123">
        <v>6.5</v>
      </c>
      <c r="O502" s="80">
        <v>1.88</v>
      </c>
      <c r="P502" s="117">
        <v>19</v>
      </c>
      <c r="Q502" s="123">
        <v>5.9</v>
      </c>
      <c r="R502" s="11">
        <v>7.0000000000000007E-2</v>
      </c>
      <c r="S502" s="79">
        <v>22.36</v>
      </c>
      <c r="T502" s="79">
        <v>0.88</v>
      </c>
      <c r="U502" s="79">
        <v>0.7</v>
      </c>
      <c r="V502" s="85">
        <f t="shared" si="59"/>
        <v>2383.92</v>
      </c>
      <c r="W502" s="85">
        <f t="shared" si="52"/>
        <v>1674.2890735999999</v>
      </c>
      <c r="X502" s="85">
        <f t="shared" si="53"/>
        <v>0.7023260317460317</v>
      </c>
      <c r="Y502" s="117">
        <v>2</v>
      </c>
      <c r="Z502" s="117">
        <v>2</v>
      </c>
      <c r="AA502" s="123">
        <v>6.2</v>
      </c>
      <c r="AB502" s="117">
        <v>22</v>
      </c>
      <c r="AC502" s="123">
        <v>6.2</v>
      </c>
      <c r="AD502" s="123">
        <v>3.8</v>
      </c>
      <c r="AE502" s="80">
        <v>0.17</v>
      </c>
      <c r="AF502" s="80"/>
      <c r="AG502" s="85">
        <f>(O502+0.3*H502+2)*(F502/2/AK502)</f>
        <v>1589.28</v>
      </c>
      <c r="AH502" s="85">
        <f t="shared" si="54"/>
        <v>1979.8438399999998</v>
      </c>
      <c r="AI502" s="85">
        <f t="shared" si="55"/>
        <v>1.2457489177489176</v>
      </c>
      <c r="AJ502" s="117">
        <v>1</v>
      </c>
      <c r="AK502" s="117">
        <v>3</v>
      </c>
      <c r="AL502" s="123">
        <v>6.4</v>
      </c>
      <c r="AM502" s="117">
        <v>25</v>
      </c>
      <c r="AN502" s="123">
        <v>6</v>
      </c>
      <c r="AO502" s="123">
        <v>4</v>
      </c>
      <c r="AP502" s="80">
        <v>0.2</v>
      </c>
      <c r="AQ502" s="80">
        <v>0.27</v>
      </c>
      <c r="AR502" s="132">
        <f>SUM(C502:E502)</f>
        <v>1351</v>
      </c>
      <c r="AS502" s="134">
        <f>C502/AR502</f>
        <v>0.42264988897113248</v>
      </c>
      <c r="AT502" s="134">
        <f>D502/AR502</f>
        <v>0.57735011102886746</v>
      </c>
      <c r="AU502" s="134">
        <f>E502/AR502</f>
        <v>0</v>
      </c>
      <c r="AV502" s="151">
        <f>IF(AND(F502&lt;&gt;"",Z502&lt;&gt;""),AB502/(F502/2/Z502),"")</f>
        <v>6.3492063492063489E-2</v>
      </c>
      <c r="AW502" s="151">
        <f>IF(AND(F502&lt;&gt;"",AK502&lt;&gt;""),AM502/(F502/2/AK502),"")</f>
        <v>0.10822510822510822</v>
      </c>
      <c r="AX502" s="43">
        <f>IF(AND(AQ502&lt;&gt;"",1-(AQ502/O502)&gt;0),1-(AQ502/O502),"")</f>
        <v>0.8563829787234043</v>
      </c>
      <c r="AY502" s="41" t="str">
        <f>IF(AND(AF502&lt;&gt;"",1-(AF502/O502)&gt;0),1-(AF502/O502),"")</f>
        <v/>
      </c>
      <c r="AZ502" s="136" t="str">
        <f>IF(Q502="","",IF(Q502&lt;2.5,"Alc. Bruta &lt; 2,5 mg/L",IF(Q502&lt;5,"2,5 ≤ Alc. Bruta &lt; 5,0 mg/L",IF(Q502&lt;7.5,"5,0 ≤ Alc. Bruta &lt; 7,5 mg/L",IF(Q502&lt;10,"7,5 ≤ Alc. Bruta &lt; 10,0 mg/L",IF(Q502&lt;15,"10,0 ≤ Alca. Bruta &lt; 15,0 mg/L","Alc. Bruta &gt; 15 mg/L"))))))</f>
        <v>5,0 ≤ Alc. Bruta &lt; 7,5 mg/L</v>
      </c>
      <c r="BA502" s="136" t="str">
        <f>IF(P502="","",IF(P502&lt;5,"Cor &lt;5 uC",IF(P502&lt;10,"5 ≤ Cor &lt; 10 uC",IF(P502&lt;15,"10 ≤ Cor &lt;15 uC",IF(P502&lt;30,"15 ≤ Cor &lt; 30 uC",IF(P502&lt;50,"30 ≤ Cor &lt; 50 uC","Cor &gt; 50 uC"))))))</f>
        <v>15 ≤ Cor &lt; 30 uC</v>
      </c>
      <c r="BB502" s="137" t="str">
        <f>IF(O502="","",IF(O502&lt;2.5,"Turbidez &lt; 2,5 uT",IF(O502&lt;5,"2,5 ≤ Turb &lt; 5,0 uT",IF(O502&lt;7.5,"5,0 ≤ Turb &lt; 7,5 uT",IF(O502&lt;10,"7,5 ≤ Turb &lt; 10,0 uT",IF(O502&lt;15,"10,0 ≤ Turb &lt; 15,0 uT","Turb &gt; 15 uT"))))))</f>
        <v>Turbidez &lt; 2,5 uT</v>
      </c>
      <c r="BC502" s="138" t="str">
        <f>IF(AND(C502&gt;D502,D502&gt;E502),"TOR &gt; SM &gt; BNN",IF(AND(C502&gt;E502,E502&gt;D502),"TOR &gt; BNN &gt; SM",IF(AND(D502&gt;C502,C502&gt;E502),"SM &gt; TOR &gt; BNN",IF(AND(D502&gt;E502,E502&gt;C502),"SM &gt; BNN &gt; TOR",IF(AND(C502=D502,D502=E502),"TOR = SM = BNN","Comb. diferentes")))))</f>
        <v>SM &gt; TOR &gt; BNN</v>
      </c>
      <c r="BD502" s="137" t="str">
        <f>IF(OR(AE502="",AQ502="-"),"",IF(AE502&lt;=0.25,"Tipo 1 (≤0,25) uT",IF(AE502&lt;=0.5,"Tipo 2 (0,25-0,50) uT",IF(AE502&lt;=0.75,"Tipo 3 (0,50-0,75) uT","Tipo 4 (&gt;0,75) uT"))))</f>
        <v>Tipo 1 (≤0,25) uT</v>
      </c>
      <c r="BE502" s="137" t="str">
        <f t="shared" si="49"/>
        <v>Tipo 1 (≤0,25) uT</v>
      </c>
      <c r="BF502" s="137" t="str">
        <f>IF(OR(AF502="",AQ502="-"),"",IF(AF502&lt;=0.25,"Tipo 1 (≤0,25) uT",IF(AF502&lt;=0.5,"Tipo 2 (0,25-0,50) uT",IF(AF502&lt;=0.75,"Tipo 3 (0,50-0,75) uT","Tipo 4 (&gt;0,75) uT"))))</f>
        <v/>
      </c>
      <c r="BG502" s="137" t="str">
        <f t="shared" si="50"/>
        <v>Tipo 2 (0,25-0,50) uT</v>
      </c>
      <c r="BH502" s="137" t="str">
        <f>IF(OR(R502="",R502="-"),"",IF(R502&lt;=0.25,"Tipo 1 (≤0,25) uT",IF(R502&lt;=0.5,"Tipo 2 (0,25-0,50) uT",IF(R502&lt;=0.75,"Tipo 3 (0,50-0,75) uT","Tipo 4 (&gt;0,75) uT"))))</f>
        <v>Tipo 1 (≤0,25) uT</v>
      </c>
    </row>
    <row r="503" spans="1:60" ht="15" thickBot="1" x14ac:dyDescent="0.35">
      <c r="A503" s="87">
        <v>46315</v>
      </c>
      <c r="B503" s="141">
        <v>0.3125</v>
      </c>
      <c r="C503" s="118">
        <v>551</v>
      </c>
      <c r="D503" s="118">
        <v>814</v>
      </c>
      <c r="E503" s="117">
        <v>0</v>
      </c>
      <c r="F503" s="118">
        <v>1454</v>
      </c>
      <c r="G503" s="146" t="s">
        <v>34</v>
      </c>
      <c r="H503" s="124">
        <v>10</v>
      </c>
      <c r="I503" s="118">
        <v>164</v>
      </c>
      <c r="J503" s="9">
        <v>90</v>
      </c>
      <c r="K503" s="118">
        <v>90</v>
      </c>
      <c r="L503" s="118">
        <v>90</v>
      </c>
      <c r="M503" s="124">
        <v>24.8</v>
      </c>
      <c r="N503" s="124">
        <v>6.5</v>
      </c>
      <c r="O503" s="81">
        <v>1.94</v>
      </c>
      <c r="P503" s="118">
        <v>10</v>
      </c>
      <c r="Q503" s="124">
        <v>6.9</v>
      </c>
      <c r="R503" s="9">
        <v>0.08</v>
      </c>
      <c r="S503" s="79">
        <v>22.36</v>
      </c>
      <c r="T503" s="79">
        <v>0.88</v>
      </c>
      <c r="U503" s="79">
        <v>0.7</v>
      </c>
      <c r="V503" s="85">
        <f t="shared" si="59"/>
        <v>2522.6899999999996</v>
      </c>
      <c r="W503" s="85">
        <f t="shared" si="52"/>
        <v>1751.0025441999996</v>
      </c>
      <c r="X503" s="85">
        <f t="shared" si="53"/>
        <v>0.69410135379297488</v>
      </c>
      <c r="Y503" s="119">
        <v>2</v>
      </c>
      <c r="Z503" s="147">
        <v>2</v>
      </c>
      <c r="AA503" s="148">
        <v>5.9</v>
      </c>
      <c r="AB503" s="147">
        <v>24.5</v>
      </c>
      <c r="AC503" s="124">
        <v>6.1</v>
      </c>
      <c r="AD503" s="124">
        <v>3.1</v>
      </c>
      <c r="AE503" s="81">
        <v>0.16</v>
      </c>
      <c r="AF503" s="81"/>
      <c r="AG503" s="85">
        <f>(O503+0.3*H503+2)*(F503/2/AK503)</f>
        <v>1681.7933333333333</v>
      </c>
      <c r="AH503" s="85">
        <f t="shared" si="54"/>
        <v>1979.8438399999998</v>
      </c>
      <c r="AI503" s="85">
        <f t="shared" si="55"/>
        <v>1.1772218385929305</v>
      </c>
      <c r="AJ503" s="118">
        <v>1</v>
      </c>
      <c r="AK503" s="118">
        <v>3</v>
      </c>
      <c r="AL503" s="124">
        <v>6.4</v>
      </c>
      <c r="AM503" s="118">
        <v>25</v>
      </c>
      <c r="AN503" s="124">
        <v>6</v>
      </c>
      <c r="AO503" s="124">
        <v>4</v>
      </c>
      <c r="AP503" s="81">
        <v>0.14000000000000001</v>
      </c>
      <c r="AQ503" s="81">
        <v>0.21</v>
      </c>
      <c r="AR503" s="132">
        <f>SUM(C503:E503)</f>
        <v>1365</v>
      </c>
      <c r="AS503" s="134">
        <f>C503/AR503</f>
        <v>0.40366300366300367</v>
      </c>
      <c r="AT503" s="134">
        <f>D503/AR503</f>
        <v>0.59633699633699633</v>
      </c>
      <c r="AU503" s="134">
        <f>E503/AR503</f>
        <v>0</v>
      </c>
      <c r="AV503" s="151">
        <f>IF(AND(F503&lt;&gt;"",Z503&lt;&gt;""),AB503/(F503/2/Z503),"")</f>
        <v>6.7400275103163682E-2</v>
      </c>
      <c r="AW503" s="151">
        <f>IF(AND(F503&lt;&gt;"",AK503&lt;&gt;""),AM503/(F503/2/AK503),"")</f>
        <v>0.1031636863823934</v>
      </c>
      <c r="AX503" s="43">
        <f>IF(AND(AQ503&lt;&gt;"",1-(AQ503/O503)&gt;0),1-(AQ503/O503),"")</f>
        <v>0.89175257731958757</v>
      </c>
      <c r="AY503" s="41" t="str">
        <f>IF(AND(AF503&lt;&gt;"",1-(AF503/O503)&gt;0),1-(AF503/O503),"")</f>
        <v/>
      </c>
      <c r="AZ503" s="136" t="str">
        <f>IF(Q503="","",IF(Q503&lt;2.5,"Alc. Bruta &lt; 2,5 mg/L",IF(Q503&lt;5,"2,5 ≤ Alc. Bruta &lt; 5,0 mg/L",IF(Q503&lt;7.5,"5,0 ≤ Alc. Bruta &lt; 7,5 mg/L",IF(Q503&lt;10,"7,5 ≤ Alc. Bruta &lt; 10,0 mg/L",IF(Q503&lt;15,"10,0 ≤ Alca. Bruta &lt; 15,0 mg/L","Alc. Bruta &gt; 15 mg/L"))))))</f>
        <v>5,0 ≤ Alc. Bruta &lt; 7,5 mg/L</v>
      </c>
      <c r="BA503" s="136" t="str">
        <f>IF(P503="","",IF(P503&lt;5,"Cor &lt;5 uC",IF(P503&lt;10,"5 ≤ Cor &lt; 10 uC",IF(P503&lt;15,"10 ≤ Cor &lt;15 uC",IF(P503&lt;30,"15 ≤ Cor &lt; 30 uC",IF(P503&lt;50,"30 ≤ Cor &lt; 50 uC","Cor &gt; 50 uC"))))))</f>
        <v>10 ≤ Cor &lt;15 uC</v>
      </c>
      <c r="BB503" s="137" t="str">
        <f>IF(O503="","",IF(O503&lt;2.5,"Turbidez &lt; 2,5 uT",IF(O503&lt;5,"2,5 ≤ Turb &lt; 5,0 uT",IF(O503&lt;7.5,"5,0 ≤ Turb &lt; 7,5 uT",IF(O503&lt;10,"7,5 ≤ Turb &lt; 10,0 uT",IF(O503&lt;15,"10,0 ≤ Turb &lt; 15,0 uT","Turb &gt; 15 uT"))))))</f>
        <v>Turbidez &lt; 2,5 uT</v>
      </c>
      <c r="BC503" s="138" t="str">
        <f>IF(AND(C503&gt;D503,D503&gt;E503),"TOR &gt; SM &gt; BNN",IF(AND(C503&gt;E503,E503&gt;D503),"TOR &gt; BNN &gt; SM",IF(AND(D503&gt;C503,C503&gt;E503),"SM &gt; TOR &gt; BNN",IF(AND(D503&gt;E503,E503&gt;C503),"SM &gt; BNN &gt; TOR",IF(AND(C503=D503,D503=E503),"TOR = SM = BNN","Comb. diferentes")))))</f>
        <v>SM &gt; TOR &gt; BNN</v>
      </c>
      <c r="BD503" s="137" t="str">
        <f>IF(OR(AE503="",AQ503="-"),"",IF(AE503&lt;=0.25,"Tipo 1 (≤0,25) uT",IF(AE503&lt;=0.5,"Tipo 2 (0,25-0,50) uT",IF(AE503&lt;=0.75,"Tipo 3 (0,50-0,75) uT","Tipo 4 (&gt;0,75) uT"))))</f>
        <v>Tipo 1 (≤0,25) uT</v>
      </c>
      <c r="BE503" s="137" t="str">
        <f t="shared" si="49"/>
        <v>Tipo 1 (≤0,25) uT</v>
      </c>
      <c r="BF503" s="137" t="str">
        <f>IF(OR(AF503="",AQ503="-"),"",IF(AF503&lt;=0.25,"Tipo 1 (≤0,25) uT",IF(AF503&lt;=0.5,"Tipo 2 (0,25-0,50) uT",IF(AF503&lt;=0.75,"Tipo 3 (0,50-0,75) uT","Tipo 4 (&gt;0,75) uT"))))</f>
        <v/>
      </c>
      <c r="BG503" s="137" t="str">
        <f t="shared" si="50"/>
        <v>Tipo 1 (≤0,25) uT</v>
      </c>
      <c r="BH503" s="137" t="str">
        <f>IF(OR(R503="",R503="-"),"",IF(R503&lt;=0.25,"Tipo 1 (≤0,25) uT",IF(R503&lt;=0.5,"Tipo 2 (0,25-0,50) uT",IF(R503&lt;=0.75,"Tipo 3 (0,50-0,75) uT","Tipo 4 (&gt;0,75) uT"))))</f>
        <v>Tipo 1 (≤0,25) uT</v>
      </c>
    </row>
    <row r="504" spans="1:60" ht="15" thickBot="1" x14ac:dyDescent="0.35">
      <c r="A504" s="88">
        <v>46315</v>
      </c>
      <c r="B504" s="139">
        <v>0.39583333333333331</v>
      </c>
      <c r="C504" s="116">
        <v>568</v>
      </c>
      <c r="D504" s="116">
        <v>810</v>
      </c>
      <c r="E504" s="117">
        <v>0</v>
      </c>
      <c r="F504" s="116">
        <v>1384</v>
      </c>
      <c r="G504" s="144" t="s">
        <v>34</v>
      </c>
      <c r="H504" s="122">
        <v>9.5</v>
      </c>
      <c r="I504" s="116">
        <v>144</v>
      </c>
      <c r="J504" s="10">
        <v>90</v>
      </c>
      <c r="K504" s="116">
        <v>90</v>
      </c>
      <c r="L504" s="116">
        <v>90</v>
      </c>
      <c r="M504" s="122">
        <v>25.4</v>
      </c>
      <c r="N504" s="122">
        <v>6.4</v>
      </c>
      <c r="O504" s="79">
        <v>1.86</v>
      </c>
      <c r="P504" s="116">
        <v>10</v>
      </c>
      <c r="Q504" s="122">
        <v>5.5</v>
      </c>
      <c r="R504" s="10">
        <v>7.0000000000000007E-2</v>
      </c>
      <c r="S504" s="79">
        <v>22.36</v>
      </c>
      <c r="T504" s="79">
        <v>0.88</v>
      </c>
      <c r="U504" s="79">
        <v>0.7</v>
      </c>
      <c r="V504" s="85">
        <f t="shared" si="59"/>
        <v>2321.66</v>
      </c>
      <c r="W504" s="85">
        <f t="shared" si="52"/>
        <v>1811.2763614400001</v>
      </c>
      <c r="X504" s="85">
        <f t="shared" si="53"/>
        <v>0.78016434854371453</v>
      </c>
      <c r="Y504" s="116">
        <v>2</v>
      </c>
      <c r="Z504" s="116">
        <v>2</v>
      </c>
      <c r="AA504" s="122">
        <v>6.2</v>
      </c>
      <c r="AB504" s="116">
        <v>23.8</v>
      </c>
      <c r="AC504" s="122">
        <v>6.1</v>
      </c>
      <c r="AD504" s="122">
        <v>4.0999999999999996</v>
      </c>
      <c r="AE504" s="79">
        <v>0.17</v>
      </c>
      <c r="AF504" s="79"/>
      <c r="AG504" s="85">
        <f>(O504+0.3*H504+2)*(F504/2/AK504)</f>
        <v>1547.7733333333333</v>
      </c>
      <c r="AH504" s="85">
        <f t="shared" si="54"/>
        <v>1948.16633856</v>
      </c>
      <c r="AI504" s="85">
        <f t="shared" si="55"/>
        <v>1.2586896909280429</v>
      </c>
      <c r="AJ504" s="116">
        <v>1</v>
      </c>
      <c r="AK504" s="116">
        <v>3</v>
      </c>
      <c r="AL504" s="122">
        <v>6.4</v>
      </c>
      <c r="AM504" s="116">
        <v>24.6</v>
      </c>
      <c r="AN504" s="122">
        <v>6.1</v>
      </c>
      <c r="AO504" s="122">
        <v>4.4000000000000004</v>
      </c>
      <c r="AP504" s="79">
        <v>0.11</v>
      </c>
      <c r="AQ504" s="79">
        <v>0.19</v>
      </c>
      <c r="AR504" s="132">
        <f>SUM(C504:E504)</f>
        <v>1378</v>
      </c>
      <c r="AS504" s="134">
        <f>C504/AR504</f>
        <v>0.41219158200290273</v>
      </c>
      <c r="AT504" s="134">
        <f>D504/AR504</f>
        <v>0.58780841799709727</v>
      </c>
      <c r="AU504" s="134">
        <f>E504/AR504</f>
        <v>0</v>
      </c>
      <c r="AV504" s="151">
        <f>IF(AND(F504&lt;&gt;"",Z504&lt;&gt;""),AB504/(F504/2/Z504),"")</f>
        <v>6.8786127167630065E-2</v>
      </c>
      <c r="AW504" s="151">
        <f>IF(AND(F504&lt;&gt;"",AK504&lt;&gt;""),AM504/(F504/2/AK504),"")</f>
        <v>0.10664739884393065</v>
      </c>
      <c r="AX504" s="43">
        <f>IF(AND(AQ504&lt;&gt;"",1-(AQ504/O504)&gt;0),1-(AQ504/O504),"")</f>
        <v>0.89784946236559138</v>
      </c>
      <c r="AY504" s="41" t="str">
        <f>IF(AND(AF504&lt;&gt;"",1-(AF504/O504)&gt;0),1-(AF504/O504),"")</f>
        <v/>
      </c>
      <c r="AZ504" s="136" t="str">
        <f>IF(Q504="","",IF(Q504&lt;2.5,"Alc. Bruta &lt; 2,5 mg/L",IF(Q504&lt;5,"2,5 ≤ Alc. Bruta &lt; 5,0 mg/L",IF(Q504&lt;7.5,"5,0 ≤ Alc. Bruta &lt; 7,5 mg/L",IF(Q504&lt;10,"7,5 ≤ Alc. Bruta &lt; 10,0 mg/L",IF(Q504&lt;15,"10,0 ≤ Alca. Bruta &lt; 15,0 mg/L","Alc. Bruta &gt; 15 mg/L"))))))</f>
        <v>5,0 ≤ Alc. Bruta &lt; 7,5 mg/L</v>
      </c>
      <c r="BA504" s="136" t="str">
        <f>IF(P504="","",IF(P504&lt;5,"Cor &lt;5 uC",IF(P504&lt;10,"5 ≤ Cor &lt; 10 uC",IF(P504&lt;15,"10 ≤ Cor &lt;15 uC",IF(P504&lt;30,"15 ≤ Cor &lt; 30 uC",IF(P504&lt;50,"30 ≤ Cor &lt; 50 uC","Cor &gt; 50 uC"))))))</f>
        <v>10 ≤ Cor &lt;15 uC</v>
      </c>
      <c r="BB504" s="137" t="str">
        <f>IF(O504="","",IF(O504&lt;2.5,"Turbidez &lt; 2,5 uT",IF(O504&lt;5,"2,5 ≤ Turb &lt; 5,0 uT",IF(O504&lt;7.5,"5,0 ≤ Turb &lt; 7,5 uT",IF(O504&lt;10,"7,5 ≤ Turb &lt; 10,0 uT",IF(O504&lt;15,"10,0 ≤ Turb &lt; 15,0 uT","Turb &gt; 15 uT"))))))</f>
        <v>Turbidez &lt; 2,5 uT</v>
      </c>
      <c r="BC504" s="138" t="str">
        <f>IF(AND(C504&gt;D504,D504&gt;E504),"TOR &gt; SM &gt; BNN",IF(AND(C504&gt;E504,E504&gt;D504),"TOR &gt; BNN &gt; SM",IF(AND(D504&gt;C504,C504&gt;E504),"SM &gt; TOR &gt; BNN",IF(AND(D504&gt;E504,E504&gt;C504),"SM &gt; BNN &gt; TOR",IF(AND(C504=D504,D504=E504),"TOR = SM = BNN","Comb. diferentes")))))</f>
        <v>SM &gt; TOR &gt; BNN</v>
      </c>
      <c r="BD504" s="137" t="str">
        <f>IF(OR(AE504="",AQ504="-"),"",IF(AE504&lt;=0.25,"Tipo 1 (≤0,25) uT",IF(AE504&lt;=0.5,"Tipo 2 (0,25-0,50) uT",IF(AE504&lt;=0.75,"Tipo 3 (0,50-0,75) uT","Tipo 4 (&gt;0,75) uT"))))</f>
        <v>Tipo 1 (≤0,25) uT</v>
      </c>
      <c r="BE504" s="137" t="str">
        <f t="shared" si="49"/>
        <v>Tipo 1 (≤0,25) uT</v>
      </c>
      <c r="BF504" s="137" t="str">
        <f>IF(OR(AF504="",AQ504="-"),"",IF(AF504&lt;=0.25,"Tipo 1 (≤0,25) uT",IF(AF504&lt;=0.5,"Tipo 2 (0,25-0,50) uT",IF(AF504&lt;=0.75,"Tipo 3 (0,50-0,75) uT","Tipo 4 (&gt;0,75) uT"))))</f>
        <v/>
      </c>
      <c r="BG504" s="137" t="str">
        <f t="shared" si="50"/>
        <v>Tipo 1 (≤0,25) uT</v>
      </c>
      <c r="BH504" s="137" t="str">
        <f>IF(OR(R504="",R504="-"),"",IF(R504&lt;=0.25,"Tipo 1 (≤0,25) uT",IF(R504&lt;=0.5,"Tipo 2 (0,25-0,50) uT",IF(R504&lt;=0.75,"Tipo 3 (0,50-0,75) uT","Tipo 4 (&gt;0,75) uT"))))</f>
        <v>Tipo 1 (≤0,25) uT</v>
      </c>
    </row>
    <row r="505" spans="1:60" ht="15" thickBot="1" x14ac:dyDescent="0.35">
      <c r="A505" s="88">
        <v>46315</v>
      </c>
      <c r="B505" s="139">
        <v>0.47916666666666669</v>
      </c>
      <c r="C505" s="116">
        <v>575</v>
      </c>
      <c r="D505" s="116">
        <v>810</v>
      </c>
      <c r="E505" s="117">
        <v>0</v>
      </c>
      <c r="F505" s="116">
        <v>1425</v>
      </c>
      <c r="G505" s="144" t="s">
        <v>34</v>
      </c>
      <c r="H505" s="122">
        <v>9.1999999999999993</v>
      </c>
      <c r="I505" s="116">
        <v>100</v>
      </c>
      <c r="J505" s="10">
        <v>90</v>
      </c>
      <c r="K505" s="116">
        <v>90</v>
      </c>
      <c r="L505" s="116">
        <v>90</v>
      </c>
      <c r="M505" s="122">
        <v>26.2</v>
      </c>
      <c r="N505" s="122">
        <v>6.5</v>
      </c>
      <c r="O505" s="79">
        <v>1.81</v>
      </c>
      <c r="P505" s="116">
        <v>10</v>
      </c>
      <c r="Q505" s="122">
        <v>6</v>
      </c>
      <c r="R505" s="10">
        <v>7.0000000000000007E-2</v>
      </c>
      <c r="S505" s="79">
        <v>22.36</v>
      </c>
      <c r="T505" s="79">
        <v>0.88</v>
      </c>
      <c r="U505" s="79">
        <v>0.7</v>
      </c>
      <c r="V505" s="85">
        <f t="shared" si="59"/>
        <v>2340.5625</v>
      </c>
      <c r="W505" s="85">
        <f t="shared" si="52"/>
        <v>1937.7265440000001</v>
      </c>
      <c r="X505" s="85">
        <f t="shared" si="53"/>
        <v>0.82788925482656417</v>
      </c>
      <c r="Y505" s="116">
        <v>2</v>
      </c>
      <c r="Z505" s="116">
        <v>2</v>
      </c>
      <c r="AA505" s="122">
        <v>6.5</v>
      </c>
      <c r="AB505" s="116">
        <v>24</v>
      </c>
      <c r="AC505" s="122">
        <v>6.2</v>
      </c>
      <c r="AD505" s="122">
        <v>4</v>
      </c>
      <c r="AE505" s="79">
        <v>0.14000000000000001</v>
      </c>
      <c r="AF505" s="79"/>
      <c r="AG505" s="85">
        <f>(O505+0.3*H505+2)*(F505/2/AK505)</f>
        <v>1560.375</v>
      </c>
      <c r="AH505" s="85">
        <f t="shared" si="54"/>
        <v>1979.8438399999998</v>
      </c>
      <c r="AI505" s="85">
        <f t="shared" si="55"/>
        <v>1.2688256604982775</v>
      </c>
      <c r="AJ505" s="116">
        <v>1</v>
      </c>
      <c r="AK505" s="116">
        <v>3</v>
      </c>
      <c r="AL505" s="122">
        <v>6.4</v>
      </c>
      <c r="AM505" s="116">
        <v>25</v>
      </c>
      <c r="AN505" s="122">
        <v>6.2</v>
      </c>
      <c r="AO505" s="122">
        <v>4.0999999999999996</v>
      </c>
      <c r="AP505" s="79">
        <v>0.11</v>
      </c>
      <c r="AQ505" s="79">
        <v>0.16</v>
      </c>
      <c r="AR505" s="132">
        <f>SUM(C505:E505)</f>
        <v>1385</v>
      </c>
      <c r="AS505" s="134">
        <f>C505/AR505</f>
        <v>0.41516245487364623</v>
      </c>
      <c r="AT505" s="134">
        <f>D505/AR505</f>
        <v>0.58483754512635377</v>
      </c>
      <c r="AU505" s="134">
        <f>E505/AR505</f>
        <v>0</v>
      </c>
      <c r="AV505" s="151">
        <f>IF(AND(F505&lt;&gt;"",Z505&lt;&gt;""),AB505/(F505/2/Z505),"")</f>
        <v>6.7368421052631577E-2</v>
      </c>
      <c r="AW505" s="151">
        <f>IF(AND(F505&lt;&gt;"",AK505&lt;&gt;""),AM505/(F505/2/AK505),"")</f>
        <v>0.10526315789473684</v>
      </c>
      <c r="AX505" s="43">
        <f>IF(AND(AQ505&lt;&gt;"",1-(AQ505/O505)&gt;0),1-(AQ505/O505),"")</f>
        <v>0.91160220994475138</v>
      </c>
      <c r="AY505" s="41" t="str">
        <f>IF(AND(AF505&lt;&gt;"",1-(AF505/O505)&gt;0),1-(AF505/O505),"")</f>
        <v/>
      </c>
      <c r="AZ505" s="136" t="str">
        <f>IF(Q505="","",IF(Q505&lt;2.5,"Alc. Bruta &lt; 2,5 mg/L",IF(Q505&lt;5,"2,5 ≤ Alc. Bruta &lt; 5,0 mg/L",IF(Q505&lt;7.5,"5,0 ≤ Alc. Bruta &lt; 7,5 mg/L",IF(Q505&lt;10,"7,5 ≤ Alc. Bruta &lt; 10,0 mg/L",IF(Q505&lt;15,"10,0 ≤ Alca. Bruta &lt; 15,0 mg/L","Alc. Bruta &gt; 15 mg/L"))))))</f>
        <v>5,0 ≤ Alc. Bruta &lt; 7,5 mg/L</v>
      </c>
      <c r="BA505" s="136" t="str">
        <f>IF(P505="","",IF(P505&lt;5,"Cor &lt;5 uC",IF(P505&lt;10,"5 ≤ Cor &lt; 10 uC",IF(P505&lt;15,"10 ≤ Cor &lt;15 uC",IF(P505&lt;30,"15 ≤ Cor &lt; 30 uC",IF(P505&lt;50,"30 ≤ Cor &lt; 50 uC","Cor &gt; 50 uC"))))))</f>
        <v>10 ≤ Cor &lt;15 uC</v>
      </c>
      <c r="BB505" s="137" t="str">
        <f>IF(O505="","",IF(O505&lt;2.5,"Turbidez &lt; 2,5 uT",IF(O505&lt;5,"2,5 ≤ Turb &lt; 5,0 uT",IF(O505&lt;7.5,"5,0 ≤ Turb &lt; 7,5 uT",IF(O505&lt;10,"7,5 ≤ Turb &lt; 10,0 uT",IF(O505&lt;15,"10,0 ≤ Turb &lt; 15,0 uT","Turb &gt; 15 uT"))))))</f>
        <v>Turbidez &lt; 2,5 uT</v>
      </c>
      <c r="BC505" s="138" t="str">
        <f>IF(AND(C505&gt;D505,D505&gt;E505),"TOR &gt; SM &gt; BNN",IF(AND(C505&gt;E505,E505&gt;D505),"TOR &gt; BNN &gt; SM",IF(AND(D505&gt;C505,C505&gt;E505),"SM &gt; TOR &gt; BNN",IF(AND(D505&gt;E505,E505&gt;C505),"SM &gt; BNN &gt; TOR",IF(AND(C505=D505,D505=E505),"TOR = SM = BNN","Comb. diferentes")))))</f>
        <v>SM &gt; TOR &gt; BNN</v>
      </c>
      <c r="BD505" s="137" t="str">
        <f>IF(OR(AE505="",AQ505="-"),"",IF(AE505&lt;=0.25,"Tipo 1 (≤0,25) uT",IF(AE505&lt;=0.5,"Tipo 2 (0,25-0,50) uT",IF(AE505&lt;=0.75,"Tipo 3 (0,50-0,75) uT","Tipo 4 (&gt;0,75) uT"))))</f>
        <v>Tipo 1 (≤0,25) uT</v>
      </c>
      <c r="BE505" s="137" t="str">
        <f t="shared" si="49"/>
        <v>Tipo 1 (≤0,25) uT</v>
      </c>
      <c r="BF505" s="137" t="str">
        <f>IF(OR(AF505="",AQ505="-"),"",IF(AF505&lt;=0.25,"Tipo 1 (≤0,25) uT",IF(AF505&lt;=0.5,"Tipo 2 (0,25-0,50) uT",IF(AF505&lt;=0.75,"Tipo 3 (0,50-0,75) uT","Tipo 4 (&gt;0,75) uT"))))</f>
        <v/>
      </c>
      <c r="BG505" s="137" t="str">
        <f t="shared" si="50"/>
        <v>Tipo 1 (≤0,25) uT</v>
      </c>
      <c r="BH505" s="137" t="str">
        <f>IF(OR(R505="",R505="-"),"",IF(R505&lt;=0.25,"Tipo 1 (≤0,25) uT",IF(R505&lt;=0.5,"Tipo 2 (0,25-0,50) uT",IF(R505&lt;=0.75,"Tipo 3 (0,50-0,75) uT","Tipo 4 (&gt;0,75) uT"))))</f>
        <v>Tipo 1 (≤0,25) uT</v>
      </c>
    </row>
    <row r="506" spans="1:60" ht="15" thickBot="1" x14ac:dyDescent="0.35">
      <c r="A506" s="88">
        <v>46315</v>
      </c>
      <c r="B506" s="139">
        <v>0.64583333333333337</v>
      </c>
      <c r="C506" s="116">
        <v>423</v>
      </c>
      <c r="D506" s="116">
        <v>940</v>
      </c>
      <c r="E506" s="117">
        <v>0</v>
      </c>
      <c r="F506" s="116">
        <v>1403</v>
      </c>
      <c r="G506" s="144" t="s">
        <v>34</v>
      </c>
      <c r="H506" s="122">
        <v>8.6</v>
      </c>
      <c r="I506" s="116">
        <v>27</v>
      </c>
      <c r="J506" s="10">
        <v>90</v>
      </c>
      <c r="K506" s="116">
        <v>90</v>
      </c>
      <c r="L506" s="116">
        <v>90</v>
      </c>
      <c r="M506" s="122">
        <v>26.9</v>
      </c>
      <c r="N506" s="122">
        <v>6.5</v>
      </c>
      <c r="O506" s="79">
        <v>1.68</v>
      </c>
      <c r="P506" s="116">
        <v>9</v>
      </c>
      <c r="Q506" s="122">
        <v>5.9</v>
      </c>
      <c r="R506" s="10">
        <v>0.09</v>
      </c>
      <c r="S506" s="79">
        <v>22.36</v>
      </c>
      <c r="T506" s="79">
        <v>0.88</v>
      </c>
      <c r="U506" s="79">
        <v>0.7</v>
      </c>
      <c r="V506" s="85">
        <f t="shared" si="59"/>
        <v>2195.6949999999997</v>
      </c>
      <c r="W506" s="85">
        <f t="shared" si="52"/>
        <v>1937.7265440000001</v>
      </c>
      <c r="X506" s="85">
        <f t="shared" si="53"/>
        <v>0.88251170768253351</v>
      </c>
      <c r="Y506" s="116">
        <v>2</v>
      </c>
      <c r="Z506" s="116">
        <v>2</v>
      </c>
      <c r="AA506" s="122">
        <v>6.5</v>
      </c>
      <c r="AB506" s="116">
        <v>24</v>
      </c>
      <c r="AC506" s="122">
        <v>6.2</v>
      </c>
      <c r="AD506" s="122">
        <v>4.4000000000000004</v>
      </c>
      <c r="AE506" s="79">
        <v>0.17</v>
      </c>
      <c r="AF506" s="79">
        <v>0.16</v>
      </c>
      <c r="AG506" s="85">
        <f>(O506+0.3*H506+2)*(F506/2/AK506)</f>
        <v>1463.7966666666666</v>
      </c>
      <c r="AH506" s="85">
        <f t="shared" si="54"/>
        <v>1979.8438399999998</v>
      </c>
      <c r="AI506" s="85">
        <f t="shared" si="55"/>
        <v>1.3525402025326831</v>
      </c>
      <c r="AJ506" s="116">
        <v>1</v>
      </c>
      <c r="AK506" s="116">
        <v>3</v>
      </c>
      <c r="AL506" s="122">
        <v>6.4</v>
      </c>
      <c r="AM506" s="116">
        <v>25</v>
      </c>
      <c r="AN506" s="122">
        <v>5.9</v>
      </c>
      <c r="AO506" s="122">
        <v>4.4000000000000004</v>
      </c>
      <c r="AP506" s="79">
        <v>0.14000000000000001</v>
      </c>
      <c r="AQ506" s="79">
        <v>0.12</v>
      </c>
      <c r="AR506" s="132">
        <f>SUM(C506:E506)</f>
        <v>1363</v>
      </c>
      <c r="AS506" s="134">
        <f>C506/AR506</f>
        <v>0.31034482758620691</v>
      </c>
      <c r="AT506" s="134">
        <f>D506/AR506</f>
        <v>0.68965517241379315</v>
      </c>
      <c r="AU506" s="134">
        <f>E506/AR506</f>
        <v>0</v>
      </c>
      <c r="AV506" s="151">
        <f>IF(AND(F506&lt;&gt;"",Z506&lt;&gt;""),AB506/(F506/2/Z506),"")</f>
        <v>6.8424803991446903E-2</v>
      </c>
      <c r="AW506" s="151">
        <f>IF(AND(F506&lt;&gt;"",AK506&lt;&gt;""),AM506/(F506/2/AK506),"")</f>
        <v>0.10691375623663578</v>
      </c>
      <c r="AX506" s="43">
        <f>IF(AND(AQ506&lt;&gt;"",1-(AQ506/O506)&gt;0),1-(AQ506/O506),"")</f>
        <v>0.9285714285714286</v>
      </c>
      <c r="AY506" s="41">
        <f>IF(AND(AF506&lt;&gt;"",1-(AF506/O506)&gt;0),1-(AF506/O506),"")</f>
        <v>0.90476190476190477</v>
      </c>
      <c r="AZ506" s="136" t="str">
        <f>IF(Q506="","",IF(Q506&lt;2.5,"Alc. Bruta &lt; 2,5 mg/L",IF(Q506&lt;5,"2,5 ≤ Alc. Bruta &lt; 5,0 mg/L",IF(Q506&lt;7.5,"5,0 ≤ Alc. Bruta &lt; 7,5 mg/L",IF(Q506&lt;10,"7,5 ≤ Alc. Bruta &lt; 10,0 mg/L",IF(Q506&lt;15,"10,0 ≤ Alca. Bruta &lt; 15,0 mg/L","Alc. Bruta &gt; 15 mg/L"))))))</f>
        <v>5,0 ≤ Alc. Bruta &lt; 7,5 mg/L</v>
      </c>
      <c r="BA506" s="136" t="str">
        <f>IF(P506="","",IF(P506&lt;5,"Cor &lt;5 uC",IF(P506&lt;10,"5 ≤ Cor &lt; 10 uC",IF(P506&lt;15,"10 ≤ Cor &lt;15 uC",IF(P506&lt;30,"15 ≤ Cor &lt; 30 uC",IF(P506&lt;50,"30 ≤ Cor &lt; 50 uC","Cor &gt; 50 uC"))))))</f>
        <v>5 ≤ Cor &lt; 10 uC</v>
      </c>
      <c r="BB506" s="137" t="str">
        <f>IF(O506="","",IF(O506&lt;2.5,"Turbidez &lt; 2,5 uT",IF(O506&lt;5,"2,5 ≤ Turb &lt; 5,0 uT",IF(O506&lt;7.5,"5,0 ≤ Turb &lt; 7,5 uT",IF(O506&lt;10,"7,5 ≤ Turb &lt; 10,0 uT",IF(O506&lt;15,"10,0 ≤ Turb &lt; 15,0 uT","Turb &gt; 15 uT"))))))</f>
        <v>Turbidez &lt; 2,5 uT</v>
      </c>
      <c r="BC506" s="138" t="str">
        <f>IF(AND(C506&gt;D506,D506&gt;E506),"TOR &gt; SM &gt; BNN",IF(AND(C506&gt;E506,E506&gt;D506),"TOR &gt; BNN &gt; SM",IF(AND(D506&gt;C506,C506&gt;E506),"SM &gt; TOR &gt; BNN",IF(AND(D506&gt;E506,E506&gt;C506),"SM &gt; BNN &gt; TOR",IF(AND(C506=D506,D506=E506),"TOR = SM = BNN","Comb. diferentes")))))</f>
        <v>SM &gt; TOR &gt; BNN</v>
      </c>
      <c r="BD506" s="137" t="str">
        <f>IF(OR(AE506="",AQ506="-"),"",IF(AE506&lt;=0.25,"Tipo 1 (≤0,25) uT",IF(AE506&lt;=0.5,"Tipo 2 (0,25-0,50) uT",IF(AE506&lt;=0.75,"Tipo 3 (0,50-0,75) uT","Tipo 4 (&gt;0,75) uT"))))</f>
        <v>Tipo 1 (≤0,25) uT</v>
      </c>
      <c r="BE506" s="137" t="str">
        <f t="shared" si="49"/>
        <v>Tipo 1 (≤0,25) uT</v>
      </c>
      <c r="BF506" s="137" t="str">
        <f>IF(OR(AF506="",AQ506="-"),"",IF(AF506&lt;=0.25,"Tipo 1 (≤0,25) uT",IF(AF506&lt;=0.5,"Tipo 2 (0,25-0,50) uT",IF(AF506&lt;=0.75,"Tipo 3 (0,50-0,75) uT","Tipo 4 (&gt;0,75) uT"))))</f>
        <v>Tipo 1 (≤0,25) uT</v>
      </c>
      <c r="BG506" s="137" t="str">
        <f t="shared" si="50"/>
        <v>Tipo 1 (≤0,25) uT</v>
      </c>
      <c r="BH506" s="137" t="str">
        <f>IF(OR(R506="",R506="-"),"",IF(R506&lt;=0.25,"Tipo 1 (≤0,25) uT",IF(R506&lt;=0.5,"Tipo 2 (0,25-0,50) uT",IF(R506&lt;=0.75,"Tipo 3 (0,50-0,75) uT","Tipo 4 (&gt;0,75) uT"))))</f>
        <v>Tipo 1 (≤0,25) uT</v>
      </c>
    </row>
    <row r="507" spans="1:60" ht="15" thickBot="1" x14ac:dyDescent="0.35">
      <c r="A507" s="88">
        <v>46315</v>
      </c>
      <c r="B507" s="139">
        <v>0.8125</v>
      </c>
      <c r="C507" s="116">
        <v>318</v>
      </c>
      <c r="D507" s="116">
        <v>1051</v>
      </c>
      <c r="E507" s="117">
        <v>0</v>
      </c>
      <c r="F507" s="116">
        <v>1445</v>
      </c>
      <c r="G507" s="144" t="s">
        <v>34</v>
      </c>
      <c r="H507" s="122">
        <v>8.6</v>
      </c>
      <c r="I507" s="116">
        <v>65</v>
      </c>
      <c r="J507" s="10">
        <v>90</v>
      </c>
      <c r="K507" s="116">
        <v>90</v>
      </c>
      <c r="L507" s="116">
        <v>90</v>
      </c>
      <c r="M507" s="122">
        <v>26.7</v>
      </c>
      <c r="N507" s="122">
        <v>6.4</v>
      </c>
      <c r="O507" s="79">
        <v>1.78</v>
      </c>
      <c r="P507" s="116">
        <v>14</v>
      </c>
      <c r="Q507" s="122">
        <v>6</v>
      </c>
      <c r="R507" s="10">
        <v>0.08</v>
      </c>
      <c r="S507" s="79">
        <v>22.36</v>
      </c>
      <c r="T507" s="79">
        <v>0.88</v>
      </c>
      <c r="U507" s="79">
        <v>0.7</v>
      </c>
      <c r="V507" s="85">
        <f t="shared" si="59"/>
        <v>2297.5499999999997</v>
      </c>
      <c r="W507" s="85">
        <f t="shared" si="52"/>
        <v>1834.1562314399998</v>
      </c>
      <c r="X507" s="85">
        <f t="shared" si="53"/>
        <v>0.7983096043350526</v>
      </c>
      <c r="Y507" s="116">
        <v>2</v>
      </c>
      <c r="Z507" s="116">
        <v>2</v>
      </c>
      <c r="AA507" s="122">
        <v>6.1</v>
      </c>
      <c r="AB507" s="116">
        <v>24.6</v>
      </c>
      <c r="AC507" s="122">
        <v>6.2</v>
      </c>
      <c r="AD507" s="122">
        <v>4.3</v>
      </c>
      <c r="AE507" s="79">
        <v>0.16</v>
      </c>
      <c r="AF507" s="79">
        <v>0.14000000000000001</v>
      </c>
      <c r="AG507" s="85">
        <f>(O507+0.3*H507+2)*(F507/2/AK507)</f>
        <v>1838.0399999999997</v>
      </c>
      <c r="AH507" s="85">
        <f t="shared" si="54"/>
        <v>1979.8438399999998</v>
      </c>
      <c r="AI507" s="85">
        <f t="shared" si="55"/>
        <v>1.0771494853213206</v>
      </c>
      <c r="AJ507" s="116">
        <v>1</v>
      </c>
      <c r="AK507" s="116">
        <v>2.5</v>
      </c>
      <c r="AL507" s="122">
        <v>6.4</v>
      </c>
      <c r="AM507" s="116">
        <v>25</v>
      </c>
      <c r="AN507" s="122">
        <v>6.1</v>
      </c>
      <c r="AO507" s="122">
        <v>4.0999999999999996</v>
      </c>
      <c r="AP507" s="79">
        <v>0.12</v>
      </c>
      <c r="AQ507" s="79">
        <v>0.12</v>
      </c>
      <c r="AR507" s="132">
        <f>SUM(C507:E507)</f>
        <v>1369</v>
      </c>
      <c r="AS507" s="134">
        <f>C507/AR507</f>
        <v>0.23228634039444851</v>
      </c>
      <c r="AT507" s="134">
        <f>D507/AR507</f>
        <v>0.76771365960555149</v>
      </c>
      <c r="AU507" s="134">
        <f>E507/AR507</f>
        <v>0</v>
      </c>
      <c r="AV507" s="151">
        <f>IF(AND(F507&lt;&gt;"",Z507&lt;&gt;""),AB507/(F507/2/Z507),"")</f>
        <v>6.8096885813148794E-2</v>
      </c>
      <c r="AW507" s="151">
        <f>IF(AND(F507&lt;&gt;"",AK507&lt;&gt;""),AM507/(F507/2/AK507),"")</f>
        <v>8.6505190311418678E-2</v>
      </c>
      <c r="AX507" s="43">
        <f>IF(AND(AQ507&lt;&gt;"",1-(AQ507/O507)&gt;0),1-(AQ507/O507),"")</f>
        <v>0.93258426966292141</v>
      </c>
      <c r="AY507" s="41">
        <f>IF(AND(AF507&lt;&gt;"",1-(AF507/O507)&gt;0),1-(AF507/O507),"")</f>
        <v>0.9213483146067416</v>
      </c>
      <c r="AZ507" s="136" t="str">
        <f>IF(Q507="","",IF(Q507&lt;2.5,"Alc. Bruta &lt; 2,5 mg/L",IF(Q507&lt;5,"2,5 ≤ Alc. Bruta &lt; 5,0 mg/L",IF(Q507&lt;7.5,"5,0 ≤ Alc. Bruta &lt; 7,5 mg/L",IF(Q507&lt;10,"7,5 ≤ Alc. Bruta &lt; 10,0 mg/L",IF(Q507&lt;15,"10,0 ≤ Alca. Bruta &lt; 15,0 mg/L","Alc. Bruta &gt; 15 mg/L"))))))</f>
        <v>5,0 ≤ Alc. Bruta &lt; 7,5 mg/L</v>
      </c>
      <c r="BA507" s="136" t="str">
        <f>IF(P507="","",IF(P507&lt;5,"Cor &lt;5 uC",IF(P507&lt;10,"5 ≤ Cor &lt; 10 uC",IF(P507&lt;15,"10 ≤ Cor &lt;15 uC",IF(P507&lt;30,"15 ≤ Cor &lt; 30 uC",IF(P507&lt;50,"30 ≤ Cor &lt; 50 uC","Cor &gt; 50 uC"))))))</f>
        <v>10 ≤ Cor &lt;15 uC</v>
      </c>
      <c r="BB507" s="137" t="str">
        <f>IF(O507="","",IF(O507&lt;2.5,"Turbidez &lt; 2,5 uT",IF(O507&lt;5,"2,5 ≤ Turb &lt; 5,0 uT",IF(O507&lt;7.5,"5,0 ≤ Turb &lt; 7,5 uT",IF(O507&lt;10,"7,5 ≤ Turb &lt; 10,0 uT",IF(O507&lt;15,"10,0 ≤ Turb &lt; 15,0 uT","Turb &gt; 15 uT"))))))</f>
        <v>Turbidez &lt; 2,5 uT</v>
      </c>
      <c r="BC507" s="138" t="str">
        <f>IF(AND(C507&gt;D507,D507&gt;E507),"TOR &gt; SM &gt; BNN",IF(AND(C507&gt;E507,E507&gt;D507),"TOR &gt; BNN &gt; SM",IF(AND(D507&gt;C507,C507&gt;E507),"SM &gt; TOR &gt; BNN",IF(AND(D507&gt;E507,E507&gt;C507),"SM &gt; BNN &gt; TOR",IF(AND(C507=D507,D507=E507),"TOR = SM = BNN","Comb. diferentes")))))</f>
        <v>SM &gt; TOR &gt; BNN</v>
      </c>
      <c r="BD507" s="137" t="str">
        <f>IF(OR(AE507="",AQ507="-"),"",IF(AE507&lt;=0.25,"Tipo 1 (≤0,25) uT",IF(AE507&lt;=0.5,"Tipo 2 (0,25-0,50) uT",IF(AE507&lt;=0.75,"Tipo 3 (0,50-0,75) uT","Tipo 4 (&gt;0,75) uT"))))</f>
        <v>Tipo 1 (≤0,25) uT</v>
      </c>
      <c r="BE507" s="137" t="str">
        <f t="shared" si="49"/>
        <v>Tipo 1 (≤0,25) uT</v>
      </c>
      <c r="BF507" s="137" t="str">
        <f>IF(OR(AF507="",AQ507="-"),"",IF(AF507&lt;=0.25,"Tipo 1 (≤0,25) uT",IF(AF507&lt;=0.5,"Tipo 2 (0,25-0,50) uT",IF(AF507&lt;=0.75,"Tipo 3 (0,50-0,75) uT","Tipo 4 (&gt;0,75) uT"))))</f>
        <v>Tipo 1 (≤0,25) uT</v>
      </c>
      <c r="BG507" s="137" t="str">
        <f t="shared" si="50"/>
        <v>Tipo 1 (≤0,25) uT</v>
      </c>
      <c r="BH507" s="137" t="str">
        <f>IF(OR(R507="",R507="-"),"",IF(R507&lt;=0.25,"Tipo 1 (≤0,25) uT",IF(R507&lt;=0.5,"Tipo 2 (0,25-0,50) uT",IF(R507&lt;=0.75,"Tipo 3 (0,50-0,75) uT","Tipo 4 (&gt;0,75) uT"))))</f>
        <v>Tipo 1 (≤0,25) uT</v>
      </c>
    </row>
    <row r="508" spans="1:60" ht="15" thickBot="1" x14ac:dyDescent="0.35">
      <c r="A508" s="88">
        <v>46315</v>
      </c>
      <c r="B508" s="139">
        <v>0.89583333333333337</v>
      </c>
      <c r="C508" s="116">
        <v>316</v>
      </c>
      <c r="D508" s="116">
        <v>1025</v>
      </c>
      <c r="E508" s="117">
        <v>0</v>
      </c>
      <c r="F508" s="116">
        <v>1449</v>
      </c>
      <c r="G508" s="144" t="s">
        <v>34</v>
      </c>
      <c r="H508" s="122">
        <v>8.6</v>
      </c>
      <c r="I508" s="116">
        <v>42</v>
      </c>
      <c r="J508" s="10">
        <v>90</v>
      </c>
      <c r="K508" s="116">
        <v>90</v>
      </c>
      <c r="L508" s="116">
        <v>90</v>
      </c>
      <c r="M508" s="122">
        <v>26</v>
      </c>
      <c r="N508" s="122">
        <v>6.4</v>
      </c>
      <c r="O508" s="79">
        <v>1.54</v>
      </c>
      <c r="P508" s="116">
        <v>13</v>
      </c>
      <c r="Q508" s="122">
        <v>6.2</v>
      </c>
      <c r="R508" s="10">
        <v>0.08</v>
      </c>
      <c r="S508" s="79">
        <v>22.36</v>
      </c>
      <c r="T508" s="79">
        <v>0.88</v>
      </c>
      <c r="U508" s="79">
        <v>0.7</v>
      </c>
      <c r="V508" s="85">
        <f t="shared" si="59"/>
        <v>2216.9699999999998</v>
      </c>
      <c r="W508" s="85">
        <f t="shared" si="52"/>
        <v>1789.4207135999998</v>
      </c>
      <c r="X508" s="85">
        <f t="shared" si="53"/>
        <v>0.80714701308542736</v>
      </c>
      <c r="Y508" s="116">
        <v>2</v>
      </c>
      <c r="Z508" s="116">
        <v>2</v>
      </c>
      <c r="AA508" s="122">
        <v>6.1</v>
      </c>
      <c r="AB508" s="116">
        <v>24</v>
      </c>
      <c r="AC508" s="122">
        <v>6.1</v>
      </c>
      <c r="AD508" s="122">
        <v>4</v>
      </c>
      <c r="AE508" s="79">
        <v>0.15</v>
      </c>
      <c r="AF508" s="79">
        <v>0.16</v>
      </c>
      <c r="AG508" s="85">
        <f>(O508+0.3*H508+2)*(F508/2/AK508)</f>
        <v>1773.5759999999998</v>
      </c>
      <c r="AH508" s="85">
        <f t="shared" si="54"/>
        <v>1979.8438399999998</v>
      </c>
      <c r="AI508" s="85">
        <f t="shared" si="55"/>
        <v>1.1163005363175866</v>
      </c>
      <c r="AJ508" s="116">
        <v>1</v>
      </c>
      <c r="AK508" s="116">
        <v>2.5</v>
      </c>
      <c r="AL508" s="122">
        <v>6.4</v>
      </c>
      <c r="AM508" s="116">
        <v>25</v>
      </c>
      <c r="AN508" s="122">
        <v>6.3</v>
      </c>
      <c r="AO508" s="122">
        <v>4.2</v>
      </c>
      <c r="AP508" s="79">
        <v>0.14000000000000001</v>
      </c>
      <c r="AQ508" s="79">
        <v>0.13</v>
      </c>
      <c r="AR508" s="132">
        <f>SUM(C508:E508)</f>
        <v>1341</v>
      </c>
      <c r="AS508" s="134">
        <f>C508/AR508</f>
        <v>0.23564504101416853</v>
      </c>
      <c r="AT508" s="134">
        <f>D508/AR508</f>
        <v>0.7643549589858315</v>
      </c>
      <c r="AU508" s="134">
        <f>E508/AR508</f>
        <v>0</v>
      </c>
      <c r="AV508" s="151">
        <f>IF(AND(F508&lt;&gt;"",Z508&lt;&gt;""),AB508/(F508/2/Z508),"")</f>
        <v>6.6252587991718431E-2</v>
      </c>
      <c r="AW508" s="151">
        <f>IF(AND(F508&lt;&gt;"",AK508&lt;&gt;""),AM508/(F508/2/AK508),"")</f>
        <v>8.6266390614216704E-2</v>
      </c>
      <c r="AX508" s="43">
        <f>IF(AND(AQ508&lt;&gt;"",1-(AQ508/O508)&gt;0),1-(AQ508/O508),"")</f>
        <v>0.91558441558441561</v>
      </c>
      <c r="AY508" s="41">
        <f>IF(AND(AF508&lt;&gt;"",1-(AF508/O508)&gt;0),1-(AF508/O508),"")</f>
        <v>0.89610389610389607</v>
      </c>
      <c r="AZ508" s="136" t="str">
        <f>IF(Q508="","",IF(Q508&lt;2.5,"Alc. Bruta &lt; 2,5 mg/L",IF(Q508&lt;5,"2,5 ≤ Alc. Bruta &lt; 5,0 mg/L",IF(Q508&lt;7.5,"5,0 ≤ Alc. Bruta &lt; 7,5 mg/L",IF(Q508&lt;10,"7,5 ≤ Alc. Bruta &lt; 10,0 mg/L",IF(Q508&lt;15,"10,0 ≤ Alca. Bruta &lt; 15,0 mg/L","Alc. Bruta &gt; 15 mg/L"))))))</f>
        <v>5,0 ≤ Alc. Bruta &lt; 7,5 mg/L</v>
      </c>
      <c r="BA508" s="136" t="str">
        <f>IF(P508="","",IF(P508&lt;5,"Cor &lt;5 uC",IF(P508&lt;10,"5 ≤ Cor &lt; 10 uC",IF(P508&lt;15,"10 ≤ Cor &lt;15 uC",IF(P508&lt;30,"15 ≤ Cor &lt; 30 uC",IF(P508&lt;50,"30 ≤ Cor &lt; 50 uC","Cor &gt; 50 uC"))))))</f>
        <v>10 ≤ Cor &lt;15 uC</v>
      </c>
      <c r="BB508" s="137" t="str">
        <f>IF(O508="","",IF(O508&lt;2.5,"Turbidez &lt; 2,5 uT",IF(O508&lt;5,"2,5 ≤ Turb &lt; 5,0 uT",IF(O508&lt;7.5,"5,0 ≤ Turb &lt; 7,5 uT",IF(O508&lt;10,"7,5 ≤ Turb &lt; 10,0 uT",IF(O508&lt;15,"10,0 ≤ Turb &lt; 15,0 uT","Turb &gt; 15 uT"))))))</f>
        <v>Turbidez &lt; 2,5 uT</v>
      </c>
      <c r="BC508" s="138" t="str">
        <f>IF(AND(C508&gt;D508,D508&gt;E508),"TOR &gt; SM &gt; BNN",IF(AND(C508&gt;E508,E508&gt;D508),"TOR &gt; BNN &gt; SM",IF(AND(D508&gt;C508,C508&gt;E508),"SM &gt; TOR &gt; BNN",IF(AND(D508&gt;E508,E508&gt;C508),"SM &gt; BNN &gt; TOR",IF(AND(C508=D508,D508=E508),"TOR = SM = BNN","Comb. diferentes")))))</f>
        <v>SM &gt; TOR &gt; BNN</v>
      </c>
      <c r="BD508" s="137" t="str">
        <f>IF(OR(AE508="",AQ508="-"),"",IF(AE508&lt;=0.25,"Tipo 1 (≤0,25) uT",IF(AE508&lt;=0.5,"Tipo 2 (0,25-0,50) uT",IF(AE508&lt;=0.75,"Tipo 3 (0,50-0,75) uT","Tipo 4 (&gt;0,75) uT"))))</f>
        <v>Tipo 1 (≤0,25) uT</v>
      </c>
      <c r="BE508" s="137" t="str">
        <f t="shared" si="49"/>
        <v>Tipo 1 (≤0,25) uT</v>
      </c>
      <c r="BF508" s="137" t="str">
        <f>IF(OR(AF508="",AQ508="-"),"",IF(AF508&lt;=0.25,"Tipo 1 (≤0,25) uT",IF(AF508&lt;=0.5,"Tipo 2 (0,25-0,50) uT",IF(AF508&lt;=0.75,"Tipo 3 (0,50-0,75) uT","Tipo 4 (&gt;0,75) uT"))))</f>
        <v>Tipo 1 (≤0,25) uT</v>
      </c>
      <c r="BG508" s="137" t="str">
        <f t="shared" si="50"/>
        <v>Tipo 1 (≤0,25) uT</v>
      </c>
      <c r="BH508" s="137" t="str">
        <f>IF(OR(R508="",R508="-"),"",IF(R508&lt;=0.25,"Tipo 1 (≤0,25) uT",IF(R508&lt;=0.5,"Tipo 2 (0,25-0,50) uT",IF(R508&lt;=0.75,"Tipo 3 (0,50-0,75) uT","Tipo 4 (&gt;0,75) uT"))))</f>
        <v>Tipo 1 (≤0,25) uT</v>
      </c>
    </row>
    <row r="509" spans="1:60" ht="15" thickBot="1" x14ac:dyDescent="0.35">
      <c r="A509" s="88">
        <v>46316</v>
      </c>
      <c r="B509" s="139">
        <v>6.25E-2</v>
      </c>
      <c r="C509" s="116">
        <v>322</v>
      </c>
      <c r="D509" s="116">
        <v>1041</v>
      </c>
      <c r="E509" s="117">
        <v>0</v>
      </c>
      <c r="F509" s="116">
        <v>1445</v>
      </c>
      <c r="G509" s="144" t="s">
        <v>34</v>
      </c>
      <c r="H509" s="122">
        <v>8.6</v>
      </c>
      <c r="I509" s="116">
        <v>164</v>
      </c>
      <c r="J509" s="10">
        <v>90</v>
      </c>
      <c r="K509" s="116">
        <v>90</v>
      </c>
      <c r="L509" s="116">
        <v>90</v>
      </c>
      <c r="M509" s="122">
        <v>26</v>
      </c>
      <c r="N509" s="122">
        <v>6.5</v>
      </c>
      <c r="O509" s="79">
        <v>1.68</v>
      </c>
      <c r="P509" s="116">
        <v>15</v>
      </c>
      <c r="Q509" s="122">
        <v>6.8</v>
      </c>
      <c r="R509" s="10">
        <v>0.12</v>
      </c>
      <c r="S509" s="79">
        <v>22.36</v>
      </c>
      <c r="T509" s="79">
        <v>0.88</v>
      </c>
      <c r="U509" s="79">
        <v>0.7</v>
      </c>
      <c r="V509" s="85">
        <f t="shared" si="59"/>
        <v>2261.4249999999997</v>
      </c>
      <c r="W509" s="85">
        <f t="shared" si="52"/>
        <v>1829.6189849599996</v>
      </c>
      <c r="X509" s="85">
        <f t="shared" si="53"/>
        <v>0.80905578781520493</v>
      </c>
      <c r="Y509" s="116">
        <v>2</v>
      </c>
      <c r="Z509" s="116">
        <v>2</v>
      </c>
      <c r="AA509" s="122">
        <v>5.9</v>
      </c>
      <c r="AB509" s="116">
        <v>25.6</v>
      </c>
      <c r="AC509" s="122">
        <v>6.2</v>
      </c>
      <c r="AD509" s="122">
        <v>4.5</v>
      </c>
      <c r="AE509" s="79">
        <v>0.16</v>
      </c>
      <c r="AF509" s="79">
        <v>0.13</v>
      </c>
      <c r="AG509" s="85">
        <f>(O509+0.3*H509+2)*(F509/2/AK509)</f>
        <v>1809.1399999999999</v>
      </c>
      <c r="AH509" s="85">
        <f t="shared" si="54"/>
        <v>1979.8438399999998</v>
      </c>
      <c r="AI509" s="85">
        <f t="shared" si="55"/>
        <v>1.094356346109201</v>
      </c>
      <c r="AJ509" s="116">
        <v>1</v>
      </c>
      <c r="AK509" s="116">
        <v>2.5</v>
      </c>
      <c r="AL509" s="122">
        <v>6.4</v>
      </c>
      <c r="AM509" s="116">
        <v>25</v>
      </c>
      <c r="AN509" s="122">
        <v>6.1</v>
      </c>
      <c r="AO509" s="122">
        <v>4.0999999999999996</v>
      </c>
      <c r="AP509" s="79">
        <v>0.15</v>
      </c>
      <c r="AQ509" s="79">
        <v>0.12</v>
      </c>
      <c r="AR509" s="132">
        <f>SUM(C509:E509)</f>
        <v>1363</v>
      </c>
      <c r="AS509" s="134">
        <f>C509/AR509</f>
        <v>0.23624358033749082</v>
      </c>
      <c r="AT509" s="134">
        <f>D509/AR509</f>
        <v>0.76375641966250918</v>
      </c>
      <c r="AU509" s="134">
        <f>E509/AR509</f>
        <v>0</v>
      </c>
      <c r="AV509" s="151">
        <f>IF(AND(F509&lt;&gt;"",Z509&lt;&gt;""),AB509/(F509/2/Z509),"")</f>
        <v>7.0865051903114193E-2</v>
      </c>
      <c r="AW509" s="151">
        <f>IF(AND(F509&lt;&gt;"",AK509&lt;&gt;""),AM509/(F509/2/AK509),"")</f>
        <v>8.6505190311418678E-2</v>
      </c>
      <c r="AX509" s="43">
        <f>IF(AND(AQ509&lt;&gt;"",1-(AQ509/O509)&gt;0),1-(AQ509/O509),"")</f>
        <v>0.9285714285714286</v>
      </c>
      <c r="AY509" s="41">
        <f>IF(AND(AF509&lt;&gt;"",1-(AF509/O509)&gt;0),1-(AF509/O509),"")</f>
        <v>0.92261904761904767</v>
      </c>
      <c r="AZ509" s="136" t="str">
        <f>IF(Q509="","",IF(Q509&lt;2.5,"Alc. Bruta &lt; 2,5 mg/L",IF(Q509&lt;5,"2,5 ≤ Alc. Bruta &lt; 5,0 mg/L",IF(Q509&lt;7.5,"5,0 ≤ Alc. Bruta &lt; 7,5 mg/L",IF(Q509&lt;10,"7,5 ≤ Alc. Bruta &lt; 10,0 mg/L",IF(Q509&lt;15,"10,0 ≤ Alca. Bruta &lt; 15,0 mg/L","Alc. Bruta &gt; 15 mg/L"))))))</f>
        <v>5,0 ≤ Alc. Bruta &lt; 7,5 mg/L</v>
      </c>
      <c r="BA509" s="136" t="str">
        <f>IF(P509="","",IF(P509&lt;5,"Cor &lt;5 uC",IF(P509&lt;10,"5 ≤ Cor &lt; 10 uC",IF(P509&lt;15,"10 ≤ Cor &lt;15 uC",IF(P509&lt;30,"15 ≤ Cor &lt; 30 uC",IF(P509&lt;50,"30 ≤ Cor &lt; 50 uC","Cor &gt; 50 uC"))))))</f>
        <v>15 ≤ Cor &lt; 30 uC</v>
      </c>
      <c r="BB509" s="137" t="str">
        <f>IF(O509="","",IF(O509&lt;2.5,"Turbidez &lt; 2,5 uT",IF(O509&lt;5,"2,5 ≤ Turb &lt; 5,0 uT",IF(O509&lt;7.5,"5,0 ≤ Turb &lt; 7,5 uT",IF(O509&lt;10,"7,5 ≤ Turb &lt; 10,0 uT",IF(O509&lt;15,"10,0 ≤ Turb &lt; 15,0 uT","Turb &gt; 15 uT"))))))</f>
        <v>Turbidez &lt; 2,5 uT</v>
      </c>
      <c r="BC509" s="138" t="str">
        <f>IF(AND(C509&gt;D509,D509&gt;E509),"TOR &gt; SM &gt; BNN",IF(AND(C509&gt;E509,E509&gt;D509),"TOR &gt; BNN &gt; SM",IF(AND(D509&gt;C509,C509&gt;E509),"SM &gt; TOR &gt; BNN",IF(AND(D509&gt;E509,E509&gt;C509),"SM &gt; BNN &gt; TOR",IF(AND(C509=D509,D509=E509),"TOR = SM = BNN","Comb. diferentes")))))</f>
        <v>SM &gt; TOR &gt; BNN</v>
      </c>
      <c r="BD509" s="137" t="str">
        <f>IF(OR(AE509="",AQ509="-"),"",IF(AE509&lt;=0.25,"Tipo 1 (≤0,25) uT",IF(AE509&lt;=0.5,"Tipo 2 (0,25-0,50) uT",IF(AE509&lt;=0.75,"Tipo 3 (0,50-0,75) uT","Tipo 4 (&gt;0,75) uT"))))</f>
        <v>Tipo 1 (≤0,25) uT</v>
      </c>
      <c r="BE509" s="137" t="str">
        <f t="shared" ref="BE509:BE511" si="60">IF(OR(AP509="",AZ509="-"),"",IF(AP509&lt;=0.25,"Tipo 1 (≤0,25) uT",IF(AP509&lt;=0.5,"Tipo 2 (0,25-0,50) uT",IF(AP509&lt;=0.75,"Tipo 3 (0,50-0,75) uT","Tipo 4 (&gt;0,75) uT"))))</f>
        <v>Tipo 1 (≤0,25) uT</v>
      </c>
      <c r="BF509" s="137" t="str">
        <f>IF(OR(AF509="",AQ509="-"),"",IF(AF509&lt;=0.25,"Tipo 1 (≤0,25) uT",IF(AF509&lt;=0.5,"Tipo 2 (0,25-0,50) uT",IF(AF509&lt;=0.75,"Tipo 3 (0,50-0,75) uT","Tipo 4 (&gt;0,75) uT"))))</f>
        <v>Tipo 1 (≤0,25) uT</v>
      </c>
      <c r="BG509" s="137" t="str">
        <f t="shared" ref="BG509:BG511" si="61">IF(OR(AQ509="",AQ509="-"),"",IF(AQ509&lt;=0.25,"Tipo 1 (≤0,25) uT",IF(AQ509&lt;=0.5,"Tipo 2 (0,25-0,50) uT",IF(AQ509&lt;=0.75,"Tipo 3 (0,50-0,75) uT","Tipo 4 (&gt;0,75) uT"))))</f>
        <v>Tipo 1 (≤0,25) uT</v>
      </c>
      <c r="BH509" s="137" t="str">
        <f>IF(OR(R509="",R509="-"),"",IF(R509&lt;=0.25,"Tipo 1 (≤0,25) uT",IF(R509&lt;=0.5,"Tipo 2 (0,25-0,50) uT",IF(R509&lt;=0.75,"Tipo 3 (0,50-0,75) uT","Tipo 4 (&gt;0,75) uT"))))</f>
        <v>Tipo 1 (≤0,25) uT</v>
      </c>
    </row>
    <row r="510" spans="1:60" x14ac:dyDescent="0.3">
      <c r="A510" s="88">
        <v>46316</v>
      </c>
      <c r="B510" s="139">
        <v>0.14583333333333334</v>
      </c>
      <c r="C510" s="116">
        <v>337</v>
      </c>
      <c r="D510" s="116">
        <v>1261</v>
      </c>
      <c r="E510" s="116">
        <v>248</v>
      </c>
      <c r="F510" s="116">
        <v>2047</v>
      </c>
      <c r="G510" s="144" t="s">
        <v>34</v>
      </c>
      <c r="H510" s="122">
        <v>8.6</v>
      </c>
      <c r="I510" s="116">
        <v>150</v>
      </c>
      <c r="J510" s="10">
        <v>90</v>
      </c>
      <c r="K510" s="116">
        <v>90</v>
      </c>
      <c r="L510" s="116">
        <v>90</v>
      </c>
      <c r="M510" s="122">
        <v>25.5</v>
      </c>
      <c r="N510" s="122">
        <v>6.4</v>
      </c>
      <c r="O510" s="79">
        <v>1.79</v>
      </c>
      <c r="P510" s="116">
        <v>13</v>
      </c>
      <c r="Q510" s="122">
        <v>6.5</v>
      </c>
      <c r="R510" s="10">
        <v>0.11</v>
      </c>
      <c r="S510" s="79">
        <v>22.36</v>
      </c>
      <c r="T510" s="79">
        <v>0.88</v>
      </c>
      <c r="U510" s="79">
        <v>0.7</v>
      </c>
      <c r="V510" s="85">
        <f t="shared" si="59"/>
        <v>2173.2316666666666</v>
      </c>
      <c r="W510" s="85">
        <f t="shared" si="52"/>
        <v>1786.7372899999996</v>
      </c>
      <c r="X510" s="85">
        <f t="shared" si="53"/>
        <v>0.82215684476037587</v>
      </c>
      <c r="Y510" s="116">
        <v>3</v>
      </c>
      <c r="Z510" s="116">
        <v>3</v>
      </c>
      <c r="AA510" s="122">
        <v>5.9</v>
      </c>
      <c r="AB510" s="116">
        <v>25</v>
      </c>
      <c r="AC510" s="122">
        <v>6.2</v>
      </c>
      <c r="AD510" s="122">
        <v>4.7</v>
      </c>
      <c r="AE510" s="79">
        <v>0.15</v>
      </c>
      <c r="AF510" s="79">
        <v>0.33</v>
      </c>
      <c r="AG510" s="85">
        <f>(O510+0.3*H510+2)*(F510/2/AK510)</f>
        <v>1629.9237499999997</v>
      </c>
      <c r="AH510" s="85">
        <f t="shared" si="54"/>
        <v>1900.6500864</v>
      </c>
      <c r="AI510" s="85">
        <f t="shared" si="55"/>
        <v>1.1660975468330959</v>
      </c>
      <c r="AJ510" s="116">
        <v>3</v>
      </c>
      <c r="AK510" s="116">
        <v>4</v>
      </c>
      <c r="AL510" s="122">
        <v>6.4</v>
      </c>
      <c r="AM510" s="116">
        <v>24</v>
      </c>
      <c r="AN510" s="122">
        <v>6.1</v>
      </c>
      <c r="AO510" s="122">
        <v>4.4000000000000004</v>
      </c>
      <c r="AP510" s="79">
        <v>0.17</v>
      </c>
      <c r="AQ510" s="79">
        <v>0.13</v>
      </c>
      <c r="AR510" s="132">
        <f>SUM(C510:E510)</f>
        <v>1846</v>
      </c>
      <c r="AS510" s="134">
        <f>C510/AR510</f>
        <v>0.18255687973997833</v>
      </c>
      <c r="AT510" s="134">
        <f>D510/AR510</f>
        <v>0.68309859154929575</v>
      </c>
      <c r="AU510" s="134">
        <f>E510/AR510</f>
        <v>0.13434452871072589</v>
      </c>
      <c r="AV510" s="151">
        <f>IF(AND(F510&lt;&gt;"",Z510&lt;&gt;""),AB510/(F510/2/Z510),"")</f>
        <v>7.3277967757694185E-2</v>
      </c>
      <c r="AW510" s="151">
        <f>IF(AND(F510&lt;&gt;"",AK510&lt;&gt;""),AM510/(F510/2/AK510),"")</f>
        <v>9.3795798729848556E-2</v>
      </c>
      <c r="AX510" s="43">
        <f>IF(AND(AQ510&lt;&gt;"",1-(AQ510/O510)&gt;0),1-(AQ510/O510),"")</f>
        <v>0.92737430167597767</v>
      </c>
      <c r="AY510" s="41">
        <f>IF(AND(AF510&lt;&gt;"",1-(AF510/O510)&gt;0),1-(AF510/O510),"")</f>
        <v>0.81564245810055869</v>
      </c>
      <c r="AZ510" s="136" t="str">
        <f>IF(Q510="","",IF(Q510&lt;2.5,"Alc. Bruta &lt; 2,5 mg/L",IF(Q510&lt;5,"2,5 ≤ Alc. Bruta &lt; 5,0 mg/L",IF(Q510&lt;7.5,"5,0 ≤ Alc. Bruta &lt; 7,5 mg/L",IF(Q510&lt;10,"7,5 ≤ Alc. Bruta &lt; 10,0 mg/L",IF(Q510&lt;15,"10,0 ≤ Alca. Bruta &lt; 15,0 mg/L","Alc. Bruta &gt; 15 mg/L"))))))</f>
        <v>5,0 ≤ Alc. Bruta &lt; 7,5 mg/L</v>
      </c>
      <c r="BA510" s="136" t="str">
        <f>IF(P510="","",IF(P510&lt;5,"Cor &lt;5 uC",IF(P510&lt;10,"5 ≤ Cor &lt; 10 uC",IF(P510&lt;15,"10 ≤ Cor &lt;15 uC",IF(P510&lt;30,"15 ≤ Cor &lt; 30 uC",IF(P510&lt;50,"30 ≤ Cor &lt; 50 uC","Cor &gt; 50 uC"))))))</f>
        <v>10 ≤ Cor &lt;15 uC</v>
      </c>
      <c r="BB510" s="137" t="str">
        <f>IF(O510="","",IF(O510&lt;2.5,"Turbidez &lt; 2,5 uT",IF(O510&lt;5,"2,5 ≤ Turb &lt; 5,0 uT",IF(O510&lt;7.5,"5,0 ≤ Turb &lt; 7,5 uT",IF(O510&lt;10,"7,5 ≤ Turb &lt; 10,0 uT",IF(O510&lt;15,"10,0 ≤ Turb &lt; 15,0 uT","Turb &gt; 15 uT"))))))</f>
        <v>Turbidez &lt; 2,5 uT</v>
      </c>
      <c r="BC510" s="138" t="str">
        <f>IF(AND(C510&gt;D510,D510&gt;E510),"TOR &gt; SM &gt; BNN",IF(AND(C510&gt;E510,E510&gt;D510),"TOR &gt; BNN &gt; SM",IF(AND(D510&gt;C510,C510&gt;E510),"SM &gt; TOR &gt; BNN",IF(AND(D510&gt;E510,E510&gt;C510),"SM &gt; BNN &gt; TOR",IF(AND(C510=D510,D510=E510),"TOR = SM = BNN","Comb. diferentes")))))</f>
        <v>SM &gt; TOR &gt; BNN</v>
      </c>
      <c r="BD510" s="137" t="str">
        <f>IF(OR(AE510="",AQ510="-"),"",IF(AE510&lt;=0.25,"Tipo 1 (≤0,25) uT",IF(AE510&lt;=0.5,"Tipo 2 (0,25-0,50) uT",IF(AE510&lt;=0.75,"Tipo 3 (0,50-0,75) uT","Tipo 4 (&gt;0,75) uT"))))</f>
        <v>Tipo 1 (≤0,25) uT</v>
      </c>
      <c r="BE510" s="137" t="str">
        <f t="shared" si="60"/>
        <v>Tipo 1 (≤0,25) uT</v>
      </c>
      <c r="BF510" s="137" t="str">
        <f>IF(OR(AF510="",AQ510="-"),"",IF(AF510&lt;=0.25,"Tipo 1 (≤0,25) uT",IF(AF510&lt;=0.5,"Tipo 2 (0,25-0,50) uT",IF(AF510&lt;=0.75,"Tipo 3 (0,50-0,75) uT","Tipo 4 (&gt;0,75) uT"))))</f>
        <v>Tipo 2 (0,25-0,50) uT</v>
      </c>
      <c r="BG510" s="137" t="str">
        <f t="shared" si="61"/>
        <v>Tipo 1 (≤0,25) uT</v>
      </c>
      <c r="BH510" s="137" t="str">
        <f>IF(OR(R510="",R510="-"),"",IF(R510&lt;=0.25,"Tipo 1 (≤0,25) uT",IF(R510&lt;=0.5,"Tipo 2 (0,25-0,50) uT",IF(R510&lt;=0.75,"Tipo 3 (0,50-0,75) uT","Tipo 4 (&gt;0,75) uT"))))</f>
        <v>Tipo 1 (≤0,25) uT</v>
      </c>
    </row>
    <row r="511" spans="1:60" ht="15" thickBot="1" x14ac:dyDescent="0.35">
      <c r="A511" s="89">
        <v>46316</v>
      </c>
      <c r="B511" s="140">
        <v>0.22916666666666666</v>
      </c>
      <c r="C511" s="117">
        <v>358</v>
      </c>
      <c r="D511" s="117">
        <v>2141</v>
      </c>
      <c r="E511" s="117">
        <v>350</v>
      </c>
      <c r="F511" s="117">
        <v>2848</v>
      </c>
      <c r="G511" s="145" t="s">
        <v>34</v>
      </c>
      <c r="H511" s="123">
        <v>8.6</v>
      </c>
      <c r="I511" s="117">
        <v>1.19</v>
      </c>
      <c r="J511" s="11">
        <v>90</v>
      </c>
      <c r="K511" s="117">
        <v>90</v>
      </c>
      <c r="L511" s="117">
        <v>90</v>
      </c>
      <c r="M511" s="123">
        <v>25.3</v>
      </c>
      <c r="N511" s="123">
        <v>6.5</v>
      </c>
      <c r="O511" s="80">
        <v>2.2400000000000002</v>
      </c>
      <c r="P511" s="117">
        <v>13</v>
      </c>
      <c r="Q511" s="123">
        <v>8.8000000000000007</v>
      </c>
      <c r="R511" s="11">
        <v>0.11</v>
      </c>
      <c r="S511" s="79">
        <v>22.36</v>
      </c>
      <c r="T511" s="79">
        <v>0.88</v>
      </c>
      <c r="U511" s="79">
        <v>0.7</v>
      </c>
      <c r="V511" s="85">
        <f t="shared" si="59"/>
        <v>3237.2266666666669</v>
      </c>
      <c r="W511" s="85">
        <f t="shared" si="52"/>
        <v>1786.7372899999996</v>
      </c>
      <c r="X511" s="85">
        <f t="shared" si="53"/>
        <v>0.5519345643596163</v>
      </c>
      <c r="Y511" s="117">
        <v>3</v>
      </c>
      <c r="Z511" s="117">
        <v>3</v>
      </c>
      <c r="AA511" s="123">
        <v>5.9</v>
      </c>
      <c r="AB511" s="117">
        <v>25</v>
      </c>
      <c r="AC511" s="123">
        <v>6.3</v>
      </c>
      <c r="AD511" s="123">
        <v>6.9</v>
      </c>
      <c r="AE511" s="80">
        <v>0.18</v>
      </c>
      <c r="AF511" s="80">
        <v>0.15</v>
      </c>
      <c r="AG511" s="85">
        <f>(O511+0.3*H511+2)*(F511/2/AK511)</f>
        <v>2427.92</v>
      </c>
      <c r="AH511" s="85">
        <f t="shared" si="54"/>
        <v>1979.8438399999998</v>
      </c>
      <c r="AI511" s="85">
        <f t="shared" si="55"/>
        <v>0.81544854855184679</v>
      </c>
      <c r="AJ511" s="117">
        <v>3</v>
      </c>
      <c r="AK511" s="117">
        <v>4</v>
      </c>
      <c r="AL511" s="123">
        <v>6.4</v>
      </c>
      <c r="AM511" s="117">
        <v>25</v>
      </c>
      <c r="AN511" s="123">
        <v>6.4</v>
      </c>
      <c r="AO511" s="123">
        <v>6.5</v>
      </c>
      <c r="AP511" s="80">
        <v>0.23</v>
      </c>
      <c r="AQ511" s="80">
        <v>0.11</v>
      </c>
      <c r="AR511" s="132">
        <f>SUM(C511:E511)</f>
        <v>2849</v>
      </c>
      <c r="AS511" s="134">
        <f>C511/AR511</f>
        <v>0.12565812565812565</v>
      </c>
      <c r="AT511" s="134">
        <f>D511/AR511</f>
        <v>0.75149175149175151</v>
      </c>
      <c r="AU511" s="134">
        <f>E511/AR511</f>
        <v>0.12285012285012285</v>
      </c>
      <c r="AV511" s="151">
        <f>IF(AND(F511&lt;&gt;"",Z511&lt;&gt;""),AB511/(F511/2/Z511),"")</f>
        <v>5.2668539325842693E-2</v>
      </c>
      <c r="AW511" s="151">
        <f>IF(AND(F511&lt;&gt;"",AK511&lt;&gt;""),AM511/(F511/2/AK511),"")</f>
        <v>7.02247191011236E-2</v>
      </c>
      <c r="AX511" s="43">
        <f>IF(AND(AQ511&lt;&gt;"",1-(AQ511/O511)&gt;0),1-(AQ511/O511),"")</f>
        <v>0.9508928571428571</v>
      </c>
      <c r="AY511" s="41">
        <f>IF(AND(AF511&lt;&gt;"",1-(AF511/O511)&gt;0),1-(AF511/O511),"")</f>
        <v>0.9330357142857143</v>
      </c>
      <c r="AZ511" s="136" t="str">
        <f>IF(Q511="","",IF(Q511&lt;2.5,"Alc. Bruta &lt; 2,5 mg/L",IF(Q511&lt;5,"2,5 ≤ Alc. Bruta &lt; 5,0 mg/L",IF(Q511&lt;7.5,"5,0 ≤ Alc. Bruta &lt; 7,5 mg/L",IF(Q511&lt;10,"7,5 ≤ Alc. Bruta &lt; 10,0 mg/L",IF(Q511&lt;15,"10,0 ≤ Alca. Bruta &lt; 15,0 mg/L","Alc. Bruta &gt; 15 mg/L"))))))</f>
        <v>7,5 ≤ Alc. Bruta &lt; 10,0 mg/L</v>
      </c>
      <c r="BA511" s="136" t="str">
        <f>IF(P511="","",IF(P511&lt;5,"Cor &lt;5 uC",IF(P511&lt;10,"5 ≤ Cor &lt; 10 uC",IF(P511&lt;15,"10 ≤ Cor &lt;15 uC",IF(P511&lt;30,"15 ≤ Cor &lt; 30 uC",IF(P511&lt;50,"30 ≤ Cor &lt; 50 uC","Cor &gt; 50 uC"))))))</f>
        <v>10 ≤ Cor &lt;15 uC</v>
      </c>
      <c r="BB511" s="137" t="str">
        <f>IF(O511="","",IF(O511&lt;2.5,"Turbidez &lt; 2,5 uT",IF(O511&lt;5,"2,5 ≤ Turb &lt; 5,0 uT",IF(O511&lt;7.5,"5,0 ≤ Turb &lt; 7,5 uT",IF(O511&lt;10,"7,5 ≤ Turb &lt; 10,0 uT",IF(O511&lt;15,"10,0 ≤ Turb &lt; 15,0 uT","Turb &gt; 15 uT"))))))</f>
        <v>Turbidez &lt; 2,5 uT</v>
      </c>
      <c r="BC511" s="138" t="str">
        <f>IF(AND(C511&gt;D511,D511&gt;E511),"TOR &gt; SM &gt; BNN",IF(AND(C511&gt;E511,E511&gt;D511),"TOR &gt; BNN &gt; SM",IF(AND(D511&gt;C511,C511&gt;E511),"SM &gt; TOR &gt; BNN",IF(AND(D511&gt;E511,E511&gt;C511),"SM &gt; BNN &gt; TOR",IF(AND(C511=D511,D511=E511),"TOR = SM = BNN","Comb. diferentes")))))</f>
        <v>SM &gt; TOR &gt; BNN</v>
      </c>
      <c r="BD511" s="137" t="str">
        <f>IF(OR(AE511="",AQ511="-"),"",IF(AE511&lt;=0.25,"Tipo 1 (≤0,25) uT",IF(AE511&lt;=0.5,"Tipo 2 (0,25-0,50) uT",IF(AE511&lt;=0.75,"Tipo 3 (0,50-0,75) uT","Tipo 4 (&gt;0,75) uT"))))</f>
        <v>Tipo 1 (≤0,25) uT</v>
      </c>
      <c r="BE511" s="137" t="str">
        <f t="shared" si="60"/>
        <v>Tipo 1 (≤0,25) uT</v>
      </c>
      <c r="BF511" s="137" t="str">
        <f>IF(OR(AF511="",AQ511="-"),"",IF(AF511&lt;=0.25,"Tipo 1 (≤0,25) uT",IF(AF511&lt;=0.5,"Tipo 2 (0,25-0,50) uT",IF(AF511&lt;=0.75,"Tipo 3 (0,50-0,75) uT","Tipo 4 (&gt;0,75) uT"))))</f>
        <v>Tipo 1 (≤0,25) uT</v>
      </c>
      <c r="BG511" s="137" t="str">
        <f t="shared" si="61"/>
        <v>Tipo 1 (≤0,25) uT</v>
      </c>
      <c r="BH511" s="137" t="str">
        <f>IF(OR(R511="",R511="-"),"",IF(R511&lt;=0.25,"Tipo 1 (≤0,25) uT",IF(R511&lt;=0.5,"Tipo 2 (0,25-0,50) uT",IF(R511&lt;=0.75,"Tipo 3 (0,50-0,75) uT","Tipo 4 (&gt;0,75) uT"))))</f>
        <v>Tipo 1 (≤0,25) uT</v>
      </c>
    </row>
  </sheetData>
  <autoFilter ref="A1:BH511" xr:uid="{DFF5E3E3-7810-4FE4-98E4-2F4B293F5DD5}"/>
  <pageMargins left="0.511811024" right="0.511811024" top="0.78740157499999996" bottom="0.78740157499999996" header="0.31496062000000002" footer="0.31496062000000002"/>
  <pageSetup paperSize="9" orientation="portrait" r:id="rId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FF5E3E3-7810-4FE4-98E4-2F4B293F5DD5}">
  <dimension ref="A1:BG531"/>
  <sheetViews>
    <sheetView topLeftCell="AY1" zoomScaleNormal="100" workbookViewId="0">
      <selection activeCell="AY1" sqref="AY1:BG1048576"/>
    </sheetView>
  </sheetViews>
  <sheetFormatPr defaultRowHeight="14.4" x14ac:dyDescent="0.3"/>
  <cols>
    <col min="1" max="1" width="10.77734375" style="27" bestFit="1" customWidth="1"/>
    <col min="2" max="2" width="8.88671875" style="114"/>
    <col min="3" max="3" width="10" style="120" customWidth="1"/>
    <col min="4" max="4" width="9" style="120" customWidth="1"/>
    <col min="5" max="5" width="10.77734375" style="120" customWidth="1"/>
    <col min="6" max="6" width="9.6640625" style="120" customWidth="1"/>
    <col min="7" max="7" width="5.5546875" customWidth="1"/>
    <col min="8" max="8" width="8.88671875" style="69"/>
    <col min="9" max="9" width="8.5546875" style="120" customWidth="1"/>
    <col min="10" max="11" width="8.88671875" style="120"/>
    <col min="12" max="13" width="8.88671875" style="69"/>
    <col min="14" max="14" width="8.88671875" style="83"/>
    <col min="15" max="15" width="8.88671875" style="120"/>
    <col min="16" max="16" width="8.88671875" style="69"/>
    <col min="17" max="18" width="8.88671875" style="83"/>
    <col min="19" max="19" width="8.88671875" style="83" customWidth="1"/>
    <col min="20" max="20" width="8.88671875" style="83"/>
    <col min="21" max="21" width="15.33203125" style="83" customWidth="1"/>
    <col min="22" max="22" width="15.77734375" style="83" customWidth="1"/>
    <col min="23" max="23" width="12.109375" style="83" customWidth="1"/>
    <col min="24" max="25" width="8.88671875" style="120"/>
    <col min="26" max="26" width="10.109375" style="69" customWidth="1"/>
    <col min="27" max="27" width="10.21875" style="120" customWidth="1"/>
    <col min="28" max="28" width="11.88671875" style="69" customWidth="1"/>
    <col min="29" max="29" width="12.21875" style="69" customWidth="1"/>
    <col min="30" max="30" width="13.44140625" customWidth="1"/>
    <col min="31" max="34" width="14.44140625" style="83" customWidth="1"/>
    <col min="35" max="36" width="8.88671875" style="120"/>
    <col min="37" max="37" width="12.109375" style="83" customWidth="1"/>
    <col min="38" max="38" width="11.88671875" style="83" customWidth="1"/>
    <col min="39" max="39" width="12" style="69" customWidth="1"/>
    <col min="40" max="40" width="12.109375" style="69" customWidth="1"/>
    <col min="41" max="41" width="13.33203125" style="83" customWidth="1"/>
    <col min="42" max="42" width="13.88671875" style="83" customWidth="1"/>
    <col min="43" max="43" width="13.88671875" style="120" customWidth="1"/>
    <col min="44" max="46" width="13.88671875" style="42" customWidth="1"/>
    <col min="47" max="48" width="14" style="42" customWidth="1"/>
    <col min="49" max="49" width="18" style="42" customWidth="1"/>
    <col min="50" max="50" width="17.109375" style="42" customWidth="1"/>
    <col min="51" max="51" width="25.77734375" style="70" customWidth="1"/>
    <col min="52" max="52" width="18" style="70" customWidth="1"/>
    <col min="53" max="53" width="20" style="70" customWidth="1"/>
    <col min="54" max="54" width="19.33203125" style="70" customWidth="1"/>
    <col min="55" max="55" width="19.77734375" style="70" customWidth="1"/>
    <col min="56" max="56" width="21.109375" style="70" customWidth="1"/>
    <col min="57" max="57" width="24.33203125" style="70" customWidth="1"/>
    <col min="58" max="58" width="24.77734375" style="70" customWidth="1"/>
    <col min="59" max="59" width="18.77734375" style="70" customWidth="1"/>
  </cols>
  <sheetData>
    <row r="1" spans="1:59" ht="111" customHeight="1" x14ac:dyDescent="0.3">
      <c r="A1" s="25" t="s">
        <v>47</v>
      </c>
      <c r="B1" s="106" t="s">
        <v>0</v>
      </c>
      <c r="C1" s="115" t="s">
        <v>70</v>
      </c>
      <c r="D1" s="115" t="s">
        <v>71</v>
      </c>
      <c r="E1" s="115" t="s">
        <v>72</v>
      </c>
      <c r="F1" s="115" t="s">
        <v>73</v>
      </c>
      <c r="G1" s="5" t="s">
        <v>74</v>
      </c>
      <c r="H1" s="121" t="s">
        <v>75</v>
      </c>
      <c r="I1" s="115" t="s">
        <v>297</v>
      </c>
      <c r="J1" s="115" t="s">
        <v>76</v>
      </c>
      <c r="K1" s="115" t="s">
        <v>77</v>
      </c>
      <c r="L1" s="121" t="s">
        <v>78</v>
      </c>
      <c r="M1" s="121" t="s">
        <v>79</v>
      </c>
      <c r="N1" s="78" t="s">
        <v>80</v>
      </c>
      <c r="O1" s="115" t="s">
        <v>81</v>
      </c>
      <c r="P1" s="121" t="s">
        <v>82</v>
      </c>
      <c r="Q1" s="78" t="s">
        <v>83</v>
      </c>
      <c r="R1" s="78" t="s">
        <v>308</v>
      </c>
      <c r="S1" s="78" t="s">
        <v>309</v>
      </c>
      <c r="T1" s="78" t="s">
        <v>310</v>
      </c>
      <c r="U1" s="78" t="s">
        <v>314</v>
      </c>
      <c r="V1" s="86" t="s">
        <v>312</v>
      </c>
      <c r="W1" s="78" t="s">
        <v>311</v>
      </c>
      <c r="X1" s="115" t="s">
        <v>84</v>
      </c>
      <c r="Y1" s="115" t="s">
        <v>85</v>
      </c>
      <c r="Z1" s="121" t="s">
        <v>90</v>
      </c>
      <c r="AA1" s="115" t="s">
        <v>91</v>
      </c>
      <c r="AB1" s="121" t="s">
        <v>88</v>
      </c>
      <c r="AC1" s="121" t="s">
        <v>89</v>
      </c>
      <c r="AD1" s="5" t="s">
        <v>92</v>
      </c>
      <c r="AE1" s="78" t="s">
        <v>93</v>
      </c>
      <c r="AF1" s="78" t="s">
        <v>315</v>
      </c>
      <c r="AG1" s="126" t="s">
        <v>313</v>
      </c>
      <c r="AH1" s="78" t="s">
        <v>316</v>
      </c>
      <c r="AI1" s="115" t="s">
        <v>86</v>
      </c>
      <c r="AJ1" s="115" t="s">
        <v>87</v>
      </c>
      <c r="AK1" s="78" t="s">
        <v>94</v>
      </c>
      <c r="AL1" s="78" t="s">
        <v>95</v>
      </c>
      <c r="AM1" s="121" t="s">
        <v>96</v>
      </c>
      <c r="AN1" s="121" t="s">
        <v>97</v>
      </c>
      <c r="AO1" s="78" t="s">
        <v>98</v>
      </c>
      <c r="AP1" s="78" t="s">
        <v>99</v>
      </c>
      <c r="AQ1" s="131" t="s">
        <v>275</v>
      </c>
      <c r="AR1" s="133" t="s">
        <v>276</v>
      </c>
      <c r="AS1" s="133" t="s">
        <v>277</v>
      </c>
      <c r="AT1" s="133" t="s">
        <v>278</v>
      </c>
      <c r="AU1" s="133" t="s">
        <v>130</v>
      </c>
      <c r="AV1" s="133" t="s">
        <v>131</v>
      </c>
      <c r="AW1" s="40" t="s">
        <v>129</v>
      </c>
      <c r="AX1" s="40" t="s">
        <v>128</v>
      </c>
      <c r="AY1" s="135" t="s">
        <v>123</v>
      </c>
      <c r="AZ1" s="135" t="s">
        <v>122</v>
      </c>
      <c r="BA1" s="135" t="s">
        <v>120</v>
      </c>
      <c r="BB1" s="135" t="s">
        <v>121</v>
      </c>
      <c r="BC1" s="135" t="s">
        <v>126</v>
      </c>
      <c r="BD1" s="135" t="s">
        <v>127</v>
      </c>
      <c r="BE1" s="135" t="s">
        <v>125</v>
      </c>
      <c r="BF1" s="135" t="s">
        <v>124</v>
      </c>
      <c r="BG1" s="135" t="s">
        <v>119</v>
      </c>
    </row>
    <row r="2" spans="1:59" x14ac:dyDescent="0.3">
      <c r="A2" s="26">
        <v>46128</v>
      </c>
      <c r="B2" s="107">
        <v>0.39583333333333331</v>
      </c>
      <c r="C2" s="116">
        <v>1180</v>
      </c>
      <c r="D2" s="116">
        <v>80</v>
      </c>
      <c r="E2" s="116">
        <v>500</v>
      </c>
      <c r="F2" s="116">
        <v>1874</v>
      </c>
      <c r="G2" s="10" t="s">
        <v>34</v>
      </c>
      <c r="H2" s="122">
        <v>4.7</v>
      </c>
      <c r="I2" s="116">
        <v>90</v>
      </c>
      <c r="J2" s="116">
        <v>75</v>
      </c>
      <c r="K2" s="116">
        <v>37.5</v>
      </c>
      <c r="L2" s="122">
        <v>23.8</v>
      </c>
      <c r="M2" s="122">
        <v>6.8</v>
      </c>
      <c r="N2" s="79">
        <v>4.4800000000000004</v>
      </c>
      <c r="O2" s="116">
        <v>20</v>
      </c>
      <c r="P2" s="122">
        <v>6.4</v>
      </c>
      <c r="Q2" s="79">
        <v>0.51</v>
      </c>
      <c r="R2" s="79">
        <v>22.36</v>
      </c>
      <c r="S2" s="79">
        <v>0.88</v>
      </c>
      <c r="T2" s="79">
        <v>0.7</v>
      </c>
      <c r="U2" s="85"/>
      <c r="V2" s="79"/>
      <c r="W2" s="79"/>
      <c r="X2" s="116"/>
      <c r="Y2" s="116"/>
      <c r="Z2" s="122"/>
      <c r="AA2" s="116"/>
      <c r="AB2" s="122">
        <v>6.9</v>
      </c>
      <c r="AC2" s="122">
        <v>7.3</v>
      </c>
      <c r="AD2" s="10">
        <v>0.12</v>
      </c>
      <c r="AE2" s="79"/>
      <c r="AF2" s="79"/>
      <c r="AG2" s="79"/>
      <c r="AH2" s="79"/>
      <c r="AI2" s="116"/>
      <c r="AJ2" s="116"/>
      <c r="AK2" s="79"/>
      <c r="AL2" s="79"/>
      <c r="AM2" s="122">
        <v>6.8</v>
      </c>
      <c r="AN2" s="122">
        <v>7.8</v>
      </c>
      <c r="AO2" s="79">
        <v>0.2</v>
      </c>
      <c r="AP2" s="127"/>
      <c r="AQ2" s="132">
        <f t="shared" ref="AQ2:AQ65" si="0">SUM(C2:E2)</f>
        <v>1760</v>
      </c>
      <c r="AR2" s="134">
        <f t="shared" ref="AR2:AR65" si="1">C2/AQ2</f>
        <v>0.67045454545454541</v>
      </c>
      <c r="AS2" s="134">
        <f t="shared" ref="AS2:AS65" si="2">D2/AQ2</f>
        <v>4.5454545454545456E-2</v>
      </c>
      <c r="AT2" s="134">
        <f t="shared" ref="AT2:AT65" si="3">E2/AQ2</f>
        <v>0.28409090909090912</v>
      </c>
      <c r="AU2" s="43" t="str">
        <f>IF(AND(F2&lt;&gt;"",Y2&lt;&gt;""),AA2/(F2/2/Y2),"")</f>
        <v/>
      </c>
      <c r="AV2" s="43" t="str">
        <f>IF(AND(F2&lt;&gt;"",AJ2&lt;&gt;""),AL2/(F2/2/AJ2),"")</f>
        <v/>
      </c>
      <c r="AW2" s="41" t="str">
        <f>IF(AND(AP2&lt;&gt;"",1-(AP2/N2)&gt;0),1-(AP2/N2),"")</f>
        <v/>
      </c>
      <c r="AX2" s="41" t="str">
        <f>IF(AND(AE2&lt;&gt;"",1-(AE2/N2)&gt;0),1-(AE2/N2),"")</f>
        <v/>
      </c>
      <c r="AY2" s="136" t="str">
        <f>IF(P2="","",IF(P2&lt;2.5,"Alc. Bruta &lt; 2,5 mg/L",IF(P2&lt;5,"2,5 ≤ Alc. Bruta &lt; 5,0 mg/L",IF(P2&lt;7.5,"5,0 ≤ Alc. Bruta &lt; 7,5 mg/L",IF(P2&lt;10,"7,5 ≤ Alc. Bruta &lt; 10,0 mg/L",IF(P2&lt;15,"10,0 ≤ Alca. Bruta &lt; 15,0 mg/L","Alc. Bruta &gt; 15 mg/L"))))))</f>
        <v>5,0 ≤ Alc. Bruta &lt; 7,5 mg/L</v>
      </c>
      <c r="AZ2" s="136" t="str">
        <f>IF(O2="","",IF(O2&lt;5,"Cor &lt;5 uC",IF(O2&lt;10,"5 ≤ Cor &lt; 10 uC",IF(O2&lt;15,"10 ≤ Cor &lt;15 uC",IF(O2&lt;30,"15 ≤ Cor &lt; 30 uC",IF(O2&lt;50,"30 ≤ Cor &lt; 50 uC","Cor &gt; 50 uC"))))))</f>
        <v>15 ≤ Cor &lt; 30 uC</v>
      </c>
      <c r="BA2" s="137" t="str">
        <f>IF(N2="","",IF(N2&lt;2.5,"Turbidez &lt; 2,5 uT",IF(N2&lt;5,"2,5 ≤ Turb &lt; 5,0 uT",IF(N2&lt;7.5,"5,0 ≤ Turb &lt; 7,5 uT",IF(N2&lt;10,"7,5 ≤ Turb &lt; 10,0 uT",IF(N2&lt;15,"10,0 ≤ Turb &lt; 15,0 uT","Turb &gt; 15 uT"))))))</f>
        <v>2,5 ≤ Turb &lt; 5,0 uT</v>
      </c>
      <c r="BB2" s="138" t="str">
        <f>IF(AND(C2&gt;D2,D2&gt;E2),"TOR &gt; SM &gt; BNN",IF(AND(C2&gt;E2,E2&gt;D2),"TOR &gt; BNN &gt; SM",IF(AND(D2&gt;C2,C2&gt;E2),"SM &gt; TOR &gt; BNN",IF(AND(D2&gt;E2,E2&gt;C2),"SM &gt; BNN &gt; TOR",IF(AND(C2=D2,D2=E2),"TOR = SM = BNN","Comb. diferentes")))))</f>
        <v>TOR &gt; BNN &gt; SM</v>
      </c>
      <c r="BC2" s="137" t="str">
        <f>IF(OR(AD2="",AP2="-"),"",IF(AD2&lt;=0.25,"Tipo 1 (≤0,25) uT",IF(AD2&lt;=0.5,"Tipo 2 (0,25-0,50) uT",IF(AD2&lt;=0.75,"Tipo 3 (0,50-0,75) uT","Tipo 4 (&gt;0,75) uT"))))</f>
        <v>Tipo 1 (≤0,25) uT</v>
      </c>
      <c r="BD2" s="137" t="str">
        <f>IF(OR(AO2="",AY2="-"),"",IF(AO2&lt;=0.25,"Tipo 1 (≤0,25) uT",IF(AO2&lt;=0.5,"Tipo 2 (0,25-0,50) uT",IF(AO2&lt;=0.75,"Tipo 3 (0,50-0,75) uT","Tipo 4 (&gt;0,75) uT"))))</f>
        <v>Tipo 1 (≤0,25) uT</v>
      </c>
      <c r="BE2" s="137" t="str">
        <f>IF(OR(AE2="",AP2="-"),"",IF(AE2&lt;=0.25,"Tipo 1 (≤0,25) uT",IF(AE2&lt;=0.5,"Tipo 2 (0,25-0,50) uT",IF(AE2&lt;=0.75,"Tipo 3 (0,50-0,75) uT","Tipo 4 (&gt;0,75) uT"))))</f>
        <v/>
      </c>
      <c r="BF2" s="137" t="str">
        <f>IF(OR(AP2="",AP2="-"),"",IF(AP2&lt;=0.25,"Tipo 1 (≤0,25) uT",IF(AP2&lt;=0.5,"Tipo 2 (0,25-0,50) uT",IF(AP2&lt;=0.75,"Tipo 3 (0,50-0,75) uT","Tipo 4 (&gt;0,75) uT"))))</f>
        <v/>
      </c>
      <c r="BG2" s="137" t="str">
        <f>IF(OR(Q2="",Q2="-"),"",IF(Q2&lt;=0.25,"Tipo 1 (≤0,25) uT",IF(Q2&lt;=0.5,"Tipo 2 (0,25-0,50) uT",IF(Q2&lt;=0.75,"Tipo 3 (0,50-0,75) uT","Tipo 4 (&gt;0,75) uT"))))</f>
        <v>Tipo 3 (0,50-0,75) uT</v>
      </c>
    </row>
    <row r="3" spans="1:59" x14ac:dyDescent="0.3">
      <c r="A3" s="26">
        <v>46128</v>
      </c>
      <c r="B3" s="108">
        <v>0.4375</v>
      </c>
      <c r="C3" s="116">
        <v>1154</v>
      </c>
      <c r="D3" s="116">
        <v>84</v>
      </c>
      <c r="E3" s="116">
        <v>500</v>
      </c>
      <c r="F3" s="116">
        <v>1871</v>
      </c>
      <c r="G3" s="10" t="s">
        <v>34</v>
      </c>
      <c r="H3" s="122">
        <v>4.5999999999999996</v>
      </c>
      <c r="I3" s="116">
        <v>90</v>
      </c>
      <c r="J3" s="116">
        <v>75</v>
      </c>
      <c r="K3" s="116">
        <v>37.5</v>
      </c>
      <c r="L3" s="122">
        <v>23.8</v>
      </c>
      <c r="M3" s="122">
        <v>6.7</v>
      </c>
      <c r="N3" s="79">
        <v>4.9400000000000004</v>
      </c>
      <c r="O3" s="116">
        <v>16</v>
      </c>
      <c r="P3" s="122">
        <v>8.9</v>
      </c>
      <c r="Q3" s="79">
        <v>0.44</v>
      </c>
      <c r="R3" s="79">
        <v>22.36</v>
      </c>
      <c r="S3" s="79">
        <v>0.88</v>
      </c>
      <c r="T3" s="79">
        <v>0.7</v>
      </c>
      <c r="U3" s="85"/>
      <c r="V3" s="79"/>
      <c r="W3" s="79"/>
      <c r="X3" s="116"/>
      <c r="Y3" s="116"/>
      <c r="Z3" s="122"/>
      <c r="AA3" s="116"/>
      <c r="AB3" s="122">
        <v>6.7</v>
      </c>
      <c r="AC3" s="122">
        <v>8.1</v>
      </c>
      <c r="AD3" s="10">
        <v>0.1</v>
      </c>
      <c r="AE3" s="79"/>
      <c r="AF3" s="79"/>
      <c r="AG3" s="79"/>
      <c r="AH3" s="79"/>
      <c r="AI3" s="116"/>
      <c r="AJ3" s="116"/>
      <c r="AK3" s="79"/>
      <c r="AL3" s="79"/>
      <c r="AM3" s="122">
        <v>6.7</v>
      </c>
      <c r="AN3" s="122">
        <v>8.4</v>
      </c>
      <c r="AO3" s="79">
        <v>0.28999999999999998</v>
      </c>
      <c r="AP3" s="127"/>
      <c r="AQ3" s="132">
        <f t="shared" si="0"/>
        <v>1738</v>
      </c>
      <c r="AR3" s="134">
        <f t="shared" si="1"/>
        <v>0.66398158803222096</v>
      </c>
      <c r="AS3" s="134">
        <f t="shared" si="2"/>
        <v>4.8331415420023012E-2</v>
      </c>
      <c r="AT3" s="134">
        <f t="shared" si="3"/>
        <v>0.28768699654775604</v>
      </c>
      <c r="AU3" s="43" t="str">
        <f>IF(AND(F3&lt;&gt;"",Y3&lt;&gt;""),AA3/(F3/2/Y3),"")</f>
        <v/>
      </c>
      <c r="AV3" s="43" t="str">
        <f>IF(AND(F3&lt;&gt;"",AJ3&lt;&gt;""),AL3/(F3/2/AJ3),"")</f>
        <v/>
      </c>
      <c r="AW3" s="41" t="str">
        <f>IF(AND(AP3&lt;&gt;"",1-(AP3/N3)&gt;0),1-(AP3/N3),"")</f>
        <v/>
      </c>
      <c r="AX3" s="41" t="str">
        <f>IF(AND(AE3&lt;&gt;"",1-(AE3/N3)&gt;0),1-(AE3/N3),"")</f>
        <v/>
      </c>
      <c r="AY3" s="136" t="str">
        <f>IF(P3="","",IF(P3&lt;2.5,"Alc. Bruta &lt; 2,5 mg/L",IF(P3&lt;5,"2,5 ≤ Alc. Bruta &lt; 5,0 mg/L",IF(P3&lt;7.5,"5,0 ≤ Alc. Bruta &lt; 7,5 mg/L",IF(P3&lt;10,"7,5 ≤ Alc. Bruta &lt; 10,0 mg/L",IF(P3&lt;15,"10,0 ≤ Alca. Bruta &lt; 15,0 mg/L","Alc. Bruta &gt; 15 mg/L"))))))</f>
        <v>7,5 ≤ Alc. Bruta &lt; 10,0 mg/L</v>
      </c>
      <c r="AZ3" s="136" t="str">
        <f>IF(O3="","",IF(O3&lt;5,"Cor &lt;5 uC",IF(O3&lt;10,"5 ≤ Cor &lt; 10 uC",IF(O3&lt;15,"10 ≤ Cor &lt;15 uC",IF(O3&lt;30,"15 ≤ Cor &lt; 30 uC",IF(O3&lt;50,"30 ≤ Cor &lt; 50 uC","Cor &gt; 50 uC"))))))</f>
        <v>15 ≤ Cor &lt; 30 uC</v>
      </c>
      <c r="BA3" s="137" t="str">
        <f>IF(N3="","",IF(N3&lt;2.5,"Turbidez &lt; 2,5 uT",IF(N3&lt;5,"2,5 ≤ Turb &lt; 5,0 uT",IF(N3&lt;7.5,"5,0 ≤ Turb &lt; 7,5 uT",IF(N3&lt;10,"7,5 ≤ Turb &lt; 10,0 uT",IF(N3&lt;15,"10,0 ≤ Turb &lt; 15,0 uT","Turb &gt; 15 uT"))))))</f>
        <v>2,5 ≤ Turb &lt; 5,0 uT</v>
      </c>
      <c r="BB3" s="138" t="str">
        <f>IF(AND(C3&gt;D3,D3&gt;E3),"TOR &gt; SM &gt; BNN",IF(AND(C3&gt;E3,E3&gt;D3),"TOR &gt; BNN &gt; SM",IF(AND(D3&gt;C3,C3&gt;E3),"SM &gt; TOR &gt; BNN",IF(AND(D3&gt;E3,E3&gt;C3),"SM &gt; BNN &gt; TOR",IF(AND(C3=D3,D3=E3),"TOR = SM = BNN","Comb. diferentes")))))</f>
        <v>TOR &gt; BNN &gt; SM</v>
      </c>
      <c r="BC3" s="137" t="str">
        <f>IF(OR(AD3="",AP3="-"),"",IF(AD3&lt;=0.25,"Tipo 1 (≤0,25) uT",IF(AD3&lt;=0.5,"Tipo 2 (0,25-0,50) uT",IF(AD3&lt;=0.75,"Tipo 3 (0,50-0,75) uT","Tipo 4 (&gt;0,75) uT"))))</f>
        <v>Tipo 1 (≤0,25) uT</v>
      </c>
      <c r="BD3" s="137" t="str">
        <f>IF(OR(AO3="",AY3="-"),"",IF(AO3&lt;=0.25,"Tipo 1 (≤0,25) uT",IF(AO3&lt;=0.5,"Tipo 2 (0,25-0,50) uT",IF(AO3&lt;=0.75,"Tipo 3 (0,50-0,75) uT","Tipo 4 (&gt;0,75) uT"))))</f>
        <v>Tipo 2 (0,25-0,50) uT</v>
      </c>
      <c r="BE3" s="137" t="str">
        <f>IF(OR(AE3="",AP3="-"),"",IF(AE3&lt;=0.25,"Tipo 1 (≤0,25) uT",IF(AE3&lt;=0.5,"Tipo 2 (0,25-0,50) uT",IF(AE3&lt;=0.75,"Tipo 3 (0,50-0,75) uT","Tipo 4 (&gt;0,75) uT"))))</f>
        <v/>
      </c>
      <c r="BF3" s="137" t="str">
        <f>IF(OR(AP3="",AP3="-"),"",IF(AP3&lt;=0.25,"Tipo 1 (≤0,25) uT",IF(AP3&lt;=0.5,"Tipo 2 (0,25-0,50) uT",IF(AP3&lt;=0.75,"Tipo 3 (0,50-0,75) uT","Tipo 4 (&gt;0,75) uT"))))</f>
        <v/>
      </c>
      <c r="BG3" s="137" t="str">
        <f>IF(OR(Q3="",Q3="-"),"",IF(Q3&lt;=0.25,"Tipo 1 (≤0,25) uT",IF(Q3&lt;=0.5,"Tipo 2 (0,25-0,50) uT",IF(Q3&lt;=0.75,"Tipo 3 (0,50-0,75) uT","Tipo 4 (&gt;0,75) uT"))))</f>
        <v>Tipo 2 (0,25-0,50) uT</v>
      </c>
    </row>
    <row r="4" spans="1:59" x14ac:dyDescent="0.3">
      <c r="A4" s="26">
        <v>46128</v>
      </c>
      <c r="B4" s="107">
        <v>0.47916666666666669</v>
      </c>
      <c r="C4" s="116">
        <v>1130</v>
      </c>
      <c r="D4" s="116">
        <v>83</v>
      </c>
      <c r="E4" s="116">
        <v>500</v>
      </c>
      <c r="F4" s="116">
        <v>1888</v>
      </c>
      <c r="G4" s="10" t="s">
        <v>34</v>
      </c>
      <c r="H4" s="122">
        <v>4.5</v>
      </c>
      <c r="I4" s="116">
        <v>90</v>
      </c>
      <c r="J4" s="116">
        <v>75</v>
      </c>
      <c r="K4" s="116">
        <v>37.5</v>
      </c>
      <c r="L4" s="122">
        <v>24</v>
      </c>
      <c r="M4" s="122">
        <v>6.7</v>
      </c>
      <c r="N4" s="79">
        <v>4.05</v>
      </c>
      <c r="O4" s="116">
        <v>18</v>
      </c>
      <c r="P4" s="122">
        <v>6.9</v>
      </c>
      <c r="Q4" s="79">
        <v>0.5</v>
      </c>
      <c r="R4" s="79">
        <v>22.36</v>
      </c>
      <c r="S4" s="79">
        <v>0.88</v>
      </c>
      <c r="T4" s="79">
        <v>0.7</v>
      </c>
      <c r="U4" s="85"/>
      <c r="V4" s="79"/>
      <c r="W4" s="79"/>
      <c r="X4" s="116"/>
      <c r="Y4" s="116"/>
      <c r="Z4" s="122"/>
      <c r="AA4" s="116"/>
      <c r="AB4" s="122">
        <v>6.8</v>
      </c>
      <c r="AC4" s="122">
        <v>9.4</v>
      </c>
      <c r="AD4" s="10">
        <v>0.11</v>
      </c>
      <c r="AE4" s="79"/>
      <c r="AF4" s="79"/>
      <c r="AG4" s="79"/>
      <c r="AH4" s="79"/>
      <c r="AI4" s="116"/>
      <c r="AJ4" s="116"/>
      <c r="AK4" s="79"/>
      <c r="AL4" s="79"/>
      <c r="AM4" s="122">
        <v>6.7</v>
      </c>
      <c r="AN4" s="122">
        <v>9.4</v>
      </c>
      <c r="AO4" s="79">
        <v>0.27</v>
      </c>
      <c r="AP4" s="127"/>
      <c r="AQ4" s="132">
        <f t="shared" si="0"/>
        <v>1713</v>
      </c>
      <c r="AR4" s="134">
        <f t="shared" si="1"/>
        <v>0.65966141272621137</v>
      </c>
      <c r="AS4" s="134">
        <f t="shared" si="2"/>
        <v>4.8453006421482779E-2</v>
      </c>
      <c r="AT4" s="134">
        <f t="shared" si="3"/>
        <v>0.29188558085230587</v>
      </c>
      <c r="AU4" s="43" t="str">
        <f>IF(AND(F4&lt;&gt;"",Y4&lt;&gt;""),AA4/(F4/2/Y4),"")</f>
        <v/>
      </c>
      <c r="AV4" s="43" t="str">
        <f>IF(AND(F4&lt;&gt;"",AJ4&lt;&gt;""),AL4/(F4/2/AJ4),"")</f>
        <v/>
      </c>
      <c r="AW4" s="41" t="str">
        <f>IF(AND(AP4&lt;&gt;"",1-(AP4/N4)&gt;0),1-(AP4/N4),"")</f>
        <v/>
      </c>
      <c r="AX4" s="41" t="str">
        <f>IF(AND(AE4&lt;&gt;"",1-(AE4/N4)&gt;0),1-(AE4/N4),"")</f>
        <v/>
      </c>
      <c r="AY4" s="136" t="str">
        <f>IF(P4="","",IF(P4&lt;2.5,"Alc. Bruta &lt; 2,5 mg/L",IF(P4&lt;5,"2,5 ≤ Alc. Bruta &lt; 5,0 mg/L",IF(P4&lt;7.5,"5,0 ≤ Alc. Bruta &lt; 7,5 mg/L",IF(P4&lt;10,"7,5 ≤ Alc. Bruta &lt; 10,0 mg/L",IF(P4&lt;15,"10,0 ≤ Alca. Bruta &lt; 15,0 mg/L","Alc. Bruta &gt; 15 mg/L"))))))</f>
        <v>5,0 ≤ Alc. Bruta &lt; 7,5 mg/L</v>
      </c>
      <c r="AZ4" s="136" t="str">
        <f>IF(O4="","",IF(O4&lt;5,"Cor &lt;5 uC",IF(O4&lt;10,"5 ≤ Cor &lt; 10 uC",IF(O4&lt;15,"10 ≤ Cor &lt;15 uC",IF(O4&lt;30,"15 ≤ Cor &lt; 30 uC",IF(O4&lt;50,"30 ≤ Cor &lt; 50 uC","Cor &gt; 50 uC"))))))</f>
        <v>15 ≤ Cor &lt; 30 uC</v>
      </c>
      <c r="BA4" s="137" t="str">
        <f>IF(N4="","",IF(N4&lt;2.5,"Turbidez &lt; 2,5 uT",IF(N4&lt;5,"2,5 ≤ Turb &lt; 5,0 uT",IF(N4&lt;7.5,"5,0 ≤ Turb &lt; 7,5 uT",IF(N4&lt;10,"7,5 ≤ Turb &lt; 10,0 uT",IF(N4&lt;15,"10,0 ≤ Turb &lt; 15,0 uT","Turb &gt; 15 uT"))))))</f>
        <v>2,5 ≤ Turb &lt; 5,0 uT</v>
      </c>
      <c r="BB4" s="138" t="str">
        <f>IF(AND(C4&gt;D4,D4&gt;E4),"TOR &gt; SM &gt; BNN",IF(AND(C4&gt;E4,E4&gt;D4),"TOR &gt; BNN &gt; SM",IF(AND(D4&gt;C4,C4&gt;E4),"SM &gt; TOR &gt; BNN",IF(AND(D4&gt;E4,E4&gt;C4),"SM &gt; BNN &gt; TOR",IF(AND(C4=D4,D4=E4),"TOR = SM = BNN","Comb. diferentes")))))</f>
        <v>TOR &gt; BNN &gt; SM</v>
      </c>
      <c r="BC4" s="137" t="str">
        <f>IF(OR(AD4="",AP4="-"),"",IF(AD4&lt;=0.25,"Tipo 1 (≤0,25) uT",IF(AD4&lt;=0.5,"Tipo 2 (0,25-0,50) uT",IF(AD4&lt;=0.75,"Tipo 3 (0,50-0,75) uT","Tipo 4 (&gt;0,75) uT"))))</f>
        <v>Tipo 1 (≤0,25) uT</v>
      </c>
      <c r="BD4" s="137" t="str">
        <f>IF(OR(AO4="",AY4="-"),"",IF(AO4&lt;=0.25,"Tipo 1 (≤0,25) uT",IF(AO4&lt;=0.5,"Tipo 2 (0,25-0,50) uT",IF(AO4&lt;=0.75,"Tipo 3 (0,50-0,75) uT","Tipo 4 (&gt;0,75) uT"))))</f>
        <v>Tipo 2 (0,25-0,50) uT</v>
      </c>
      <c r="BE4" s="137" t="str">
        <f>IF(OR(AE4="",AP4="-"),"",IF(AE4&lt;=0.25,"Tipo 1 (≤0,25) uT",IF(AE4&lt;=0.5,"Tipo 2 (0,25-0,50) uT",IF(AE4&lt;=0.75,"Tipo 3 (0,50-0,75) uT","Tipo 4 (&gt;0,75) uT"))))</f>
        <v/>
      </c>
      <c r="BF4" s="137" t="str">
        <f>IF(OR(AP4="",AP4="-"),"",IF(AP4&lt;=0.25,"Tipo 1 (≤0,25) uT",IF(AP4&lt;=0.5,"Tipo 2 (0,25-0,50) uT",IF(AP4&lt;=0.75,"Tipo 3 (0,50-0,75) uT","Tipo 4 (&gt;0,75) uT"))))</f>
        <v/>
      </c>
      <c r="BG4" s="137" t="str">
        <f>IF(OR(Q4="",Q4="-"),"",IF(Q4&lt;=0.25,"Tipo 1 (≤0,25) uT",IF(Q4&lt;=0.5,"Tipo 2 (0,25-0,50) uT",IF(Q4&lt;=0.75,"Tipo 3 (0,50-0,75) uT","Tipo 4 (&gt;0,75) uT"))))</f>
        <v>Tipo 2 (0,25-0,50) uT</v>
      </c>
    </row>
    <row r="5" spans="1:59" x14ac:dyDescent="0.3">
      <c r="A5" s="26">
        <v>46128</v>
      </c>
      <c r="B5" s="108">
        <v>0.60416666666666663</v>
      </c>
      <c r="C5" s="116">
        <v>1139</v>
      </c>
      <c r="D5" s="116">
        <v>84</v>
      </c>
      <c r="E5" s="116">
        <v>499</v>
      </c>
      <c r="F5" s="116">
        <v>1785</v>
      </c>
      <c r="G5" s="10" t="s">
        <v>34</v>
      </c>
      <c r="H5" s="122">
        <v>4.4000000000000004</v>
      </c>
      <c r="I5" s="116">
        <v>90</v>
      </c>
      <c r="J5" s="116">
        <v>75</v>
      </c>
      <c r="K5" s="116">
        <v>37.5</v>
      </c>
      <c r="L5" s="122">
        <v>24</v>
      </c>
      <c r="M5" s="122">
        <v>6.8</v>
      </c>
      <c r="N5" s="79">
        <v>5.66</v>
      </c>
      <c r="O5" s="116">
        <v>21</v>
      </c>
      <c r="P5" s="122">
        <v>8.6999999999999993</v>
      </c>
      <c r="Q5" s="79">
        <v>0.52</v>
      </c>
      <c r="R5" s="79">
        <v>22.36</v>
      </c>
      <c r="S5" s="79">
        <v>0.88</v>
      </c>
      <c r="T5" s="79">
        <v>0.7</v>
      </c>
      <c r="U5" s="85"/>
      <c r="V5" s="79"/>
      <c r="W5" s="79"/>
      <c r="X5" s="116"/>
      <c r="Y5" s="116"/>
      <c r="Z5" s="122"/>
      <c r="AA5" s="116"/>
      <c r="AB5" s="122">
        <v>6.8</v>
      </c>
      <c r="AC5" s="122">
        <v>7.2</v>
      </c>
      <c r="AD5" s="10">
        <v>0.17</v>
      </c>
      <c r="AE5" s="79"/>
      <c r="AF5" s="79"/>
      <c r="AG5" s="79"/>
      <c r="AH5" s="79"/>
      <c r="AI5" s="116"/>
      <c r="AJ5" s="116"/>
      <c r="AK5" s="79"/>
      <c r="AL5" s="79"/>
      <c r="AM5" s="122">
        <v>6.8</v>
      </c>
      <c r="AN5" s="122">
        <v>8.1999999999999993</v>
      </c>
      <c r="AO5" s="79">
        <v>0.25</v>
      </c>
      <c r="AP5" s="127"/>
      <c r="AQ5" s="132">
        <f t="shared" si="0"/>
        <v>1722</v>
      </c>
      <c r="AR5" s="134">
        <f t="shared" si="1"/>
        <v>0.66144018583042974</v>
      </c>
      <c r="AS5" s="134">
        <f t="shared" si="2"/>
        <v>4.878048780487805E-2</v>
      </c>
      <c r="AT5" s="134">
        <f t="shared" si="3"/>
        <v>0.28977932636469222</v>
      </c>
      <c r="AU5" s="43" t="str">
        <f>IF(AND(F5&lt;&gt;"",Y5&lt;&gt;""),AA5/(F5/2/Y5),"")</f>
        <v/>
      </c>
      <c r="AV5" s="43" t="str">
        <f>IF(AND(F5&lt;&gt;"",AJ5&lt;&gt;""),AL5/(F5/2/AJ5),"")</f>
        <v/>
      </c>
      <c r="AW5" s="41" t="str">
        <f>IF(AND(AP5&lt;&gt;"",1-(AP5/N5)&gt;0),1-(AP5/N5),"")</f>
        <v/>
      </c>
      <c r="AX5" s="41" t="str">
        <f>IF(AND(AE5&lt;&gt;"",1-(AE5/N5)&gt;0),1-(AE5/N5),"")</f>
        <v/>
      </c>
      <c r="AY5" s="136" t="str">
        <f>IF(P5="","",IF(P5&lt;2.5,"Alc. Bruta &lt; 2,5 mg/L",IF(P5&lt;5,"2,5 ≤ Alc. Bruta &lt; 5,0 mg/L",IF(P5&lt;7.5,"5,0 ≤ Alc. Bruta &lt; 7,5 mg/L",IF(P5&lt;10,"7,5 ≤ Alc. Bruta &lt; 10,0 mg/L",IF(P5&lt;15,"10,0 ≤ Alca. Bruta &lt; 15,0 mg/L","Alc. Bruta &gt; 15 mg/L"))))))</f>
        <v>7,5 ≤ Alc. Bruta &lt; 10,0 mg/L</v>
      </c>
      <c r="AZ5" s="136" t="str">
        <f>IF(O5="","",IF(O5&lt;5,"Cor &lt;5 uC",IF(O5&lt;10,"5 ≤ Cor &lt; 10 uC",IF(O5&lt;15,"10 ≤ Cor &lt;15 uC",IF(O5&lt;30,"15 ≤ Cor &lt; 30 uC",IF(O5&lt;50,"30 ≤ Cor &lt; 50 uC","Cor &gt; 50 uC"))))))</f>
        <v>15 ≤ Cor &lt; 30 uC</v>
      </c>
      <c r="BA5" s="137" t="str">
        <f>IF(N5="","",IF(N5&lt;2.5,"Turbidez &lt; 2,5 uT",IF(N5&lt;5,"2,5 ≤ Turb &lt; 5,0 uT",IF(N5&lt;7.5,"5,0 ≤ Turb &lt; 7,5 uT",IF(N5&lt;10,"7,5 ≤ Turb &lt; 10,0 uT",IF(N5&lt;15,"10,0 ≤ Turb &lt; 15,0 uT","Turb &gt; 15 uT"))))))</f>
        <v>5,0 ≤ Turb &lt; 7,5 uT</v>
      </c>
      <c r="BB5" s="138" t="str">
        <f>IF(AND(C5&gt;D5,D5&gt;E5),"TOR &gt; SM &gt; BNN",IF(AND(C5&gt;E5,E5&gt;D5),"TOR &gt; BNN &gt; SM",IF(AND(D5&gt;C5,C5&gt;E5),"SM &gt; TOR &gt; BNN",IF(AND(D5&gt;E5,E5&gt;C5),"SM &gt; BNN &gt; TOR",IF(AND(C5=D5,D5=E5),"TOR = SM = BNN","Comb. diferentes")))))</f>
        <v>TOR &gt; BNN &gt; SM</v>
      </c>
      <c r="BC5" s="137" t="str">
        <f>IF(OR(AD5="",AP5="-"),"",IF(AD5&lt;=0.25,"Tipo 1 (≤0,25) uT",IF(AD5&lt;=0.5,"Tipo 2 (0,25-0,50) uT",IF(AD5&lt;=0.75,"Tipo 3 (0,50-0,75) uT","Tipo 4 (&gt;0,75) uT"))))</f>
        <v>Tipo 1 (≤0,25) uT</v>
      </c>
      <c r="BD5" s="137" t="str">
        <f>IF(OR(AO5="",AY5="-"),"",IF(AO5&lt;=0.25,"Tipo 1 (≤0,25) uT",IF(AO5&lt;=0.5,"Tipo 2 (0,25-0,50) uT",IF(AO5&lt;=0.75,"Tipo 3 (0,50-0,75) uT","Tipo 4 (&gt;0,75) uT"))))</f>
        <v>Tipo 1 (≤0,25) uT</v>
      </c>
      <c r="BE5" s="137" t="str">
        <f>IF(OR(AE5="",AP5="-"),"",IF(AE5&lt;=0.25,"Tipo 1 (≤0,25) uT",IF(AE5&lt;=0.5,"Tipo 2 (0,25-0,50) uT",IF(AE5&lt;=0.75,"Tipo 3 (0,50-0,75) uT","Tipo 4 (&gt;0,75) uT"))))</f>
        <v/>
      </c>
      <c r="BF5" s="137" t="str">
        <f>IF(OR(AP5="",AP5="-"),"",IF(AP5&lt;=0.25,"Tipo 1 (≤0,25) uT",IF(AP5&lt;=0.5,"Tipo 2 (0,25-0,50) uT",IF(AP5&lt;=0.75,"Tipo 3 (0,50-0,75) uT","Tipo 4 (&gt;0,75) uT"))))</f>
        <v/>
      </c>
      <c r="BG5" s="137" t="str">
        <f>IF(OR(Q5="",Q5="-"),"",IF(Q5&lt;=0.25,"Tipo 1 (≤0,25) uT",IF(Q5&lt;=0.5,"Tipo 2 (0,25-0,50) uT",IF(Q5&lt;=0.75,"Tipo 3 (0,50-0,75) uT","Tipo 4 (&gt;0,75) uT"))))</f>
        <v>Tipo 3 (0,50-0,75) uT</v>
      </c>
    </row>
    <row r="6" spans="1:59" x14ac:dyDescent="0.3">
      <c r="A6" s="26">
        <v>46128</v>
      </c>
      <c r="B6" s="108">
        <v>0.6875</v>
      </c>
      <c r="C6" s="116">
        <v>1239</v>
      </c>
      <c r="D6" s="116">
        <v>81</v>
      </c>
      <c r="E6" s="116">
        <v>500</v>
      </c>
      <c r="F6" s="116">
        <v>1845</v>
      </c>
      <c r="G6" s="10" t="s">
        <v>34</v>
      </c>
      <c r="H6" s="122">
        <v>4.4000000000000004</v>
      </c>
      <c r="I6" s="116">
        <v>90</v>
      </c>
      <c r="J6" s="116">
        <v>75</v>
      </c>
      <c r="K6" s="116">
        <v>37.5</v>
      </c>
      <c r="L6" s="122">
        <v>24.6</v>
      </c>
      <c r="M6" s="122">
        <v>6.8</v>
      </c>
      <c r="N6" s="79">
        <v>7.04</v>
      </c>
      <c r="O6" s="116">
        <v>15</v>
      </c>
      <c r="P6" s="122">
        <v>8.8000000000000007</v>
      </c>
      <c r="Q6" s="79">
        <v>1.96</v>
      </c>
      <c r="R6" s="79">
        <v>22.36</v>
      </c>
      <c r="S6" s="79">
        <v>0.88</v>
      </c>
      <c r="T6" s="79">
        <v>0.7</v>
      </c>
      <c r="U6" s="85"/>
      <c r="V6" s="79"/>
      <c r="W6" s="79"/>
      <c r="X6" s="116"/>
      <c r="Y6" s="116"/>
      <c r="Z6" s="122"/>
      <c r="AA6" s="116"/>
      <c r="AB6" s="122">
        <v>6.8</v>
      </c>
      <c r="AC6" s="122">
        <v>8.3000000000000007</v>
      </c>
      <c r="AD6" s="10">
        <v>0.18</v>
      </c>
      <c r="AE6" s="79"/>
      <c r="AF6" s="79"/>
      <c r="AG6" s="79"/>
      <c r="AH6" s="79"/>
      <c r="AI6" s="116"/>
      <c r="AJ6" s="116"/>
      <c r="AK6" s="79"/>
      <c r="AL6" s="79"/>
      <c r="AM6" s="122">
        <v>6.7</v>
      </c>
      <c r="AN6" s="122">
        <v>8.4</v>
      </c>
      <c r="AO6" s="79">
        <v>0.25</v>
      </c>
      <c r="AP6" s="127"/>
      <c r="AQ6" s="132">
        <f t="shared" si="0"/>
        <v>1820</v>
      </c>
      <c r="AR6" s="134">
        <f t="shared" si="1"/>
        <v>0.68076923076923079</v>
      </c>
      <c r="AS6" s="134">
        <f t="shared" si="2"/>
        <v>4.4505494505494507E-2</v>
      </c>
      <c r="AT6" s="134">
        <f t="shared" si="3"/>
        <v>0.27472527472527475</v>
      </c>
      <c r="AU6" s="43" t="str">
        <f>IF(AND(F6&lt;&gt;"",Y6&lt;&gt;""),AA6/(F6/2/Y6),"")</f>
        <v/>
      </c>
      <c r="AV6" s="43" t="str">
        <f>IF(AND(F6&lt;&gt;"",AJ6&lt;&gt;""),AL6/(F6/2/AJ6),"")</f>
        <v/>
      </c>
      <c r="AW6" s="41" t="str">
        <f>IF(AND(AP6&lt;&gt;"",1-(AP6/N6)&gt;0),1-(AP6/N6),"")</f>
        <v/>
      </c>
      <c r="AX6" s="41" t="str">
        <f>IF(AND(AE6&lt;&gt;"",1-(AE6/N6)&gt;0),1-(AE6/N6),"")</f>
        <v/>
      </c>
      <c r="AY6" s="136" t="str">
        <f>IF(P6="","",IF(P6&lt;2.5,"Alc. Bruta &lt; 2,5 mg/L",IF(P6&lt;5,"2,5 ≤ Alc. Bruta &lt; 5,0 mg/L",IF(P6&lt;7.5,"5,0 ≤ Alc. Bruta &lt; 7,5 mg/L",IF(P6&lt;10,"7,5 ≤ Alc. Bruta &lt; 10,0 mg/L",IF(P6&lt;15,"10,0 ≤ Alca. Bruta &lt; 15,0 mg/L","Alc. Bruta &gt; 15 mg/L"))))))</f>
        <v>7,5 ≤ Alc. Bruta &lt; 10,0 mg/L</v>
      </c>
      <c r="AZ6" s="136" t="str">
        <f>IF(O6="","",IF(O6&lt;5,"Cor &lt;5 uC",IF(O6&lt;10,"5 ≤ Cor &lt; 10 uC",IF(O6&lt;15,"10 ≤ Cor &lt;15 uC",IF(O6&lt;30,"15 ≤ Cor &lt; 30 uC",IF(O6&lt;50,"30 ≤ Cor &lt; 50 uC","Cor &gt; 50 uC"))))))</f>
        <v>15 ≤ Cor &lt; 30 uC</v>
      </c>
      <c r="BA6" s="137" t="str">
        <f>IF(N6="","",IF(N6&lt;2.5,"Turbidez &lt; 2,5 uT",IF(N6&lt;5,"2,5 ≤ Turb &lt; 5,0 uT",IF(N6&lt;7.5,"5,0 ≤ Turb &lt; 7,5 uT",IF(N6&lt;10,"7,5 ≤ Turb &lt; 10,0 uT",IF(N6&lt;15,"10,0 ≤ Turb &lt; 15,0 uT","Turb &gt; 15 uT"))))))</f>
        <v>5,0 ≤ Turb &lt; 7,5 uT</v>
      </c>
      <c r="BB6" s="138" t="str">
        <f>IF(AND(C6&gt;D6,D6&gt;E6),"TOR &gt; SM &gt; BNN",IF(AND(C6&gt;E6,E6&gt;D6),"TOR &gt; BNN &gt; SM",IF(AND(D6&gt;C6,C6&gt;E6),"SM &gt; TOR &gt; BNN",IF(AND(D6&gt;E6,E6&gt;C6),"SM &gt; BNN &gt; TOR",IF(AND(C6=D6,D6=E6),"TOR = SM = BNN","Comb. diferentes")))))</f>
        <v>TOR &gt; BNN &gt; SM</v>
      </c>
      <c r="BC6" s="137" t="str">
        <f>IF(OR(AD6="",AP6="-"),"",IF(AD6&lt;=0.25,"Tipo 1 (≤0,25) uT",IF(AD6&lt;=0.5,"Tipo 2 (0,25-0,50) uT",IF(AD6&lt;=0.75,"Tipo 3 (0,50-0,75) uT","Tipo 4 (&gt;0,75) uT"))))</f>
        <v>Tipo 1 (≤0,25) uT</v>
      </c>
      <c r="BD6" s="137" t="str">
        <f>IF(OR(AO6="",AY6="-"),"",IF(AO6&lt;=0.25,"Tipo 1 (≤0,25) uT",IF(AO6&lt;=0.5,"Tipo 2 (0,25-0,50) uT",IF(AO6&lt;=0.75,"Tipo 3 (0,50-0,75) uT","Tipo 4 (&gt;0,75) uT"))))</f>
        <v>Tipo 1 (≤0,25) uT</v>
      </c>
      <c r="BE6" s="137" t="str">
        <f>IF(OR(AE6="",AP6="-"),"",IF(AE6&lt;=0.25,"Tipo 1 (≤0,25) uT",IF(AE6&lt;=0.5,"Tipo 2 (0,25-0,50) uT",IF(AE6&lt;=0.75,"Tipo 3 (0,50-0,75) uT","Tipo 4 (&gt;0,75) uT"))))</f>
        <v/>
      </c>
      <c r="BF6" s="137" t="str">
        <f>IF(OR(AP6="",AP6="-"),"",IF(AP6&lt;=0.25,"Tipo 1 (≤0,25) uT",IF(AP6&lt;=0.5,"Tipo 2 (0,25-0,50) uT",IF(AP6&lt;=0.75,"Tipo 3 (0,50-0,75) uT","Tipo 4 (&gt;0,75) uT"))))</f>
        <v/>
      </c>
      <c r="BG6" s="137" t="str">
        <f>IF(OR(Q6="",Q6="-"),"",IF(Q6&lt;=0.25,"Tipo 1 (≤0,25) uT",IF(Q6&lt;=0.5,"Tipo 2 (0,25-0,50) uT",IF(Q6&lt;=0.75,"Tipo 3 (0,50-0,75) uT","Tipo 4 (&gt;0,75) uT"))))</f>
        <v>Tipo 4 (&gt;0,75) uT</v>
      </c>
    </row>
    <row r="7" spans="1:59" x14ac:dyDescent="0.3">
      <c r="A7" s="26">
        <v>46128</v>
      </c>
      <c r="B7" s="107">
        <v>0.72916666666666663</v>
      </c>
      <c r="C7" s="116">
        <v>1212</v>
      </c>
      <c r="D7" s="116">
        <v>70</v>
      </c>
      <c r="E7" s="116">
        <v>500</v>
      </c>
      <c r="F7" s="116">
        <v>1876</v>
      </c>
      <c r="G7" s="10" t="s">
        <v>34</v>
      </c>
      <c r="H7" s="122">
        <v>4.4000000000000004</v>
      </c>
      <c r="I7" s="116">
        <v>90</v>
      </c>
      <c r="J7" s="116">
        <v>75</v>
      </c>
      <c r="K7" s="116">
        <v>37.5</v>
      </c>
      <c r="L7" s="122">
        <v>24.4</v>
      </c>
      <c r="M7" s="122">
        <v>6.7</v>
      </c>
      <c r="N7" s="79">
        <v>3.36</v>
      </c>
      <c r="O7" s="116">
        <v>18</v>
      </c>
      <c r="P7" s="122">
        <v>8.4</v>
      </c>
      <c r="Q7" s="79">
        <v>0.43</v>
      </c>
      <c r="R7" s="79">
        <v>22.36</v>
      </c>
      <c r="S7" s="79">
        <v>0.88</v>
      </c>
      <c r="T7" s="79">
        <v>0.7</v>
      </c>
      <c r="U7" s="85"/>
      <c r="V7" s="79"/>
      <c r="W7" s="79"/>
      <c r="X7" s="116"/>
      <c r="Y7" s="116"/>
      <c r="Z7" s="122"/>
      <c r="AA7" s="116"/>
      <c r="AB7" s="122">
        <v>6.7</v>
      </c>
      <c r="AC7" s="122">
        <v>8.1</v>
      </c>
      <c r="AD7" s="10">
        <v>0.12</v>
      </c>
      <c r="AE7" s="79"/>
      <c r="AF7" s="79"/>
      <c r="AG7" s="79"/>
      <c r="AH7" s="79"/>
      <c r="AI7" s="116"/>
      <c r="AJ7" s="116"/>
      <c r="AK7" s="79"/>
      <c r="AL7" s="79"/>
      <c r="AM7" s="122">
        <v>6.6</v>
      </c>
      <c r="AN7" s="122">
        <v>8.8000000000000007</v>
      </c>
      <c r="AO7" s="79">
        <v>0.19</v>
      </c>
      <c r="AP7" s="127"/>
      <c r="AQ7" s="132">
        <f t="shared" si="0"/>
        <v>1782</v>
      </c>
      <c r="AR7" s="134">
        <f t="shared" si="1"/>
        <v>0.68013468013468015</v>
      </c>
      <c r="AS7" s="134">
        <f t="shared" si="2"/>
        <v>3.9281705948372617E-2</v>
      </c>
      <c r="AT7" s="134">
        <f t="shared" si="3"/>
        <v>0.28058361391694725</v>
      </c>
      <c r="AU7" s="43" t="str">
        <f>IF(AND(F7&lt;&gt;"",Y7&lt;&gt;""),AA7/(F7/2/Y7),"")</f>
        <v/>
      </c>
      <c r="AV7" s="43" t="str">
        <f>IF(AND(F7&lt;&gt;"",AJ7&lt;&gt;""),AL7/(F7/2/AJ7),"")</f>
        <v/>
      </c>
      <c r="AW7" s="41" t="str">
        <f>IF(AND(AP7&lt;&gt;"",1-(AP7/N7)&gt;0),1-(AP7/N7),"")</f>
        <v/>
      </c>
      <c r="AX7" s="41" t="str">
        <f>IF(AND(AE7&lt;&gt;"",1-(AE7/N7)&gt;0),1-(AE7/N7),"")</f>
        <v/>
      </c>
      <c r="AY7" s="136" t="str">
        <f>IF(P7="","",IF(P7&lt;2.5,"Alc. Bruta &lt; 2,5 mg/L",IF(P7&lt;5,"2,5 ≤ Alc. Bruta &lt; 5,0 mg/L",IF(P7&lt;7.5,"5,0 ≤ Alc. Bruta &lt; 7,5 mg/L",IF(P7&lt;10,"7,5 ≤ Alc. Bruta &lt; 10,0 mg/L",IF(P7&lt;15,"10,0 ≤ Alca. Bruta &lt; 15,0 mg/L","Alc. Bruta &gt; 15 mg/L"))))))</f>
        <v>7,5 ≤ Alc. Bruta &lt; 10,0 mg/L</v>
      </c>
      <c r="AZ7" s="136" t="str">
        <f>IF(O7="","",IF(O7&lt;5,"Cor &lt;5 uC",IF(O7&lt;10,"5 ≤ Cor &lt; 10 uC",IF(O7&lt;15,"10 ≤ Cor &lt;15 uC",IF(O7&lt;30,"15 ≤ Cor &lt; 30 uC",IF(O7&lt;50,"30 ≤ Cor &lt; 50 uC","Cor &gt; 50 uC"))))))</f>
        <v>15 ≤ Cor &lt; 30 uC</v>
      </c>
      <c r="BA7" s="137" t="str">
        <f>IF(N7="","",IF(N7&lt;2.5,"Turbidez &lt; 2,5 uT",IF(N7&lt;5,"2,5 ≤ Turb &lt; 5,0 uT",IF(N7&lt;7.5,"5,0 ≤ Turb &lt; 7,5 uT",IF(N7&lt;10,"7,5 ≤ Turb &lt; 10,0 uT",IF(N7&lt;15,"10,0 ≤ Turb &lt; 15,0 uT","Turb &gt; 15 uT"))))))</f>
        <v>2,5 ≤ Turb &lt; 5,0 uT</v>
      </c>
      <c r="BB7" s="138" t="str">
        <f>IF(AND(C7&gt;D7,D7&gt;E7),"TOR &gt; SM &gt; BNN",IF(AND(C7&gt;E7,E7&gt;D7),"TOR &gt; BNN &gt; SM",IF(AND(D7&gt;C7,C7&gt;E7),"SM &gt; TOR &gt; BNN",IF(AND(D7&gt;E7,E7&gt;C7),"SM &gt; BNN &gt; TOR",IF(AND(C7=D7,D7=E7),"TOR = SM = BNN","Comb. diferentes")))))</f>
        <v>TOR &gt; BNN &gt; SM</v>
      </c>
      <c r="BC7" s="137" t="str">
        <f>IF(OR(AD7="",AP7="-"),"",IF(AD7&lt;=0.25,"Tipo 1 (≤0,25) uT",IF(AD7&lt;=0.5,"Tipo 2 (0,25-0,50) uT",IF(AD7&lt;=0.75,"Tipo 3 (0,50-0,75) uT","Tipo 4 (&gt;0,75) uT"))))</f>
        <v>Tipo 1 (≤0,25) uT</v>
      </c>
      <c r="BD7" s="137" t="str">
        <f>IF(OR(AO7="",AY7="-"),"",IF(AO7&lt;=0.25,"Tipo 1 (≤0,25) uT",IF(AO7&lt;=0.5,"Tipo 2 (0,25-0,50) uT",IF(AO7&lt;=0.75,"Tipo 3 (0,50-0,75) uT","Tipo 4 (&gt;0,75) uT"))))</f>
        <v>Tipo 1 (≤0,25) uT</v>
      </c>
      <c r="BE7" s="137" t="str">
        <f>IF(OR(AE7="",AP7="-"),"",IF(AE7&lt;=0.25,"Tipo 1 (≤0,25) uT",IF(AE7&lt;=0.5,"Tipo 2 (0,25-0,50) uT",IF(AE7&lt;=0.75,"Tipo 3 (0,50-0,75) uT","Tipo 4 (&gt;0,75) uT"))))</f>
        <v/>
      </c>
      <c r="BF7" s="137" t="str">
        <f>IF(OR(AP7="",AP7="-"),"",IF(AP7&lt;=0.25,"Tipo 1 (≤0,25) uT",IF(AP7&lt;=0.5,"Tipo 2 (0,25-0,50) uT",IF(AP7&lt;=0.75,"Tipo 3 (0,50-0,75) uT","Tipo 4 (&gt;0,75) uT"))))</f>
        <v/>
      </c>
      <c r="BG7" s="137" t="str">
        <f>IF(OR(Q7="",Q7="-"),"",IF(Q7&lt;=0.25,"Tipo 1 (≤0,25) uT",IF(Q7&lt;=0.5,"Tipo 2 (0,25-0,50) uT",IF(Q7&lt;=0.75,"Tipo 3 (0,50-0,75) uT","Tipo 4 (&gt;0,75) uT"))))</f>
        <v>Tipo 2 (0,25-0,50) uT</v>
      </c>
    </row>
    <row r="8" spans="1:59" x14ac:dyDescent="0.3">
      <c r="A8" s="26">
        <v>46128</v>
      </c>
      <c r="B8" s="107">
        <v>0.8125</v>
      </c>
      <c r="C8" s="116">
        <v>1173</v>
      </c>
      <c r="D8" s="116">
        <v>82</v>
      </c>
      <c r="E8" s="116">
        <v>499</v>
      </c>
      <c r="F8" s="116">
        <v>1884</v>
      </c>
      <c r="G8" s="10" t="s">
        <v>34</v>
      </c>
      <c r="H8" s="122">
        <v>4.4000000000000004</v>
      </c>
      <c r="I8" s="116">
        <v>90</v>
      </c>
      <c r="J8" s="116">
        <v>75</v>
      </c>
      <c r="K8" s="116">
        <v>37.5</v>
      </c>
      <c r="L8" s="122">
        <v>24.6</v>
      </c>
      <c r="M8" s="122">
        <v>6.8</v>
      </c>
      <c r="N8" s="79">
        <v>3.85</v>
      </c>
      <c r="O8" s="116">
        <v>15</v>
      </c>
      <c r="P8" s="122">
        <v>9.6999999999999993</v>
      </c>
      <c r="Q8" s="79">
        <v>0.41</v>
      </c>
      <c r="R8" s="79">
        <v>22.36</v>
      </c>
      <c r="S8" s="79">
        <v>0.88</v>
      </c>
      <c r="T8" s="79">
        <v>0.7</v>
      </c>
      <c r="U8" s="85"/>
      <c r="V8" s="79"/>
      <c r="W8" s="79"/>
      <c r="X8" s="116"/>
      <c r="Y8" s="116"/>
      <c r="Z8" s="122"/>
      <c r="AA8" s="116"/>
      <c r="AB8" s="122">
        <v>7</v>
      </c>
      <c r="AC8" s="122">
        <v>9.6</v>
      </c>
      <c r="AD8" s="10">
        <v>0.12</v>
      </c>
      <c r="AE8" s="79"/>
      <c r="AF8" s="79"/>
      <c r="AG8" s="79"/>
      <c r="AH8" s="79"/>
      <c r="AI8" s="116"/>
      <c r="AJ8" s="116"/>
      <c r="AK8" s="79"/>
      <c r="AL8" s="79"/>
      <c r="AM8" s="122">
        <v>7</v>
      </c>
      <c r="AN8" s="122">
        <v>8.8000000000000007</v>
      </c>
      <c r="AO8" s="79">
        <v>0.11</v>
      </c>
      <c r="AP8" s="127"/>
      <c r="AQ8" s="132">
        <f t="shared" si="0"/>
        <v>1754</v>
      </c>
      <c r="AR8" s="134">
        <f t="shared" si="1"/>
        <v>0.66875712656784492</v>
      </c>
      <c r="AS8" s="134">
        <f t="shared" si="2"/>
        <v>4.6750285062713795E-2</v>
      </c>
      <c r="AT8" s="134">
        <f t="shared" si="3"/>
        <v>0.2844925883694413</v>
      </c>
      <c r="AU8" s="43" t="str">
        <f>IF(AND(F8&lt;&gt;"",Y8&lt;&gt;""),AA8/(F8/2/Y8),"")</f>
        <v/>
      </c>
      <c r="AV8" s="43" t="str">
        <f>IF(AND(F8&lt;&gt;"",AJ8&lt;&gt;""),AL8/(F8/2/AJ8),"")</f>
        <v/>
      </c>
      <c r="AW8" s="41" t="str">
        <f>IF(AND(AP8&lt;&gt;"",1-(AP8/N8)&gt;0),1-(AP8/N8),"")</f>
        <v/>
      </c>
      <c r="AX8" s="41" t="str">
        <f>IF(AND(AE8&lt;&gt;"",1-(AE8/N8)&gt;0),1-(AE8/N8),"")</f>
        <v/>
      </c>
      <c r="AY8" s="136" t="str">
        <f>IF(P8="","",IF(P8&lt;2.5,"Alc. Bruta &lt; 2,5 mg/L",IF(P8&lt;5,"2,5 ≤ Alc. Bruta &lt; 5,0 mg/L",IF(P8&lt;7.5,"5,0 ≤ Alc. Bruta &lt; 7,5 mg/L",IF(P8&lt;10,"7,5 ≤ Alc. Bruta &lt; 10,0 mg/L",IF(P8&lt;15,"10,0 ≤ Alca. Bruta &lt; 15,0 mg/L","Alc. Bruta &gt; 15 mg/L"))))))</f>
        <v>7,5 ≤ Alc. Bruta &lt; 10,0 mg/L</v>
      </c>
      <c r="AZ8" s="136" t="str">
        <f>IF(O8="","",IF(O8&lt;5,"Cor &lt;5 uC",IF(O8&lt;10,"5 ≤ Cor &lt; 10 uC",IF(O8&lt;15,"10 ≤ Cor &lt;15 uC",IF(O8&lt;30,"15 ≤ Cor &lt; 30 uC",IF(O8&lt;50,"30 ≤ Cor &lt; 50 uC","Cor &gt; 50 uC"))))))</f>
        <v>15 ≤ Cor &lt; 30 uC</v>
      </c>
      <c r="BA8" s="137" t="str">
        <f>IF(N8="","",IF(N8&lt;2.5,"Turbidez &lt; 2,5 uT",IF(N8&lt;5,"2,5 ≤ Turb &lt; 5,0 uT",IF(N8&lt;7.5,"5,0 ≤ Turb &lt; 7,5 uT",IF(N8&lt;10,"7,5 ≤ Turb &lt; 10,0 uT",IF(N8&lt;15,"10,0 ≤ Turb &lt; 15,0 uT","Turb &gt; 15 uT"))))))</f>
        <v>2,5 ≤ Turb &lt; 5,0 uT</v>
      </c>
      <c r="BB8" s="138" t="str">
        <f>IF(AND(C8&gt;D8,D8&gt;E8),"TOR &gt; SM &gt; BNN",IF(AND(C8&gt;E8,E8&gt;D8),"TOR &gt; BNN &gt; SM",IF(AND(D8&gt;C8,C8&gt;E8),"SM &gt; TOR &gt; BNN",IF(AND(D8&gt;E8,E8&gt;C8),"SM &gt; BNN &gt; TOR",IF(AND(C8=D8,D8=E8),"TOR = SM = BNN","Comb. diferentes")))))</f>
        <v>TOR &gt; BNN &gt; SM</v>
      </c>
      <c r="BC8" s="137" t="str">
        <f>IF(OR(AD8="",AP8="-"),"",IF(AD8&lt;=0.25,"Tipo 1 (≤0,25) uT",IF(AD8&lt;=0.5,"Tipo 2 (0,25-0,50) uT",IF(AD8&lt;=0.75,"Tipo 3 (0,50-0,75) uT","Tipo 4 (&gt;0,75) uT"))))</f>
        <v>Tipo 1 (≤0,25) uT</v>
      </c>
      <c r="BD8" s="137" t="str">
        <f>IF(OR(AO8="",AY8="-"),"",IF(AO8&lt;=0.25,"Tipo 1 (≤0,25) uT",IF(AO8&lt;=0.5,"Tipo 2 (0,25-0,50) uT",IF(AO8&lt;=0.75,"Tipo 3 (0,50-0,75) uT","Tipo 4 (&gt;0,75) uT"))))</f>
        <v>Tipo 1 (≤0,25) uT</v>
      </c>
      <c r="BE8" s="137" t="str">
        <f>IF(OR(AE8="",AP8="-"),"",IF(AE8&lt;=0.25,"Tipo 1 (≤0,25) uT",IF(AE8&lt;=0.5,"Tipo 2 (0,25-0,50) uT",IF(AE8&lt;=0.75,"Tipo 3 (0,50-0,75) uT","Tipo 4 (&gt;0,75) uT"))))</f>
        <v/>
      </c>
      <c r="BF8" s="137" t="str">
        <f>IF(OR(AP8="",AP8="-"),"",IF(AP8&lt;=0.25,"Tipo 1 (≤0,25) uT",IF(AP8&lt;=0.5,"Tipo 2 (0,25-0,50) uT",IF(AP8&lt;=0.75,"Tipo 3 (0,50-0,75) uT","Tipo 4 (&gt;0,75) uT"))))</f>
        <v/>
      </c>
      <c r="BG8" s="137" t="str">
        <f>IF(OR(Q8="",Q8="-"),"",IF(Q8&lt;=0.25,"Tipo 1 (≤0,25) uT",IF(Q8&lt;=0.5,"Tipo 2 (0,25-0,50) uT",IF(Q8&lt;=0.75,"Tipo 3 (0,50-0,75) uT","Tipo 4 (&gt;0,75) uT"))))</f>
        <v>Tipo 2 (0,25-0,50) uT</v>
      </c>
    </row>
    <row r="9" spans="1:59" ht="15" thickBot="1" x14ac:dyDescent="0.35">
      <c r="A9" s="26">
        <v>46128</v>
      </c>
      <c r="B9" s="109">
        <v>0.85416666666666663</v>
      </c>
      <c r="C9" s="117">
        <v>1183</v>
      </c>
      <c r="D9" s="117">
        <v>82</v>
      </c>
      <c r="E9" s="117">
        <v>499</v>
      </c>
      <c r="F9" s="117">
        <v>1809</v>
      </c>
      <c r="G9" s="10" t="s">
        <v>34</v>
      </c>
      <c r="H9" s="123">
        <v>4.4000000000000004</v>
      </c>
      <c r="I9" s="116">
        <v>90</v>
      </c>
      <c r="J9" s="116">
        <v>75</v>
      </c>
      <c r="K9" s="116">
        <v>37.5</v>
      </c>
      <c r="L9" s="123">
        <v>24.7</v>
      </c>
      <c r="M9" s="123">
        <v>6.8</v>
      </c>
      <c r="N9" s="80">
        <v>3.4</v>
      </c>
      <c r="O9" s="117">
        <v>14</v>
      </c>
      <c r="P9" s="123">
        <v>10</v>
      </c>
      <c r="Q9" s="80">
        <v>0.38</v>
      </c>
      <c r="R9" s="79">
        <v>22.36</v>
      </c>
      <c r="S9" s="79">
        <v>0.88</v>
      </c>
      <c r="T9" s="79">
        <v>0.7</v>
      </c>
      <c r="U9" s="85"/>
      <c r="V9" s="84"/>
      <c r="W9" s="80"/>
      <c r="X9" s="117"/>
      <c r="Y9" s="117"/>
      <c r="Z9" s="123"/>
      <c r="AA9" s="117"/>
      <c r="AB9" s="123">
        <v>7</v>
      </c>
      <c r="AC9" s="123">
        <v>9.1</v>
      </c>
      <c r="AD9" s="11">
        <v>0.12</v>
      </c>
      <c r="AE9" s="80"/>
      <c r="AF9" s="80"/>
      <c r="AG9" s="80"/>
      <c r="AH9" s="80"/>
      <c r="AI9" s="117"/>
      <c r="AJ9" s="117"/>
      <c r="AK9" s="80"/>
      <c r="AL9" s="80"/>
      <c r="AM9" s="123">
        <v>6.9</v>
      </c>
      <c r="AN9" s="123">
        <v>8.3000000000000007</v>
      </c>
      <c r="AO9" s="80">
        <v>0.16</v>
      </c>
      <c r="AP9" s="128"/>
      <c r="AQ9" s="132">
        <f t="shared" si="0"/>
        <v>1764</v>
      </c>
      <c r="AR9" s="134">
        <f t="shared" si="1"/>
        <v>0.67063492063492058</v>
      </c>
      <c r="AS9" s="134">
        <f t="shared" si="2"/>
        <v>4.6485260770975055E-2</v>
      </c>
      <c r="AT9" s="134">
        <f t="shared" si="3"/>
        <v>0.28287981859410433</v>
      </c>
      <c r="AU9" s="43" t="str">
        <f>IF(AND(F9&lt;&gt;"",Y9&lt;&gt;""),AA9/(F9/2/Y9),"")</f>
        <v/>
      </c>
      <c r="AV9" s="43" t="str">
        <f>IF(AND(F9&lt;&gt;"",AJ9&lt;&gt;""),AL9/(F9/2/AJ9),"")</f>
        <v/>
      </c>
      <c r="AW9" s="41" t="str">
        <f>IF(AND(AP9&lt;&gt;"",1-(AP9/N9)&gt;0),1-(AP9/N9),"")</f>
        <v/>
      </c>
      <c r="AX9" s="41" t="str">
        <f>IF(AND(AE9&lt;&gt;"",1-(AE9/N9)&gt;0),1-(AE9/N9),"")</f>
        <v/>
      </c>
      <c r="AY9" s="136" t="str">
        <f>IF(P9="","",IF(P9&lt;2.5,"Alc. Bruta &lt; 2,5 mg/L",IF(P9&lt;5,"2,5 ≤ Alc. Bruta &lt; 5,0 mg/L",IF(P9&lt;7.5,"5,0 ≤ Alc. Bruta &lt; 7,5 mg/L",IF(P9&lt;10,"7,5 ≤ Alc. Bruta &lt; 10,0 mg/L",IF(P9&lt;15,"10,0 ≤ Alca. Bruta &lt; 15,0 mg/L","Alc. Bruta &gt; 15 mg/L"))))))</f>
        <v>10,0 ≤ Alca. Bruta &lt; 15,0 mg/L</v>
      </c>
      <c r="AZ9" s="136" t="str">
        <f>IF(O9="","",IF(O9&lt;5,"Cor &lt;5 uC",IF(O9&lt;10,"5 ≤ Cor &lt; 10 uC",IF(O9&lt;15,"10 ≤ Cor &lt;15 uC",IF(O9&lt;30,"15 ≤ Cor &lt; 30 uC",IF(O9&lt;50,"30 ≤ Cor &lt; 50 uC","Cor &gt; 50 uC"))))))</f>
        <v>10 ≤ Cor &lt;15 uC</v>
      </c>
      <c r="BA9" s="137" t="str">
        <f>IF(N9="","",IF(N9&lt;2.5,"Turbidez &lt; 2,5 uT",IF(N9&lt;5,"2,5 ≤ Turb &lt; 5,0 uT",IF(N9&lt;7.5,"5,0 ≤ Turb &lt; 7,5 uT",IF(N9&lt;10,"7,5 ≤ Turb &lt; 10,0 uT",IF(N9&lt;15,"10,0 ≤ Turb &lt; 15,0 uT","Turb &gt; 15 uT"))))))</f>
        <v>2,5 ≤ Turb &lt; 5,0 uT</v>
      </c>
      <c r="BB9" s="138" t="str">
        <f>IF(AND(C9&gt;D9,D9&gt;E9),"TOR &gt; SM &gt; BNN",IF(AND(C9&gt;E9,E9&gt;D9),"TOR &gt; BNN &gt; SM",IF(AND(D9&gt;C9,C9&gt;E9),"SM &gt; TOR &gt; BNN",IF(AND(D9&gt;E9,E9&gt;C9),"SM &gt; BNN &gt; TOR",IF(AND(C9=D9,D9=E9),"TOR = SM = BNN","Comb. diferentes")))))</f>
        <v>TOR &gt; BNN &gt; SM</v>
      </c>
      <c r="BC9" s="137" t="str">
        <f>IF(OR(AD9="",AP9="-"),"",IF(AD9&lt;=0.25,"Tipo 1 (≤0,25) uT",IF(AD9&lt;=0.5,"Tipo 2 (0,25-0,50) uT",IF(AD9&lt;=0.75,"Tipo 3 (0,50-0,75) uT","Tipo 4 (&gt;0,75) uT"))))</f>
        <v>Tipo 1 (≤0,25) uT</v>
      </c>
      <c r="BD9" s="137" t="str">
        <f>IF(OR(AO9="",AY9="-"),"",IF(AO9&lt;=0.25,"Tipo 1 (≤0,25) uT",IF(AO9&lt;=0.5,"Tipo 2 (0,25-0,50) uT",IF(AO9&lt;=0.75,"Tipo 3 (0,50-0,75) uT","Tipo 4 (&gt;0,75) uT"))))</f>
        <v>Tipo 1 (≤0,25) uT</v>
      </c>
      <c r="BE9" s="137" t="str">
        <f>IF(OR(AE9="",AP9="-"),"",IF(AE9&lt;=0.25,"Tipo 1 (≤0,25) uT",IF(AE9&lt;=0.5,"Tipo 2 (0,25-0,50) uT",IF(AE9&lt;=0.75,"Tipo 3 (0,50-0,75) uT","Tipo 4 (&gt;0,75) uT"))))</f>
        <v/>
      </c>
      <c r="BF9" s="137" t="str">
        <f>IF(OR(AP9="",AP9="-"),"",IF(AP9&lt;=0.25,"Tipo 1 (≤0,25) uT",IF(AP9&lt;=0.5,"Tipo 2 (0,25-0,50) uT",IF(AP9&lt;=0.75,"Tipo 3 (0,50-0,75) uT","Tipo 4 (&gt;0,75) uT"))))</f>
        <v/>
      </c>
      <c r="BG9" s="137" t="str">
        <f>IF(OR(Q9="",Q9="-"),"",IF(Q9&lt;=0.25,"Tipo 1 (≤0,25) uT",IF(Q9&lt;=0.5,"Tipo 2 (0,25-0,50) uT",IF(Q9&lt;=0.75,"Tipo 3 (0,50-0,75) uT","Tipo 4 (&gt;0,75) uT"))))</f>
        <v>Tipo 2 (0,25-0,50) uT</v>
      </c>
    </row>
    <row r="10" spans="1:59" x14ac:dyDescent="0.3">
      <c r="A10" s="26">
        <v>46129</v>
      </c>
      <c r="B10" s="107">
        <v>0.39583333333333331</v>
      </c>
      <c r="C10" s="116">
        <v>1746</v>
      </c>
      <c r="D10" s="116">
        <v>0</v>
      </c>
      <c r="E10" s="116">
        <v>500</v>
      </c>
      <c r="F10" s="116">
        <v>2256</v>
      </c>
      <c r="G10" s="10" t="s">
        <v>34</v>
      </c>
      <c r="H10" s="122">
        <v>4.5999999999999996</v>
      </c>
      <c r="I10" s="116">
        <v>90</v>
      </c>
      <c r="J10" s="116">
        <v>90</v>
      </c>
      <c r="K10" s="116">
        <v>90</v>
      </c>
      <c r="L10" s="122">
        <v>24.7</v>
      </c>
      <c r="M10" s="122">
        <v>6.7</v>
      </c>
      <c r="N10" s="79">
        <v>5.21</v>
      </c>
      <c r="O10" s="116">
        <v>16</v>
      </c>
      <c r="P10" s="122">
        <v>6.2</v>
      </c>
      <c r="Q10" s="79">
        <v>0.75</v>
      </c>
      <c r="R10" s="79">
        <v>22.36</v>
      </c>
      <c r="S10" s="79">
        <v>0.88</v>
      </c>
      <c r="T10" s="79">
        <v>0.7</v>
      </c>
      <c r="U10" s="85"/>
      <c r="V10" s="79"/>
      <c r="W10" s="79"/>
      <c r="X10" s="116"/>
      <c r="Y10" s="116"/>
      <c r="Z10" s="122"/>
      <c r="AA10" s="116"/>
      <c r="AB10" s="122">
        <v>6.7</v>
      </c>
      <c r="AC10" s="122">
        <v>5.6</v>
      </c>
      <c r="AD10" s="10">
        <v>0.28999999999999998</v>
      </c>
      <c r="AE10" s="79">
        <v>2.2400000000000002</v>
      </c>
      <c r="AF10" s="79"/>
      <c r="AG10" s="79"/>
      <c r="AH10" s="79"/>
      <c r="AI10" s="116"/>
      <c r="AJ10" s="116"/>
      <c r="AK10" s="79"/>
      <c r="AL10" s="79"/>
      <c r="AM10" s="122">
        <v>6.8</v>
      </c>
      <c r="AN10" s="122">
        <v>6</v>
      </c>
      <c r="AO10" s="79">
        <v>0.28000000000000003</v>
      </c>
      <c r="AP10" s="127">
        <v>1.37</v>
      </c>
      <c r="AQ10" s="132">
        <f t="shared" si="0"/>
        <v>2246</v>
      </c>
      <c r="AR10" s="134">
        <f t="shared" si="1"/>
        <v>0.77738201246660732</v>
      </c>
      <c r="AS10" s="134">
        <f t="shared" si="2"/>
        <v>0</v>
      </c>
      <c r="AT10" s="134">
        <f t="shared" si="3"/>
        <v>0.22261798753339271</v>
      </c>
      <c r="AU10" s="43" t="str">
        <f>IF(AND(F10&lt;&gt;"",Y10&lt;&gt;""),AA10/(F10/2/Y10),"")</f>
        <v/>
      </c>
      <c r="AV10" s="43" t="str">
        <f>IF(AND(F10&lt;&gt;"",AJ10&lt;&gt;""),AL10/(F10/2/AJ10),"")</f>
        <v/>
      </c>
      <c r="AW10" s="41">
        <f>IF(AND(AP10&lt;&gt;"",1-(AP10/N10)&gt;0),1-(AP10/N10),"")</f>
        <v>0.73704414587332057</v>
      </c>
      <c r="AX10" s="41">
        <f>IF(AND(AE10&lt;&gt;"",1-(AE10/N10)&gt;0),1-(AE10/N10),"")</f>
        <v>0.5700575815738963</v>
      </c>
      <c r="AY10" s="136" t="str">
        <f>IF(P10="","",IF(P10&lt;2.5,"Alc. Bruta &lt; 2,5 mg/L",IF(P10&lt;5,"2,5 ≤ Alc. Bruta &lt; 5,0 mg/L",IF(P10&lt;7.5,"5,0 ≤ Alc. Bruta &lt; 7,5 mg/L",IF(P10&lt;10,"7,5 ≤ Alc. Bruta &lt; 10,0 mg/L",IF(P10&lt;15,"10,0 ≤ Alca. Bruta &lt; 15,0 mg/L","Alc. Bruta &gt; 15 mg/L"))))))</f>
        <v>5,0 ≤ Alc. Bruta &lt; 7,5 mg/L</v>
      </c>
      <c r="AZ10" s="136" t="str">
        <f>IF(O10="","",IF(O10&lt;5,"Cor &lt;5 uC",IF(O10&lt;10,"5 ≤ Cor &lt; 10 uC",IF(O10&lt;15,"10 ≤ Cor &lt;15 uC",IF(O10&lt;30,"15 ≤ Cor &lt; 30 uC",IF(O10&lt;50,"30 ≤ Cor &lt; 50 uC","Cor &gt; 50 uC"))))))</f>
        <v>15 ≤ Cor &lt; 30 uC</v>
      </c>
      <c r="BA10" s="137" t="str">
        <f>IF(N10="","",IF(N10&lt;2.5,"Turbidez &lt; 2,5 uT",IF(N10&lt;5,"2,5 ≤ Turb &lt; 5,0 uT",IF(N10&lt;7.5,"5,0 ≤ Turb &lt; 7,5 uT",IF(N10&lt;10,"7,5 ≤ Turb &lt; 10,0 uT",IF(N10&lt;15,"10,0 ≤ Turb &lt; 15,0 uT","Turb &gt; 15 uT"))))))</f>
        <v>5,0 ≤ Turb &lt; 7,5 uT</v>
      </c>
      <c r="BB10" s="138" t="str">
        <f>IF(AND(C10&gt;D10,D10&gt;E10),"TOR &gt; SM &gt; BNN",IF(AND(C10&gt;E10,E10&gt;D10),"TOR &gt; BNN &gt; SM",IF(AND(D10&gt;C10,C10&gt;E10),"SM &gt; TOR &gt; BNN",IF(AND(D10&gt;E10,E10&gt;C10),"SM &gt; BNN &gt; TOR",IF(AND(C10=D10,D10=E10),"TOR = SM = BNN","Comb. diferentes")))))</f>
        <v>TOR &gt; BNN &gt; SM</v>
      </c>
      <c r="BC10" s="137" t="str">
        <f>IF(OR(AD10="",AP10="-"),"",IF(AD10&lt;=0.25,"Tipo 1 (≤0,25) uT",IF(AD10&lt;=0.5,"Tipo 2 (0,25-0,50) uT",IF(AD10&lt;=0.75,"Tipo 3 (0,50-0,75) uT","Tipo 4 (&gt;0,75) uT"))))</f>
        <v>Tipo 2 (0,25-0,50) uT</v>
      </c>
      <c r="BD10" s="137" t="str">
        <f>IF(OR(AO10="",AY10="-"),"",IF(AO10&lt;=0.25,"Tipo 1 (≤0,25) uT",IF(AO10&lt;=0.5,"Tipo 2 (0,25-0,50) uT",IF(AO10&lt;=0.75,"Tipo 3 (0,50-0,75) uT","Tipo 4 (&gt;0,75) uT"))))</f>
        <v>Tipo 2 (0,25-0,50) uT</v>
      </c>
      <c r="BE10" s="137" t="str">
        <f>IF(OR(AE10="",AP10="-"),"",IF(AE10&lt;=0.25,"Tipo 1 (≤0,25) uT",IF(AE10&lt;=0.5,"Tipo 2 (0,25-0,50) uT",IF(AE10&lt;=0.75,"Tipo 3 (0,50-0,75) uT","Tipo 4 (&gt;0,75) uT"))))</f>
        <v>Tipo 4 (&gt;0,75) uT</v>
      </c>
      <c r="BF10" s="137" t="str">
        <f>IF(OR(AP10="",AP10="-"),"",IF(AP10&lt;=0.25,"Tipo 1 (≤0,25) uT",IF(AP10&lt;=0.5,"Tipo 2 (0,25-0,50) uT",IF(AP10&lt;=0.75,"Tipo 3 (0,50-0,75) uT","Tipo 4 (&gt;0,75) uT"))))</f>
        <v>Tipo 4 (&gt;0,75) uT</v>
      </c>
      <c r="BG10" s="137" t="str">
        <f>IF(OR(Q10="",Q10="-"),"",IF(Q10&lt;=0.25,"Tipo 1 (≤0,25) uT",IF(Q10&lt;=0.5,"Tipo 2 (0,25-0,50) uT",IF(Q10&lt;=0.75,"Tipo 3 (0,50-0,75) uT","Tipo 4 (&gt;0,75) uT"))))</f>
        <v>Tipo 3 (0,50-0,75) uT</v>
      </c>
    </row>
    <row r="11" spans="1:59" x14ac:dyDescent="0.3">
      <c r="A11" s="26">
        <v>46129</v>
      </c>
      <c r="B11" s="107">
        <v>0.47916666666666669</v>
      </c>
      <c r="C11" s="116">
        <v>1528</v>
      </c>
      <c r="D11" s="116">
        <v>0</v>
      </c>
      <c r="E11" s="116">
        <v>499</v>
      </c>
      <c r="F11" s="116">
        <v>2257</v>
      </c>
      <c r="G11" s="10" t="s">
        <v>34</v>
      </c>
      <c r="H11" s="122">
        <v>4.5999999999999996</v>
      </c>
      <c r="I11" s="116">
        <v>90</v>
      </c>
      <c r="J11" s="116">
        <v>90</v>
      </c>
      <c r="K11" s="116">
        <v>90</v>
      </c>
      <c r="L11" s="122">
        <v>23.8</v>
      </c>
      <c r="M11" s="122">
        <v>6.7</v>
      </c>
      <c r="N11" s="79">
        <v>4.49</v>
      </c>
      <c r="O11" s="116">
        <v>16</v>
      </c>
      <c r="P11" s="122">
        <v>6.4</v>
      </c>
      <c r="Q11" s="79">
        <v>0.55000000000000004</v>
      </c>
      <c r="R11" s="79">
        <v>22.36</v>
      </c>
      <c r="S11" s="79">
        <v>0.88</v>
      </c>
      <c r="T11" s="79">
        <v>0.7</v>
      </c>
      <c r="U11" s="85"/>
      <c r="V11" s="79"/>
      <c r="W11" s="79"/>
      <c r="X11" s="116"/>
      <c r="Y11" s="116"/>
      <c r="Z11" s="122"/>
      <c r="AA11" s="116"/>
      <c r="AB11" s="122">
        <v>6.8</v>
      </c>
      <c r="AC11" s="122">
        <v>6.4</v>
      </c>
      <c r="AD11" s="10">
        <v>0.28999999999999998</v>
      </c>
      <c r="AE11" s="79">
        <v>1.95</v>
      </c>
      <c r="AF11" s="79"/>
      <c r="AG11" s="79"/>
      <c r="AH11" s="79"/>
      <c r="AI11" s="116"/>
      <c r="AJ11" s="116"/>
      <c r="AK11" s="79"/>
      <c r="AL11" s="79"/>
      <c r="AM11" s="122">
        <v>6.7</v>
      </c>
      <c r="AN11" s="122">
        <v>6.6</v>
      </c>
      <c r="AO11" s="79">
        <v>0.21</v>
      </c>
      <c r="AP11" s="127">
        <v>1.25</v>
      </c>
      <c r="AQ11" s="132">
        <f t="shared" si="0"/>
        <v>2027</v>
      </c>
      <c r="AR11" s="134">
        <f t="shared" si="1"/>
        <v>0.75382338431179086</v>
      </c>
      <c r="AS11" s="134">
        <f t="shared" si="2"/>
        <v>0</v>
      </c>
      <c r="AT11" s="134">
        <f t="shared" si="3"/>
        <v>0.24617661568820917</v>
      </c>
      <c r="AU11" s="43" t="str">
        <f>IF(AND(F11&lt;&gt;"",Y11&lt;&gt;""),AA11/(F11/2/Y11),"")</f>
        <v/>
      </c>
      <c r="AV11" s="43" t="str">
        <f>IF(AND(F11&lt;&gt;"",AJ11&lt;&gt;""),AL11/(F11/2/AJ11),"")</f>
        <v/>
      </c>
      <c r="AW11" s="41">
        <f>IF(AND(AP11&lt;&gt;"",1-(AP11/N11)&gt;0),1-(AP11/N11),"")</f>
        <v>0.72160356347438759</v>
      </c>
      <c r="AX11" s="41">
        <f>IF(AND(AE11&lt;&gt;"",1-(AE11/N11)&gt;0),1-(AE11/N11),"")</f>
        <v>0.5657015590200446</v>
      </c>
      <c r="AY11" s="136" t="str">
        <f>IF(P11="","",IF(P11&lt;2.5,"Alc. Bruta &lt; 2,5 mg/L",IF(P11&lt;5,"2,5 ≤ Alc. Bruta &lt; 5,0 mg/L",IF(P11&lt;7.5,"5,0 ≤ Alc. Bruta &lt; 7,5 mg/L",IF(P11&lt;10,"7,5 ≤ Alc. Bruta &lt; 10,0 mg/L",IF(P11&lt;15,"10,0 ≤ Alca. Bruta &lt; 15,0 mg/L","Alc. Bruta &gt; 15 mg/L"))))))</f>
        <v>5,0 ≤ Alc. Bruta &lt; 7,5 mg/L</v>
      </c>
      <c r="AZ11" s="136" t="str">
        <f>IF(O11="","",IF(O11&lt;5,"Cor &lt;5 uC",IF(O11&lt;10,"5 ≤ Cor &lt; 10 uC",IF(O11&lt;15,"10 ≤ Cor &lt;15 uC",IF(O11&lt;30,"15 ≤ Cor &lt; 30 uC",IF(O11&lt;50,"30 ≤ Cor &lt; 50 uC","Cor &gt; 50 uC"))))))</f>
        <v>15 ≤ Cor &lt; 30 uC</v>
      </c>
      <c r="BA11" s="137" t="str">
        <f>IF(N11="","",IF(N11&lt;2.5,"Turbidez &lt; 2,5 uT",IF(N11&lt;5,"2,5 ≤ Turb &lt; 5,0 uT",IF(N11&lt;7.5,"5,0 ≤ Turb &lt; 7,5 uT",IF(N11&lt;10,"7,5 ≤ Turb &lt; 10,0 uT",IF(N11&lt;15,"10,0 ≤ Turb &lt; 15,0 uT","Turb &gt; 15 uT"))))))</f>
        <v>2,5 ≤ Turb &lt; 5,0 uT</v>
      </c>
      <c r="BB11" s="138" t="str">
        <f>IF(AND(C11&gt;D11,D11&gt;E11),"TOR &gt; SM &gt; BNN",IF(AND(C11&gt;E11,E11&gt;D11),"TOR &gt; BNN &gt; SM",IF(AND(D11&gt;C11,C11&gt;E11),"SM &gt; TOR &gt; BNN",IF(AND(D11&gt;E11,E11&gt;C11),"SM &gt; BNN &gt; TOR",IF(AND(C11=D11,D11=E11),"TOR = SM = BNN","Comb. diferentes")))))</f>
        <v>TOR &gt; BNN &gt; SM</v>
      </c>
      <c r="BC11" s="137" t="str">
        <f>IF(OR(AD11="",AP11="-"),"",IF(AD11&lt;=0.25,"Tipo 1 (≤0,25) uT",IF(AD11&lt;=0.5,"Tipo 2 (0,25-0,50) uT",IF(AD11&lt;=0.75,"Tipo 3 (0,50-0,75) uT","Tipo 4 (&gt;0,75) uT"))))</f>
        <v>Tipo 2 (0,25-0,50) uT</v>
      </c>
      <c r="BD11" s="137" t="str">
        <f>IF(OR(AO11="",AY11="-"),"",IF(AO11&lt;=0.25,"Tipo 1 (≤0,25) uT",IF(AO11&lt;=0.5,"Tipo 2 (0,25-0,50) uT",IF(AO11&lt;=0.75,"Tipo 3 (0,50-0,75) uT","Tipo 4 (&gt;0,75) uT"))))</f>
        <v>Tipo 1 (≤0,25) uT</v>
      </c>
      <c r="BE11" s="137" t="str">
        <f>IF(OR(AE11="",AP11="-"),"",IF(AE11&lt;=0.25,"Tipo 1 (≤0,25) uT",IF(AE11&lt;=0.5,"Tipo 2 (0,25-0,50) uT",IF(AE11&lt;=0.75,"Tipo 3 (0,50-0,75) uT","Tipo 4 (&gt;0,75) uT"))))</f>
        <v>Tipo 4 (&gt;0,75) uT</v>
      </c>
      <c r="BF11" s="137" t="str">
        <f>IF(OR(AP11="",AP11="-"),"",IF(AP11&lt;=0.25,"Tipo 1 (≤0,25) uT",IF(AP11&lt;=0.5,"Tipo 2 (0,25-0,50) uT",IF(AP11&lt;=0.75,"Tipo 3 (0,50-0,75) uT","Tipo 4 (&gt;0,75) uT"))))</f>
        <v>Tipo 4 (&gt;0,75) uT</v>
      </c>
      <c r="BG11" s="137" t="str">
        <f>IF(OR(Q11="",Q11="-"),"",IF(Q11&lt;=0.25,"Tipo 1 (≤0,25) uT",IF(Q11&lt;=0.5,"Tipo 2 (0,25-0,50) uT",IF(Q11&lt;=0.75,"Tipo 3 (0,50-0,75) uT","Tipo 4 (&gt;0,75) uT"))))</f>
        <v>Tipo 3 (0,50-0,75) uT</v>
      </c>
    </row>
    <row r="12" spans="1:59" x14ac:dyDescent="0.3">
      <c r="A12" s="26">
        <v>46129</v>
      </c>
      <c r="B12" s="107">
        <v>0.5625</v>
      </c>
      <c r="C12" s="116">
        <v>1621</v>
      </c>
      <c r="D12" s="116">
        <v>0</v>
      </c>
      <c r="E12" s="116">
        <v>501</v>
      </c>
      <c r="F12" s="116">
        <v>2243</v>
      </c>
      <c r="G12" s="10" t="s">
        <v>34</v>
      </c>
      <c r="H12" s="122">
        <v>4.5999999999999996</v>
      </c>
      <c r="I12" s="116">
        <v>90</v>
      </c>
      <c r="J12" s="116">
        <v>90</v>
      </c>
      <c r="K12" s="116">
        <v>90</v>
      </c>
      <c r="L12" s="122">
        <v>24.1</v>
      </c>
      <c r="M12" s="122">
        <v>6.7</v>
      </c>
      <c r="N12" s="79">
        <v>4.29</v>
      </c>
      <c r="O12" s="116">
        <v>16</v>
      </c>
      <c r="P12" s="122">
        <v>6.6</v>
      </c>
      <c r="Q12" s="79">
        <v>0.6</v>
      </c>
      <c r="R12" s="79">
        <v>22.36</v>
      </c>
      <c r="S12" s="79">
        <v>0.88</v>
      </c>
      <c r="T12" s="79">
        <v>0.7</v>
      </c>
      <c r="U12" s="85"/>
      <c r="V12" s="79"/>
      <c r="W12" s="79"/>
      <c r="X12" s="116"/>
      <c r="Y12" s="116"/>
      <c r="Z12" s="122"/>
      <c r="AA12" s="116"/>
      <c r="AB12" s="122">
        <v>6.8</v>
      </c>
      <c r="AC12" s="122">
        <v>6.2</v>
      </c>
      <c r="AD12" s="10">
        <v>0.37</v>
      </c>
      <c r="AE12" s="79">
        <v>1.94</v>
      </c>
      <c r="AF12" s="79"/>
      <c r="AG12" s="79"/>
      <c r="AH12" s="79"/>
      <c r="AI12" s="116"/>
      <c r="AJ12" s="116"/>
      <c r="AK12" s="79"/>
      <c r="AL12" s="79"/>
      <c r="AM12" s="122">
        <v>6.7</v>
      </c>
      <c r="AN12" s="122">
        <v>6.1</v>
      </c>
      <c r="AO12" s="79">
        <v>0.21</v>
      </c>
      <c r="AP12" s="127">
        <v>1.0900000000000001</v>
      </c>
      <c r="AQ12" s="132">
        <f t="shared" si="0"/>
        <v>2122</v>
      </c>
      <c r="AR12" s="134">
        <f t="shared" si="1"/>
        <v>0.76390197926484449</v>
      </c>
      <c r="AS12" s="134">
        <f t="shared" si="2"/>
        <v>0</v>
      </c>
      <c r="AT12" s="134">
        <f t="shared" si="3"/>
        <v>0.23609802073515551</v>
      </c>
      <c r="AU12" s="43" t="str">
        <f>IF(AND(F12&lt;&gt;"",Y12&lt;&gt;""),AA12/(F12/2/Y12),"")</f>
        <v/>
      </c>
      <c r="AV12" s="43" t="str">
        <f>IF(AND(F12&lt;&gt;"",AJ12&lt;&gt;""),AL12/(F12/2/AJ12),"")</f>
        <v/>
      </c>
      <c r="AW12" s="41">
        <f>IF(AND(AP12&lt;&gt;"",1-(AP12/N12)&gt;0),1-(AP12/N12),"")</f>
        <v>0.74592074592074598</v>
      </c>
      <c r="AX12" s="41">
        <f>IF(AND(AE12&lt;&gt;"",1-(AE12/N12)&gt;0),1-(AE12/N12),"")</f>
        <v>0.54778554778554778</v>
      </c>
      <c r="AY12" s="136" t="str">
        <f>IF(P12="","",IF(P12&lt;2.5,"Alc. Bruta &lt; 2,5 mg/L",IF(P12&lt;5,"2,5 ≤ Alc. Bruta &lt; 5,0 mg/L",IF(P12&lt;7.5,"5,0 ≤ Alc. Bruta &lt; 7,5 mg/L",IF(P12&lt;10,"7,5 ≤ Alc. Bruta &lt; 10,0 mg/L",IF(P12&lt;15,"10,0 ≤ Alca. Bruta &lt; 15,0 mg/L","Alc. Bruta &gt; 15 mg/L"))))))</f>
        <v>5,0 ≤ Alc. Bruta &lt; 7,5 mg/L</v>
      </c>
      <c r="AZ12" s="136" t="str">
        <f>IF(O12="","",IF(O12&lt;5,"Cor &lt;5 uC",IF(O12&lt;10,"5 ≤ Cor &lt; 10 uC",IF(O12&lt;15,"10 ≤ Cor &lt;15 uC",IF(O12&lt;30,"15 ≤ Cor &lt; 30 uC",IF(O12&lt;50,"30 ≤ Cor &lt; 50 uC","Cor &gt; 50 uC"))))))</f>
        <v>15 ≤ Cor &lt; 30 uC</v>
      </c>
      <c r="BA12" s="137" t="str">
        <f>IF(N12="","",IF(N12&lt;2.5,"Turbidez &lt; 2,5 uT",IF(N12&lt;5,"2,5 ≤ Turb &lt; 5,0 uT",IF(N12&lt;7.5,"5,0 ≤ Turb &lt; 7,5 uT",IF(N12&lt;10,"7,5 ≤ Turb &lt; 10,0 uT",IF(N12&lt;15,"10,0 ≤ Turb &lt; 15,0 uT","Turb &gt; 15 uT"))))))</f>
        <v>2,5 ≤ Turb &lt; 5,0 uT</v>
      </c>
      <c r="BB12" s="138" t="str">
        <f>IF(AND(C12&gt;D12,D12&gt;E12),"TOR &gt; SM &gt; BNN",IF(AND(C12&gt;E12,E12&gt;D12),"TOR &gt; BNN &gt; SM",IF(AND(D12&gt;C12,C12&gt;E12),"SM &gt; TOR &gt; BNN",IF(AND(D12&gt;E12,E12&gt;C12),"SM &gt; BNN &gt; TOR",IF(AND(C12=D12,D12=E12),"TOR = SM = BNN","Comb. diferentes")))))</f>
        <v>TOR &gt; BNN &gt; SM</v>
      </c>
      <c r="BC12" s="137" t="str">
        <f>IF(OR(AD12="",AP12="-"),"",IF(AD12&lt;=0.25,"Tipo 1 (≤0,25) uT",IF(AD12&lt;=0.5,"Tipo 2 (0,25-0,50) uT",IF(AD12&lt;=0.75,"Tipo 3 (0,50-0,75) uT","Tipo 4 (&gt;0,75) uT"))))</f>
        <v>Tipo 2 (0,25-0,50) uT</v>
      </c>
      <c r="BD12" s="137" t="str">
        <f>IF(OR(AO12="",AY12="-"),"",IF(AO12&lt;=0.25,"Tipo 1 (≤0,25) uT",IF(AO12&lt;=0.5,"Tipo 2 (0,25-0,50) uT",IF(AO12&lt;=0.75,"Tipo 3 (0,50-0,75) uT","Tipo 4 (&gt;0,75) uT"))))</f>
        <v>Tipo 1 (≤0,25) uT</v>
      </c>
      <c r="BE12" s="137" t="str">
        <f>IF(OR(AE12="",AP12="-"),"",IF(AE12&lt;=0.25,"Tipo 1 (≤0,25) uT",IF(AE12&lt;=0.5,"Tipo 2 (0,25-0,50) uT",IF(AE12&lt;=0.75,"Tipo 3 (0,50-0,75) uT","Tipo 4 (&gt;0,75) uT"))))</f>
        <v>Tipo 4 (&gt;0,75) uT</v>
      </c>
      <c r="BF12" s="137" t="str">
        <f>IF(OR(AP12="",AP12="-"),"",IF(AP12&lt;=0.25,"Tipo 1 (≤0,25) uT",IF(AP12&lt;=0.5,"Tipo 2 (0,25-0,50) uT",IF(AP12&lt;=0.75,"Tipo 3 (0,50-0,75) uT","Tipo 4 (&gt;0,75) uT"))))</f>
        <v>Tipo 4 (&gt;0,75) uT</v>
      </c>
      <c r="BG12" s="137" t="str">
        <f>IF(OR(Q12="",Q12="-"),"",IF(Q12&lt;=0.25,"Tipo 1 (≤0,25) uT",IF(Q12&lt;=0.5,"Tipo 2 (0,25-0,50) uT",IF(Q12&lt;=0.75,"Tipo 3 (0,50-0,75) uT","Tipo 4 (&gt;0,75) uT"))))</f>
        <v>Tipo 3 (0,50-0,75) uT</v>
      </c>
    </row>
    <row r="13" spans="1:59" x14ac:dyDescent="0.3">
      <c r="A13" s="26">
        <v>46129</v>
      </c>
      <c r="B13" s="107">
        <v>0.64583333333333337</v>
      </c>
      <c r="C13" s="116">
        <v>1510</v>
      </c>
      <c r="D13" s="116">
        <v>0</v>
      </c>
      <c r="E13" s="116">
        <v>499</v>
      </c>
      <c r="F13" s="116">
        <v>2220</v>
      </c>
      <c r="G13" s="10" t="s">
        <v>34</v>
      </c>
      <c r="H13" s="122">
        <v>4</v>
      </c>
      <c r="I13" s="116">
        <v>90</v>
      </c>
      <c r="J13" s="116">
        <v>90</v>
      </c>
      <c r="K13" s="116">
        <v>90</v>
      </c>
      <c r="L13" s="122">
        <v>24.6</v>
      </c>
      <c r="M13" s="122">
        <v>6.7</v>
      </c>
      <c r="N13" s="79">
        <v>3.97</v>
      </c>
      <c r="O13" s="116">
        <v>15</v>
      </c>
      <c r="P13" s="122">
        <v>6</v>
      </c>
      <c r="Q13" s="79">
        <v>0.54</v>
      </c>
      <c r="R13" s="79">
        <v>22.36</v>
      </c>
      <c r="S13" s="79">
        <v>0.88</v>
      </c>
      <c r="T13" s="79">
        <v>0.7</v>
      </c>
      <c r="U13" s="85"/>
      <c r="V13" s="79"/>
      <c r="W13" s="79"/>
      <c r="X13" s="116"/>
      <c r="Y13" s="116"/>
      <c r="Z13" s="122"/>
      <c r="AA13" s="116"/>
      <c r="AB13" s="122">
        <v>6.8</v>
      </c>
      <c r="AC13" s="122">
        <v>5.9</v>
      </c>
      <c r="AD13" s="10">
        <v>0.26</v>
      </c>
      <c r="AE13" s="79">
        <v>1.59</v>
      </c>
      <c r="AF13" s="79"/>
      <c r="AG13" s="79"/>
      <c r="AH13" s="79"/>
      <c r="AI13" s="116"/>
      <c r="AJ13" s="116"/>
      <c r="AK13" s="79"/>
      <c r="AL13" s="79"/>
      <c r="AM13" s="122">
        <v>6.8</v>
      </c>
      <c r="AN13" s="122">
        <v>6</v>
      </c>
      <c r="AO13" s="79">
        <v>0.12</v>
      </c>
      <c r="AP13" s="127">
        <v>0.95</v>
      </c>
      <c r="AQ13" s="132">
        <f t="shared" si="0"/>
        <v>2009</v>
      </c>
      <c r="AR13" s="134">
        <f t="shared" si="1"/>
        <v>0.75161772025883522</v>
      </c>
      <c r="AS13" s="134">
        <f t="shared" si="2"/>
        <v>0</v>
      </c>
      <c r="AT13" s="134">
        <f t="shared" si="3"/>
        <v>0.24838227974116475</v>
      </c>
      <c r="AU13" s="43" t="str">
        <f>IF(AND(F13&lt;&gt;"",Y13&lt;&gt;""),AA13/(F13/2/Y13),"")</f>
        <v/>
      </c>
      <c r="AV13" s="43" t="str">
        <f>IF(AND(F13&lt;&gt;"",AJ13&lt;&gt;""),AL13/(F13/2/AJ13),"")</f>
        <v/>
      </c>
      <c r="AW13" s="41">
        <f>IF(AND(AP13&lt;&gt;"",1-(AP13/N13)&gt;0),1-(AP13/N13),"")</f>
        <v>0.76070528967254414</v>
      </c>
      <c r="AX13" s="41">
        <f>IF(AND(AE13&lt;&gt;"",1-(AE13/N13)&gt;0),1-(AE13/N13),"")</f>
        <v>0.59949622166246852</v>
      </c>
      <c r="AY13" s="136" t="str">
        <f>IF(P13="","",IF(P13&lt;2.5,"Alc. Bruta &lt; 2,5 mg/L",IF(P13&lt;5,"2,5 ≤ Alc. Bruta &lt; 5,0 mg/L",IF(P13&lt;7.5,"5,0 ≤ Alc. Bruta &lt; 7,5 mg/L",IF(P13&lt;10,"7,5 ≤ Alc. Bruta &lt; 10,0 mg/L",IF(P13&lt;15,"10,0 ≤ Alca. Bruta &lt; 15,0 mg/L","Alc. Bruta &gt; 15 mg/L"))))))</f>
        <v>5,0 ≤ Alc. Bruta &lt; 7,5 mg/L</v>
      </c>
      <c r="AZ13" s="136" t="str">
        <f>IF(O13="","",IF(O13&lt;5,"Cor &lt;5 uC",IF(O13&lt;10,"5 ≤ Cor &lt; 10 uC",IF(O13&lt;15,"10 ≤ Cor &lt;15 uC",IF(O13&lt;30,"15 ≤ Cor &lt; 30 uC",IF(O13&lt;50,"30 ≤ Cor &lt; 50 uC","Cor &gt; 50 uC"))))))</f>
        <v>15 ≤ Cor &lt; 30 uC</v>
      </c>
      <c r="BA13" s="137" t="str">
        <f>IF(N13="","",IF(N13&lt;2.5,"Turbidez &lt; 2,5 uT",IF(N13&lt;5,"2,5 ≤ Turb &lt; 5,0 uT",IF(N13&lt;7.5,"5,0 ≤ Turb &lt; 7,5 uT",IF(N13&lt;10,"7,5 ≤ Turb &lt; 10,0 uT",IF(N13&lt;15,"10,0 ≤ Turb &lt; 15,0 uT","Turb &gt; 15 uT"))))))</f>
        <v>2,5 ≤ Turb &lt; 5,0 uT</v>
      </c>
      <c r="BB13" s="138" t="str">
        <f>IF(AND(C13&gt;D13,D13&gt;E13),"TOR &gt; SM &gt; BNN",IF(AND(C13&gt;E13,E13&gt;D13),"TOR &gt; BNN &gt; SM",IF(AND(D13&gt;C13,C13&gt;E13),"SM &gt; TOR &gt; BNN",IF(AND(D13&gt;E13,E13&gt;C13),"SM &gt; BNN &gt; TOR",IF(AND(C13=D13,D13=E13),"TOR = SM = BNN","Comb. diferentes")))))</f>
        <v>TOR &gt; BNN &gt; SM</v>
      </c>
      <c r="BC13" s="137" t="str">
        <f>IF(OR(AD13="",AP13="-"),"",IF(AD13&lt;=0.25,"Tipo 1 (≤0,25) uT",IF(AD13&lt;=0.5,"Tipo 2 (0,25-0,50) uT",IF(AD13&lt;=0.75,"Tipo 3 (0,50-0,75) uT","Tipo 4 (&gt;0,75) uT"))))</f>
        <v>Tipo 2 (0,25-0,50) uT</v>
      </c>
      <c r="BD13" s="137" t="str">
        <f>IF(OR(AO13="",AY13="-"),"",IF(AO13&lt;=0.25,"Tipo 1 (≤0,25) uT",IF(AO13&lt;=0.5,"Tipo 2 (0,25-0,50) uT",IF(AO13&lt;=0.75,"Tipo 3 (0,50-0,75) uT","Tipo 4 (&gt;0,75) uT"))))</f>
        <v>Tipo 1 (≤0,25) uT</v>
      </c>
      <c r="BE13" s="137" t="str">
        <f>IF(OR(AE13="",AP13="-"),"",IF(AE13&lt;=0.25,"Tipo 1 (≤0,25) uT",IF(AE13&lt;=0.5,"Tipo 2 (0,25-0,50) uT",IF(AE13&lt;=0.75,"Tipo 3 (0,50-0,75) uT","Tipo 4 (&gt;0,75) uT"))))</f>
        <v>Tipo 4 (&gt;0,75) uT</v>
      </c>
      <c r="BF13" s="137" t="str">
        <f>IF(OR(AP13="",AP13="-"),"",IF(AP13&lt;=0.25,"Tipo 1 (≤0,25) uT",IF(AP13&lt;=0.5,"Tipo 2 (0,25-0,50) uT",IF(AP13&lt;=0.75,"Tipo 3 (0,50-0,75) uT","Tipo 4 (&gt;0,75) uT"))))</f>
        <v>Tipo 4 (&gt;0,75) uT</v>
      </c>
      <c r="BG13" s="137" t="str">
        <f>IF(OR(Q13="",Q13="-"),"",IF(Q13&lt;=0.25,"Tipo 1 (≤0,25) uT",IF(Q13&lt;=0.5,"Tipo 2 (0,25-0,50) uT",IF(Q13&lt;=0.75,"Tipo 3 (0,50-0,75) uT","Tipo 4 (&gt;0,75) uT"))))</f>
        <v>Tipo 3 (0,50-0,75) uT</v>
      </c>
    </row>
    <row r="14" spans="1:59" x14ac:dyDescent="0.3">
      <c r="A14" s="26">
        <v>46129</v>
      </c>
      <c r="B14" s="107">
        <v>0.72916666666666663</v>
      </c>
      <c r="C14" s="116">
        <v>1770</v>
      </c>
      <c r="D14" s="116">
        <v>0</v>
      </c>
      <c r="E14" s="116">
        <v>500</v>
      </c>
      <c r="F14" s="116">
        <v>2330</v>
      </c>
      <c r="G14" s="10" t="s">
        <v>34</v>
      </c>
      <c r="H14" s="122">
        <v>4</v>
      </c>
      <c r="I14" s="116">
        <v>90</v>
      </c>
      <c r="J14" s="116">
        <v>90</v>
      </c>
      <c r="K14" s="116">
        <v>90</v>
      </c>
      <c r="L14" s="122">
        <v>25</v>
      </c>
      <c r="M14" s="122">
        <v>6.7</v>
      </c>
      <c r="N14" s="79">
        <v>4.54</v>
      </c>
      <c r="O14" s="116">
        <v>15</v>
      </c>
      <c r="P14" s="122">
        <v>5.9</v>
      </c>
      <c r="Q14" s="79">
        <v>1.83</v>
      </c>
      <c r="R14" s="79">
        <v>22.36</v>
      </c>
      <c r="S14" s="79">
        <v>0.88</v>
      </c>
      <c r="T14" s="79">
        <v>0.7</v>
      </c>
      <c r="U14" s="85"/>
      <c r="V14" s="79"/>
      <c r="W14" s="79"/>
      <c r="X14" s="116"/>
      <c r="Y14" s="116"/>
      <c r="Z14" s="122"/>
      <c r="AA14" s="116"/>
      <c r="AB14" s="122">
        <v>6.8</v>
      </c>
      <c r="AC14" s="122">
        <v>6.1</v>
      </c>
      <c r="AD14" s="10">
        <v>0.49</v>
      </c>
      <c r="AE14" s="79">
        <v>0.74</v>
      </c>
      <c r="AF14" s="79"/>
      <c r="AG14" s="79"/>
      <c r="AH14" s="79"/>
      <c r="AI14" s="116"/>
      <c r="AJ14" s="116"/>
      <c r="AK14" s="79"/>
      <c r="AL14" s="79"/>
      <c r="AM14" s="122">
        <v>6.7</v>
      </c>
      <c r="AN14" s="122">
        <v>5.8</v>
      </c>
      <c r="AO14" s="79">
        <v>0.19</v>
      </c>
      <c r="AP14" s="127">
        <v>1.83</v>
      </c>
      <c r="AQ14" s="132">
        <f t="shared" si="0"/>
        <v>2270</v>
      </c>
      <c r="AR14" s="134">
        <f t="shared" si="1"/>
        <v>0.77973568281938321</v>
      </c>
      <c r="AS14" s="134">
        <f t="shared" si="2"/>
        <v>0</v>
      </c>
      <c r="AT14" s="134">
        <f t="shared" si="3"/>
        <v>0.22026431718061673</v>
      </c>
      <c r="AU14" s="43" t="str">
        <f>IF(AND(F14&lt;&gt;"",Y14&lt;&gt;""),AA14/(F14/2/Y14),"")</f>
        <v/>
      </c>
      <c r="AV14" s="43" t="str">
        <f>IF(AND(F14&lt;&gt;"",AJ14&lt;&gt;""),AL14/(F14/2/AJ14),"")</f>
        <v/>
      </c>
      <c r="AW14" s="41">
        <f>IF(AND(AP14&lt;&gt;"",1-(AP14/N14)&gt;0),1-(AP14/N14),"")</f>
        <v>0.59691629955947134</v>
      </c>
      <c r="AX14" s="41">
        <f>IF(AND(AE14&lt;&gt;"",1-(AE14/N14)&gt;0),1-(AE14/N14),"")</f>
        <v>0.83700440528634368</v>
      </c>
      <c r="AY14" s="136" t="str">
        <f>IF(P14="","",IF(P14&lt;2.5,"Alc. Bruta &lt; 2,5 mg/L",IF(P14&lt;5,"2,5 ≤ Alc. Bruta &lt; 5,0 mg/L",IF(P14&lt;7.5,"5,0 ≤ Alc. Bruta &lt; 7,5 mg/L",IF(P14&lt;10,"7,5 ≤ Alc. Bruta &lt; 10,0 mg/L",IF(P14&lt;15,"10,0 ≤ Alca. Bruta &lt; 15,0 mg/L","Alc. Bruta &gt; 15 mg/L"))))))</f>
        <v>5,0 ≤ Alc. Bruta &lt; 7,5 mg/L</v>
      </c>
      <c r="AZ14" s="136" t="str">
        <f>IF(O14="","",IF(O14&lt;5,"Cor &lt;5 uC",IF(O14&lt;10,"5 ≤ Cor &lt; 10 uC",IF(O14&lt;15,"10 ≤ Cor &lt;15 uC",IF(O14&lt;30,"15 ≤ Cor &lt; 30 uC",IF(O14&lt;50,"30 ≤ Cor &lt; 50 uC","Cor &gt; 50 uC"))))))</f>
        <v>15 ≤ Cor &lt; 30 uC</v>
      </c>
      <c r="BA14" s="137" t="str">
        <f>IF(N14="","",IF(N14&lt;2.5,"Turbidez &lt; 2,5 uT",IF(N14&lt;5,"2,5 ≤ Turb &lt; 5,0 uT",IF(N14&lt;7.5,"5,0 ≤ Turb &lt; 7,5 uT",IF(N14&lt;10,"7,5 ≤ Turb &lt; 10,0 uT",IF(N14&lt;15,"10,0 ≤ Turb &lt; 15,0 uT","Turb &gt; 15 uT"))))))</f>
        <v>2,5 ≤ Turb &lt; 5,0 uT</v>
      </c>
      <c r="BB14" s="138" t="str">
        <f>IF(AND(C14&gt;D14,D14&gt;E14),"TOR &gt; SM &gt; BNN",IF(AND(C14&gt;E14,E14&gt;D14),"TOR &gt; BNN &gt; SM",IF(AND(D14&gt;C14,C14&gt;E14),"SM &gt; TOR &gt; BNN",IF(AND(D14&gt;E14,E14&gt;C14),"SM &gt; BNN &gt; TOR",IF(AND(C14=D14,D14=E14),"TOR = SM = BNN","Comb. diferentes")))))</f>
        <v>TOR &gt; BNN &gt; SM</v>
      </c>
      <c r="BC14" s="137" t="str">
        <f>IF(OR(AD14="",AP14="-"),"",IF(AD14&lt;=0.25,"Tipo 1 (≤0,25) uT",IF(AD14&lt;=0.5,"Tipo 2 (0,25-0,50) uT",IF(AD14&lt;=0.75,"Tipo 3 (0,50-0,75) uT","Tipo 4 (&gt;0,75) uT"))))</f>
        <v>Tipo 2 (0,25-0,50) uT</v>
      </c>
      <c r="BD14" s="137" t="str">
        <f>IF(OR(AO14="",AY14="-"),"",IF(AO14&lt;=0.25,"Tipo 1 (≤0,25) uT",IF(AO14&lt;=0.5,"Tipo 2 (0,25-0,50) uT",IF(AO14&lt;=0.75,"Tipo 3 (0,50-0,75) uT","Tipo 4 (&gt;0,75) uT"))))</f>
        <v>Tipo 1 (≤0,25) uT</v>
      </c>
      <c r="BE14" s="137" t="str">
        <f>IF(OR(AE14="",AP14="-"),"",IF(AE14&lt;=0.25,"Tipo 1 (≤0,25) uT",IF(AE14&lt;=0.5,"Tipo 2 (0,25-0,50) uT",IF(AE14&lt;=0.75,"Tipo 3 (0,50-0,75) uT","Tipo 4 (&gt;0,75) uT"))))</f>
        <v>Tipo 3 (0,50-0,75) uT</v>
      </c>
      <c r="BF14" s="137" t="str">
        <f>IF(OR(AP14="",AP14="-"),"",IF(AP14&lt;=0.25,"Tipo 1 (≤0,25) uT",IF(AP14&lt;=0.5,"Tipo 2 (0,25-0,50) uT",IF(AP14&lt;=0.75,"Tipo 3 (0,50-0,75) uT","Tipo 4 (&gt;0,75) uT"))))</f>
        <v>Tipo 4 (&gt;0,75) uT</v>
      </c>
      <c r="BG14" s="137" t="str">
        <f>IF(OR(Q14="",Q14="-"),"",IF(Q14&lt;=0.25,"Tipo 1 (≤0,25) uT",IF(Q14&lt;=0.5,"Tipo 2 (0,25-0,50) uT",IF(Q14&lt;=0.75,"Tipo 3 (0,50-0,75) uT","Tipo 4 (&gt;0,75) uT"))))</f>
        <v>Tipo 4 (&gt;0,75) uT</v>
      </c>
    </row>
    <row r="15" spans="1:59" x14ac:dyDescent="0.3">
      <c r="A15" s="26">
        <v>46129</v>
      </c>
      <c r="B15" s="107">
        <v>0.8125</v>
      </c>
      <c r="C15" s="116">
        <v>1140</v>
      </c>
      <c r="D15" s="116">
        <v>0</v>
      </c>
      <c r="E15" s="116">
        <v>500</v>
      </c>
      <c r="F15" s="116">
        <v>1884</v>
      </c>
      <c r="G15" s="10" t="s">
        <v>34</v>
      </c>
      <c r="H15" s="122">
        <v>4</v>
      </c>
      <c r="I15" s="116">
        <v>90</v>
      </c>
      <c r="J15" s="116">
        <v>90</v>
      </c>
      <c r="K15" s="116">
        <v>90</v>
      </c>
      <c r="L15" s="122">
        <v>24.7</v>
      </c>
      <c r="M15" s="122">
        <v>6.7</v>
      </c>
      <c r="N15" s="79">
        <v>4.45</v>
      </c>
      <c r="O15" s="116">
        <v>16</v>
      </c>
      <c r="P15" s="122">
        <v>5.0999999999999996</v>
      </c>
      <c r="Q15" s="79">
        <v>0.62</v>
      </c>
      <c r="R15" s="79">
        <v>22.36</v>
      </c>
      <c r="S15" s="79">
        <v>0.88</v>
      </c>
      <c r="T15" s="79">
        <v>0.7</v>
      </c>
      <c r="U15" s="85"/>
      <c r="V15" s="79"/>
      <c r="W15" s="79"/>
      <c r="X15" s="116"/>
      <c r="Y15" s="116"/>
      <c r="Z15" s="122"/>
      <c r="AA15" s="116"/>
      <c r="AB15" s="122">
        <v>6.6</v>
      </c>
      <c r="AC15" s="122">
        <v>5.4</v>
      </c>
      <c r="AD15" s="10">
        <v>0.12</v>
      </c>
      <c r="AE15" s="79">
        <v>0.44</v>
      </c>
      <c r="AF15" s="79"/>
      <c r="AG15" s="79"/>
      <c r="AH15" s="79"/>
      <c r="AI15" s="116"/>
      <c r="AJ15" s="116"/>
      <c r="AK15" s="79"/>
      <c r="AL15" s="79"/>
      <c r="AM15" s="122">
        <v>6.7</v>
      </c>
      <c r="AN15" s="122">
        <v>5.3</v>
      </c>
      <c r="AO15" s="79">
        <v>0.15</v>
      </c>
      <c r="AP15" s="127">
        <v>1.8</v>
      </c>
      <c r="AQ15" s="132">
        <f t="shared" si="0"/>
        <v>1640</v>
      </c>
      <c r="AR15" s="134">
        <f t="shared" si="1"/>
        <v>0.69512195121951215</v>
      </c>
      <c r="AS15" s="134">
        <f t="shared" si="2"/>
        <v>0</v>
      </c>
      <c r="AT15" s="134">
        <f t="shared" si="3"/>
        <v>0.3048780487804878</v>
      </c>
      <c r="AU15" s="43" t="str">
        <f>IF(AND(F15&lt;&gt;"",Y15&lt;&gt;""),AA15/(F15/2/Y15),"")</f>
        <v/>
      </c>
      <c r="AV15" s="43" t="str">
        <f>IF(AND(F15&lt;&gt;"",AJ15&lt;&gt;""),AL15/(F15/2/AJ15),"")</f>
        <v/>
      </c>
      <c r="AW15" s="41">
        <f>IF(AND(AP15&lt;&gt;"",1-(AP15/N15)&gt;0),1-(AP15/N15),"")</f>
        <v>0.5955056179775281</v>
      </c>
      <c r="AX15" s="41">
        <f>IF(AND(AE15&lt;&gt;"",1-(AE15/N15)&gt;0),1-(AE15/N15),"")</f>
        <v>0.90112359550561794</v>
      </c>
      <c r="AY15" s="136" t="str">
        <f>IF(P15="","",IF(P15&lt;2.5,"Alc. Bruta &lt; 2,5 mg/L",IF(P15&lt;5,"2,5 ≤ Alc. Bruta &lt; 5,0 mg/L",IF(P15&lt;7.5,"5,0 ≤ Alc. Bruta &lt; 7,5 mg/L",IF(P15&lt;10,"7,5 ≤ Alc. Bruta &lt; 10,0 mg/L",IF(P15&lt;15,"10,0 ≤ Alca. Bruta &lt; 15,0 mg/L","Alc. Bruta &gt; 15 mg/L"))))))</f>
        <v>5,0 ≤ Alc. Bruta &lt; 7,5 mg/L</v>
      </c>
      <c r="AZ15" s="136" t="str">
        <f>IF(O15="","",IF(O15&lt;5,"Cor &lt;5 uC",IF(O15&lt;10,"5 ≤ Cor &lt; 10 uC",IF(O15&lt;15,"10 ≤ Cor &lt;15 uC",IF(O15&lt;30,"15 ≤ Cor &lt; 30 uC",IF(O15&lt;50,"30 ≤ Cor &lt; 50 uC","Cor &gt; 50 uC"))))))</f>
        <v>15 ≤ Cor &lt; 30 uC</v>
      </c>
      <c r="BA15" s="137" t="str">
        <f>IF(N15="","",IF(N15&lt;2.5,"Turbidez &lt; 2,5 uT",IF(N15&lt;5,"2,5 ≤ Turb &lt; 5,0 uT",IF(N15&lt;7.5,"5,0 ≤ Turb &lt; 7,5 uT",IF(N15&lt;10,"7,5 ≤ Turb &lt; 10,0 uT",IF(N15&lt;15,"10,0 ≤ Turb &lt; 15,0 uT","Turb &gt; 15 uT"))))))</f>
        <v>2,5 ≤ Turb &lt; 5,0 uT</v>
      </c>
      <c r="BB15" s="138" t="str">
        <f>IF(AND(C15&gt;D15,D15&gt;E15),"TOR &gt; SM &gt; BNN",IF(AND(C15&gt;E15,E15&gt;D15),"TOR &gt; BNN &gt; SM",IF(AND(D15&gt;C15,C15&gt;E15),"SM &gt; TOR &gt; BNN",IF(AND(D15&gt;E15,E15&gt;C15),"SM &gt; BNN &gt; TOR",IF(AND(C15=D15,D15=E15),"TOR = SM = BNN","Comb. diferentes")))))</f>
        <v>TOR &gt; BNN &gt; SM</v>
      </c>
      <c r="BC15" s="137" t="str">
        <f>IF(OR(AD15="",AP15="-"),"",IF(AD15&lt;=0.25,"Tipo 1 (≤0,25) uT",IF(AD15&lt;=0.5,"Tipo 2 (0,25-0,50) uT",IF(AD15&lt;=0.75,"Tipo 3 (0,50-0,75) uT","Tipo 4 (&gt;0,75) uT"))))</f>
        <v>Tipo 1 (≤0,25) uT</v>
      </c>
      <c r="BD15" s="137" t="str">
        <f>IF(OR(AO15="",AY15="-"),"",IF(AO15&lt;=0.25,"Tipo 1 (≤0,25) uT",IF(AO15&lt;=0.5,"Tipo 2 (0,25-0,50) uT",IF(AO15&lt;=0.75,"Tipo 3 (0,50-0,75) uT","Tipo 4 (&gt;0,75) uT"))))</f>
        <v>Tipo 1 (≤0,25) uT</v>
      </c>
      <c r="BE15" s="137" t="str">
        <f>IF(OR(AE15="",AP15="-"),"",IF(AE15&lt;=0.25,"Tipo 1 (≤0,25) uT",IF(AE15&lt;=0.5,"Tipo 2 (0,25-0,50) uT",IF(AE15&lt;=0.75,"Tipo 3 (0,50-0,75) uT","Tipo 4 (&gt;0,75) uT"))))</f>
        <v>Tipo 2 (0,25-0,50) uT</v>
      </c>
      <c r="BF15" s="137" t="str">
        <f>IF(OR(AP15="",AP15="-"),"",IF(AP15&lt;=0.25,"Tipo 1 (≤0,25) uT",IF(AP15&lt;=0.5,"Tipo 2 (0,25-0,50) uT",IF(AP15&lt;=0.75,"Tipo 3 (0,50-0,75) uT","Tipo 4 (&gt;0,75) uT"))))</f>
        <v>Tipo 4 (&gt;0,75) uT</v>
      </c>
      <c r="BG15" s="137" t="str">
        <f>IF(OR(Q15="",Q15="-"),"",IF(Q15&lt;=0.25,"Tipo 1 (≤0,25) uT",IF(Q15&lt;=0.5,"Tipo 2 (0,25-0,50) uT",IF(Q15&lt;=0.75,"Tipo 3 (0,50-0,75) uT","Tipo 4 (&gt;0,75) uT"))))</f>
        <v>Tipo 3 (0,50-0,75) uT</v>
      </c>
    </row>
    <row r="16" spans="1:59" x14ac:dyDescent="0.3">
      <c r="A16" s="26">
        <v>46129</v>
      </c>
      <c r="B16" s="107">
        <v>0.89583333333333337</v>
      </c>
      <c r="C16" s="116">
        <v>1114</v>
      </c>
      <c r="D16" s="116">
        <v>0</v>
      </c>
      <c r="E16" s="116">
        <v>500</v>
      </c>
      <c r="F16" s="116">
        <v>1887</v>
      </c>
      <c r="G16" s="10" t="s">
        <v>34</v>
      </c>
      <c r="H16" s="122">
        <v>4</v>
      </c>
      <c r="I16" s="116">
        <v>90</v>
      </c>
      <c r="J16" s="116">
        <v>90</v>
      </c>
      <c r="K16" s="116">
        <v>90</v>
      </c>
      <c r="L16" s="122">
        <v>24.5</v>
      </c>
      <c r="M16" s="122">
        <v>6.7</v>
      </c>
      <c r="N16" s="79">
        <v>4.3099999999999996</v>
      </c>
      <c r="O16" s="116">
        <v>22</v>
      </c>
      <c r="P16" s="122">
        <v>6.6</v>
      </c>
      <c r="Q16" s="79">
        <v>0.55000000000000004</v>
      </c>
      <c r="R16" s="79">
        <v>22.36</v>
      </c>
      <c r="S16" s="79">
        <v>0.88</v>
      </c>
      <c r="T16" s="79">
        <v>0.7</v>
      </c>
      <c r="U16" s="85"/>
      <c r="V16" s="79"/>
      <c r="W16" s="79"/>
      <c r="X16" s="116"/>
      <c r="Y16" s="116"/>
      <c r="Z16" s="122"/>
      <c r="AA16" s="116"/>
      <c r="AB16" s="122">
        <v>6.8</v>
      </c>
      <c r="AC16" s="122">
        <v>6.5</v>
      </c>
      <c r="AD16" s="10">
        <v>0.19</v>
      </c>
      <c r="AE16" s="79">
        <v>0.45</v>
      </c>
      <c r="AF16" s="79"/>
      <c r="AG16" s="79"/>
      <c r="AH16" s="79"/>
      <c r="AI16" s="116"/>
      <c r="AJ16" s="116"/>
      <c r="AK16" s="79"/>
      <c r="AL16" s="79"/>
      <c r="AM16" s="122">
        <v>6.7</v>
      </c>
      <c r="AN16" s="122">
        <v>6.3</v>
      </c>
      <c r="AO16" s="79">
        <v>0.13</v>
      </c>
      <c r="AP16" s="127">
        <v>1.99</v>
      </c>
      <c r="AQ16" s="132">
        <f t="shared" si="0"/>
        <v>1614</v>
      </c>
      <c r="AR16" s="134">
        <f t="shared" si="1"/>
        <v>0.69021065675340765</v>
      </c>
      <c r="AS16" s="134">
        <f t="shared" si="2"/>
        <v>0</v>
      </c>
      <c r="AT16" s="134">
        <f t="shared" si="3"/>
        <v>0.3097893432465923</v>
      </c>
      <c r="AU16" s="43" t="str">
        <f>IF(AND(F16&lt;&gt;"",Y16&lt;&gt;""),AA16/(F16/2/Y16),"")</f>
        <v/>
      </c>
      <c r="AV16" s="43" t="str">
        <f>IF(AND(F16&lt;&gt;"",AJ16&lt;&gt;""),AL16/(F16/2/AJ16),"")</f>
        <v/>
      </c>
      <c r="AW16" s="41">
        <f>IF(AND(AP16&lt;&gt;"",1-(AP16/N16)&gt;0),1-(AP16/N16),"")</f>
        <v>0.53828306264501158</v>
      </c>
      <c r="AX16" s="41">
        <f>IF(AND(AE16&lt;&gt;"",1-(AE16/N16)&gt;0),1-(AE16/N16),"")</f>
        <v>0.89559164733178653</v>
      </c>
      <c r="AY16" s="136" t="str">
        <f>IF(P16="","",IF(P16&lt;2.5,"Alc. Bruta &lt; 2,5 mg/L",IF(P16&lt;5,"2,5 ≤ Alc. Bruta &lt; 5,0 mg/L",IF(P16&lt;7.5,"5,0 ≤ Alc. Bruta &lt; 7,5 mg/L",IF(P16&lt;10,"7,5 ≤ Alc. Bruta &lt; 10,0 mg/L",IF(P16&lt;15,"10,0 ≤ Alca. Bruta &lt; 15,0 mg/L","Alc. Bruta &gt; 15 mg/L"))))))</f>
        <v>5,0 ≤ Alc. Bruta &lt; 7,5 mg/L</v>
      </c>
      <c r="AZ16" s="136" t="str">
        <f>IF(O16="","",IF(O16&lt;5,"Cor &lt;5 uC",IF(O16&lt;10,"5 ≤ Cor &lt; 10 uC",IF(O16&lt;15,"10 ≤ Cor &lt;15 uC",IF(O16&lt;30,"15 ≤ Cor &lt; 30 uC",IF(O16&lt;50,"30 ≤ Cor &lt; 50 uC","Cor &gt; 50 uC"))))))</f>
        <v>15 ≤ Cor &lt; 30 uC</v>
      </c>
      <c r="BA16" s="137" t="str">
        <f>IF(N16="","",IF(N16&lt;2.5,"Turbidez &lt; 2,5 uT",IF(N16&lt;5,"2,5 ≤ Turb &lt; 5,0 uT",IF(N16&lt;7.5,"5,0 ≤ Turb &lt; 7,5 uT",IF(N16&lt;10,"7,5 ≤ Turb &lt; 10,0 uT",IF(N16&lt;15,"10,0 ≤ Turb &lt; 15,0 uT","Turb &gt; 15 uT"))))))</f>
        <v>2,5 ≤ Turb &lt; 5,0 uT</v>
      </c>
      <c r="BB16" s="138" t="str">
        <f>IF(AND(C16&gt;D16,D16&gt;E16),"TOR &gt; SM &gt; BNN",IF(AND(C16&gt;E16,E16&gt;D16),"TOR &gt; BNN &gt; SM",IF(AND(D16&gt;C16,C16&gt;E16),"SM &gt; TOR &gt; BNN",IF(AND(D16&gt;E16,E16&gt;C16),"SM &gt; BNN &gt; TOR",IF(AND(C16=D16,D16=E16),"TOR = SM = BNN","Comb. diferentes")))))</f>
        <v>TOR &gt; BNN &gt; SM</v>
      </c>
      <c r="BC16" s="137" t="str">
        <f>IF(OR(AD16="",AP16="-"),"",IF(AD16&lt;=0.25,"Tipo 1 (≤0,25) uT",IF(AD16&lt;=0.5,"Tipo 2 (0,25-0,50) uT",IF(AD16&lt;=0.75,"Tipo 3 (0,50-0,75) uT","Tipo 4 (&gt;0,75) uT"))))</f>
        <v>Tipo 1 (≤0,25) uT</v>
      </c>
      <c r="BD16" s="137" t="str">
        <f>IF(OR(AO16="",AY16="-"),"",IF(AO16&lt;=0.25,"Tipo 1 (≤0,25) uT",IF(AO16&lt;=0.5,"Tipo 2 (0,25-0,50) uT",IF(AO16&lt;=0.75,"Tipo 3 (0,50-0,75) uT","Tipo 4 (&gt;0,75) uT"))))</f>
        <v>Tipo 1 (≤0,25) uT</v>
      </c>
      <c r="BE16" s="137" t="str">
        <f>IF(OR(AE16="",AP16="-"),"",IF(AE16&lt;=0.25,"Tipo 1 (≤0,25) uT",IF(AE16&lt;=0.5,"Tipo 2 (0,25-0,50) uT",IF(AE16&lt;=0.75,"Tipo 3 (0,50-0,75) uT","Tipo 4 (&gt;0,75) uT"))))</f>
        <v>Tipo 2 (0,25-0,50) uT</v>
      </c>
      <c r="BF16" s="137" t="str">
        <f>IF(OR(AP16="",AP16="-"),"",IF(AP16&lt;=0.25,"Tipo 1 (≤0,25) uT",IF(AP16&lt;=0.5,"Tipo 2 (0,25-0,50) uT",IF(AP16&lt;=0.75,"Tipo 3 (0,50-0,75) uT","Tipo 4 (&gt;0,75) uT"))))</f>
        <v>Tipo 4 (&gt;0,75) uT</v>
      </c>
      <c r="BG16" s="137" t="str">
        <f>IF(OR(Q16="",Q16="-"),"",IF(Q16&lt;=0.25,"Tipo 1 (≤0,25) uT",IF(Q16&lt;=0.5,"Tipo 2 (0,25-0,50) uT",IF(Q16&lt;=0.75,"Tipo 3 (0,50-0,75) uT","Tipo 4 (&gt;0,75) uT"))))</f>
        <v>Tipo 3 (0,50-0,75) uT</v>
      </c>
    </row>
    <row r="17" spans="1:59" x14ac:dyDescent="0.3">
      <c r="A17" s="26">
        <v>46129</v>
      </c>
      <c r="B17" s="107">
        <v>0.97916666666666663</v>
      </c>
      <c r="C17" s="116">
        <v>1083</v>
      </c>
      <c r="D17" s="116">
        <v>0</v>
      </c>
      <c r="E17" s="116">
        <v>500</v>
      </c>
      <c r="F17" s="116">
        <v>1888</v>
      </c>
      <c r="G17" s="10" t="s">
        <v>34</v>
      </c>
      <c r="H17" s="122">
        <v>4</v>
      </c>
      <c r="I17" s="116">
        <v>90</v>
      </c>
      <c r="J17" s="116">
        <v>90</v>
      </c>
      <c r="K17" s="116">
        <v>90</v>
      </c>
      <c r="L17" s="122">
        <v>24</v>
      </c>
      <c r="M17" s="122">
        <v>6.7</v>
      </c>
      <c r="N17" s="79">
        <v>4.34</v>
      </c>
      <c r="O17" s="116">
        <v>22</v>
      </c>
      <c r="P17" s="122">
        <v>6.5</v>
      </c>
      <c r="Q17" s="79">
        <v>0.48</v>
      </c>
      <c r="R17" s="79">
        <v>22.36</v>
      </c>
      <c r="S17" s="79">
        <v>0.88</v>
      </c>
      <c r="T17" s="79">
        <v>0.7</v>
      </c>
      <c r="U17" s="85"/>
      <c r="V17" s="79"/>
      <c r="W17" s="79"/>
      <c r="X17" s="116"/>
      <c r="Y17" s="116"/>
      <c r="Z17" s="122"/>
      <c r="AA17" s="116"/>
      <c r="AB17" s="122">
        <v>6.8</v>
      </c>
      <c r="AC17" s="122">
        <v>9</v>
      </c>
      <c r="AD17" s="10">
        <v>0.12</v>
      </c>
      <c r="AE17" s="79">
        <v>0.48</v>
      </c>
      <c r="AF17" s="79"/>
      <c r="AG17" s="79"/>
      <c r="AH17" s="79"/>
      <c r="AI17" s="116"/>
      <c r="AJ17" s="116"/>
      <c r="AK17" s="79"/>
      <c r="AL17" s="79"/>
      <c r="AM17" s="122">
        <v>6.7</v>
      </c>
      <c r="AN17" s="122">
        <v>7.5</v>
      </c>
      <c r="AO17" s="79">
        <v>0.2</v>
      </c>
      <c r="AP17" s="127">
        <v>1.02</v>
      </c>
      <c r="AQ17" s="132">
        <f t="shared" si="0"/>
        <v>1583</v>
      </c>
      <c r="AR17" s="134">
        <f t="shared" si="1"/>
        <v>0.68414403032217308</v>
      </c>
      <c r="AS17" s="134">
        <f t="shared" si="2"/>
        <v>0</v>
      </c>
      <c r="AT17" s="134">
        <f t="shared" si="3"/>
        <v>0.31585596967782692</v>
      </c>
      <c r="AU17" s="43" t="str">
        <f>IF(AND(F17&lt;&gt;"",Y17&lt;&gt;""),AA17/(F17/2/Y17),"")</f>
        <v/>
      </c>
      <c r="AV17" s="43" t="str">
        <f>IF(AND(F17&lt;&gt;"",AJ17&lt;&gt;""),AL17/(F17/2/AJ17),"")</f>
        <v/>
      </c>
      <c r="AW17" s="41">
        <f>IF(AND(AP17&lt;&gt;"",1-(AP17/N17)&gt;0),1-(AP17/N17),"")</f>
        <v>0.76497695852534564</v>
      </c>
      <c r="AX17" s="41">
        <f>IF(AND(AE17&lt;&gt;"",1-(AE17/N17)&gt;0),1-(AE17/N17),"")</f>
        <v>0.88940092165898621</v>
      </c>
      <c r="AY17" s="136" t="str">
        <f>IF(P17="","",IF(P17&lt;2.5,"Alc. Bruta &lt; 2,5 mg/L",IF(P17&lt;5,"2,5 ≤ Alc. Bruta &lt; 5,0 mg/L",IF(P17&lt;7.5,"5,0 ≤ Alc. Bruta &lt; 7,5 mg/L",IF(P17&lt;10,"7,5 ≤ Alc. Bruta &lt; 10,0 mg/L",IF(P17&lt;15,"10,0 ≤ Alca. Bruta &lt; 15,0 mg/L","Alc. Bruta &gt; 15 mg/L"))))))</f>
        <v>5,0 ≤ Alc. Bruta &lt; 7,5 mg/L</v>
      </c>
      <c r="AZ17" s="136" t="str">
        <f>IF(O17="","",IF(O17&lt;5,"Cor &lt;5 uC",IF(O17&lt;10,"5 ≤ Cor &lt; 10 uC",IF(O17&lt;15,"10 ≤ Cor &lt;15 uC",IF(O17&lt;30,"15 ≤ Cor &lt; 30 uC",IF(O17&lt;50,"30 ≤ Cor &lt; 50 uC","Cor &gt; 50 uC"))))))</f>
        <v>15 ≤ Cor &lt; 30 uC</v>
      </c>
      <c r="BA17" s="137" t="str">
        <f>IF(N17="","",IF(N17&lt;2.5,"Turbidez &lt; 2,5 uT",IF(N17&lt;5,"2,5 ≤ Turb &lt; 5,0 uT",IF(N17&lt;7.5,"5,0 ≤ Turb &lt; 7,5 uT",IF(N17&lt;10,"7,5 ≤ Turb &lt; 10,0 uT",IF(N17&lt;15,"10,0 ≤ Turb &lt; 15,0 uT","Turb &gt; 15 uT"))))))</f>
        <v>2,5 ≤ Turb &lt; 5,0 uT</v>
      </c>
      <c r="BB17" s="138" t="str">
        <f>IF(AND(C17&gt;D17,D17&gt;E17),"TOR &gt; SM &gt; BNN",IF(AND(C17&gt;E17,E17&gt;D17),"TOR &gt; BNN &gt; SM",IF(AND(D17&gt;C17,C17&gt;E17),"SM &gt; TOR &gt; BNN",IF(AND(D17&gt;E17,E17&gt;C17),"SM &gt; BNN &gt; TOR",IF(AND(C17=D17,D17=E17),"TOR = SM = BNN","Comb. diferentes")))))</f>
        <v>TOR &gt; BNN &gt; SM</v>
      </c>
      <c r="BC17" s="137" t="str">
        <f>IF(OR(AD17="",AP17="-"),"",IF(AD17&lt;=0.25,"Tipo 1 (≤0,25) uT",IF(AD17&lt;=0.5,"Tipo 2 (0,25-0,50) uT",IF(AD17&lt;=0.75,"Tipo 3 (0,50-0,75) uT","Tipo 4 (&gt;0,75) uT"))))</f>
        <v>Tipo 1 (≤0,25) uT</v>
      </c>
      <c r="BD17" s="137" t="str">
        <f>IF(OR(AO17="",AY17="-"),"",IF(AO17&lt;=0.25,"Tipo 1 (≤0,25) uT",IF(AO17&lt;=0.5,"Tipo 2 (0,25-0,50) uT",IF(AO17&lt;=0.75,"Tipo 3 (0,50-0,75) uT","Tipo 4 (&gt;0,75) uT"))))</f>
        <v>Tipo 1 (≤0,25) uT</v>
      </c>
      <c r="BE17" s="137" t="str">
        <f>IF(OR(AE17="",AP17="-"),"",IF(AE17&lt;=0.25,"Tipo 1 (≤0,25) uT",IF(AE17&lt;=0.5,"Tipo 2 (0,25-0,50) uT",IF(AE17&lt;=0.75,"Tipo 3 (0,50-0,75) uT","Tipo 4 (&gt;0,75) uT"))))</f>
        <v>Tipo 2 (0,25-0,50) uT</v>
      </c>
      <c r="BF17" s="137" t="str">
        <f>IF(OR(AP17="",AP17="-"),"",IF(AP17&lt;=0.25,"Tipo 1 (≤0,25) uT",IF(AP17&lt;=0.5,"Tipo 2 (0,25-0,50) uT",IF(AP17&lt;=0.75,"Tipo 3 (0,50-0,75) uT","Tipo 4 (&gt;0,75) uT"))))</f>
        <v>Tipo 4 (&gt;0,75) uT</v>
      </c>
      <c r="BG17" s="137" t="str">
        <f>IF(OR(Q17="",Q17="-"),"",IF(Q17&lt;=0.25,"Tipo 1 (≤0,25) uT",IF(Q17&lt;=0.5,"Tipo 2 (0,25-0,50) uT",IF(Q17&lt;=0.75,"Tipo 3 (0,50-0,75) uT","Tipo 4 (&gt;0,75) uT"))))</f>
        <v>Tipo 2 (0,25-0,50) uT</v>
      </c>
    </row>
    <row r="18" spans="1:59" x14ac:dyDescent="0.3">
      <c r="A18" s="26">
        <v>46130</v>
      </c>
      <c r="B18" s="107">
        <v>6.25E-2</v>
      </c>
      <c r="C18" s="116">
        <v>1123</v>
      </c>
      <c r="D18" s="116">
        <v>0</v>
      </c>
      <c r="E18" s="116">
        <v>500</v>
      </c>
      <c r="F18" s="116">
        <v>1887</v>
      </c>
      <c r="G18" s="10" t="s">
        <v>34</v>
      </c>
      <c r="H18" s="122">
        <v>4</v>
      </c>
      <c r="I18" s="116">
        <v>90</v>
      </c>
      <c r="J18" s="116">
        <v>90</v>
      </c>
      <c r="K18" s="116">
        <v>90</v>
      </c>
      <c r="L18" s="122">
        <v>24</v>
      </c>
      <c r="M18" s="122">
        <v>6.7</v>
      </c>
      <c r="N18" s="79">
        <v>4.83</v>
      </c>
      <c r="O18" s="116">
        <v>20</v>
      </c>
      <c r="P18" s="122">
        <v>6.6</v>
      </c>
      <c r="Q18" s="79">
        <v>0.36</v>
      </c>
      <c r="R18" s="79">
        <v>22.36</v>
      </c>
      <c r="S18" s="79">
        <v>0.88</v>
      </c>
      <c r="T18" s="79">
        <v>0.7</v>
      </c>
      <c r="U18" s="85"/>
      <c r="V18" s="79"/>
      <c r="W18" s="79"/>
      <c r="X18" s="116"/>
      <c r="Y18" s="116"/>
      <c r="Z18" s="122"/>
      <c r="AA18" s="116"/>
      <c r="AB18" s="122">
        <v>6.8</v>
      </c>
      <c r="AC18" s="122">
        <v>7.7</v>
      </c>
      <c r="AD18" s="10">
        <v>0.09</v>
      </c>
      <c r="AE18" s="79">
        <v>0.49</v>
      </c>
      <c r="AF18" s="79"/>
      <c r="AG18" s="79"/>
      <c r="AH18" s="79"/>
      <c r="AI18" s="116"/>
      <c r="AJ18" s="116"/>
      <c r="AK18" s="79"/>
      <c r="AL18" s="79"/>
      <c r="AM18" s="122">
        <v>6.7</v>
      </c>
      <c r="AN18" s="122">
        <v>9.6999999999999993</v>
      </c>
      <c r="AO18" s="79">
        <v>0.08</v>
      </c>
      <c r="AP18" s="127">
        <v>1.54</v>
      </c>
      <c r="AQ18" s="132">
        <f t="shared" si="0"/>
        <v>1623</v>
      </c>
      <c r="AR18" s="134">
        <f t="shared" si="1"/>
        <v>0.69192852741836108</v>
      </c>
      <c r="AS18" s="134">
        <f t="shared" si="2"/>
        <v>0</v>
      </c>
      <c r="AT18" s="134">
        <f t="shared" si="3"/>
        <v>0.30807147258163892</v>
      </c>
      <c r="AU18" s="43" t="str">
        <f>IF(AND(F18&lt;&gt;"",Y18&lt;&gt;""),AA18/(F18/2/Y18),"")</f>
        <v/>
      </c>
      <c r="AV18" s="43" t="str">
        <f>IF(AND(F18&lt;&gt;"",AJ18&lt;&gt;""),AL18/(F18/2/AJ18),"")</f>
        <v/>
      </c>
      <c r="AW18" s="41">
        <f>IF(AND(AP18&lt;&gt;"",1-(AP18/N18)&gt;0),1-(AP18/N18),"")</f>
        <v>0.68115942028985499</v>
      </c>
      <c r="AX18" s="41">
        <f>IF(AND(AE18&lt;&gt;"",1-(AE18/N18)&gt;0),1-(AE18/N18),"")</f>
        <v>0.89855072463768115</v>
      </c>
      <c r="AY18" s="136" t="str">
        <f>IF(P18="","",IF(P18&lt;2.5,"Alc. Bruta &lt; 2,5 mg/L",IF(P18&lt;5,"2,5 ≤ Alc. Bruta &lt; 5,0 mg/L",IF(P18&lt;7.5,"5,0 ≤ Alc. Bruta &lt; 7,5 mg/L",IF(P18&lt;10,"7,5 ≤ Alc. Bruta &lt; 10,0 mg/L",IF(P18&lt;15,"10,0 ≤ Alca. Bruta &lt; 15,0 mg/L","Alc. Bruta &gt; 15 mg/L"))))))</f>
        <v>5,0 ≤ Alc. Bruta &lt; 7,5 mg/L</v>
      </c>
      <c r="AZ18" s="136" t="str">
        <f>IF(O18="","",IF(O18&lt;5,"Cor &lt;5 uC",IF(O18&lt;10,"5 ≤ Cor &lt; 10 uC",IF(O18&lt;15,"10 ≤ Cor &lt;15 uC",IF(O18&lt;30,"15 ≤ Cor &lt; 30 uC",IF(O18&lt;50,"30 ≤ Cor &lt; 50 uC","Cor &gt; 50 uC"))))))</f>
        <v>15 ≤ Cor &lt; 30 uC</v>
      </c>
      <c r="BA18" s="137" t="str">
        <f>IF(N18="","",IF(N18&lt;2.5,"Turbidez &lt; 2,5 uT",IF(N18&lt;5,"2,5 ≤ Turb &lt; 5,0 uT",IF(N18&lt;7.5,"5,0 ≤ Turb &lt; 7,5 uT",IF(N18&lt;10,"7,5 ≤ Turb &lt; 10,0 uT",IF(N18&lt;15,"10,0 ≤ Turb &lt; 15,0 uT","Turb &gt; 15 uT"))))))</f>
        <v>2,5 ≤ Turb &lt; 5,0 uT</v>
      </c>
      <c r="BB18" s="138" t="str">
        <f>IF(AND(C18&gt;D18,D18&gt;E18),"TOR &gt; SM &gt; BNN",IF(AND(C18&gt;E18,E18&gt;D18),"TOR &gt; BNN &gt; SM",IF(AND(D18&gt;C18,C18&gt;E18),"SM &gt; TOR &gt; BNN",IF(AND(D18&gt;E18,E18&gt;C18),"SM &gt; BNN &gt; TOR",IF(AND(C18=D18,D18=E18),"TOR = SM = BNN","Comb. diferentes")))))</f>
        <v>TOR &gt; BNN &gt; SM</v>
      </c>
      <c r="BC18" s="137" t="str">
        <f>IF(OR(AD18="",AP18="-"),"",IF(AD18&lt;=0.25,"Tipo 1 (≤0,25) uT",IF(AD18&lt;=0.5,"Tipo 2 (0,25-0,50) uT",IF(AD18&lt;=0.75,"Tipo 3 (0,50-0,75) uT","Tipo 4 (&gt;0,75) uT"))))</f>
        <v>Tipo 1 (≤0,25) uT</v>
      </c>
      <c r="BD18" s="137" t="str">
        <f>IF(OR(AO18="",AY18="-"),"",IF(AO18&lt;=0.25,"Tipo 1 (≤0,25) uT",IF(AO18&lt;=0.5,"Tipo 2 (0,25-0,50) uT",IF(AO18&lt;=0.75,"Tipo 3 (0,50-0,75) uT","Tipo 4 (&gt;0,75) uT"))))</f>
        <v>Tipo 1 (≤0,25) uT</v>
      </c>
      <c r="BE18" s="137" t="str">
        <f>IF(OR(AE18="",AP18="-"),"",IF(AE18&lt;=0.25,"Tipo 1 (≤0,25) uT",IF(AE18&lt;=0.5,"Tipo 2 (0,25-0,50) uT",IF(AE18&lt;=0.75,"Tipo 3 (0,50-0,75) uT","Tipo 4 (&gt;0,75) uT"))))</f>
        <v>Tipo 2 (0,25-0,50) uT</v>
      </c>
      <c r="BF18" s="137" t="str">
        <f>IF(OR(AP18="",AP18="-"),"",IF(AP18&lt;=0.25,"Tipo 1 (≤0,25) uT",IF(AP18&lt;=0.5,"Tipo 2 (0,25-0,50) uT",IF(AP18&lt;=0.75,"Tipo 3 (0,50-0,75) uT","Tipo 4 (&gt;0,75) uT"))))</f>
        <v>Tipo 4 (&gt;0,75) uT</v>
      </c>
      <c r="BG18" s="137" t="str">
        <f>IF(OR(Q18="",Q18="-"),"",IF(Q18&lt;=0.25,"Tipo 1 (≤0,25) uT",IF(Q18&lt;=0.5,"Tipo 2 (0,25-0,50) uT",IF(Q18&lt;=0.75,"Tipo 3 (0,50-0,75) uT","Tipo 4 (&gt;0,75) uT"))))</f>
        <v>Tipo 2 (0,25-0,50) uT</v>
      </c>
    </row>
    <row r="19" spans="1:59" x14ac:dyDescent="0.3">
      <c r="A19" s="26">
        <v>46130</v>
      </c>
      <c r="B19" s="107">
        <v>0.14583333333333334</v>
      </c>
      <c r="C19" s="116">
        <v>1088</v>
      </c>
      <c r="D19" s="116">
        <v>0</v>
      </c>
      <c r="E19" s="116">
        <v>498.7</v>
      </c>
      <c r="F19" s="116">
        <v>1889</v>
      </c>
      <c r="G19" s="10" t="s">
        <v>34</v>
      </c>
      <c r="H19" s="122">
        <v>4</v>
      </c>
      <c r="I19" s="116">
        <v>90</v>
      </c>
      <c r="J19" s="116">
        <v>90</v>
      </c>
      <c r="K19" s="116">
        <v>90</v>
      </c>
      <c r="L19" s="122">
        <v>23.8</v>
      </c>
      <c r="M19" s="122">
        <v>6.7</v>
      </c>
      <c r="N19" s="79">
        <v>4.5999999999999996</v>
      </c>
      <c r="O19" s="116">
        <v>10</v>
      </c>
      <c r="P19" s="122">
        <v>6.2</v>
      </c>
      <c r="Q19" s="79">
        <v>0.36</v>
      </c>
      <c r="R19" s="79">
        <v>22.36</v>
      </c>
      <c r="S19" s="79">
        <v>0.88</v>
      </c>
      <c r="T19" s="79">
        <v>0.7</v>
      </c>
      <c r="U19" s="85"/>
      <c r="V19" s="79"/>
      <c r="W19" s="79"/>
      <c r="X19" s="116"/>
      <c r="Y19" s="116"/>
      <c r="Z19" s="122"/>
      <c r="AA19" s="116"/>
      <c r="AB19" s="122">
        <v>6.8</v>
      </c>
      <c r="AC19" s="122">
        <v>5.7</v>
      </c>
      <c r="AD19" s="10">
        <v>0.09</v>
      </c>
      <c r="AE19" s="79">
        <v>0.5</v>
      </c>
      <c r="AF19" s="79"/>
      <c r="AG19" s="79"/>
      <c r="AH19" s="79"/>
      <c r="AI19" s="116"/>
      <c r="AJ19" s="116"/>
      <c r="AK19" s="79"/>
      <c r="AL19" s="79"/>
      <c r="AM19" s="122">
        <v>6.7</v>
      </c>
      <c r="AN19" s="122">
        <v>7.1</v>
      </c>
      <c r="AO19" s="79">
        <v>7.0000000000000007E-2</v>
      </c>
      <c r="AP19" s="127">
        <v>0.78</v>
      </c>
      <c r="AQ19" s="132">
        <f t="shared" si="0"/>
        <v>1586.7</v>
      </c>
      <c r="AR19" s="134">
        <f t="shared" si="1"/>
        <v>0.68569988025461648</v>
      </c>
      <c r="AS19" s="134">
        <f t="shared" si="2"/>
        <v>0</v>
      </c>
      <c r="AT19" s="134">
        <f t="shared" si="3"/>
        <v>0.31430011974538347</v>
      </c>
      <c r="AU19" s="43" t="str">
        <f>IF(AND(F19&lt;&gt;"",Y19&lt;&gt;""),AA19/(F19/2/Y19),"")</f>
        <v/>
      </c>
      <c r="AV19" s="43" t="str">
        <f>IF(AND(F19&lt;&gt;"",AJ19&lt;&gt;""),AL19/(F19/2/AJ19),"")</f>
        <v/>
      </c>
      <c r="AW19" s="41">
        <f>IF(AND(AP19&lt;&gt;"",1-(AP19/N19)&gt;0),1-(AP19/N19),"")</f>
        <v>0.83043478260869563</v>
      </c>
      <c r="AX19" s="41">
        <f>IF(AND(AE19&lt;&gt;"",1-(AE19/N19)&gt;0),1-(AE19/N19),"")</f>
        <v>0.89130434782608692</v>
      </c>
      <c r="AY19" s="136" t="str">
        <f>IF(P19="","",IF(P19&lt;2.5,"Alc. Bruta &lt; 2,5 mg/L",IF(P19&lt;5,"2,5 ≤ Alc. Bruta &lt; 5,0 mg/L",IF(P19&lt;7.5,"5,0 ≤ Alc. Bruta &lt; 7,5 mg/L",IF(P19&lt;10,"7,5 ≤ Alc. Bruta &lt; 10,0 mg/L",IF(P19&lt;15,"10,0 ≤ Alca. Bruta &lt; 15,0 mg/L","Alc. Bruta &gt; 15 mg/L"))))))</f>
        <v>5,0 ≤ Alc. Bruta &lt; 7,5 mg/L</v>
      </c>
      <c r="AZ19" s="136" t="str">
        <f>IF(O19="","",IF(O19&lt;5,"Cor &lt;5 uC",IF(O19&lt;10,"5 ≤ Cor &lt; 10 uC",IF(O19&lt;15,"10 ≤ Cor &lt;15 uC",IF(O19&lt;30,"15 ≤ Cor &lt; 30 uC",IF(O19&lt;50,"30 ≤ Cor &lt; 50 uC","Cor &gt; 50 uC"))))))</f>
        <v>10 ≤ Cor &lt;15 uC</v>
      </c>
      <c r="BA19" s="137" t="str">
        <f>IF(N19="","",IF(N19&lt;2.5,"Turbidez &lt; 2,5 uT",IF(N19&lt;5,"2,5 ≤ Turb &lt; 5,0 uT",IF(N19&lt;7.5,"5,0 ≤ Turb &lt; 7,5 uT",IF(N19&lt;10,"7,5 ≤ Turb &lt; 10,0 uT",IF(N19&lt;15,"10,0 ≤ Turb &lt; 15,0 uT","Turb &gt; 15 uT"))))))</f>
        <v>2,5 ≤ Turb &lt; 5,0 uT</v>
      </c>
      <c r="BB19" s="138" t="str">
        <f>IF(AND(C19&gt;D19,D19&gt;E19),"TOR &gt; SM &gt; BNN",IF(AND(C19&gt;E19,E19&gt;D19),"TOR &gt; BNN &gt; SM",IF(AND(D19&gt;C19,C19&gt;E19),"SM &gt; TOR &gt; BNN",IF(AND(D19&gt;E19,E19&gt;C19),"SM &gt; BNN &gt; TOR",IF(AND(C19=D19,D19=E19),"TOR = SM = BNN","Comb. diferentes")))))</f>
        <v>TOR &gt; BNN &gt; SM</v>
      </c>
      <c r="BC19" s="137" t="str">
        <f>IF(OR(AD19="",AP19="-"),"",IF(AD19&lt;=0.25,"Tipo 1 (≤0,25) uT",IF(AD19&lt;=0.5,"Tipo 2 (0,25-0,50) uT",IF(AD19&lt;=0.75,"Tipo 3 (0,50-0,75) uT","Tipo 4 (&gt;0,75) uT"))))</f>
        <v>Tipo 1 (≤0,25) uT</v>
      </c>
      <c r="BD19" s="137" t="str">
        <f>IF(OR(AO19="",AY19="-"),"",IF(AO19&lt;=0.25,"Tipo 1 (≤0,25) uT",IF(AO19&lt;=0.5,"Tipo 2 (0,25-0,50) uT",IF(AO19&lt;=0.75,"Tipo 3 (0,50-0,75) uT","Tipo 4 (&gt;0,75) uT"))))</f>
        <v>Tipo 1 (≤0,25) uT</v>
      </c>
      <c r="BE19" s="137" t="str">
        <f>IF(OR(AE19="",AP19="-"),"",IF(AE19&lt;=0.25,"Tipo 1 (≤0,25) uT",IF(AE19&lt;=0.5,"Tipo 2 (0,25-0,50) uT",IF(AE19&lt;=0.75,"Tipo 3 (0,50-0,75) uT","Tipo 4 (&gt;0,75) uT"))))</f>
        <v>Tipo 2 (0,25-0,50) uT</v>
      </c>
      <c r="BF19" s="137" t="str">
        <f>IF(OR(AP19="",AP19="-"),"",IF(AP19&lt;=0.25,"Tipo 1 (≤0,25) uT",IF(AP19&lt;=0.5,"Tipo 2 (0,25-0,50) uT",IF(AP19&lt;=0.75,"Tipo 3 (0,50-0,75) uT","Tipo 4 (&gt;0,75) uT"))))</f>
        <v>Tipo 4 (&gt;0,75) uT</v>
      </c>
      <c r="BG19" s="137" t="str">
        <f>IF(OR(Q19="",Q19="-"),"",IF(Q19&lt;=0.25,"Tipo 1 (≤0,25) uT",IF(Q19&lt;=0.5,"Tipo 2 (0,25-0,50) uT",IF(Q19&lt;=0.75,"Tipo 3 (0,50-0,75) uT","Tipo 4 (&gt;0,75) uT"))))</f>
        <v>Tipo 2 (0,25-0,50) uT</v>
      </c>
    </row>
    <row r="20" spans="1:59" ht="15" thickBot="1" x14ac:dyDescent="0.35">
      <c r="A20" s="26">
        <v>46130</v>
      </c>
      <c r="B20" s="110">
        <v>0.22916666666666666</v>
      </c>
      <c r="C20" s="117">
        <v>1200</v>
      </c>
      <c r="D20" s="116">
        <v>0</v>
      </c>
      <c r="E20" s="117">
        <v>499.3</v>
      </c>
      <c r="F20" s="117">
        <v>1889</v>
      </c>
      <c r="G20" s="11" t="s">
        <v>34</v>
      </c>
      <c r="H20" s="123">
        <v>3.6</v>
      </c>
      <c r="I20" s="117">
        <v>90</v>
      </c>
      <c r="J20" s="117">
        <v>90</v>
      </c>
      <c r="K20" s="117">
        <v>90</v>
      </c>
      <c r="L20" s="123">
        <v>23.2</v>
      </c>
      <c r="M20" s="123">
        <v>6.7</v>
      </c>
      <c r="N20" s="80">
        <v>4.0199999999999996</v>
      </c>
      <c r="O20" s="117">
        <v>8</v>
      </c>
      <c r="P20" s="123">
        <v>6.2</v>
      </c>
      <c r="Q20" s="80">
        <v>0.52</v>
      </c>
      <c r="R20" s="79">
        <v>22.36</v>
      </c>
      <c r="S20" s="79">
        <v>0.88</v>
      </c>
      <c r="T20" s="79">
        <v>0.7</v>
      </c>
      <c r="U20" s="85"/>
      <c r="V20" s="84"/>
      <c r="W20" s="80"/>
      <c r="X20" s="117"/>
      <c r="Y20" s="117"/>
      <c r="Z20" s="123"/>
      <c r="AA20" s="117"/>
      <c r="AB20" s="123">
        <v>6.7</v>
      </c>
      <c r="AC20" s="123">
        <v>5.9</v>
      </c>
      <c r="AD20" s="11">
        <v>0.15</v>
      </c>
      <c r="AE20" s="80">
        <v>0.52</v>
      </c>
      <c r="AF20" s="80"/>
      <c r="AG20" s="80"/>
      <c r="AH20" s="80"/>
      <c r="AI20" s="117"/>
      <c r="AJ20" s="117"/>
      <c r="AK20" s="80"/>
      <c r="AL20" s="80"/>
      <c r="AM20" s="123">
        <v>6.7</v>
      </c>
      <c r="AN20" s="123">
        <v>6.6</v>
      </c>
      <c r="AO20" s="80">
        <v>0.15</v>
      </c>
      <c r="AP20" s="128">
        <v>0.82</v>
      </c>
      <c r="AQ20" s="132">
        <f t="shared" si="0"/>
        <v>1699.3</v>
      </c>
      <c r="AR20" s="134">
        <f t="shared" si="1"/>
        <v>0.70617313011239924</v>
      </c>
      <c r="AS20" s="134">
        <f t="shared" si="2"/>
        <v>0</v>
      </c>
      <c r="AT20" s="134">
        <f t="shared" si="3"/>
        <v>0.29382686988760082</v>
      </c>
      <c r="AU20" s="43" t="str">
        <f>IF(AND(F20&lt;&gt;"",Y20&lt;&gt;""),AA20/(F20/2/Y20),"")</f>
        <v/>
      </c>
      <c r="AV20" s="43" t="str">
        <f>IF(AND(F20&lt;&gt;"",AJ20&lt;&gt;""),AL20/(F20/2/AJ20),"")</f>
        <v/>
      </c>
      <c r="AW20" s="41">
        <f>IF(AND(AP20&lt;&gt;"",1-(AP20/N20)&gt;0),1-(AP20/N20),"")</f>
        <v>0.79601990049751237</v>
      </c>
      <c r="AX20" s="41">
        <f>IF(AND(AE20&lt;&gt;"",1-(AE20/N20)&gt;0),1-(AE20/N20),"")</f>
        <v>0.87064676616915415</v>
      </c>
      <c r="AY20" s="136" t="str">
        <f>IF(P20="","",IF(P20&lt;2.5,"Alc. Bruta &lt; 2,5 mg/L",IF(P20&lt;5,"2,5 ≤ Alc. Bruta &lt; 5,0 mg/L",IF(P20&lt;7.5,"5,0 ≤ Alc. Bruta &lt; 7,5 mg/L",IF(P20&lt;10,"7,5 ≤ Alc. Bruta &lt; 10,0 mg/L",IF(P20&lt;15,"10,0 ≤ Alca. Bruta &lt; 15,0 mg/L","Alc. Bruta &gt; 15 mg/L"))))))</f>
        <v>5,0 ≤ Alc. Bruta &lt; 7,5 mg/L</v>
      </c>
      <c r="AZ20" s="136" t="str">
        <f>IF(O20="","",IF(O20&lt;5,"Cor &lt;5 uC",IF(O20&lt;10,"5 ≤ Cor &lt; 10 uC",IF(O20&lt;15,"10 ≤ Cor &lt;15 uC",IF(O20&lt;30,"15 ≤ Cor &lt; 30 uC",IF(O20&lt;50,"30 ≤ Cor &lt; 50 uC","Cor &gt; 50 uC"))))))</f>
        <v>5 ≤ Cor &lt; 10 uC</v>
      </c>
      <c r="BA20" s="137" t="str">
        <f>IF(N20="","",IF(N20&lt;2.5,"Turbidez &lt; 2,5 uT",IF(N20&lt;5,"2,5 ≤ Turb &lt; 5,0 uT",IF(N20&lt;7.5,"5,0 ≤ Turb &lt; 7,5 uT",IF(N20&lt;10,"7,5 ≤ Turb &lt; 10,0 uT",IF(N20&lt;15,"10,0 ≤ Turb &lt; 15,0 uT","Turb &gt; 15 uT"))))))</f>
        <v>2,5 ≤ Turb &lt; 5,0 uT</v>
      </c>
      <c r="BB20" s="138" t="str">
        <f>IF(AND(C20&gt;D20,D20&gt;E20),"TOR &gt; SM &gt; BNN",IF(AND(C20&gt;E20,E20&gt;D20),"TOR &gt; BNN &gt; SM",IF(AND(D20&gt;C20,C20&gt;E20),"SM &gt; TOR &gt; BNN",IF(AND(D20&gt;E20,E20&gt;C20),"SM &gt; BNN &gt; TOR",IF(AND(C20=D20,D20=E20),"TOR = SM = BNN","Comb. diferentes")))))</f>
        <v>TOR &gt; BNN &gt; SM</v>
      </c>
      <c r="BC20" s="137" t="str">
        <f>IF(OR(AD20="",AP20="-"),"",IF(AD20&lt;=0.25,"Tipo 1 (≤0,25) uT",IF(AD20&lt;=0.5,"Tipo 2 (0,25-0,50) uT",IF(AD20&lt;=0.75,"Tipo 3 (0,50-0,75) uT","Tipo 4 (&gt;0,75) uT"))))</f>
        <v>Tipo 1 (≤0,25) uT</v>
      </c>
      <c r="BD20" s="137" t="str">
        <f>IF(OR(AO20="",AY20="-"),"",IF(AO20&lt;=0.25,"Tipo 1 (≤0,25) uT",IF(AO20&lt;=0.5,"Tipo 2 (0,25-0,50) uT",IF(AO20&lt;=0.75,"Tipo 3 (0,50-0,75) uT","Tipo 4 (&gt;0,75) uT"))))</f>
        <v>Tipo 1 (≤0,25) uT</v>
      </c>
      <c r="BE20" s="137" t="str">
        <f>IF(OR(AE20="",AP20="-"),"",IF(AE20&lt;=0.25,"Tipo 1 (≤0,25) uT",IF(AE20&lt;=0.5,"Tipo 2 (0,25-0,50) uT",IF(AE20&lt;=0.75,"Tipo 3 (0,50-0,75) uT","Tipo 4 (&gt;0,75) uT"))))</f>
        <v>Tipo 3 (0,50-0,75) uT</v>
      </c>
      <c r="BF20" s="137" t="str">
        <f>IF(OR(AP20="",AP20="-"),"",IF(AP20&lt;=0.25,"Tipo 1 (≤0,25) uT",IF(AP20&lt;=0.5,"Tipo 2 (0,25-0,50) uT",IF(AP20&lt;=0.75,"Tipo 3 (0,50-0,75) uT","Tipo 4 (&gt;0,75) uT"))))</f>
        <v>Tipo 4 (&gt;0,75) uT</v>
      </c>
      <c r="BG20" s="137" t="str">
        <f>IF(OR(Q20="",Q20="-"),"",IF(Q20&lt;=0.25,"Tipo 1 (≤0,25) uT",IF(Q20&lt;=0.5,"Tipo 2 (0,25-0,50) uT",IF(Q20&lt;=0.75,"Tipo 3 (0,50-0,75) uT","Tipo 4 (&gt;0,75) uT"))))</f>
        <v>Tipo 3 (0,50-0,75) uT</v>
      </c>
    </row>
    <row r="21" spans="1:59" x14ac:dyDescent="0.3">
      <c r="A21" s="26">
        <v>46130</v>
      </c>
      <c r="B21" s="111">
        <v>0.3125</v>
      </c>
      <c r="C21" s="118">
        <v>1192</v>
      </c>
      <c r="D21" s="118">
        <v>80</v>
      </c>
      <c r="E21" s="118">
        <v>499</v>
      </c>
      <c r="F21" s="118">
        <v>1814</v>
      </c>
      <c r="G21" s="9" t="s">
        <v>34</v>
      </c>
      <c r="H21" s="124">
        <v>3.6</v>
      </c>
      <c r="I21" s="116">
        <v>90</v>
      </c>
      <c r="J21" s="116">
        <v>90</v>
      </c>
      <c r="K21" s="116">
        <v>90</v>
      </c>
      <c r="L21" s="124">
        <v>23.3</v>
      </c>
      <c r="M21" s="124">
        <v>6.7</v>
      </c>
      <c r="N21" s="81">
        <v>4.0599999999999996</v>
      </c>
      <c r="O21" s="118">
        <v>10</v>
      </c>
      <c r="P21" s="124">
        <v>8</v>
      </c>
      <c r="Q21" s="81">
        <v>0.3</v>
      </c>
      <c r="R21" s="79">
        <v>22.36</v>
      </c>
      <c r="S21" s="79">
        <v>0.88</v>
      </c>
      <c r="T21" s="79">
        <v>0.7</v>
      </c>
      <c r="U21" s="85"/>
      <c r="V21" s="82"/>
      <c r="W21" s="81"/>
      <c r="X21" s="118"/>
      <c r="Y21" s="118"/>
      <c r="Z21" s="124"/>
      <c r="AA21" s="118"/>
      <c r="AB21" s="124">
        <v>6.7</v>
      </c>
      <c r="AC21" s="124">
        <v>8.4</v>
      </c>
      <c r="AD21" s="9">
        <v>0.17</v>
      </c>
      <c r="AE21" s="81">
        <v>3.97</v>
      </c>
      <c r="AF21" s="81"/>
      <c r="AG21" s="81"/>
      <c r="AH21" s="81"/>
      <c r="AI21" s="118"/>
      <c r="AJ21" s="118"/>
      <c r="AK21" s="81"/>
      <c r="AL21" s="81"/>
      <c r="AM21" s="124">
        <v>6.6</v>
      </c>
      <c r="AN21" s="124">
        <v>8.5</v>
      </c>
      <c r="AO21" s="81">
        <v>0.17</v>
      </c>
      <c r="AP21" s="129">
        <v>4.03</v>
      </c>
      <c r="AQ21" s="132">
        <f t="shared" si="0"/>
        <v>1771</v>
      </c>
      <c r="AR21" s="134">
        <f t="shared" si="1"/>
        <v>0.67306606437041216</v>
      </c>
      <c r="AS21" s="134">
        <f t="shared" si="2"/>
        <v>4.517221908526256E-2</v>
      </c>
      <c r="AT21" s="134">
        <f t="shared" si="3"/>
        <v>0.28176171654432525</v>
      </c>
      <c r="AU21" s="43" t="str">
        <f>IF(AND(F21&lt;&gt;"",Y21&lt;&gt;""),AA21/(F21/2/Y21),"")</f>
        <v/>
      </c>
      <c r="AV21" s="43" t="str">
        <f>IF(AND(F21&lt;&gt;"",AJ21&lt;&gt;""),AL21/(F21/2/AJ21),"")</f>
        <v/>
      </c>
      <c r="AW21" s="41">
        <f>IF(AND(AP21&lt;&gt;"",1-(AP21/N21)&gt;0),1-(AP21/N21),"")</f>
        <v>7.3891625615761791E-3</v>
      </c>
      <c r="AX21" s="41">
        <f>IF(AND(AE21&lt;&gt;"",1-(AE21/N21)&gt;0),1-(AE21/N21),"")</f>
        <v>2.216748768472887E-2</v>
      </c>
      <c r="AY21" s="136" t="str">
        <f>IF(P21="","",IF(P21&lt;2.5,"Alc. Bruta &lt; 2,5 mg/L",IF(P21&lt;5,"2,5 ≤ Alc. Bruta &lt; 5,0 mg/L",IF(P21&lt;7.5,"5,0 ≤ Alc. Bruta &lt; 7,5 mg/L",IF(P21&lt;10,"7,5 ≤ Alc. Bruta &lt; 10,0 mg/L",IF(P21&lt;15,"10,0 ≤ Alca. Bruta &lt; 15,0 mg/L","Alc. Bruta &gt; 15 mg/L"))))))</f>
        <v>7,5 ≤ Alc. Bruta &lt; 10,0 mg/L</v>
      </c>
      <c r="AZ21" s="136" t="str">
        <f>IF(O21="","",IF(O21&lt;5,"Cor &lt;5 uC",IF(O21&lt;10,"5 ≤ Cor &lt; 10 uC",IF(O21&lt;15,"10 ≤ Cor &lt;15 uC",IF(O21&lt;30,"15 ≤ Cor &lt; 30 uC",IF(O21&lt;50,"30 ≤ Cor &lt; 50 uC","Cor &gt; 50 uC"))))))</f>
        <v>10 ≤ Cor &lt;15 uC</v>
      </c>
      <c r="BA21" s="137" t="str">
        <f>IF(N21="","",IF(N21&lt;2.5,"Turbidez &lt; 2,5 uT",IF(N21&lt;5,"2,5 ≤ Turb &lt; 5,0 uT",IF(N21&lt;7.5,"5,0 ≤ Turb &lt; 7,5 uT",IF(N21&lt;10,"7,5 ≤ Turb &lt; 10,0 uT",IF(N21&lt;15,"10,0 ≤ Turb &lt; 15,0 uT","Turb &gt; 15 uT"))))))</f>
        <v>2,5 ≤ Turb &lt; 5,0 uT</v>
      </c>
      <c r="BB21" s="138" t="str">
        <f>IF(AND(C21&gt;D21,D21&gt;E21),"TOR &gt; SM &gt; BNN",IF(AND(C21&gt;E21,E21&gt;D21),"TOR &gt; BNN &gt; SM",IF(AND(D21&gt;C21,C21&gt;E21),"SM &gt; TOR &gt; BNN",IF(AND(D21&gt;E21,E21&gt;C21),"SM &gt; BNN &gt; TOR",IF(AND(C21=D21,D21=E21),"TOR = SM = BNN","Comb. diferentes")))))</f>
        <v>TOR &gt; BNN &gt; SM</v>
      </c>
      <c r="BC21" s="137" t="str">
        <f>IF(OR(AD21="",AP21="-"),"",IF(AD21&lt;=0.25,"Tipo 1 (≤0,25) uT",IF(AD21&lt;=0.5,"Tipo 2 (0,25-0,50) uT",IF(AD21&lt;=0.75,"Tipo 3 (0,50-0,75) uT","Tipo 4 (&gt;0,75) uT"))))</f>
        <v>Tipo 1 (≤0,25) uT</v>
      </c>
      <c r="BD21" s="137" t="str">
        <f>IF(OR(AO21="",AY21="-"),"",IF(AO21&lt;=0.25,"Tipo 1 (≤0,25) uT",IF(AO21&lt;=0.5,"Tipo 2 (0,25-0,50) uT",IF(AO21&lt;=0.75,"Tipo 3 (0,50-0,75) uT","Tipo 4 (&gt;0,75) uT"))))</f>
        <v>Tipo 1 (≤0,25) uT</v>
      </c>
      <c r="BE21" s="137" t="str">
        <f>IF(OR(AE21="",AP21="-"),"",IF(AE21&lt;=0.25,"Tipo 1 (≤0,25) uT",IF(AE21&lt;=0.5,"Tipo 2 (0,25-0,50) uT",IF(AE21&lt;=0.75,"Tipo 3 (0,50-0,75) uT","Tipo 4 (&gt;0,75) uT"))))</f>
        <v>Tipo 4 (&gt;0,75) uT</v>
      </c>
      <c r="BF21" s="137" t="str">
        <f>IF(OR(AP21="",AP21="-"),"",IF(AP21&lt;=0.25,"Tipo 1 (≤0,25) uT",IF(AP21&lt;=0.5,"Tipo 2 (0,25-0,50) uT",IF(AP21&lt;=0.75,"Tipo 3 (0,50-0,75) uT","Tipo 4 (&gt;0,75) uT"))))</f>
        <v>Tipo 4 (&gt;0,75) uT</v>
      </c>
      <c r="BG21" s="137" t="str">
        <f>IF(OR(Q21="",Q21="-"),"",IF(Q21&lt;=0.25,"Tipo 1 (≤0,25) uT",IF(Q21&lt;=0.5,"Tipo 2 (0,25-0,50) uT",IF(Q21&lt;=0.75,"Tipo 3 (0,50-0,75) uT","Tipo 4 (&gt;0,75) uT"))))</f>
        <v>Tipo 2 (0,25-0,50) uT</v>
      </c>
    </row>
    <row r="22" spans="1:59" x14ac:dyDescent="0.3">
      <c r="A22" s="26">
        <v>46130</v>
      </c>
      <c r="B22" s="107">
        <v>0.39583333333333331</v>
      </c>
      <c r="C22" s="116">
        <v>1160</v>
      </c>
      <c r="D22" s="116">
        <v>81</v>
      </c>
      <c r="E22" s="116">
        <v>500</v>
      </c>
      <c r="F22" s="116">
        <v>1863</v>
      </c>
      <c r="G22" s="10" t="s">
        <v>34</v>
      </c>
      <c r="H22" s="122">
        <v>3.6</v>
      </c>
      <c r="I22" s="116">
        <v>90</v>
      </c>
      <c r="J22" s="116">
        <v>90</v>
      </c>
      <c r="K22" s="116">
        <v>90</v>
      </c>
      <c r="L22" s="122">
        <v>23.3</v>
      </c>
      <c r="M22" s="122">
        <v>6.7</v>
      </c>
      <c r="N22" s="79">
        <v>4.0999999999999996</v>
      </c>
      <c r="O22" s="116">
        <v>18</v>
      </c>
      <c r="P22" s="122">
        <v>9.1999999999999993</v>
      </c>
      <c r="Q22" s="79">
        <v>0.31</v>
      </c>
      <c r="R22" s="79">
        <v>22.36</v>
      </c>
      <c r="S22" s="79">
        <v>0.88</v>
      </c>
      <c r="T22" s="79">
        <v>0.7</v>
      </c>
      <c r="U22" s="85"/>
      <c r="V22" s="79"/>
      <c r="W22" s="79"/>
      <c r="X22" s="116"/>
      <c r="Y22" s="116"/>
      <c r="Z22" s="122"/>
      <c r="AA22" s="116"/>
      <c r="AB22" s="122">
        <v>6.7</v>
      </c>
      <c r="AC22" s="122">
        <v>9.3000000000000007</v>
      </c>
      <c r="AD22" s="10">
        <v>0.11</v>
      </c>
      <c r="AE22" s="79">
        <v>4.1399999999999997</v>
      </c>
      <c r="AF22" s="79"/>
      <c r="AG22" s="79"/>
      <c r="AH22" s="79"/>
      <c r="AI22" s="116"/>
      <c r="AJ22" s="116"/>
      <c r="AK22" s="79"/>
      <c r="AL22" s="79"/>
      <c r="AM22" s="122">
        <v>6.7</v>
      </c>
      <c r="AN22" s="122">
        <v>8.6999999999999993</v>
      </c>
      <c r="AO22" s="79">
        <v>0.15</v>
      </c>
      <c r="AP22" s="127">
        <v>3.83</v>
      </c>
      <c r="AQ22" s="132">
        <f t="shared" si="0"/>
        <v>1741</v>
      </c>
      <c r="AR22" s="134">
        <f t="shared" si="1"/>
        <v>0.66628374497415277</v>
      </c>
      <c r="AS22" s="134">
        <f t="shared" si="2"/>
        <v>4.6524985640436528E-2</v>
      </c>
      <c r="AT22" s="134">
        <f t="shared" si="3"/>
        <v>0.28719126938541067</v>
      </c>
      <c r="AU22" s="43" t="str">
        <f>IF(AND(F22&lt;&gt;"",Y22&lt;&gt;""),AA22/(F22/2/Y22),"")</f>
        <v/>
      </c>
      <c r="AV22" s="43" t="str">
        <f>IF(AND(F22&lt;&gt;"",AJ22&lt;&gt;""),AL22/(F22/2/AJ22),"")</f>
        <v/>
      </c>
      <c r="AW22" s="41">
        <f>IF(AND(AP22&lt;&gt;"",1-(AP22/N22)&gt;0),1-(AP22/N22),"")</f>
        <v>6.5853658536585313E-2</v>
      </c>
      <c r="AX22" s="41" t="str">
        <f>IF(AND(AE22&lt;&gt;"",1-(AE22/N22)&gt;0),1-(AE22/N22),"")</f>
        <v/>
      </c>
      <c r="AY22" s="136" t="str">
        <f>IF(P22="","",IF(P22&lt;2.5,"Alc. Bruta &lt; 2,5 mg/L",IF(P22&lt;5,"2,5 ≤ Alc. Bruta &lt; 5,0 mg/L",IF(P22&lt;7.5,"5,0 ≤ Alc. Bruta &lt; 7,5 mg/L",IF(P22&lt;10,"7,5 ≤ Alc. Bruta &lt; 10,0 mg/L",IF(P22&lt;15,"10,0 ≤ Alca. Bruta &lt; 15,0 mg/L","Alc. Bruta &gt; 15 mg/L"))))))</f>
        <v>7,5 ≤ Alc. Bruta &lt; 10,0 mg/L</v>
      </c>
      <c r="AZ22" s="136" t="str">
        <f>IF(O22="","",IF(O22&lt;5,"Cor &lt;5 uC",IF(O22&lt;10,"5 ≤ Cor &lt; 10 uC",IF(O22&lt;15,"10 ≤ Cor &lt;15 uC",IF(O22&lt;30,"15 ≤ Cor &lt; 30 uC",IF(O22&lt;50,"30 ≤ Cor &lt; 50 uC","Cor &gt; 50 uC"))))))</f>
        <v>15 ≤ Cor &lt; 30 uC</v>
      </c>
      <c r="BA22" s="137" t="str">
        <f>IF(N22="","",IF(N22&lt;2.5,"Turbidez &lt; 2,5 uT",IF(N22&lt;5,"2,5 ≤ Turb &lt; 5,0 uT",IF(N22&lt;7.5,"5,0 ≤ Turb &lt; 7,5 uT",IF(N22&lt;10,"7,5 ≤ Turb &lt; 10,0 uT",IF(N22&lt;15,"10,0 ≤ Turb &lt; 15,0 uT","Turb &gt; 15 uT"))))))</f>
        <v>2,5 ≤ Turb &lt; 5,0 uT</v>
      </c>
      <c r="BB22" s="138" t="str">
        <f>IF(AND(C22&gt;D22,D22&gt;E22),"TOR &gt; SM &gt; BNN",IF(AND(C22&gt;E22,E22&gt;D22),"TOR &gt; BNN &gt; SM",IF(AND(D22&gt;C22,C22&gt;E22),"SM &gt; TOR &gt; BNN",IF(AND(D22&gt;E22,E22&gt;C22),"SM &gt; BNN &gt; TOR",IF(AND(C22=D22,D22=E22),"TOR = SM = BNN","Comb. diferentes")))))</f>
        <v>TOR &gt; BNN &gt; SM</v>
      </c>
      <c r="BC22" s="137" t="str">
        <f>IF(OR(AD22="",AP22="-"),"",IF(AD22&lt;=0.25,"Tipo 1 (≤0,25) uT",IF(AD22&lt;=0.5,"Tipo 2 (0,25-0,50) uT",IF(AD22&lt;=0.75,"Tipo 3 (0,50-0,75) uT","Tipo 4 (&gt;0,75) uT"))))</f>
        <v>Tipo 1 (≤0,25) uT</v>
      </c>
      <c r="BD22" s="137" t="str">
        <f>IF(OR(AO22="",AY22="-"),"",IF(AO22&lt;=0.25,"Tipo 1 (≤0,25) uT",IF(AO22&lt;=0.5,"Tipo 2 (0,25-0,50) uT",IF(AO22&lt;=0.75,"Tipo 3 (0,50-0,75) uT","Tipo 4 (&gt;0,75) uT"))))</f>
        <v>Tipo 1 (≤0,25) uT</v>
      </c>
      <c r="BE22" s="137" t="str">
        <f>IF(OR(AE22="",AP22="-"),"",IF(AE22&lt;=0.25,"Tipo 1 (≤0,25) uT",IF(AE22&lt;=0.5,"Tipo 2 (0,25-0,50) uT",IF(AE22&lt;=0.75,"Tipo 3 (0,50-0,75) uT","Tipo 4 (&gt;0,75) uT"))))</f>
        <v>Tipo 4 (&gt;0,75) uT</v>
      </c>
      <c r="BF22" s="137" t="str">
        <f>IF(OR(AP22="",AP22="-"),"",IF(AP22&lt;=0.25,"Tipo 1 (≤0,25) uT",IF(AP22&lt;=0.5,"Tipo 2 (0,25-0,50) uT",IF(AP22&lt;=0.75,"Tipo 3 (0,50-0,75) uT","Tipo 4 (&gt;0,75) uT"))))</f>
        <v>Tipo 4 (&gt;0,75) uT</v>
      </c>
      <c r="BG22" s="137" t="str">
        <f>IF(OR(Q22="",Q22="-"),"",IF(Q22&lt;=0.25,"Tipo 1 (≤0,25) uT",IF(Q22&lt;=0.5,"Tipo 2 (0,25-0,50) uT",IF(Q22&lt;=0.75,"Tipo 3 (0,50-0,75) uT","Tipo 4 (&gt;0,75) uT"))))</f>
        <v>Tipo 2 (0,25-0,50) uT</v>
      </c>
    </row>
    <row r="23" spans="1:59" x14ac:dyDescent="0.3">
      <c r="A23" s="26">
        <v>46130</v>
      </c>
      <c r="B23" s="107">
        <v>0.47916666666666669</v>
      </c>
      <c r="C23" s="116">
        <v>1197</v>
      </c>
      <c r="D23" s="116">
        <v>82</v>
      </c>
      <c r="E23" s="116">
        <v>499</v>
      </c>
      <c r="F23" s="116">
        <v>1749</v>
      </c>
      <c r="G23" s="10" t="s">
        <v>34</v>
      </c>
      <c r="H23" s="122">
        <v>3.6</v>
      </c>
      <c r="I23" s="116">
        <v>90</v>
      </c>
      <c r="J23" s="116">
        <v>90</v>
      </c>
      <c r="K23" s="116">
        <v>90</v>
      </c>
      <c r="L23" s="122">
        <v>24.3</v>
      </c>
      <c r="M23" s="122">
        <v>6.7</v>
      </c>
      <c r="N23" s="79">
        <v>4.66</v>
      </c>
      <c r="O23" s="116">
        <v>18</v>
      </c>
      <c r="P23" s="122">
        <v>8.1999999999999993</v>
      </c>
      <c r="Q23" s="79">
        <v>0.38</v>
      </c>
      <c r="R23" s="79">
        <v>22.36</v>
      </c>
      <c r="S23" s="79">
        <v>0.88</v>
      </c>
      <c r="T23" s="79">
        <v>0.7</v>
      </c>
      <c r="U23" s="85"/>
      <c r="V23" s="79"/>
      <c r="W23" s="79"/>
      <c r="X23" s="116"/>
      <c r="Y23" s="116"/>
      <c r="Z23" s="122"/>
      <c r="AA23" s="116"/>
      <c r="AB23" s="122">
        <v>6.7</v>
      </c>
      <c r="AC23" s="122">
        <v>8.6</v>
      </c>
      <c r="AD23" s="10">
        <v>0.25</v>
      </c>
      <c r="AE23" s="79">
        <v>5.46</v>
      </c>
      <c r="AF23" s="79"/>
      <c r="AG23" s="79"/>
      <c r="AH23" s="79"/>
      <c r="AI23" s="116"/>
      <c r="AJ23" s="116"/>
      <c r="AK23" s="79"/>
      <c r="AL23" s="79"/>
      <c r="AM23" s="122">
        <v>6.6</v>
      </c>
      <c r="AN23" s="122">
        <v>8.8000000000000007</v>
      </c>
      <c r="AO23" s="79">
        <v>0.36</v>
      </c>
      <c r="AP23" s="127">
        <v>5.8</v>
      </c>
      <c r="AQ23" s="132">
        <f t="shared" si="0"/>
        <v>1778</v>
      </c>
      <c r="AR23" s="134">
        <f t="shared" si="1"/>
        <v>0.67322834645669294</v>
      </c>
      <c r="AS23" s="134">
        <f t="shared" si="2"/>
        <v>4.6119235095613047E-2</v>
      </c>
      <c r="AT23" s="134">
        <f t="shared" si="3"/>
        <v>0.28065241844769406</v>
      </c>
      <c r="AU23" s="43" t="str">
        <f>IF(AND(F23&lt;&gt;"",Y23&lt;&gt;""),AA23/(F23/2/Y23),"")</f>
        <v/>
      </c>
      <c r="AV23" s="43" t="str">
        <f>IF(AND(F23&lt;&gt;"",AJ23&lt;&gt;""),AL23/(F23/2/AJ23),"")</f>
        <v/>
      </c>
      <c r="AW23" s="41" t="str">
        <f>IF(AND(AP23&lt;&gt;"",1-(AP23/N23)&gt;0),1-(AP23/N23),"")</f>
        <v/>
      </c>
      <c r="AX23" s="41" t="str">
        <f>IF(AND(AE23&lt;&gt;"",1-(AE23/N23)&gt;0),1-(AE23/N23),"")</f>
        <v/>
      </c>
      <c r="AY23" s="136" t="str">
        <f>IF(P23="","",IF(P23&lt;2.5,"Alc. Bruta &lt; 2,5 mg/L",IF(P23&lt;5,"2,5 ≤ Alc. Bruta &lt; 5,0 mg/L",IF(P23&lt;7.5,"5,0 ≤ Alc. Bruta &lt; 7,5 mg/L",IF(P23&lt;10,"7,5 ≤ Alc. Bruta &lt; 10,0 mg/L",IF(P23&lt;15,"10,0 ≤ Alca. Bruta &lt; 15,0 mg/L","Alc. Bruta &gt; 15 mg/L"))))))</f>
        <v>7,5 ≤ Alc. Bruta &lt; 10,0 mg/L</v>
      </c>
      <c r="AZ23" s="136" t="str">
        <f>IF(O23="","",IF(O23&lt;5,"Cor &lt;5 uC",IF(O23&lt;10,"5 ≤ Cor &lt; 10 uC",IF(O23&lt;15,"10 ≤ Cor &lt;15 uC",IF(O23&lt;30,"15 ≤ Cor &lt; 30 uC",IF(O23&lt;50,"30 ≤ Cor &lt; 50 uC","Cor &gt; 50 uC"))))))</f>
        <v>15 ≤ Cor &lt; 30 uC</v>
      </c>
      <c r="BA23" s="137" t="str">
        <f>IF(N23="","",IF(N23&lt;2.5,"Turbidez &lt; 2,5 uT",IF(N23&lt;5,"2,5 ≤ Turb &lt; 5,0 uT",IF(N23&lt;7.5,"5,0 ≤ Turb &lt; 7,5 uT",IF(N23&lt;10,"7,5 ≤ Turb &lt; 10,0 uT",IF(N23&lt;15,"10,0 ≤ Turb &lt; 15,0 uT","Turb &gt; 15 uT"))))))</f>
        <v>2,5 ≤ Turb &lt; 5,0 uT</v>
      </c>
      <c r="BB23" s="138" t="str">
        <f>IF(AND(C23&gt;D23,D23&gt;E23),"TOR &gt; SM &gt; BNN",IF(AND(C23&gt;E23,E23&gt;D23),"TOR &gt; BNN &gt; SM",IF(AND(D23&gt;C23,C23&gt;E23),"SM &gt; TOR &gt; BNN",IF(AND(D23&gt;E23,E23&gt;C23),"SM &gt; BNN &gt; TOR",IF(AND(C23=D23,D23=E23),"TOR = SM = BNN","Comb. diferentes")))))</f>
        <v>TOR &gt; BNN &gt; SM</v>
      </c>
      <c r="BC23" s="137" t="str">
        <f>IF(OR(AD23="",AP23="-"),"",IF(AD23&lt;=0.25,"Tipo 1 (≤0,25) uT",IF(AD23&lt;=0.5,"Tipo 2 (0,25-0,50) uT",IF(AD23&lt;=0.75,"Tipo 3 (0,50-0,75) uT","Tipo 4 (&gt;0,75) uT"))))</f>
        <v>Tipo 1 (≤0,25) uT</v>
      </c>
      <c r="BD23" s="137" t="str">
        <f>IF(OR(AO23="",AY23="-"),"",IF(AO23&lt;=0.25,"Tipo 1 (≤0,25) uT",IF(AO23&lt;=0.5,"Tipo 2 (0,25-0,50) uT",IF(AO23&lt;=0.75,"Tipo 3 (0,50-0,75) uT","Tipo 4 (&gt;0,75) uT"))))</f>
        <v>Tipo 2 (0,25-0,50) uT</v>
      </c>
      <c r="BE23" s="137" t="str">
        <f>IF(OR(AE23="",AP23="-"),"",IF(AE23&lt;=0.25,"Tipo 1 (≤0,25) uT",IF(AE23&lt;=0.5,"Tipo 2 (0,25-0,50) uT",IF(AE23&lt;=0.75,"Tipo 3 (0,50-0,75) uT","Tipo 4 (&gt;0,75) uT"))))</f>
        <v>Tipo 4 (&gt;0,75) uT</v>
      </c>
      <c r="BF23" s="137" t="str">
        <f>IF(OR(AP23="",AP23="-"),"",IF(AP23&lt;=0.25,"Tipo 1 (≤0,25) uT",IF(AP23&lt;=0.5,"Tipo 2 (0,25-0,50) uT",IF(AP23&lt;=0.75,"Tipo 3 (0,50-0,75) uT","Tipo 4 (&gt;0,75) uT"))))</f>
        <v>Tipo 4 (&gt;0,75) uT</v>
      </c>
      <c r="BG23" s="137" t="str">
        <f>IF(OR(Q23="",Q23="-"),"",IF(Q23&lt;=0.25,"Tipo 1 (≤0,25) uT",IF(Q23&lt;=0.5,"Tipo 2 (0,25-0,50) uT",IF(Q23&lt;=0.75,"Tipo 3 (0,50-0,75) uT","Tipo 4 (&gt;0,75) uT"))))</f>
        <v>Tipo 2 (0,25-0,50) uT</v>
      </c>
    </row>
    <row r="24" spans="1:59" x14ac:dyDescent="0.3">
      <c r="A24" s="26">
        <v>46130</v>
      </c>
      <c r="B24" s="107">
        <v>0.64583333333333337</v>
      </c>
      <c r="C24" s="116">
        <v>1060</v>
      </c>
      <c r="D24" s="116">
        <v>85</v>
      </c>
      <c r="E24" s="116">
        <v>499</v>
      </c>
      <c r="F24" s="116">
        <v>1743</v>
      </c>
      <c r="G24" s="10" t="s">
        <v>34</v>
      </c>
      <c r="H24" s="122">
        <v>3.6</v>
      </c>
      <c r="I24" s="116">
        <v>90</v>
      </c>
      <c r="J24" s="116">
        <v>90</v>
      </c>
      <c r="K24" s="116">
        <v>90</v>
      </c>
      <c r="L24" s="122">
        <v>25</v>
      </c>
      <c r="M24" s="122">
        <v>6.7</v>
      </c>
      <c r="N24" s="79">
        <v>4.0999999999999996</v>
      </c>
      <c r="O24" s="116">
        <v>16</v>
      </c>
      <c r="P24" s="122">
        <v>7.2</v>
      </c>
      <c r="Q24" s="79">
        <v>0.39</v>
      </c>
      <c r="R24" s="79">
        <v>22.36</v>
      </c>
      <c r="S24" s="79">
        <v>0.88</v>
      </c>
      <c r="T24" s="79">
        <v>0.7</v>
      </c>
      <c r="U24" s="85"/>
      <c r="V24" s="79"/>
      <c r="W24" s="79"/>
      <c r="X24" s="116"/>
      <c r="Y24" s="116"/>
      <c r="Z24" s="122"/>
      <c r="AA24" s="116"/>
      <c r="AB24" s="122">
        <v>6.7</v>
      </c>
      <c r="AC24" s="122">
        <v>6.7</v>
      </c>
      <c r="AD24" s="10">
        <v>0.13</v>
      </c>
      <c r="AE24" s="79">
        <v>4.13</v>
      </c>
      <c r="AF24" s="79"/>
      <c r="AG24" s="79"/>
      <c r="AH24" s="79"/>
      <c r="AI24" s="116"/>
      <c r="AJ24" s="116"/>
      <c r="AK24" s="79"/>
      <c r="AL24" s="79"/>
      <c r="AM24" s="122">
        <v>6.7</v>
      </c>
      <c r="AN24" s="122">
        <v>7.1</v>
      </c>
      <c r="AO24" s="79">
        <v>0.15</v>
      </c>
      <c r="AP24" s="127">
        <v>3.98</v>
      </c>
      <c r="AQ24" s="132">
        <f t="shared" si="0"/>
        <v>1644</v>
      </c>
      <c r="AR24" s="134">
        <f t="shared" si="1"/>
        <v>0.64476885644768855</v>
      </c>
      <c r="AS24" s="134">
        <f t="shared" si="2"/>
        <v>5.1703163017031629E-2</v>
      </c>
      <c r="AT24" s="134">
        <f t="shared" si="3"/>
        <v>0.3035279805352798</v>
      </c>
      <c r="AU24" s="43" t="str">
        <f>IF(AND(F24&lt;&gt;"",Y24&lt;&gt;""),AA24/(F24/2/Y24),"")</f>
        <v/>
      </c>
      <c r="AV24" s="43" t="str">
        <f>IF(AND(F24&lt;&gt;"",AJ24&lt;&gt;""),AL24/(F24/2/AJ24),"")</f>
        <v/>
      </c>
      <c r="AW24" s="41">
        <f>IF(AND(AP24&lt;&gt;"",1-(AP24/N24)&gt;0),1-(AP24/N24),"")</f>
        <v>2.9268292682926744E-2</v>
      </c>
      <c r="AX24" s="41" t="str">
        <f>IF(AND(AE24&lt;&gt;"",1-(AE24/N24)&gt;0),1-(AE24/N24),"")</f>
        <v/>
      </c>
      <c r="AY24" s="136" t="str">
        <f>IF(P24="","",IF(P24&lt;2.5,"Alc. Bruta &lt; 2,5 mg/L",IF(P24&lt;5,"2,5 ≤ Alc. Bruta &lt; 5,0 mg/L",IF(P24&lt;7.5,"5,0 ≤ Alc. Bruta &lt; 7,5 mg/L",IF(P24&lt;10,"7,5 ≤ Alc. Bruta &lt; 10,0 mg/L",IF(P24&lt;15,"10,0 ≤ Alca. Bruta &lt; 15,0 mg/L","Alc. Bruta &gt; 15 mg/L"))))))</f>
        <v>5,0 ≤ Alc. Bruta &lt; 7,5 mg/L</v>
      </c>
      <c r="AZ24" s="136" t="str">
        <f>IF(O24="","",IF(O24&lt;5,"Cor &lt;5 uC",IF(O24&lt;10,"5 ≤ Cor &lt; 10 uC",IF(O24&lt;15,"10 ≤ Cor &lt;15 uC",IF(O24&lt;30,"15 ≤ Cor &lt; 30 uC",IF(O24&lt;50,"30 ≤ Cor &lt; 50 uC","Cor &gt; 50 uC"))))))</f>
        <v>15 ≤ Cor &lt; 30 uC</v>
      </c>
      <c r="BA24" s="137" t="str">
        <f>IF(N24="","",IF(N24&lt;2.5,"Turbidez &lt; 2,5 uT",IF(N24&lt;5,"2,5 ≤ Turb &lt; 5,0 uT",IF(N24&lt;7.5,"5,0 ≤ Turb &lt; 7,5 uT",IF(N24&lt;10,"7,5 ≤ Turb &lt; 10,0 uT",IF(N24&lt;15,"10,0 ≤ Turb &lt; 15,0 uT","Turb &gt; 15 uT"))))))</f>
        <v>2,5 ≤ Turb &lt; 5,0 uT</v>
      </c>
      <c r="BB24" s="138" t="str">
        <f>IF(AND(C24&gt;D24,D24&gt;E24),"TOR &gt; SM &gt; BNN",IF(AND(C24&gt;E24,E24&gt;D24),"TOR &gt; BNN &gt; SM",IF(AND(D24&gt;C24,C24&gt;E24),"SM &gt; TOR &gt; BNN",IF(AND(D24&gt;E24,E24&gt;C24),"SM &gt; BNN &gt; TOR",IF(AND(C24=D24,D24=E24),"TOR = SM = BNN","Comb. diferentes")))))</f>
        <v>TOR &gt; BNN &gt; SM</v>
      </c>
      <c r="BC24" s="137" t="str">
        <f>IF(OR(AD24="",AP24="-"),"",IF(AD24&lt;=0.25,"Tipo 1 (≤0,25) uT",IF(AD24&lt;=0.5,"Tipo 2 (0,25-0,50) uT",IF(AD24&lt;=0.75,"Tipo 3 (0,50-0,75) uT","Tipo 4 (&gt;0,75) uT"))))</f>
        <v>Tipo 1 (≤0,25) uT</v>
      </c>
      <c r="BD24" s="137" t="str">
        <f>IF(OR(AO24="",AY24="-"),"",IF(AO24&lt;=0.25,"Tipo 1 (≤0,25) uT",IF(AO24&lt;=0.5,"Tipo 2 (0,25-0,50) uT",IF(AO24&lt;=0.75,"Tipo 3 (0,50-0,75) uT","Tipo 4 (&gt;0,75) uT"))))</f>
        <v>Tipo 1 (≤0,25) uT</v>
      </c>
      <c r="BE24" s="137" t="str">
        <f>IF(OR(AE24="",AP24="-"),"",IF(AE24&lt;=0.25,"Tipo 1 (≤0,25) uT",IF(AE24&lt;=0.5,"Tipo 2 (0,25-0,50) uT",IF(AE24&lt;=0.75,"Tipo 3 (0,50-0,75) uT","Tipo 4 (&gt;0,75) uT"))))</f>
        <v>Tipo 4 (&gt;0,75) uT</v>
      </c>
      <c r="BF24" s="137" t="str">
        <f>IF(OR(AP24="",AP24="-"),"",IF(AP24&lt;=0.25,"Tipo 1 (≤0,25) uT",IF(AP24&lt;=0.5,"Tipo 2 (0,25-0,50) uT",IF(AP24&lt;=0.75,"Tipo 3 (0,50-0,75) uT","Tipo 4 (&gt;0,75) uT"))))</f>
        <v>Tipo 4 (&gt;0,75) uT</v>
      </c>
      <c r="BG24" s="137" t="str">
        <f>IF(OR(Q24="",Q24="-"),"",IF(Q24&lt;=0.25,"Tipo 1 (≤0,25) uT",IF(Q24&lt;=0.5,"Tipo 2 (0,25-0,50) uT",IF(Q24&lt;=0.75,"Tipo 3 (0,50-0,75) uT","Tipo 4 (&gt;0,75) uT"))))</f>
        <v>Tipo 2 (0,25-0,50) uT</v>
      </c>
    </row>
    <row r="25" spans="1:59" x14ac:dyDescent="0.3">
      <c r="A25" s="26">
        <v>46130</v>
      </c>
      <c r="B25" s="107">
        <v>0.72916666666666663</v>
      </c>
      <c r="C25" s="116">
        <v>1173</v>
      </c>
      <c r="D25" s="116">
        <v>81</v>
      </c>
      <c r="E25" s="116">
        <v>500</v>
      </c>
      <c r="F25" s="116">
        <v>1781</v>
      </c>
      <c r="G25" s="10" t="s">
        <v>34</v>
      </c>
      <c r="H25" s="122">
        <v>3.6</v>
      </c>
      <c r="I25" s="116">
        <v>90</v>
      </c>
      <c r="J25" s="116">
        <v>90</v>
      </c>
      <c r="K25" s="116">
        <v>90</v>
      </c>
      <c r="L25" s="122">
        <v>25</v>
      </c>
      <c r="M25" s="122">
        <v>6.7</v>
      </c>
      <c r="N25" s="79">
        <v>4.05</v>
      </c>
      <c r="O25" s="116">
        <v>15</v>
      </c>
      <c r="P25" s="122">
        <v>7.5</v>
      </c>
      <c r="Q25" s="79">
        <v>0.28000000000000003</v>
      </c>
      <c r="R25" s="79">
        <v>22.36</v>
      </c>
      <c r="S25" s="79">
        <v>0.88</v>
      </c>
      <c r="T25" s="79">
        <v>0.7</v>
      </c>
      <c r="U25" s="85"/>
      <c r="V25" s="79"/>
      <c r="W25" s="79"/>
      <c r="X25" s="116"/>
      <c r="Y25" s="116"/>
      <c r="Z25" s="122"/>
      <c r="AA25" s="116"/>
      <c r="AB25" s="122">
        <v>6.8</v>
      </c>
      <c r="AC25" s="122">
        <v>6.9</v>
      </c>
      <c r="AD25" s="10">
        <v>0.13</v>
      </c>
      <c r="AE25" s="79">
        <v>4.17</v>
      </c>
      <c r="AF25" s="79"/>
      <c r="AG25" s="79"/>
      <c r="AH25" s="79"/>
      <c r="AI25" s="116"/>
      <c r="AJ25" s="116"/>
      <c r="AK25" s="79"/>
      <c r="AL25" s="79"/>
      <c r="AM25" s="122">
        <v>6.7</v>
      </c>
      <c r="AN25" s="122">
        <v>7.2</v>
      </c>
      <c r="AO25" s="79">
        <v>0.17</v>
      </c>
      <c r="AP25" s="127">
        <v>4.05</v>
      </c>
      <c r="AQ25" s="132">
        <f t="shared" si="0"/>
        <v>1754</v>
      </c>
      <c r="AR25" s="134">
        <f t="shared" si="1"/>
        <v>0.66875712656784492</v>
      </c>
      <c r="AS25" s="134">
        <f t="shared" si="2"/>
        <v>4.6180159635119726E-2</v>
      </c>
      <c r="AT25" s="134">
        <f t="shared" si="3"/>
        <v>0.28506271379703535</v>
      </c>
      <c r="AU25" s="43" t="str">
        <f>IF(AND(F25&lt;&gt;"",Y25&lt;&gt;""),AA25/(F25/2/Y25),"")</f>
        <v/>
      </c>
      <c r="AV25" s="43" t="str">
        <f>IF(AND(F25&lt;&gt;"",AJ25&lt;&gt;""),AL25/(F25/2/AJ25),"")</f>
        <v/>
      </c>
      <c r="AW25" s="41" t="str">
        <f>IF(AND(AP25&lt;&gt;"",1-(AP25/N25)&gt;0),1-(AP25/N25),"")</f>
        <v/>
      </c>
      <c r="AX25" s="41" t="str">
        <f>IF(AND(AE25&lt;&gt;"",1-(AE25/N25)&gt;0),1-(AE25/N25),"")</f>
        <v/>
      </c>
      <c r="AY25" s="136" t="str">
        <f>IF(P25="","",IF(P25&lt;2.5,"Alc. Bruta &lt; 2,5 mg/L",IF(P25&lt;5,"2,5 ≤ Alc. Bruta &lt; 5,0 mg/L",IF(P25&lt;7.5,"5,0 ≤ Alc. Bruta &lt; 7,5 mg/L",IF(P25&lt;10,"7,5 ≤ Alc. Bruta &lt; 10,0 mg/L",IF(P25&lt;15,"10,0 ≤ Alca. Bruta &lt; 15,0 mg/L","Alc. Bruta &gt; 15 mg/L"))))))</f>
        <v>7,5 ≤ Alc. Bruta &lt; 10,0 mg/L</v>
      </c>
      <c r="AZ25" s="136" t="str">
        <f>IF(O25="","",IF(O25&lt;5,"Cor &lt;5 uC",IF(O25&lt;10,"5 ≤ Cor &lt; 10 uC",IF(O25&lt;15,"10 ≤ Cor &lt;15 uC",IF(O25&lt;30,"15 ≤ Cor &lt; 30 uC",IF(O25&lt;50,"30 ≤ Cor &lt; 50 uC","Cor &gt; 50 uC"))))))</f>
        <v>15 ≤ Cor &lt; 30 uC</v>
      </c>
      <c r="BA25" s="137" t="str">
        <f>IF(N25="","",IF(N25&lt;2.5,"Turbidez &lt; 2,5 uT",IF(N25&lt;5,"2,5 ≤ Turb &lt; 5,0 uT",IF(N25&lt;7.5,"5,0 ≤ Turb &lt; 7,5 uT",IF(N25&lt;10,"7,5 ≤ Turb &lt; 10,0 uT",IF(N25&lt;15,"10,0 ≤ Turb &lt; 15,0 uT","Turb &gt; 15 uT"))))))</f>
        <v>2,5 ≤ Turb &lt; 5,0 uT</v>
      </c>
      <c r="BB25" s="138" t="str">
        <f>IF(AND(C25&gt;D25,D25&gt;E25),"TOR &gt; SM &gt; BNN",IF(AND(C25&gt;E25,E25&gt;D25),"TOR &gt; BNN &gt; SM",IF(AND(D25&gt;C25,C25&gt;E25),"SM &gt; TOR &gt; BNN",IF(AND(D25&gt;E25,E25&gt;C25),"SM &gt; BNN &gt; TOR",IF(AND(C25=D25,D25=E25),"TOR = SM = BNN","Comb. diferentes")))))</f>
        <v>TOR &gt; BNN &gt; SM</v>
      </c>
      <c r="BC25" s="137" t="str">
        <f>IF(OR(AD25="",AP25="-"),"",IF(AD25&lt;=0.25,"Tipo 1 (≤0,25) uT",IF(AD25&lt;=0.5,"Tipo 2 (0,25-0,50) uT",IF(AD25&lt;=0.75,"Tipo 3 (0,50-0,75) uT","Tipo 4 (&gt;0,75) uT"))))</f>
        <v>Tipo 1 (≤0,25) uT</v>
      </c>
      <c r="BD25" s="137" t="str">
        <f>IF(OR(AO25="",AY25="-"),"",IF(AO25&lt;=0.25,"Tipo 1 (≤0,25) uT",IF(AO25&lt;=0.5,"Tipo 2 (0,25-0,50) uT",IF(AO25&lt;=0.75,"Tipo 3 (0,50-0,75) uT","Tipo 4 (&gt;0,75) uT"))))</f>
        <v>Tipo 1 (≤0,25) uT</v>
      </c>
      <c r="BE25" s="137" t="str">
        <f>IF(OR(AE25="",AP25="-"),"",IF(AE25&lt;=0.25,"Tipo 1 (≤0,25) uT",IF(AE25&lt;=0.5,"Tipo 2 (0,25-0,50) uT",IF(AE25&lt;=0.75,"Tipo 3 (0,50-0,75) uT","Tipo 4 (&gt;0,75) uT"))))</f>
        <v>Tipo 4 (&gt;0,75) uT</v>
      </c>
      <c r="BF25" s="137" t="str">
        <f>IF(OR(AP25="",AP25="-"),"",IF(AP25&lt;=0.25,"Tipo 1 (≤0,25) uT",IF(AP25&lt;=0.5,"Tipo 2 (0,25-0,50) uT",IF(AP25&lt;=0.75,"Tipo 3 (0,50-0,75) uT","Tipo 4 (&gt;0,75) uT"))))</f>
        <v>Tipo 4 (&gt;0,75) uT</v>
      </c>
      <c r="BG25" s="137" t="str">
        <f>IF(OR(Q25="",Q25="-"),"",IF(Q25&lt;=0.25,"Tipo 1 (≤0,25) uT",IF(Q25&lt;=0.5,"Tipo 2 (0,25-0,50) uT",IF(Q25&lt;=0.75,"Tipo 3 (0,50-0,75) uT","Tipo 4 (&gt;0,75) uT"))))</f>
        <v>Tipo 2 (0,25-0,50) uT</v>
      </c>
    </row>
    <row r="26" spans="1:59" x14ac:dyDescent="0.3">
      <c r="A26" s="26">
        <v>46130</v>
      </c>
      <c r="B26" s="107">
        <v>0.8125</v>
      </c>
      <c r="C26" s="116">
        <v>1191</v>
      </c>
      <c r="D26" s="116">
        <v>81</v>
      </c>
      <c r="E26" s="116">
        <v>500</v>
      </c>
      <c r="F26" s="116">
        <v>1895</v>
      </c>
      <c r="G26" s="10" t="s">
        <v>34</v>
      </c>
      <c r="H26" s="122">
        <v>3.6</v>
      </c>
      <c r="I26" s="116">
        <v>90</v>
      </c>
      <c r="J26" s="116">
        <v>90</v>
      </c>
      <c r="K26" s="116">
        <v>90</v>
      </c>
      <c r="L26" s="122">
        <v>25.1</v>
      </c>
      <c r="M26" s="122">
        <v>6.7</v>
      </c>
      <c r="N26" s="79">
        <v>3.99</v>
      </c>
      <c r="O26" s="116">
        <v>17</v>
      </c>
      <c r="P26" s="122">
        <v>9.1999999999999993</v>
      </c>
      <c r="Q26" s="79">
        <v>0.31</v>
      </c>
      <c r="R26" s="79">
        <v>22.36</v>
      </c>
      <c r="S26" s="79">
        <v>0.88</v>
      </c>
      <c r="T26" s="79">
        <v>0.7</v>
      </c>
      <c r="U26" s="85"/>
      <c r="V26" s="79"/>
      <c r="W26" s="79"/>
      <c r="X26" s="116"/>
      <c r="Y26" s="116"/>
      <c r="Z26" s="122"/>
      <c r="AA26" s="116"/>
      <c r="AB26" s="122">
        <v>6.7</v>
      </c>
      <c r="AC26" s="122">
        <v>12</v>
      </c>
      <c r="AD26" s="10">
        <v>0.12</v>
      </c>
      <c r="AE26" s="79">
        <v>4.7699999999999996</v>
      </c>
      <c r="AF26" s="79"/>
      <c r="AG26" s="79"/>
      <c r="AH26" s="79"/>
      <c r="AI26" s="116"/>
      <c r="AJ26" s="116"/>
      <c r="AK26" s="79"/>
      <c r="AL26" s="79"/>
      <c r="AM26" s="122">
        <v>6.8</v>
      </c>
      <c r="AN26" s="122">
        <v>10</v>
      </c>
      <c r="AO26" s="79">
        <v>0.1</v>
      </c>
      <c r="AP26" s="127">
        <v>6.87</v>
      </c>
      <c r="AQ26" s="132">
        <f t="shared" si="0"/>
        <v>1772</v>
      </c>
      <c r="AR26" s="134">
        <f t="shared" si="1"/>
        <v>0.67212189616252827</v>
      </c>
      <c r="AS26" s="134">
        <f t="shared" si="2"/>
        <v>4.5711060948081264E-2</v>
      </c>
      <c r="AT26" s="134">
        <f t="shared" si="3"/>
        <v>0.28216704288939054</v>
      </c>
      <c r="AU26" s="43" t="str">
        <f>IF(AND(F26&lt;&gt;"",Y26&lt;&gt;""),AA26/(F26/2/Y26),"")</f>
        <v/>
      </c>
      <c r="AV26" s="43" t="str">
        <f>IF(AND(F26&lt;&gt;"",AJ26&lt;&gt;""),AL26/(F26/2/AJ26),"")</f>
        <v/>
      </c>
      <c r="AW26" s="41" t="str">
        <f>IF(AND(AP26&lt;&gt;"",1-(AP26/N26)&gt;0),1-(AP26/N26),"")</f>
        <v/>
      </c>
      <c r="AX26" s="41" t="str">
        <f>IF(AND(AE26&lt;&gt;"",1-(AE26/N26)&gt;0),1-(AE26/N26),"")</f>
        <v/>
      </c>
      <c r="AY26" s="136" t="str">
        <f>IF(P26="","",IF(P26&lt;2.5,"Alc. Bruta &lt; 2,5 mg/L",IF(P26&lt;5,"2,5 ≤ Alc. Bruta &lt; 5,0 mg/L",IF(P26&lt;7.5,"5,0 ≤ Alc. Bruta &lt; 7,5 mg/L",IF(P26&lt;10,"7,5 ≤ Alc. Bruta &lt; 10,0 mg/L",IF(P26&lt;15,"10,0 ≤ Alca. Bruta &lt; 15,0 mg/L","Alc. Bruta &gt; 15 mg/L"))))))</f>
        <v>7,5 ≤ Alc. Bruta &lt; 10,0 mg/L</v>
      </c>
      <c r="AZ26" s="136" t="str">
        <f>IF(O26="","",IF(O26&lt;5,"Cor &lt;5 uC",IF(O26&lt;10,"5 ≤ Cor &lt; 10 uC",IF(O26&lt;15,"10 ≤ Cor &lt;15 uC",IF(O26&lt;30,"15 ≤ Cor &lt; 30 uC",IF(O26&lt;50,"30 ≤ Cor &lt; 50 uC","Cor &gt; 50 uC"))))))</f>
        <v>15 ≤ Cor &lt; 30 uC</v>
      </c>
      <c r="BA26" s="137" t="str">
        <f>IF(N26="","",IF(N26&lt;2.5,"Turbidez &lt; 2,5 uT",IF(N26&lt;5,"2,5 ≤ Turb &lt; 5,0 uT",IF(N26&lt;7.5,"5,0 ≤ Turb &lt; 7,5 uT",IF(N26&lt;10,"7,5 ≤ Turb &lt; 10,0 uT",IF(N26&lt;15,"10,0 ≤ Turb &lt; 15,0 uT","Turb &gt; 15 uT"))))))</f>
        <v>2,5 ≤ Turb &lt; 5,0 uT</v>
      </c>
      <c r="BB26" s="138" t="str">
        <f>IF(AND(C26&gt;D26,D26&gt;E26),"TOR &gt; SM &gt; BNN",IF(AND(C26&gt;E26,E26&gt;D26),"TOR &gt; BNN &gt; SM",IF(AND(D26&gt;C26,C26&gt;E26),"SM &gt; TOR &gt; BNN",IF(AND(D26&gt;E26,E26&gt;C26),"SM &gt; BNN &gt; TOR",IF(AND(C26=D26,D26=E26),"TOR = SM = BNN","Comb. diferentes")))))</f>
        <v>TOR &gt; BNN &gt; SM</v>
      </c>
      <c r="BC26" s="137" t="str">
        <f>IF(OR(AD26="",AP26="-"),"",IF(AD26&lt;=0.25,"Tipo 1 (≤0,25) uT",IF(AD26&lt;=0.5,"Tipo 2 (0,25-0,50) uT",IF(AD26&lt;=0.75,"Tipo 3 (0,50-0,75) uT","Tipo 4 (&gt;0,75) uT"))))</f>
        <v>Tipo 1 (≤0,25) uT</v>
      </c>
      <c r="BD26" s="137" t="str">
        <f>IF(OR(AO26="",AY26="-"),"",IF(AO26&lt;=0.25,"Tipo 1 (≤0,25) uT",IF(AO26&lt;=0.5,"Tipo 2 (0,25-0,50) uT",IF(AO26&lt;=0.75,"Tipo 3 (0,50-0,75) uT","Tipo 4 (&gt;0,75) uT"))))</f>
        <v>Tipo 1 (≤0,25) uT</v>
      </c>
      <c r="BE26" s="137" t="str">
        <f>IF(OR(AE26="",AP26="-"),"",IF(AE26&lt;=0.25,"Tipo 1 (≤0,25) uT",IF(AE26&lt;=0.5,"Tipo 2 (0,25-0,50) uT",IF(AE26&lt;=0.75,"Tipo 3 (0,50-0,75) uT","Tipo 4 (&gt;0,75) uT"))))</f>
        <v>Tipo 4 (&gt;0,75) uT</v>
      </c>
      <c r="BF26" s="137" t="str">
        <f>IF(OR(AP26="",AP26="-"),"",IF(AP26&lt;=0.25,"Tipo 1 (≤0,25) uT",IF(AP26&lt;=0.5,"Tipo 2 (0,25-0,50) uT",IF(AP26&lt;=0.75,"Tipo 3 (0,50-0,75) uT","Tipo 4 (&gt;0,75) uT"))))</f>
        <v>Tipo 4 (&gt;0,75) uT</v>
      </c>
      <c r="BG26" s="137" t="str">
        <f>IF(OR(Q26="",Q26="-"),"",IF(Q26&lt;=0.25,"Tipo 1 (≤0,25) uT",IF(Q26&lt;=0.5,"Tipo 2 (0,25-0,50) uT",IF(Q26&lt;=0.75,"Tipo 3 (0,50-0,75) uT","Tipo 4 (&gt;0,75) uT"))))</f>
        <v>Tipo 2 (0,25-0,50) uT</v>
      </c>
    </row>
    <row r="27" spans="1:59" x14ac:dyDescent="0.3">
      <c r="A27" s="26">
        <v>46130</v>
      </c>
      <c r="B27" s="107">
        <v>0.89583333333333337</v>
      </c>
      <c r="C27" s="116">
        <v>1099</v>
      </c>
      <c r="D27" s="116">
        <v>81</v>
      </c>
      <c r="E27" s="116">
        <v>498</v>
      </c>
      <c r="F27" s="116">
        <v>1903</v>
      </c>
      <c r="G27" s="10" t="s">
        <v>34</v>
      </c>
      <c r="H27" s="122">
        <v>3.6</v>
      </c>
      <c r="I27" s="116">
        <v>90</v>
      </c>
      <c r="J27" s="116">
        <v>90</v>
      </c>
      <c r="K27" s="116">
        <v>90</v>
      </c>
      <c r="L27" s="122">
        <v>24.7</v>
      </c>
      <c r="M27" s="122">
        <v>6.7</v>
      </c>
      <c r="N27" s="79">
        <v>4.46</v>
      </c>
      <c r="O27" s="116">
        <v>17</v>
      </c>
      <c r="P27" s="122">
        <v>7</v>
      </c>
      <c r="Q27" s="79">
        <v>0.32</v>
      </c>
      <c r="R27" s="79">
        <v>22.36</v>
      </c>
      <c r="S27" s="79">
        <v>0.88</v>
      </c>
      <c r="T27" s="79">
        <v>0.7</v>
      </c>
      <c r="U27" s="85"/>
      <c r="V27" s="79"/>
      <c r="W27" s="79"/>
      <c r="X27" s="116"/>
      <c r="Y27" s="116"/>
      <c r="Z27" s="122"/>
      <c r="AA27" s="116"/>
      <c r="AB27" s="122">
        <v>6.8</v>
      </c>
      <c r="AC27" s="122">
        <v>6.9</v>
      </c>
      <c r="AD27" s="10">
        <v>0.17</v>
      </c>
      <c r="AE27" s="79">
        <v>1.74</v>
      </c>
      <c r="AF27" s="79"/>
      <c r="AG27" s="79"/>
      <c r="AH27" s="79"/>
      <c r="AI27" s="116"/>
      <c r="AJ27" s="116"/>
      <c r="AK27" s="79"/>
      <c r="AL27" s="79"/>
      <c r="AM27" s="122">
        <v>6.8</v>
      </c>
      <c r="AN27" s="122">
        <v>6.7</v>
      </c>
      <c r="AO27" s="79">
        <v>0.18</v>
      </c>
      <c r="AP27" s="127">
        <v>1.44</v>
      </c>
      <c r="AQ27" s="132">
        <f t="shared" si="0"/>
        <v>1678</v>
      </c>
      <c r="AR27" s="134">
        <f t="shared" si="1"/>
        <v>0.65494636471990464</v>
      </c>
      <c r="AS27" s="134">
        <f t="shared" si="2"/>
        <v>4.8271752085816445E-2</v>
      </c>
      <c r="AT27" s="134">
        <f t="shared" si="3"/>
        <v>0.29678188319427889</v>
      </c>
      <c r="AU27" s="43" t="str">
        <f>IF(AND(F27&lt;&gt;"",Y27&lt;&gt;""),AA27/(F27/2/Y27),"")</f>
        <v/>
      </c>
      <c r="AV27" s="43" t="str">
        <f>IF(AND(F27&lt;&gt;"",AJ27&lt;&gt;""),AL27/(F27/2/AJ27),"")</f>
        <v/>
      </c>
      <c r="AW27" s="41">
        <f>IF(AND(AP27&lt;&gt;"",1-(AP27/N27)&gt;0),1-(AP27/N27),"")</f>
        <v>0.67713004484304928</v>
      </c>
      <c r="AX27" s="41">
        <f>IF(AND(AE27&lt;&gt;"",1-(AE27/N27)&gt;0),1-(AE27/N27),"")</f>
        <v>0.60986547085201792</v>
      </c>
      <c r="AY27" s="136" t="str">
        <f>IF(P27="","",IF(P27&lt;2.5,"Alc. Bruta &lt; 2,5 mg/L",IF(P27&lt;5,"2,5 ≤ Alc. Bruta &lt; 5,0 mg/L",IF(P27&lt;7.5,"5,0 ≤ Alc. Bruta &lt; 7,5 mg/L",IF(P27&lt;10,"7,5 ≤ Alc. Bruta &lt; 10,0 mg/L",IF(P27&lt;15,"10,0 ≤ Alca. Bruta &lt; 15,0 mg/L","Alc. Bruta &gt; 15 mg/L"))))))</f>
        <v>5,0 ≤ Alc. Bruta &lt; 7,5 mg/L</v>
      </c>
      <c r="AZ27" s="136" t="str">
        <f>IF(O27="","",IF(O27&lt;5,"Cor &lt;5 uC",IF(O27&lt;10,"5 ≤ Cor &lt; 10 uC",IF(O27&lt;15,"10 ≤ Cor &lt;15 uC",IF(O27&lt;30,"15 ≤ Cor &lt; 30 uC",IF(O27&lt;50,"30 ≤ Cor &lt; 50 uC","Cor &gt; 50 uC"))))))</f>
        <v>15 ≤ Cor &lt; 30 uC</v>
      </c>
      <c r="BA27" s="137" t="str">
        <f>IF(N27="","",IF(N27&lt;2.5,"Turbidez &lt; 2,5 uT",IF(N27&lt;5,"2,5 ≤ Turb &lt; 5,0 uT",IF(N27&lt;7.5,"5,0 ≤ Turb &lt; 7,5 uT",IF(N27&lt;10,"7,5 ≤ Turb &lt; 10,0 uT",IF(N27&lt;15,"10,0 ≤ Turb &lt; 15,0 uT","Turb &gt; 15 uT"))))))</f>
        <v>2,5 ≤ Turb &lt; 5,0 uT</v>
      </c>
      <c r="BB27" s="138" t="str">
        <f>IF(AND(C27&gt;D27,D27&gt;E27),"TOR &gt; SM &gt; BNN",IF(AND(C27&gt;E27,E27&gt;D27),"TOR &gt; BNN &gt; SM",IF(AND(D27&gt;C27,C27&gt;E27),"SM &gt; TOR &gt; BNN",IF(AND(D27&gt;E27,E27&gt;C27),"SM &gt; BNN &gt; TOR",IF(AND(C27=D27,D27=E27),"TOR = SM = BNN","Comb. diferentes")))))</f>
        <v>TOR &gt; BNN &gt; SM</v>
      </c>
      <c r="BC27" s="137" t="str">
        <f>IF(OR(AD27="",AP27="-"),"",IF(AD27&lt;=0.25,"Tipo 1 (≤0,25) uT",IF(AD27&lt;=0.5,"Tipo 2 (0,25-0,50) uT",IF(AD27&lt;=0.75,"Tipo 3 (0,50-0,75) uT","Tipo 4 (&gt;0,75) uT"))))</f>
        <v>Tipo 1 (≤0,25) uT</v>
      </c>
      <c r="BD27" s="137" t="str">
        <f>IF(OR(AO27="",AY27="-"),"",IF(AO27&lt;=0.25,"Tipo 1 (≤0,25) uT",IF(AO27&lt;=0.5,"Tipo 2 (0,25-0,50) uT",IF(AO27&lt;=0.75,"Tipo 3 (0,50-0,75) uT","Tipo 4 (&gt;0,75) uT"))))</f>
        <v>Tipo 1 (≤0,25) uT</v>
      </c>
      <c r="BE27" s="137" t="str">
        <f>IF(OR(AE27="",AP27="-"),"",IF(AE27&lt;=0.25,"Tipo 1 (≤0,25) uT",IF(AE27&lt;=0.5,"Tipo 2 (0,25-0,50) uT",IF(AE27&lt;=0.75,"Tipo 3 (0,50-0,75) uT","Tipo 4 (&gt;0,75) uT"))))</f>
        <v>Tipo 4 (&gt;0,75) uT</v>
      </c>
      <c r="BF27" s="137" t="str">
        <f>IF(OR(AP27="",AP27="-"),"",IF(AP27&lt;=0.25,"Tipo 1 (≤0,25) uT",IF(AP27&lt;=0.5,"Tipo 2 (0,25-0,50) uT",IF(AP27&lt;=0.75,"Tipo 3 (0,50-0,75) uT","Tipo 4 (&gt;0,75) uT"))))</f>
        <v>Tipo 4 (&gt;0,75) uT</v>
      </c>
      <c r="BG27" s="137" t="str">
        <f>IF(OR(Q27="",Q27="-"),"",IF(Q27&lt;=0.25,"Tipo 1 (≤0,25) uT",IF(Q27&lt;=0.5,"Tipo 2 (0,25-0,50) uT",IF(Q27&lt;=0.75,"Tipo 3 (0,50-0,75) uT","Tipo 4 (&gt;0,75) uT"))))</f>
        <v>Tipo 2 (0,25-0,50) uT</v>
      </c>
    </row>
    <row r="28" spans="1:59" x14ac:dyDescent="0.3">
      <c r="A28" s="26">
        <v>46130</v>
      </c>
      <c r="B28" s="107">
        <v>0.97916666666666663</v>
      </c>
      <c r="C28" s="116">
        <v>1172</v>
      </c>
      <c r="D28" s="116">
        <v>88</v>
      </c>
      <c r="E28" s="116">
        <v>500</v>
      </c>
      <c r="F28" s="116">
        <v>1892</v>
      </c>
      <c r="G28" s="10" t="s">
        <v>34</v>
      </c>
      <c r="H28" s="122">
        <v>3.6</v>
      </c>
      <c r="I28" s="116">
        <v>90</v>
      </c>
      <c r="J28" s="116">
        <v>90</v>
      </c>
      <c r="K28" s="116">
        <v>90</v>
      </c>
      <c r="L28" s="122">
        <v>24.3</v>
      </c>
      <c r="M28" s="122">
        <v>6.8</v>
      </c>
      <c r="N28" s="79">
        <v>4.3899999999999997</v>
      </c>
      <c r="O28" s="116">
        <v>16</v>
      </c>
      <c r="P28" s="122">
        <v>7.1</v>
      </c>
      <c r="Q28" s="79">
        <v>0.31</v>
      </c>
      <c r="R28" s="79">
        <v>22.36</v>
      </c>
      <c r="S28" s="79">
        <v>0.88</v>
      </c>
      <c r="T28" s="79">
        <v>0.7</v>
      </c>
      <c r="U28" s="85"/>
      <c r="V28" s="79"/>
      <c r="W28" s="79"/>
      <c r="X28" s="116"/>
      <c r="Y28" s="116"/>
      <c r="Z28" s="122"/>
      <c r="AA28" s="116"/>
      <c r="AB28" s="122">
        <v>6.7</v>
      </c>
      <c r="AC28" s="122">
        <v>6.9</v>
      </c>
      <c r="AD28" s="10">
        <v>0.15</v>
      </c>
      <c r="AE28" s="79">
        <v>1.02</v>
      </c>
      <c r="AF28" s="79"/>
      <c r="AG28" s="79"/>
      <c r="AH28" s="79"/>
      <c r="AI28" s="116"/>
      <c r="AJ28" s="116"/>
      <c r="AK28" s="79"/>
      <c r="AL28" s="79"/>
      <c r="AM28" s="122">
        <v>6.7</v>
      </c>
      <c r="AN28" s="122">
        <v>6.8</v>
      </c>
      <c r="AO28" s="79">
        <v>0.14000000000000001</v>
      </c>
      <c r="AP28" s="127">
        <v>1.07</v>
      </c>
      <c r="AQ28" s="132">
        <f t="shared" si="0"/>
        <v>1760</v>
      </c>
      <c r="AR28" s="134">
        <f t="shared" si="1"/>
        <v>0.66590909090909089</v>
      </c>
      <c r="AS28" s="134">
        <f t="shared" si="2"/>
        <v>0.05</v>
      </c>
      <c r="AT28" s="134">
        <f t="shared" si="3"/>
        <v>0.28409090909090912</v>
      </c>
      <c r="AU28" s="43" t="str">
        <f>IF(AND(F28&lt;&gt;"",Y28&lt;&gt;""),AA28/(F28/2/Y28),"")</f>
        <v/>
      </c>
      <c r="AV28" s="43" t="str">
        <f>IF(AND(F28&lt;&gt;"",AJ28&lt;&gt;""),AL28/(F28/2/AJ28),"")</f>
        <v/>
      </c>
      <c r="AW28" s="41">
        <f>IF(AND(AP28&lt;&gt;"",1-(AP28/N28)&gt;0),1-(AP28/N28),"")</f>
        <v>0.75626423690205002</v>
      </c>
      <c r="AX28" s="41">
        <f>IF(AND(AE28&lt;&gt;"",1-(AE28/N28)&gt;0),1-(AE28/N28),"")</f>
        <v>0.76765375854214124</v>
      </c>
      <c r="AY28" s="136" t="str">
        <f>IF(P28="","",IF(P28&lt;2.5,"Alc. Bruta &lt; 2,5 mg/L",IF(P28&lt;5,"2,5 ≤ Alc. Bruta &lt; 5,0 mg/L",IF(P28&lt;7.5,"5,0 ≤ Alc. Bruta &lt; 7,5 mg/L",IF(P28&lt;10,"7,5 ≤ Alc. Bruta &lt; 10,0 mg/L",IF(P28&lt;15,"10,0 ≤ Alca. Bruta &lt; 15,0 mg/L","Alc. Bruta &gt; 15 mg/L"))))))</f>
        <v>5,0 ≤ Alc. Bruta &lt; 7,5 mg/L</v>
      </c>
      <c r="AZ28" s="136" t="str">
        <f>IF(O28="","",IF(O28&lt;5,"Cor &lt;5 uC",IF(O28&lt;10,"5 ≤ Cor &lt; 10 uC",IF(O28&lt;15,"10 ≤ Cor &lt;15 uC",IF(O28&lt;30,"15 ≤ Cor &lt; 30 uC",IF(O28&lt;50,"30 ≤ Cor &lt; 50 uC","Cor &gt; 50 uC"))))))</f>
        <v>15 ≤ Cor &lt; 30 uC</v>
      </c>
      <c r="BA28" s="137" t="str">
        <f>IF(N28="","",IF(N28&lt;2.5,"Turbidez &lt; 2,5 uT",IF(N28&lt;5,"2,5 ≤ Turb &lt; 5,0 uT",IF(N28&lt;7.5,"5,0 ≤ Turb &lt; 7,5 uT",IF(N28&lt;10,"7,5 ≤ Turb &lt; 10,0 uT",IF(N28&lt;15,"10,0 ≤ Turb &lt; 15,0 uT","Turb &gt; 15 uT"))))))</f>
        <v>2,5 ≤ Turb &lt; 5,0 uT</v>
      </c>
      <c r="BB28" s="138" t="str">
        <f>IF(AND(C28&gt;D28,D28&gt;E28),"TOR &gt; SM &gt; BNN",IF(AND(C28&gt;E28,E28&gt;D28),"TOR &gt; BNN &gt; SM",IF(AND(D28&gt;C28,C28&gt;E28),"SM &gt; TOR &gt; BNN",IF(AND(D28&gt;E28,E28&gt;C28),"SM &gt; BNN &gt; TOR",IF(AND(C28=D28,D28=E28),"TOR = SM = BNN","Comb. diferentes")))))</f>
        <v>TOR &gt; BNN &gt; SM</v>
      </c>
      <c r="BC28" s="137" t="str">
        <f>IF(OR(AD28="",AP28="-"),"",IF(AD28&lt;=0.25,"Tipo 1 (≤0,25) uT",IF(AD28&lt;=0.5,"Tipo 2 (0,25-0,50) uT",IF(AD28&lt;=0.75,"Tipo 3 (0,50-0,75) uT","Tipo 4 (&gt;0,75) uT"))))</f>
        <v>Tipo 1 (≤0,25) uT</v>
      </c>
      <c r="BD28" s="137" t="str">
        <f>IF(OR(AO28="",AY28="-"),"",IF(AO28&lt;=0.25,"Tipo 1 (≤0,25) uT",IF(AO28&lt;=0.5,"Tipo 2 (0,25-0,50) uT",IF(AO28&lt;=0.75,"Tipo 3 (0,50-0,75) uT","Tipo 4 (&gt;0,75) uT"))))</f>
        <v>Tipo 1 (≤0,25) uT</v>
      </c>
      <c r="BE28" s="137" t="str">
        <f>IF(OR(AE28="",AP28="-"),"",IF(AE28&lt;=0.25,"Tipo 1 (≤0,25) uT",IF(AE28&lt;=0.5,"Tipo 2 (0,25-0,50) uT",IF(AE28&lt;=0.75,"Tipo 3 (0,50-0,75) uT","Tipo 4 (&gt;0,75) uT"))))</f>
        <v>Tipo 4 (&gt;0,75) uT</v>
      </c>
      <c r="BF28" s="137" t="str">
        <f>IF(OR(AP28="",AP28="-"),"",IF(AP28&lt;=0.25,"Tipo 1 (≤0,25) uT",IF(AP28&lt;=0.5,"Tipo 2 (0,25-0,50) uT",IF(AP28&lt;=0.75,"Tipo 3 (0,50-0,75) uT","Tipo 4 (&gt;0,75) uT"))))</f>
        <v>Tipo 4 (&gt;0,75) uT</v>
      </c>
      <c r="BG28" s="137" t="str">
        <f>IF(OR(Q28="",Q28="-"),"",IF(Q28&lt;=0.25,"Tipo 1 (≤0,25) uT",IF(Q28&lt;=0.5,"Tipo 2 (0,25-0,50) uT",IF(Q28&lt;=0.75,"Tipo 3 (0,50-0,75) uT","Tipo 4 (&gt;0,75) uT"))))</f>
        <v>Tipo 2 (0,25-0,50) uT</v>
      </c>
    </row>
    <row r="29" spans="1:59" x14ac:dyDescent="0.3">
      <c r="A29" s="26">
        <v>46131</v>
      </c>
      <c r="B29" s="107">
        <v>6.25E-2</v>
      </c>
      <c r="C29" s="116">
        <v>548</v>
      </c>
      <c r="D29" s="116">
        <v>85</v>
      </c>
      <c r="E29" s="116">
        <v>527</v>
      </c>
      <c r="F29" s="116">
        <v>1214</v>
      </c>
      <c r="G29" s="10" t="s">
        <v>34</v>
      </c>
      <c r="H29" s="122">
        <v>3.6</v>
      </c>
      <c r="I29" s="116">
        <v>90</v>
      </c>
      <c r="J29" s="116">
        <v>90</v>
      </c>
      <c r="K29" s="116">
        <v>90</v>
      </c>
      <c r="L29" s="122">
        <v>23.8</v>
      </c>
      <c r="M29" s="122">
        <v>6.9</v>
      </c>
      <c r="N29" s="79">
        <v>3.96</v>
      </c>
      <c r="O29" s="116">
        <v>16</v>
      </c>
      <c r="P29" s="122">
        <v>9.9</v>
      </c>
      <c r="Q29" s="79">
        <v>0.37</v>
      </c>
      <c r="R29" s="79">
        <v>22.36</v>
      </c>
      <c r="S29" s="79">
        <v>0.88</v>
      </c>
      <c r="T29" s="79">
        <v>0.7</v>
      </c>
      <c r="U29" s="85"/>
      <c r="V29" s="79"/>
      <c r="W29" s="79"/>
      <c r="X29" s="116"/>
      <c r="Y29" s="116"/>
      <c r="Z29" s="122"/>
      <c r="AA29" s="116"/>
      <c r="AB29" s="122">
        <v>6.9</v>
      </c>
      <c r="AC29" s="122">
        <v>10.199999999999999</v>
      </c>
      <c r="AD29" s="10">
        <v>0.17</v>
      </c>
      <c r="AE29" s="79">
        <v>0.82</v>
      </c>
      <c r="AF29" s="79"/>
      <c r="AG29" s="79"/>
      <c r="AH29" s="79"/>
      <c r="AI29" s="116"/>
      <c r="AJ29" s="116"/>
      <c r="AK29" s="79"/>
      <c r="AL29" s="79"/>
      <c r="AM29" s="122">
        <v>6.9</v>
      </c>
      <c r="AN29" s="122">
        <v>11</v>
      </c>
      <c r="AO29" s="79">
        <v>0.18</v>
      </c>
      <c r="AP29" s="127">
        <v>0.92</v>
      </c>
      <c r="AQ29" s="132">
        <f t="shared" si="0"/>
        <v>1160</v>
      </c>
      <c r="AR29" s="134">
        <f t="shared" si="1"/>
        <v>0.47241379310344828</v>
      </c>
      <c r="AS29" s="134">
        <f t="shared" si="2"/>
        <v>7.3275862068965511E-2</v>
      </c>
      <c r="AT29" s="134">
        <f t="shared" si="3"/>
        <v>0.4543103448275862</v>
      </c>
      <c r="AU29" s="43" t="str">
        <f>IF(AND(F29&lt;&gt;"",Y29&lt;&gt;""),AA29/(F29/2/Y29),"")</f>
        <v/>
      </c>
      <c r="AV29" s="43" t="str">
        <f>IF(AND(F29&lt;&gt;"",AJ29&lt;&gt;""),AL29/(F29/2/AJ29),"")</f>
        <v/>
      </c>
      <c r="AW29" s="41">
        <f>IF(AND(AP29&lt;&gt;"",1-(AP29/N29)&gt;0),1-(AP29/N29),"")</f>
        <v>0.76767676767676762</v>
      </c>
      <c r="AX29" s="41">
        <f>IF(AND(AE29&lt;&gt;"",1-(AE29/N29)&gt;0),1-(AE29/N29),"")</f>
        <v>0.79292929292929293</v>
      </c>
      <c r="AY29" s="136" t="str">
        <f>IF(P29="","",IF(P29&lt;2.5,"Alc. Bruta &lt; 2,5 mg/L",IF(P29&lt;5,"2,5 ≤ Alc. Bruta &lt; 5,0 mg/L",IF(P29&lt;7.5,"5,0 ≤ Alc. Bruta &lt; 7,5 mg/L",IF(P29&lt;10,"7,5 ≤ Alc. Bruta &lt; 10,0 mg/L",IF(P29&lt;15,"10,0 ≤ Alca. Bruta &lt; 15,0 mg/L","Alc. Bruta &gt; 15 mg/L"))))))</f>
        <v>7,5 ≤ Alc. Bruta &lt; 10,0 mg/L</v>
      </c>
      <c r="AZ29" s="136" t="str">
        <f>IF(O29="","",IF(O29&lt;5,"Cor &lt;5 uC",IF(O29&lt;10,"5 ≤ Cor &lt; 10 uC",IF(O29&lt;15,"10 ≤ Cor &lt;15 uC",IF(O29&lt;30,"15 ≤ Cor &lt; 30 uC",IF(O29&lt;50,"30 ≤ Cor &lt; 50 uC","Cor &gt; 50 uC"))))))</f>
        <v>15 ≤ Cor &lt; 30 uC</v>
      </c>
      <c r="BA29" s="137" t="str">
        <f>IF(N29="","",IF(N29&lt;2.5,"Turbidez &lt; 2,5 uT",IF(N29&lt;5,"2,5 ≤ Turb &lt; 5,0 uT",IF(N29&lt;7.5,"5,0 ≤ Turb &lt; 7,5 uT",IF(N29&lt;10,"7,5 ≤ Turb &lt; 10,0 uT",IF(N29&lt;15,"10,0 ≤ Turb &lt; 15,0 uT","Turb &gt; 15 uT"))))))</f>
        <v>2,5 ≤ Turb &lt; 5,0 uT</v>
      </c>
      <c r="BB29" s="138" t="str">
        <f>IF(AND(C29&gt;D29,D29&gt;E29),"TOR &gt; SM &gt; BNN",IF(AND(C29&gt;E29,E29&gt;D29),"TOR &gt; BNN &gt; SM",IF(AND(D29&gt;C29,C29&gt;E29),"SM &gt; TOR &gt; BNN",IF(AND(D29&gt;E29,E29&gt;C29),"SM &gt; BNN &gt; TOR",IF(AND(C29=D29,D29=E29),"TOR = SM = BNN","Comb. diferentes")))))</f>
        <v>TOR &gt; BNN &gt; SM</v>
      </c>
      <c r="BC29" s="137" t="str">
        <f>IF(OR(AD29="",AP29="-"),"",IF(AD29&lt;=0.25,"Tipo 1 (≤0,25) uT",IF(AD29&lt;=0.5,"Tipo 2 (0,25-0,50) uT",IF(AD29&lt;=0.75,"Tipo 3 (0,50-0,75) uT","Tipo 4 (&gt;0,75) uT"))))</f>
        <v>Tipo 1 (≤0,25) uT</v>
      </c>
      <c r="BD29" s="137" t="str">
        <f>IF(OR(AO29="",AY29="-"),"",IF(AO29&lt;=0.25,"Tipo 1 (≤0,25) uT",IF(AO29&lt;=0.5,"Tipo 2 (0,25-0,50) uT",IF(AO29&lt;=0.75,"Tipo 3 (0,50-0,75) uT","Tipo 4 (&gt;0,75) uT"))))</f>
        <v>Tipo 1 (≤0,25) uT</v>
      </c>
      <c r="BE29" s="137" t="str">
        <f>IF(OR(AE29="",AP29="-"),"",IF(AE29&lt;=0.25,"Tipo 1 (≤0,25) uT",IF(AE29&lt;=0.5,"Tipo 2 (0,25-0,50) uT",IF(AE29&lt;=0.75,"Tipo 3 (0,50-0,75) uT","Tipo 4 (&gt;0,75) uT"))))</f>
        <v>Tipo 4 (&gt;0,75) uT</v>
      </c>
      <c r="BF29" s="137" t="str">
        <f>IF(OR(AP29="",AP29="-"),"",IF(AP29&lt;=0.25,"Tipo 1 (≤0,25) uT",IF(AP29&lt;=0.5,"Tipo 2 (0,25-0,50) uT",IF(AP29&lt;=0.75,"Tipo 3 (0,50-0,75) uT","Tipo 4 (&gt;0,75) uT"))))</f>
        <v>Tipo 4 (&gt;0,75) uT</v>
      </c>
      <c r="BG29" s="137" t="str">
        <f>IF(OR(Q29="",Q29="-"),"",IF(Q29&lt;=0.25,"Tipo 1 (≤0,25) uT",IF(Q29&lt;=0.5,"Tipo 2 (0,25-0,50) uT",IF(Q29&lt;=0.75,"Tipo 3 (0,50-0,75) uT","Tipo 4 (&gt;0,75) uT"))))</f>
        <v>Tipo 2 (0,25-0,50) uT</v>
      </c>
    </row>
    <row r="30" spans="1:59" x14ac:dyDescent="0.3">
      <c r="A30" s="26">
        <v>46131</v>
      </c>
      <c r="B30" s="107">
        <v>0.14583333333333334</v>
      </c>
      <c r="C30" s="116">
        <v>544</v>
      </c>
      <c r="D30" s="116">
        <v>86</v>
      </c>
      <c r="E30" s="116">
        <v>528</v>
      </c>
      <c r="F30" s="116">
        <v>1215</v>
      </c>
      <c r="G30" s="10" t="s">
        <v>34</v>
      </c>
      <c r="H30" s="122">
        <v>3.6</v>
      </c>
      <c r="I30" s="116">
        <v>90</v>
      </c>
      <c r="J30" s="116">
        <v>90</v>
      </c>
      <c r="K30" s="116">
        <v>90</v>
      </c>
      <c r="L30" s="122">
        <v>23.8</v>
      </c>
      <c r="M30" s="122">
        <v>6.8</v>
      </c>
      <c r="N30" s="79">
        <v>4.1100000000000003</v>
      </c>
      <c r="O30" s="116">
        <v>16</v>
      </c>
      <c r="P30" s="122">
        <v>13.3</v>
      </c>
      <c r="Q30" s="79">
        <v>0.32</v>
      </c>
      <c r="R30" s="79">
        <v>22.36</v>
      </c>
      <c r="S30" s="79">
        <v>0.88</v>
      </c>
      <c r="T30" s="79">
        <v>0.7</v>
      </c>
      <c r="U30" s="85"/>
      <c r="V30" s="79"/>
      <c r="W30" s="79"/>
      <c r="X30" s="116"/>
      <c r="Y30" s="116"/>
      <c r="Z30" s="122"/>
      <c r="AA30" s="116"/>
      <c r="AB30" s="122">
        <v>6.9</v>
      </c>
      <c r="AC30" s="122">
        <v>11.8</v>
      </c>
      <c r="AD30" s="10">
        <v>0.13</v>
      </c>
      <c r="AE30" s="79">
        <v>0.84</v>
      </c>
      <c r="AF30" s="79"/>
      <c r="AG30" s="79"/>
      <c r="AH30" s="79"/>
      <c r="AI30" s="116"/>
      <c r="AJ30" s="116"/>
      <c r="AK30" s="79"/>
      <c r="AL30" s="79"/>
      <c r="AM30" s="122">
        <v>6.9</v>
      </c>
      <c r="AN30" s="122">
        <v>15.4</v>
      </c>
      <c r="AO30" s="79">
        <v>0.17</v>
      </c>
      <c r="AP30" s="127">
        <v>0.89</v>
      </c>
      <c r="AQ30" s="132">
        <f t="shared" si="0"/>
        <v>1158</v>
      </c>
      <c r="AR30" s="134">
        <f t="shared" si="1"/>
        <v>0.46977547495682209</v>
      </c>
      <c r="AS30" s="134">
        <f t="shared" si="2"/>
        <v>7.426597582037997E-2</v>
      </c>
      <c r="AT30" s="134">
        <f t="shared" si="3"/>
        <v>0.45595854922279794</v>
      </c>
      <c r="AU30" s="43" t="str">
        <f>IF(AND(F30&lt;&gt;"",Y30&lt;&gt;""),AA30/(F30/2/Y30),"")</f>
        <v/>
      </c>
      <c r="AV30" s="43" t="str">
        <f>IF(AND(F30&lt;&gt;"",AJ30&lt;&gt;""),AL30/(F30/2/AJ30),"")</f>
        <v/>
      </c>
      <c r="AW30" s="41">
        <f>IF(AND(AP30&lt;&gt;"",1-(AP30/N30)&gt;0),1-(AP30/N30),"")</f>
        <v>0.78345498783454992</v>
      </c>
      <c r="AX30" s="41">
        <f>IF(AND(AE30&lt;&gt;"",1-(AE30/N30)&gt;0),1-(AE30/N30),"")</f>
        <v>0.79562043795620441</v>
      </c>
      <c r="AY30" s="136" t="str">
        <f>IF(P30="","",IF(P30&lt;2.5,"Alc. Bruta &lt; 2,5 mg/L",IF(P30&lt;5,"2,5 ≤ Alc. Bruta &lt; 5,0 mg/L",IF(P30&lt;7.5,"5,0 ≤ Alc. Bruta &lt; 7,5 mg/L",IF(P30&lt;10,"7,5 ≤ Alc. Bruta &lt; 10,0 mg/L",IF(P30&lt;15,"10,0 ≤ Alca. Bruta &lt; 15,0 mg/L","Alc. Bruta &gt; 15 mg/L"))))))</f>
        <v>10,0 ≤ Alca. Bruta &lt; 15,0 mg/L</v>
      </c>
      <c r="AZ30" s="136" t="str">
        <f>IF(O30="","",IF(O30&lt;5,"Cor &lt;5 uC",IF(O30&lt;10,"5 ≤ Cor &lt; 10 uC",IF(O30&lt;15,"10 ≤ Cor &lt;15 uC",IF(O30&lt;30,"15 ≤ Cor &lt; 30 uC",IF(O30&lt;50,"30 ≤ Cor &lt; 50 uC","Cor &gt; 50 uC"))))))</f>
        <v>15 ≤ Cor &lt; 30 uC</v>
      </c>
      <c r="BA30" s="137" t="str">
        <f>IF(N30="","",IF(N30&lt;2.5,"Turbidez &lt; 2,5 uT",IF(N30&lt;5,"2,5 ≤ Turb &lt; 5,0 uT",IF(N30&lt;7.5,"5,0 ≤ Turb &lt; 7,5 uT",IF(N30&lt;10,"7,5 ≤ Turb &lt; 10,0 uT",IF(N30&lt;15,"10,0 ≤ Turb &lt; 15,0 uT","Turb &gt; 15 uT"))))))</f>
        <v>2,5 ≤ Turb &lt; 5,0 uT</v>
      </c>
      <c r="BB30" s="138" t="str">
        <f>IF(AND(C30&gt;D30,D30&gt;E30),"TOR &gt; SM &gt; BNN",IF(AND(C30&gt;E30,E30&gt;D30),"TOR &gt; BNN &gt; SM",IF(AND(D30&gt;C30,C30&gt;E30),"SM &gt; TOR &gt; BNN",IF(AND(D30&gt;E30,E30&gt;C30),"SM &gt; BNN &gt; TOR",IF(AND(C30=D30,D30=E30),"TOR = SM = BNN","Comb. diferentes")))))</f>
        <v>TOR &gt; BNN &gt; SM</v>
      </c>
      <c r="BC30" s="137" t="str">
        <f>IF(OR(AD30="",AP30="-"),"",IF(AD30&lt;=0.25,"Tipo 1 (≤0,25) uT",IF(AD30&lt;=0.5,"Tipo 2 (0,25-0,50) uT",IF(AD30&lt;=0.75,"Tipo 3 (0,50-0,75) uT","Tipo 4 (&gt;0,75) uT"))))</f>
        <v>Tipo 1 (≤0,25) uT</v>
      </c>
      <c r="BD30" s="137" t="str">
        <f>IF(OR(AO30="",AY30="-"),"",IF(AO30&lt;=0.25,"Tipo 1 (≤0,25) uT",IF(AO30&lt;=0.5,"Tipo 2 (0,25-0,50) uT",IF(AO30&lt;=0.75,"Tipo 3 (0,50-0,75) uT","Tipo 4 (&gt;0,75) uT"))))</f>
        <v>Tipo 1 (≤0,25) uT</v>
      </c>
      <c r="BE30" s="137" t="str">
        <f>IF(OR(AE30="",AP30="-"),"",IF(AE30&lt;=0.25,"Tipo 1 (≤0,25) uT",IF(AE30&lt;=0.5,"Tipo 2 (0,25-0,50) uT",IF(AE30&lt;=0.75,"Tipo 3 (0,50-0,75) uT","Tipo 4 (&gt;0,75) uT"))))</f>
        <v>Tipo 4 (&gt;0,75) uT</v>
      </c>
      <c r="BF30" s="137" t="str">
        <f>IF(OR(AP30="",AP30="-"),"",IF(AP30&lt;=0.25,"Tipo 1 (≤0,25) uT",IF(AP30&lt;=0.5,"Tipo 2 (0,25-0,50) uT",IF(AP30&lt;=0.75,"Tipo 3 (0,50-0,75) uT","Tipo 4 (&gt;0,75) uT"))))</f>
        <v>Tipo 4 (&gt;0,75) uT</v>
      </c>
      <c r="BG30" s="137" t="str">
        <f>IF(OR(Q30="",Q30="-"),"",IF(Q30&lt;=0.25,"Tipo 1 (≤0,25) uT",IF(Q30&lt;=0.5,"Tipo 2 (0,25-0,50) uT",IF(Q30&lt;=0.75,"Tipo 3 (0,50-0,75) uT","Tipo 4 (&gt;0,75) uT"))))</f>
        <v>Tipo 2 (0,25-0,50) uT</v>
      </c>
    </row>
    <row r="31" spans="1:59" ht="15" thickBot="1" x14ac:dyDescent="0.35">
      <c r="A31" s="26">
        <v>46131</v>
      </c>
      <c r="B31" s="110">
        <v>0.22916666666666666</v>
      </c>
      <c r="C31" s="117">
        <v>532</v>
      </c>
      <c r="D31" s="117">
        <v>82</v>
      </c>
      <c r="E31" s="117">
        <v>527</v>
      </c>
      <c r="F31" s="117">
        <v>1269</v>
      </c>
      <c r="G31" s="11" t="s">
        <v>34</v>
      </c>
      <c r="H31" s="123">
        <v>3.6</v>
      </c>
      <c r="I31" s="116">
        <v>90</v>
      </c>
      <c r="J31" s="116">
        <v>90</v>
      </c>
      <c r="K31" s="116">
        <v>90</v>
      </c>
      <c r="L31" s="123">
        <v>23.8</v>
      </c>
      <c r="M31" s="123">
        <v>6.8</v>
      </c>
      <c r="N31" s="80">
        <v>4.33</v>
      </c>
      <c r="O31" s="117">
        <v>16</v>
      </c>
      <c r="P31" s="123">
        <v>6.1</v>
      </c>
      <c r="Q31" s="80">
        <v>0.85</v>
      </c>
      <c r="R31" s="79">
        <v>22.36</v>
      </c>
      <c r="S31" s="79">
        <v>0.88</v>
      </c>
      <c r="T31" s="79">
        <v>0.7</v>
      </c>
      <c r="U31" s="85"/>
      <c r="V31" s="84"/>
      <c r="W31" s="80"/>
      <c r="X31" s="117"/>
      <c r="Y31" s="117"/>
      <c r="Z31" s="123"/>
      <c r="AA31" s="117"/>
      <c r="AB31" s="123">
        <v>6.9</v>
      </c>
      <c r="AC31" s="123">
        <v>8.1</v>
      </c>
      <c r="AD31" s="11">
        <v>0.26</v>
      </c>
      <c r="AE31" s="80">
        <v>0.66</v>
      </c>
      <c r="AF31" s="80"/>
      <c r="AG31" s="80"/>
      <c r="AH31" s="80"/>
      <c r="AI31" s="117"/>
      <c r="AJ31" s="117"/>
      <c r="AK31" s="80"/>
      <c r="AL31" s="80"/>
      <c r="AM31" s="123">
        <v>7</v>
      </c>
      <c r="AN31" s="123">
        <v>8.4</v>
      </c>
      <c r="AO31" s="80">
        <v>0.16</v>
      </c>
      <c r="AP31" s="128">
        <v>1.68</v>
      </c>
      <c r="AQ31" s="132">
        <f t="shared" si="0"/>
        <v>1141</v>
      </c>
      <c r="AR31" s="134">
        <f t="shared" si="1"/>
        <v>0.46625766871165641</v>
      </c>
      <c r="AS31" s="134">
        <f t="shared" si="2"/>
        <v>7.1866783523225244E-2</v>
      </c>
      <c r="AT31" s="134">
        <f t="shared" si="3"/>
        <v>0.4618755477651183</v>
      </c>
      <c r="AU31" s="43" t="str">
        <f>IF(AND(F31&lt;&gt;"",Y31&lt;&gt;""),AA31/(F31/2/Y31),"")</f>
        <v/>
      </c>
      <c r="AV31" s="43" t="str">
        <f>IF(AND(F31&lt;&gt;"",AJ31&lt;&gt;""),AL31/(F31/2/AJ31),"")</f>
        <v/>
      </c>
      <c r="AW31" s="41">
        <f>IF(AND(AP31&lt;&gt;"",1-(AP31/N31)&gt;0),1-(AP31/N31),"")</f>
        <v>0.61200923787528871</v>
      </c>
      <c r="AX31" s="41">
        <f>IF(AND(AE31&lt;&gt;"",1-(AE31/N31)&gt;0),1-(AE31/N31),"")</f>
        <v>0.84757505773672048</v>
      </c>
      <c r="AY31" s="136" t="str">
        <f>IF(P31="","",IF(P31&lt;2.5,"Alc. Bruta &lt; 2,5 mg/L",IF(P31&lt;5,"2,5 ≤ Alc. Bruta &lt; 5,0 mg/L",IF(P31&lt;7.5,"5,0 ≤ Alc. Bruta &lt; 7,5 mg/L",IF(P31&lt;10,"7,5 ≤ Alc. Bruta &lt; 10,0 mg/L",IF(P31&lt;15,"10,0 ≤ Alca. Bruta &lt; 15,0 mg/L","Alc. Bruta &gt; 15 mg/L"))))))</f>
        <v>5,0 ≤ Alc. Bruta &lt; 7,5 mg/L</v>
      </c>
      <c r="AZ31" s="136" t="str">
        <f>IF(O31="","",IF(O31&lt;5,"Cor &lt;5 uC",IF(O31&lt;10,"5 ≤ Cor &lt; 10 uC",IF(O31&lt;15,"10 ≤ Cor &lt;15 uC",IF(O31&lt;30,"15 ≤ Cor &lt; 30 uC",IF(O31&lt;50,"30 ≤ Cor &lt; 50 uC","Cor &gt; 50 uC"))))))</f>
        <v>15 ≤ Cor &lt; 30 uC</v>
      </c>
      <c r="BA31" s="137" t="str">
        <f>IF(N31="","",IF(N31&lt;2.5,"Turbidez &lt; 2,5 uT",IF(N31&lt;5,"2,5 ≤ Turb &lt; 5,0 uT",IF(N31&lt;7.5,"5,0 ≤ Turb &lt; 7,5 uT",IF(N31&lt;10,"7,5 ≤ Turb &lt; 10,0 uT",IF(N31&lt;15,"10,0 ≤ Turb &lt; 15,0 uT","Turb &gt; 15 uT"))))))</f>
        <v>2,5 ≤ Turb &lt; 5,0 uT</v>
      </c>
      <c r="BB31" s="138" t="str">
        <f>IF(AND(C31&gt;D31,D31&gt;E31),"TOR &gt; SM &gt; BNN",IF(AND(C31&gt;E31,E31&gt;D31),"TOR &gt; BNN &gt; SM",IF(AND(D31&gt;C31,C31&gt;E31),"SM &gt; TOR &gt; BNN",IF(AND(D31&gt;E31,E31&gt;C31),"SM &gt; BNN &gt; TOR",IF(AND(C31=D31,D31=E31),"TOR = SM = BNN","Comb. diferentes")))))</f>
        <v>TOR &gt; BNN &gt; SM</v>
      </c>
      <c r="BC31" s="137" t="str">
        <f>IF(OR(AD31="",AP31="-"),"",IF(AD31&lt;=0.25,"Tipo 1 (≤0,25) uT",IF(AD31&lt;=0.5,"Tipo 2 (0,25-0,50) uT",IF(AD31&lt;=0.75,"Tipo 3 (0,50-0,75) uT","Tipo 4 (&gt;0,75) uT"))))</f>
        <v>Tipo 2 (0,25-0,50) uT</v>
      </c>
      <c r="BD31" s="137" t="str">
        <f>IF(OR(AO31="",AY31="-"),"",IF(AO31&lt;=0.25,"Tipo 1 (≤0,25) uT",IF(AO31&lt;=0.5,"Tipo 2 (0,25-0,50) uT",IF(AO31&lt;=0.75,"Tipo 3 (0,50-0,75) uT","Tipo 4 (&gt;0,75) uT"))))</f>
        <v>Tipo 1 (≤0,25) uT</v>
      </c>
      <c r="BE31" s="137" t="str">
        <f>IF(OR(AE31="",AP31="-"),"",IF(AE31&lt;=0.25,"Tipo 1 (≤0,25) uT",IF(AE31&lt;=0.5,"Tipo 2 (0,25-0,50) uT",IF(AE31&lt;=0.75,"Tipo 3 (0,50-0,75) uT","Tipo 4 (&gt;0,75) uT"))))</f>
        <v>Tipo 3 (0,50-0,75) uT</v>
      </c>
      <c r="BF31" s="137" t="str">
        <f>IF(OR(AP31="",AP31="-"),"",IF(AP31&lt;=0.25,"Tipo 1 (≤0,25) uT",IF(AP31&lt;=0.5,"Tipo 2 (0,25-0,50) uT",IF(AP31&lt;=0.75,"Tipo 3 (0,50-0,75) uT","Tipo 4 (&gt;0,75) uT"))))</f>
        <v>Tipo 4 (&gt;0,75) uT</v>
      </c>
      <c r="BG31" s="137" t="str">
        <f>IF(OR(Q31="",Q31="-"),"",IF(Q31&lt;=0.25,"Tipo 1 (≤0,25) uT",IF(Q31&lt;=0.5,"Tipo 2 (0,25-0,50) uT",IF(Q31&lt;=0.75,"Tipo 3 (0,50-0,75) uT","Tipo 4 (&gt;0,75) uT"))))</f>
        <v>Tipo 4 (&gt;0,75) uT</v>
      </c>
    </row>
    <row r="32" spans="1:59" x14ac:dyDescent="0.3">
      <c r="A32" s="26">
        <v>46131</v>
      </c>
      <c r="B32" s="111">
        <v>0.3125</v>
      </c>
      <c r="C32" s="118">
        <v>560</v>
      </c>
      <c r="D32" s="118">
        <v>87</v>
      </c>
      <c r="E32" s="118">
        <v>525</v>
      </c>
      <c r="F32" s="118">
        <v>1210</v>
      </c>
      <c r="G32" s="9" t="s">
        <v>34</v>
      </c>
      <c r="H32" s="124">
        <v>3.6</v>
      </c>
      <c r="I32" s="118">
        <v>90</v>
      </c>
      <c r="J32" s="118">
        <v>90</v>
      </c>
      <c r="K32" s="118">
        <v>90</v>
      </c>
      <c r="L32" s="124">
        <v>23.6</v>
      </c>
      <c r="M32" s="124">
        <v>6.8</v>
      </c>
      <c r="N32" s="81">
        <v>4.2699999999999996</v>
      </c>
      <c r="O32" s="118">
        <v>20</v>
      </c>
      <c r="P32" s="124">
        <v>9.1999999999999993</v>
      </c>
      <c r="Q32" s="81">
        <v>0.26</v>
      </c>
      <c r="R32" s="79">
        <v>22.36</v>
      </c>
      <c r="S32" s="79">
        <v>0.88</v>
      </c>
      <c r="T32" s="79">
        <v>0.7</v>
      </c>
      <c r="U32" s="85"/>
      <c r="V32" s="82"/>
      <c r="W32" s="81"/>
      <c r="X32" s="118"/>
      <c r="Y32" s="118"/>
      <c r="Z32" s="124"/>
      <c r="AA32" s="118"/>
      <c r="AB32" s="124">
        <v>6.9</v>
      </c>
      <c r="AC32" s="124">
        <v>10.8</v>
      </c>
      <c r="AD32" s="9">
        <v>0.18</v>
      </c>
      <c r="AE32" s="81">
        <v>0.83</v>
      </c>
      <c r="AF32" s="81"/>
      <c r="AG32" s="81"/>
      <c r="AH32" s="81"/>
      <c r="AI32" s="118"/>
      <c r="AJ32" s="118"/>
      <c r="AK32" s="81"/>
      <c r="AL32" s="81"/>
      <c r="AM32" s="124">
        <v>6.9</v>
      </c>
      <c r="AN32" s="124">
        <v>10.199999999999999</v>
      </c>
      <c r="AO32" s="81">
        <v>0.13</v>
      </c>
      <c r="AP32" s="129">
        <v>0.99</v>
      </c>
      <c r="AQ32" s="132">
        <f t="shared" si="0"/>
        <v>1172</v>
      </c>
      <c r="AR32" s="134">
        <f t="shared" si="1"/>
        <v>0.47781569965870307</v>
      </c>
      <c r="AS32" s="134">
        <f t="shared" si="2"/>
        <v>7.4232081911262793E-2</v>
      </c>
      <c r="AT32" s="134">
        <f t="shared" si="3"/>
        <v>0.44795221843003413</v>
      </c>
      <c r="AU32" s="43" t="str">
        <f>IF(AND(F32&lt;&gt;"",Y32&lt;&gt;""),AA32/(F32/2/Y32),"")</f>
        <v/>
      </c>
      <c r="AV32" s="43" t="str">
        <f>IF(AND(F32&lt;&gt;"",AJ32&lt;&gt;""),AL32/(F32/2/AJ32),"")</f>
        <v/>
      </c>
      <c r="AW32" s="41">
        <f>IF(AND(AP32&lt;&gt;"",1-(AP32/N32)&gt;0),1-(AP32/N32),"")</f>
        <v>0.76814988290398123</v>
      </c>
      <c r="AX32" s="41">
        <f>IF(AND(AE32&lt;&gt;"",1-(AE32/N32)&gt;0),1-(AE32/N32),"")</f>
        <v>0.80562060889929743</v>
      </c>
      <c r="AY32" s="136" t="str">
        <f>IF(P32="","",IF(P32&lt;2.5,"Alc. Bruta &lt; 2,5 mg/L",IF(P32&lt;5,"2,5 ≤ Alc. Bruta &lt; 5,0 mg/L",IF(P32&lt;7.5,"5,0 ≤ Alc. Bruta &lt; 7,5 mg/L",IF(P32&lt;10,"7,5 ≤ Alc. Bruta &lt; 10,0 mg/L",IF(P32&lt;15,"10,0 ≤ Alca. Bruta &lt; 15,0 mg/L","Alc. Bruta &gt; 15 mg/L"))))))</f>
        <v>7,5 ≤ Alc. Bruta &lt; 10,0 mg/L</v>
      </c>
      <c r="AZ32" s="136" t="str">
        <f>IF(O32="","",IF(O32&lt;5,"Cor &lt;5 uC",IF(O32&lt;10,"5 ≤ Cor &lt; 10 uC",IF(O32&lt;15,"10 ≤ Cor &lt;15 uC",IF(O32&lt;30,"15 ≤ Cor &lt; 30 uC",IF(O32&lt;50,"30 ≤ Cor &lt; 50 uC","Cor &gt; 50 uC"))))))</f>
        <v>15 ≤ Cor &lt; 30 uC</v>
      </c>
      <c r="BA32" s="137" t="str">
        <f>IF(N32="","",IF(N32&lt;2.5,"Turbidez &lt; 2,5 uT",IF(N32&lt;5,"2,5 ≤ Turb &lt; 5,0 uT",IF(N32&lt;7.5,"5,0 ≤ Turb &lt; 7,5 uT",IF(N32&lt;10,"7,5 ≤ Turb &lt; 10,0 uT",IF(N32&lt;15,"10,0 ≤ Turb &lt; 15,0 uT","Turb &gt; 15 uT"))))))</f>
        <v>2,5 ≤ Turb &lt; 5,0 uT</v>
      </c>
      <c r="BB32" s="138" t="str">
        <f>IF(AND(C32&gt;D32,D32&gt;E32),"TOR &gt; SM &gt; BNN",IF(AND(C32&gt;E32,E32&gt;D32),"TOR &gt; BNN &gt; SM",IF(AND(D32&gt;C32,C32&gt;E32),"SM &gt; TOR &gt; BNN",IF(AND(D32&gt;E32,E32&gt;C32),"SM &gt; BNN &gt; TOR",IF(AND(C32=D32,D32=E32),"TOR = SM = BNN","Comb. diferentes")))))</f>
        <v>TOR &gt; BNN &gt; SM</v>
      </c>
      <c r="BC32" s="137" t="str">
        <f>IF(OR(AD32="",AP32="-"),"",IF(AD32&lt;=0.25,"Tipo 1 (≤0,25) uT",IF(AD32&lt;=0.5,"Tipo 2 (0,25-0,50) uT",IF(AD32&lt;=0.75,"Tipo 3 (0,50-0,75) uT","Tipo 4 (&gt;0,75) uT"))))</f>
        <v>Tipo 1 (≤0,25) uT</v>
      </c>
      <c r="BD32" s="137" t="str">
        <f>IF(OR(AO32="",AY32="-"),"",IF(AO32&lt;=0.25,"Tipo 1 (≤0,25) uT",IF(AO32&lt;=0.5,"Tipo 2 (0,25-0,50) uT",IF(AO32&lt;=0.75,"Tipo 3 (0,50-0,75) uT","Tipo 4 (&gt;0,75) uT"))))</f>
        <v>Tipo 1 (≤0,25) uT</v>
      </c>
      <c r="BE32" s="137" t="str">
        <f>IF(OR(AE32="",AP32="-"),"",IF(AE32&lt;=0.25,"Tipo 1 (≤0,25) uT",IF(AE32&lt;=0.5,"Tipo 2 (0,25-0,50) uT",IF(AE32&lt;=0.75,"Tipo 3 (0,50-0,75) uT","Tipo 4 (&gt;0,75) uT"))))</f>
        <v>Tipo 4 (&gt;0,75) uT</v>
      </c>
      <c r="BF32" s="137" t="str">
        <f>IF(OR(AP32="",AP32="-"),"",IF(AP32&lt;=0.25,"Tipo 1 (≤0,25) uT",IF(AP32&lt;=0.5,"Tipo 2 (0,25-0,50) uT",IF(AP32&lt;=0.75,"Tipo 3 (0,50-0,75) uT","Tipo 4 (&gt;0,75) uT"))))</f>
        <v>Tipo 4 (&gt;0,75) uT</v>
      </c>
      <c r="BG32" s="137" t="str">
        <f>IF(OR(Q32="",Q32="-"),"",IF(Q32&lt;=0.25,"Tipo 1 (≤0,25) uT",IF(Q32&lt;=0.5,"Tipo 2 (0,25-0,50) uT",IF(Q32&lt;=0.75,"Tipo 3 (0,50-0,75) uT","Tipo 4 (&gt;0,75) uT"))))</f>
        <v>Tipo 2 (0,25-0,50) uT</v>
      </c>
    </row>
    <row r="33" spans="1:59" x14ac:dyDescent="0.3">
      <c r="A33" s="26">
        <v>46131</v>
      </c>
      <c r="B33" s="107">
        <v>0.39583333333333331</v>
      </c>
      <c r="C33" s="116">
        <v>530</v>
      </c>
      <c r="D33" s="116">
        <v>82</v>
      </c>
      <c r="E33" s="116">
        <v>528</v>
      </c>
      <c r="F33" s="116">
        <v>1166</v>
      </c>
      <c r="G33" s="10" t="s">
        <v>34</v>
      </c>
      <c r="H33" s="122">
        <v>3.6</v>
      </c>
      <c r="I33" s="116">
        <v>90</v>
      </c>
      <c r="J33" s="116">
        <v>90</v>
      </c>
      <c r="K33" s="116">
        <v>90</v>
      </c>
      <c r="L33" s="122">
        <v>23.8</v>
      </c>
      <c r="M33" s="122">
        <v>6.8</v>
      </c>
      <c r="N33" s="79">
        <v>4.76</v>
      </c>
      <c r="O33" s="116">
        <v>17</v>
      </c>
      <c r="P33" s="122">
        <v>14.1</v>
      </c>
      <c r="Q33" s="79">
        <v>0.25</v>
      </c>
      <c r="R33" s="79">
        <v>22.36</v>
      </c>
      <c r="S33" s="79">
        <v>0.88</v>
      </c>
      <c r="T33" s="79">
        <v>0.7</v>
      </c>
      <c r="U33" s="85"/>
      <c r="V33" s="79"/>
      <c r="W33" s="79"/>
      <c r="X33" s="116"/>
      <c r="Y33" s="116"/>
      <c r="Z33" s="122"/>
      <c r="AA33" s="116"/>
      <c r="AB33" s="122">
        <v>7</v>
      </c>
      <c r="AC33" s="122">
        <v>15</v>
      </c>
      <c r="AD33" s="10">
        <v>0.15</v>
      </c>
      <c r="AE33" s="79">
        <v>0.77</v>
      </c>
      <c r="AF33" s="79"/>
      <c r="AG33" s="79"/>
      <c r="AH33" s="79"/>
      <c r="AI33" s="116"/>
      <c r="AJ33" s="116"/>
      <c r="AK33" s="79"/>
      <c r="AL33" s="79"/>
      <c r="AM33" s="122">
        <v>7</v>
      </c>
      <c r="AN33" s="122">
        <v>10.5</v>
      </c>
      <c r="AO33" s="79">
        <v>0.13</v>
      </c>
      <c r="AP33" s="127">
        <v>0.84</v>
      </c>
      <c r="AQ33" s="132">
        <f t="shared" si="0"/>
        <v>1140</v>
      </c>
      <c r="AR33" s="134">
        <f t="shared" si="1"/>
        <v>0.46491228070175439</v>
      </c>
      <c r="AS33" s="134">
        <f t="shared" si="2"/>
        <v>7.192982456140351E-2</v>
      </c>
      <c r="AT33" s="134">
        <f t="shared" si="3"/>
        <v>0.4631578947368421</v>
      </c>
      <c r="AU33" s="43" t="str">
        <f>IF(AND(F33&lt;&gt;"",Y33&lt;&gt;""),AA33/(F33/2/Y33),"")</f>
        <v/>
      </c>
      <c r="AV33" s="43" t="str">
        <f>IF(AND(F33&lt;&gt;"",AJ33&lt;&gt;""),AL33/(F33/2/AJ33),"")</f>
        <v/>
      </c>
      <c r="AW33" s="41">
        <f>IF(AND(AP33&lt;&gt;"",1-(AP33/N33)&gt;0),1-(AP33/N33),"")</f>
        <v>0.82352941176470584</v>
      </c>
      <c r="AX33" s="41">
        <f>IF(AND(AE33&lt;&gt;"",1-(AE33/N33)&gt;0),1-(AE33/N33),"")</f>
        <v>0.83823529411764708</v>
      </c>
      <c r="AY33" s="136" t="str">
        <f>IF(P33="","",IF(P33&lt;2.5,"Alc. Bruta &lt; 2,5 mg/L",IF(P33&lt;5,"2,5 ≤ Alc. Bruta &lt; 5,0 mg/L",IF(P33&lt;7.5,"5,0 ≤ Alc. Bruta &lt; 7,5 mg/L",IF(P33&lt;10,"7,5 ≤ Alc. Bruta &lt; 10,0 mg/L",IF(P33&lt;15,"10,0 ≤ Alca. Bruta &lt; 15,0 mg/L","Alc. Bruta &gt; 15 mg/L"))))))</f>
        <v>10,0 ≤ Alca. Bruta &lt; 15,0 mg/L</v>
      </c>
      <c r="AZ33" s="136" t="str">
        <f>IF(O33="","",IF(O33&lt;5,"Cor &lt;5 uC",IF(O33&lt;10,"5 ≤ Cor &lt; 10 uC",IF(O33&lt;15,"10 ≤ Cor &lt;15 uC",IF(O33&lt;30,"15 ≤ Cor &lt; 30 uC",IF(O33&lt;50,"30 ≤ Cor &lt; 50 uC","Cor &gt; 50 uC"))))))</f>
        <v>15 ≤ Cor &lt; 30 uC</v>
      </c>
      <c r="BA33" s="137" t="str">
        <f>IF(N33="","",IF(N33&lt;2.5,"Turbidez &lt; 2,5 uT",IF(N33&lt;5,"2,5 ≤ Turb &lt; 5,0 uT",IF(N33&lt;7.5,"5,0 ≤ Turb &lt; 7,5 uT",IF(N33&lt;10,"7,5 ≤ Turb &lt; 10,0 uT",IF(N33&lt;15,"10,0 ≤ Turb &lt; 15,0 uT","Turb &gt; 15 uT"))))))</f>
        <v>2,5 ≤ Turb &lt; 5,0 uT</v>
      </c>
      <c r="BB33" s="138" t="str">
        <f>IF(AND(C33&gt;D33,D33&gt;E33),"TOR &gt; SM &gt; BNN",IF(AND(C33&gt;E33,E33&gt;D33),"TOR &gt; BNN &gt; SM",IF(AND(D33&gt;C33,C33&gt;E33),"SM &gt; TOR &gt; BNN",IF(AND(D33&gt;E33,E33&gt;C33),"SM &gt; BNN &gt; TOR",IF(AND(C33=D33,D33=E33),"TOR = SM = BNN","Comb. diferentes")))))</f>
        <v>TOR &gt; BNN &gt; SM</v>
      </c>
      <c r="BC33" s="137" t="str">
        <f>IF(OR(AD33="",AP33="-"),"",IF(AD33&lt;=0.25,"Tipo 1 (≤0,25) uT",IF(AD33&lt;=0.5,"Tipo 2 (0,25-0,50) uT",IF(AD33&lt;=0.75,"Tipo 3 (0,50-0,75) uT","Tipo 4 (&gt;0,75) uT"))))</f>
        <v>Tipo 1 (≤0,25) uT</v>
      </c>
      <c r="BD33" s="137" t="str">
        <f>IF(OR(AO33="",AY33="-"),"",IF(AO33&lt;=0.25,"Tipo 1 (≤0,25) uT",IF(AO33&lt;=0.5,"Tipo 2 (0,25-0,50) uT",IF(AO33&lt;=0.75,"Tipo 3 (0,50-0,75) uT","Tipo 4 (&gt;0,75) uT"))))</f>
        <v>Tipo 1 (≤0,25) uT</v>
      </c>
      <c r="BE33" s="137" t="str">
        <f>IF(OR(AE33="",AP33="-"),"",IF(AE33&lt;=0.25,"Tipo 1 (≤0,25) uT",IF(AE33&lt;=0.5,"Tipo 2 (0,25-0,50) uT",IF(AE33&lt;=0.75,"Tipo 3 (0,50-0,75) uT","Tipo 4 (&gt;0,75) uT"))))</f>
        <v>Tipo 4 (&gt;0,75) uT</v>
      </c>
      <c r="BF33" s="137" t="str">
        <f>IF(OR(AP33="",AP33="-"),"",IF(AP33&lt;=0.25,"Tipo 1 (≤0,25) uT",IF(AP33&lt;=0.5,"Tipo 2 (0,25-0,50) uT",IF(AP33&lt;=0.75,"Tipo 3 (0,50-0,75) uT","Tipo 4 (&gt;0,75) uT"))))</f>
        <v>Tipo 4 (&gt;0,75) uT</v>
      </c>
      <c r="BG33" s="137" t="str">
        <f>IF(OR(Q33="",Q33="-"),"",IF(Q33&lt;=0.25,"Tipo 1 (≤0,25) uT",IF(Q33&lt;=0.5,"Tipo 2 (0,25-0,50) uT",IF(Q33&lt;=0.75,"Tipo 3 (0,50-0,75) uT","Tipo 4 (&gt;0,75) uT"))))</f>
        <v>Tipo 1 (≤0,25) uT</v>
      </c>
    </row>
    <row r="34" spans="1:59" x14ac:dyDescent="0.3">
      <c r="A34" s="26">
        <v>46131</v>
      </c>
      <c r="B34" s="107">
        <v>0.47916666666666669</v>
      </c>
      <c r="C34" s="116">
        <v>551</v>
      </c>
      <c r="D34" s="116">
        <v>82</v>
      </c>
      <c r="E34" s="116">
        <v>528</v>
      </c>
      <c r="F34" s="116">
        <v>1164</v>
      </c>
      <c r="G34" s="10" t="s">
        <v>34</v>
      </c>
      <c r="H34" s="122">
        <v>3.6</v>
      </c>
      <c r="I34" s="116">
        <v>90</v>
      </c>
      <c r="J34" s="116">
        <v>90</v>
      </c>
      <c r="K34" s="116">
        <v>90</v>
      </c>
      <c r="L34" s="122">
        <v>24.2</v>
      </c>
      <c r="M34" s="122">
        <v>6.8</v>
      </c>
      <c r="N34" s="79">
        <v>3.85</v>
      </c>
      <c r="O34" s="116">
        <v>15</v>
      </c>
      <c r="P34" s="122">
        <v>12.2</v>
      </c>
      <c r="Q34" s="79">
        <v>0.21</v>
      </c>
      <c r="R34" s="79">
        <v>22.36</v>
      </c>
      <c r="S34" s="79">
        <v>0.88</v>
      </c>
      <c r="T34" s="79">
        <v>0.7</v>
      </c>
      <c r="U34" s="85"/>
      <c r="V34" s="79"/>
      <c r="W34" s="79"/>
      <c r="X34" s="116"/>
      <c r="Y34" s="116"/>
      <c r="Z34" s="122"/>
      <c r="AA34" s="116"/>
      <c r="AB34" s="122">
        <v>6.9</v>
      </c>
      <c r="AC34" s="122">
        <v>15</v>
      </c>
      <c r="AD34" s="10">
        <v>0.18</v>
      </c>
      <c r="AE34" s="79">
        <v>0.72</v>
      </c>
      <c r="AF34" s="79"/>
      <c r="AG34" s="79"/>
      <c r="AH34" s="79"/>
      <c r="AI34" s="116"/>
      <c r="AJ34" s="116"/>
      <c r="AK34" s="79"/>
      <c r="AL34" s="79"/>
      <c r="AM34" s="122">
        <v>6.9</v>
      </c>
      <c r="AN34" s="122">
        <v>13.2</v>
      </c>
      <c r="AO34" s="79">
        <v>0.19</v>
      </c>
      <c r="AP34" s="127">
        <v>0.75</v>
      </c>
      <c r="AQ34" s="132">
        <f t="shared" si="0"/>
        <v>1161</v>
      </c>
      <c r="AR34" s="134">
        <f t="shared" si="1"/>
        <v>0.47459086993970717</v>
      </c>
      <c r="AS34" s="134">
        <f t="shared" si="2"/>
        <v>7.0628768303186915E-2</v>
      </c>
      <c r="AT34" s="134">
        <f t="shared" si="3"/>
        <v>0.45478036175710596</v>
      </c>
      <c r="AU34" s="43" t="str">
        <f>IF(AND(F34&lt;&gt;"",Y34&lt;&gt;""),AA34/(F34/2/Y34),"")</f>
        <v/>
      </c>
      <c r="AV34" s="43" t="str">
        <f>IF(AND(F34&lt;&gt;"",AJ34&lt;&gt;""),AL34/(F34/2/AJ34),"")</f>
        <v/>
      </c>
      <c r="AW34" s="41">
        <f>IF(AND(AP34&lt;&gt;"",1-(AP34/N34)&gt;0),1-(AP34/N34),"")</f>
        <v>0.80519480519480524</v>
      </c>
      <c r="AX34" s="41">
        <f>IF(AND(AE34&lt;&gt;"",1-(AE34/N34)&gt;0),1-(AE34/N34),"")</f>
        <v>0.81298701298701304</v>
      </c>
      <c r="AY34" s="136" t="str">
        <f>IF(P34="","",IF(P34&lt;2.5,"Alc. Bruta &lt; 2,5 mg/L",IF(P34&lt;5,"2,5 ≤ Alc. Bruta &lt; 5,0 mg/L",IF(P34&lt;7.5,"5,0 ≤ Alc. Bruta &lt; 7,5 mg/L",IF(P34&lt;10,"7,5 ≤ Alc. Bruta &lt; 10,0 mg/L",IF(P34&lt;15,"10,0 ≤ Alca. Bruta &lt; 15,0 mg/L","Alc. Bruta &gt; 15 mg/L"))))))</f>
        <v>10,0 ≤ Alca. Bruta &lt; 15,0 mg/L</v>
      </c>
      <c r="AZ34" s="136" t="str">
        <f>IF(O34="","",IF(O34&lt;5,"Cor &lt;5 uC",IF(O34&lt;10,"5 ≤ Cor &lt; 10 uC",IF(O34&lt;15,"10 ≤ Cor &lt;15 uC",IF(O34&lt;30,"15 ≤ Cor &lt; 30 uC",IF(O34&lt;50,"30 ≤ Cor &lt; 50 uC","Cor &gt; 50 uC"))))))</f>
        <v>15 ≤ Cor &lt; 30 uC</v>
      </c>
      <c r="BA34" s="137" t="str">
        <f>IF(N34="","",IF(N34&lt;2.5,"Turbidez &lt; 2,5 uT",IF(N34&lt;5,"2,5 ≤ Turb &lt; 5,0 uT",IF(N34&lt;7.5,"5,0 ≤ Turb &lt; 7,5 uT",IF(N34&lt;10,"7,5 ≤ Turb &lt; 10,0 uT",IF(N34&lt;15,"10,0 ≤ Turb &lt; 15,0 uT","Turb &gt; 15 uT"))))))</f>
        <v>2,5 ≤ Turb &lt; 5,0 uT</v>
      </c>
      <c r="BB34" s="138" t="str">
        <f>IF(AND(C34&gt;D34,D34&gt;E34),"TOR &gt; SM &gt; BNN",IF(AND(C34&gt;E34,E34&gt;D34),"TOR &gt; BNN &gt; SM",IF(AND(D34&gt;C34,C34&gt;E34),"SM &gt; TOR &gt; BNN",IF(AND(D34&gt;E34,E34&gt;C34),"SM &gt; BNN &gt; TOR",IF(AND(C34=D34,D34=E34),"TOR = SM = BNN","Comb. diferentes")))))</f>
        <v>TOR &gt; BNN &gt; SM</v>
      </c>
      <c r="BC34" s="137" t="str">
        <f>IF(OR(AD34="",AP34="-"),"",IF(AD34&lt;=0.25,"Tipo 1 (≤0,25) uT",IF(AD34&lt;=0.5,"Tipo 2 (0,25-0,50) uT",IF(AD34&lt;=0.75,"Tipo 3 (0,50-0,75) uT","Tipo 4 (&gt;0,75) uT"))))</f>
        <v>Tipo 1 (≤0,25) uT</v>
      </c>
      <c r="BD34" s="137" t="str">
        <f>IF(OR(AO34="",AY34="-"),"",IF(AO34&lt;=0.25,"Tipo 1 (≤0,25) uT",IF(AO34&lt;=0.5,"Tipo 2 (0,25-0,50) uT",IF(AO34&lt;=0.75,"Tipo 3 (0,50-0,75) uT","Tipo 4 (&gt;0,75) uT"))))</f>
        <v>Tipo 1 (≤0,25) uT</v>
      </c>
      <c r="BE34" s="137" t="str">
        <f>IF(OR(AE34="",AP34="-"),"",IF(AE34&lt;=0.25,"Tipo 1 (≤0,25) uT",IF(AE34&lt;=0.5,"Tipo 2 (0,25-0,50) uT",IF(AE34&lt;=0.75,"Tipo 3 (0,50-0,75) uT","Tipo 4 (&gt;0,75) uT"))))</f>
        <v>Tipo 3 (0,50-0,75) uT</v>
      </c>
      <c r="BF34" s="137" t="str">
        <f>IF(OR(AP34="",AP34="-"),"",IF(AP34&lt;=0.25,"Tipo 1 (≤0,25) uT",IF(AP34&lt;=0.5,"Tipo 2 (0,25-0,50) uT",IF(AP34&lt;=0.75,"Tipo 3 (0,50-0,75) uT","Tipo 4 (&gt;0,75) uT"))))</f>
        <v>Tipo 3 (0,50-0,75) uT</v>
      </c>
      <c r="BG34" s="137" t="str">
        <f>IF(OR(Q34="",Q34="-"),"",IF(Q34&lt;=0.25,"Tipo 1 (≤0,25) uT",IF(Q34&lt;=0.5,"Tipo 2 (0,25-0,50) uT",IF(Q34&lt;=0.75,"Tipo 3 (0,50-0,75) uT","Tipo 4 (&gt;0,75) uT"))))</f>
        <v>Tipo 1 (≤0,25) uT</v>
      </c>
    </row>
    <row r="35" spans="1:59" x14ac:dyDescent="0.3">
      <c r="A35" s="26">
        <v>46131</v>
      </c>
      <c r="B35" s="107">
        <v>0.64583333333333337</v>
      </c>
      <c r="C35" s="116">
        <v>542</v>
      </c>
      <c r="D35" s="116">
        <v>89</v>
      </c>
      <c r="E35" s="116">
        <v>528</v>
      </c>
      <c r="F35" s="116">
        <v>1249</v>
      </c>
      <c r="G35" s="10" t="s">
        <v>34</v>
      </c>
      <c r="H35" s="122">
        <v>3.6</v>
      </c>
      <c r="I35" s="116">
        <v>90</v>
      </c>
      <c r="J35" s="116">
        <v>90</v>
      </c>
      <c r="K35" s="116">
        <v>90</v>
      </c>
      <c r="L35" s="122">
        <v>26.1</v>
      </c>
      <c r="M35" s="122">
        <v>6.9</v>
      </c>
      <c r="N35" s="79">
        <v>4.41</v>
      </c>
      <c r="O35" s="116">
        <v>16</v>
      </c>
      <c r="P35" s="122">
        <v>9.8000000000000007</v>
      </c>
      <c r="Q35" s="79">
        <v>0.25</v>
      </c>
      <c r="R35" s="79">
        <v>22.36</v>
      </c>
      <c r="S35" s="79">
        <v>0.88</v>
      </c>
      <c r="T35" s="79">
        <v>0.7</v>
      </c>
      <c r="U35" s="85"/>
      <c r="V35" s="79"/>
      <c r="W35" s="79"/>
      <c r="X35" s="116"/>
      <c r="Y35" s="116"/>
      <c r="Z35" s="122"/>
      <c r="AA35" s="116"/>
      <c r="AB35" s="122">
        <v>6.9</v>
      </c>
      <c r="AC35" s="122">
        <v>10.3</v>
      </c>
      <c r="AD35" s="10">
        <v>0.36</v>
      </c>
      <c r="AE35" s="79">
        <v>0.7</v>
      </c>
      <c r="AF35" s="79"/>
      <c r="AG35" s="79"/>
      <c r="AH35" s="79"/>
      <c r="AI35" s="116"/>
      <c r="AJ35" s="116"/>
      <c r="AK35" s="79"/>
      <c r="AL35" s="79"/>
      <c r="AM35" s="122">
        <v>7</v>
      </c>
      <c r="AN35" s="122">
        <v>10.4</v>
      </c>
      <c r="AO35" s="79">
        <v>0.34</v>
      </c>
      <c r="AP35" s="127">
        <v>0.68</v>
      </c>
      <c r="AQ35" s="132">
        <f t="shared" si="0"/>
        <v>1159</v>
      </c>
      <c r="AR35" s="134">
        <f t="shared" si="1"/>
        <v>0.46764452113891286</v>
      </c>
      <c r="AS35" s="134">
        <f t="shared" si="2"/>
        <v>7.6790336496980152E-2</v>
      </c>
      <c r="AT35" s="134">
        <f t="shared" si="3"/>
        <v>0.455565142364107</v>
      </c>
      <c r="AU35" s="43" t="str">
        <f>IF(AND(F35&lt;&gt;"",Y35&lt;&gt;""),AA35/(F35/2/Y35),"")</f>
        <v/>
      </c>
      <c r="AV35" s="43" t="str">
        <f>IF(AND(F35&lt;&gt;"",AJ35&lt;&gt;""),AL35/(F35/2/AJ35),"")</f>
        <v/>
      </c>
      <c r="AW35" s="41">
        <f>IF(AND(AP35&lt;&gt;"",1-(AP35/N35)&gt;0),1-(AP35/N35),"")</f>
        <v>0.8458049886621315</v>
      </c>
      <c r="AX35" s="41">
        <f>IF(AND(AE35&lt;&gt;"",1-(AE35/N35)&gt;0),1-(AE35/N35),"")</f>
        <v>0.84126984126984128</v>
      </c>
      <c r="AY35" s="136" t="str">
        <f>IF(P35="","",IF(P35&lt;2.5,"Alc. Bruta &lt; 2,5 mg/L",IF(P35&lt;5,"2,5 ≤ Alc. Bruta &lt; 5,0 mg/L",IF(P35&lt;7.5,"5,0 ≤ Alc. Bruta &lt; 7,5 mg/L",IF(P35&lt;10,"7,5 ≤ Alc. Bruta &lt; 10,0 mg/L",IF(P35&lt;15,"10,0 ≤ Alca. Bruta &lt; 15,0 mg/L","Alc. Bruta &gt; 15 mg/L"))))))</f>
        <v>7,5 ≤ Alc. Bruta &lt; 10,0 mg/L</v>
      </c>
      <c r="AZ35" s="136" t="str">
        <f>IF(O35="","",IF(O35&lt;5,"Cor &lt;5 uC",IF(O35&lt;10,"5 ≤ Cor &lt; 10 uC",IF(O35&lt;15,"10 ≤ Cor &lt;15 uC",IF(O35&lt;30,"15 ≤ Cor &lt; 30 uC",IF(O35&lt;50,"30 ≤ Cor &lt; 50 uC","Cor &gt; 50 uC"))))))</f>
        <v>15 ≤ Cor &lt; 30 uC</v>
      </c>
      <c r="BA35" s="137" t="str">
        <f>IF(N35="","",IF(N35&lt;2.5,"Turbidez &lt; 2,5 uT",IF(N35&lt;5,"2,5 ≤ Turb &lt; 5,0 uT",IF(N35&lt;7.5,"5,0 ≤ Turb &lt; 7,5 uT",IF(N35&lt;10,"7,5 ≤ Turb &lt; 10,0 uT",IF(N35&lt;15,"10,0 ≤ Turb &lt; 15,0 uT","Turb &gt; 15 uT"))))))</f>
        <v>2,5 ≤ Turb &lt; 5,0 uT</v>
      </c>
      <c r="BB35" s="138" t="str">
        <f>IF(AND(C35&gt;D35,D35&gt;E35),"TOR &gt; SM &gt; BNN",IF(AND(C35&gt;E35,E35&gt;D35),"TOR &gt; BNN &gt; SM",IF(AND(D35&gt;C35,C35&gt;E35),"SM &gt; TOR &gt; BNN",IF(AND(D35&gt;E35,E35&gt;C35),"SM &gt; BNN &gt; TOR",IF(AND(C35=D35,D35=E35),"TOR = SM = BNN","Comb. diferentes")))))</f>
        <v>TOR &gt; BNN &gt; SM</v>
      </c>
      <c r="BC35" s="137" t="str">
        <f>IF(OR(AD35="",AP35="-"),"",IF(AD35&lt;=0.25,"Tipo 1 (≤0,25) uT",IF(AD35&lt;=0.5,"Tipo 2 (0,25-0,50) uT",IF(AD35&lt;=0.75,"Tipo 3 (0,50-0,75) uT","Tipo 4 (&gt;0,75) uT"))))</f>
        <v>Tipo 2 (0,25-0,50) uT</v>
      </c>
      <c r="BD35" s="137" t="str">
        <f>IF(OR(AO35="",AY35="-"),"",IF(AO35&lt;=0.25,"Tipo 1 (≤0,25) uT",IF(AO35&lt;=0.5,"Tipo 2 (0,25-0,50) uT",IF(AO35&lt;=0.75,"Tipo 3 (0,50-0,75) uT","Tipo 4 (&gt;0,75) uT"))))</f>
        <v>Tipo 2 (0,25-0,50) uT</v>
      </c>
      <c r="BE35" s="137" t="str">
        <f>IF(OR(AE35="",AP35="-"),"",IF(AE35&lt;=0.25,"Tipo 1 (≤0,25) uT",IF(AE35&lt;=0.5,"Tipo 2 (0,25-0,50) uT",IF(AE35&lt;=0.75,"Tipo 3 (0,50-0,75) uT","Tipo 4 (&gt;0,75) uT"))))</f>
        <v>Tipo 3 (0,50-0,75) uT</v>
      </c>
      <c r="BF35" s="137" t="str">
        <f>IF(OR(AP35="",AP35="-"),"",IF(AP35&lt;=0.25,"Tipo 1 (≤0,25) uT",IF(AP35&lt;=0.5,"Tipo 2 (0,25-0,50) uT",IF(AP35&lt;=0.75,"Tipo 3 (0,50-0,75) uT","Tipo 4 (&gt;0,75) uT"))))</f>
        <v>Tipo 3 (0,50-0,75) uT</v>
      </c>
      <c r="BG35" s="137" t="str">
        <f>IF(OR(Q35="",Q35="-"),"",IF(Q35&lt;=0.25,"Tipo 1 (≤0,25) uT",IF(Q35&lt;=0.5,"Tipo 2 (0,25-0,50) uT",IF(Q35&lt;=0.75,"Tipo 3 (0,50-0,75) uT","Tipo 4 (&gt;0,75) uT"))))</f>
        <v>Tipo 1 (≤0,25) uT</v>
      </c>
    </row>
    <row r="36" spans="1:59" x14ac:dyDescent="0.3">
      <c r="A36" s="26">
        <v>46131</v>
      </c>
      <c r="B36" s="107">
        <v>0.72916666666666663</v>
      </c>
      <c r="C36" s="116">
        <v>1270</v>
      </c>
      <c r="D36" s="116">
        <v>82</v>
      </c>
      <c r="E36" s="116">
        <v>500</v>
      </c>
      <c r="F36" s="116">
        <v>1818</v>
      </c>
      <c r="G36" s="10" t="s">
        <v>34</v>
      </c>
      <c r="H36" s="122">
        <v>3.6</v>
      </c>
      <c r="I36" s="116">
        <v>90</v>
      </c>
      <c r="J36" s="116">
        <v>90</v>
      </c>
      <c r="K36" s="116">
        <v>90</v>
      </c>
      <c r="L36" s="122">
        <v>25.5</v>
      </c>
      <c r="M36" s="122">
        <v>6.8</v>
      </c>
      <c r="N36" s="79">
        <v>4.2</v>
      </c>
      <c r="O36" s="116">
        <v>17</v>
      </c>
      <c r="P36" s="122">
        <v>4.7</v>
      </c>
      <c r="Q36" s="79">
        <v>0.28000000000000003</v>
      </c>
      <c r="R36" s="79">
        <v>22.36</v>
      </c>
      <c r="S36" s="79">
        <v>0.88</v>
      </c>
      <c r="T36" s="79">
        <v>0.7</v>
      </c>
      <c r="U36" s="85"/>
      <c r="V36" s="79"/>
      <c r="W36" s="79"/>
      <c r="X36" s="116"/>
      <c r="Y36" s="116"/>
      <c r="Z36" s="122"/>
      <c r="AA36" s="116"/>
      <c r="AB36" s="122">
        <v>6.7</v>
      </c>
      <c r="AC36" s="122">
        <v>6.9</v>
      </c>
      <c r="AD36" s="10">
        <v>0.28000000000000003</v>
      </c>
      <c r="AE36" s="79">
        <v>0.75</v>
      </c>
      <c r="AF36" s="79"/>
      <c r="AG36" s="79"/>
      <c r="AH36" s="79"/>
      <c r="AI36" s="116"/>
      <c r="AJ36" s="116"/>
      <c r="AK36" s="79"/>
      <c r="AL36" s="79"/>
      <c r="AM36" s="122">
        <v>6.7</v>
      </c>
      <c r="AN36" s="122">
        <v>7.8</v>
      </c>
      <c r="AO36" s="79">
        <v>0.15</v>
      </c>
      <c r="AP36" s="127">
        <v>0.76</v>
      </c>
      <c r="AQ36" s="132">
        <f t="shared" si="0"/>
        <v>1852</v>
      </c>
      <c r="AR36" s="134">
        <f t="shared" si="1"/>
        <v>0.68574514038876888</v>
      </c>
      <c r="AS36" s="134">
        <f t="shared" si="2"/>
        <v>4.4276457883369327E-2</v>
      </c>
      <c r="AT36" s="134">
        <f t="shared" si="3"/>
        <v>0.26997840172786175</v>
      </c>
      <c r="AU36" s="43" t="str">
        <f>IF(AND(F36&lt;&gt;"",Y36&lt;&gt;""),AA36/(F36/2/Y36),"")</f>
        <v/>
      </c>
      <c r="AV36" s="43" t="str">
        <f>IF(AND(F36&lt;&gt;"",AJ36&lt;&gt;""),AL36/(F36/2/AJ36),"")</f>
        <v/>
      </c>
      <c r="AW36" s="41">
        <f>IF(AND(AP36&lt;&gt;"",1-(AP36/N36)&gt;0),1-(AP36/N36),"")</f>
        <v>0.81904761904761902</v>
      </c>
      <c r="AX36" s="41">
        <f>IF(AND(AE36&lt;&gt;"",1-(AE36/N36)&gt;0),1-(AE36/N36),"")</f>
        <v>0.8214285714285714</v>
      </c>
      <c r="AY36" s="136" t="str">
        <f>IF(P36="","",IF(P36&lt;2.5,"Alc. Bruta &lt; 2,5 mg/L",IF(P36&lt;5,"2,5 ≤ Alc. Bruta &lt; 5,0 mg/L",IF(P36&lt;7.5,"5,0 ≤ Alc. Bruta &lt; 7,5 mg/L",IF(P36&lt;10,"7,5 ≤ Alc. Bruta &lt; 10,0 mg/L",IF(P36&lt;15,"10,0 ≤ Alca. Bruta &lt; 15,0 mg/L","Alc. Bruta &gt; 15 mg/L"))))))</f>
        <v>2,5 ≤ Alc. Bruta &lt; 5,0 mg/L</v>
      </c>
      <c r="AZ36" s="136" t="str">
        <f>IF(O36="","",IF(O36&lt;5,"Cor &lt;5 uC",IF(O36&lt;10,"5 ≤ Cor &lt; 10 uC",IF(O36&lt;15,"10 ≤ Cor &lt;15 uC",IF(O36&lt;30,"15 ≤ Cor &lt; 30 uC",IF(O36&lt;50,"30 ≤ Cor &lt; 50 uC","Cor &gt; 50 uC"))))))</f>
        <v>15 ≤ Cor &lt; 30 uC</v>
      </c>
      <c r="BA36" s="137" t="str">
        <f>IF(N36="","",IF(N36&lt;2.5,"Turbidez &lt; 2,5 uT",IF(N36&lt;5,"2,5 ≤ Turb &lt; 5,0 uT",IF(N36&lt;7.5,"5,0 ≤ Turb &lt; 7,5 uT",IF(N36&lt;10,"7,5 ≤ Turb &lt; 10,0 uT",IF(N36&lt;15,"10,0 ≤ Turb &lt; 15,0 uT","Turb &gt; 15 uT"))))))</f>
        <v>2,5 ≤ Turb &lt; 5,0 uT</v>
      </c>
      <c r="BB36" s="138" t="str">
        <f>IF(AND(C36&gt;D36,D36&gt;E36),"TOR &gt; SM &gt; BNN",IF(AND(C36&gt;E36,E36&gt;D36),"TOR &gt; BNN &gt; SM",IF(AND(D36&gt;C36,C36&gt;E36),"SM &gt; TOR &gt; BNN",IF(AND(D36&gt;E36,E36&gt;C36),"SM &gt; BNN &gt; TOR",IF(AND(C36=D36,D36=E36),"TOR = SM = BNN","Comb. diferentes")))))</f>
        <v>TOR &gt; BNN &gt; SM</v>
      </c>
      <c r="BC36" s="137" t="str">
        <f>IF(OR(AD36="",AP36="-"),"",IF(AD36&lt;=0.25,"Tipo 1 (≤0,25) uT",IF(AD36&lt;=0.5,"Tipo 2 (0,25-0,50) uT",IF(AD36&lt;=0.75,"Tipo 3 (0,50-0,75) uT","Tipo 4 (&gt;0,75) uT"))))</f>
        <v>Tipo 2 (0,25-0,50) uT</v>
      </c>
      <c r="BD36" s="137" t="str">
        <f>IF(OR(AO36="",AY36="-"),"",IF(AO36&lt;=0.25,"Tipo 1 (≤0,25) uT",IF(AO36&lt;=0.5,"Tipo 2 (0,25-0,50) uT",IF(AO36&lt;=0.75,"Tipo 3 (0,50-0,75) uT","Tipo 4 (&gt;0,75) uT"))))</f>
        <v>Tipo 1 (≤0,25) uT</v>
      </c>
      <c r="BE36" s="137" t="str">
        <f>IF(OR(AE36="",AP36="-"),"",IF(AE36&lt;=0.25,"Tipo 1 (≤0,25) uT",IF(AE36&lt;=0.5,"Tipo 2 (0,25-0,50) uT",IF(AE36&lt;=0.75,"Tipo 3 (0,50-0,75) uT","Tipo 4 (&gt;0,75) uT"))))</f>
        <v>Tipo 3 (0,50-0,75) uT</v>
      </c>
      <c r="BF36" s="137" t="str">
        <f>IF(OR(AP36="",AP36="-"),"",IF(AP36&lt;=0.25,"Tipo 1 (≤0,25) uT",IF(AP36&lt;=0.5,"Tipo 2 (0,25-0,50) uT",IF(AP36&lt;=0.75,"Tipo 3 (0,50-0,75) uT","Tipo 4 (&gt;0,75) uT"))))</f>
        <v>Tipo 4 (&gt;0,75) uT</v>
      </c>
      <c r="BG36" s="137" t="str">
        <f>IF(OR(Q36="",Q36="-"),"",IF(Q36&lt;=0.25,"Tipo 1 (≤0,25) uT",IF(Q36&lt;=0.5,"Tipo 2 (0,25-0,50) uT",IF(Q36&lt;=0.75,"Tipo 3 (0,50-0,75) uT","Tipo 4 (&gt;0,75) uT"))))</f>
        <v>Tipo 2 (0,25-0,50) uT</v>
      </c>
    </row>
    <row r="37" spans="1:59" x14ac:dyDescent="0.3">
      <c r="A37" s="26">
        <v>46131</v>
      </c>
      <c r="B37" s="107">
        <v>0.8125</v>
      </c>
      <c r="C37" s="116">
        <v>1234</v>
      </c>
      <c r="D37" s="116">
        <v>82</v>
      </c>
      <c r="E37" s="116">
        <v>500</v>
      </c>
      <c r="F37" s="116">
        <v>1814</v>
      </c>
      <c r="G37" s="10" t="s">
        <v>34</v>
      </c>
      <c r="H37" s="122">
        <v>3.6</v>
      </c>
      <c r="I37" s="116">
        <v>90</v>
      </c>
      <c r="J37" s="116">
        <v>90</v>
      </c>
      <c r="K37" s="116">
        <v>90</v>
      </c>
      <c r="L37" s="122">
        <v>24.9</v>
      </c>
      <c r="M37" s="122">
        <v>6.7</v>
      </c>
      <c r="N37" s="79">
        <v>4.07</v>
      </c>
      <c r="O37" s="116">
        <v>16</v>
      </c>
      <c r="P37" s="122">
        <v>8</v>
      </c>
      <c r="Q37" s="79">
        <v>0.26</v>
      </c>
      <c r="R37" s="79">
        <v>22.36</v>
      </c>
      <c r="S37" s="79">
        <v>0.88</v>
      </c>
      <c r="T37" s="79">
        <v>0.7</v>
      </c>
      <c r="U37" s="85"/>
      <c r="V37" s="79"/>
      <c r="W37" s="79"/>
      <c r="X37" s="116"/>
      <c r="Y37" s="116"/>
      <c r="Z37" s="122"/>
      <c r="AA37" s="116"/>
      <c r="AB37" s="122">
        <v>7.1</v>
      </c>
      <c r="AC37" s="122">
        <v>6.8</v>
      </c>
      <c r="AD37" s="10">
        <v>0.17</v>
      </c>
      <c r="AE37" s="79">
        <v>0.66</v>
      </c>
      <c r="AF37" s="79"/>
      <c r="AG37" s="79"/>
      <c r="AH37" s="79"/>
      <c r="AI37" s="116"/>
      <c r="AJ37" s="116"/>
      <c r="AK37" s="79"/>
      <c r="AL37" s="79"/>
      <c r="AM37" s="122">
        <v>6.7</v>
      </c>
      <c r="AN37" s="122">
        <v>7.5</v>
      </c>
      <c r="AO37" s="79">
        <v>0.24</v>
      </c>
      <c r="AP37" s="127">
        <v>0.75</v>
      </c>
      <c r="AQ37" s="132">
        <f t="shared" si="0"/>
        <v>1816</v>
      </c>
      <c r="AR37" s="134">
        <f t="shared" si="1"/>
        <v>0.67951541850220265</v>
      </c>
      <c r="AS37" s="134">
        <f t="shared" si="2"/>
        <v>4.5154185022026429E-2</v>
      </c>
      <c r="AT37" s="134">
        <f t="shared" si="3"/>
        <v>0.2753303964757709</v>
      </c>
      <c r="AU37" s="43" t="str">
        <f>IF(AND(F37&lt;&gt;"",Y37&lt;&gt;""),AA37/(F37/2/Y37),"")</f>
        <v/>
      </c>
      <c r="AV37" s="43" t="str">
        <f>IF(AND(F37&lt;&gt;"",AJ37&lt;&gt;""),AL37/(F37/2/AJ37),"")</f>
        <v/>
      </c>
      <c r="AW37" s="41">
        <f>IF(AND(AP37&lt;&gt;"",1-(AP37/N37)&gt;0),1-(AP37/N37),"")</f>
        <v>0.8157248157248157</v>
      </c>
      <c r="AX37" s="41">
        <f>IF(AND(AE37&lt;&gt;"",1-(AE37/N37)&gt;0),1-(AE37/N37),"")</f>
        <v>0.83783783783783783</v>
      </c>
      <c r="AY37" s="136" t="str">
        <f>IF(P37="","",IF(P37&lt;2.5,"Alc. Bruta &lt; 2,5 mg/L",IF(P37&lt;5,"2,5 ≤ Alc. Bruta &lt; 5,0 mg/L",IF(P37&lt;7.5,"5,0 ≤ Alc. Bruta &lt; 7,5 mg/L",IF(P37&lt;10,"7,5 ≤ Alc. Bruta &lt; 10,0 mg/L",IF(P37&lt;15,"10,0 ≤ Alca. Bruta &lt; 15,0 mg/L","Alc. Bruta &gt; 15 mg/L"))))))</f>
        <v>7,5 ≤ Alc. Bruta &lt; 10,0 mg/L</v>
      </c>
      <c r="AZ37" s="136" t="str">
        <f>IF(O37="","",IF(O37&lt;5,"Cor &lt;5 uC",IF(O37&lt;10,"5 ≤ Cor &lt; 10 uC",IF(O37&lt;15,"10 ≤ Cor &lt;15 uC",IF(O37&lt;30,"15 ≤ Cor &lt; 30 uC",IF(O37&lt;50,"30 ≤ Cor &lt; 50 uC","Cor &gt; 50 uC"))))))</f>
        <v>15 ≤ Cor &lt; 30 uC</v>
      </c>
      <c r="BA37" s="137" t="str">
        <f>IF(N37="","",IF(N37&lt;2.5,"Turbidez &lt; 2,5 uT",IF(N37&lt;5,"2,5 ≤ Turb &lt; 5,0 uT",IF(N37&lt;7.5,"5,0 ≤ Turb &lt; 7,5 uT",IF(N37&lt;10,"7,5 ≤ Turb &lt; 10,0 uT",IF(N37&lt;15,"10,0 ≤ Turb &lt; 15,0 uT","Turb &gt; 15 uT"))))))</f>
        <v>2,5 ≤ Turb &lt; 5,0 uT</v>
      </c>
      <c r="BB37" s="138" t="str">
        <f>IF(AND(C37&gt;D37,D37&gt;E37),"TOR &gt; SM &gt; BNN",IF(AND(C37&gt;E37,E37&gt;D37),"TOR &gt; BNN &gt; SM",IF(AND(D37&gt;C37,C37&gt;E37),"SM &gt; TOR &gt; BNN",IF(AND(D37&gt;E37,E37&gt;C37),"SM &gt; BNN &gt; TOR",IF(AND(C37=D37,D37=E37),"TOR = SM = BNN","Comb. diferentes")))))</f>
        <v>TOR &gt; BNN &gt; SM</v>
      </c>
      <c r="BC37" s="137" t="str">
        <f>IF(OR(AD37="",AP37="-"),"",IF(AD37&lt;=0.25,"Tipo 1 (≤0,25) uT",IF(AD37&lt;=0.5,"Tipo 2 (0,25-0,50) uT",IF(AD37&lt;=0.75,"Tipo 3 (0,50-0,75) uT","Tipo 4 (&gt;0,75) uT"))))</f>
        <v>Tipo 1 (≤0,25) uT</v>
      </c>
      <c r="BD37" s="137" t="str">
        <f>IF(OR(AO37="",AY37="-"),"",IF(AO37&lt;=0.25,"Tipo 1 (≤0,25) uT",IF(AO37&lt;=0.5,"Tipo 2 (0,25-0,50) uT",IF(AO37&lt;=0.75,"Tipo 3 (0,50-0,75) uT","Tipo 4 (&gt;0,75) uT"))))</f>
        <v>Tipo 1 (≤0,25) uT</v>
      </c>
      <c r="BE37" s="137" t="str">
        <f>IF(OR(AE37="",AP37="-"),"",IF(AE37&lt;=0.25,"Tipo 1 (≤0,25) uT",IF(AE37&lt;=0.5,"Tipo 2 (0,25-0,50) uT",IF(AE37&lt;=0.75,"Tipo 3 (0,50-0,75) uT","Tipo 4 (&gt;0,75) uT"))))</f>
        <v>Tipo 3 (0,50-0,75) uT</v>
      </c>
      <c r="BF37" s="137" t="str">
        <f>IF(OR(AP37="",AP37="-"),"",IF(AP37&lt;=0.25,"Tipo 1 (≤0,25) uT",IF(AP37&lt;=0.5,"Tipo 2 (0,25-0,50) uT",IF(AP37&lt;=0.75,"Tipo 3 (0,50-0,75) uT","Tipo 4 (&gt;0,75) uT"))))</f>
        <v>Tipo 3 (0,50-0,75) uT</v>
      </c>
      <c r="BG37" s="137" t="str">
        <f>IF(OR(Q37="",Q37="-"),"",IF(Q37&lt;=0.25,"Tipo 1 (≤0,25) uT",IF(Q37&lt;=0.5,"Tipo 2 (0,25-0,50) uT",IF(Q37&lt;=0.75,"Tipo 3 (0,50-0,75) uT","Tipo 4 (&gt;0,75) uT"))))</f>
        <v>Tipo 2 (0,25-0,50) uT</v>
      </c>
    </row>
    <row r="38" spans="1:59" x14ac:dyDescent="0.3">
      <c r="A38" s="26">
        <v>46131</v>
      </c>
      <c r="B38" s="107">
        <v>0.89583333333333337</v>
      </c>
      <c r="C38" s="116">
        <v>1159</v>
      </c>
      <c r="D38" s="116">
        <v>90</v>
      </c>
      <c r="E38" s="116">
        <v>498</v>
      </c>
      <c r="F38" s="116">
        <v>1821</v>
      </c>
      <c r="G38" s="10" t="s">
        <v>34</v>
      </c>
      <c r="H38" s="122">
        <v>3.6</v>
      </c>
      <c r="I38" s="116">
        <v>90</v>
      </c>
      <c r="J38" s="116">
        <v>90</v>
      </c>
      <c r="K38" s="116">
        <v>90</v>
      </c>
      <c r="L38" s="122">
        <v>24.6</v>
      </c>
      <c r="M38" s="122">
        <v>6.8</v>
      </c>
      <c r="N38" s="79">
        <v>5.7</v>
      </c>
      <c r="O38" s="116">
        <v>19</v>
      </c>
      <c r="P38" s="122">
        <v>8.4</v>
      </c>
      <c r="Q38" s="79">
        <v>0.18</v>
      </c>
      <c r="R38" s="79">
        <v>22.36</v>
      </c>
      <c r="S38" s="79">
        <v>0.88</v>
      </c>
      <c r="T38" s="79">
        <v>0.7</v>
      </c>
      <c r="U38" s="85"/>
      <c r="V38" s="79"/>
      <c r="W38" s="79"/>
      <c r="X38" s="116"/>
      <c r="Y38" s="116"/>
      <c r="Z38" s="122"/>
      <c r="AA38" s="116"/>
      <c r="AB38" s="122">
        <v>6.8</v>
      </c>
      <c r="AC38" s="122">
        <v>8.1</v>
      </c>
      <c r="AD38" s="10">
        <v>0.3</v>
      </c>
      <c r="AE38" s="79">
        <v>0.65</v>
      </c>
      <c r="AF38" s="79"/>
      <c r="AG38" s="79"/>
      <c r="AH38" s="79"/>
      <c r="AI38" s="116"/>
      <c r="AJ38" s="116"/>
      <c r="AK38" s="79"/>
      <c r="AL38" s="79"/>
      <c r="AM38" s="122">
        <v>6.7</v>
      </c>
      <c r="AN38" s="122">
        <v>7.9</v>
      </c>
      <c r="AO38" s="79">
        <v>0.15</v>
      </c>
      <c r="AP38" s="127">
        <v>1.27</v>
      </c>
      <c r="AQ38" s="132">
        <f t="shared" si="0"/>
        <v>1747</v>
      </c>
      <c r="AR38" s="134">
        <f t="shared" si="1"/>
        <v>0.66342301087578703</v>
      </c>
      <c r="AS38" s="134">
        <f t="shared" si="2"/>
        <v>5.1516886090440757E-2</v>
      </c>
      <c r="AT38" s="134">
        <f t="shared" si="3"/>
        <v>0.28506010303377216</v>
      </c>
      <c r="AU38" s="43" t="str">
        <f>IF(AND(F38&lt;&gt;"",Y38&lt;&gt;""),AA38/(F38/2/Y38),"")</f>
        <v/>
      </c>
      <c r="AV38" s="43" t="str">
        <f>IF(AND(F38&lt;&gt;"",AJ38&lt;&gt;""),AL38/(F38/2/AJ38),"")</f>
        <v/>
      </c>
      <c r="AW38" s="41">
        <f>IF(AND(AP38&lt;&gt;"",1-(AP38/N38)&gt;0),1-(AP38/N38),"")</f>
        <v>0.77719298245614032</v>
      </c>
      <c r="AX38" s="41">
        <f>IF(AND(AE38&lt;&gt;"",1-(AE38/N38)&gt;0),1-(AE38/N38),"")</f>
        <v>0.88596491228070173</v>
      </c>
      <c r="AY38" s="136" t="str">
        <f>IF(P38="","",IF(P38&lt;2.5,"Alc. Bruta &lt; 2,5 mg/L",IF(P38&lt;5,"2,5 ≤ Alc. Bruta &lt; 5,0 mg/L",IF(P38&lt;7.5,"5,0 ≤ Alc. Bruta &lt; 7,5 mg/L",IF(P38&lt;10,"7,5 ≤ Alc. Bruta &lt; 10,0 mg/L",IF(P38&lt;15,"10,0 ≤ Alca. Bruta &lt; 15,0 mg/L","Alc. Bruta &gt; 15 mg/L"))))))</f>
        <v>7,5 ≤ Alc. Bruta &lt; 10,0 mg/L</v>
      </c>
      <c r="AZ38" s="136" t="str">
        <f>IF(O38="","",IF(O38&lt;5,"Cor &lt;5 uC",IF(O38&lt;10,"5 ≤ Cor &lt; 10 uC",IF(O38&lt;15,"10 ≤ Cor &lt;15 uC",IF(O38&lt;30,"15 ≤ Cor &lt; 30 uC",IF(O38&lt;50,"30 ≤ Cor &lt; 50 uC","Cor &gt; 50 uC"))))))</f>
        <v>15 ≤ Cor &lt; 30 uC</v>
      </c>
      <c r="BA38" s="137" t="str">
        <f>IF(N38="","",IF(N38&lt;2.5,"Turbidez &lt; 2,5 uT",IF(N38&lt;5,"2,5 ≤ Turb &lt; 5,0 uT",IF(N38&lt;7.5,"5,0 ≤ Turb &lt; 7,5 uT",IF(N38&lt;10,"7,5 ≤ Turb &lt; 10,0 uT",IF(N38&lt;15,"10,0 ≤ Turb &lt; 15,0 uT","Turb &gt; 15 uT"))))))</f>
        <v>5,0 ≤ Turb &lt; 7,5 uT</v>
      </c>
      <c r="BB38" s="138" t="str">
        <f>IF(AND(C38&gt;D38,D38&gt;E38),"TOR &gt; SM &gt; BNN",IF(AND(C38&gt;E38,E38&gt;D38),"TOR &gt; BNN &gt; SM",IF(AND(D38&gt;C38,C38&gt;E38),"SM &gt; TOR &gt; BNN",IF(AND(D38&gt;E38,E38&gt;C38),"SM &gt; BNN &gt; TOR",IF(AND(C38=D38,D38=E38),"TOR = SM = BNN","Comb. diferentes")))))</f>
        <v>TOR &gt; BNN &gt; SM</v>
      </c>
      <c r="BC38" s="137" t="str">
        <f>IF(OR(AD38="",AP38="-"),"",IF(AD38&lt;=0.25,"Tipo 1 (≤0,25) uT",IF(AD38&lt;=0.5,"Tipo 2 (0,25-0,50) uT",IF(AD38&lt;=0.75,"Tipo 3 (0,50-0,75) uT","Tipo 4 (&gt;0,75) uT"))))</f>
        <v>Tipo 2 (0,25-0,50) uT</v>
      </c>
      <c r="BD38" s="137" t="str">
        <f>IF(OR(AO38="",AY38="-"),"",IF(AO38&lt;=0.25,"Tipo 1 (≤0,25) uT",IF(AO38&lt;=0.5,"Tipo 2 (0,25-0,50) uT",IF(AO38&lt;=0.75,"Tipo 3 (0,50-0,75) uT","Tipo 4 (&gt;0,75) uT"))))</f>
        <v>Tipo 1 (≤0,25) uT</v>
      </c>
      <c r="BE38" s="137" t="str">
        <f>IF(OR(AE38="",AP38="-"),"",IF(AE38&lt;=0.25,"Tipo 1 (≤0,25) uT",IF(AE38&lt;=0.5,"Tipo 2 (0,25-0,50) uT",IF(AE38&lt;=0.75,"Tipo 3 (0,50-0,75) uT","Tipo 4 (&gt;0,75) uT"))))</f>
        <v>Tipo 3 (0,50-0,75) uT</v>
      </c>
      <c r="BF38" s="137" t="str">
        <f>IF(OR(AP38="",AP38="-"),"",IF(AP38&lt;=0.25,"Tipo 1 (≤0,25) uT",IF(AP38&lt;=0.5,"Tipo 2 (0,25-0,50) uT",IF(AP38&lt;=0.75,"Tipo 3 (0,50-0,75) uT","Tipo 4 (&gt;0,75) uT"))))</f>
        <v>Tipo 4 (&gt;0,75) uT</v>
      </c>
      <c r="BG38" s="137" t="str">
        <f>IF(OR(Q38="",Q38="-"),"",IF(Q38&lt;=0.25,"Tipo 1 (≤0,25) uT",IF(Q38&lt;=0.5,"Tipo 2 (0,25-0,50) uT",IF(Q38&lt;=0.75,"Tipo 3 (0,50-0,75) uT","Tipo 4 (&gt;0,75) uT"))))</f>
        <v>Tipo 1 (≤0,25) uT</v>
      </c>
    </row>
    <row r="39" spans="1:59" x14ac:dyDescent="0.3">
      <c r="A39" s="26">
        <v>46131</v>
      </c>
      <c r="B39" s="107">
        <v>0.97916666666666663</v>
      </c>
      <c r="C39" s="116">
        <v>1148</v>
      </c>
      <c r="D39" s="116">
        <v>80</v>
      </c>
      <c r="E39" s="116">
        <v>500</v>
      </c>
      <c r="F39" s="116">
        <v>1826</v>
      </c>
      <c r="G39" s="10" t="s">
        <v>34</v>
      </c>
      <c r="H39" s="122">
        <v>3.6</v>
      </c>
      <c r="I39" s="116">
        <v>90</v>
      </c>
      <c r="J39" s="116">
        <v>90</v>
      </c>
      <c r="K39" s="116">
        <v>90</v>
      </c>
      <c r="L39" s="122">
        <v>24</v>
      </c>
      <c r="M39" s="122">
        <v>6.8</v>
      </c>
      <c r="N39" s="79">
        <v>3.68</v>
      </c>
      <c r="O39" s="116">
        <v>15</v>
      </c>
      <c r="P39" s="122">
        <v>9.4</v>
      </c>
      <c r="Q39" s="79">
        <v>0.16</v>
      </c>
      <c r="R39" s="79">
        <v>22.36</v>
      </c>
      <c r="S39" s="79">
        <v>0.88</v>
      </c>
      <c r="T39" s="79">
        <v>0.7</v>
      </c>
      <c r="U39" s="85"/>
      <c r="V39" s="79"/>
      <c r="W39" s="79"/>
      <c r="X39" s="116"/>
      <c r="Y39" s="116"/>
      <c r="Z39" s="122"/>
      <c r="AA39" s="116"/>
      <c r="AB39" s="122">
        <v>6.7</v>
      </c>
      <c r="AC39" s="122">
        <v>8.8000000000000007</v>
      </c>
      <c r="AD39" s="10">
        <v>0.14000000000000001</v>
      </c>
      <c r="AE39" s="79">
        <v>0.6</v>
      </c>
      <c r="AF39" s="79"/>
      <c r="AG39" s="79"/>
      <c r="AH39" s="79"/>
      <c r="AI39" s="116"/>
      <c r="AJ39" s="116"/>
      <c r="AK39" s="79"/>
      <c r="AL39" s="79"/>
      <c r="AM39" s="122">
        <v>6.6</v>
      </c>
      <c r="AN39" s="122">
        <v>8.3000000000000007</v>
      </c>
      <c r="AO39" s="79">
        <v>0.19</v>
      </c>
      <c r="AP39" s="127">
        <v>0.75</v>
      </c>
      <c r="AQ39" s="132">
        <f t="shared" si="0"/>
        <v>1728</v>
      </c>
      <c r="AR39" s="134">
        <f t="shared" si="1"/>
        <v>0.66435185185185186</v>
      </c>
      <c r="AS39" s="134">
        <f t="shared" si="2"/>
        <v>4.6296296296296294E-2</v>
      </c>
      <c r="AT39" s="134">
        <f t="shared" si="3"/>
        <v>0.28935185185185186</v>
      </c>
      <c r="AU39" s="43" t="str">
        <f>IF(AND(F39&lt;&gt;"",Y39&lt;&gt;""),AA39/(F39/2/Y39),"")</f>
        <v/>
      </c>
      <c r="AV39" s="43" t="str">
        <f>IF(AND(F39&lt;&gt;"",AJ39&lt;&gt;""),AL39/(F39/2/AJ39),"")</f>
        <v/>
      </c>
      <c r="AW39" s="41">
        <f>IF(AND(AP39&lt;&gt;"",1-(AP39/N39)&gt;0),1-(AP39/N39),"")</f>
        <v>0.79619565217391308</v>
      </c>
      <c r="AX39" s="41">
        <f>IF(AND(AE39&lt;&gt;"",1-(AE39/N39)&gt;0),1-(AE39/N39),"")</f>
        <v>0.83695652173913049</v>
      </c>
      <c r="AY39" s="136" t="str">
        <f>IF(P39="","",IF(P39&lt;2.5,"Alc. Bruta &lt; 2,5 mg/L",IF(P39&lt;5,"2,5 ≤ Alc. Bruta &lt; 5,0 mg/L",IF(P39&lt;7.5,"5,0 ≤ Alc. Bruta &lt; 7,5 mg/L",IF(P39&lt;10,"7,5 ≤ Alc. Bruta &lt; 10,0 mg/L",IF(P39&lt;15,"10,0 ≤ Alca. Bruta &lt; 15,0 mg/L","Alc. Bruta &gt; 15 mg/L"))))))</f>
        <v>7,5 ≤ Alc. Bruta &lt; 10,0 mg/L</v>
      </c>
      <c r="AZ39" s="136" t="str">
        <f>IF(O39="","",IF(O39&lt;5,"Cor &lt;5 uC",IF(O39&lt;10,"5 ≤ Cor &lt; 10 uC",IF(O39&lt;15,"10 ≤ Cor &lt;15 uC",IF(O39&lt;30,"15 ≤ Cor &lt; 30 uC",IF(O39&lt;50,"30 ≤ Cor &lt; 50 uC","Cor &gt; 50 uC"))))))</f>
        <v>15 ≤ Cor &lt; 30 uC</v>
      </c>
      <c r="BA39" s="137" t="str">
        <f>IF(N39="","",IF(N39&lt;2.5,"Turbidez &lt; 2,5 uT",IF(N39&lt;5,"2,5 ≤ Turb &lt; 5,0 uT",IF(N39&lt;7.5,"5,0 ≤ Turb &lt; 7,5 uT",IF(N39&lt;10,"7,5 ≤ Turb &lt; 10,0 uT",IF(N39&lt;15,"10,0 ≤ Turb &lt; 15,0 uT","Turb &gt; 15 uT"))))))</f>
        <v>2,5 ≤ Turb &lt; 5,0 uT</v>
      </c>
      <c r="BB39" s="138" t="str">
        <f>IF(AND(C39&gt;D39,D39&gt;E39),"TOR &gt; SM &gt; BNN",IF(AND(C39&gt;E39,E39&gt;D39),"TOR &gt; BNN &gt; SM",IF(AND(D39&gt;C39,C39&gt;E39),"SM &gt; TOR &gt; BNN",IF(AND(D39&gt;E39,E39&gt;C39),"SM &gt; BNN &gt; TOR",IF(AND(C39=D39,D39=E39),"TOR = SM = BNN","Comb. diferentes")))))</f>
        <v>TOR &gt; BNN &gt; SM</v>
      </c>
      <c r="BC39" s="137" t="str">
        <f>IF(OR(AD39="",AP39="-"),"",IF(AD39&lt;=0.25,"Tipo 1 (≤0,25) uT",IF(AD39&lt;=0.5,"Tipo 2 (0,25-0,50) uT",IF(AD39&lt;=0.75,"Tipo 3 (0,50-0,75) uT","Tipo 4 (&gt;0,75) uT"))))</f>
        <v>Tipo 1 (≤0,25) uT</v>
      </c>
      <c r="BD39" s="137" t="str">
        <f>IF(OR(AO39="",AY39="-"),"",IF(AO39&lt;=0.25,"Tipo 1 (≤0,25) uT",IF(AO39&lt;=0.5,"Tipo 2 (0,25-0,50) uT",IF(AO39&lt;=0.75,"Tipo 3 (0,50-0,75) uT","Tipo 4 (&gt;0,75) uT"))))</f>
        <v>Tipo 1 (≤0,25) uT</v>
      </c>
      <c r="BE39" s="137" t="str">
        <f>IF(OR(AE39="",AP39="-"),"",IF(AE39&lt;=0.25,"Tipo 1 (≤0,25) uT",IF(AE39&lt;=0.5,"Tipo 2 (0,25-0,50) uT",IF(AE39&lt;=0.75,"Tipo 3 (0,50-0,75) uT","Tipo 4 (&gt;0,75) uT"))))</f>
        <v>Tipo 3 (0,50-0,75) uT</v>
      </c>
      <c r="BF39" s="137" t="str">
        <f>IF(OR(AP39="",AP39="-"),"",IF(AP39&lt;=0.25,"Tipo 1 (≤0,25) uT",IF(AP39&lt;=0.5,"Tipo 2 (0,25-0,50) uT",IF(AP39&lt;=0.75,"Tipo 3 (0,50-0,75) uT","Tipo 4 (&gt;0,75) uT"))))</f>
        <v>Tipo 3 (0,50-0,75) uT</v>
      </c>
      <c r="BG39" s="137" t="str">
        <f>IF(OR(Q39="",Q39="-"),"",IF(Q39&lt;=0.25,"Tipo 1 (≤0,25) uT",IF(Q39&lt;=0.5,"Tipo 2 (0,25-0,50) uT",IF(Q39&lt;=0.75,"Tipo 3 (0,50-0,75) uT","Tipo 4 (&gt;0,75) uT"))))</f>
        <v>Tipo 1 (≤0,25) uT</v>
      </c>
    </row>
    <row r="40" spans="1:59" x14ac:dyDescent="0.3">
      <c r="A40" s="26">
        <v>46132</v>
      </c>
      <c r="B40" s="107">
        <v>6.25E-2</v>
      </c>
      <c r="C40" s="116">
        <v>1146</v>
      </c>
      <c r="D40" s="116">
        <v>88</v>
      </c>
      <c r="E40" s="116">
        <v>500</v>
      </c>
      <c r="F40" s="116">
        <v>1814</v>
      </c>
      <c r="G40" s="10" t="s">
        <v>34</v>
      </c>
      <c r="H40" s="122">
        <v>3.6</v>
      </c>
      <c r="I40" s="116">
        <v>90</v>
      </c>
      <c r="J40" s="116">
        <v>90</v>
      </c>
      <c r="K40" s="116">
        <v>90</v>
      </c>
      <c r="L40" s="122">
        <v>24.1</v>
      </c>
      <c r="M40" s="122">
        <v>6.7</v>
      </c>
      <c r="N40" s="79">
        <v>4.57</v>
      </c>
      <c r="O40" s="116">
        <v>17</v>
      </c>
      <c r="P40" s="122">
        <v>7.2</v>
      </c>
      <c r="Q40" s="79">
        <v>0.16</v>
      </c>
      <c r="R40" s="79">
        <v>22.36</v>
      </c>
      <c r="S40" s="79">
        <v>0.88</v>
      </c>
      <c r="T40" s="79">
        <v>0.7</v>
      </c>
      <c r="U40" s="85"/>
      <c r="V40" s="79"/>
      <c r="W40" s="79"/>
      <c r="X40" s="116"/>
      <c r="Y40" s="116"/>
      <c r="Z40" s="122"/>
      <c r="AA40" s="116"/>
      <c r="AB40" s="122">
        <v>6.7</v>
      </c>
      <c r="AC40" s="122">
        <v>7.7</v>
      </c>
      <c r="AD40" s="10">
        <v>0.22</v>
      </c>
      <c r="AE40" s="79">
        <v>0.65</v>
      </c>
      <c r="AF40" s="79"/>
      <c r="AG40" s="79"/>
      <c r="AH40" s="79"/>
      <c r="AI40" s="116"/>
      <c r="AJ40" s="116"/>
      <c r="AK40" s="79"/>
      <c r="AL40" s="79"/>
      <c r="AM40" s="122">
        <v>6.6</v>
      </c>
      <c r="AN40" s="122">
        <v>7.5</v>
      </c>
      <c r="AO40" s="79">
        <v>0.21</v>
      </c>
      <c r="AP40" s="127">
        <v>0.79</v>
      </c>
      <c r="AQ40" s="132">
        <f t="shared" si="0"/>
        <v>1734</v>
      </c>
      <c r="AR40" s="134">
        <f t="shared" si="1"/>
        <v>0.66089965397923878</v>
      </c>
      <c r="AS40" s="134">
        <f t="shared" si="2"/>
        <v>5.0749711649365627E-2</v>
      </c>
      <c r="AT40" s="134">
        <f t="shared" si="3"/>
        <v>0.28835063437139563</v>
      </c>
      <c r="AU40" s="43" t="str">
        <f>IF(AND(F40&lt;&gt;"",Y40&lt;&gt;""),AA40/(F40/2/Y40),"")</f>
        <v/>
      </c>
      <c r="AV40" s="43" t="str">
        <f>IF(AND(F40&lt;&gt;"",AJ40&lt;&gt;""),AL40/(F40/2/AJ40),"")</f>
        <v/>
      </c>
      <c r="AW40" s="41">
        <f>IF(AND(AP40&lt;&gt;"",1-(AP40/N40)&gt;0),1-(AP40/N40),"")</f>
        <v>0.82713347921225377</v>
      </c>
      <c r="AX40" s="41">
        <f>IF(AND(AE40&lt;&gt;"",1-(AE40/N40)&gt;0),1-(AE40/N40),"")</f>
        <v>0.85776805251641142</v>
      </c>
      <c r="AY40" s="136" t="str">
        <f>IF(P40="","",IF(P40&lt;2.5,"Alc. Bruta &lt; 2,5 mg/L",IF(P40&lt;5,"2,5 ≤ Alc. Bruta &lt; 5,0 mg/L",IF(P40&lt;7.5,"5,0 ≤ Alc. Bruta &lt; 7,5 mg/L",IF(P40&lt;10,"7,5 ≤ Alc. Bruta &lt; 10,0 mg/L",IF(P40&lt;15,"10,0 ≤ Alca. Bruta &lt; 15,0 mg/L","Alc. Bruta &gt; 15 mg/L"))))))</f>
        <v>5,0 ≤ Alc. Bruta &lt; 7,5 mg/L</v>
      </c>
      <c r="AZ40" s="136" t="str">
        <f>IF(O40="","",IF(O40&lt;5,"Cor &lt;5 uC",IF(O40&lt;10,"5 ≤ Cor &lt; 10 uC",IF(O40&lt;15,"10 ≤ Cor &lt;15 uC",IF(O40&lt;30,"15 ≤ Cor &lt; 30 uC",IF(O40&lt;50,"30 ≤ Cor &lt; 50 uC","Cor &gt; 50 uC"))))))</f>
        <v>15 ≤ Cor &lt; 30 uC</v>
      </c>
      <c r="BA40" s="137" t="str">
        <f>IF(N40="","",IF(N40&lt;2.5,"Turbidez &lt; 2,5 uT",IF(N40&lt;5,"2,5 ≤ Turb &lt; 5,0 uT",IF(N40&lt;7.5,"5,0 ≤ Turb &lt; 7,5 uT",IF(N40&lt;10,"7,5 ≤ Turb &lt; 10,0 uT",IF(N40&lt;15,"10,0 ≤ Turb &lt; 15,0 uT","Turb &gt; 15 uT"))))))</f>
        <v>2,5 ≤ Turb &lt; 5,0 uT</v>
      </c>
      <c r="BB40" s="138" t="str">
        <f>IF(AND(C40&gt;D40,D40&gt;E40),"TOR &gt; SM &gt; BNN",IF(AND(C40&gt;E40,E40&gt;D40),"TOR &gt; BNN &gt; SM",IF(AND(D40&gt;C40,C40&gt;E40),"SM &gt; TOR &gt; BNN",IF(AND(D40&gt;E40,E40&gt;C40),"SM &gt; BNN &gt; TOR",IF(AND(C40=D40,D40=E40),"TOR = SM = BNN","Comb. diferentes")))))</f>
        <v>TOR &gt; BNN &gt; SM</v>
      </c>
      <c r="BC40" s="137" t="str">
        <f>IF(OR(AD40="",AP40="-"),"",IF(AD40&lt;=0.25,"Tipo 1 (≤0,25) uT",IF(AD40&lt;=0.5,"Tipo 2 (0,25-0,50) uT",IF(AD40&lt;=0.75,"Tipo 3 (0,50-0,75) uT","Tipo 4 (&gt;0,75) uT"))))</f>
        <v>Tipo 1 (≤0,25) uT</v>
      </c>
      <c r="BD40" s="137" t="str">
        <f>IF(OR(AO40="",AY40="-"),"",IF(AO40&lt;=0.25,"Tipo 1 (≤0,25) uT",IF(AO40&lt;=0.5,"Tipo 2 (0,25-0,50) uT",IF(AO40&lt;=0.75,"Tipo 3 (0,50-0,75) uT","Tipo 4 (&gt;0,75) uT"))))</f>
        <v>Tipo 1 (≤0,25) uT</v>
      </c>
      <c r="BE40" s="137" t="str">
        <f>IF(OR(AE40="",AP40="-"),"",IF(AE40&lt;=0.25,"Tipo 1 (≤0,25) uT",IF(AE40&lt;=0.5,"Tipo 2 (0,25-0,50) uT",IF(AE40&lt;=0.75,"Tipo 3 (0,50-0,75) uT","Tipo 4 (&gt;0,75) uT"))))</f>
        <v>Tipo 3 (0,50-0,75) uT</v>
      </c>
      <c r="BF40" s="137" t="str">
        <f>IF(OR(AP40="",AP40="-"),"",IF(AP40&lt;=0.25,"Tipo 1 (≤0,25) uT",IF(AP40&lt;=0.5,"Tipo 2 (0,25-0,50) uT",IF(AP40&lt;=0.75,"Tipo 3 (0,50-0,75) uT","Tipo 4 (&gt;0,75) uT"))))</f>
        <v>Tipo 4 (&gt;0,75) uT</v>
      </c>
      <c r="BG40" s="137" t="str">
        <f>IF(OR(Q40="",Q40="-"),"",IF(Q40&lt;=0.25,"Tipo 1 (≤0,25) uT",IF(Q40&lt;=0.5,"Tipo 2 (0,25-0,50) uT",IF(Q40&lt;=0.75,"Tipo 3 (0,50-0,75) uT","Tipo 4 (&gt;0,75) uT"))))</f>
        <v>Tipo 1 (≤0,25) uT</v>
      </c>
    </row>
    <row r="41" spans="1:59" x14ac:dyDescent="0.3">
      <c r="A41" s="26">
        <v>46132</v>
      </c>
      <c r="B41" s="107">
        <v>0.14583333333333334</v>
      </c>
      <c r="C41" s="116">
        <v>1089</v>
      </c>
      <c r="D41" s="116">
        <v>87</v>
      </c>
      <c r="E41" s="116">
        <v>500</v>
      </c>
      <c r="F41" s="116">
        <v>1830</v>
      </c>
      <c r="G41" s="10" t="s">
        <v>34</v>
      </c>
      <c r="H41" s="122">
        <v>3.6</v>
      </c>
      <c r="I41" s="116">
        <v>90</v>
      </c>
      <c r="J41" s="116">
        <v>90</v>
      </c>
      <c r="K41" s="116">
        <v>90</v>
      </c>
      <c r="L41" s="122">
        <v>24</v>
      </c>
      <c r="M41" s="122">
        <v>6.7</v>
      </c>
      <c r="N41" s="79">
        <v>6.79</v>
      </c>
      <c r="O41" s="116">
        <v>15</v>
      </c>
      <c r="P41" s="122">
        <v>9.1999999999999993</v>
      </c>
      <c r="Q41" s="79">
        <v>0.24</v>
      </c>
      <c r="R41" s="79">
        <v>22.36</v>
      </c>
      <c r="S41" s="79">
        <v>0.88</v>
      </c>
      <c r="T41" s="79">
        <v>0.7</v>
      </c>
      <c r="U41" s="85"/>
      <c r="V41" s="79"/>
      <c r="W41" s="79"/>
      <c r="X41" s="116"/>
      <c r="Y41" s="116"/>
      <c r="Z41" s="122"/>
      <c r="AA41" s="116"/>
      <c r="AB41" s="122">
        <v>6.7</v>
      </c>
      <c r="AC41" s="122">
        <v>9.5</v>
      </c>
      <c r="AD41" s="10">
        <v>0.18</v>
      </c>
      <c r="AE41" s="79">
        <v>0.79</v>
      </c>
      <c r="AF41" s="79"/>
      <c r="AG41" s="79"/>
      <c r="AH41" s="79"/>
      <c r="AI41" s="116"/>
      <c r="AJ41" s="116"/>
      <c r="AK41" s="79"/>
      <c r="AL41" s="79"/>
      <c r="AM41" s="122">
        <v>6.6</v>
      </c>
      <c r="AN41" s="122">
        <v>9.6</v>
      </c>
      <c r="AO41" s="79">
        <v>0.21</v>
      </c>
      <c r="AP41" s="127">
        <v>1</v>
      </c>
      <c r="AQ41" s="132">
        <f t="shared" si="0"/>
        <v>1676</v>
      </c>
      <c r="AR41" s="134">
        <f t="shared" si="1"/>
        <v>0.64976133651551315</v>
      </c>
      <c r="AS41" s="134">
        <f t="shared" si="2"/>
        <v>5.190930787589499E-2</v>
      </c>
      <c r="AT41" s="134">
        <f t="shared" si="3"/>
        <v>0.29832935560859186</v>
      </c>
      <c r="AU41" s="43" t="str">
        <f>IF(AND(F41&lt;&gt;"",Y41&lt;&gt;""),AA41/(F41/2/Y41),"")</f>
        <v/>
      </c>
      <c r="AV41" s="43" t="str">
        <f>IF(AND(F41&lt;&gt;"",AJ41&lt;&gt;""),AL41/(F41/2/AJ41),"")</f>
        <v/>
      </c>
      <c r="AW41" s="41">
        <f>IF(AND(AP41&lt;&gt;"",1-(AP41/N41)&gt;0),1-(AP41/N41),"")</f>
        <v>0.8527245949926362</v>
      </c>
      <c r="AX41" s="41">
        <f>IF(AND(AE41&lt;&gt;"",1-(AE41/N41)&gt;0),1-(AE41/N41),"")</f>
        <v>0.88365243004418259</v>
      </c>
      <c r="AY41" s="136" t="str">
        <f>IF(P41="","",IF(P41&lt;2.5,"Alc. Bruta &lt; 2,5 mg/L",IF(P41&lt;5,"2,5 ≤ Alc. Bruta &lt; 5,0 mg/L",IF(P41&lt;7.5,"5,0 ≤ Alc. Bruta &lt; 7,5 mg/L",IF(P41&lt;10,"7,5 ≤ Alc. Bruta &lt; 10,0 mg/L",IF(P41&lt;15,"10,0 ≤ Alca. Bruta &lt; 15,0 mg/L","Alc. Bruta &gt; 15 mg/L"))))))</f>
        <v>7,5 ≤ Alc. Bruta &lt; 10,0 mg/L</v>
      </c>
      <c r="AZ41" s="136" t="str">
        <f>IF(O41="","",IF(O41&lt;5,"Cor &lt;5 uC",IF(O41&lt;10,"5 ≤ Cor &lt; 10 uC",IF(O41&lt;15,"10 ≤ Cor &lt;15 uC",IF(O41&lt;30,"15 ≤ Cor &lt; 30 uC",IF(O41&lt;50,"30 ≤ Cor &lt; 50 uC","Cor &gt; 50 uC"))))))</f>
        <v>15 ≤ Cor &lt; 30 uC</v>
      </c>
      <c r="BA41" s="137" t="str">
        <f>IF(N41="","",IF(N41&lt;2.5,"Turbidez &lt; 2,5 uT",IF(N41&lt;5,"2,5 ≤ Turb &lt; 5,0 uT",IF(N41&lt;7.5,"5,0 ≤ Turb &lt; 7,5 uT",IF(N41&lt;10,"7,5 ≤ Turb &lt; 10,0 uT",IF(N41&lt;15,"10,0 ≤ Turb &lt; 15,0 uT","Turb &gt; 15 uT"))))))</f>
        <v>5,0 ≤ Turb &lt; 7,5 uT</v>
      </c>
      <c r="BB41" s="138" t="str">
        <f>IF(AND(C41&gt;D41,D41&gt;E41),"TOR &gt; SM &gt; BNN",IF(AND(C41&gt;E41,E41&gt;D41),"TOR &gt; BNN &gt; SM",IF(AND(D41&gt;C41,C41&gt;E41),"SM &gt; TOR &gt; BNN",IF(AND(D41&gt;E41,E41&gt;C41),"SM &gt; BNN &gt; TOR",IF(AND(C41=D41,D41=E41),"TOR = SM = BNN","Comb. diferentes")))))</f>
        <v>TOR &gt; BNN &gt; SM</v>
      </c>
      <c r="BC41" s="137" t="str">
        <f>IF(OR(AD41="",AP41="-"),"",IF(AD41&lt;=0.25,"Tipo 1 (≤0,25) uT",IF(AD41&lt;=0.5,"Tipo 2 (0,25-0,50) uT",IF(AD41&lt;=0.75,"Tipo 3 (0,50-0,75) uT","Tipo 4 (&gt;0,75) uT"))))</f>
        <v>Tipo 1 (≤0,25) uT</v>
      </c>
      <c r="BD41" s="137" t="str">
        <f>IF(OR(AO41="",AY41="-"),"",IF(AO41&lt;=0.25,"Tipo 1 (≤0,25) uT",IF(AO41&lt;=0.5,"Tipo 2 (0,25-0,50) uT",IF(AO41&lt;=0.75,"Tipo 3 (0,50-0,75) uT","Tipo 4 (&gt;0,75) uT"))))</f>
        <v>Tipo 1 (≤0,25) uT</v>
      </c>
      <c r="BE41" s="137" t="str">
        <f>IF(OR(AE41="",AP41="-"),"",IF(AE41&lt;=0.25,"Tipo 1 (≤0,25) uT",IF(AE41&lt;=0.5,"Tipo 2 (0,25-0,50) uT",IF(AE41&lt;=0.75,"Tipo 3 (0,50-0,75) uT","Tipo 4 (&gt;0,75) uT"))))</f>
        <v>Tipo 4 (&gt;0,75) uT</v>
      </c>
      <c r="BF41" s="137" t="str">
        <f>IF(OR(AP41="",AP41="-"),"",IF(AP41&lt;=0.25,"Tipo 1 (≤0,25) uT",IF(AP41&lt;=0.5,"Tipo 2 (0,25-0,50) uT",IF(AP41&lt;=0.75,"Tipo 3 (0,50-0,75) uT","Tipo 4 (&gt;0,75) uT"))))</f>
        <v>Tipo 4 (&gt;0,75) uT</v>
      </c>
      <c r="BG41" s="137" t="str">
        <f>IF(OR(Q41="",Q41="-"),"",IF(Q41&lt;=0.25,"Tipo 1 (≤0,25) uT",IF(Q41&lt;=0.5,"Tipo 2 (0,25-0,50) uT",IF(Q41&lt;=0.75,"Tipo 3 (0,50-0,75) uT","Tipo 4 (&gt;0,75) uT"))))</f>
        <v>Tipo 1 (≤0,25) uT</v>
      </c>
    </row>
    <row r="42" spans="1:59" ht="15" thickBot="1" x14ac:dyDescent="0.35">
      <c r="A42" s="26">
        <v>46132</v>
      </c>
      <c r="B42" s="110">
        <v>0.22916666666666666</v>
      </c>
      <c r="C42" s="117">
        <v>1215</v>
      </c>
      <c r="D42" s="117">
        <v>86</v>
      </c>
      <c r="E42" s="117">
        <v>499</v>
      </c>
      <c r="F42" s="117">
        <v>1809</v>
      </c>
      <c r="G42" s="11" t="s">
        <v>34</v>
      </c>
      <c r="H42" s="123">
        <v>3.6</v>
      </c>
      <c r="I42" s="117">
        <v>90</v>
      </c>
      <c r="J42" s="117">
        <v>90</v>
      </c>
      <c r="K42" s="117">
        <v>90</v>
      </c>
      <c r="L42" s="123">
        <v>23.5</v>
      </c>
      <c r="M42" s="123">
        <v>6.6</v>
      </c>
      <c r="N42" s="80">
        <v>3.65</v>
      </c>
      <c r="O42" s="117">
        <v>17</v>
      </c>
      <c r="P42" s="123">
        <v>8.1</v>
      </c>
      <c r="Q42" s="80">
        <v>0.23</v>
      </c>
      <c r="R42" s="79">
        <v>22.36</v>
      </c>
      <c r="S42" s="79">
        <v>0.88</v>
      </c>
      <c r="T42" s="79">
        <v>0.7</v>
      </c>
      <c r="U42" s="85"/>
      <c r="V42" s="84"/>
      <c r="W42" s="80"/>
      <c r="X42" s="117"/>
      <c r="Y42" s="117"/>
      <c r="Z42" s="123"/>
      <c r="AA42" s="117"/>
      <c r="AB42" s="123">
        <v>6.7</v>
      </c>
      <c r="AC42" s="123">
        <v>7.5</v>
      </c>
      <c r="AD42" s="11">
        <v>0.15</v>
      </c>
      <c r="AE42" s="80">
        <v>0.72</v>
      </c>
      <c r="AF42" s="80"/>
      <c r="AG42" s="80"/>
      <c r="AH42" s="80"/>
      <c r="AI42" s="117"/>
      <c r="AJ42" s="117"/>
      <c r="AK42" s="80"/>
      <c r="AL42" s="80"/>
      <c r="AM42" s="123">
        <v>6.7</v>
      </c>
      <c r="AN42" s="123">
        <v>7.9</v>
      </c>
      <c r="AO42" s="80">
        <v>0.19</v>
      </c>
      <c r="AP42" s="128">
        <v>1.21</v>
      </c>
      <c r="AQ42" s="132">
        <f t="shared" si="0"/>
        <v>1800</v>
      </c>
      <c r="AR42" s="134">
        <f t="shared" si="1"/>
        <v>0.67500000000000004</v>
      </c>
      <c r="AS42" s="134">
        <f t="shared" si="2"/>
        <v>4.777777777777778E-2</v>
      </c>
      <c r="AT42" s="134">
        <f t="shared" si="3"/>
        <v>0.2772222222222222</v>
      </c>
      <c r="AU42" s="43" t="str">
        <f>IF(AND(F42&lt;&gt;"",Y42&lt;&gt;""),AA42/(F42/2/Y42),"")</f>
        <v/>
      </c>
      <c r="AV42" s="43" t="str">
        <f>IF(AND(F42&lt;&gt;"",AJ42&lt;&gt;""),AL42/(F42/2/AJ42),"")</f>
        <v/>
      </c>
      <c r="AW42" s="41">
        <f>IF(AND(AP42&lt;&gt;"",1-(AP42/N42)&gt;0),1-(AP42/N42),"")</f>
        <v>0.66849315068493143</v>
      </c>
      <c r="AX42" s="41">
        <f>IF(AND(AE42&lt;&gt;"",1-(AE42/N42)&gt;0),1-(AE42/N42),"")</f>
        <v>0.80273972602739729</v>
      </c>
      <c r="AY42" s="136" t="str">
        <f>IF(P42="","",IF(P42&lt;2.5,"Alc. Bruta &lt; 2,5 mg/L",IF(P42&lt;5,"2,5 ≤ Alc. Bruta &lt; 5,0 mg/L",IF(P42&lt;7.5,"5,0 ≤ Alc. Bruta &lt; 7,5 mg/L",IF(P42&lt;10,"7,5 ≤ Alc. Bruta &lt; 10,0 mg/L",IF(P42&lt;15,"10,0 ≤ Alca. Bruta &lt; 15,0 mg/L","Alc. Bruta &gt; 15 mg/L"))))))</f>
        <v>7,5 ≤ Alc. Bruta &lt; 10,0 mg/L</v>
      </c>
      <c r="AZ42" s="136" t="str">
        <f>IF(O42="","",IF(O42&lt;5,"Cor &lt;5 uC",IF(O42&lt;10,"5 ≤ Cor &lt; 10 uC",IF(O42&lt;15,"10 ≤ Cor &lt;15 uC",IF(O42&lt;30,"15 ≤ Cor &lt; 30 uC",IF(O42&lt;50,"30 ≤ Cor &lt; 50 uC","Cor &gt; 50 uC"))))))</f>
        <v>15 ≤ Cor &lt; 30 uC</v>
      </c>
      <c r="BA42" s="137" t="str">
        <f>IF(N42="","",IF(N42&lt;2.5,"Turbidez &lt; 2,5 uT",IF(N42&lt;5,"2,5 ≤ Turb &lt; 5,0 uT",IF(N42&lt;7.5,"5,0 ≤ Turb &lt; 7,5 uT",IF(N42&lt;10,"7,5 ≤ Turb &lt; 10,0 uT",IF(N42&lt;15,"10,0 ≤ Turb &lt; 15,0 uT","Turb &gt; 15 uT"))))))</f>
        <v>2,5 ≤ Turb &lt; 5,0 uT</v>
      </c>
      <c r="BB42" s="138" t="str">
        <f>IF(AND(C42&gt;D42,D42&gt;E42),"TOR &gt; SM &gt; BNN",IF(AND(C42&gt;E42,E42&gt;D42),"TOR &gt; BNN &gt; SM",IF(AND(D42&gt;C42,C42&gt;E42),"SM &gt; TOR &gt; BNN",IF(AND(D42&gt;E42,E42&gt;C42),"SM &gt; BNN &gt; TOR",IF(AND(C42=D42,D42=E42),"TOR = SM = BNN","Comb. diferentes")))))</f>
        <v>TOR &gt; BNN &gt; SM</v>
      </c>
      <c r="BC42" s="137" t="str">
        <f>IF(OR(AD42="",AP42="-"),"",IF(AD42&lt;=0.25,"Tipo 1 (≤0,25) uT",IF(AD42&lt;=0.5,"Tipo 2 (0,25-0,50) uT",IF(AD42&lt;=0.75,"Tipo 3 (0,50-0,75) uT","Tipo 4 (&gt;0,75) uT"))))</f>
        <v>Tipo 1 (≤0,25) uT</v>
      </c>
      <c r="BD42" s="137" t="str">
        <f>IF(OR(AO42="",AY42="-"),"",IF(AO42&lt;=0.25,"Tipo 1 (≤0,25) uT",IF(AO42&lt;=0.5,"Tipo 2 (0,25-0,50) uT",IF(AO42&lt;=0.75,"Tipo 3 (0,50-0,75) uT","Tipo 4 (&gt;0,75) uT"))))</f>
        <v>Tipo 1 (≤0,25) uT</v>
      </c>
      <c r="BE42" s="137" t="str">
        <f>IF(OR(AE42="",AP42="-"),"",IF(AE42&lt;=0.25,"Tipo 1 (≤0,25) uT",IF(AE42&lt;=0.5,"Tipo 2 (0,25-0,50) uT",IF(AE42&lt;=0.75,"Tipo 3 (0,50-0,75) uT","Tipo 4 (&gt;0,75) uT"))))</f>
        <v>Tipo 3 (0,50-0,75) uT</v>
      </c>
      <c r="BF42" s="137" t="str">
        <f>IF(OR(AP42="",AP42="-"),"",IF(AP42&lt;=0.25,"Tipo 1 (≤0,25) uT",IF(AP42&lt;=0.5,"Tipo 2 (0,25-0,50) uT",IF(AP42&lt;=0.75,"Tipo 3 (0,50-0,75) uT","Tipo 4 (&gt;0,75) uT"))))</f>
        <v>Tipo 4 (&gt;0,75) uT</v>
      </c>
      <c r="BG42" s="137" t="str">
        <f>IF(OR(Q42="",Q42="-"),"",IF(Q42&lt;=0.25,"Tipo 1 (≤0,25) uT",IF(Q42&lt;=0.5,"Tipo 2 (0,25-0,50) uT",IF(Q42&lt;=0.75,"Tipo 3 (0,50-0,75) uT","Tipo 4 (&gt;0,75) uT"))))</f>
        <v>Tipo 1 (≤0,25) uT</v>
      </c>
    </row>
    <row r="43" spans="1:59" x14ac:dyDescent="0.3">
      <c r="A43" s="26">
        <v>46132</v>
      </c>
      <c r="B43" s="111">
        <v>0.3125</v>
      </c>
      <c r="C43" s="118">
        <v>1080</v>
      </c>
      <c r="D43" s="118">
        <v>0</v>
      </c>
      <c r="E43" s="118">
        <v>500.2</v>
      </c>
      <c r="F43" s="118">
        <v>1877</v>
      </c>
      <c r="G43" s="9" t="s">
        <v>34</v>
      </c>
      <c r="H43" s="124">
        <v>3.6</v>
      </c>
      <c r="I43" s="118">
        <v>90</v>
      </c>
      <c r="J43" s="118">
        <v>90</v>
      </c>
      <c r="K43" s="118">
        <v>90</v>
      </c>
      <c r="L43" s="124">
        <v>23.3</v>
      </c>
      <c r="M43" s="124">
        <v>6.8</v>
      </c>
      <c r="N43" s="81">
        <v>3.71</v>
      </c>
      <c r="O43" s="118">
        <v>15</v>
      </c>
      <c r="P43" s="124">
        <v>6.5</v>
      </c>
      <c r="Q43" s="81">
        <v>0.27</v>
      </c>
      <c r="R43" s="79">
        <v>22.36</v>
      </c>
      <c r="S43" s="79">
        <v>0.88</v>
      </c>
      <c r="T43" s="79">
        <v>0.7</v>
      </c>
      <c r="U43" s="85"/>
      <c r="V43" s="82"/>
      <c r="W43" s="81"/>
      <c r="X43" s="118"/>
      <c r="Y43" s="118"/>
      <c r="Z43" s="124"/>
      <c r="AA43" s="118"/>
      <c r="AB43" s="124">
        <v>6.8</v>
      </c>
      <c r="AC43" s="124">
        <v>6.5</v>
      </c>
      <c r="AD43" s="9">
        <v>0.12</v>
      </c>
      <c r="AE43" s="81">
        <v>0.76</v>
      </c>
      <c r="AF43" s="81"/>
      <c r="AG43" s="81"/>
      <c r="AH43" s="81"/>
      <c r="AI43" s="118"/>
      <c r="AJ43" s="118"/>
      <c r="AK43" s="81"/>
      <c r="AL43" s="81"/>
      <c r="AM43" s="124">
        <v>6.6</v>
      </c>
      <c r="AN43" s="124">
        <v>6.8</v>
      </c>
      <c r="AO43" s="81">
        <v>0.14000000000000001</v>
      </c>
      <c r="AP43" s="129">
        <v>1.05</v>
      </c>
      <c r="AQ43" s="132">
        <f t="shared" si="0"/>
        <v>1580.2</v>
      </c>
      <c r="AR43" s="134">
        <f t="shared" si="1"/>
        <v>0.68345779015314512</v>
      </c>
      <c r="AS43" s="134">
        <f t="shared" si="2"/>
        <v>0</v>
      </c>
      <c r="AT43" s="134">
        <f t="shared" si="3"/>
        <v>0.31654220984685483</v>
      </c>
      <c r="AU43" s="43" t="str">
        <f>IF(AND(F43&lt;&gt;"",Y43&lt;&gt;""),AA43/(F43/2/Y43),"")</f>
        <v/>
      </c>
      <c r="AV43" s="43" t="str">
        <f>IF(AND(F43&lt;&gt;"",AJ43&lt;&gt;""),AL43/(F43/2/AJ43),"")</f>
        <v/>
      </c>
      <c r="AW43" s="41">
        <f>IF(AND(AP43&lt;&gt;"",1-(AP43/N43)&gt;0),1-(AP43/N43),"")</f>
        <v>0.71698113207547176</v>
      </c>
      <c r="AX43" s="41">
        <f>IF(AND(AE43&lt;&gt;"",1-(AE43/N43)&gt;0),1-(AE43/N43),"")</f>
        <v>0.79514824797843664</v>
      </c>
      <c r="AY43" s="136" t="str">
        <f>IF(P43="","",IF(P43&lt;2.5,"Alc. Bruta &lt; 2,5 mg/L",IF(P43&lt;5,"2,5 ≤ Alc. Bruta &lt; 5,0 mg/L",IF(P43&lt;7.5,"5,0 ≤ Alc. Bruta &lt; 7,5 mg/L",IF(P43&lt;10,"7,5 ≤ Alc. Bruta &lt; 10,0 mg/L",IF(P43&lt;15,"10,0 ≤ Alca. Bruta &lt; 15,0 mg/L","Alc. Bruta &gt; 15 mg/L"))))))</f>
        <v>5,0 ≤ Alc. Bruta &lt; 7,5 mg/L</v>
      </c>
      <c r="AZ43" s="136" t="str">
        <f>IF(O43="","",IF(O43&lt;5,"Cor &lt;5 uC",IF(O43&lt;10,"5 ≤ Cor &lt; 10 uC",IF(O43&lt;15,"10 ≤ Cor &lt;15 uC",IF(O43&lt;30,"15 ≤ Cor &lt; 30 uC",IF(O43&lt;50,"30 ≤ Cor &lt; 50 uC","Cor &gt; 50 uC"))))))</f>
        <v>15 ≤ Cor &lt; 30 uC</v>
      </c>
      <c r="BA43" s="137" t="str">
        <f>IF(N43="","",IF(N43&lt;2.5,"Turbidez &lt; 2,5 uT",IF(N43&lt;5,"2,5 ≤ Turb &lt; 5,0 uT",IF(N43&lt;7.5,"5,0 ≤ Turb &lt; 7,5 uT",IF(N43&lt;10,"7,5 ≤ Turb &lt; 10,0 uT",IF(N43&lt;15,"10,0 ≤ Turb &lt; 15,0 uT","Turb &gt; 15 uT"))))))</f>
        <v>2,5 ≤ Turb &lt; 5,0 uT</v>
      </c>
      <c r="BB43" s="138" t="str">
        <f>IF(AND(C43&gt;D43,D43&gt;E43),"TOR &gt; SM &gt; BNN",IF(AND(C43&gt;E43,E43&gt;D43),"TOR &gt; BNN &gt; SM",IF(AND(D43&gt;C43,C43&gt;E43),"SM &gt; TOR &gt; BNN",IF(AND(D43&gt;E43,E43&gt;C43),"SM &gt; BNN &gt; TOR",IF(AND(C43=D43,D43=E43),"TOR = SM = BNN","Comb. diferentes")))))</f>
        <v>TOR &gt; BNN &gt; SM</v>
      </c>
      <c r="BC43" s="137" t="str">
        <f>IF(OR(AD43="",AP43="-"),"",IF(AD43&lt;=0.25,"Tipo 1 (≤0,25) uT",IF(AD43&lt;=0.5,"Tipo 2 (0,25-0,50) uT",IF(AD43&lt;=0.75,"Tipo 3 (0,50-0,75) uT","Tipo 4 (&gt;0,75) uT"))))</f>
        <v>Tipo 1 (≤0,25) uT</v>
      </c>
      <c r="BD43" s="137" t="str">
        <f>IF(OR(AO43="",AY43="-"),"",IF(AO43&lt;=0.25,"Tipo 1 (≤0,25) uT",IF(AO43&lt;=0.5,"Tipo 2 (0,25-0,50) uT",IF(AO43&lt;=0.75,"Tipo 3 (0,50-0,75) uT","Tipo 4 (&gt;0,75) uT"))))</f>
        <v>Tipo 1 (≤0,25) uT</v>
      </c>
      <c r="BE43" s="137" t="str">
        <f>IF(OR(AE43="",AP43="-"),"",IF(AE43&lt;=0.25,"Tipo 1 (≤0,25) uT",IF(AE43&lt;=0.5,"Tipo 2 (0,25-0,50) uT",IF(AE43&lt;=0.75,"Tipo 3 (0,50-0,75) uT","Tipo 4 (&gt;0,75) uT"))))</f>
        <v>Tipo 4 (&gt;0,75) uT</v>
      </c>
      <c r="BF43" s="137" t="str">
        <f>IF(OR(AP43="",AP43="-"),"",IF(AP43&lt;=0.25,"Tipo 1 (≤0,25) uT",IF(AP43&lt;=0.5,"Tipo 2 (0,25-0,50) uT",IF(AP43&lt;=0.75,"Tipo 3 (0,50-0,75) uT","Tipo 4 (&gt;0,75) uT"))))</f>
        <v>Tipo 4 (&gt;0,75) uT</v>
      </c>
      <c r="BG43" s="137" t="str">
        <f>IF(OR(Q43="",Q43="-"),"",IF(Q43&lt;=0.25,"Tipo 1 (≤0,25) uT",IF(Q43&lt;=0.5,"Tipo 2 (0,25-0,50) uT",IF(Q43&lt;=0.75,"Tipo 3 (0,50-0,75) uT","Tipo 4 (&gt;0,75) uT"))))</f>
        <v>Tipo 2 (0,25-0,50) uT</v>
      </c>
    </row>
    <row r="44" spans="1:59" x14ac:dyDescent="0.3">
      <c r="A44" s="26">
        <v>46132</v>
      </c>
      <c r="B44" s="107">
        <v>0.39583333333333331</v>
      </c>
      <c r="C44" s="116">
        <v>1191.3</v>
      </c>
      <c r="D44" s="116">
        <v>0</v>
      </c>
      <c r="E44" s="116">
        <v>500.7</v>
      </c>
      <c r="F44" s="116">
        <v>1878</v>
      </c>
      <c r="G44" s="10" t="s">
        <v>34</v>
      </c>
      <c r="H44" s="122">
        <v>3.2</v>
      </c>
      <c r="I44" s="116">
        <v>90</v>
      </c>
      <c r="J44" s="116">
        <v>90</v>
      </c>
      <c r="K44" s="116">
        <v>90</v>
      </c>
      <c r="L44" s="122">
        <v>23.6</v>
      </c>
      <c r="M44" s="122">
        <v>6.8</v>
      </c>
      <c r="N44" s="79">
        <v>4.58</v>
      </c>
      <c r="O44" s="116">
        <v>21</v>
      </c>
      <c r="P44" s="122">
        <v>6.2</v>
      </c>
      <c r="Q44" s="79">
        <v>0.34</v>
      </c>
      <c r="R44" s="79">
        <v>22.36</v>
      </c>
      <c r="S44" s="79">
        <v>0.88</v>
      </c>
      <c r="T44" s="79">
        <v>0.7</v>
      </c>
      <c r="U44" s="85"/>
      <c r="V44" s="79"/>
      <c r="W44" s="79"/>
      <c r="X44" s="116"/>
      <c r="Y44" s="116"/>
      <c r="Z44" s="122"/>
      <c r="AA44" s="116"/>
      <c r="AB44" s="122">
        <v>6.7</v>
      </c>
      <c r="AC44" s="122">
        <v>8.1</v>
      </c>
      <c r="AD44" s="10">
        <v>0.17</v>
      </c>
      <c r="AE44" s="79">
        <v>0.86</v>
      </c>
      <c r="AF44" s="79"/>
      <c r="AG44" s="79"/>
      <c r="AH44" s="79"/>
      <c r="AI44" s="116"/>
      <c r="AJ44" s="116"/>
      <c r="AK44" s="79"/>
      <c r="AL44" s="79"/>
      <c r="AM44" s="122">
        <v>6.7</v>
      </c>
      <c r="AN44" s="122">
        <v>7.3</v>
      </c>
      <c r="AO44" s="79">
        <v>0.25</v>
      </c>
      <c r="AP44" s="127">
        <v>1.21</v>
      </c>
      <c r="AQ44" s="132">
        <f t="shared" si="0"/>
        <v>1692</v>
      </c>
      <c r="AR44" s="134">
        <f t="shared" si="1"/>
        <v>0.70407801418439708</v>
      </c>
      <c r="AS44" s="134">
        <f t="shared" si="2"/>
        <v>0</v>
      </c>
      <c r="AT44" s="134">
        <f t="shared" si="3"/>
        <v>0.29592198581560281</v>
      </c>
      <c r="AU44" s="43" t="str">
        <f>IF(AND(F44&lt;&gt;"",Y44&lt;&gt;""),AA44/(F44/2/Y44),"")</f>
        <v/>
      </c>
      <c r="AV44" s="43" t="str">
        <f>IF(AND(F44&lt;&gt;"",AJ44&lt;&gt;""),AL44/(F44/2/AJ44),"")</f>
        <v/>
      </c>
      <c r="AW44" s="41">
        <f>IF(AND(AP44&lt;&gt;"",1-(AP44/N44)&gt;0),1-(AP44/N44),"")</f>
        <v>0.73580786026200873</v>
      </c>
      <c r="AX44" s="41">
        <f>IF(AND(AE44&lt;&gt;"",1-(AE44/N44)&gt;0),1-(AE44/N44),"")</f>
        <v>0.81222707423580787</v>
      </c>
      <c r="AY44" s="136" t="str">
        <f>IF(P44="","",IF(P44&lt;2.5,"Alc. Bruta &lt; 2,5 mg/L",IF(P44&lt;5,"2,5 ≤ Alc. Bruta &lt; 5,0 mg/L",IF(P44&lt;7.5,"5,0 ≤ Alc. Bruta &lt; 7,5 mg/L",IF(P44&lt;10,"7,5 ≤ Alc. Bruta &lt; 10,0 mg/L",IF(P44&lt;15,"10,0 ≤ Alca. Bruta &lt; 15,0 mg/L","Alc. Bruta &gt; 15 mg/L"))))))</f>
        <v>5,0 ≤ Alc. Bruta &lt; 7,5 mg/L</v>
      </c>
      <c r="AZ44" s="136" t="str">
        <f>IF(O44="","",IF(O44&lt;5,"Cor &lt;5 uC",IF(O44&lt;10,"5 ≤ Cor &lt; 10 uC",IF(O44&lt;15,"10 ≤ Cor &lt;15 uC",IF(O44&lt;30,"15 ≤ Cor &lt; 30 uC",IF(O44&lt;50,"30 ≤ Cor &lt; 50 uC","Cor &gt; 50 uC"))))))</f>
        <v>15 ≤ Cor &lt; 30 uC</v>
      </c>
      <c r="BA44" s="137" t="str">
        <f>IF(N44="","",IF(N44&lt;2.5,"Turbidez &lt; 2,5 uT",IF(N44&lt;5,"2,5 ≤ Turb &lt; 5,0 uT",IF(N44&lt;7.5,"5,0 ≤ Turb &lt; 7,5 uT",IF(N44&lt;10,"7,5 ≤ Turb &lt; 10,0 uT",IF(N44&lt;15,"10,0 ≤ Turb &lt; 15,0 uT","Turb &gt; 15 uT"))))))</f>
        <v>2,5 ≤ Turb &lt; 5,0 uT</v>
      </c>
      <c r="BB44" s="138" t="str">
        <f>IF(AND(C44&gt;D44,D44&gt;E44),"TOR &gt; SM &gt; BNN",IF(AND(C44&gt;E44,E44&gt;D44),"TOR &gt; BNN &gt; SM",IF(AND(D44&gt;C44,C44&gt;E44),"SM &gt; TOR &gt; BNN",IF(AND(D44&gt;E44,E44&gt;C44),"SM &gt; BNN &gt; TOR",IF(AND(C44=D44,D44=E44),"TOR = SM = BNN","Comb. diferentes")))))</f>
        <v>TOR &gt; BNN &gt; SM</v>
      </c>
      <c r="BC44" s="137" t="str">
        <f>IF(OR(AD44="",AP44="-"),"",IF(AD44&lt;=0.25,"Tipo 1 (≤0,25) uT",IF(AD44&lt;=0.5,"Tipo 2 (0,25-0,50) uT",IF(AD44&lt;=0.75,"Tipo 3 (0,50-0,75) uT","Tipo 4 (&gt;0,75) uT"))))</f>
        <v>Tipo 1 (≤0,25) uT</v>
      </c>
      <c r="BD44" s="137" t="str">
        <f>IF(OR(AO44="",AY44="-"),"",IF(AO44&lt;=0.25,"Tipo 1 (≤0,25) uT",IF(AO44&lt;=0.5,"Tipo 2 (0,25-0,50) uT",IF(AO44&lt;=0.75,"Tipo 3 (0,50-0,75) uT","Tipo 4 (&gt;0,75) uT"))))</f>
        <v>Tipo 1 (≤0,25) uT</v>
      </c>
      <c r="BE44" s="137" t="str">
        <f>IF(OR(AE44="",AP44="-"),"",IF(AE44&lt;=0.25,"Tipo 1 (≤0,25) uT",IF(AE44&lt;=0.5,"Tipo 2 (0,25-0,50) uT",IF(AE44&lt;=0.75,"Tipo 3 (0,50-0,75) uT","Tipo 4 (&gt;0,75) uT"))))</f>
        <v>Tipo 4 (&gt;0,75) uT</v>
      </c>
      <c r="BF44" s="137" t="str">
        <f>IF(OR(AP44="",AP44="-"),"",IF(AP44&lt;=0.25,"Tipo 1 (≤0,25) uT",IF(AP44&lt;=0.5,"Tipo 2 (0,25-0,50) uT",IF(AP44&lt;=0.75,"Tipo 3 (0,50-0,75) uT","Tipo 4 (&gt;0,75) uT"))))</f>
        <v>Tipo 4 (&gt;0,75) uT</v>
      </c>
      <c r="BG44" s="137" t="str">
        <f>IF(OR(Q44="",Q44="-"),"",IF(Q44&lt;=0.25,"Tipo 1 (≤0,25) uT",IF(Q44&lt;=0.5,"Tipo 2 (0,25-0,50) uT",IF(Q44&lt;=0.75,"Tipo 3 (0,50-0,75) uT","Tipo 4 (&gt;0,75) uT"))))</f>
        <v>Tipo 2 (0,25-0,50) uT</v>
      </c>
    </row>
    <row r="45" spans="1:59" x14ac:dyDescent="0.3">
      <c r="A45" s="26">
        <v>46132</v>
      </c>
      <c r="B45" s="107">
        <v>0.47916666666666669</v>
      </c>
      <c r="C45" s="116">
        <v>1191</v>
      </c>
      <c r="D45" s="116">
        <v>0</v>
      </c>
      <c r="E45" s="116">
        <v>500</v>
      </c>
      <c r="F45" s="116">
        <v>1889</v>
      </c>
      <c r="G45" s="10" t="s">
        <v>100</v>
      </c>
      <c r="H45" s="122">
        <v>3.2</v>
      </c>
      <c r="I45" s="116">
        <v>90</v>
      </c>
      <c r="J45" s="116">
        <v>90</v>
      </c>
      <c r="K45" s="116">
        <v>90</v>
      </c>
      <c r="L45" s="122">
        <v>24.2</v>
      </c>
      <c r="M45" s="122">
        <v>6.7</v>
      </c>
      <c r="N45" s="79">
        <v>4.37</v>
      </c>
      <c r="O45" s="116">
        <v>16</v>
      </c>
      <c r="P45" s="122">
        <v>6.2</v>
      </c>
      <c r="Q45" s="79">
        <v>0.36</v>
      </c>
      <c r="R45" s="79">
        <v>22.36</v>
      </c>
      <c r="S45" s="79">
        <v>0.88</v>
      </c>
      <c r="T45" s="79">
        <v>0.7</v>
      </c>
      <c r="U45" s="85"/>
      <c r="V45" s="79"/>
      <c r="W45" s="79"/>
      <c r="X45" s="116"/>
      <c r="Y45" s="116"/>
      <c r="Z45" s="122"/>
      <c r="AA45" s="116"/>
      <c r="AB45" s="122">
        <v>6.7</v>
      </c>
      <c r="AC45" s="122">
        <v>5.4</v>
      </c>
      <c r="AD45" s="10">
        <v>0.15</v>
      </c>
      <c r="AE45" s="79">
        <v>1.1000000000000001</v>
      </c>
      <c r="AF45" s="79"/>
      <c r="AG45" s="79"/>
      <c r="AH45" s="79"/>
      <c r="AI45" s="116"/>
      <c r="AJ45" s="116"/>
      <c r="AK45" s="79"/>
      <c r="AL45" s="79"/>
      <c r="AM45" s="122">
        <v>6.7</v>
      </c>
      <c r="AN45" s="122">
        <v>6.1</v>
      </c>
      <c r="AO45" s="79">
        <v>0.19</v>
      </c>
      <c r="AP45" s="127">
        <v>1.18</v>
      </c>
      <c r="AQ45" s="132">
        <f t="shared" si="0"/>
        <v>1691</v>
      </c>
      <c r="AR45" s="134">
        <f t="shared" si="1"/>
        <v>0.70431697220579537</v>
      </c>
      <c r="AS45" s="134">
        <f t="shared" si="2"/>
        <v>0</v>
      </c>
      <c r="AT45" s="134">
        <f t="shared" si="3"/>
        <v>0.29568302779420463</v>
      </c>
      <c r="AU45" s="43" t="str">
        <f>IF(AND(F45&lt;&gt;"",Y45&lt;&gt;""),AA45/(F45/2/Y45),"")</f>
        <v/>
      </c>
      <c r="AV45" s="43" t="str">
        <f>IF(AND(F45&lt;&gt;"",AJ45&lt;&gt;""),AL45/(F45/2/AJ45),"")</f>
        <v/>
      </c>
      <c r="AW45" s="41">
        <f>IF(AND(AP45&lt;&gt;"",1-(AP45/N45)&gt;0),1-(AP45/N45),"")</f>
        <v>0.72997711670480547</v>
      </c>
      <c r="AX45" s="41">
        <f>IF(AND(AE45&lt;&gt;"",1-(AE45/N45)&gt;0),1-(AE45/N45),"")</f>
        <v>0.74828375286041182</v>
      </c>
      <c r="AY45" s="136" t="str">
        <f>IF(P45="","",IF(P45&lt;2.5,"Alc. Bruta &lt; 2,5 mg/L",IF(P45&lt;5,"2,5 ≤ Alc. Bruta &lt; 5,0 mg/L",IF(P45&lt;7.5,"5,0 ≤ Alc. Bruta &lt; 7,5 mg/L",IF(P45&lt;10,"7,5 ≤ Alc. Bruta &lt; 10,0 mg/L",IF(P45&lt;15,"10,0 ≤ Alca. Bruta &lt; 15,0 mg/L","Alc. Bruta &gt; 15 mg/L"))))))</f>
        <v>5,0 ≤ Alc. Bruta &lt; 7,5 mg/L</v>
      </c>
      <c r="AZ45" s="136" t="str">
        <f>IF(O45="","",IF(O45&lt;5,"Cor &lt;5 uC",IF(O45&lt;10,"5 ≤ Cor &lt; 10 uC",IF(O45&lt;15,"10 ≤ Cor &lt;15 uC",IF(O45&lt;30,"15 ≤ Cor &lt; 30 uC",IF(O45&lt;50,"30 ≤ Cor &lt; 50 uC","Cor &gt; 50 uC"))))))</f>
        <v>15 ≤ Cor &lt; 30 uC</v>
      </c>
      <c r="BA45" s="137" t="str">
        <f>IF(N45="","",IF(N45&lt;2.5,"Turbidez &lt; 2,5 uT",IF(N45&lt;5,"2,5 ≤ Turb &lt; 5,0 uT",IF(N45&lt;7.5,"5,0 ≤ Turb &lt; 7,5 uT",IF(N45&lt;10,"7,5 ≤ Turb &lt; 10,0 uT",IF(N45&lt;15,"10,0 ≤ Turb &lt; 15,0 uT","Turb &gt; 15 uT"))))))</f>
        <v>2,5 ≤ Turb &lt; 5,0 uT</v>
      </c>
      <c r="BB45" s="138" t="str">
        <f>IF(AND(C45&gt;D45,D45&gt;E45),"TOR &gt; SM &gt; BNN",IF(AND(C45&gt;E45,E45&gt;D45),"TOR &gt; BNN &gt; SM",IF(AND(D45&gt;C45,C45&gt;E45),"SM &gt; TOR &gt; BNN",IF(AND(D45&gt;E45,E45&gt;C45),"SM &gt; BNN &gt; TOR",IF(AND(C45=D45,D45=E45),"TOR = SM = BNN","Comb. diferentes")))))</f>
        <v>TOR &gt; BNN &gt; SM</v>
      </c>
      <c r="BC45" s="137" t="str">
        <f>IF(OR(AD45="",AP45="-"),"",IF(AD45&lt;=0.25,"Tipo 1 (≤0,25) uT",IF(AD45&lt;=0.5,"Tipo 2 (0,25-0,50) uT",IF(AD45&lt;=0.75,"Tipo 3 (0,50-0,75) uT","Tipo 4 (&gt;0,75) uT"))))</f>
        <v>Tipo 1 (≤0,25) uT</v>
      </c>
      <c r="BD45" s="137" t="str">
        <f>IF(OR(AO45="",AY45="-"),"",IF(AO45&lt;=0.25,"Tipo 1 (≤0,25) uT",IF(AO45&lt;=0.5,"Tipo 2 (0,25-0,50) uT",IF(AO45&lt;=0.75,"Tipo 3 (0,50-0,75) uT","Tipo 4 (&gt;0,75) uT"))))</f>
        <v>Tipo 1 (≤0,25) uT</v>
      </c>
      <c r="BE45" s="137" t="str">
        <f>IF(OR(AE45="",AP45="-"),"",IF(AE45&lt;=0.25,"Tipo 1 (≤0,25) uT",IF(AE45&lt;=0.5,"Tipo 2 (0,25-0,50) uT",IF(AE45&lt;=0.75,"Tipo 3 (0,50-0,75) uT","Tipo 4 (&gt;0,75) uT"))))</f>
        <v>Tipo 4 (&gt;0,75) uT</v>
      </c>
      <c r="BF45" s="137" t="str">
        <f>IF(OR(AP45="",AP45="-"),"",IF(AP45&lt;=0.25,"Tipo 1 (≤0,25) uT",IF(AP45&lt;=0.5,"Tipo 2 (0,25-0,50) uT",IF(AP45&lt;=0.75,"Tipo 3 (0,50-0,75) uT","Tipo 4 (&gt;0,75) uT"))))</f>
        <v>Tipo 4 (&gt;0,75) uT</v>
      </c>
      <c r="BG45" s="137" t="str">
        <f>IF(OR(Q45="",Q45="-"),"",IF(Q45&lt;=0.25,"Tipo 1 (≤0,25) uT",IF(Q45&lt;=0.5,"Tipo 2 (0,25-0,50) uT",IF(Q45&lt;=0.75,"Tipo 3 (0,50-0,75) uT","Tipo 4 (&gt;0,75) uT"))))</f>
        <v>Tipo 2 (0,25-0,50) uT</v>
      </c>
    </row>
    <row r="46" spans="1:59" x14ac:dyDescent="0.3">
      <c r="A46" s="26">
        <v>46132</v>
      </c>
      <c r="B46" s="107">
        <v>0.5625</v>
      </c>
      <c r="C46" s="116">
        <v>1236.4000000000001</v>
      </c>
      <c r="D46" s="116">
        <v>0</v>
      </c>
      <c r="E46" s="116">
        <v>499.4</v>
      </c>
      <c r="F46" s="116">
        <v>1881</v>
      </c>
      <c r="G46" s="10" t="s">
        <v>34</v>
      </c>
      <c r="H46" s="122">
        <v>3.4</v>
      </c>
      <c r="I46" s="116">
        <v>90</v>
      </c>
      <c r="J46" s="116">
        <v>90</v>
      </c>
      <c r="K46" s="116">
        <v>90</v>
      </c>
      <c r="L46" s="122">
        <v>24.7</v>
      </c>
      <c r="M46" s="122">
        <v>6.8</v>
      </c>
      <c r="N46" s="79">
        <v>4.6100000000000003</v>
      </c>
      <c r="O46" s="116">
        <v>16</v>
      </c>
      <c r="P46" s="122">
        <v>6.4</v>
      </c>
      <c r="Q46" s="79">
        <v>0.66</v>
      </c>
      <c r="R46" s="79">
        <v>22.36</v>
      </c>
      <c r="S46" s="79">
        <v>0.88</v>
      </c>
      <c r="T46" s="79">
        <v>0.7</v>
      </c>
      <c r="U46" s="85"/>
      <c r="V46" s="79"/>
      <c r="W46" s="79"/>
      <c r="X46" s="116"/>
      <c r="Y46" s="116"/>
      <c r="Z46" s="122"/>
      <c r="AA46" s="116"/>
      <c r="AB46" s="122">
        <v>6.8</v>
      </c>
      <c r="AC46" s="122">
        <v>7.3</v>
      </c>
      <c r="AD46" s="10">
        <v>0.32</v>
      </c>
      <c r="AE46" s="79">
        <v>1.38</v>
      </c>
      <c r="AF46" s="79"/>
      <c r="AG46" s="79"/>
      <c r="AH46" s="79"/>
      <c r="AI46" s="116"/>
      <c r="AJ46" s="116"/>
      <c r="AK46" s="79"/>
      <c r="AL46" s="79"/>
      <c r="AM46" s="122">
        <v>6.7</v>
      </c>
      <c r="AN46" s="122">
        <v>6.8</v>
      </c>
      <c r="AO46" s="79">
        <v>0.23</v>
      </c>
      <c r="AP46" s="127">
        <v>2.48</v>
      </c>
      <c r="AQ46" s="132">
        <f t="shared" si="0"/>
        <v>1735.8000000000002</v>
      </c>
      <c r="AR46" s="134">
        <f t="shared" si="1"/>
        <v>0.7122940430925222</v>
      </c>
      <c r="AS46" s="134">
        <f t="shared" si="2"/>
        <v>0</v>
      </c>
      <c r="AT46" s="134">
        <f t="shared" si="3"/>
        <v>0.2877059569074778</v>
      </c>
      <c r="AU46" s="43" t="str">
        <f>IF(AND(F46&lt;&gt;"",Y46&lt;&gt;""),AA46/(F46/2/Y46),"")</f>
        <v/>
      </c>
      <c r="AV46" s="43" t="str">
        <f>IF(AND(F46&lt;&gt;"",AJ46&lt;&gt;""),AL46/(F46/2/AJ46),"")</f>
        <v/>
      </c>
      <c r="AW46" s="41">
        <f>IF(AND(AP46&lt;&gt;"",1-(AP46/N46)&gt;0),1-(AP46/N46),"")</f>
        <v>0.46203904555314534</v>
      </c>
      <c r="AX46" s="41">
        <f>IF(AND(AE46&lt;&gt;"",1-(AE46/N46)&gt;0),1-(AE46/N46),"")</f>
        <v>0.70065075921908893</v>
      </c>
      <c r="AY46" s="136" t="str">
        <f>IF(P46="","",IF(P46&lt;2.5,"Alc. Bruta &lt; 2,5 mg/L",IF(P46&lt;5,"2,5 ≤ Alc. Bruta &lt; 5,0 mg/L",IF(P46&lt;7.5,"5,0 ≤ Alc. Bruta &lt; 7,5 mg/L",IF(P46&lt;10,"7,5 ≤ Alc. Bruta &lt; 10,0 mg/L",IF(P46&lt;15,"10,0 ≤ Alca. Bruta &lt; 15,0 mg/L","Alc. Bruta &gt; 15 mg/L"))))))</f>
        <v>5,0 ≤ Alc. Bruta &lt; 7,5 mg/L</v>
      </c>
      <c r="AZ46" s="136" t="str">
        <f>IF(O46="","",IF(O46&lt;5,"Cor &lt;5 uC",IF(O46&lt;10,"5 ≤ Cor &lt; 10 uC",IF(O46&lt;15,"10 ≤ Cor &lt;15 uC",IF(O46&lt;30,"15 ≤ Cor &lt; 30 uC",IF(O46&lt;50,"30 ≤ Cor &lt; 50 uC","Cor &gt; 50 uC"))))))</f>
        <v>15 ≤ Cor &lt; 30 uC</v>
      </c>
      <c r="BA46" s="137" t="str">
        <f>IF(N46="","",IF(N46&lt;2.5,"Turbidez &lt; 2,5 uT",IF(N46&lt;5,"2,5 ≤ Turb &lt; 5,0 uT",IF(N46&lt;7.5,"5,0 ≤ Turb &lt; 7,5 uT",IF(N46&lt;10,"7,5 ≤ Turb &lt; 10,0 uT",IF(N46&lt;15,"10,0 ≤ Turb &lt; 15,0 uT","Turb &gt; 15 uT"))))))</f>
        <v>2,5 ≤ Turb &lt; 5,0 uT</v>
      </c>
      <c r="BB46" s="138" t="str">
        <f>IF(AND(C46&gt;D46,D46&gt;E46),"TOR &gt; SM &gt; BNN",IF(AND(C46&gt;E46,E46&gt;D46),"TOR &gt; BNN &gt; SM",IF(AND(D46&gt;C46,C46&gt;E46),"SM &gt; TOR &gt; BNN",IF(AND(D46&gt;E46,E46&gt;C46),"SM &gt; BNN &gt; TOR",IF(AND(C46=D46,D46=E46),"TOR = SM = BNN","Comb. diferentes")))))</f>
        <v>TOR &gt; BNN &gt; SM</v>
      </c>
      <c r="BC46" s="137" t="str">
        <f>IF(OR(AD46="",AP46="-"),"",IF(AD46&lt;=0.25,"Tipo 1 (≤0,25) uT",IF(AD46&lt;=0.5,"Tipo 2 (0,25-0,50) uT",IF(AD46&lt;=0.75,"Tipo 3 (0,50-0,75) uT","Tipo 4 (&gt;0,75) uT"))))</f>
        <v>Tipo 2 (0,25-0,50) uT</v>
      </c>
      <c r="BD46" s="137" t="str">
        <f>IF(OR(AO46="",AY46="-"),"",IF(AO46&lt;=0.25,"Tipo 1 (≤0,25) uT",IF(AO46&lt;=0.5,"Tipo 2 (0,25-0,50) uT",IF(AO46&lt;=0.75,"Tipo 3 (0,50-0,75) uT","Tipo 4 (&gt;0,75) uT"))))</f>
        <v>Tipo 1 (≤0,25) uT</v>
      </c>
      <c r="BE46" s="137" t="str">
        <f>IF(OR(AE46="",AP46="-"),"",IF(AE46&lt;=0.25,"Tipo 1 (≤0,25) uT",IF(AE46&lt;=0.5,"Tipo 2 (0,25-0,50) uT",IF(AE46&lt;=0.75,"Tipo 3 (0,50-0,75) uT","Tipo 4 (&gt;0,75) uT"))))</f>
        <v>Tipo 4 (&gt;0,75) uT</v>
      </c>
      <c r="BF46" s="137" t="str">
        <f>IF(OR(AP46="",AP46="-"),"",IF(AP46&lt;=0.25,"Tipo 1 (≤0,25) uT",IF(AP46&lt;=0.5,"Tipo 2 (0,25-0,50) uT",IF(AP46&lt;=0.75,"Tipo 3 (0,50-0,75) uT","Tipo 4 (&gt;0,75) uT"))))</f>
        <v>Tipo 4 (&gt;0,75) uT</v>
      </c>
      <c r="BG46" s="137" t="str">
        <f>IF(OR(Q46="",Q46="-"),"",IF(Q46&lt;=0.25,"Tipo 1 (≤0,25) uT",IF(Q46&lt;=0.5,"Tipo 2 (0,25-0,50) uT",IF(Q46&lt;=0.75,"Tipo 3 (0,50-0,75) uT","Tipo 4 (&gt;0,75) uT"))))</f>
        <v>Tipo 3 (0,50-0,75) uT</v>
      </c>
    </row>
    <row r="47" spans="1:59" x14ac:dyDescent="0.3">
      <c r="A47" s="26">
        <v>46132</v>
      </c>
      <c r="B47" s="107">
        <v>0.64583333333333337</v>
      </c>
      <c r="C47" s="116">
        <v>1768</v>
      </c>
      <c r="D47" s="116">
        <v>0</v>
      </c>
      <c r="E47" s="116">
        <v>499.9</v>
      </c>
      <c r="F47" s="116">
        <v>2364</v>
      </c>
      <c r="G47" s="10" t="s">
        <v>34</v>
      </c>
      <c r="H47" s="122">
        <v>3.4</v>
      </c>
      <c r="I47" s="116">
        <v>90</v>
      </c>
      <c r="J47" s="116">
        <v>90</v>
      </c>
      <c r="K47" s="116">
        <v>90</v>
      </c>
      <c r="L47" s="122">
        <v>25.2</v>
      </c>
      <c r="M47" s="122">
        <v>6.7</v>
      </c>
      <c r="N47" s="79">
        <v>3.95</v>
      </c>
      <c r="O47" s="116">
        <v>19</v>
      </c>
      <c r="P47" s="122">
        <v>6.6</v>
      </c>
      <c r="Q47" s="79">
        <v>0.3</v>
      </c>
      <c r="R47" s="79">
        <v>22.36</v>
      </c>
      <c r="S47" s="79">
        <v>0.88</v>
      </c>
      <c r="T47" s="79">
        <v>0.7</v>
      </c>
      <c r="U47" s="85"/>
      <c r="V47" s="79"/>
      <c r="W47" s="79"/>
      <c r="X47" s="116"/>
      <c r="Y47" s="116"/>
      <c r="Z47" s="122"/>
      <c r="AA47" s="116"/>
      <c r="AB47" s="122">
        <v>6.7</v>
      </c>
      <c r="AC47" s="122">
        <v>6.5</v>
      </c>
      <c r="AD47" s="10">
        <v>0.25</v>
      </c>
      <c r="AE47" s="79">
        <v>0.97</v>
      </c>
      <c r="AF47" s="79"/>
      <c r="AG47" s="79"/>
      <c r="AH47" s="79"/>
      <c r="AI47" s="116"/>
      <c r="AJ47" s="116"/>
      <c r="AK47" s="79"/>
      <c r="AL47" s="79"/>
      <c r="AM47" s="122">
        <v>6.7</v>
      </c>
      <c r="AN47" s="122">
        <v>7.3</v>
      </c>
      <c r="AO47" s="79">
        <v>0.34</v>
      </c>
      <c r="AP47" s="127">
        <v>1.39</v>
      </c>
      <c r="AQ47" s="132">
        <f t="shared" si="0"/>
        <v>2267.9</v>
      </c>
      <c r="AR47" s="134">
        <f t="shared" si="1"/>
        <v>0.77957581903964013</v>
      </c>
      <c r="AS47" s="134">
        <f t="shared" si="2"/>
        <v>0</v>
      </c>
      <c r="AT47" s="134">
        <f t="shared" si="3"/>
        <v>0.22042418096035979</v>
      </c>
      <c r="AU47" s="43" t="str">
        <f>IF(AND(F47&lt;&gt;"",Y47&lt;&gt;""),AA47/(F47/2/Y47),"")</f>
        <v/>
      </c>
      <c r="AV47" s="43" t="str">
        <f>IF(AND(F47&lt;&gt;"",AJ47&lt;&gt;""),AL47/(F47/2/AJ47),"")</f>
        <v/>
      </c>
      <c r="AW47" s="41">
        <f>IF(AND(AP47&lt;&gt;"",1-(AP47/N47)&gt;0),1-(AP47/N47),"")</f>
        <v>0.64810126582278493</v>
      </c>
      <c r="AX47" s="41">
        <f>IF(AND(AE47&lt;&gt;"",1-(AE47/N47)&gt;0),1-(AE47/N47),"")</f>
        <v>0.75443037974683547</v>
      </c>
      <c r="AY47" s="136" t="str">
        <f>IF(P47="","",IF(P47&lt;2.5,"Alc. Bruta &lt; 2,5 mg/L",IF(P47&lt;5,"2,5 ≤ Alc. Bruta &lt; 5,0 mg/L",IF(P47&lt;7.5,"5,0 ≤ Alc. Bruta &lt; 7,5 mg/L",IF(P47&lt;10,"7,5 ≤ Alc. Bruta &lt; 10,0 mg/L",IF(P47&lt;15,"10,0 ≤ Alca. Bruta &lt; 15,0 mg/L","Alc. Bruta &gt; 15 mg/L"))))))</f>
        <v>5,0 ≤ Alc. Bruta &lt; 7,5 mg/L</v>
      </c>
      <c r="AZ47" s="136" t="str">
        <f>IF(O47="","",IF(O47&lt;5,"Cor &lt;5 uC",IF(O47&lt;10,"5 ≤ Cor &lt; 10 uC",IF(O47&lt;15,"10 ≤ Cor &lt;15 uC",IF(O47&lt;30,"15 ≤ Cor &lt; 30 uC",IF(O47&lt;50,"30 ≤ Cor &lt; 50 uC","Cor &gt; 50 uC"))))))</f>
        <v>15 ≤ Cor &lt; 30 uC</v>
      </c>
      <c r="BA47" s="137" t="str">
        <f>IF(N47="","",IF(N47&lt;2.5,"Turbidez &lt; 2,5 uT",IF(N47&lt;5,"2,5 ≤ Turb &lt; 5,0 uT",IF(N47&lt;7.5,"5,0 ≤ Turb &lt; 7,5 uT",IF(N47&lt;10,"7,5 ≤ Turb &lt; 10,0 uT",IF(N47&lt;15,"10,0 ≤ Turb &lt; 15,0 uT","Turb &gt; 15 uT"))))))</f>
        <v>2,5 ≤ Turb &lt; 5,0 uT</v>
      </c>
      <c r="BB47" s="138" t="str">
        <f>IF(AND(C47&gt;D47,D47&gt;E47),"TOR &gt; SM &gt; BNN",IF(AND(C47&gt;E47,E47&gt;D47),"TOR &gt; BNN &gt; SM",IF(AND(D47&gt;C47,C47&gt;E47),"SM &gt; TOR &gt; BNN",IF(AND(D47&gt;E47,E47&gt;C47),"SM &gt; BNN &gt; TOR",IF(AND(C47=D47,D47=E47),"TOR = SM = BNN","Comb. diferentes")))))</f>
        <v>TOR &gt; BNN &gt; SM</v>
      </c>
      <c r="BC47" s="137" t="str">
        <f>IF(OR(AD47="",AP47="-"),"",IF(AD47&lt;=0.25,"Tipo 1 (≤0,25) uT",IF(AD47&lt;=0.5,"Tipo 2 (0,25-0,50) uT",IF(AD47&lt;=0.75,"Tipo 3 (0,50-0,75) uT","Tipo 4 (&gt;0,75) uT"))))</f>
        <v>Tipo 1 (≤0,25) uT</v>
      </c>
      <c r="BD47" s="137" t="str">
        <f>IF(OR(AO47="",AY47="-"),"",IF(AO47&lt;=0.25,"Tipo 1 (≤0,25) uT",IF(AO47&lt;=0.5,"Tipo 2 (0,25-0,50) uT",IF(AO47&lt;=0.75,"Tipo 3 (0,50-0,75) uT","Tipo 4 (&gt;0,75) uT"))))</f>
        <v>Tipo 2 (0,25-0,50) uT</v>
      </c>
      <c r="BE47" s="137" t="str">
        <f>IF(OR(AE47="",AP47="-"),"",IF(AE47&lt;=0.25,"Tipo 1 (≤0,25) uT",IF(AE47&lt;=0.5,"Tipo 2 (0,25-0,50) uT",IF(AE47&lt;=0.75,"Tipo 3 (0,50-0,75) uT","Tipo 4 (&gt;0,75) uT"))))</f>
        <v>Tipo 4 (&gt;0,75) uT</v>
      </c>
      <c r="BF47" s="137" t="str">
        <f>IF(OR(AP47="",AP47="-"),"",IF(AP47&lt;=0.25,"Tipo 1 (≤0,25) uT",IF(AP47&lt;=0.5,"Tipo 2 (0,25-0,50) uT",IF(AP47&lt;=0.75,"Tipo 3 (0,50-0,75) uT","Tipo 4 (&gt;0,75) uT"))))</f>
        <v>Tipo 4 (&gt;0,75) uT</v>
      </c>
      <c r="BG47" s="137" t="str">
        <f>IF(OR(Q47="",Q47="-"),"",IF(Q47&lt;=0.25,"Tipo 1 (≤0,25) uT",IF(Q47&lt;=0.5,"Tipo 2 (0,25-0,50) uT",IF(Q47&lt;=0.75,"Tipo 3 (0,50-0,75) uT","Tipo 4 (&gt;0,75) uT"))))</f>
        <v>Tipo 2 (0,25-0,50) uT</v>
      </c>
    </row>
    <row r="48" spans="1:59" x14ac:dyDescent="0.3">
      <c r="A48" s="26">
        <v>46132</v>
      </c>
      <c r="B48" s="107">
        <v>0.72916666666666663</v>
      </c>
      <c r="C48" s="116">
        <v>1602</v>
      </c>
      <c r="D48" s="116">
        <v>0</v>
      </c>
      <c r="E48" s="116">
        <v>500</v>
      </c>
      <c r="F48" s="116">
        <v>2370</v>
      </c>
      <c r="G48" s="10" t="s">
        <v>34</v>
      </c>
      <c r="H48" s="122">
        <v>3.4</v>
      </c>
      <c r="I48" s="116">
        <v>90</v>
      </c>
      <c r="J48" s="116">
        <v>90</v>
      </c>
      <c r="K48" s="116">
        <v>90</v>
      </c>
      <c r="L48" s="122">
        <v>25.1</v>
      </c>
      <c r="M48" s="122">
        <v>6.7</v>
      </c>
      <c r="N48" s="79">
        <v>3.54</v>
      </c>
      <c r="O48" s="116">
        <v>18</v>
      </c>
      <c r="P48" s="122">
        <v>6.2</v>
      </c>
      <c r="Q48" s="79">
        <v>0.36</v>
      </c>
      <c r="R48" s="79">
        <v>22.36</v>
      </c>
      <c r="S48" s="79">
        <v>0.88</v>
      </c>
      <c r="T48" s="79">
        <v>0.7</v>
      </c>
      <c r="U48" s="85"/>
      <c r="V48" s="79"/>
      <c r="W48" s="79"/>
      <c r="X48" s="116"/>
      <c r="Y48" s="116"/>
      <c r="Z48" s="122"/>
      <c r="AA48" s="116"/>
      <c r="AB48" s="122">
        <v>6.8</v>
      </c>
      <c r="AC48" s="122">
        <v>7</v>
      </c>
      <c r="AD48" s="10">
        <v>0.2</v>
      </c>
      <c r="AE48" s="79">
        <v>0.94</v>
      </c>
      <c r="AF48" s="79"/>
      <c r="AG48" s="79"/>
      <c r="AH48" s="79"/>
      <c r="AI48" s="116"/>
      <c r="AJ48" s="116"/>
      <c r="AK48" s="79"/>
      <c r="AL48" s="79"/>
      <c r="AM48" s="122">
        <v>6.7</v>
      </c>
      <c r="AN48" s="122">
        <v>6.9</v>
      </c>
      <c r="AO48" s="79">
        <v>0.2</v>
      </c>
      <c r="AP48" s="127">
        <v>1.36</v>
      </c>
      <c r="AQ48" s="132">
        <f t="shared" si="0"/>
        <v>2102</v>
      </c>
      <c r="AR48" s="134">
        <f t="shared" si="1"/>
        <v>0.76213130352045666</v>
      </c>
      <c r="AS48" s="134">
        <f t="shared" si="2"/>
        <v>0</v>
      </c>
      <c r="AT48" s="134">
        <f t="shared" si="3"/>
        <v>0.23786869647954328</v>
      </c>
      <c r="AU48" s="43" t="str">
        <f>IF(AND(F48&lt;&gt;"",Y48&lt;&gt;""),AA48/(F48/2/Y48),"")</f>
        <v/>
      </c>
      <c r="AV48" s="43" t="str">
        <f>IF(AND(F48&lt;&gt;"",AJ48&lt;&gt;""),AL48/(F48/2/AJ48),"")</f>
        <v/>
      </c>
      <c r="AW48" s="41">
        <f>IF(AND(AP48&lt;&gt;"",1-(AP48/N48)&gt;0),1-(AP48/N48),"")</f>
        <v>0.61581920903954801</v>
      </c>
      <c r="AX48" s="41">
        <f>IF(AND(AE48&lt;&gt;"",1-(AE48/N48)&gt;0),1-(AE48/N48),"")</f>
        <v>0.7344632768361582</v>
      </c>
      <c r="AY48" s="136" t="str">
        <f>IF(P48="","",IF(P48&lt;2.5,"Alc. Bruta &lt; 2,5 mg/L",IF(P48&lt;5,"2,5 ≤ Alc. Bruta &lt; 5,0 mg/L",IF(P48&lt;7.5,"5,0 ≤ Alc. Bruta &lt; 7,5 mg/L",IF(P48&lt;10,"7,5 ≤ Alc. Bruta &lt; 10,0 mg/L",IF(P48&lt;15,"10,0 ≤ Alca. Bruta &lt; 15,0 mg/L","Alc. Bruta &gt; 15 mg/L"))))))</f>
        <v>5,0 ≤ Alc. Bruta &lt; 7,5 mg/L</v>
      </c>
      <c r="AZ48" s="136" t="str">
        <f>IF(O48="","",IF(O48&lt;5,"Cor &lt;5 uC",IF(O48&lt;10,"5 ≤ Cor &lt; 10 uC",IF(O48&lt;15,"10 ≤ Cor &lt;15 uC",IF(O48&lt;30,"15 ≤ Cor &lt; 30 uC",IF(O48&lt;50,"30 ≤ Cor &lt; 50 uC","Cor &gt; 50 uC"))))))</f>
        <v>15 ≤ Cor &lt; 30 uC</v>
      </c>
      <c r="BA48" s="137" t="str">
        <f>IF(N48="","",IF(N48&lt;2.5,"Turbidez &lt; 2,5 uT",IF(N48&lt;5,"2,5 ≤ Turb &lt; 5,0 uT",IF(N48&lt;7.5,"5,0 ≤ Turb &lt; 7,5 uT",IF(N48&lt;10,"7,5 ≤ Turb &lt; 10,0 uT",IF(N48&lt;15,"10,0 ≤ Turb &lt; 15,0 uT","Turb &gt; 15 uT"))))))</f>
        <v>2,5 ≤ Turb &lt; 5,0 uT</v>
      </c>
      <c r="BB48" s="138" t="str">
        <f>IF(AND(C48&gt;D48,D48&gt;E48),"TOR &gt; SM &gt; BNN",IF(AND(C48&gt;E48,E48&gt;D48),"TOR &gt; BNN &gt; SM",IF(AND(D48&gt;C48,C48&gt;E48),"SM &gt; TOR &gt; BNN",IF(AND(D48&gt;E48,E48&gt;C48),"SM &gt; BNN &gt; TOR",IF(AND(C48=D48,D48=E48),"TOR = SM = BNN","Comb. diferentes")))))</f>
        <v>TOR &gt; BNN &gt; SM</v>
      </c>
      <c r="BC48" s="137" t="str">
        <f>IF(OR(AD48="",AP48="-"),"",IF(AD48&lt;=0.25,"Tipo 1 (≤0,25) uT",IF(AD48&lt;=0.5,"Tipo 2 (0,25-0,50) uT",IF(AD48&lt;=0.75,"Tipo 3 (0,50-0,75) uT","Tipo 4 (&gt;0,75) uT"))))</f>
        <v>Tipo 1 (≤0,25) uT</v>
      </c>
      <c r="BD48" s="137" t="str">
        <f>IF(OR(AO48="",AY48="-"),"",IF(AO48&lt;=0.25,"Tipo 1 (≤0,25) uT",IF(AO48&lt;=0.5,"Tipo 2 (0,25-0,50) uT",IF(AO48&lt;=0.75,"Tipo 3 (0,50-0,75) uT","Tipo 4 (&gt;0,75) uT"))))</f>
        <v>Tipo 1 (≤0,25) uT</v>
      </c>
      <c r="BE48" s="137" t="str">
        <f>IF(OR(AE48="",AP48="-"),"",IF(AE48&lt;=0.25,"Tipo 1 (≤0,25) uT",IF(AE48&lt;=0.5,"Tipo 2 (0,25-0,50) uT",IF(AE48&lt;=0.75,"Tipo 3 (0,50-0,75) uT","Tipo 4 (&gt;0,75) uT"))))</f>
        <v>Tipo 4 (&gt;0,75) uT</v>
      </c>
      <c r="BF48" s="137" t="str">
        <f>IF(OR(AP48="",AP48="-"),"",IF(AP48&lt;=0.25,"Tipo 1 (≤0,25) uT",IF(AP48&lt;=0.5,"Tipo 2 (0,25-0,50) uT",IF(AP48&lt;=0.75,"Tipo 3 (0,50-0,75) uT","Tipo 4 (&gt;0,75) uT"))))</f>
        <v>Tipo 4 (&gt;0,75) uT</v>
      </c>
      <c r="BG48" s="137" t="str">
        <f>IF(OR(Q48="",Q48="-"),"",IF(Q48&lt;=0.25,"Tipo 1 (≤0,25) uT",IF(Q48&lt;=0.5,"Tipo 2 (0,25-0,50) uT",IF(Q48&lt;=0.75,"Tipo 3 (0,50-0,75) uT","Tipo 4 (&gt;0,75) uT"))))</f>
        <v>Tipo 2 (0,25-0,50) uT</v>
      </c>
    </row>
    <row r="49" spans="1:59" x14ac:dyDescent="0.3">
      <c r="A49" s="26">
        <v>46132</v>
      </c>
      <c r="B49" s="107">
        <v>0.8125</v>
      </c>
      <c r="C49" s="116">
        <v>1540</v>
      </c>
      <c r="D49" s="116">
        <v>70</v>
      </c>
      <c r="E49" s="116">
        <v>500</v>
      </c>
      <c r="F49" s="116">
        <v>2375</v>
      </c>
      <c r="G49" s="10" t="s">
        <v>34</v>
      </c>
      <c r="H49" s="122">
        <v>3.4</v>
      </c>
      <c r="I49" s="116">
        <v>90</v>
      </c>
      <c r="J49" s="116">
        <v>90</v>
      </c>
      <c r="K49" s="116">
        <v>90</v>
      </c>
      <c r="L49" s="122">
        <v>25.1</v>
      </c>
      <c r="M49" s="122">
        <v>6</v>
      </c>
      <c r="N49" s="79">
        <v>3.49</v>
      </c>
      <c r="O49" s="116">
        <v>16</v>
      </c>
      <c r="P49" s="122">
        <v>8.4</v>
      </c>
      <c r="Q49" s="79">
        <v>0.63</v>
      </c>
      <c r="R49" s="79">
        <v>22.36</v>
      </c>
      <c r="S49" s="79">
        <v>0.88</v>
      </c>
      <c r="T49" s="79">
        <v>0.7</v>
      </c>
      <c r="U49" s="85"/>
      <c r="V49" s="79"/>
      <c r="W49" s="79"/>
      <c r="X49" s="116"/>
      <c r="Y49" s="116"/>
      <c r="Z49" s="122"/>
      <c r="AA49" s="116"/>
      <c r="AB49" s="122">
        <v>6.8</v>
      </c>
      <c r="AC49" s="122">
        <v>9.3000000000000007</v>
      </c>
      <c r="AD49" s="10">
        <v>0.18</v>
      </c>
      <c r="AE49" s="79">
        <v>0.92</v>
      </c>
      <c r="AF49" s="79"/>
      <c r="AG49" s="79"/>
      <c r="AH49" s="79"/>
      <c r="AI49" s="116"/>
      <c r="AJ49" s="116"/>
      <c r="AK49" s="79"/>
      <c r="AL49" s="79"/>
      <c r="AM49" s="122">
        <v>6.9</v>
      </c>
      <c r="AN49" s="122">
        <v>8.6999999999999993</v>
      </c>
      <c r="AO49" s="79">
        <v>0.17</v>
      </c>
      <c r="AP49" s="127">
        <v>1.23</v>
      </c>
      <c r="AQ49" s="132">
        <f t="shared" si="0"/>
        <v>2110</v>
      </c>
      <c r="AR49" s="134">
        <f t="shared" si="1"/>
        <v>0.72985781990521326</v>
      </c>
      <c r="AS49" s="134">
        <f t="shared" si="2"/>
        <v>3.3175355450236969E-2</v>
      </c>
      <c r="AT49" s="134">
        <f t="shared" si="3"/>
        <v>0.23696682464454977</v>
      </c>
      <c r="AU49" s="43" t="str">
        <f>IF(AND(F49&lt;&gt;"",Y49&lt;&gt;""),AA49/(F49/2/Y49),"")</f>
        <v/>
      </c>
      <c r="AV49" s="43" t="str">
        <f>IF(AND(F49&lt;&gt;"",AJ49&lt;&gt;""),AL49/(F49/2/AJ49),"")</f>
        <v/>
      </c>
      <c r="AW49" s="41">
        <f>IF(AND(AP49&lt;&gt;"",1-(AP49/N49)&gt;0),1-(AP49/N49),"")</f>
        <v>0.64756446991404015</v>
      </c>
      <c r="AX49" s="41">
        <f>IF(AND(AE49&lt;&gt;"",1-(AE49/N49)&gt;0),1-(AE49/N49),"")</f>
        <v>0.73638968481375366</v>
      </c>
      <c r="AY49" s="136" t="str">
        <f>IF(P49="","",IF(P49&lt;2.5,"Alc. Bruta &lt; 2,5 mg/L",IF(P49&lt;5,"2,5 ≤ Alc. Bruta &lt; 5,0 mg/L",IF(P49&lt;7.5,"5,0 ≤ Alc. Bruta &lt; 7,5 mg/L",IF(P49&lt;10,"7,5 ≤ Alc. Bruta &lt; 10,0 mg/L",IF(P49&lt;15,"10,0 ≤ Alca. Bruta &lt; 15,0 mg/L","Alc. Bruta &gt; 15 mg/L"))))))</f>
        <v>7,5 ≤ Alc. Bruta &lt; 10,0 mg/L</v>
      </c>
      <c r="AZ49" s="136" t="str">
        <f>IF(O49="","",IF(O49&lt;5,"Cor &lt;5 uC",IF(O49&lt;10,"5 ≤ Cor &lt; 10 uC",IF(O49&lt;15,"10 ≤ Cor &lt;15 uC",IF(O49&lt;30,"15 ≤ Cor &lt; 30 uC",IF(O49&lt;50,"30 ≤ Cor &lt; 50 uC","Cor &gt; 50 uC"))))))</f>
        <v>15 ≤ Cor &lt; 30 uC</v>
      </c>
      <c r="BA49" s="137" t="str">
        <f>IF(N49="","",IF(N49&lt;2.5,"Turbidez &lt; 2,5 uT",IF(N49&lt;5,"2,5 ≤ Turb &lt; 5,0 uT",IF(N49&lt;7.5,"5,0 ≤ Turb &lt; 7,5 uT",IF(N49&lt;10,"7,5 ≤ Turb &lt; 10,0 uT",IF(N49&lt;15,"10,0 ≤ Turb &lt; 15,0 uT","Turb &gt; 15 uT"))))))</f>
        <v>2,5 ≤ Turb &lt; 5,0 uT</v>
      </c>
      <c r="BB49" s="138" t="str">
        <f>IF(AND(C49&gt;D49,D49&gt;E49),"TOR &gt; SM &gt; BNN",IF(AND(C49&gt;E49,E49&gt;D49),"TOR &gt; BNN &gt; SM",IF(AND(D49&gt;C49,C49&gt;E49),"SM &gt; TOR &gt; BNN",IF(AND(D49&gt;E49,E49&gt;C49),"SM &gt; BNN &gt; TOR",IF(AND(C49=D49,D49=E49),"TOR = SM = BNN","Comb. diferentes")))))</f>
        <v>TOR &gt; BNN &gt; SM</v>
      </c>
      <c r="BC49" s="137" t="str">
        <f>IF(OR(AD49="",AP49="-"),"",IF(AD49&lt;=0.25,"Tipo 1 (≤0,25) uT",IF(AD49&lt;=0.5,"Tipo 2 (0,25-0,50) uT",IF(AD49&lt;=0.75,"Tipo 3 (0,50-0,75) uT","Tipo 4 (&gt;0,75) uT"))))</f>
        <v>Tipo 1 (≤0,25) uT</v>
      </c>
      <c r="BD49" s="137" t="str">
        <f>IF(OR(AO49="",AY49="-"),"",IF(AO49&lt;=0.25,"Tipo 1 (≤0,25) uT",IF(AO49&lt;=0.5,"Tipo 2 (0,25-0,50) uT",IF(AO49&lt;=0.75,"Tipo 3 (0,50-0,75) uT","Tipo 4 (&gt;0,75) uT"))))</f>
        <v>Tipo 1 (≤0,25) uT</v>
      </c>
      <c r="BE49" s="137" t="str">
        <f>IF(OR(AE49="",AP49="-"),"",IF(AE49&lt;=0.25,"Tipo 1 (≤0,25) uT",IF(AE49&lt;=0.5,"Tipo 2 (0,25-0,50) uT",IF(AE49&lt;=0.75,"Tipo 3 (0,50-0,75) uT","Tipo 4 (&gt;0,75) uT"))))</f>
        <v>Tipo 4 (&gt;0,75) uT</v>
      </c>
      <c r="BF49" s="137" t="str">
        <f>IF(OR(AP49="",AP49="-"),"",IF(AP49&lt;=0.25,"Tipo 1 (≤0,25) uT",IF(AP49&lt;=0.5,"Tipo 2 (0,25-0,50) uT",IF(AP49&lt;=0.75,"Tipo 3 (0,50-0,75) uT","Tipo 4 (&gt;0,75) uT"))))</f>
        <v>Tipo 4 (&gt;0,75) uT</v>
      </c>
      <c r="BG49" s="137" t="str">
        <f>IF(OR(Q49="",Q49="-"),"",IF(Q49&lt;=0.25,"Tipo 1 (≤0,25) uT",IF(Q49&lt;=0.5,"Tipo 2 (0,25-0,50) uT",IF(Q49&lt;=0.75,"Tipo 3 (0,50-0,75) uT","Tipo 4 (&gt;0,75) uT"))))</f>
        <v>Tipo 3 (0,50-0,75) uT</v>
      </c>
    </row>
    <row r="50" spans="1:59" x14ac:dyDescent="0.3">
      <c r="A50" s="26">
        <v>46132</v>
      </c>
      <c r="B50" s="107">
        <v>0.89583333333333337</v>
      </c>
      <c r="C50" s="116">
        <v>1600</v>
      </c>
      <c r="D50" s="116">
        <v>80</v>
      </c>
      <c r="E50" s="116">
        <v>500</v>
      </c>
      <c r="F50" s="116">
        <v>2364</v>
      </c>
      <c r="G50" s="10" t="s">
        <v>34</v>
      </c>
      <c r="H50" s="122">
        <v>3.11</v>
      </c>
      <c r="I50" s="116">
        <v>90</v>
      </c>
      <c r="J50" s="116">
        <v>90</v>
      </c>
      <c r="K50" s="116">
        <v>90</v>
      </c>
      <c r="L50" s="122">
        <v>24.9</v>
      </c>
      <c r="M50" s="122">
        <v>6.8</v>
      </c>
      <c r="N50" s="79">
        <v>3.58</v>
      </c>
      <c r="O50" s="116">
        <v>15</v>
      </c>
      <c r="P50" s="122">
        <v>10.6</v>
      </c>
      <c r="Q50" s="79">
        <v>0.42</v>
      </c>
      <c r="R50" s="79">
        <v>22.36</v>
      </c>
      <c r="S50" s="79">
        <v>0.88</v>
      </c>
      <c r="T50" s="79">
        <v>0.7</v>
      </c>
      <c r="U50" s="85"/>
      <c r="V50" s="79"/>
      <c r="W50" s="79"/>
      <c r="X50" s="116"/>
      <c r="Y50" s="116"/>
      <c r="Z50" s="122"/>
      <c r="AA50" s="116"/>
      <c r="AB50" s="122">
        <v>6.8</v>
      </c>
      <c r="AC50" s="122">
        <v>8.4</v>
      </c>
      <c r="AD50" s="10">
        <v>0.31</v>
      </c>
      <c r="AE50" s="79">
        <v>0.96</v>
      </c>
      <c r="AF50" s="79"/>
      <c r="AG50" s="79"/>
      <c r="AH50" s="79"/>
      <c r="AI50" s="116"/>
      <c r="AJ50" s="116"/>
      <c r="AK50" s="79"/>
      <c r="AL50" s="79"/>
      <c r="AM50" s="122">
        <v>6.8</v>
      </c>
      <c r="AN50" s="122">
        <v>9.6</v>
      </c>
      <c r="AO50" s="79">
        <v>0.2</v>
      </c>
      <c r="AP50" s="127">
        <v>1.1599999999999999</v>
      </c>
      <c r="AQ50" s="132">
        <f t="shared" si="0"/>
        <v>2180</v>
      </c>
      <c r="AR50" s="134">
        <f t="shared" si="1"/>
        <v>0.73394495412844041</v>
      </c>
      <c r="AS50" s="134">
        <f t="shared" si="2"/>
        <v>3.669724770642202E-2</v>
      </c>
      <c r="AT50" s="134">
        <f t="shared" si="3"/>
        <v>0.22935779816513763</v>
      </c>
      <c r="AU50" s="43" t="str">
        <f>IF(AND(F50&lt;&gt;"",Y50&lt;&gt;""),AA50/(F50/2/Y50),"")</f>
        <v/>
      </c>
      <c r="AV50" s="43" t="str">
        <f>IF(AND(F50&lt;&gt;"",AJ50&lt;&gt;""),AL50/(F50/2/AJ50),"")</f>
        <v/>
      </c>
      <c r="AW50" s="41">
        <f>IF(AND(AP50&lt;&gt;"",1-(AP50/N50)&gt;0),1-(AP50/N50),"")</f>
        <v>0.67597765363128492</v>
      </c>
      <c r="AX50" s="41">
        <f>IF(AND(AE50&lt;&gt;"",1-(AE50/N50)&gt;0),1-(AE50/N50),"")</f>
        <v>0.73184357541899447</v>
      </c>
      <c r="AY50" s="136" t="str">
        <f>IF(P50="","",IF(P50&lt;2.5,"Alc. Bruta &lt; 2,5 mg/L",IF(P50&lt;5,"2,5 ≤ Alc. Bruta &lt; 5,0 mg/L",IF(P50&lt;7.5,"5,0 ≤ Alc. Bruta &lt; 7,5 mg/L",IF(P50&lt;10,"7,5 ≤ Alc. Bruta &lt; 10,0 mg/L",IF(P50&lt;15,"10,0 ≤ Alca. Bruta &lt; 15,0 mg/L","Alc. Bruta &gt; 15 mg/L"))))))</f>
        <v>10,0 ≤ Alca. Bruta &lt; 15,0 mg/L</v>
      </c>
      <c r="AZ50" s="136" t="str">
        <f>IF(O50="","",IF(O50&lt;5,"Cor &lt;5 uC",IF(O50&lt;10,"5 ≤ Cor &lt; 10 uC",IF(O50&lt;15,"10 ≤ Cor &lt;15 uC",IF(O50&lt;30,"15 ≤ Cor &lt; 30 uC",IF(O50&lt;50,"30 ≤ Cor &lt; 50 uC","Cor &gt; 50 uC"))))))</f>
        <v>15 ≤ Cor &lt; 30 uC</v>
      </c>
      <c r="BA50" s="137" t="str">
        <f>IF(N50="","",IF(N50&lt;2.5,"Turbidez &lt; 2,5 uT",IF(N50&lt;5,"2,5 ≤ Turb &lt; 5,0 uT",IF(N50&lt;7.5,"5,0 ≤ Turb &lt; 7,5 uT",IF(N50&lt;10,"7,5 ≤ Turb &lt; 10,0 uT",IF(N50&lt;15,"10,0 ≤ Turb &lt; 15,0 uT","Turb &gt; 15 uT"))))))</f>
        <v>2,5 ≤ Turb &lt; 5,0 uT</v>
      </c>
      <c r="BB50" s="138" t="str">
        <f>IF(AND(C50&gt;D50,D50&gt;E50),"TOR &gt; SM &gt; BNN",IF(AND(C50&gt;E50,E50&gt;D50),"TOR &gt; BNN &gt; SM",IF(AND(D50&gt;C50,C50&gt;E50),"SM &gt; TOR &gt; BNN",IF(AND(D50&gt;E50,E50&gt;C50),"SM &gt; BNN &gt; TOR",IF(AND(C50=D50,D50=E50),"TOR = SM = BNN","Comb. diferentes")))))</f>
        <v>TOR &gt; BNN &gt; SM</v>
      </c>
      <c r="BC50" s="137" t="str">
        <f>IF(OR(AD50="",AP50="-"),"",IF(AD50&lt;=0.25,"Tipo 1 (≤0,25) uT",IF(AD50&lt;=0.5,"Tipo 2 (0,25-0,50) uT",IF(AD50&lt;=0.75,"Tipo 3 (0,50-0,75) uT","Tipo 4 (&gt;0,75) uT"))))</f>
        <v>Tipo 2 (0,25-0,50) uT</v>
      </c>
      <c r="BD50" s="137" t="str">
        <f>IF(OR(AO50="",AY50="-"),"",IF(AO50&lt;=0.25,"Tipo 1 (≤0,25) uT",IF(AO50&lt;=0.5,"Tipo 2 (0,25-0,50) uT",IF(AO50&lt;=0.75,"Tipo 3 (0,50-0,75) uT","Tipo 4 (&gt;0,75) uT"))))</f>
        <v>Tipo 1 (≤0,25) uT</v>
      </c>
      <c r="BE50" s="137" t="str">
        <f>IF(OR(AE50="",AP50="-"),"",IF(AE50&lt;=0.25,"Tipo 1 (≤0,25) uT",IF(AE50&lt;=0.5,"Tipo 2 (0,25-0,50) uT",IF(AE50&lt;=0.75,"Tipo 3 (0,50-0,75) uT","Tipo 4 (&gt;0,75) uT"))))</f>
        <v>Tipo 4 (&gt;0,75) uT</v>
      </c>
      <c r="BF50" s="137" t="str">
        <f>IF(OR(AP50="",AP50="-"),"",IF(AP50&lt;=0.25,"Tipo 1 (≤0,25) uT",IF(AP50&lt;=0.5,"Tipo 2 (0,25-0,50) uT",IF(AP50&lt;=0.75,"Tipo 3 (0,50-0,75) uT","Tipo 4 (&gt;0,75) uT"))))</f>
        <v>Tipo 4 (&gt;0,75) uT</v>
      </c>
      <c r="BG50" s="137" t="str">
        <f>IF(OR(Q50="",Q50="-"),"",IF(Q50&lt;=0.25,"Tipo 1 (≤0,25) uT",IF(Q50&lt;=0.5,"Tipo 2 (0,25-0,50) uT",IF(Q50&lt;=0.75,"Tipo 3 (0,50-0,75) uT","Tipo 4 (&gt;0,75) uT"))))</f>
        <v>Tipo 2 (0,25-0,50) uT</v>
      </c>
    </row>
    <row r="51" spans="1:59" x14ac:dyDescent="0.3">
      <c r="A51" s="26">
        <v>46133</v>
      </c>
      <c r="B51" s="107">
        <v>6.25E-2</v>
      </c>
      <c r="C51" s="116">
        <v>1150</v>
      </c>
      <c r="D51" s="116">
        <v>90</v>
      </c>
      <c r="E51" s="116">
        <v>500</v>
      </c>
      <c r="F51" s="116">
        <v>1822</v>
      </c>
      <c r="G51" s="10" t="s">
        <v>34</v>
      </c>
      <c r="H51" s="122">
        <v>3.4</v>
      </c>
      <c r="I51" s="116">
        <v>90</v>
      </c>
      <c r="J51" s="116">
        <v>90</v>
      </c>
      <c r="K51" s="116">
        <v>90</v>
      </c>
      <c r="L51" s="122">
        <v>24.5</v>
      </c>
      <c r="M51" s="122">
        <v>6.8</v>
      </c>
      <c r="N51" s="79">
        <v>3.61</v>
      </c>
      <c r="O51" s="116">
        <v>14</v>
      </c>
      <c r="P51" s="122">
        <v>7.3</v>
      </c>
      <c r="Q51" s="79">
        <v>0.37</v>
      </c>
      <c r="R51" s="79">
        <v>22.36</v>
      </c>
      <c r="S51" s="79">
        <v>0.88</v>
      </c>
      <c r="T51" s="79">
        <v>0.7</v>
      </c>
      <c r="U51" s="85"/>
      <c r="V51" s="79"/>
      <c r="W51" s="79"/>
      <c r="X51" s="116"/>
      <c r="Y51" s="116"/>
      <c r="Z51" s="122"/>
      <c r="AA51" s="116"/>
      <c r="AB51" s="122">
        <v>6.9</v>
      </c>
      <c r="AC51" s="122">
        <v>9.9</v>
      </c>
      <c r="AD51" s="10">
        <v>0.17</v>
      </c>
      <c r="AE51" s="79">
        <v>1.18</v>
      </c>
      <c r="AF51" s="79"/>
      <c r="AG51" s="79"/>
      <c r="AH51" s="79"/>
      <c r="AI51" s="116"/>
      <c r="AJ51" s="116"/>
      <c r="AK51" s="79"/>
      <c r="AL51" s="79"/>
      <c r="AM51" s="122">
        <v>6.9</v>
      </c>
      <c r="AN51" s="122">
        <v>9</v>
      </c>
      <c r="AO51" s="79">
        <v>0.16</v>
      </c>
      <c r="AP51" s="127">
        <v>1.1000000000000001</v>
      </c>
      <c r="AQ51" s="132">
        <f t="shared" si="0"/>
        <v>1740</v>
      </c>
      <c r="AR51" s="134">
        <f t="shared" si="1"/>
        <v>0.66091954022988508</v>
      </c>
      <c r="AS51" s="134">
        <f t="shared" si="2"/>
        <v>5.1724137931034482E-2</v>
      </c>
      <c r="AT51" s="134">
        <f t="shared" si="3"/>
        <v>0.28735632183908044</v>
      </c>
      <c r="AU51" s="43" t="str">
        <f>IF(AND(F51&lt;&gt;"",Y51&lt;&gt;""),AA51/(F51/2/Y51),"")</f>
        <v/>
      </c>
      <c r="AV51" s="43" t="str">
        <f>IF(AND(F51&lt;&gt;"",AJ51&lt;&gt;""),AL51/(F51/2/AJ51),"")</f>
        <v/>
      </c>
      <c r="AW51" s="41">
        <f>IF(AND(AP51&lt;&gt;"",1-(AP51/N51)&gt;0),1-(AP51/N51),"")</f>
        <v>0.6952908587257618</v>
      </c>
      <c r="AX51" s="41">
        <f>IF(AND(AE51&lt;&gt;"",1-(AE51/N51)&gt;0),1-(AE51/N51),"")</f>
        <v>0.67313019390581719</v>
      </c>
      <c r="AY51" s="136" t="str">
        <f>IF(P51="","",IF(P51&lt;2.5,"Alc. Bruta &lt; 2,5 mg/L",IF(P51&lt;5,"2,5 ≤ Alc. Bruta &lt; 5,0 mg/L",IF(P51&lt;7.5,"5,0 ≤ Alc. Bruta &lt; 7,5 mg/L",IF(P51&lt;10,"7,5 ≤ Alc. Bruta &lt; 10,0 mg/L",IF(P51&lt;15,"10,0 ≤ Alca. Bruta &lt; 15,0 mg/L","Alc. Bruta &gt; 15 mg/L"))))))</f>
        <v>5,0 ≤ Alc. Bruta &lt; 7,5 mg/L</v>
      </c>
      <c r="AZ51" s="136" t="str">
        <f>IF(O51="","",IF(O51&lt;5,"Cor &lt;5 uC",IF(O51&lt;10,"5 ≤ Cor &lt; 10 uC",IF(O51&lt;15,"10 ≤ Cor &lt;15 uC",IF(O51&lt;30,"15 ≤ Cor &lt; 30 uC",IF(O51&lt;50,"30 ≤ Cor &lt; 50 uC","Cor &gt; 50 uC"))))))</f>
        <v>10 ≤ Cor &lt;15 uC</v>
      </c>
      <c r="BA51" s="137" t="str">
        <f>IF(N51="","",IF(N51&lt;2.5,"Turbidez &lt; 2,5 uT",IF(N51&lt;5,"2,5 ≤ Turb &lt; 5,0 uT",IF(N51&lt;7.5,"5,0 ≤ Turb &lt; 7,5 uT",IF(N51&lt;10,"7,5 ≤ Turb &lt; 10,0 uT",IF(N51&lt;15,"10,0 ≤ Turb &lt; 15,0 uT","Turb &gt; 15 uT"))))))</f>
        <v>2,5 ≤ Turb &lt; 5,0 uT</v>
      </c>
      <c r="BB51" s="138" t="str">
        <f>IF(AND(C51&gt;D51,D51&gt;E51),"TOR &gt; SM &gt; BNN",IF(AND(C51&gt;E51,E51&gt;D51),"TOR &gt; BNN &gt; SM",IF(AND(D51&gt;C51,C51&gt;E51),"SM &gt; TOR &gt; BNN",IF(AND(D51&gt;E51,E51&gt;C51),"SM &gt; BNN &gt; TOR",IF(AND(C51=D51,D51=E51),"TOR = SM = BNN","Comb. diferentes")))))</f>
        <v>TOR &gt; BNN &gt; SM</v>
      </c>
      <c r="BC51" s="137" t="str">
        <f>IF(OR(AD51="",AP51="-"),"",IF(AD51&lt;=0.25,"Tipo 1 (≤0,25) uT",IF(AD51&lt;=0.5,"Tipo 2 (0,25-0,50) uT",IF(AD51&lt;=0.75,"Tipo 3 (0,50-0,75) uT","Tipo 4 (&gt;0,75) uT"))))</f>
        <v>Tipo 1 (≤0,25) uT</v>
      </c>
      <c r="BD51" s="137" t="str">
        <f>IF(OR(AO51="",AY51="-"),"",IF(AO51&lt;=0.25,"Tipo 1 (≤0,25) uT",IF(AO51&lt;=0.5,"Tipo 2 (0,25-0,50) uT",IF(AO51&lt;=0.75,"Tipo 3 (0,50-0,75) uT","Tipo 4 (&gt;0,75) uT"))))</f>
        <v>Tipo 1 (≤0,25) uT</v>
      </c>
      <c r="BE51" s="137" t="str">
        <f>IF(OR(AE51="",AP51="-"),"",IF(AE51&lt;=0.25,"Tipo 1 (≤0,25) uT",IF(AE51&lt;=0.5,"Tipo 2 (0,25-0,50) uT",IF(AE51&lt;=0.75,"Tipo 3 (0,50-0,75) uT","Tipo 4 (&gt;0,75) uT"))))</f>
        <v>Tipo 4 (&gt;0,75) uT</v>
      </c>
      <c r="BF51" s="137" t="str">
        <f>IF(OR(AP51="",AP51="-"),"",IF(AP51&lt;=0.25,"Tipo 1 (≤0,25) uT",IF(AP51&lt;=0.5,"Tipo 2 (0,25-0,50) uT",IF(AP51&lt;=0.75,"Tipo 3 (0,50-0,75) uT","Tipo 4 (&gt;0,75) uT"))))</f>
        <v>Tipo 4 (&gt;0,75) uT</v>
      </c>
      <c r="BG51" s="137" t="str">
        <f>IF(OR(Q51="",Q51="-"),"",IF(Q51&lt;=0.25,"Tipo 1 (≤0,25) uT",IF(Q51&lt;=0.5,"Tipo 2 (0,25-0,50) uT",IF(Q51&lt;=0.75,"Tipo 3 (0,50-0,75) uT","Tipo 4 (&gt;0,75) uT"))))</f>
        <v>Tipo 2 (0,25-0,50) uT</v>
      </c>
    </row>
    <row r="52" spans="1:59" x14ac:dyDescent="0.3">
      <c r="A52" s="26">
        <v>46133</v>
      </c>
      <c r="B52" s="107">
        <v>0.14583333333333334</v>
      </c>
      <c r="C52" s="116">
        <v>1167</v>
      </c>
      <c r="D52" s="116">
        <v>0</v>
      </c>
      <c r="E52" s="116">
        <v>500</v>
      </c>
      <c r="F52" s="116">
        <v>1833</v>
      </c>
      <c r="G52" s="10" t="s">
        <v>34</v>
      </c>
      <c r="H52" s="122">
        <v>3.4</v>
      </c>
      <c r="I52" s="116">
        <v>90</v>
      </c>
      <c r="J52" s="116">
        <v>90</v>
      </c>
      <c r="K52" s="116">
        <v>90</v>
      </c>
      <c r="L52" s="122">
        <v>23.6</v>
      </c>
      <c r="M52" s="122">
        <v>6.8</v>
      </c>
      <c r="N52" s="79">
        <v>3.87</v>
      </c>
      <c r="O52" s="116">
        <v>16</v>
      </c>
      <c r="P52" s="122">
        <v>10.5</v>
      </c>
      <c r="Q52" s="79">
        <v>0.44</v>
      </c>
      <c r="R52" s="79">
        <v>22.36</v>
      </c>
      <c r="S52" s="79">
        <v>0.88</v>
      </c>
      <c r="T52" s="79">
        <v>0.7</v>
      </c>
      <c r="U52" s="85"/>
      <c r="V52" s="79"/>
      <c r="W52" s="79"/>
      <c r="X52" s="116"/>
      <c r="Y52" s="116"/>
      <c r="Z52" s="122"/>
      <c r="AA52" s="116"/>
      <c r="AB52" s="122">
        <v>7</v>
      </c>
      <c r="AC52" s="122">
        <v>10.7</v>
      </c>
      <c r="AD52" s="10">
        <v>0.21</v>
      </c>
      <c r="AE52" s="79">
        <v>0.83</v>
      </c>
      <c r="AF52" s="79"/>
      <c r="AG52" s="79"/>
      <c r="AH52" s="79"/>
      <c r="AI52" s="116"/>
      <c r="AJ52" s="116"/>
      <c r="AK52" s="79"/>
      <c r="AL52" s="79"/>
      <c r="AM52" s="122">
        <v>7</v>
      </c>
      <c r="AN52" s="122">
        <v>10.6</v>
      </c>
      <c r="AO52" s="79">
        <v>0.19</v>
      </c>
      <c r="AP52" s="127">
        <v>0.83</v>
      </c>
      <c r="AQ52" s="132">
        <f t="shared" si="0"/>
        <v>1667</v>
      </c>
      <c r="AR52" s="134">
        <f t="shared" si="1"/>
        <v>0.70005998800239955</v>
      </c>
      <c r="AS52" s="134">
        <f t="shared" si="2"/>
        <v>0</v>
      </c>
      <c r="AT52" s="134">
        <f t="shared" si="3"/>
        <v>0.29994001199760045</v>
      </c>
      <c r="AU52" s="43" t="str">
        <f>IF(AND(F52&lt;&gt;"",Y52&lt;&gt;""),AA52/(F52/2/Y52),"")</f>
        <v/>
      </c>
      <c r="AV52" s="43" t="str">
        <f>IF(AND(F52&lt;&gt;"",AJ52&lt;&gt;""),AL52/(F52/2/AJ52),"")</f>
        <v/>
      </c>
      <c r="AW52" s="41">
        <f>IF(AND(AP52&lt;&gt;"",1-(AP52/N52)&gt;0),1-(AP52/N52),"")</f>
        <v>0.78552971576227393</v>
      </c>
      <c r="AX52" s="41">
        <f>IF(AND(AE52&lt;&gt;"",1-(AE52/N52)&gt;0),1-(AE52/N52),"")</f>
        <v>0.78552971576227393</v>
      </c>
      <c r="AY52" s="136" t="str">
        <f>IF(P52="","",IF(P52&lt;2.5,"Alc. Bruta &lt; 2,5 mg/L",IF(P52&lt;5,"2,5 ≤ Alc. Bruta &lt; 5,0 mg/L",IF(P52&lt;7.5,"5,0 ≤ Alc. Bruta &lt; 7,5 mg/L",IF(P52&lt;10,"7,5 ≤ Alc. Bruta &lt; 10,0 mg/L",IF(P52&lt;15,"10,0 ≤ Alca. Bruta &lt; 15,0 mg/L","Alc. Bruta &gt; 15 mg/L"))))))</f>
        <v>10,0 ≤ Alca. Bruta &lt; 15,0 mg/L</v>
      </c>
      <c r="AZ52" s="136" t="str">
        <f>IF(O52="","",IF(O52&lt;5,"Cor &lt;5 uC",IF(O52&lt;10,"5 ≤ Cor &lt; 10 uC",IF(O52&lt;15,"10 ≤ Cor &lt;15 uC",IF(O52&lt;30,"15 ≤ Cor &lt; 30 uC",IF(O52&lt;50,"30 ≤ Cor &lt; 50 uC","Cor &gt; 50 uC"))))))</f>
        <v>15 ≤ Cor &lt; 30 uC</v>
      </c>
      <c r="BA52" s="137" t="str">
        <f>IF(N52="","",IF(N52&lt;2.5,"Turbidez &lt; 2,5 uT",IF(N52&lt;5,"2,5 ≤ Turb &lt; 5,0 uT",IF(N52&lt;7.5,"5,0 ≤ Turb &lt; 7,5 uT",IF(N52&lt;10,"7,5 ≤ Turb &lt; 10,0 uT",IF(N52&lt;15,"10,0 ≤ Turb &lt; 15,0 uT","Turb &gt; 15 uT"))))))</f>
        <v>2,5 ≤ Turb &lt; 5,0 uT</v>
      </c>
      <c r="BB52" s="138" t="str">
        <f>IF(AND(C52&gt;D52,D52&gt;E52),"TOR &gt; SM &gt; BNN",IF(AND(C52&gt;E52,E52&gt;D52),"TOR &gt; BNN &gt; SM",IF(AND(D52&gt;C52,C52&gt;E52),"SM &gt; TOR &gt; BNN",IF(AND(D52&gt;E52,E52&gt;C52),"SM &gt; BNN &gt; TOR",IF(AND(C52=D52,D52=E52),"TOR = SM = BNN","Comb. diferentes")))))</f>
        <v>TOR &gt; BNN &gt; SM</v>
      </c>
      <c r="BC52" s="137" t="str">
        <f>IF(OR(AD52="",AP52="-"),"",IF(AD52&lt;=0.25,"Tipo 1 (≤0,25) uT",IF(AD52&lt;=0.5,"Tipo 2 (0,25-0,50) uT",IF(AD52&lt;=0.75,"Tipo 3 (0,50-0,75) uT","Tipo 4 (&gt;0,75) uT"))))</f>
        <v>Tipo 1 (≤0,25) uT</v>
      </c>
      <c r="BD52" s="137" t="str">
        <f>IF(OR(AO52="",AY52="-"),"",IF(AO52&lt;=0.25,"Tipo 1 (≤0,25) uT",IF(AO52&lt;=0.5,"Tipo 2 (0,25-0,50) uT",IF(AO52&lt;=0.75,"Tipo 3 (0,50-0,75) uT","Tipo 4 (&gt;0,75) uT"))))</f>
        <v>Tipo 1 (≤0,25) uT</v>
      </c>
      <c r="BE52" s="137" t="str">
        <f>IF(OR(AE52="",AP52="-"),"",IF(AE52&lt;=0.25,"Tipo 1 (≤0,25) uT",IF(AE52&lt;=0.5,"Tipo 2 (0,25-0,50) uT",IF(AE52&lt;=0.75,"Tipo 3 (0,50-0,75) uT","Tipo 4 (&gt;0,75) uT"))))</f>
        <v>Tipo 4 (&gt;0,75) uT</v>
      </c>
      <c r="BF52" s="137" t="str">
        <f>IF(OR(AP52="",AP52="-"),"",IF(AP52&lt;=0.25,"Tipo 1 (≤0,25) uT",IF(AP52&lt;=0.5,"Tipo 2 (0,25-0,50) uT",IF(AP52&lt;=0.75,"Tipo 3 (0,50-0,75) uT","Tipo 4 (&gt;0,75) uT"))))</f>
        <v>Tipo 4 (&gt;0,75) uT</v>
      </c>
      <c r="BG52" s="137" t="str">
        <f>IF(OR(Q52="",Q52="-"),"",IF(Q52&lt;=0.25,"Tipo 1 (≤0,25) uT",IF(Q52&lt;=0.5,"Tipo 2 (0,25-0,50) uT",IF(Q52&lt;=0.75,"Tipo 3 (0,50-0,75) uT","Tipo 4 (&gt;0,75) uT"))))</f>
        <v>Tipo 2 (0,25-0,50) uT</v>
      </c>
    </row>
    <row r="53" spans="1:59" ht="15" thickBot="1" x14ac:dyDescent="0.35">
      <c r="A53" s="26">
        <v>46133</v>
      </c>
      <c r="B53" s="110">
        <v>0.22916666666666666</v>
      </c>
      <c r="C53" s="117">
        <v>1156</v>
      </c>
      <c r="D53" s="117">
        <v>0</v>
      </c>
      <c r="E53" s="117">
        <v>500</v>
      </c>
      <c r="F53" s="117">
        <v>1830</v>
      </c>
      <c r="G53" s="11" t="s">
        <v>34</v>
      </c>
      <c r="H53" s="123">
        <v>3.4</v>
      </c>
      <c r="I53" s="117">
        <v>90</v>
      </c>
      <c r="J53" s="117">
        <v>90</v>
      </c>
      <c r="K53" s="117">
        <v>90</v>
      </c>
      <c r="L53" s="123">
        <v>23.3</v>
      </c>
      <c r="M53" s="123">
        <v>6.8</v>
      </c>
      <c r="N53" s="80">
        <v>3.76</v>
      </c>
      <c r="O53" s="117">
        <v>15</v>
      </c>
      <c r="P53" s="123">
        <v>9.9</v>
      </c>
      <c r="Q53" s="80">
        <v>0.33</v>
      </c>
      <c r="R53" s="79">
        <v>22.36</v>
      </c>
      <c r="S53" s="79">
        <v>0.88</v>
      </c>
      <c r="T53" s="79">
        <v>0.7</v>
      </c>
      <c r="U53" s="85"/>
      <c r="V53" s="84"/>
      <c r="W53" s="80"/>
      <c r="X53" s="117"/>
      <c r="Y53" s="117"/>
      <c r="Z53" s="123"/>
      <c r="AA53" s="117"/>
      <c r="AB53" s="123">
        <v>6.9</v>
      </c>
      <c r="AC53" s="123">
        <v>11.4</v>
      </c>
      <c r="AD53" s="11">
        <v>0.21</v>
      </c>
      <c r="AE53" s="80">
        <v>0.91</v>
      </c>
      <c r="AF53" s="80"/>
      <c r="AG53" s="80"/>
      <c r="AH53" s="80"/>
      <c r="AI53" s="117"/>
      <c r="AJ53" s="117"/>
      <c r="AK53" s="80"/>
      <c r="AL53" s="80"/>
      <c r="AM53" s="123">
        <v>7</v>
      </c>
      <c r="AN53" s="123">
        <v>12.6</v>
      </c>
      <c r="AO53" s="80">
        <v>0.28999999999999998</v>
      </c>
      <c r="AP53" s="128">
        <v>1.1299999999999999</v>
      </c>
      <c r="AQ53" s="132">
        <f t="shared" si="0"/>
        <v>1656</v>
      </c>
      <c r="AR53" s="134">
        <f t="shared" si="1"/>
        <v>0.69806763285024154</v>
      </c>
      <c r="AS53" s="134">
        <f t="shared" si="2"/>
        <v>0</v>
      </c>
      <c r="AT53" s="134">
        <f t="shared" si="3"/>
        <v>0.30193236714975846</v>
      </c>
      <c r="AU53" s="43" t="str">
        <f>IF(AND(F53&lt;&gt;"",Y53&lt;&gt;""),AA53/(F53/2/Y53),"")</f>
        <v/>
      </c>
      <c r="AV53" s="43" t="str">
        <f>IF(AND(F53&lt;&gt;"",AJ53&lt;&gt;""),AL53/(F53/2/AJ53),"")</f>
        <v/>
      </c>
      <c r="AW53" s="41">
        <f>IF(AND(AP53&lt;&gt;"",1-(AP53/N53)&gt;0),1-(AP53/N53),"")</f>
        <v>0.69946808510638303</v>
      </c>
      <c r="AX53" s="41">
        <f>IF(AND(AE53&lt;&gt;"",1-(AE53/N53)&gt;0),1-(AE53/N53),"")</f>
        <v>0.75797872340425532</v>
      </c>
      <c r="AY53" s="136" t="str">
        <f>IF(P53="","",IF(P53&lt;2.5,"Alc. Bruta &lt; 2,5 mg/L",IF(P53&lt;5,"2,5 ≤ Alc. Bruta &lt; 5,0 mg/L",IF(P53&lt;7.5,"5,0 ≤ Alc. Bruta &lt; 7,5 mg/L",IF(P53&lt;10,"7,5 ≤ Alc. Bruta &lt; 10,0 mg/L",IF(P53&lt;15,"10,0 ≤ Alca. Bruta &lt; 15,0 mg/L","Alc. Bruta &gt; 15 mg/L"))))))</f>
        <v>7,5 ≤ Alc. Bruta &lt; 10,0 mg/L</v>
      </c>
      <c r="AZ53" s="136" t="str">
        <f>IF(O53="","",IF(O53&lt;5,"Cor &lt;5 uC",IF(O53&lt;10,"5 ≤ Cor &lt; 10 uC",IF(O53&lt;15,"10 ≤ Cor &lt;15 uC",IF(O53&lt;30,"15 ≤ Cor &lt; 30 uC",IF(O53&lt;50,"30 ≤ Cor &lt; 50 uC","Cor &gt; 50 uC"))))))</f>
        <v>15 ≤ Cor &lt; 30 uC</v>
      </c>
      <c r="BA53" s="137" t="str">
        <f>IF(N53="","",IF(N53&lt;2.5,"Turbidez &lt; 2,5 uT",IF(N53&lt;5,"2,5 ≤ Turb &lt; 5,0 uT",IF(N53&lt;7.5,"5,0 ≤ Turb &lt; 7,5 uT",IF(N53&lt;10,"7,5 ≤ Turb &lt; 10,0 uT",IF(N53&lt;15,"10,0 ≤ Turb &lt; 15,0 uT","Turb &gt; 15 uT"))))))</f>
        <v>2,5 ≤ Turb &lt; 5,0 uT</v>
      </c>
      <c r="BB53" s="138" t="str">
        <f>IF(AND(C53&gt;D53,D53&gt;E53),"TOR &gt; SM &gt; BNN",IF(AND(C53&gt;E53,E53&gt;D53),"TOR &gt; BNN &gt; SM",IF(AND(D53&gt;C53,C53&gt;E53),"SM &gt; TOR &gt; BNN",IF(AND(D53&gt;E53,E53&gt;C53),"SM &gt; BNN &gt; TOR",IF(AND(C53=D53,D53=E53),"TOR = SM = BNN","Comb. diferentes")))))</f>
        <v>TOR &gt; BNN &gt; SM</v>
      </c>
      <c r="BC53" s="137" t="str">
        <f>IF(OR(AD53="",AP53="-"),"",IF(AD53&lt;=0.25,"Tipo 1 (≤0,25) uT",IF(AD53&lt;=0.5,"Tipo 2 (0,25-0,50) uT",IF(AD53&lt;=0.75,"Tipo 3 (0,50-0,75) uT","Tipo 4 (&gt;0,75) uT"))))</f>
        <v>Tipo 1 (≤0,25) uT</v>
      </c>
      <c r="BD53" s="137" t="str">
        <f>IF(OR(AO53="",AY53="-"),"",IF(AO53&lt;=0.25,"Tipo 1 (≤0,25) uT",IF(AO53&lt;=0.5,"Tipo 2 (0,25-0,50) uT",IF(AO53&lt;=0.75,"Tipo 3 (0,50-0,75) uT","Tipo 4 (&gt;0,75) uT"))))</f>
        <v>Tipo 2 (0,25-0,50) uT</v>
      </c>
      <c r="BE53" s="137" t="str">
        <f>IF(OR(AE53="",AP53="-"),"",IF(AE53&lt;=0.25,"Tipo 1 (≤0,25) uT",IF(AE53&lt;=0.5,"Tipo 2 (0,25-0,50) uT",IF(AE53&lt;=0.75,"Tipo 3 (0,50-0,75) uT","Tipo 4 (&gt;0,75) uT"))))</f>
        <v>Tipo 4 (&gt;0,75) uT</v>
      </c>
      <c r="BF53" s="137" t="str">
        <f>IF(OR(AP53="",AP53="-"),"",IF(AP53&lt;=0.25,"Tipo 1 (≤0,25) uT",IF(AP53&lt;=0.5,"Tipo 2 (0,25-0,50) uT",IF(AP53&lt;=0.75,"Tipo 3 (0,50-0,75) uT","Tipo 4 (&gt;0,75) uT"))))</f>
        <v>Tipo 4 (&gt;0,75) uT</v>
      </c>
      <c r="BG53" s="137" t="str">
        <f>IF(OR(Q53="",Q53="-"),"",IF(Q53&lt;=0.25,"Tipo 1 (≤0,25) uT",IF(Q53&lt;=0.5,"Tipo 2 (0,25-0,50) uT",IF(Q53&lt;=0.75,"Tipo 3 (0,50-0,75) uT","Tipo 4 (&gt;0,75) uT"))))</f>
        <v>Tipo 2 (0,25-0,50) uT</v>
      </c>
    </row>
    <row r="54" spans="1:59" x14ac:dyDescent="0.3">
      <c r="A54" s="26">
        <v>46133</v>
      </c>
      <c r="B54" s="111">
        <v>0.3125</v>
      </c>
      <c r="C54" s="118">
        <v>1918</v>
      </c>
      <c r="D54" s="116">
        <v>0</v>
      </c>
      <c r="E54" s="118">
        <v>500</v>
      </c>
      <c r="F54" s="118">
        <v>1996</v>
      </c>
      <c r="G54" s="9" t="s">
        <v>34</v>
      </c>
      <c r="H54" s="124">
        <v>3.4</v>
      </c>
      <c r="I54" s="118">
        <v>90</v>
      </c>
      <c r="J54" s="118">
        <v>90</v>
      </c>
      <c r="K54" s="118">
        <v>90</v>
      </c>
      <c r="L54" s="124">
        <v>23.3</v>
      </c>
      <c r="M54" s="124">
        <v>6.8</v>
      </c>
      <c r="N54" s="81">
        <v>3.84</v>
      </c>
      <c r="O54" s="118">
        <v>16</v>
      </c>
      <c r="P54" s="124">
        <v>7.1</v>
      </c>
      <c r="Q54" s="81">
        <v>0.28000000000000003</v>
      </c>
      <c r="R54" s="79">
        <v>22.36</v>
      </c>
      <c r="S54" s="79">
        <v>0.88</v>
      </c>
      <c r="T54" s="79">
        <v>0.7</v>
      </c>
      <c r="U54" s="85"/>
      <c r="V54" s="82"/>
      <c r="W54" s="81"/>
      <c r="X54" s="118"/>
      <c r="Y54" s="118"/>
      <c r="Z54" s="124"/>
      <c r="AA54" s="118"/>
      <c r="AB54" s="124">
        <v>6.8</v>
      </c>
      <c r="AC54" s="124">
        <v>8.1</v>
      </c>
      <c r="AD54" s="9">
        <v>0.14000000000000001</v>
      </c>
      <c r="AE54" s="81">
        <v>0.86</v>
      </c>
      <c r="AF54" s="81"/>
      <c r="AG54" s="81"/>
      <c r="AH54" s="81"/>
      <c r="AI54" s="118"/>
      <c r="AJ54" s="118"/>
      <c r="AK54" s="81"/>
      <c r="AL54" s="81"/>
      <c r="AM54" s="124">
        <v>6.9</v>
      </c>
      <c r="AN54" s="124">
        <v>7.4</v>
      </c>
      <c r="AO54" s="81">
        <v>0.14000000000000001</v>
      </c>
      <c r="AP54" s="129">
        <v>0.87</v>
      </c>
      <c r="AQ54" s="132">
        <f t="shared" si="0"/>
        <v>2418</v>
      </c>
      <c r="AR54" s="134">
        <f t="shared" si="1"/>
        <v>0.79321753515301907</v>
      </c>
      <c r="AS54" s="134">
        <f t="shared" si="2"/>
        <v>0</v>
      </c>
      <c r="AT54" s="134">
        <f t="shared" si="3"/>
        <v>0.20678246484698098</v>
      </c>
      <c r="AU54" s="43" t="str">
        <f>IF(AND(F54&lt;&gt;"",Y54&lt;&gt;""),AA54/(F54/2/Y54),"")</f>
        <v/>
      </c>
      <c r="AV54" s="43" t="str">
        <f>IF(AND(F54&lt;&gt;"",AJ54&lt;&gt;""),AL54/(F54/2/AJ54),"")</f>
        <v/>
      </c>
      <c r="AW54" s="41">
        <f>IF(AND(AP54&lt;&gt;"",1-(AP54/N54)&gt;0),1-(AP54/N54),"")</f>
        <v>0.7734375</v>
      </c>
      <c r="AX54" s="41">
        <f>IF(AND(AE54&lt;&gt;"",1-(AE54/N54)&gt;0),1-(AE54/N54),"")</f>
        <v>0.77604166666666663</v>
      </c>
      <c r="AY54" s="136" t="str">
        <f>IF(P54="","",IF(P54&lt;2.5,"Alc. Bruta &lt; 2,5 mg/L",IF(P54&lt;5,"2,5 ≤ Alc. Bruta &lt; 5,0 mg/L",IF(P54&lt;7.5,"5,0 ≤ Alc. Bruta &lt; 7,5 mg/L",IF(P54&lt;10,"7,5 ≤ Alc. Bruta &lt; 10,0 mg/L",IF(P54&lt;15,"10,0 ≤ Alca. Bruta &lt; 15,0 mg/L","Alc. Bruta &gt; 15 mg/L"))))))</f>
        <v>5,0 ≤ Alc. Bruta &lt; 7,5 mg/L</v>
      </c>
      <c r="AZ54" s="136" t="str">
        <f>IF(O54="","",IF(O54&lt;5,"Cor &lt;5 uC",IF(O54&lt;10,"5 ≤ Cor &lt; 10 uC",IF(O54&lt;15,"10 ≤ Cor &lt;15 uC",IF(O54&lt;30,"15 ≤ Cor &lt; 30 uC",IF(O54&lt;50,"30 ≤ Cor &lt; 50 uC","Cor &gt; 50 uC"))))))</f>
        <v>15 ≤ Cor &lt; 30 uC</v>
      </c>
      <c r="BA54" s="137" t="str">
        <f>IF(N54="","",IF(N54&lt;2.5,"Turbidez &lt; 2,5 uT",IF(N54&lt;5,"2,5 ≤ Turb &lt; 5,0 uT",IF(N54&lt;7.5,"5,0 ≤ Turb &lt; 7,5 uT",IF(N54&lt;10,"7,5 ≤ Turb &lt; 10,0 uT",IF(N54&lt;15,"10,0 ≤ Turb &lt; 15,0 uT","Turb &gt; 15 uT"))))))</f>
        <v>2,5 ≤ Turb &lt; 5,0 uT</v>
      </c>
      <c r="BB54" s="138" t="str">
        <f>IF(AND(C54&gt;D54,D54&gt;E54),"TOR &gt; SM &gt; BNN",IF(AND(C54&gt;E54,E54&gt;D54),"TOR &gt; BNN &gt; SM",IF(AND(D54&gt;C54,C54&gt;E54),"SM &gt; TOR &gt; BNN",IF(AND(D54&gt;E54,E54&gt;C54),"SM &gt; BNN &gt; TOR",IF(AND(C54=D54,D54=E54),"TOR = SM = BNN","Comb. diferentes")))))</f>
        <v>TOR &gt; BNN &gt; SM</v>
      </c>
      <c r="BC54" s="137" t="str">
        <f>IF(OR(AD54="",AP54="-"),"",IF(AD54&lt;=0.25,"Tipo 1 (≤0,25) uT",IF(AD54&lt;=0.5,"Tipo 2 (0,25-0,50) uT",IF(AD54&lt;=0.75,"Tipo 3 (0,50-0,75) uT","Tipo 4 (&gt;0,75) uT"))))</f>
        <v>Tipo 1 (≤0,25) uT</v>
      </c>
      <c r="BD54" s="137" t="str">
        <f>IF(OR(AO54="",AY54="-"),"",IF(AO54&lt;=0.25,"Tipo 1 (≤0,25) uT",IF(AO54&lt;=0.5,"Tipo 2 (0,25-0,50) uT",IF(AO54&lt;=0.75,"Tipo 3 (0,50-0,75) uT","Tipo 4 (&gt;0,75) uT"))))</f>
        <v>Tipo 1 (≤0,25) uT</v>
      </c>
      <c r="BE54" s="137" t="str">
        <f>IF(OR(AE54="",AP54="-"),"",IF(AE54&lt;=0.25,"Tipo 1 (≤0,25) uT",IF(AE54&lt;=0.5,"Tipo 2 (0,25-0,50) uT",IF(AE54&lt;=0.75,"Tipo 3 (0,50-0,75) uT","Tipo 4 (&gt;0,75) uT"))))</f>
        <v>Tipo 4 (&gt;0,75) uT</v>
      </c>
      <c r="BF54" s="137" t="str">
        <f>IF(OR(AP54="",AP54="-"),"",IF(AP54&lt;=0.25,"Tipo 1 (≤0,25) uT",IF(AP54&lt;=0.5,"Tipo 2 (0,25-0,50) uT",IF(AP54&lt;=0.75,"Tipo 3 (0,50-0,75) uT","Tipo 4 (&gt;0,75) uT"))))</f>
        <v>Tipo 4 (&gt;0,75) uT</v>
      </c>
      <c r="BG54" s="137" t="str">
        <f>IF(OR(Q54="",Q54="-"),"",IF(Q54&lt;=0.25,"Tipo 1 (≤0,25) uT",IF(Q54&lt;=0.5,"Tipo 2 (0,25-0,50) uT",IF(Q54&lt;=0.75,"Tipo 3 (0,50-0,75) uT","Tipo 4 (&gt;0,75) uT"))))</f>
        <v>Tipo 2 (0,25-0,50) uT</v>
      </c>
    </row>
    <row r="55" spans="1:59" x14ac:dyDescent="0.3">
      <c r="A55" s="26">
        <v>46133</v>
      </c>
      <c r="B55" s="107">
        <v>0.39583333333333331</v>
      </c>
      <c r="C55" s="116">
        <v>590</v>
      </c>
      <c r="D55" s="116">
        <v>0</v>
      </c>
      <c r="E55" s="116">
        <v>525</v>
      </c>
      <c r="F55" s="116">
        <v>1300</v>
      </c>
      <c r="G55" s="10" t="s">
        <v>34</v>
      </c>
      <c r="H55" s="122">
        <v>3.4</v>
      </c>
      <c r="I55" s="116">
        <v>90</v>
      </c>
      <c r="J55" s="116">
        <v>90</v>
      </c>
      <c r="K55" s="116">
        <v>90</v>
      </c>
      <c r="L55" s="122">
        <v>23.6</v>
      </c>
      <c r="M55" s="122">
        <v>6.8</v>
      </c>
      <c r="N55" s="79">
        <v>3.59</v>
      </c>
      <c r="O55" s="116">
        <v>14</v>
      </c>
      <c r="P55" s="122">
        <v>7.2</v>
      </c>
      <c r="Q55" s="79">
        <v>0.39</v>
      </c>
      <c r="R55" s="79">
        <v>22.36</v>
      </c>
      <c r="S55" s="79">
        <v>0.88</v>
      </c>
      <c r="T55" s="79">
        <v>0.7</v>
      </c>
      <c r="U55" s="85"/>
      <c r="V55" s="79"/>
      <c r="W55" s="79"/>
      <c r="X55" s="116"/>
      <c r="Y55" s="116"/>
      <c r="Z55" s="122"/>
      <c r="AA55" s="116"/>
      <c r="AB55" s="122">
        <v>6.9</v>
      </c>
      <c r="AC55" s="122">
        <v>8</v>
      </c>
      <c r="AD55" s="10">
        <v>0.19</v>
      </c>
      <c r="AE55" s="79">
        <v>1.23</v>
      </c>
      <c r="AF55" s="79"/>
      <c r="AG55" s="79"/>
      <c r="AH55" s="79"/>
      <c r="AI55" s="116"/>
      <c r="AJ55" s="116"/>
      <c r="AK55" s="79"/>
      <c r="AL55" s="79"/>
      <c r="AM55" s="122">
        <v>6.9</v>
      </c>
      <c r="AN55" s="122">
        <v>6.8</v>
      </c>
      <c r="AO55" s="79">
        <v>0.2</v>
      </c>
      <c r="AP55" s="127">
        <v>1.62</v>
      </c>
      <c r="AQ55" s="132">
        <f t="shared" si="0"/>
        <v>1115</v>
      </c>
      <c r="AR55" s="134">
        <f t="shared" si="1"/>
        <v>0.52914798206278024</v>
      </c>
      <c r="AS55" s="134">
        <f t="shared" si="2"/>
        <v>0</v>
      </c>
      <c r="AT55" s="134">
        <f t="shared" si="3"/>
        <v>0.47085201793721976</v>
      </c>
      <c r="AU55" s="43" t="str">
        <f>IF(AND(F55&lt;&gt;"",Y55&lt;&gt;""),AA55/(F55/2/Y55),"")</f>
        <v/>
      </c>
      <c r="AV55" s="43" t="str">
        <f>IF(AND(F55&lt;&gt;"",AJ55&lt;&gt;""),AL55/(F55/2/AJ55),"")</f>
        <v/>
      </c>
      <c r="AW55" s="41">
        <f>IF(AND(AP55&lt;&gt;"",1-(AP55/N55)&gt;0),1-(AP55/N55),"")</f>
        <v>0.54874651810584951</v>
      </c>
      <c r="AX55" s="41">
        <f>IF(AND(AE55&lt;&gt;"",1-(AE55/N55)&gt;0),1-(AE55/N55),"")</f>
        <v>0.65738161559888586</v>
      </c>
      <c r="AY55" s="136" t="str">
        <f>IF(P55="","",IF(P55&lt;2.5,"Alc. Bruta &lt; 2,5 mg/L",IF(P55&lt;5,"2,5 ≤ Alc. Bruta &lt; 5,0 mg/L",IF(P55&lt;7.5,"5,0 ≤ Alc. Bruta &lt; 7,5 mg/L",IF(P55&lt;10,"7,5 ≤ Alc. Bruta &lt; 10,0 mg/L",IF(P55&lt;15,"10,0 ≤ Alca. Bruta &lt; 15,0 mg/L","Alc. Bruta &gt; 15 mg/L"))))))</f>
        <v>5,0 ≤ Alc. Bruta &lt; 7,5 mg/L</v>
      </c>
      <c r="AZ55" s="136" t="str">
        <f>IF(O55="","",IF(O55&lt;5,"Cor &lt;5 uC",IF(O55&lt;10,"5 ≤ Cor &lt; 10 uC",IF(O55&lt;15,"10 ≤ Cor &lt;15 uC",IF(O55&lt;30,"15 ≤ Cor &lt; 30 uC",IF(O55&lt;50,"30 ≤ Cor &lt; 50 uC","Cor &gt; 50 uC"))))))</f>
        <v>10 ≤ Cor &lt;15 uC</v>
      </c>
      <c r="BA55" s="137" t="str">
        <f>IF(N55="","",IF(N55&lt;2.5,"Turbidez &lt; 2,5 uT",IF(N55&lt;5,"2,5 ≤ Turb &lt; 5,0 uT",IF(N55&lt;7.5,"5,0 ≤ Turb &lt; 7,5 uT",IF(N55&lt;10,"7,5 ≤ Turb &lt; 10,0 uT",IF(N55&lt;15,"10,0 ≤ Turb &lt; 15,0 uT","Turb &gt; 15 uT"))))))</f>
        <v>2,5 ≤ Turb &lt; 5,0 uT</v>
      </c>
      <c r="BB55" s="138" t="str">
        <f>IF(AND(C55&gt;D55,D55&gt;E55),"TOR &gt; SM &gt; BNN",IF(AND(C55&gt;E55,E55&gt;D55),"TOR &gt; BNN &gt; SM",IF(AND(D55&gt;C55,C55&gt;E55),"SM &gt; TOR &gt; BNN",IF(AND(D55&gt;E55,E55&gt;C55),"SM &gt; BNN &gt; TOR",IF(AND(C55=D55,D55=E55),"TOR = SM = BNN","Comb. diferentes")))))</f>
        <v>TOR &gt; BNN &gt; SM</v>
      </c>
      <c r="BC55" s="137" t="str">
        <f>IF(OR(AD55="",AP55="-"),"",IF(AD55&lt;=0.25,"Tipo 1 (≤0,25) uT",IF(AD55&lt;=0.5,"Tipo 2 (0,25-0,50) uT",IF(AD55&lt;=0.75,"Tipo 3 (0,50-0,75) uT","Tipo 4 (&gt;0,75) uT"))))</f>
        <v>Tipo 1 (≤0,25) uT</v>
      </c>
      <c r="BD55" s="137" t="str">
        <f>IF(OR(AO55="",AY55="-"),"",IF(AO55&lt;=0.25,"Tipo 1 (≤0,25) uT",IF(AO55&lt;=0.5,"Tipo 2 (0,25-0,50) uT",IF(AO55&lt;=0.75,"Tipo 3 (0,50-0,75) uT","Tipo 4 (&gt;0,75) uT"))))</f>
        <v>Tipo 1 (≤0,25) uT</v>
      </c>
      <c r="BE55" s="137" t="str">
        <f>IF(OR(AE55="",AP55="-"),"",IF(AE55&lt;=0.25,"Tipo 1 (≤0,25) uT",IF(AE55&lt;=0.5,"Tipo 2 (0,25-0,50) uT",IF(AE55&lt;=0.75,"Tipo 3 (0,50-0,75) uT","Tipo 4 (&gt;0,75) uT"))))</f>
        <v>Tipo 4 (&gt;0,75) uT</v>
      </c>
      <c r="BF55" s="137" t="str">
        <f>IF(OR(AP55="",AP55="-"),"",IF(AP55&lt;=0.25,"Tipo 1 (≤0,25) uT",IF(AP55&lt;=0.5,"Tipo 2 (0,25-0,50) uT",IF(AP55&lt;=0.75,"Tipo 3 (0,50-0,75) uT","Tipo 4 (&gt;0,75) uT"))))</f>
        <v>Tipo 4 (&gt;0,75) uT</v>
      </c>
      <c r="BG55" s="137" t="str">
        <f>IF(OR(Q55="",Q55="-"),"",IF(Q55&lt;=0.25,"Tipo 1 (≤0,25) uT",IF(Q55&lt;=0.5,"Tipo 2 (0,25-0,50) uT",IF(Q55&lt;=0.75,"Tipo 3 (0,50-0,75) uT","Tipo 4 (&gt;0,75) uT"))))</f>
        <v>Tipo 2 (0,25-0,50) uT</v>
      </c>
    </row>
    <row r="56" spans="1:59" x14ac:dyDescent="0.3">
      <c r="A56" s="26">
        <v>46133</v>
      </c>
      <c r="B56" s="107">
        <v>0.47916666666666669</v>
      </c>
      <c r="C56" s="116">
        <v>590</v>
      </c>
      <c r="D56" s="116">
        <v>0</v>
      </c>
      <c r="E56" s="116">
        <v>525</v>
      </c>
      <c r="F56" s="116">
        <v>1291</v>
      </c>
      <c r="G56" s="10" t="s">
        <v>34</v>
      </c>
      <c r="H56" s="122">
        <v>3.4</v>
      </c>
      <c r="I56" s="116">
        <v>90</v>
      </c>
      <c r="J56" s="116">
        <v>90</v>
      </c>
      <c r="K56" s="116">
        <v>90</v>
      </c>
      <c r="L56" s="122">
        <v>24.3</v>
      </c>
      <c r="M56" s="122">
        <v>6.7</v>
      </c>
      <c r="N56" s="79">
        <v>4.1500000000000004</v>
      </c>
      <c r="O56" s="116">
        <v>17</v>
      </c>
      <c r="P56" s="122">
        <v>7.4</v>
      </c>
      <c r="Q56" s="79">
        <v>0.99</v>
      </c>
      <c r="R56" s="79">
        <v>22.36</v>
      </c>
      <c r="S56" s="79">
        <v>0.88</v>
      </c>
      <c r="T56" s="79">
        <v>0.7</v>
      </c>
      <c r="U56" s="85"/>
      <c r="V56" s="79"/>
      <c r="W56" s="79"/>
      <c r="X56" s="116"/>
      <c r="Y56" s="116"/>
      <c r="Z56" s="122"/>
      <c r="AA56" s="116"/>
      <c r="AB56" s="122">
        <v>6.9</v>
      </c>
      <c r="AC56" s="122">
        <v>8.1999999999999993</v>
      </c>
      <c r="AD56" s="10">
        <v>0.16</v>
      </c>
      <c r="AE56" s="79">
        <v>1.52</v>
      </c>
      <c r="AF56" s="79"/>
      <c r="AG56" s="79"/>
      <c r="AH56" s="79"/>
      <c r="AI56" s="116"/>
      <c r="AJ56" s="116"/>
      <c r="AK56" s="79"/>
      <c r="AL56" s="79"/>
      <c r="AM56" s="122">
        <v>6.8</v>
      </c>
      <c r="AN56" s="122">
        <v>7.4</v>
      </c>
      <c r="AO56" s="79">
        <v>0.18</v>
      </c>
      <c r="AP56" s="127">
        <v>2.2000000000000002</v>
      </c>
      <c r="AQ56" s="132">
        <f t="shared" si="0"/>
        <v>1115</v>
      </c>
      <c r="AR56" s="134">
        <f t="shared" si="1"/>
        <v>0.52914798206278024</v>
      </c>
      <c r="AS56" s="134">
        <f t="shared" si="2"/>
        <v>0</v>
      </c>
      <c r="AT56" s="134">
        <f t="shared" si="3"/>
        <v>0.47085201793721976</v>
      </c>
      <c r="AU56" s="43" t="str">
        <f>IF(AND(F56&lt;&gt;"",Y56&lt;&gt;""),AA56/(F56/2/Y56),"")</f>
        <v/>
      </c>
      <c r="AV56" s="43" t="str">
        <f>IF(AND(F56&lt;&gt;"",AJ56&lt;&gt;""),AL56/(F56/2/AJ56),"")</f>
        <v/>
      </c>
      <c r="AW56" s="41">
        <f>IF(AND(AP56&lt;&gt;"",1-(AP56/N56)&gt;0),1-(AP56/N56),"")</f>
        <v>0.46987951807228912</v>
      </c>
      <c r="AX56" s="41">
        <f>IF(AND(AE56&lt;&gt;"",1-(AE56/N56)&gt;0),1-(AE56/N56),"")</f>
        <v>0.63373493975903616</v>
      </c>
      <c r="AY56" s="136" t="str">
        <f>IF(P56="","",IF(P56&lt;2.5,"Alc. Bruta &lt; 2,5 mg/L",IF(P56&lt;5,"2,5 ≤ Alc. Bruta &lt; 5,0 mg/L",IF(P56&lt;7.5,"5,0 ≤ Alc. Bruta &lt; 7,5 mg/L",IF(P56&lt;10,"7,5 ≤ Alc. Bruta &lt; 10,0 mg/L",IF(P56&lt;15,"10,0 ≤ Alca. Bruta &lt; 15,0 mg/L","Alc. Bruta &gt; 15 mg/L"))))))</f>
        <v>5,0 ≤ Alc. Bruta &lt; 7,5 mg/L</v>
      </c>
      <c r="AZ56" s="136" t="str">
        <f>IF(O56="","",IF(O56&lt;5,"Cor &lt;5 uC",IF(O56&lt;10,"5 ≤ Cor &lt; 10 uC",IF(O56&lt;15,"10 ≤ Cor &lt;15 uC",IF(O56&lt;30,"15 ≤ Cor &lt; 30 uC",IF(O56&lt;50,"30 ≤ Cor &lt; 50 uC","Cor &gt; 50 uC"))))))</f>
        <v>15 ≤ Cor &lt; 30 uC</v>
      </c>
      <c r="BA56" s="137" t="str">
        <f>IF(N56="","",IF(N56&lt;2.5,"Turbidez &lt; 2,5 uT",IF(N56&lt;5,"2,5 ≤ Turb &lt; 5,0 uT",IF(N56&lt;7.5,"5,0 ≤ Turb &lt; 7,5 uT",IF(N56&lt;10,"7,5 ≤ Turb &lt; 10,0 uT",IF(N56&lt;15,"10,0 ≤ Turb &lt; 15,0 uT","Turb &gt; 15 uT"))))))</f>
        <v>2,5 ≤ Turb &lt; 5,0 uT</v>
      </c>
      <c r="BB56" s="138" t="str">
        <f>IF(AND(C56&gt;D56,D56&gt;E56),"TOR &gt; SM &gt; BNN",IF(AND(C56&gt;E56,E56&gt;D56),"TOR &gt; BNN &gt; SM",IF(AND(D56&gt;C56,C56&gt;E56),"SM &gt; TOR &gt; BNN",IF(AND(D56&gt;E56,E56&gt;C56),"SM &gt; BNN &gt; TOR",IF(AND(C56=D56,D56=E56),"TOR = SM = BNN","Comb. diferentes")))))</f>
        <v>TOR &gt; BNN &gt; SM</v>
      </c>
      <c r="BC56" s="137" t="str">
        <f>IF(OR(AD56="",AP56="-"),"",IF(AD56&lt;=0.25,"Tipo 1 (≤0,25) uT",IF(AD56&lt;=0.5,"Tipo 2 (0,25-0,50) uT",IF(AD56&lt;=0.75,"Tipo 3 (0,50-0,75) uT","Tipo 4 (&gt;0,75) uT"))))</f>
        <v>Tipo 1 (≤0,25) uT</v>
      </c>
      <c r="BD56" s="137" t="str">
        <f>IF(OR(AO56="",AY56="-"),"",IF(AO56&lt;=0.25,"Tipo 1 (≤0,25) uT",IF(AO56&lt;=0.5,"Tipo 2 (0,25-0,50) uT",IF(AO56&lt;=0.75,"Tipo 3 (0,50-0,75) uT","Tipo 4 (&gt;0,75) uT"))))</f>
        <v>Tipo 1 (≤0,25) uT</v>
      </c>
      <c r="BE56" s="137" t="str">
        <f>IF(OR(AE56="",AP56="-"),"",IF(AE56&lt;=0.25,"Tipo 1 (≤0,25) uT",IF(AE56&lt;=0.5,"Tipo 2 (0,25-0,50) uT",IF(AE56&lt;=0.75,"Tipo 3 (0,50-0,75) uT","Tipo 4 (&gt;0,75) uT"))))</f>
        <v>Tipo 4 (&gt;0,75) uT</v>
      </c>
      <c r="BF56" s="137" t="str">
        <f>IF(OR(AP56="",AP56="-"),"",IF(AP56&lt;=0.25,"Tipo 1 (≤0,25) uT",IF(AP56&lt;=0.5,"Tipo 2 (0,25-0,50) uT",IF(AP56&lt;=0.75,"Tipo 3 (0,50-0,75) uT","Tipo 4 (&gt;0,75) uT"))))</f>
        <v>Tipo 4 (&gt;0,75) uT</v>
      </c>
      <c r="BG56" s="137" t="str">
        <f>IF(OR(Q56="",Q56="-"),"",IF(Q56&lt;=0.25,"Tipo 1 (≤0,25) uT",IF(Q56&lt;=0.5,"Tipo 2 (0,25-0,50) uT",IF(Q56&lt;=0.75,"Tipo 3 (0,50-0,75) uT","Tipo 4 (&gt;0,75) uT"))))</f>
        <v>Tipo 4 (&gt;0,75) uT</v>
      </c>
    </row>
    <row r="57" spans="1:59" x14ac:dyDescent="0.3">
      <c r="A57" s="26">
        <v>46133</v>
      </c>
      <c r="B57" s="107">
        <v>0.5625</v>
      </c>
      <c r="C57" s="116">
        <v>590</v>
      </c>
      <c r="D57" s="116">
        <v>0</v>
      </c>
      <c r="E57" s="116">
        <v>525</v>
      </c>
      <c r="F57" s="116">
        <v>1219</v>
      </c>
      <c r="G57" s="10" t="s">
        <v>34</v>
      </c>
      <c r="H57" s="122">
        <v>3.4</v>
      </c>
      <c r="I57" s="116">
        <v>90</v>
      </c>
      <c r="J57" s="116">
        <v>90</v>
      </c>
      <c r="K57" s="116">
        <v>90</v>
      </c>
      <c r="L57" s="122">
        <v>24.8</v>
      </c>
      <c r="M57" s="122">
        <v>6.8</v>
      </c>
      <c r="N57" s="79">
        <v>4.68</v>
      </c>
      <c r="O57" s="116">
        <v>19</v>
      </c>
      <c r="P57" s="122">
        <v>7.9</v>
      </c>
      <c r="Q57" s="79">
        <v>0.5</v>
      </c>
      <c r="R57" s="79">
        <v>22.36</v>
      </c>
      <c r="S57" s="79">
        <v>0.88</v>
      </c>
      <c r="T57" s="79">
        <v>0.7</v>
      </c>
      <c r="U57" s="85"/>
      <c r="V57" s="79"/>
      <c r="W57" s="79"/>
      <c r="X57" s="116"/>
      <c r="Y57" s="116"/>
      <c r="Z57" s="122"/>
      <c r="AA57" s="116"/>
      <c r="AB57" s="122">
        <v>6.9</v>
      </c>
      <c r="AC57" s="122">
        <v>9.4</v>
      </c>
      <c r="AD57" s="10">
        <v>0.14000000000000001</v>
      </c>
      <c r="AE57" s="79">
        <v>1.64</v>
      </c>
      <c r="AF57" s="79"/>
      <c r="AG57" s="79"/>
      <c r="AH57" s="79"/>
      <c r="AI57" s="116"/>
      <c r="AJ57" s="116"/>
      <c r="AK57" s="79"/>
      <c r="AL57" s="79"/>
      <c r="AM57" s="122">
        <v>6.9</v>
      </c>
      <c r="AN57" s="122">
        <v>8.1</v>
      </c>
      <c r="AO57" s="79">
        <v>0.18</v>
      </c>
      <c r="AP57" s="127">
        <v>1.51</v>
      </c>
      <c r="AQ57" s="132">
        <f t="shared" si="0"/>
        <v>1115</v>
      </c>
      <c r="AR57" s="134">
        <f t="shared" si="1"/>
        <v>0.52914798206278024</v>
      </c>
      <c r="AS57" s="134">
        <f t="shared" si="2"/>
        <v>0</v>
      </c>
      <c r="AT57" s="134">
        <f t="shared" si="3"/>
        <v>0.47085201793721976</v>
      </c>
      <c r="AU57" s="43" t="str">
        <f>IF(AND(F57&lt;&gt;"",Y57&lt;&gt;""),AA57/(F57/2/Y57),"")</f>
        <v/>
      </c>
      <c r="AV57" s="43" t="str">
        <f>IF(AND(F57&lt;&gt;"",AJ57&lt;&gt;""),AL57/(F57/2/AJ57),"")</f>
        <v/>
      </c>
      <c r="AW57" s="41">
        <f>IF(AND(AP57&lt;&gt;"",1-(AP57/N57)&gt;0),1-(AP57/N57),"")</f>
        <v>0.67735042735042739</v>
      </c>
      <c r="AX57" s="41">
        <f>IF(AND(AE57&lt;&gt;"",1-(AE57/N57)&gt;0),1-(AE57/N57),"")</f>
        <v>0.6495726495726496</v>
      </c>
      <c r="AY57" s="136" t="str">
        <f>IF(P57="","",IF(P57&lt;2.5,"Alc. Bruta &lt; 2,5 mg/L",IF(P57&lt;5,"2,5 ≤ Alc. Bruta &lt; 5,0 mg/L",IF(P57&lt;7.5,"5,0 ≤ Alc. Bruta &lt; 7,5 mg/L",IF(P57&lt;10,"7,5 ≤ Alc. Bruta &lt; 10,0 mg/L",IF(P57&lt;15,"10,0 ≤ Alca. Bruta &lt; 15,0 mg/L","Alc. Bruta &gt; 15 mg/L"))))))</f>
        <v>7,5 ≤ Alc. Bruta &lt; 10,0 mg/L</v>
      </c>
      <c r="AZ57" s="136" t="str">
        <f>IF(O57="","",IF(O57&lt;5,"Cor &lt;5 uC",IF(O57&lt;10,"5 ≤ Cor &lt; 10 uC",IF(O57&lt;15,"10 ≤ Cor &lt;15 uC",IF(O57&lt;30,"15 ≤ Cor &lt; 30 uC",IF(O57&lt;50,"30 ≤ Cor &lt; 50 uC","Cor &gt; 50 uC"))))))</f>
        <v>15 ≤ Cor &lt; 30 uC</v>
      </c>
      <c r="BA57" s="137" t="str">
        <f>IF(N57="","",IF(N57&lt;2.5,"Turbidez &lt; 2,5 uT",IF(N57&lt;5,"2,5 ≤ Turb &lt; 5,0 uT",IF(N57&lt;7.5,"5,0 ≤ Turb &lt; 7,5 uT",IF(N57&lt;10,"7,5 ≤ Turb &lt; 10,0 uT",IF(N57&lt;15,"10,0 ≤ Turb &lt; 15,0 uT","Turb &gt; 15 uT"))))))</f>
        <v>2,5 ≤ Turb &lt; 5,0 uT</v>
      </c>
      <c r="BB57" s="138" t="str">
        <f>IF(AND(C57&gt;D57,D57&gt;E57),"TOR &gt; SM &gt; BNN",IF(AND(C57&gt;E57,E57&gt;D57),"TOR &gt; BNN &gt; SM",IF(AND(D57&gt;C57,C57&gt;E57),"SM &gt; TOR &gt; BNN",IF(AND(D57&gt;E57,E57&gt;C57),"SM &gt; BNN &gt; TOR",IF(AND(C57=D57,D57=E57),"TOR = SM = BNN","Comb. diferentes")))))</f>
        <v>TOR &gt; BNN &gt; SM</v>
      </c>
      <c r="BC57" s="137" t="str">
        <f>IF(OR(AD57="",AP57="-"),"",IF(AD57&lt;=0.25,"Tipo 1 (≤0,25) uT",IF(AD57&lt;=0.5,"Tipo 2 (0,25-0,50) uT",IF(AD57&lt;=0.75,"Tipo 3 (0,50-0,75) uT","Tipo 4 (&gt;0,75) uT"))))</f>
        <v>Tipo 1 (≤0,25) uT</v>
      </c>
      <c r="BD57" s="137" t="str">
        <f>IF(OR(AO57="",AY57="-"),"",IF(AO57&lt;=0.25,"Tipo 1 (≤0,25) uT",IF(AO57&lt;=0.5,"Tipo 2 (0,25-0,50) uT",IF(AO57&lt;=0.75,"Tipo 3 (0,50-0,75) uT","Tipo 4 (&gt;0,75) uT"))))</f>
        <v>Tipo 1 (≤0,25) uT</v>
      </c>
      <c r="BE57" s="137" t="str">
        <f>IF(OR(AE57="",AP57="-"),"",IF(AE57&lt;=0.25,"Tipo 1 (≤0,25) uT",IF(AE57&lt;=0.5,"Tipo 2 (0,25-0,50) uT",IF(AE57&lt;=0.75,"Tipo 3 (0,50-0,75) uT","Tipo 4 (&gt;0,75) uT"))))</f>
        <v>Tipo 4 (&gt;0,75) uT</v>
      </c>
      <c r="BF57" s="137" t="str">
        <f>IF(OR(AP57="",AP57="-"),"",IF(AP57&lt;=0.25,"Tipo 1 (≤0,25) uT",IF(AP57&lt;=0.5,"Tipo 2 (0,25-0,50) uT",IF(AP57&lt;=0.75,"Tipo 3 (0,50-0,75) uT","Tipo 4 (&gt;0,75) uT"))))</f>
        <v>Tipo 4 (&gt;0,75) uT</v>
      </c>
      <c r="BG57" s="137" t="str">
        <f>IF(OR(Q57="",Q57="-"),"",IF(Q57&lt;=0.25,"Tipo 1 (≤0,25) uT",IF(Q57&lt;=0.5,"Tipo 2 (0,25-0,50) uT",IF(Q57&lt;=0.75,"Tipo 3 (0,50-0,75) uT","Tipo 4 (&gt;0,75) uT"))))</f>
        <v>Tipo 2 (0,25-0,50) uT</v>
      </c>
    </row>
    <row r="58" spans="1:59" x14ac:dyDescent="0.3">
      <c r="A58" s="26">
        <v>46133</v>
      </c>
      <c r="B58" s="107">
        <v>0.64583333333333337</v>
      </c>
      <c r="C58" s="116">
        <v>1240</v>
      </c>
      <c r="D58" s="116">
        <v>0</v>
      </c>
      <c r="E58" s="116">
        <v>500</v>
      </c>
      <c r="F58" s="116">
        <v>1980</v>
      </c>
      <c r="G58" s="10" t="s">
        <v>34</v>
      </c>
      <c r="H58" s="122">
        <v>3.4</v>
      </c>
      <c r="I58" s="116">
        <v>90</v>
      </c>
      <c r="J58" s="116">
        <v>90</v>
      </c>
      <c r="K58" s="116">
        <v>90</v>
      </c>
      <c r="L58" s="122">
        <v>25.4</v>
      </c>
      <c r="M58" s="122">
        <v>6.8</v>
      </c>
      <c r="N58" s="79">
        <v>4.08</v>
      </c>
      <c r="O58" s="116">
        <v>14</v>
      </c>
      <c r="P58" s="122">
        <v>6.9</v>
      </c>
      <c r="Q58" s="79">
        <v>0.43</v>
      </c>
      <c r="R58" s="79">
        <v>22.36</v>
      </c>
      <c r="S58" s="79">
        <v>0.88</v>
      </c>
      <c r="T58" s="79">
        <v>0.7</v>
      </c>
      <c r="U58" s="85"/>
      <c r="V58" s="79"/>
      <c r="W58" s="79"/>
      <c r="X58" s="116"/>
      <c r="Y58" s="116"/>
      <c r="Z58" s="122"/>
      <c r="AA58" s="116"/>
      <c r="AB58" s="122">
        <v>6.8</v>
      </c>
      <c r="AC58" s="122">
        <v>6.7</v>
      </c>
      <c r="AD58" s="10">
        <v>0.23</v>
      </c>
      <c r="AE58" s="79">
        <v>1.33</v>
      </c>
      <c r="AF58" s="79"/>
      <c r="AG58" s="79"/>
      <c r="AH58" s="79"/>
      <c r="AI58" s="116"/>
      <c r="AJ58" s="116"/>
      <c r="AK58" s="79"/>
      <c r="AL58" s="79"/>
      <c r="AM58" s="122">
        <v>6.7</v>
      </c>
      <c r="AN58" s="122">
        <v>7.3</v>
      </c>
      <c r="AO58" s="79">
        <v>0.25</v>
      </c>
      <c r="AP58" s="127">
        <v>1.56</v>
      </c>
      <c r="AQ58" s="132">
        <f t="shared" si="0"/>
        <v>1740</v>
      </c>
      <c r="AR58" s="134">
        <f t="shared" si="1"/>
        <v>0.71264367816091956</v>
      </c>
      <c r="AS58" s="134">
        <f t="shared" si="2"/>
        <v>0</v>
      </c>
      <c r="AT58" s="134">
        <f t="shared" si="3"/>
        <v>0.28735632183908044</v>
      </c>
      <c r="AU58" s="43" t="str">
        <f>IF(AND(F58&lt;&gt;"",Y58&lt;&gt;""),AA58/(F58/2/Y58),"")</f>
        <v/>
      </c>
      <c r="AV58" s="43" t="str">
        <f>IF(AND(F58&lt;&gt;"",AJ58&lt;&gt;""),AL58/(F58/2/AJ58),"")</f>
        <v/>
      </c>
      <c r="AW58" s="41">
        <f>IF(AND(AP58&lt;&gt;"",1-(AP58/N58)&gt;0),1-(AP58/N58),"")</f>
        <v>0.61764705882352944</v>
      </c>
      <c r="AX58" s="41">
        <f>IF(AND(AE58&lt;&gt;"",1-(AE58/N58)&gt;0),1-(AE58/N58),"")</f>
        <v>0.6740196078431373</v>
      </c>
      <c r="AY58" s="136" t="str">
        <f>IF(P58="","",IF(P58&lt;2.5,"Alc. Bruta &lt; 2,5 mg/L",IF(P58&lt;5,"2,5 ≤ Alc. Bruta &lt; 5,0 mg/L",IF(P58&lt;7.5,"5,0 ≤ Alc. Bruta &lt; 7,5 mg/L",IF(P58&lt;10,"7,5 ≤ Alc. Bruta &lt; 10,0 mg/L",IF(P58&lt;15,"10,0 ≤ Alca. Bruta &lt; 15,0 mg/L","Alc. Bruta &gt; 15 mg/L"))))))</f>
        <v>5,0 ≤ Alc. Bruta &lt; 7,5 mg/L</v>
      </c>
      <c r="AZ58" s="136" t="str">
        <f>IF(O58="","",IF(O58&lt;5,"Cor &lt;5 uC",IF(O58&lt;10,"5 ≤ Cor &lt; 10 uC",IF(O58&lt;15,"10 ≤ Cor &lt;15 uC",IF(O58&lt;30,"15 ≤ Cor &lt; 30 uC",IF(O58&lt;50,"30 ≤ Cor &lt; 50 uC","Cor &gt; 50 uC"))))))</f>
        <v>10 ≤ Cor &lt;15 uC</v>
      </c>
      <c r="BA58" s="137" t="str">
        <f>IF(N58="","",IF(N58&lt;2.5,"Turbidez &lt; 2,5 uT",IF(N58&lt;5,"2,5 ≤ Turb &lt; 5,0 uT",IF(N58&lt;7.5,"5,0 ≤ Turb &lt; 7,5 uT",IF(N58&lt;10,"7,5 ≤ Turb &lt; 10,0 uT",IF(N58&lt;15,"10,0 ≤ Turb &lt; 15,0 uT","Turb &gt; 15 uT"))))))</f>
        <v>2,5 ≤ Turb &lt; 5,0 uT</v>
      </c>
      <c r="BB58" s="138" t="str">
        <f>IF(AND(C58&gt;D58,D58&gt;E58),"TOR &gt; SM &gt; BNN",IF(AND(C58&gt;E58,E58&gt;D58),"TOR &gt; BNN &gt; SM",IF(AND(D58&gt;C58,C58&gt;E58),"SM &gt; TOR &gt; BNN",IF(AND(D58&gt;E58,E58&gt;C58),"SM &gt; BNN &gt; TOR",IF(AND(C58=D58,D58=E58),"TOR = SM = BNN","Comb. diferentes")))))</f>
        <v>TOR &gt; BNN &gt; SM</v>
      </c>
      <c r="BC58" s="137" t="str">
        <f>IF(OR(AD58="",AP58="-"),"",IF(AD58&lt;=0.25,"Tipo 1 (≤0,25) uT",IF(AD58&lt;=0.5,"Tipo 2 (0,25-0,50) uT",IF(AD58&lt;=0.75,"Tipo 3 (0,50-0,75) uT","Tipo 4 (&gt;0,75) uT"))))</f>
        <v>Tipo 1 (≤0,25) uT</v>
      </c>
      <c r="BD58" s="137" t="str">
        <f>IF(OR(AO58="",AY58="-"),"",IF(AO58&lt;=0.25,"Tipo 1 (≤0,25) uT",IF(AO58&lt;=0.5,"Tipo 2 (0,25-0,50) uT",IF(AO58&lt;=0.75,"Tipo 3 (0,50-0,75) uT","Tipo 4 (&gt;0,75) uT"))))</f>
        <v>Tipo 1 (≤0,25) uT</v>
      </c>
      <c r="BE58" s="137" t="str">
        <f>IF(OR(AE58="",AP58="-"),"",IF(AE58&lt;=0.25,"Tipo 1 (≤0,25) uT",IF(AE58&lt;=0.5,"Tipo 2 (0,25-0,50) uT",IF(AE58&lt;=0.75,"Tipo 3 (0,50-0,75) uT","Tipo 4 (&gt;0,75) uT"))))</f>
        <v>Tipo 4 (&gt;0,75) uT</v>
      </c>
      <c r="BF58" s="137" t="str">
        <f>IF(OR(AP58="",AP58="-"),"",IF(AP58&lt;=0.25,"Tipo 1 (≤0,25) uT",IF(AP58&lt;=0.5,"Tipo 2 (0,25-0,50) uT",IF(AP58&lt;=0.75,"Tipo 3 (0,50-0,75) uT","Tipo 4 (&gt;0,75) uT"))))</f>
        <v>Tipo 4 (&gt;0,75) uT</v>
      </c>
      <c r="BG58" s="137" t="str">
        <f>IF(OR(Q58="",Q58="-"),"",IF(Q58&lt;=0.25,"Tipo 1 (≤0,25) uT",IF(Q58&lt;=0.5,"Tipo 2 (0,25-0,50) uT",IF(Q58&lt;=0.75,"Tipo 3 (0,50-0,75) uT","Tipo 4 (&gt;0,75) uT"))))</f>
        <v>Tipo 2 (0,25-0,50) uT</v>
      </c>
    </row>
    <row r="59" spans="1:59" x14ac:dyDescent="0.3">
      <c r="A59" s="26">
        <v>46133</v>
      </c>
      <c r="B59" s="107">
        <v>0.72916666666666663</v>
      </c>
      <c r="C59" s="116">
        <v>1201</v>
      </c>
      <c r="D59" s="116">
        <v>0</v>
      </c>
      <c r="E59" s="116">
        <v>499.2</v>
      </c>
      <c r="F59" s="116">
        <v>1906</v>
      </c>
      <c r="G59" s="10" t="s">
        <v>34</v>
      </c>
      <c r="H59" s="122">
        <v>3.4</v>
      </c>
      <c r="I59" s="116">
        <v>90</v>
      </c>
      <c r="J59" s="116">
        <v>90</v>
      </c>
      <c r="K59" s="116">
        <v>90</v>
      </c>
      <c r="L59" s="122">
        <v>25</v>
      </c>
      <c r="M59" s="122">
        <v>6.7</v>
      </c>
      <c r="N59" s="79">
        <v>4.4000000000000004</v>
      </c>
      <c r="O59" s="116">
        <v>16</v>
      </c>
      <c r="P59" s="122">
        <v>5.7</v>
      </c>
      <c r="Q59" s="79">
        <v>0.28999999999999998</v>
      </c>
      <c r="R59" s="79">
        <v>22.36</v>
      </c>
      <c r="S59" s="79">
        <v>0.88</v>
      </c>
      <c r="T59" s="79">
        <v>0.7</v>
      </c>
      <c r="U59" s="85"/>
      <c r="V59" s="79"/>
      <c r="W59" s="79"/>
      <c r="X59" s="116"/>
      <c r="Y59" s="116"/>
      <c r="Z59" s="122"/>
      <c r="AA59" s="116"/>
      <c r="AB59" s="122">
        <v>6.7</v>
      </c>
      <c r="AC59" s="122">
        <v>6</v>
      </c>
      <c r="AD59" s="10">
        <v>0.16</v>
      </c>
      <c r="AE59" s="79">
        <v>1.23</v>
      </c>
      <c r="AF59" s="79"/>
      <c r="AG59" s="79"/>
      <c r="AH59" s="79"/>
      <c r="AI59" s="116"/>
      <c r="AJ59" s="116"/>
      <c r="AK59" s="79"/>
      <c r="AL59" s="79"/>
      <c r="AM59" s="122">
        <v>6.7</v>
      </c>
      <c r="AN59" s="122">
        <v>5.5</v>
      </c>
      <c r="AO59" s="79">
        <v>0.21</v>
      </c>
      <c r="AP59" s="127">
        <v>1.68</v>
      </c>
      <c r="AQ59" s="132">
        <f t="shared" si="0"/>
        <v>1700.2</v>
      </c>
      <c r="AR59" s="134">
        <f t="shared" si="1"/>
        <v>0.70638748382543226</v>
      </c>
      <c r="AS59" s="134">
        <f t="shared" si="2"/>
        <v>0</v>
      </c>
      <c r="AT59" s="134">
        <f t="shared" si="3"/>
        <v>0.29361251617456768</v>
      </c>
      <c r="AU59" s="43" t="str">
        <f>IF(AND(F59&lt;&gt;"",Y59&lt;&gt;""),AA59/(F59/2/Y59),"")</f>
        <v/>
      </c>
      <c r="AV59" s="43" t="str">
        <f>IF(AND(F59&lt;&gt;"",AJ59&lt;&gt;""),AL59/(F59/2/AJ59),"")</f>
        <v/>
      </c>
      <c r="AW59" s="41">
        <f>IF(AND(AP59&lt;&gt;"",1-(AP59/N59)&gt;0),1-(AP59/N59),"")</f>
        <v>0.61818181818181817</v>
      </c>
      <c r="AX59" s="41">
        <f>IF(AND(AE59&lt;&gt;"",1-(AE59/N59)&gt;0),1-(AE59/N59),"")</f>
        <v>0.72045454545454546</v>
      </c>
      <c r="AY59" s="136" t="str">
        <f>IF(P59="","",IF(P59&lt;2.5,"Alc. Bruta &lt; 2,5 mg/L",IF(P59&lt;5,"2,5 ≤ Alc. Bruta &lt; 5,0 mg/L",IF(P59&lt;7.5,"5,0 ≤ Alc. Bruta &lt; 7,5 mg/L",IF(P59&lt;10,"7,5 ≤ Alc. Bruta &lt; 10,0 mg/L",IF(P59&lt;15,"10,0 ≤ Alca. Bruta &lt; 15,0 mg/L","Alc. Bruta &gt; 15 mg/L"))))))</f>
        <v>5,0 ≤ Alc. Bruta &lt; 7,5 mg/L</v>
      </c>
      <c r="AZ59" s="136" t="str">
        <f>IF(O59="","",IF(O59&lt;5,"Cor &lt;5 uC",IF(O59&lt;10,"5 ≤ Cor &lt; 10 uC",IF(O59&lt;15,"10 ≤ Cor &lt;15 uC",IF(O59&lt;30,"15 ≤ Cor &lt; 30 uC",IF(O59&lt;50,"30 ≤ Cor &lt; 50 uC","Cor &gt; 50 uC"))))))</f>
        <v>15 ≤ Cor &lt; 30 uC</v>
      </c>
      <c r="BA59" s="137" t="str">
        <f>IF(N59="","",IF(N59&lt;2.5,"Turbidez &lt; 2,5 uT",IF(N59&lt;5,"2,5 ≤ Turb &lt; 5,0 uT",IF(N59&lt;7.5,"5,0 ≤ Turb &lt; 7,5 uT",IF(N59&lt;10,"7,5 ≤ Turb &lt; 10,0 uT",IF(N59&lt;15,"10,0 ≤ Turb &lt; 15,0 uT","Turb &gt; 15 uT"))))))</f>
        <v>2,5 ≤ Turb &lt; 5,0 uT</v>
      </c>
      <c r="BB59" s="138" t="str">
        <f>IF(AND(C59&gt;D59,D59&gt;E59),"TOR &gt; SM &gt; BNN",IF(AND(C59&gt;E59,E59&gt;D59),"TOR &gt; BNN &gt; SM",IF(AND(D59&gt;C59,C59&gt;E59),"SM &gt; TOR &gt; BNN",IF(AND(D59&gt;E59,E59&gt;C59),"SM &gt; BNN &gt; TOR",IF(AND(C59=D59,D59=E59),"TOR = SM = BNN","Comb. diferentes")))))</f>
        <v>TOR &gt; BNN &gt; SM</v>
      </c>
      <c r="BC59" s="137" t="str">
        <f>IF(OR(AD59="",AP59="-"),"",IF(AD59&lt;=0.25,"Tipo 1 (≤0,25) uT",IF(AD59&lt;=0.5,"Tipo 2 (0,25-0,50) uT",IF(AD59&lt;=0.75,"Tipo 3 (0,50-0,75) uT","Tipo 4 (&gt;0,75) uT"))))</f>
        <v>Tipo 1 (≤0,25) uT</v>
      </c>
      <c r="BD59" s="137" t="str">
        <f>IF(OR(AO59="",AY59="-"),"",IF(AO59&lt;=0.25,"Tipo 1 (≤0,25) uT",IF(AO59&lt;=0.5,"Tipo 2 (0,25-0,50) uT",IF(AO59&lt;=0.75,"Tipo 3 (0,50-0,75) uT","Tipo 4 (&gt;0,75) uT"))))</f>
        <v>Tipo 1 (≤0,25) uT</v>
      </c>
      <c r="BE59" s="137" t="str">
        <f>IF(OR(AE59="",AP59="-"),"",IF(AE59&lt;=0.25,"Tipo 1 (≤0,25) uT",IF(AE59&lt;=0.5,"Tipo 2 (0,25-0,50) uT",IF(AE59&lt;=0.75,"Tipo 3 (0,50-0,75) uT","Tipo 4 (&gt;0,75) uT"))))</f>
        <v>Tipo 4 (&gt;0,75) uT</v>
      </c>
      <c r="BF59" s="137" t="str">
        <f>IF(OR(AP59="",AP59="-"),"",IF(AP59&lt;=0.25,"Tipo 1 (≤0,25) uT",IF(AP59&lt;=0.5,"Tipo 2 (0,25-0,50) uT",IF(AP59&lt;=0.75,"Tipo 3 (0,50-0,75) uT","Tipo 4 (&gt;0,75) uT"))))</f>
        <v>Tipo 4 (&gt;0,75) uT</v>
      </c>
      <c r="BG59" s="137" t="str">
        <f>IF(OR(Q59="",Q59="-"),"",IF(Q59&lt;=0.25,"Tipo 1 (≤0,25) uT",IF(Q59&lt;=0.5,"Tipo 2 (0,25-0,50) uT",IF(Q59&lt;=0.75,"Tipo 3 (0,50-0,75) uT","Tipo 4 (&gt;0,75) uT"))))</f>
        <v>Tipo 2 (0,25-0,50) uT</v>
      </c>
    </row>
    <row r="60" spans="1:59" x14ac:dyDescent="0.3">
      <c r="A60" s="26">
        <v>46133</v>
      </c>
      <c r="B60" s="107">
        <v>0.8125</v>
      </c>
      <c r="C60" s="116">
        <v>1112</v>
      </c>
      <c r="D60" s="116">
        <v>86</v>
      </c>
      <c r="E60" s="116">
        <v>500</v>
      </c>
      <c r="F60" s="116">
        <v>1828</v>
      </c>
      <c r="G60" s="10" t="s">
        <v>34</v>
      </c>
      <c r="H60" s="122">
        <v>3.4</v>
      </c>
      <c r="I60" s="116">
        <v>90</v>
      </c>
      <c r="J60" s="116">
        <v>90</v>
      </c>
      <c r="K60" s="116">
        <v>90</v>
      </c>
      <c r="L60" s="122">
        <v>24.7</v>
      </c>
      <c r="M60" s="122">
        <v>6.8</v>
      </c>
      <c r="N60" s="79">
        <v>4.38</v>
      </c>
      <c r="O60" s="116">
        <v>15</v>
      </c>
      <c r="P60" s="122">
        <v>9.3000000000000007</v>
      </c>
      <c r="Q60" s="79">
        <v>0.34</v>
      </c>
      <c r="R60" s="79">
        <v>22.36</v>
      </c>
      <c r="S60" s="79">
        <v>0.88</v>
      </c>
      <c r="T60" s="79">
        <v>0.7</v>
      </c>
      <c r="U60" s="85"/>
      <c r="V60" s="79"/>
      <c r="W60" s="79"/>
      <c r="X60" s="116"/>
      <c r="Y60" s="116"/>
      <c r="Z60" s="122"/>
      <c r="AA60" s="116"/>
      <c r="AB60" s="122">
        <v>6.8</v>
      </c>
      <c r="AC60" s="122">
        <v>8.1</v>
      </c>
      <c r="AD60" s="10">
        <v>0.24</v>
      </c>
      <c r="AE60" s="79">
        <v>1.1100000000000001</v>
      </c>
      <c r="AF60" s="79"/>
      <c r="AG60" s="79"/>
      <c r="AH60" s="79"/>
      <c r="AI60" s="116"/>
      <c r="AJ60" s="116"/>
      <c r="AK60" s="79"/>
      <c r="AL60" s="79"/>
      <c r="AM60" s="122">
        <v>6.8</v>
      </c>
      <c r="AN60" s="122">
        <v>9.8000000000000007</v>
      </c>
      <c r="AO60" s="79">
        <v>0.28999999999999998</v>
      </c>
      <c r="AP60" s="127">
        <v>1.91</v>
      </c>
      <c r="AQ60" s="132">
        <f t="shared" si="0"/>
        <v>1698</v>
      </c>
      <c r="AR60" s="134">
        <f t="shared" si="1"/>
        <v>0.65488810365135453</v>
      </c>
      <c r="AS60" s="134">
        <f t="shared" si="2"/>
        <v>5.0647820965842166E-2</v>
      </c>
      <c r="AT60" s="134">
        <f t="shared" si="3"/>
        <v>0.29446407538280328</v>
      </c>
      <c r="AU60" s="43" t="str">
        <f>IF(AND(F60&lt;&gt;"",Y60&lt;&gt;""),AA60/(F60/2/Y60),"")</f>
        <v/>
      </c>
      <c r="AV60" s="43" t="str">
        <f>IF(AND(F60&lt;&gt;"",AJ60&lt;&gt;""),AL60/(F60/2/AJ60),"")</f>
        <v/>
      </c>
      <c r="AW60" s="41">
        <f>IF(AND(AP60&lt;&gt;"",1-(AP60/N60)&gt;0),1-(AP60/N60),"")</f>
        <v>0.5639269406392694</v>
      </c>
      <c r="AX60" s="41">
        <f>IF(AND(AE60&lt;&gt;"",1-(AE60/N60)&gt;0),1-(AE60/N60),"")</f>
        <v>0.74657534246575341</v>
      </c>
      <c r="AY60" s="136" t="str">
        <f>IF(P60="","",IF(P60&lt;2.5,"Alc. Bruta &lt; 2,5 mg/L",IF(P60&lt;5,"2,5 ≤ Alc. Bruta &lt; 5,0 mg/L",IF(P60&lt;7.5,"5,0 ≤ Alc. Bruta &lt; 7,5 mg/L",IF(P60&lt;10,"7,5 ≤ Alc. Bruta &lt; 10,0 mg/L",IF(P60&lt;15,"10,0 ≤ Alca. Bruta &lt; 15,0 mg/L","Alc. Bruta &gt; 15 mg/L"))))))</f>
        <v>7,5 ≤ Alc. Bruta &lt; 10,0 mg/L</v>
      </c>
      <c r="AZ60" s="136" t="str">
        <f>IF(O60="","",IF(O60&lt;5,"Cor &lt;5 uC",IF(O60&lt;10,"5 ≤ Cor &lt; 10 uC",IF(O60&lt;15,"10 ≤ Cor &lt;15 uC",IF(O60&lt;30,"15 ≤ Cor &lt; 30 uC",IF(O60&lt;50,"30 ≤ Cor &lt; 50 uC","Cor &gt; 50 uC"))))))</f>
        <v>15 ≤ Cor &lt; 30 uC</v>
      </c>
      <c r="BA60" s="137" t="str">
        <f>IF(N60="","",IF(N60&lt;2.5,"Turbidez &lt; 2,5 uT",IF(N60&lt;5,"2,5 ≤ Turb &lt; 5,0 uT",IF(N60&lt;7.5,"5,0 ≤ Turb &lt; 7,5 uT",IF(N60&lt;10,"7,5 ≤ Turb &lt; 10,0 uT",IF(N60&lt;15,"10,0 ≤ Turb &lt; 15,0 uT","Turb &gt; 15 uT"))))))</f>
        <v>2,5 ≤ Turb &lt; 5,0 uT</v>
      </c>
      <c r="BB60" s="138" t="str">
        <f>IF(AND(C60&gt;D60,D60&gt;E60),"TOR &gt; SM &gt; BNN",IF(AND(C60&gt;E60,E60&gt;D60),"TOR &gt; BNN &gt; SM",IF(AND(D60&gt;C60,C60&gt;E60),"SM &gt; TOR &gt; BNN",IF(AND(D60&gt;E60,E60&gt;C60),"SM &gt; BNN &gt; TOR",IF(AND(C60=D60,D60=E60),"TOR = SM = BNN","Comb. diferentes")))))</f>
        <v>TOR &gt; BNN &gt; SM</v>
      </c>
      <c r="BC60" s="137" t="str">
        <f>IF(OR(AD60="",AP60="-"),"",IF(AD60&lt;=0.25,"Tipo 1 (≤0,25) uT",IF(AD60&lt;=0.5,"Tipo 2 (0,25-0,50) uT",IF(AD60&lt;=0.75,"Tipo 3 (0,50-0,75) uT","Tipo 4 (&gt;0,75) uT"))))</f>
        <v>Tipo 1 (≤0,25) uT</v>
      </c>
      <c r="BD60" s="137" t="str">
        <f>IF(OR(AO60="",AY60="-"),"",IF(AO60&lt;=0.25,"Tipo 1 (≤0,25) uT",IF(AO60&lt;=0.5,"Tipo 2 (0,25-0,50) uT",IF(AO60&lt;=0.75,"Tipo 3 (0,50-0,75) uT","Tipo 4 (&gt;0,75) uT"))))</f>
        <v>Tipo 2 (0,25-0,50) uT</v>
      </c>
      <c r="BE60" s="137" t="str">
        <f>IF(OR(AE60="",AP60="-"),"",IF(AE60&lt;=0.25,"Tipo 1 (≤0,25) uT",IF(AE60&lt;=0.5,"Tipo 2 (0,25-0,50) uT",IF(AE60&lt;=0.75,"Tipo 3 (0,50-0,75) uT","Tipo 4 (&gt;0,75) uT"))))</f>
        <v>Tipo 4 (&gt;0,75) uT</v>
      </c>
      <c r="BF60" s="137" t="str">
        <f>IF(OR(AP60="",AP60="-"),"",IF(AP60&lt;=0.25,"Tipo 1 (≤0,25) uT",IF(AP60&lt;=0.5,"Tipo 2 (0,25-0,50) uT",IF(AP60&lt;=0.75,"Tipo 3 (0,50-0,75) uT","Tipo 4 (&gt;0,75) uT"))))</f>
        <v>Tipo 4 (&gt;0,75) uT</v>
      </c>
      <c r="BG60" s="137" t="str">
        <f>IF(OR(Q60="",Q60="-"),"",IF(Q60&lt;=0.25,"Tipo 1 (≤0,25) uT",IF(Q60&lt;=0.5,"Tipo 2 (0,25-0,50) uT",IF(Q60&lt;=0.75,"Tipo 3 (0,50-0,75) uT","Tipo 4 (&gt;0,75) uT"))))</f>
        <v>Tipo 2 (0,25-0,50) uT</v>
      </c>
    </row>
    <row r="61" spans="1:59" x14ac:dyDescent="0.3">
      <c r="A61" s="26">
        <v>46133</v>
      </c>
      <c r="B61" s="107">
        <v>0.89583333333333337</v>
      </c>
      <c r="C61" s="116">
        <v>1232</v>
      </c>
      <c r="D61" s="116">
        <v>87</v>
      </c>
      <c r="E61" s="116">
        <v>500</v>
      </c>
      <c r="F61" s="116">
        <v>1845</v>
      </c>
      <c r="G61" s="10" t="s">
        <v>34</v>
      </c>
      <c r="H61" s="122">
        <v>3.4</v>
      </c>
      <c r="I61" s="116">
        <v>90</v>
      </c>
      <c r="J61" s="116">
        <v>90</v>
      </c>
      <c r="K61" s="116">
        <v>90</v>
      </c>
      <c r="L61" s="122">
        <v>24.5</v>
      </c>
      <c r="M61" s="122">
        <v>6.8</v>
      </c>
      <c r="N61" s="79">
        <v>4.21</v>
      </c>
      <c r="O61" s="116">
        <v>13</v>
      </c>
      <c r="P61" s="122">
        <v>8.6</v>
      </c>
      <c r="Q61" s="79">
        <v>0.32</v>
      </c>
      <c r="R61" s="79">
        <v>22.36</v>
      </c>
      <c r="S61" s="79">
        <v>0.88</v>
      </c>
      <c r="T61" s="79">
        <v>0.7</v>
      </c>
      <c r="U61" s="85"/>
      <c r="V61" s="79"/>
      <c r="W61" s="79"/>
      <c r="X61" s="116"/>
      <c r="Y61" s="116"/>
      <c r="Z61" s="122"/>
      <c r="AA61" s="116"/>
      <c r="AB61" s="122">
        <v>6.8</v>
      </c>
      <c r="AC61" s="122">
        <v>8.5</v>
      </c>
      <c r="AD61" s="10">
        <v>0.2</v>
      </c>
      <c r="AE61" s="79">
        <v>0.88</v>
      </c>
      <c r="AF61" s="79"/>
      <c r="AG61" s="79"/>
      <c r="AH61" s="79"/>
      <c r="AI61" s="116"/>
      <c r="AJ61" s="116"/>
      <c r="AK61" s="79"/>
      <c r="AL61" s="79"/>
      <c r="AM61" s="122">
        <v>6.8</v>
      </c>
      <c r="AN61" s="122">
        <v>8.6999999999999993</v>
      </c>
      <c r="AO61" s="79">
        <v>0.25</v>
      </c>
      <c r="AP61" s="127">
        <v>1.0900000000000001</v>
      </c>
      <c r="AQ61" s="132">
        <f t="shared" si="0"/>
        <v>1819</v>
      </c>
      <c r="AR61" s="134">
        <f t="shared" si="1"/>
        <v>0.67729521715228147</v>
      </c>
      <c r="AS61" s="134">
        <f t="shared" si="2"/>
        <v>4.782847718526663E-2</v>
      </c>
      <c r="AT61" s="134">
        <f t="shared" si="3"/>
        <v>0.27487630566245191</v>
      </c>
      <c r="AU61" s="43" t="str">
        <f>IF(AND(F61&lt;&gt;"",Y61&lt;&gt;""),AA61/(F61/2/Y61),"")</f>
        <v/>
      </c>
      <c r="AV61" s="43" t="str">
        <f>IF(AND(F61&lt;&gt;"",AJ61&lt;&gt;""),AL61/(F61/2/AJ61),"")</f>
        <v/>
      </c>
      <c r="AW61" s="41">
        <f>IF(AND(AP61&lt;&gt;"",1-(AP61/N61)&gt;0),1-(AP61/N61),"")</f>
        <v>0.74109263657957247</v>
      </c>
      <c r="AX61" s="41">
        <f>IF(AND(AE61&lt;&gt;"",1-(AE61/N61)&gt;0),1-(AE61/N61),"")</f>
        <v>0.79097387173396672</v>
      </c>
      <c r="AY61" s="136" t="str">
        <f>IF(P61="","",IF(P61&lt;2.5,"Alc. Bruta &lt; 2,5 mg/L",IF(P61&lt;5,"2,5 ≤ Alc. Bruta &lt; 5,0 mg/L",IF(P61&lt;7.5,"5,0 ≤ Alc. Bruta &lt; 7,5 mg/L",IF(P61&lt;10,"7,5 ≤ Alc. Bruta &lt; 10,0 mg/L",IF(P61&lt;15,"10,0 ≤ Alca. Bruta &lt; 15,0 mg/L","Alc. Bruta &gt; 15 mg/L"))))))</f>
        <v>7,5 ≤ Alc. Bruta &lt; 10,0 mg/L</v>
      </c>
      <c r="AZ61" s="136" t="str">
        <f>IF(O61="","",IF(O61&lt;5,"Cor &lt;5 uC",IF(O61&lt;10,"5 ≤ Cor &lt; 10 uC",IF(O61&lt;15,"10 ≤ Cor &lt;15 uC",IF(O61&lt;30,"15 ≤ Cor &lt; 30 uC",IF(O61&lt;50,"30 ≤ Cor &lt; 50 uC","Cor &gt; 50 uC"))))))</f>
        <v>10 ≤ Cor &lt;15 uC</v>
      </c>
      <c r="BA61" s="137" t="str">
        <f>IF(N61="","",IF(N61&lt;2.5,"Turbidez &lt; 2,5 uT",IF(N61&lt;5,"2,5 ≤ Turb &lt; 5,0 uT",IF(N61&lt;7.5,"5,0 ≤ Turb &lt; 7,5 uT",IF(N61&lt;10,"7,5 ≤ Turb &lt; 10,0 uT",IF(N61&lt;15,"10,0 ≤ Turb &lt; 15,0 uT","Turb &gt; 15 uT"))))))</f>
        <v>2,5 ≤ Turb &lt; 5,0 uT</v>
      </c>
      <c r="BB61" s="138" t="str">
        <f>IF(AND(C61&gt;D61,D61&gt;E61),"TOR &gt; SM &gt; BNN",IF(AND(C61&gt;E61,E61&gt;D61),"TOR &gt; BNN &gt; SM",IF(AND(D61&gt;C61,C61&gt;E61),"SM &gt; TOR &gt; BNN",IF(AND(D61&gt;E61,E61&gt;C61),"SM &gt; BNN &gt; TOR",IF(AND(C61=D61,D61=E61),"TOR = SM = BNN","Comb. diferentes")))))</f>
        <v>TOR &gt; BNN &gt; SM</v>
      </c>
      <c r="BC61" s="137" t="str">
        <f>IF(OR(AD61="",AP61="-"),"",IF(AD61&lt;=0.25,"Tipo 1 (≤0,25) uT",IF(AD61&lt;=0.5,"Tipo 2 (0,25-0,50) uT",IF(AD61&lt;=0.75,"Tipo 3 (0,50-0,75) uT","Tipo 4 (&gt;0,75) uT"))))</f>
        <v>Tipo 1 (≤0,25) uT</v>
      </c>
      <c r="BD61" s="137" t="str">
        <f>IF(OR(AO61="",AY61="-"),"",IF(AO61&lt;=0.25,"Tipo 1 (≤0,25) uT",IF(AO61&lt;=0.5,"Tipo 2 (0,25-0,50) uT",IF(AO61&lt;=0.75,"Tipo 3 (0,50-0,75) uT","Tipo 4 (&gt;0,75) uT"))))</f>
        <v>Tipo 1 (≤0,25) uT</v>
      </c>
      <c r="BE61" s="137" t="str">
        <f>IF(OR(AE61="",AP61="-"),"",IF(AE61&lt;=0.25,"Tipo 1 (≤0,25) uT",IF(AE61&lt;=0.5,"Tipo 2 (0,25-0,50) uT",IF(AE61&lt;=0.75,"Tipo 3 (0,50-0,75) uT","Tipo 4 (&gt;0,75) uT"))))</f>
        <v>Tipo 4 (&gt;0,75) uT</v>
      </c>
      <c r="BF61" s="137" t="str">
        <f>IF(OR(AP61="",AP61="-"),"",IF(AP61&lt;=0.25,"Tipo 1 (≤0,25) uT",IF(AP61&lt;=0.5,"Tipo 2 (0,25-0,50) uT",IF(AP61&lt;=0.75,"Tipo 3 (0,50-0,75) uT","Tipo 4 (&gt;0,75) uT"))))</f>
        <v>Tipo 4 (&gt;0,75) uT</v>
      </c>
      <c r="BG61" s="137" t="str">
        <f>IF(OR(Q61="",Q61="-"),"",IF(Q61&lt;=0.25,"Tipo 1 (≤0,25) uT",IF(Q61&lt;=0.5,"Tipo 2 (0,25-0,50) uT",IF(Q61&lt;=0.75,"Tipo 3 (0,50-0,75) uT","Tipo 4 (&gt;0,75) uT"))))</f>
        <v>Tipo 2 (0,25-0,50) uT</v>
      </c>
    </row>
    <row r="62" spans="1:59" x14ac:dyDescent="0.3">
      <c r="A62" s="26">
        <v>46133</v>
      </c>
      <c r="B62" s="107">
        <v>0.97916666666666663</v>
      </c>
      <c r="C62" s="116">
        <v>1208</v>
      </c>
      <c r="D62" s="116">
        <v>85</v>
      </c>
      <c r="E62" s="116">
        <v>500</v>
      </c>
      <c r="F62" s="116">
        <v>1834</v>
      </c>
      <c r="G62" s="10" t="s">
        <v>34</v>
      </c>
      <c r="H62" s="122">
        <v>3.4</v>
      </c>
      <c r="I62" s="116">
        <v>90</v>
      </c>
      <c r="J62" s="116">
        <v>90</v>
      </c>
      <c r="K62" s="116">
        <v>90</v>
      </c>
      <c r="L62" s="122">
        <v>24.2</v>
      </c>
      <c r="M62" s="122">
        <v>6.7</v>
      </c>
      <c r="N62" s="79">
        <v>3.84</v>
      </c>
      <c r="O62" s="116">
        <v>15</v>
      </c>
      <c r="P62" s="122">
        <v>8.8000000000000007</v>
      </c>
      <c r="Q62" s="79">
        <v>0.23</v>
      </c>
      <c r="R62" s="79">
        <v>22.36</v>
      </c>
      <c r="S62" s="79">
        <v>0.88</v>
      </c>
      <c r="T62" s="79">
        <v>0.7</v>
      </c>
      <c r="U62" s="85"/>
      <c r="V62" s="79"/>
      <c r="W62" s="79"/>
      <c r="X62" s="116"/>
      <c r="Y62" s="116"/>
      <c r="Z62" s="122"/>
      <c r="AA62" s="116"/>
      <c r="AB62" s="122">
        <v>6.8</v>
      </c>
      <c r="AC62" s="122">
        <v>7.3</v>
      </c>
      <c r="AD62" s="10">
        <v>0.21</v>
      </c>
      <c r="AE62" s="79">
        <v>0.85</v>
      </c>
      <c r="AF62" s="79"/>
      <c r="AG62" s="79"/>
      <c r="AH62" s="79"/>
      <c r="AI62" s="116"/>
      <c r="AJ62" s="116"/>
      <c r="AK62" s="79"/>
      <c r="AL62" s="79"/>
      <c r="AM62" s="122">
        <v>6.8</v>
      </c>
      <c r="AN62" s="122">
        <v>6.9</v>
      </c>
      <c r="AO62" s="79">
        <v>0.17</v>
      </c>
      <c r="AP62" s="127">
        <v>0.78</v>
      </c>
      <c r="AQ62" s="132">
        <f t="shared" si="0"/>
        <v>1793</v>
      </c>
      <c r="AR62" s="134">
        <f t="shared" si="1"/>
        <v>0.67373117679866146</v>
      </c>
      <c r="AS62" s="134">
        <f t="shared" si="2"/>
        <v>4.7406581148912434E-2</v>
      </c>
      <c r="AT62" s="134">
        <f t="shared" si="3"/>
        <v>0.2788622420524261</v>
      </c>
      <c r="AU62" s="43" t="str">
        <f>IF(AND(F62&lt;&gt;"",Y62&lt;&gt;""),AA62/(F62/2/Y62),"")</f>
        <v/>
      </c>
      <c r="AV62" s="43" t="str">
        <f>IF(AND(F62&lt;&gt;"",AJ62&lt;&gt;""),AL62/(F62/2/AJ62),"")</f>
        <v/>
      </c>
      <c r="AW62" s="41">
        <f>IF(AND(AP62&lt;&gt;"",1-(AP62/N62)&gt;0),1-(AP62/N62),"")</f>
        <v>0.796875</v>
      </c>
      <c r="AX62" s="41">
        <f>IF(AND(AE62&lt;&gt;"",1-(AE62/N62)&gt;0),1-(AE62/N62),"")</f>
        <v>0.77864583333333337</v>
      </c>
      <c r="AY62" s="136" t="str">
        <f>IF(P62="","",IF(P62&lt;2.5,"Alc. Bruta &lt; 2,5 mg/L",IF(P62&lt;5,"2,5 ≤ Alc. Bruta &lt; 5,0 mg/L",IF(P62&lt;7.5,"5,0 ≤ Alc. Bruta &lt; 7,5 mg/L",IF(P62&lt;10,"7,5 ≤ Alc. Bruta &lt; 10,0 mg/L",IF(P62&lt;15,"10,0 ≤ Alca. Bruta &lt; 15,0 mg/L","Alc. Bruta &gt; 15 mg/L"))))))</f>
        <v>7,5 ≤ Alc. Bruta &lt; 10,0 mg/L</v>
      </c>
      <c r="AZ62" s="136" t="str">
        <f>IF(O62="","",IF(O62&lt;5,"Cor &lt;5 uC",IF(O62&lt;10,"5 ≤ Cor &lt; 10 uC",IF(O62&lt;15,"10 ≤ Cor &lt;15 uC",IF(O62&lt;30,"15 ≤ Cor &lt; 30 uC",IF(O62&lt;50,"30 ≤ Cor &lt; 50 uC","Cor &gt; 50 uC"))))))</f>
        <v>15 ≤ Cor &lt; 30 uC</v>
      </c>
      <c r="BA62" s="137" t="str">
        <f>IF(N62="","",IF(N62&lt;2.5,"Turbidez &lt; 2,5 uT",IF(N62&lt;5,"2,5 ≤ Turb &lt; 5,0 uT",IF(N62&lt;7.5,"5,0 ≤ Turb &lt; 7,5 uT",IF(N62&lt;10,"7,5 ≤ Turb &lt; 10,0 uT",IF(N62&lt;15,"10,0 ≤ Turb &lt; 15,0 uT","Turb &gt; 15 uT"))))))</f>
        <v>2,5 ≤ Turb &lt; 5,0 uT</v>
      </c>
      <c r="BB62" s="138" t="str">
        <f>IF(AND(C62&gt;D62,D62&gt;E62),"TOR &gt; SM &gt; BNN",IF(AND(C62&gt;E62,E62&gt;D62),"TOR &gt; BNN &gt; SM",IF(AND(D62&gt;C62,C62&gt;E62),"SM &gt; TOR &gt; BNN",IF(AND(D62&gt;E62,E62&gt;C62),"SM &gt; BNN &gt; TOR",IF(AND(C62=D62,D62=E62),"TOR = SM = BNN","Comb. diferentes")))))</f>
        <v>TOR &gt; BNN &gt; SM</v>
      </c>
      <c r="BC62" s="137" t="str">
        <f>IF(OR(AD62="",AP62="-"),"",IF(AD62&lt;=0.25,"Tipo 1 (≤0,25) uT",IF(AD62&lt;=0.5,"Tipo 2 (0,25-0,50) uT",IF(AD62&lt;=0.75,"Tipo 3 (0,50-0,75) uT","Tipo 4 (&gt;0,75) uT"))))</f>
        <v>Tipo 1 (≤0,25) uT</v>
      </c>
      <c r="BD62" s="137" t="str">
        <f>IF(OR(AO62="",AY62="-"),"",IF(AO62&lt;=0.25,"Tipo 1 (≤0,25) uT",IF(AO62&lt;=0.5,"Tipo 2 (0,25-0,50) uT",IF(AO62&lt;=0.75,"Tipo 3 (0,50-0,75) uT","Tipo 4 (&gt;0,75) uT"))))</f>
        <v>Tipo 1 (≤0,25) uT</v>
      </c>
      <c r="BE62" s="137" t="str">
        <f>IF(OR(AE62="",AP62="-"),"",IF(AE62&lt;=0.25,"Tipo 1 (≤0,25) uT",IF(AE62&lt;=0.5,"Tipo 2 (0,25-0,50) uT",IF(AE62&lt;=0.75,"Tipo 3 (0,50-0,75) uT","Tipo 4 (&gt;0,75) uT"))))</f>
        <v>Tipo 4 (&gt;0,75) uT</v>
      </c>
      <c r="BF62" s="137" t="str">
        <f>IF(OR(AP62="",AP62="-"),"",IF(AP62&lt;=0.25,"Tipo 1 (≤0,25) uT",IF(AP62&lt;=0.5,"Tipo 2 (0,25-0,50) uT",IF(AP62&lt;=0.75,"Tipo 3 (0,50-0,75) uT","Tipo 4 (&gt;0,75) uT"))))</f>
        <v>Tipo 4 (&gt;0,75) uT</v>
      </c>
      <c r="BG62" s="137" t="str">
        <f>IF(OR(Q62="",Q62="-"),"",IF(Q62&lt;=0.25,"Tipo 1 (≤0,25) uT",IF(Q62&lt;=0.5,"Tipo 2 (0,25-0,50) uT",IF(Q62&lt;=0.75,"Tipo 3 (0,50-0,75) uT","Tipo 4 (&gt;0,75) uT"))))</f>
        <v>Tipo 1 (≤0,25) uT</v>
      </c>
    </row>
    <row r="63" spans="1:59" x14ac:dyDescent="0.3">
      <c r="A63" s="26">
        <v>46134</v>
      </c>
      <c r="B63" s="107">
        <v>6.25E-2</v>
      </c>
      <c r="C63" s="116">
        <v>1207</v>
      </c>
      <c r="D63" s="116">
        <v>88</v>
      </c>
      <c r="E63" s="116">
        <v>500</v>
      </c>
      <c r="F63" s="116">
        <v>1915</v>
      </c>
      <c r="G63" s="10" t="s">
        <v>34</v>
      </c>
      <c r="H63" s="122">
        <v>3.4</v>
      </c>
      <c r="I63" s="116">
        <v>90</v>
      </c>
      <c r="J63" s="116">
        <v>90</v>
      </c>
      <c r="K63" s="116">
        <v>90</v>
      </c>
      <c r="L63" s="122">
        <v>24.1</v>
      </c>
      <c r="M63" s="122">
        <v>6.8</v>
      </c>
      <c r="N63" s="79">
        <v>4.0199999999999996</v>
      </c>
      <c r="O63" s="116">
        <v>17</v>
      </c>
      <c r="P63" s="122">
        <v>9.4</v>
      </c>
      <c r="Q63" s="79">
        <v>0.26</v>
      </c>
      <c r="R63" s="79">
        <v>22.36</v>
      </c>
      <c r="S63" s="79">
        <v>0.88</v>
      </c>
      <c r="T63" s="79">
        <v>0.7</v>
      </c>
      <c r="U63" s="85"/>
      <c r="V63" s="79"/>
      <c r="W63" s="79"/>
      <c r="X63" s="116"/>
      <c r="Y63" s="116"/>
      <c r="Z63" s="122"/>
      <c r="AA63" s="116"/>
      <c r="AB63" s="122">
        <v>6.8</v>
      </c>
      <c r="AC63" s="122">
        <v>9.1</v>
      </c>
      <c r="AD63" s="10">
        <v>0.16</v>
      </c>
      <c r="AE63" s="79">
        <v>1.1399999999999999</v>
      </c>
      <c r="AF63" s="79"/>
      <c r="AG63" s="79"/>
      <c r="AH63" s="79"/>
      <c r="AI63" s="116"/>
      <c r="AJ63" s="116"/>
      <c r="AK63" s="79"/>
      <c r="AL63" s="79"/>
      <c r="AM63" s="122">
        <v>6.7</v>
      </c>
      <c r="AN63" s="122">
        <v>7.1</v>
      </c>
      <c r="AO63" s="79">
        <v>0.17</v>
      </c>
      <c r="AP63" s="127">
        <v>1.2</v>
      </c>
      <c r="AQ63" s="132">
        <f t="shared" si="0"/>
        <v>1795</v>
      </c>
      <c r="AR63" s="134">
        <f t="shared" si="1"/>
        <v>0.6724233983286908</v>
      </c>
      <c r="AS63" s="134">
        <f t="shared" si="2"/>
        <v>4.9025069637883008E-2</v>
      </c>
      <c r="AT63" s="134">
        <f t="shared" si="3"/>
        <v>0.2785515320334262</v>
      </c>
      <c r="AU63" s="43" t="str">
        <f>IF(AND(F63&lt;&gt;"",Y63&lt;&gt;""),AA63/(F63/2/Y63),"")</f>
        <v/>
      </c>
      <c r="AV63" s="43" t="str">
        <f>IF(AND(F63&lt;&gt;"",AJ63&lt;&gt;""),AL63/(F63/2/AJ63),"")</f>
        <v/>
      </c>
      <c r="AW63" s="41">
        <f>IF(AND(AP63&lt;&gt;"",1-(AP63/N63)&gt;0),1-(AP63/N63),"")</f>
        <v>0.70149253731343286</v>
      </c>
      <c r="AX63" s="41">
        <f>IF(AND(AE63&lt;&gt;"",1-(AE63/N63)&gt;0),1-(AE63/N63),"")</f>
        <v>0.71641791044776126</v>
      </c>
      <c r="AY63" s="136" t="str">
        <f>IF(P63="","",IF(P63&lt;2.5,"Alc. Bruta &lt; 2,5 mg/L",IF(P63&lt;5,"2,5 ≤ Alc. Bruta &lt; 5,0 mg/L",IF(P63&lt;7.5,"5,0 ≤ Alc. Bruta &lt; 7,5 mg/L",IF(P63&lt;10,"7,5 ≤ Alc. Bruta &lt; 10,0 mg/L",IF(P63&lt;15,"10,0 ≤ Alca. Bruta &lt; 15,0 mg/L","Alc. Bruta &gt; 15 mg/L"))))))</f>
        <v>7,5 ≤ Alc. Bruta &lt; 10,0 mg/L</v>
      </c>
      <c r="AZ63" s="136" t="str">
        <f>IF(O63="","",IF(O63&lt;5,"Cor &lt;5 uC",IF(O63&lt;10,"5 ≤ Cor &lt; 10 uC",IF(O63&lt;15,"10 ≤ Cor &lt;15 uC",IF(O63&lt;30,"15 ≤ Cor &lt; 30 uC",IF(O63&lt;50,"30 ≤ Cor &lt; 50 uC","Cor &gt; 50 uC"))))))</f>
        <v>15 ≤ Cor &lt; 30 uC</v>
      </c>
      <c r="BA63" s="137" t="str">
        <f>IF(N63="","",IF(N63&lt;2.5,"Turbidez &lt; 2,5 uT",IF(N63&lt;5,"2,5 ≤ Turb &lt; 5,0 uT",IF(N63&lt;7.5,"5,0 ≤ Turb &lt; 7,5 uT",IF(N63&lt;10,"7,5 ≤ Turb &lt; 10,0 uT",IF(N63&lt;15,"10,0 ≤ Turb &lt; 15,0 uT","Turb &gt; 15 uT"))))))</f>
        <v>2,5 ≤ Turb &lt; 5,0 uT</v>
      </c>
      <c r="BB63" s="138" t="str">
        <f>IF(AND(C63&gt;D63,D63&gt;E63),"TOR &gt; SM &gt; BNN",IF(AND(C63&gt;E63,E63&gt;D63),"TOR &gt; BNN &gt; SM",IF(AND(D63&gt;C63,C63&gt;E63),"SM &gt; TOR &gt; BNN",IF(AND(D63&gt;E63,E63&gt;C63),"SM &gt; BNN &gt; TOR",IF(AND(C63=D63,D63=E63),"TOR = SM = BNN","Comb. diferentes")))))</f>
        <v>TOR &gt; BNN &gt; SM</v>
      </c>
      <c r="BC63" s="137" t="str">
        <f>IF(OR(AD63="",AP63="-"),"",IF(AD63&lt;=0.25,"Tipo 1 (≤0,25) uT",IF(AD63&lt;=0.5,"Tipo 2 (0,25-0,50) uT",IF(AD63&lt;=0.75,"Tipo 3 (0,50-0,75) uT","Tipo 4 (&gt;0,75) uT"))))</f>
        <v>Tipo 1 (≤0,25) uT</v>
      </c>
      <c r="BD63" s="137" t="str">
        <f>IF(OR(AO63="",AY63="-"),"",IF(AO63&lt;=0.25,"Tipo 1 (≤0,25) uT",IF(AO63&lt;=0.5,"Tipo 2 (0,25-0,50) uT",IF(AO63&lt;=0.75,"Tipo 3 (0,50-0,75) uT","Tipo 4 (&gt;0,75) uT"))))</f>
        <v>Tipo 1 (≤0,25) uT</v>
      </c>
      <c r="BE63" s="137" t="str">
        <f>IF(OR(AE63="",AP63="-"),"",IF(AE63&lt;=0.25,"Tipo 1 (≤0,25) uT",IF(AE63&lt;=0.5,"Tipo 2 (0,25-0,50) uT",IF(AE63&lt;=0.75,"Tipo 3 (0,50-0,75) uT","Tipo 4 (&gt;0,75) uT"))))</f>
        <v>Tipo 4 (&gt;0,75) uT</v>
      </c>
      <c r="BF63" s="137" t="str">
        <f>IF(OR(AP63="",AP63="-"),"",IF(AP63&lt;=0.25,"Tipo 1 (≤0,25) uT",IF(AP63&lt;=0.5,"Tipo 2 (0,25-0,50) uT",IF(AP63&lt;=0.75,"Tipo 3 (0,50-0,75) uT","Tipo 4 (&gt;0,75) uT"))))</f>
        <v>Tipo 4 (&gt;0,75) uT</v>
      </c>
      <c r="BG63" s="137" t="str">
        <f>IF(OR(Q63="",Q63="-"),"",IF(Q63&lt;=0.25,"Tipo 1 (≤0,25) uT",IF(Q63&lt;=0.5,"Tipo 2 (0,25-0,50) uT",IF(Q63&lt;=0.75,"Tipo 3 (0,50-0,75) uT","Tipo 4 (&gt;0,75) uT"))))</f>
        <v>Tipo 2 (0,25-0,50) uT</v>
      </c>
    </row>
    <row r="64" spans="1:59" x14ac:dyDescent="0.3">
      <c r="A64" s="26">
        <v>46134</v>
      </c>
      <c r="B64" s="107">
        <v>0.14583333333333334</v>
      </c>
      <c r="C64" s="116">
        <v>1229</v>
      </c>
      <c r="D64" s="116">
        <v>88</v>
      </c>
      <c r="E64" s="116">
        <v>500</v>
      </c>
      <c r="F64" s="116">
        <v>1824</v>
      </c>
      <c r="G64" s="10" t="s">
        <v>34</v>
      </c>
      <c r="H64" s="122">
        <v>3.4</v>
      </c>
      <c r="I64" s="116">
        <v>90</v>
      </c>
      <c r="J64" s="116">
        <v>90</v>
      </c>
      <c r="K64" s="116">
        <v>90</v>
      </c>
      <c r="L64" s="122">
        <v>23.9</v>
      </c>
      <c r="M64" s="122">
        <v>6.8</v>
      </c>
      <c r="N64" s="79">
        <v>3.98</v>
      </c>
      <c r="O64" s="116">
        <v>18</v>
      </c>
      <c r="P64" s="122">
        <v>9</v>
      </c>
      <c r="Q64" s="79">
        <v>0.27</v>
      </c>
      <c r="R64" s="79">
        <v>22.36</v>
      </c>
      <c r="S64" s="79">
        <v>0.88</v>
      </c>
      <c r="T64" s="79">
        <v>0.7</v>
      </c>
      <c r="U64" s="85"/>
      <c r="V64" s="79"/>
      <c r="W64" s="79"/>
      <c r="X64" s="116"/>
      <c r="Y64" s="116"/>
      <c r="Z64" s="122"/>
      <c r="AA64" s="116"/>
      <c r="AB64" s="122">
        <v>6.8</v>
      </c>
      <c r="AC64" s="122">
        <v>9.1999999999999993</v>
      </c>
      <c r="AD64" s="10">
        <v>0.18</v>
      </c>
      <c r="AE64" s="79">
        <v>0.97</v>
      </c>
      <c r="AF64" s="79"/>
      <c r="AG64" s="79"/>
      <c r="AH64" s="79"/>
      <c r="AI64" s="116"/>
      <c r="AJ64" s="116"/>
      <c r="AK64" s="79"/>
      <c r="AL64" s="79"/>
      <c r="AM64" s="122">
        <v>6.7</v>
      </c>
      <c r="AN64" s="122">
        <v>8.6999999999999993</v>
      </c>
      <c r="AO64" s="79">
        <v>0.21</v>
      </c>
      <c r="AP64" s="127">
        <v>1.1399999999999999</v>
      </c>
      <c r="AQ64" s="132">
        <f t="shared" si="0"/>
        <v>1817</v>
      </c>
      <c r="AR64" s="134">
        <f t="shared" si="1"/>
        <v>0.67638965327462852</v>
      </c>
      <c r="AS64" s="134">
        <f t="shared" si="2"/>
        <v>4.8431480462300495E-2</v>
      </c>
      <c r="AT64" s="134">
        <f t="shared" si="3"/>
        <v>0.27517886626307098</v>
      </c>
      <c r="AU64" s="43" t="str">
        <f>IF(AND(F64&lt;&gt;"",Y64&lt;&gt;""),AA64/(F64/2/Y64),"")</f>
        <v/>
      </c>
      <c r="AV64" s="43" t="str">
        <f>IF(AND(F64&lt;&gt;"",AJ64&lt;&gt;""),AL64/(F64/2/AJ64),"")</f>
        <v/>
      </c>
      <c r="AW64" s="41">
        <f>IF(AND(AP64&lt;&gt;"",1-(AP64/N64)&gt;0),1-(AP64/N64),"")</f>
        <v>0.71356783919597988</v>
      </c>
      <c r="AX64" s="41">
        <f>IF(AND(AE64&lt;&gt;"",1-(AE64/N64)&gt;0),1-(AE64/N64),"")</f>
        <v>0.75628140703517588</v>
      </c>
      <c r="AY64" s="136" t="str">
        <f>IF(P64="","",IF(P64&lt;2.5,"Alc. Bruta &lt; 2,5 mg/L",IF(P64&lt;5,"2,5 ≤ Alc. Bruta &lt; 5,0 mg/L",IF(P64&lt;7.5,"5,0 ≤ Alc. Bruta &lt; 7,5 mg/L",IF(P64&lt;10,"7,5 ≤ Alc. Bruta &lt; 10,0 mg/L",IF(P64&lt;15,"10,0 ≤ Alca. Bruta &lt; 15,0 mg/L","Alc. Bruta &gt; 15 mg/L"))))))</f>
        <v>7,5 ≤ Alc. Bruta &lt; 10,0 mg/L</v>
      </c>
      <c r="AZ64" s="136" t="str">
        <f>IF(O64="","",IF(O64&lt;5,"Cor &lt;5 uC",IF(O64&lt;10,"5 ≤ Cor &lt; 10 uC",IF(O64&lt;15,"10 ≤ Cor &lt;15 uC",IF(O64&lt;30,"15 ≤ Cor &lt; 30 uC",IF(O64&lt;50,"30 ≤ Cor &lt; 50 uC","Cor &gt; 50 uC"))))))</f>
        <v>15 ≤ Cor &lt; 30 uC</v>
      </c>
      <c r="BA64" s="137" t="str">
        <f>IF(N64="","",IF(N64&lt;2.5,"Turbidez &lt; 2,5 uT",IF(N64&lt;5,"2,5 ≤ Turb &lt; 5,0 uT",IF(N64&lt;7.5,"5,0 ≤ Turb &lt; 7,5 uT",IF(N64&lt;10,"7,5 ≤ Turb &lt; 10,0 uT",IF(N64&lt;15,"10,0 ≤ Turb &lt; 15,0 uT","Turb &gt; 15 uT"))))))</f>
        <v>2,5 ≤ Turb &lt; 5,0 uT</v>
      </c>
      <c r="BB64" s="138" t="str">
        <f>IF(AND(C64&gt;D64,D64&gt;E64),"TOR &gt; SM &gt; BNN",IF(AND(C64&gt;E64,E64&gt;D64),"TOR &gt; BNN &gt; SM",IF(AND(D64&gt;C64,C64&gt;E64),"SM &gt; TOR &gt; BNN",IF(AND(D64&gt;E64,E64&gt;C64),"SM &gt; BNN &gt; TOR",IF(AND(C64=D64,D64=E64),"TOR = SM = BNN","Comb. diferentes")))))</f>
        <v>TOR &gt; BNN &gt; SM</v>
      </c>
      <c r="BC64" s="137" t="str">
        <f>IF(OR(AD64="",AP64="-"),"",IF(AD64&lt;=0.25,"Tipo 1 (≤0,25) uT",IF(AD64&lt;=0.5,"Tipo 2 (0,25-0,50) uT",IF(AD64&lt;=0.75,"Tipo 3 (0,50-0,75) uT","Tipo 4 (&gt;0,75) uT"))))</f>
        <v>Tipo 1 (≤0,25) uT</v>
      </c>
      <c r="BD64" s="137" t="str">
        <f>IF(OR(AO64="",AY64="-"),"",IF(AO64&lt;=0.25,"Tipo 1 (≤0,25) uT",IF(AO64&lt;=0.5,"Tipo 2 (0,25-0,50) uT",IF(AO64&lt;=0.75,"Tipo 3 (0,50-0,75) uT","Tipo 4 (&gt;0,75) uT"))))</f>
        <v>Tipo 1 (≤0,25) uT</v>
      </c>
      <c r="BE64" s="137" t="str">
        <f>IF(OR(AE64="",AP64="-"),"",IF(AE64&lt;=0.25,"Tipo 1 (≤0,25) uT",IF(AE64&lt;=0.5,"Tipo 2 (0,25-0,50) uT",IF(AE64&lt;=0.75,"Tipo 3 (0,50-0,75) uT","Tipo 4 (&gt;0,75) uT"))))</f>
        <v>Tipo 4 (&gt;0,75) uT</v>
      </c>
      <c r="BF64" s="137" t="str">
        <f>IF(OR(AP64="",AP64="-"),"",IF(AP64&lt;=0.25,"Tipo 1 (≤0,25) uT",IF(AP64&lt;=0.5,"Tipo 2 (0,25-0,50) uT",IF(AP64&lt;=0.75,"Tipo 3 (0,50-0,75) uT","Tipo 4 (&gt;0,75) uT"))))</f>
        <v>Tipo 4 (&gt;0,75) uT</v>
      </c>
      <c r="BG64" s="137" t="str">
        <f>IF(OR(Q64="",Q64="-"),"",IF(Q64&lt;=0.25,"Tipo 1 (≤0,25) uT",IF(Q64&lt;=0.5,"Tipo 2 (0,25-0,50) uT",IF(Q64&lt;=0.75,"Tipo 3 (0,50-0,75) uT","Tipo 4 (&gt;0,75) uT"))))</f>
        <v>Tipo 2 (0,25-0,50) uT</v>
      </c>
    </row>
    <row r="65" spans="1:59" ht="15" thickBot="1" x14ac:dyDescent="0.35">
      <c r="A65" s="26">
        <v>46134</v>
      </c>
      <c r="B65" s="110">
        <v>0.22916666666666666</v>
      </c>
      <c r="C65" s="117">
        <v>1104</v>
      </c>
      <c r="D65" s="117">
        <v>81</v>
      </c>
      <c r="E65" s="117">
        <v>499</v>
      </c>
      <c r="F65" s="117">
        <v>1919</v>
      </c>
      <c r="G65" s="11" t="s">
        <v>34</v>
      </c>
      <c r="H65" s="123">
        <v>3.4</v>
      </c>
      <c r="I65" s="117">
        <v>90</v>
      </c>
      <c r="J65" s="117">
        <v>90</v>
      </c>
      <c r="K65" s="117">
        <v>90</v>
      </c>
      <c r="L65" s="123">
        <v>23.4</v>
      </c>
      <c r="M65" s="123">
        <v>6.8</v>
      </c>
      <c r="N65" s="80">
        <v>4.88</v>
      </c>
      <c r="O65" s="117">
        <v>18</v>
      </c>
      <c r="P65" s="123">
        <v>8.9</v>
      </c>
      <c r="Q65" s="80">
        <v>0.25</v>
      </c>
      <c r="R65" s="79">
        <v>22.36</v>
      </c>
      <c r="S65" s="79">
        <v>0.88</v>
      </c>
      <c r="T65" s="79">
        <v>0.7</v>
      </c>
      <c r="U65" s="85"/>
      <c r="V65" s="84"/>
      <c r="W65" s="80"/>
      <c r="X65" s="117"/>
      <c r="Y65" s="117"/>
      <c r="Z65" s="123"/>
      <c r="AA65" s="117"/>
      <c r="AB65" s="123">
        <v>6.8</v>
      </c>
      <c r="AC65" s="123">
        <v>9.4</v>
      </c>
      <c r="AD65" s="11">
        <v>0.15</v>
      </c>
      <c r="AE65" s="80">
        <v>0.86</v>
      </c>
      <c r="AF65" s="80"/>
      <c r="AG65" s="80"/>
      <c r="AH65" s="80"/>
      <c r="AI65" s="117"/>
      <c r="AJ65" s="117"/>
      <c r="AK65" s="80"/>
      <c r="AL65" s="80"/>
      <c r="AM65" s="123">
        <v>6.8</v>
      </c>
      <c r="AN65" s="123">
        <v>7.8</v>
      </c>
      <c r="AO65" s="80">
        <v>0.21</v>
      </c>
      <c r="AP65" s="128">
        <v>1.01</v>
      </c>
      <c r="AQ65" s="132">
        <f t="shared" si="0"/>
        <v>1684</v>
      </c>
      <c r="AR65" s="134">
        <f t="shared" si="1"/>
        <v>0.6555819477434679</v>
      </c>
      <c r="AS65" s="134">
        <f t="shared" si="2"/>
        <v>4.8099762470308789E-2</v>
      </c>
      <c r="AT65" s="134">
        <f t="shared" si="3"/>
        <v>0.29631828978622327</v>
      </c>
      <c r="AU65" s="43" t="str">
        <f>IF(AND(F65&lt;&gt;"",Y65&lt;&gt;""),AA65/(F65/2/Y65),"")</f>
        <v/>
      </c>
      <c r="AV65" s="43" t="str">
        <f>IF(AND(F65&lt;&gt;"",AJ65&lt;&gt;""),AL65/(F65/2/AJ65),"")</f>
        <v/>
      </c>
      <c r="AW65" s="41">
        <f>IF(AND(AP65&lt;&gt;"",1-(AP65/N65)&gt;0),1-(AP65/N65),"")</f>
        <v>0.79303278688524592</v>
      </c>
      <c r="AX65" s="41">
        <f>IF(AND(AE65&lt;&gt;"",1-(AE65/N65)&gt;0),1-(AE65/N65),"")</f>
        <v>0.82377049180327866</v>
      </c>
      <c r="AY65" s="136" t="str">
        <f>IF(P65="","",IF(P65&lt;2.5,"Alc. Bruta &lt; 2,5 mg/L",IF(P65&lt;5,"2,5 ≤ Alc. Bruta &lt; 5,0 mg/L",IF(P65&lt;7.5,"5,0 ≤ Alc. Bruta &lt; 7,5 mg/L",IF(P65&lt;10,"7,5 ≤ Alc. Bruta &lt; 10,0 mg/L",IF(P65&lt;15,"10,0 ≤ Alca. Bruta &lt; 15,0 mg/L","Alc. Bruta &gt; 15 mg/L"))))))</f>
        <v>7,5 ≤ Alc. Bruta &lt; 10,0 mg/L</v>
      </c>
      <c r="AZ65" s="136" t="str">
        <f>IF(O65="","",IF(O65&lt;5,"Cor &lt;5 uC",IF(O65&lt;10,"5 ≤ Cor &lt; 10 uC",IF(O65&lt;15,"10 ≤ Cor &lt;15 uC",IF(O65&lt;30,"15 ≤ Cor &lt; 30 uC",IF(O65&lt;50,"30 ≤ Cor &lt; 50 uC","Cor &gt; 50 uC"))))))</f>
        <v>15 ≤ Cor &lt; 30 uC</v>
      </c>
      <c r="BA65" s="137" t="str">
        <f>IF(N65="","",IF(N65&lt;2.5,"Turbidez &lt; 2,5 uT",IF(N65&lt;5,"2,5 ≤ Turb &lt; 5,0 uT",IF(N65&lt;7.5,"5,0 ≤ Turb &lt; 7,5 uT",IF(N65&lt;10,"7,5 ≤ Turb &lt; 10,0 uT",IF(N65&lt;15,"10,0 ≤ Turb &lt; 15,0 uT","Turb &gt; 15 uT"))))))</f>
        <v>2,5 ≤ Turb &lt; 5,0 uT</v>
      </c>
      <c r="BB65" s="138" t="str">
        <f>IF(AND(C65&gt;D65,D65&gt;E65),"TOR &gt; SM &gt; BNN",IF(AND(C65&gt;E65,E65&gt;D65),"TOR &gt; BNN &gt; SM",IF(AND(D65&gt;C65,C65&gt;E65),"SM &gt; TOR &gt; BNN",IF(AND(D65&gt;E65,E65&gt;C65),"SM &gt; BNN &gt; TOR",IF(AND(C65=D65,D65=E65),"TOR = SM = BNN","Comb. diferentes")))))</f>
        <v>TOR &gt; BNN &gt; SM</v>
      </c>
      <c r="BC65" s="137" t="str">
        <f>IF(OR(AD65="",AP65="-"),"",IF(AD65&lt;=0.25,"Tipo 1 (≤0,25) uT",IF(AD65&lt;=0.5,"Tipo 2 (0,25-0,50) uT",IF(AD65&lt;=0.75,"Tipo 3 (0,50-0,75) uT","Tipo 4 (&gt;0,75) uT"))))</f>
        <v>Tipo 1 (≤0,25) uT</v>
      </c>
      <c r="BD65" s="137" t="str">
        <f>IF(OR(AO65="",AY65="-"),"",IF(AO65&lt;=0.25,"Tipo 1 (≤0,25) uT",IF(AO65&lt;=0.5,"Tipo 2 (0,25-0,50) uT",IF(AO65&lt;=0.75,"Tipo 3 (0,50-0,75) uT","Tipo 4 (&gt;0,75) uT"))))</f>
        <v>Tipo 1 (≤0,25) uT</v>
      </c>
      <c r="BE65" s="137" t="str">
        <f>IF(OR(AE65="",AP65="-"),"",IF(AE65&lt;=0.25,"Tipo 1 (≤0,25) uT",IF(AE65&lt;=0.5,"Tipo 2 (0,25-0,50) uT",IF(AE65&lt;=0.75,"Tipo 3 (0,50-0,75) uT","Tipo 4 (&gt;0,75) uT"))))</f>
        <v>Tipo 4 (&gt;0,75) uT</v>
      </c>
      <c r="BF65" s="137" t="str">
        <f>IF(OR(AP65="",AP65="-"),"",IF(AP65&lt;=0.25,"Tipo 1 (≤0,25) uT",IF(AP65&lt;=0.5,"Tipo 2 (0,25-0,50) uT",IF(AP65&lt;=0.75,"Tipo 3 (0,50-0,75) uT","Tipo 4 (&gt;0,75) uT"))))</f>
        <v>Tipo 4 (&gt;0,75) uT</v>
      </c>
      <c r="BG65" s="137" t="str">
        <f>IF(OR(Q65="",Q65="-"),"",IF(Q65&lt;=0.25,"Tipo 1 (≤0,25) uT",IF(Q65&lt;=0.5,"Tipo 2 (0,25-0,50) uT",IF(Q65&lt;=0.75,"Tipo 3 (0,50-0,75) uT","Tipo 4 (&gt;0,75) uT"))))</f>
        <v>Tipo 1 (≤0,25) uT</v>
      </c>
    </row>
    <row r="66" spans="1:59" x14ac:dyDescent="0.3">
      <c r="A66" s="26">
        <v>46134</v>
      </c>
      <c r="B66" s="111">
        <v>0.3125</v>
      </c>
      <c r="C66" s="118">
        <v>1165</v>
      </c>
      <c r="D66" s="116">
        <v>81.400000000000006</v>
      </c>
      <c r="E66" s="118">
        <v>500</v>
      </c>
      <c r="F66" s="118">
        <v>1838</v>
      </c>
      <c r="G66" s="9" t="s">
        <v>34</v>
      </c>
      <c r="H66" s="124">
        <v>3.4</v>
      </c>
      <c r="I66" s="118">
        <v>90</v>
      </c>
      <c r="J66" s="118">
        <v>90</v>
      </c>
      <c r="K66" s="118">
        <v>90</v>
      </c>
      <c r="L66" s="124">
        <v>23.5</v>
      </c>
      <c r="M66" s="124">
        <v>6.8</v>
      </c>
      <c r="N66" s="81">
        <v>4.08</v>
      </c>
      <c r="O66" s="118">
        <v>16</v>
      </c>
      <c r="P66" s="124">
        <v>6.7</v>
      </c>
      <c r="Q66" s="81">
        <v>0.27</v>
      </c>
      <c r="R66" s="79">
        <v>22.36</v>
      </c>
      <c r="S66" s="79">
        <v>0.88</v>
      </c>
      <c r="T66" s="79">
        <v>0.7</v>
      </c>
      <c r="U66" s="85"/>
      <c r="V66" s="82"/>
      <c r="W66" s="81"/>
      <c r="X66" s="118"/>
      <c r="Y66" s="118"/>
      <c r="Z66" s="124"/>
      <c r="AA66" s="118"/>
      <c r="AB66" s="124">
        <v>6.8</v>
      </c>
      <c r="AC66" s="124">
        <v>6.3</v>
      </c>
      <c r="AD66" s="9">
        <v>0.25</v>
      </c>
      <c r="AE66" s="81">
        <v>0.99</v>
      </c>
      <c r="AF66" s="81"/>
      <c r="AG66" s="81"/>
      <c r="AH66" s="81"/>
      <c r="AI66" s="118"/>
      <c r="AJ66" s="118"/>
      <c r="AK66" s="81"/>
      <c r="AL66" s="81"/>
      <c r="AM66" s="124">
        <v>6.7</v>
      </c>
      <c r="AN66" s="124">
        <v>6.3</v>
      </c>
      <c r="AO66" s="81">
        <v>0.21</v>
      </c>
      <c r="AP66" s="129">
        <v>1.33</v>
      </c>
      <c r="AQ66" s="132">
        <f t="shared" ref="AQ66:AQ129" si="4">SUM(C66:E66)</f>
        <v>1746.4</v>
      </c>
      <c r="AR66" s="134">
        <f t="shared" ref="AR66:AR129" si="5">C66/AQ66</f>
        <v>0.66708657810352723</v>
      </c>
      <c r="AS66" s="134">
        <f t="shared" ref="AS66:AS129" si="6">D66/AQ66</f>
        <v>4.6610169491525424E-2</v>
      </c>
      <c r="AT66" s="134">
        <f t="shared" ref="AT66:AT129" si="7">E66/AQ66</f>
        <v>0.28630325240494731</v>
      </c>
      <c r="AU66" s="43" t="str">
        <f>IF(AND(F66&lt;&gt;"",Y66&lt;&gt;""),AA66/(F66/2/Y66),"")</f>
        <v/>
      </c>
      <c r="AV66" s="43" t="str">
        <f>IF(AND(F66&lt;&gt;"",AJ66&lt;&gt;""),AL66/(F66/2/AJ66),"")</f>
        <v/>
      </c>
      <c r="AW66" s="41">
        <f>IF(AND(AP66&lt;&gt;"",1-(AP66/N66)&gt;0),1-(AP66/N66),"")</f>
        <v>0.6740196078431373</v>
      </c>
      <c r="AX66" s="41">
        <f>IF(AND(AE66&lt;&gt;"",1-(AE66/N66)&gt;0),1-(AE66/N66),"")</f>
        <v>0.75735294117647056</v>
      </c>
      <c r="AY66" s="136" t="str">
        <f>IF(P66="","",IF(P66&lt;2.5,"Alc. Bruta &lt; 2,5 mg/L",IF(P66&lt;5,"2,5 ≤ Alc. Bruta &lt; 5,0 mg/L",IF(P66&lt;7.5,"5,0 ≤ Alc. Bruta &lt; 7,5 mg/L",IF(P66&lt;10,"7,5 ≤ Alc. Bruta &lt; 10,0 mg/L",IF(P66&lt;15,"10,0 ≤ Alca. Bruta &lt; 15,0 mg/L","Alc. Bruta &gt; 15 mg/L"))))))</f>
        <v>5,0 ≤ Alc. Bruta &lt; 7,5 mg/L</v>
      </c>
      <c r="AZ66" s="136" t="str">
        <f>IF(O66="","",IF(O66&lt;5,"Cor &lt;5 uC",IF(O66&lt;10,"5 ≤ Cor &lt; 10 uC",IF(O66&lt;15,"10 ≤ Cor &lt;15 uC",IF(O66&lt;30,"15 ≤ Cor &lt; 30 uC",IF(O66&lt;50,"30 ≤ Cor &lt; 50 uC","Cor &gt; 50 uC"))))))</f>
        <v>15 ≤ Cor &lt; 30 uC</v>
      </c>
      <c r="BA66" s="137" t="str">
        <f>IF(N66="","",IF(N66&lt;2.5,"Turbidez &lt; 2,5 uT",IF(N66&lt;5,"2,5 ≤ Turb &lt; 5,0 uT",IF(N66&lt;7.5,"5,0 ≤ Turb &lt; 7,5 uT",IF(N66&lt;10,"7,5 ≤ Turb &lt; 10,0 uT",IF(N66&lt;15,"10,0 ≤ Turb &lt; 15,0 uT","Turb &gt; 15 uT"))))))</f>
        <v>2,5 ≤ Turb &lt; 5,0 uT</v>
      </c>
      <c r="BB66" s="138" t="str">
        <f>IF(AND(C66&gt;D66,D66&gt;E66),"TOR &gt; SM &gt; BNN",IF(AND(C66&gt;E66,E66&gt;D66),"TOR &gt; BNN &gt; SM",IF(AND(D66&gt;C66,C66&gt;E66),"SM &gt; TOR &gt; BNN",IF(AND(D66&gt;E66,E66&gt;C66),"SM &gt; BNN &gt; TOR",IF(AND(C66=D66,D66=E66),"TOR = SM = BNN","Comb. diferentes")))))</f>
        <v>TOR &gt; BNN &gt; SM</v>
      </c>
      <c r="BC66" s="137" t="str">
        <f>IF(OR(AD66="",AP66="-"),"",IF(AD66&lt;=0.25,"Tipo 1 (≤0,25) uT",IF(AD66&lt;=0.5,"Tipo 2 (0,25-0,50) uT",IF(AD66&lt;=0.75,"Tipo 3 (0,50-0,75) uT","Tipo 4 (&gt;0,75) uT"))))</f>
        <v>Tipo 1 (≤0,25) uT</v>
      </c>
      <c r="BD66" s="137" t="str">
        <f>IF(OR(AO66="",AY66="-"),"",IF(AO66&lt;=0.25,"Tipo 1 (≤0,25) uT",IF(AO66&lt;=0.5,"Tipo 2 (0,25-0,50) uT",IF(AO66&lt;=0.75,"Tipo 3 (0,50-0,75) uT","Tipo 4 (&gt;0,75) uT"))))</f>
        <v>Tipo 1 (≤0,25) uT</v>
      </c>
      <c r="BE66" s="137" t="str">
        <f>IF(OR(AE66="",AP66="-"),"",IF(AE66&lt;=0.25,"Tipo 1 (≤0,25) uT",IF(AE66&lt;=0.5,"Tipo 2 (0,25-0,50) uT",IF(AE66&lt;=0.75,"Tipo 3 (0,50-0,75) uT","Tipo 4 (&gt;0,75) uT"))))</f>
        <v>Tipo 4 (&gt;0,75) uT</v>
      </c>
      <c r="BF66" s="137" t="str">
        <f>IF(OR(AP66="",AP66="-"),"",IF(AP66&lt;=0.25,"Tipo 1 (≤0,25) uT",IF(AP66&lt;=0.5,"Tipo 2 (0,25-0,50) uT",IF(AP66&lt;=0.75,"Tipo 3 (0,50-0,75) uT","Tipo 4 (&gt;0,75) uT"))))</f>
        <v>Tipo 4 (&gt;0,75) uT</v>
      </c>
      <c r="BG66" s="137" t="str">
        <f>IF(OR(Q66="",Q66="-"),"",IF(Q66&lt;=0.25,"Tipo 1 (≤0,25) uT",IF(Q66&lt;=0.5,"Tipo 2 (0,25-0,50) uT",IF(Q66&lt;=0.75,"Tipo 3 (0,50-0,75) uT","Tipo 4 (&gt;0,75) uT"))))</f>
        <v>Tipo 2 (0,25-0,50) uT</v>
      </c>
    </row>
    <row r="67" spans="1:59" x14ac:dyDescent="0.3">
      <c r="A67" s="26">
        <v>46134</v>
      </c>
      <c r="B67" s="107">
        <v>0.39583333333333331</v>
      </c>
      <c r="C67" s="116">
        <v>1200</v>
      </c>
      <c r="D67" s="116">
        <v>87</v>
      </c>
      <c r="E67" s="116">
        <v>500</v>
      </c>
      <c r="F67" s="116">
        <v>1798</v>
      </c>
      <c r="G67" s="10" t="s">
        <v>34</v>
      </c>
      <c r="H67" s="122">
        <v>3.4</v>
      </c>
      <c r="I67" s="116">
        <v>100</v>
      </c>
      <c r="J67" s="116">
        <v>100</v>
      </c>
      <c r="K67" s="116">
        <v>100</v>
      </c>
      <c r="L67" s="122">
        <v>24</v>
      </c>
      <c r="M67" s="122">
        <v>6.8</v>
      </c>
      <c r="N67" s="79">
        <v>3.88</v>
      </c>
      <c r="O67" s="116">
        <v>16</v>
      </c>
      <c r="P67" s="122">
        <v>11.2</v>
      </c>
      <c r="Q67" s="79">
        <v>0.26</v>
      </c>
      <c r="R67" s="79">
        <v>22.36</v>
      </c>
      <c r="S67" s="79">
        <v>0.88</v>
      </c>
      <c r="T67" s="79">
        <v>0.7</v>
      </c>
      <c r="U67" s="85"/>
      <c r="V67" s="79"/>
      <c r="W67" s="79"/>
      <c r="X67" s="116"/>
      <c r="Y67" s="116"/>
      <c r="Z67" s="122"/>
      <c r="AA67" s="116"/>
      <c r="AB67" s="122">
        <v>6.9</v>
      </c>
      <c r="AC67" s="122">
        <v>7</v>
      </c>
      <c r="AD67" s="10">
        <v>0.17</v>
      </c>
      <c r="AE67" s="79">
        <v>1.1299999999999999</v>
      </c>
      <c r="AF67" s="79"/>
      <c r="AG67" s="79"/>
      <c r="AH67" s="79"/>
      <c r="AI67" s="116"/>
      <c r="AJ67" s="116"/>
      <c r="AK67" s="79"/>
      <c r="AL67" s="79"/>
      <c r="AM67" s="122">
        <v>6.8</v>
      </c>
      <c r="AN67" s="122">
        <v>12</v>
      </c>
      <c r="AO67" s="79">
        <v>0.21</v>
      </c>
      <c r="AP67" s="127">
        <v>2.82</v>
      </c>
      <c r="AQ67" s="132">
        <f t="shared" si="4"/>
        <v>1787</v>
      </c>
      <c r="AR67" s="134">
        <f t="shared" si="5"/>
        <v>0.67151650811415786</v>
      </c>
      <c r="AS67" s="134">
        <f t="shared" si="6"/>
        <v>4.8684946838276441E-2</v>
      </c>
      <c r="AT67" s="134">
        <f t="shared" si="7"/>
        <v>0.27979854504756574</v>
      </c>
      <c r="AU67" s="43" t="str">
        <f>IF(AND(F67&lt;&gt;"",Y67&lt;&gt;""),AA67/(F67/2/Y67),"")</f>
        <v/>
      </c>
      <c r="AV67" s="43" t="str">
        <f>IF(AND(F67&lt;&gt;"",AJ67&lt;&gt;""),AL67/(F67/2/AJ67),"")</f>
        <v/>
      </c>
      <c r="AW67" s="41">
        <f>IF(AND(AP67&lt;&gt;"",1-(AP67/N67)&gt;0),1-(AP67/N67),"")</f>
        <v>0.27319587628865982</v>
      </c>
      <c r="AX67" s="41">
        <f>IF(AND(AE67&lt;&gt;"",1-(AE67/N67)&gt;0),1-(AE67/N67),"")</f>
        <v>0.70876288659793818</v>
      </c>
      <c r="AY67" s="136" t="str">
        <f>IF(P67="","",IF(P67&lt;2.5,"Alc. Bruta &lt; 2,5 mg/L",IF(P67&lt;5,"2,5 ≤ Alc. Bruta &lt; 5,0 mg/L",IF(P67&lt;7.5,"5,0 ≤ Alc. Bruta &lt; 7,5 mg/L",IF(P67&lt;10,"7,5 ≤ Alc. Bruta &lt; 10,0 mg/L",IF(P67&lt;15,"10,0 ≤ Alca. Bruta &lt; 15,0 mg/L","Alc. Bruta &gt; 15 mg/L"))))))</f>
        <v>10,0 ≤ Alca. Bruta &lt; 15,0 mg/L</v>
      </c>
      <c r="AZ67" s="136" t="str">
        <f>IF(O67="","",IF(O67&lt;5,"Cor &lt;5 uC",IF(O67&lt;10,"5 ≤ Cor &lt; 10 uC",IF(O67&lt;15,"10 ≤ Cor &lt;15 uC",IF(O67&lt;30,"15 ≤ Cor &lt; 30 uC",IF(O67&lt;50,"30 ≤ Cor &lt; 50 uC","Cor &gt; 50 uC"))))))</f>
        <v>15 ≤ Cor &lt; 30 uC</v>
      </c>
      <c r="BA67" s="137" t="str">
        <f>IF(N67="","",IF(N67&lt;2.5,"Turbidez &lt; 2,5 uT",IF(N67&lt;5,"2,5 ≤ Turb &lt; 5,0 uT",IF(N67&lt;7.5,"5,0 ≤ Turb &lt; 7,5 uT",IF(N67&lt;10,"7,5 ≤ Turb &lt; 10,0 uT",IF(N67&lt;15,"10,0 ≤ Turb &lt; 15,0 uT","Turb &gt; 15 uT"))))))</f>
        <v>2,5 ≤ Turb &lt; 5,0 uT</v>
      </c>
      <c r="BB67" s="138" t="str">
        <f>IF(AND(C67&gt;D67,D67&gt;E67),"TOR &gt; SM &gt; BNN",IF(AND(C67&gt;E67,E67&gt;D67),"TOR &gt; BNN &gt; SM",IF(AND(D67&gt;C67,C67&gt;E67),"SM &gt; TOR &gt; BNN",IF(AND(D67&gt;E67,E67&gt;C67),"SM &gt; BNN &gt; TOR",IF(AND(C67=D67,D67=E67),"TOR = SM = BNN","Comb. diferentes")))))</f>
        <v>TOR &gt; BNN &gt; SM</v>
      </c>
      <c r="BC67" s="137" t="str">
        <f>IF(OR(AD67="",AP67="-"),"",IF(AD67&lt;=0.25,"Tipo 1 (≤0,25) uT",IF(AD67&lt;=0.5,"Tipo 2 (0,25-0,50) uT",IF(AD67&lt;=0.75,"Tipo 3 (0,50-0,75) uT","Tipo 4 (&gt;0,75) uT"))))</f>
        <v>Tipo 1 (≤0,25) uT</v>
      </c>
      <c r="BD67" s="137" t="str">
        <f>IF(OR(AO67="",AY67="-"),"",IF(AO67&lt;=0.25,"Tipo 1 (≤0,25) uT",IF(AO67&lt;=0.5,"Tipo 2 (0,25-0,50) uT",IF(AO67&lt;=0.75,"Tipo 3 (0,50-0,75) uT","Tipo 4 (&gt;0,75) uT"))))</f>
        <v>Tipo 1 (≤0,25) uT</v>
      </c>
      <c r="BE67" s="137" t="str">
        <f>IF(OR(AE67="",AP67="-"),"",IF(AE67&lt;=0.25,"Tipo 1 (≤0,25) uT",IF(AE67&lt;=0.5,"Tipo 2 (0,25-0,50) uT",IF(AE67&lt;=0.75,"Tipo 3 (0,50-0,75) uT","Tipo 4 (&gt;0,75) uT"))))</f>
        <v>Tipo 4 (&gt;0,75) uT</v>
      </c>
      <c r="BF67" s="137" t="str">
        <f>IF(OR(AP67="",AP67="-"),"",IF(AP67&lt;=0.25,"Tipo 1 (≤0,25) uT",IF(AP67&lt;=0.5,"Tipo 2 (0,25-0,50) uT",IF(AP67&lt;=0.75,"Tipo 3 (0,50-0,75) uT","Tipo 4 (&gt;0,75) uT"))))</f>
        <v>Tipo 4 (&gt;0,75) uT</v>
      </c>
      <c r="BG67" s="137" t="str">
        <f>IF(OR(Q67="",Q67="-"),"",IF(Q67&lt;=0.25,"Tipo 1 (≤0,25) uT",IF(Q67&lt;=0.5,"Tipo 2 (0,25-0,50) uT",IF(Q67&lt;=0.75,"Tipo 3 (0,50-0,75) uT","Tipo 4 (&gt;0,75) uT"))))</f>
        <v>Tipo 2 (0,25-0,50) uT</v>
      </c>
    </row>
    <row r="68" spans="1:59" x14ac:dyDescent="0.3">
      <c r="A68" s="26">
        <v>46134</v>
      </c>
      <c r="B68" s="107">
        <v>0.47916666666666669</v>
      </c>
      <c r="C68" s="116">
        <v>1454</v>
      </c>
      <c r="D68" s="116">
        <v>80</v>
      </c>
      <c r="E68" s="116">
        <v>499</v>
      </c>
      <c r="F68" s="116">
        <v>2219</v>
      </c>
      <c r="G68" s="10" t="s">
        <v>34</v>
      </c>
      <c r="H68" s="122">
        <v>3.4</v>
      </c>
      <c r="I68" s="116">
        <v>100</v>
      </c>
      <c r="J68" s="116">
        <v>100</v>
      </c>
      <c r="K68" s="116">
        <v>100</v>
      </c>
      <c r="L68" s="122">
        <v>24.4</v>
      </c>
      <c r="M68" s="122">
        <v>6.8</v>
      </c>
      <c r="N68" s="79">
        <v>4</v>
      </c>
      <c r="O68" s="116">
        <v>15</v>
      </c>
      <c r="P68" s="122">
        <v>6.1</v>
      </c>
      <c r="Q68" s="79">
        <v>0.85</v>
      </c>
      <c r="R68" s="79">
        <v>22.36</v>
      </c>
      <c r="S68" s="79">
        <v>0.88</v>
      </c>
      <c r="T68" s="79">
        <v>0.7</v>
      </c>
      <c r="U68" s="85"/>
      <c r="V68" s="79"/>
      <c r="W68" s="79"/>
      <c r="X68" s="116"/>
      <c r="Y68" s="116"/>
      <c r="Z68" s="122"/>
      <c r="AA68" s="116"/>
      <c r="AB68" s="122">
        <v>6.9</v>
      </c>
      <c r="AC68" s="122">
        <v>7.6</v>
      </c>
      <c r="AD68" s="10">
        <v>0.39</v>
      </c>
      <c r="AE68" s="79">
        <v>1.44</v>
      </c>
      <c r="AF68" s="79"/>
      <c r="AG68" s="79"/>
      <c r="AH68" s="79"/>
      <c r="AI68" s="116"/>
      <c r="AJ68" s="116"/>
      <c r="AK68" s="79"/>
      <c r="AL68" s="79"/>
      <c r="AM68" s="122">
        <v>6.8</v>
      </c>
      <c r="AN68" s="122">
        <v>6.4</v>
      </c>
      <c r="AO68" s="79">
        <v>0.27</v>
      </c>
      <c r="AP68" s="127">
        <v>1.6</v>
      </c>
      <c r="AQ68" s="132">
        <f t="shared" si="4"/>
        <v>2033</v>
      </c>
      <c r="AR68" s="134">
        <f t="shared" si="5"/>
        <v>0.71519921298573541</v>
      </c>
      <c r="AS68" s="134">
        <f t="shared" si="6"/>
        <v>3.9350713231677326E-2</v>
      </c>
      <c r="AT68" s="134">
        <f t="shared" si="7"/>
        <v>0.24545007378258732</v>
      </c>
      <c r="AU68" s="43" t="str">
        <f>IF(AND(F68&lt;&gt;"",Y68&lt;&gt;""),AA68/(F68/2/Y68),"")</f>
        <v/>
      </c>
      <c r="AV68" s="43" t="str">
        <f>IF(AND(F68&lt;&gt;"",AJ68&lt;&gt;""),AL68/(F68/2/AJ68),"")</f>
        <v/>
      </c>
      <c r="AW68" s="41">
        <f>IF(AND(AP68&lt;&gt;"",1-(AP68/N68)&gt;0),1-(AP68/N68),"")</f>
        <v>0.6</v>
      </c>
      <c r="AX68" s="41">
        <f>IF(AND(AE68&lt;&gt;"",1-(AE68/N68)&gt;0),1-(AE68/N68),"")</f>
        <v>0.64</v>
      </c>
      <c r="AY68" s="136" t="str">
        <f>IF(P68="","",IF(P68&lt;2.5,"Alc. Bruta &lt; 2,5 mg/L",IF(P68&lt;5,"2,5 ≤ Alc. Bruta &lt; 5,0 mg/L",IF(P68&lt;7.5,"5,0 ≤ Alc. Bruta &lt; 7,5 mg/L",IF(P68&lt;10,"7,5 ≤ Alc. Bruta &lt; 10,0 mg/L",IF(P68&lt;15,"10,0 ≤ Alca. Bruta &lt; 15,0 mg/L","Alc. Bruta &gt; 15 mg/L"))))))</f>
        <v>5,0 ≤ Alc. Bruta &lt; 7,5 mg/L</v>
      </c>
      <c r="AZ68" s="136" t="str">
        <f>IF(O68="","",IF(O68&lt;5,"Cor &lt;5 uC",IF(O68&lt;10,"5 ≤ Cor &lt; 10 uC",IF(O68&lt;15,"10 ≤ Cor &lt;15 uC",IF(O68&lt;30,"15 ≤ Cor &lt; 30 uC",IF(O68&lt;50,"30 ≤ Cor &lt; 50 uC","Cor &gt; 50 uC"))))))</f>
        <v>15 ≤ Cor &lt; 30 uC</v>
      </c>
      <c r="BA68" s="137" t="str">
        <f>IF(N68="","",IF(N68&lt;2.5,"Turbidez &lt; 2,5 uT",IF(N68&lt;5,"2,5 ≤ Turb &lt; 5,0 uT",IF(N68&lt;7.5,"5,0 ≤ Turb &lt; 7,5 uT",IF(N68&lt;10,"7,5 ≤ Turb &lt; 10,0 uT",IF(N68&lt;15,"10,0 ≤ Turb &lt; 15,0 uT","Turb &gt; 15 uT"))))))</f>
        <v>2,5 ≤ Turb &lt; 5,0 uT</v>
      </c>
      <c r="BB68" s="138" t="str">
        <f>IF(AND(C68&gt;D68,D68&gt;E68),"TOR &gt; SM &gt; BNN",IF(AND(C68&gt;E68,E68&gt;D68),"TOR &gt; BNN &gt; SM",IF(AND(D68&gt;C68,C68&gt;E68),"SM &gt; TOR &gt; BNN",IF(AND(D68&gt;E68,E68&gt;C68),"SM &gt; BNN &gt; TOR",IF(AND(C68=D68,D68=E68),"TOR = SM = BNN","Comb. diferentes")))))</f>
        <v>TOR &gt; BNN &gt; SM</v>
      </c>
      <c r="BC68" s="137" t="str">
        <f>IF(OR(AD68="",AP68="-"),"",IF(AD68&lt;=0.25,"Tipo 1 (≤0,25) uT",IF(AD68&lt;=0.5,"Tipo 2 (0,25-0,50) uT",IF(AD68&lt;=0.75,"Tipo 3 (0,50-0,75) uT","Tipo 4 (&gt;0,75) uT"))))</f>
        <v>Tipo 2 (0,25-0,50) uT</v>
      </c>
      <c r="BD68" s="137" t="str">
        <f>IF(OR(AO68="",AY68="-"),"",IF(AO68&lt;=0.25,"Tipo 1 (≤0,25) uT",IF(AO68&lt;=0.5,"Tipo 2 (0,25-0,50) uT",IF(AO68&lt;=0.75,"Tipo 3 (0,50-0,75) uT","Tipo 4 (&gt;0,75) uT"))))</f>
        <v>Tipo 2 (0,25-0,50) uT</v>
      </c>
      <c r="BE68" s="137" t="str">
        <f>IF(OR(AE68="",AP68="-"),"",IF(AE68&lt;=0.25,"Tipo 1 (≤0,25) uT",IF(AE68&lt;=0.5,"Tipo 2 (0,25-0,50) uT",IF(AE68&lt;=0.75,"Tipo 3 (0,50-0,75) uT","Tipo 4 (&gt;0,75) uT"))))</f>
        <v>Tipo 4 (&gt;0,75) uT</v>
      </c>
      <c r="BF68" s="137" t="str">
        <f>IF(OR(AP68="",AP68="-"),"",IF(AP68&lt;=0.25,"Tipo 1 (≤0,25) uT",IF(AP68&lt;=0.5,"Tipo 2 (0,25-0,50) uT",IF(AP68&lt;=0.75,"Tipo 3 (0,50-0,75) uT","Tipo 4 (&gt;0,75) uT"))))</f>
        <v>Tipo 4 (&gt;0,75) uT</v>
      </c>
      <c r="BG68" s="137" t="str">
        <f>IF(OR(Q68="",Q68="-"),"",IF(Q68&lt;=0.25,"Tipo 1 (≤0,25) uT",IF(Q68&lt;=0.5,"Tipo 2 (0,25-0,50) uT",IF(Q68&lt;=0.75,"Tipo 3 (0,50-0,75) uT","Tipo 4 (&gt;0,75) uT"))))</f>
        <v>Tipo 4 (&gt;0,75) uT</v>
      </c>
    </row>
    <row r="69" spans="1:59" x14ac:dyDescent="0.3">
      <c r="A69" s="26">
        <v>46134</v>
      </c>
      <c r="B69" s="107">
        <v>0.5625</v>
      </c>
      <c r="C69" s="116">
        <v>1489</v>
      </c>
      <c r="D69" s="116">
        <v>92</v>
      </c>
      <c r="E69" s="116">
        <v>501</v>
      </c>
      <c r="F69" s="116">
        <v>2226</v>
      </c>
      <c r="G69" s="10" t="s">
        <v>34</v>
      </c>
      <c r="H69" s="122">
        <v>3.4</v>
      </c>
      <c r="I69" s="116">
        <v>90</v>
      </c>
      <c r="J69" s="116">
        <v>90</v>
      </c>
      <c r="K69" s="116">
        <v>90</v>
      </c>
      <c r="L69" s="122">
        <v>25.4</v>
      </c>
      <c r="M69" s="122">
        <v>7</v>
      </c>
      <c r="N69" s="79">
        <v>3.85</v>
      </c>
      <c r="O69" s="116">
        <v>16</v>
      </c>
      <c r="P69" s="122">
        <v>8</v>
      </c>
      <c r="Q69" s="79">
        <v>0.77</v>
      </c>
      <c r="R69" s="79">
        <v>22.36</v>
      </c>
      <c r="S69" s="79">
        <v>0.88</v>
      </c>
      <c r="T69" s="79">
        <v>0.7</v>
      </c>
      <c r="U69" s="85"/>
      <c r="V69" s="79"/>
      <c r="W69" s="79"/>
      <c r="X69" s="116"/>
      <c r="Y69" s="116"/>
      <c r="Z69" s="122"/>
      <c r="AA69" s="116"/>
      <c r="AB69" s="122">
        <v>6.8</v>
      </c>
      <c r="AC69" s="122">
        <v>8.9</v>
      </c>
      <c r="AD69" s="10">
        <v>0.2</v>
      </c>
      <c r="AE69" s="79">
        <v>2.33</v>
      </c>
      <c r="AF69" s="79"/>
      <c r="AG69" s="79"/>
      <c r="AH69" s="79"/>
      <c r="AI69" s="116"/>
      <c r="AJ69" s="116"/>
      <c r="AK69" s="79"/>
      <c r="AL69" s="79"/>
      <c r="AM69" s="122">
        <v>6.8</v>
      </c>
      <c r="AN69" s="122">
        <v>9</v>
      </c>
      <c r="AO69" s="79">
        <v>0.27</v>
      </c>
      <c r="AP69" s="127">
        <v>1.27</v>
      </c>
      <c r="AQ69" s="132">
        <f t="shared" si="4"/>
        <v>2082</v>
      </c>
      <c r="AR69" s="134">
        <f t="shared" si="5"/>
        <v>0.71517771373679151</v>
      </c>
      <c r="AS69" s="134">
        <f t="shared" si="6"/>
        <v>4.4188280499519693E-2</v>
      </c>
      <c r="AT69" s="134">
        <f t="shared" si="7"/>
        <v>0.24063400576368876</v>
      </c>
      <c r="AU69" s="43" t="str">
        <f>IF(AND(F69&lt;&gt;"",Y69&lt;&gt;""),AA69/(F69/2/Y69),"")</f>
        <v/>
      </c>
      <c r="AV69" s="43" t="str">
        <f>IF(AND(F69&lt;&gt;"",AJ69&lt;&gt;""),AL69/(F69/2/AJ69),"")</f>
        <v/>
      </c>
      <c r="AW69" s="41">
        <f>IF(AND(AP69&lt;&gt;"",1-(AP69/N69)&gt;0),1-(AP69/N69),"")</f>
        <v>0.67012987012987013</v>
      </c>
      <c r="AX69" s="41">
        <f>IF(AND(AE69&lt;&gt;"",1-(AE69/N69)&gt;0),1-(AE69/N69),"")</f>
        <v>0.39480519480519483</v>
      </c>
      <c r="AY69" s="136" t="str">
        <f>IF(P69="","",IF(P69&lt;2.5,"Alc. Bruta &lt; 2,5 mg/L",IF(P69&lt;5,"2,5 ≤ Alc. Bruta &lt; 5,0 mg/L",IF(P69&lt;7.5,"5,0 ≤ Alc. Bruta &lt; 7,5 mg/L",IF(P69&lt;10,"7,5 ≤ Alc. Bruta &lt; 10,0 mg/L",IF(P69&lt;15,"10,0 ≤ Alca. Bruta &lt; 15,0 mg/L","Alc. Bruta &gt; 15 mg/L"))))))</f>
        <v>7,5 ≤ Alc. Bruta &lt; 10,0 mg/L</v>
      </c>
      <c r="AZ69" s="136" t="str">
        <f>IF(O69="","",IF(O69&lt;5,"Cor &lt;5 uC",IF(O69&lt;10,"5 ≤ Cor &lt; 10 uC",IF(O69&lt;15,"10 ≤ Cor &lt;15 uC",IF(O69&lt;30,"15 ≤ Cor &lt; 30 uC",IF(O69&lt;50,"30 ≤ Cor &lt; 50 uC","Cor &gt; 50 uC"))))))</f>
        <v>15 ≤ Cor &lt; 30 uC</v>
      </c>
      <c r="BA69" s="137" t="str">
        <f>IF(N69="","",IF(N69&lt;2.5,"Turbidez &lt; 2,5 uT",IF(N69&lt;5,"2,5 ≤ Turb &lt; 5,0 uT",IF(N69&lt;7.5,"5,0 ≤ Turb &lt; 7,5 uT",IF(N69&lt;10,"7,5 ≤ Turb &lt; 10,0 uT",IF(N69&lt;15,"10,0 ≤ Turb &lt; 15,0 uT","Turb &gt; 15 uT"))))))</f>
        <v>2,5 ≤ Turb &lt; 5,0 uT</v>
      </c>
      <c r="BB69" s="138" t="str">
        <f>IF(AND(C69&gt;D69,D69&gt;E69),"TOR &gt; SM &gt; BNN",IF(AND(C69&gt;E69,E69&gt;D69),"TOR &gt; BNN &gt; SM",IF(AND(D69&gt;C69,C69&gt;E69),"SM &gt; TOR &gt; BNN",IF(AND(D69&gt;E69,E69&gt;C69),"SM &gt; BNN &gt; TOR",IF(AND(C69=D69,D69=E69),"TOR = SM = BNN","Comb. diferentes")))))</f>
        <v>TOR &gt; BNN &gt; SM</v>
      </c>
      <c r="BC69" s="137" t="str">
        <f>IF(OR(AD69="",AP69="-"),"",IF(AD69&lt;=0.25,"Tipo 1 (≤0,25) uT",IF(AD69&lt;=0.5,"Tipo 2 (0,25-0,50) uT",IF(AD69&lt;=0.75,"Tipo 3 (0,50-0,75) uT","Tipo 4 (&gt;0,75) uT"))))</f>
        <v>Tipo 1 (≤0,25) uT</v>
      </c>
      <c r="BD69" s="137" t="str">
        <f>IF(OR(AO69="",AY69="-"),"",IF(AO69&lt;=0.25,"Tipo 1 (≤0,25) uT",IF(AO69&lt;=0.5,"Tipo 2 (0,25-0,50) uT",IF(AO69&lt;=0.75,"Tipo 3 (0,50-0,75) uT","Tipo 4 (&gt;0,75) uT"))))</f>
        <v>Tipo 2 (0,25-0,50) uT</v>
      </c>
      <c r="BE69" s="137" t="str">
        <f>IF(OR(AE69="",AP69="-"),"",IF(AE69&lt;=0.25,"Tipo 1 (≤0,25) uT",IF(AE69&lt;=0.5,"Tipo 2 (0,25-0,50) uT",IF(AE69&lt;=0.75,"Tipo 3 (0,50-0,75) uT","Tipo 4 (&gt;0,75) uT"))))</f>
        <v>Tipo 4 (&gt;0,75) uT</v>
      </c>
      <c r="BF69" s="137" t="str">
        <f>IF(OR(AP69="",AP69="-"),"",IF(AP69&lt;=0.25,"Tipo 1 (≤0,25) uT",IF(AP69&lt;=0.5,"Tipo 2 (0,25-0,50) uT",IF(AP69&lt;=0.75,"Tipo 3 (0,50-0,75) uT","Tipo 4 (&gt;0,75) uT"))))</f>
        <v>Tipo 4 (&gt;0,75) uT</v>
      </c>
      <c r="BG69" s="137" t="str">
        <f>IF(OR(Q69="",Q69="-"),"",IF(Q69&lt;=0.25,"Tipo 1 (≤0,25) uT",IF(Q69&lt;=0.5,"Tipo 2 (0,25-0,50) uT",IF(Q69&lt;=0.75,"Tipo 3 (0,50-0,75) uT","Tipo 4 (&gt;0,75) uT"))))</f>
        <v>Tipo 4 (&gt;0,75) uT</v>
      </c>
    </row>
    <row r="70" spans="1:59" x14ac:dyDescent="0.3">
      <c r="A70" s="26">
        <v>46134</v>
      </c>
      <c r="B70" s="107">
        <v>0.64583333333333337</v>
      </c>
      <c r="C70" s="116">
        <v>1515</v>
      </c>
      <c r="D70" s="116">
        <v>89</v>
      </c>
      <c r="E70" s="116">
        <v>568</v>
      </c>
      <c r="F70" s="116">
        <v>2363</v>
      </c>
      <c r="G70" s="10" t="s">
        <v>34</v>
      </c>
      <c r="H70" s="122">
        <v>3.4</v>
      </c>
      <c r="I70" s="116">
        <v>90</v>
      </c>
      <c r="J70" s="116">
        <v>90</v>
      </c>
      <c r="K70" s="116">
        <v>90</v>
      </c>
      <c r="L70" s="122">
        <v>25.4</v>
      </c>
      <c r="M70" s="122">
        <v>6.7</v>
      </c>
      <c r="N70" s="79">
        <v>3.68</v>
      </c>
      <c r="O70" s="116">
        <v>14</v>
      </c>
      <c r="P70" s="122">
        <v>6.3</v>
      </c>
      <c r="Q70" s="79">
        <v>0.79</v>
      </c>
      <c r="R70" s="79">
        <v>22.36</v>
      </c>
      <c r="S70" s="79">
        <v>0.88</v>
      </c>
      <c r="T70" s="79">
        <v>0.7</v>
      </c>
      <c r="U70" s="85"/>
      <c r="V70" s="79"/>
      <c r="W70" s="79"/>
      <c r="X70" s="116"/>
      <c r="Y70" s="116"/>
      <c r="Z70" s="122"/>
      <c r="AA70" s="116"/>
      <c r="AB70" s="122">
        <v>6.8</v>
      </c>
      <c r="AC70" s="122">
        <v>6.3</v>
      </c>
      <c r="AD70" s="10">
        <v>0.17</v>
      </c>
      <c r="AE70" s="79">
        <v>1.04</v>
      </c>
      <c r="AF70" s="79"/>
      <c r="AG70" s="79"/>
      <c r="AH70" s="79"/>
      <c r="AI70" s="116"/>
      <c r="AJ70" s="116"/>
      <c r="AK70" s="79"/>
      <c r="AL70" s="79"/>
      <c r="AM70" s="122">
        <v>6.7</v>
      </c>
      <c r="AN70" s="122">
        <v>6.3</v>
      </c>
      <c r="AO70" s="79">
        <v>0.15</v>
      </c>
      <c r="AP70" s="127">
        <v>1.66</v>
      </c>
      <c r="AQ70" s="132">
        <f t="shared" si="4"/>
        <v>2172</v>
      </c>
      <c r="AR70" s="134">
        <f t="shared" si="5"/>
        <v>0.6975138121546961</v>
      </c>
      <c r="AS70" s="134">
        <f t="shared" si="6"/>
        <v>4.0976058931860036E-2</v>
      </c>
      <c r="AT70" s="134">
        <f t="shared" si="7"/>
        <v>0.26151012891344383</v>
      </c>
      <c r="AU70" s="43" t="str">
        <f>IF(AND(F70&lt;&gt;"",Y70&lt;&gt;""),AA70/(F70/2/Y70),"")</f>
        <v/>
      </c>
      <c r="AV70" s="43" t="str">
        <f>IF(AND(F70&lt;&gt;"",AJ70&lt;&gt;""),AL70/(F70/2/AJ70),"")</f>
        <v/>
      </c>
      <c r="AW70" s="41">
        <f>IF(AND(AP70&lt;&gt;"",1-(AP70/N70)&gt;0),1-(AP70/N70),"")</f>
        <v>0.54891304347826098</v>
      </c>
      <c r="AX70" s="41">
        <f>IF(AND(AE70&lt;&gt;"",1-(AE70/N70)&gt;0),1-(AE70/N70),"")</f>
        <v>0.71739130434782616</v>
      </c>
      <c r="AY70" s="136" t="str">
        <f>IF(P70="","",IF(P70&lt;2.5,"Alc. Bruta &lt; 2,5 mg/L",IF(P70&lt;5,"2,5 ≤ Alc. Bruta &lt; 5,0 mg/L",IF(P70&lt;7.5,"5,0 ≤ Alc. Bruta &lt; 7,5 mg/L",IF(P70&lt;10,"7,5 ≤ Alc. Bruta &lt; 10,0 mg/L",IF(P70&lt;15,"10,0 ≤ Alca. Bruta &lt; 15,0 mg/L","Alc. Bruta &gt; 15 mg/L"))))))</f>
        <v>5,0 ≤ Alc. Bruta &lt; 7,5 mg/L</v>
      </c>
      <c r="AZ70" s="136" t="str">
        <f>IF(O70="","",IF(O70&lt;5,"Cor &lt;5 uC",IF(O70&lt;10,"5 ≤ Cor &lt; 10 uC",IF(O70&lt;15,"10 ≤ Cor &lt;15 uC",IF(O70&lt;30,"15 ≤ Cor &lt; 30 uC",IF(O70&lt;50,"30 ≤ Cor &lt; 50 uC","Cor &gt; 50 uC"))))))</f>
        <v>10 ≤ Cor &lt;15 uC</v>
      </c>
      <c r="BA70" s="137" t="str">
        <f>IF(N70="","",IF(N70&lt;2.5,"Turbidez &lt; 2,5 uT",IF(N70&lt;5,"2,5 ≤ Turb &lt; 5,0 uT",IF(N70&lt;7.5,"5,0 ≤ Turb &lt; 7,5 uT",IF(N70&lt;10,"7,5 ≤ Turb &lt; 10,0 uT",IF(N70&lt;15,"10,0 ≤ Turb &lt; 15,0 uT","Turb &gt; 15 uT"))))))</f>
        <v>2,5 ≤ Turb &lt; 5,0 uT</v>
      </c>
      <c r="BB70" s="138" t="str">
        <f>IF(AND(C70&gt;D70,D70&gt;E70),"TOR &gt; SM &gt; BNN",IF(AND(C70&gt;E70,E70&gt;D70),"TOR &gt; BNN &gt; SM",IF(AND(D70&gt;C70,C70&gt;E70),"SM &gt; TOR &gt; BNN",IF(AND(D70&gt;E70,E70&gt;C70),"SM &gt; BNN &gt; TOR",IF(AND(C70=D70,D70=E70),"TOR = SM = BNN","Comb. diferentes")))))</f>
        <v>TOR &gt; BNN &gt; SM</v>
      </c>
      <c r="BC70" s="137" t="str">
        <f>IF(OR(AD70="",AP70="-"),"",IF(AD70&lt;=0.25,"Tipo 1 (≤0,25) uT",IF(AD70&lt;=0.5,"Tipo 2 (0,25-0,50) uT",IF(AD70&lt;=0.75,"Tipo 3 (0,50-0,75) uT","Tipo 4 (&gt;0,75) uT"))))</f>
        <v>Tipo 1 (≤0,25) uT</v>
      </c>
      <c r="BD70" s="137" t="str">
        <f>IF(OR(AO70="",AY70="-"),"",IF(AO70&lt;=0.25,"Tipo 1 (≤0,25) uT",IF(AO70&lt;=0.5,"Tipo 2 (0,25-0,50) uT",IF(AO70&lt;=0.75,"Tipo 3 (0,50-0,75) uT","Tipo 4 (&gt;0,75) uT"))))</f>
        <v>Tipo 1 (≤0,25) uT</v>
      </c>
      <c r="BE70" s="137" t="str">
        <f>IF(OR(AE70="",AP70="-"),"",IF(AE70&lt;=0.25,"Tipo 1 (≤0,25) uT",IF(AE70&lt;=0.5,"Tipo 2 (0,25-0,50) uT",IF(AE70&lt;=0.75,"Tipo 3 (0,50-0,75) uT","Tipo 4 (&gt;0,75) uT"))))</f>
        <v>Tipo 4 (&gt;0,75) uT</v>
      </c>
      <c r="BF70" s="137" t="str">
        <f>IF(OR(AP70="",AP70="-"),"",IF(AP70&lt;=0.25,"Tipo 1 (≤0,25) uT",IF(AP70&lt;=0.5,"Tipo 2 (0,25-0,50) uT",IF(AP70&lt;=0.75,"Tipo 3 (0,50-0,75) uT","Tipo 4 (&gt;0,75) uT"))))</f>
        <v>Tipo 4 (&gt;0,75) uT</v>
      </c>
      <c r="BG70" s="137" t="str">
        <f>IF(OR(Q70="",Q70="-"),"",IF(Q70&lt;=0.25,"Tipo 1 (≤0,25) uT",IF(Q70&lt;=0.5,"Tipo 2 (0,25-0,50) uT",IF(Q70&lt;=0.75,"Tipo 3 (0,50-0,75) uT","Tipo 4 (&gt;0,75) uT"))))</f>
        <v>Tipo 4 (&gt;0,75) uT</v>
      </c>
    </row>
    <row r="71" spans="1:59" x14ac:dyDescent="0.3">
      <c r="A71" s="26">
        <v>46134</v>
      </c>
      <c r="B71" s="107">
        <v>0.72916666666666663</v>
      </c>
      <c r="C71" s="116">
        <v>1480</v>
      </c>
      <c r="D71" s="116">
        <v>89</v>
      </c>
      <c r="E71" s="116">
        <v>569</v>
      </c>
      <c r="F71" s="116">
        <v>2298</v>
      </c>
      <c r="G71" s="10" t="s">
        <v>34</v>
      </c>
      <c r="H71" s="122">
        <v>3.4</v>
      </c>
      <c r="I71" s="116">
        <v>90</v>
      </c>
      <c r="J71" s="116">
        <v>90</v>
      </c>
      <c r="K71" s="116">
        <v>90</v>
      </c>
      <c r="L71" s="122">
        <v>25.1</v>
      </c>
      <c r="M71" s="122">
        <v>6.8</v>
      </c>
      <c r="N71" s="79">
        <v>3.56</v>
      </c>
      <c r="O71" s="116">
        <v>16</v>
      </c>
      <c r="P71" s="122">
        <v>6.3</v>
      </c>
      <c r="Q71" s="79">
        <v>0.63</v>
      </c>
      <c r="R71" s="79">
        <v>22.36</v>
      </c>
      <c r="S71" s="79">
        <v>0.88</v>
      </c>
      <c r="T71" s="79">
        <v>0.7</v>
      </c>
      <c r="U71" s="85"/>
      <c r="V71" s="79"/>
      <c r="W71" s="79"/>
      <c r="X71" s="116"/>
      <c r="Y71" s="116"/>
      <c r="Z71" s="122"/>
      <c r="AA71" s="116"/>
      <c r="AB71" s="122">
        <v>6.9</v>
      </c>
      <c r="AC71" s="122">
        <v>5.6</v>
      </c>
      <c r="AD71" s="10">
        <v>0.28999999999999998</v>
      </c>
      <c r="AE71" s="79">
        <v>1.02</v>
      </c>
      <c r="AF71" s="79"/>
      <c r="AG71" s="79"/>
      <c r="AH71" s="79"/>
      <c r="AI71" s="116"/>
      <c r="AJ71" s="116"/>
      <c r="AK71" s="79"/>
      <c r="AL71" s="79"/>
      <c r="AM71" s="122">
        <v>6.7</v>
      </c>
      <c r="AN71" s="122">
        <v>5.8</v>
      </c>
      <c r="AO71" s="79">
        <v>0.22</v>
      </c>
      <c r="AP71" s="127">
        <v>1.49</v>
      </c>
      <c r="AQ71" s="132">
        <f t="shared" si="4"/>
        <v>2138</v>
      </c>
      <c r="AR71" s="134">
        <f t="shared" si="5"/>
        <v>0.6922357343311506</v>
      </c>
      <c r="AS71" s="134">
        <f t="shared" si="6"/>
        <v>4.1627689429373248E-2</v>
      </c>
      <c r="AT71" s="134">
        <f t="shared" si="7"/>
        <v>0.26613657623947612</v>
      </c>
      <c r="AU71" s="43" t="str">
        <f>IF(AND(F71&lt;&gt;"",Y71&lt;&gt;""),AA71/(F71/2/Y71),"")</f>
        <v/>
      </c>
      <c r="AV71" s="43" t="str">
        <f>IF(AND(F71&lt;&gt;"",AJ71&lt;&gt;""),AL71/(F71/2/AJ71),"")</f>
        <v/>
      </c>
      <c r="AW71" s="41">
        <f>IF(AND(AP71&lt;&gt;"",1-(AP71/N71)&gt;0),1-(AP71/N71),"")</f>
        <v>0.5814606741573034</v>
      </c>
      <c r="AX71" s="41">
        <f>IF(AND(AE71&lt;&gt;"",1-(AE71/N71)&gt;0),1-(AE71/N71),"")</f>
        <v>0.71348314606741581</v>
      </c>
      <c r="AY71" s="136" t="str">
        <f>IF(P71="","",IF(P71&lt;2.5,"Alc. Bruta &lt; 2,5 mg/L",IF(P71&lt;5,"2,5 ≤ Alc. Bruta &lt; 5,0 mg/L",IF(P71&lt;7.5,"5,0 ≤ Alc. Bruta &lt; 7,5 mg/L",IF(P71&lt;10,"7,5 ≤ Alc. Bruta &lt; 10,0 mg/L",IF(P71&lt;15,"10,0 ≤ Alca. Bruta &lt; 15,0 mg/L","Alc. Bruta &gt; 15 mg/L"))))))</f>
        <v>5,0 ≤ Alc. Bruta &lt; 7,5 mg/L</v>
      </c>
      <c r="AZ71" s="136" t="str">
        <f>IF(O71="","",IF(O71&lt;5,"Cor &lt;5 uC",IF(O71&lt;10,"5 ≤ Cor &lt; 10 uC",IF(O71&lt;15,"10 ≤ Cor &lt;15 uC",IF(O71&lt;30,"15 ≤ Cor &lt; 30 uC",IF(O71&lt;50,"30 ≤ Cor &lt; 50 uC","Cor &gt; 50 uC"))))))</f>
        <v>15 ≤ Cor &lt; 30 uC</v>
      </c>
      <c r="BA71" s="137" t="str">
        <f>IF(N71="","",IF(N71&lt;2.5,"Turbidez &lt; 2,5 uT",IF(N71&lt;5,"2,5 ≤ Turb &lt; 5,0 uT",IF(N71&lt;7.5,"5,0 ≤ Turb &lt; 7,5 uT",IF(N71&lt;10,"7,5 ≤ Turb &lt; 10,0 uT",IF(N71&lt;15,"10,0 ≤ Turb &lt; 15,0 uT","Turb &gt; 15 uT"))))))</f>
        <v>2,5 ≤ Turb &lt; 5,0 uT</v>
      </c>
      <c r="BB71" s="138" t="str">
        <f>IF(AND(C71&gt;D71,D71&gt;E71),"TOR &gt; SM &gt; BNN",IF(AND(C71&gt;E71,E71&gt;D71),"TOR &gt; BNN &gt; SM",IF(AND(D71&gt;C71,C71&gt;E71),"SM &gt; TOR &gt; BNN",IF(AND(D71&gt;E71,E71&gt;C71),"SM &gt; BNN &gt; TOR",IF(AND(C71=D71,D71=E71),"TOR = SM = BNN","Comb. diferentes")))))</f>
        <v>TOR &gt; BNN &gt; SM</v>
      </c>
      <c r="BC71" s="137" t="str">
        <f>IF(OR(AD71="",AP71="-"),"",IF(AD71&lt;=0.25,"Tipo 1 (≤0,25) uT",IF(AD71&lt;=0.5,"Tipo 2 (0,25-0,50) uT",IF(AD71&lt;=0.75,"Tipo 3 (0,50-0,75) uT","Tipo 4 (&gt;0,75) uT"))))</f>
        <v>Tipo 2 (0,25-0,50) uT</v>
      </c>
      <c r="BD71" s="137" t="str">
        <f>IF(OR(AO71="",AY71="-"),"",IF(AO71&lt;=0.25,"Tipo 1 (≤0,25) uT",IF(AO71&lt;=0.5,"Tipo 2 (0,25-0,50) uT",IF(AO71&lt;=0.75,"Tipo 3 (0,50-0,75) uT","Tipo 4 (&gt;0,75) uT"))))</f>
        <v>Tipo 1 (≤0,25) uT</v>
      </c>
      <c r="BE71" s="137" t="str">
        <f>IF(OR(AE71="",AP71="-"),"",IF(AE71&lt;=0.25,"Tipo 1 (≤0,25) uT",IF(AE71&lt;=0.5,"Tipo 2 (0,25-0,50) uT",IF(AE71&lt;=0.75,"Tipo 3 (0,50-0,75) uT","Tipo 4 (&gt;0,75) uT"))))</f>
        <v>Tipo 4 (&gt;0,75) uT</v>
      </c>
      <c r="BF71" s="137" t="str">
        <f>IF(OR(AP71="",AP71="-"),"",IF(AP71&lt;=0.25,"Tipo 1 (≤0,25) uT",IF(AP71&lt;=0.5,"Tipo 2 (0,25-0,50) uT",IF(AP71&lt;=0.75,"Tipo 3 (0,50-0,75) uT","Tipo 4 (&gt;0,75) uT"))))</f>
        <v>Tipo 4 (&gt;0,75) uT</v>
      </c>
      <c r="BG71" s="137" t="str">
        <f>IF(OR(Q71="",Q71="-"),"",IF(Q71&lt;=0.25,"Tipo 1 (≤0,25) uT",IF(Q71&lt;=0.5,"Tipo 2 (0,25-0,50) uT",IF(Q71&lt;=0.75,"Tipo 3 (0,50-0,75) uT","Tipo 4 (&gt;0,75) uT"))))</f>
        <v>Tipo 3 (0,50-0,75) uT</v>
      </c>
    </row>
    <row r="72" spans="1:59" x14ac:dyDescent="0.3">
      <c r="A72" s="26">
        <v>46134</v>
      </c>
      <c r="B72" s="107">
        <v>0.8125</v>
      </c>
      <c r="C72" s="116">
        <v>1559</v>
      </c>
      <c r="D72" s="116">
        <v>74</v>
      </c>
      <c r="E72" s="116">
        <v>569</v>
      </c>
      <c r="F72" s="116">
        <v>2422</v>
      </c>
      <c r="G72" s="10" t="s">
        <v>34</v>
      </c>
      <c r="H72" s="122">
        <v>3.4</v>
      </c>
      <c r="I72" s="116">
        <v>90</v>
      </c>
      <c r="J72" s="116">
        <v>90</v>
      </c>
      <c r="K72" s="116">
        <v>90</v>
      </c>
      <c r="L72" s="122">
        <v>25.1</v>
      </c>
      <c r="M72" s="122">
        <v>6.7</v>
      </c>
      <c r="N72" s="79">
        <v>4.62</v>
      </c>
      <c r="O72" s="116">
        <v>14</v>
      </c>
      <c r="P72" s="122">
        <v>6.1</v>
      </c>
      <c r="Q72" s="79">
        <v>0.4</v>
      </c>
      <c r="R72" s="79">
        <v>22.36</v>
      </c>
      <c r="S72" s="79">
        <v>0.88</v>
      </c>
      <c r="T72" s="79">
        <v>0.7</v>
      </c>
      <c r="U72" s="85"/>
      <c r="V72" s="79"/>
      <c r="W72" s="79"/>
      <c r="X72" s="116"/>
      <c r="Y72" s="116"/>
      <c r="Z72" s="122"/>
      <c r="AA72" s="116"/>
      <c r="AB72" s="122">
        <v>6.8</v>
      </c>
      <c r="AC72" s="122">
        <v>7.4</v>
      </c>
      <c r="AD72" s="10">
        <v>0.18</v>
      </c>
      <c r="AE72" s="79">
        <v>0.83</v>
      </c>
      <c r="AF72" s="79"/>
      <c r="AG72" s="79"/>
      <c r="AH72" s="79"/>
      <c r="AI72" s="116"/>
      <c r="AJ72" s="116"/>
      <c r="AK72" s="79"/>
      <c r="AL72" s="79"/>
      <c r="AM72" s="122">
        <v>6.8</v>
      </c>
      <c r="AN72" s="122">
        <v>7.2</v>
      </c>
      <c r="AO72" s="79">
        <v>0.11</v>
      </c>
      <c r="AP72" s="127">
        <v>1.1200000000000001</v>
      </c>
      <c r="AQ72" s="132">
        <f t="shared" si="4"/>
        <v>2202</v>
      </c>
      <c r="AR72" s="134">
        <f t="shared" si="5"/>
        <v>0.70799273387829242</v>
      </c>
      <c r="AS72" s="134">
        <f t="shared" si="6"/>
        <v>3.3605812897366028E-2</v>
      </c>
      <c r="AT72" s="134">
        <f t="shared" si="7"/>
        <v>0.25840145322434149</v>
      </c>
      <c r="AU72" s="43" t="str">
        <f>IF(AND(F72&lt;&gt;"",Y72&lt;&gt;""),AA72/(F72/2/Y72),"")</f>
        <v/>
      </c>
      <c r="AV72" s="43" t="str">
        <f>IF(AND(F72&lt;&gt;"",AJ72&lt;&gt;""),AL72/(F72/2/AJ72),"")</f>
        <v/>
      </c>
      <c r="AW72" s="41">
        <f>IF(AND(AP72&lt;&gt;"",1-(AP72/N72)&gt;0),1-(AP72/N72),"")</f>
        <v>0.75757575757575757</v>
      </c>
      <c r="AX72" s="41">
        <f>IF(AND(AE72&lt;&gt;"",1-(AE72/N72)&gt;0),1-(AE72/N72),"")</f>
        <v>0.82034632034632038</v>
      </c>
      <c r="AY72" s="136" t="str">
        <f>IF(P72="","",IF(P72&lt;2.5,"Alc. Bruta &lt; 2,5 mg/L",IF(P72&lt;5,"2,5 ≤ Alc. Bruta &lt; 5,0 mg/L",IF(P72&lt;7.5,"5,0 ≤ Alc. Bruta &lt; 7,5 mg/L",IF(P72&lt;10,"7,5 ≤ Alc. Bruta &lt; 10,0 mg/L",IF(P72&lt;15,"10,0 ≤ Alca. Bruta &lt; 15,0 mg/L","Alc. Bruta &gt; 15 mg/L"))))))</f>
        <v>5,0 ≤ Alc. Bruta &lt; 7,5 mg/L</v>
      </c>
      <c r="AZ72" s="136" t="str">
        <f>IF(O72="","",IF(O72&lt;5,"Cor &lt;5 uC",IF(O72&lt;10,"5 ≤ Cor &lt; 10 uC",IF(O72&lt;15,"10 ≤ Cor &lt;15 uC",IF(O72&lt;30,"15 ≤ Cor &lt; 30 uC",IF(O72&lt;50,"30 ≤ Cor &lt; 50 uC","Cor &gt; 50 uC"))))))</f>
        <v>10 ≤ Cor &lt;15 uC</v>
      </c>
      <c r="BA72" s="137" t="str">
        <f>IF(N72="","",IF(N72&lt;2.5,"Turbidez &lt; 2,5 uT",IF(N72&lt;5,"2,5 ≤ Turb &lt; 5,0 uT",IF(N72&lt;7.5,"5,0 ≤ Turb &lt; 7,5 uT",IF(N72&lt;10,"7,5 ≤ Turb &lt; 10,0 uT",IF(N72&lt;15,"10,0 ≤ Turb &lt; 15,0 uT","Turb &gt; 15 uT"))))))</f>
        <v>2,5 ≤ Turb &lt; 5,0 uT</v>
      </c>
      <c r="BB72" s="138" t="str">
        <f>IF(AND(C72&gt;D72,D72&gt;E72),"TOR &gt; SM &gt; BNN",IF(AND(C72&gt;E72,E72&gt;D72),"TOR &gt; BNN &gt; SM",IF(AND(D72&gt;C72,C72&gt;E72),"SM &gt; TOR &gt; BNN",IF(AND(D72&gt;E72,E72&gt;C72),"SM &gt; BNN &gt; TOR",IF(AND(C72=D72,D72=E72),"TOR = SM = BNN","Comb. diferentes")))))</f>
        <v>TOR &gt; BNN &gt; SM</v>
      </c>
      <c r="BC72" s="137" t="str">
        <f>IF(OR(AD72="",AP72="-"),"",IF(AD72&lt;=0.25,"Tipo 1 (≤0,25) uT",IF(AD72&lt;=0.5,"Tipo 2 (0,25-0,50) uT",IF(AD72&lt;=0.75,"Tipo 3 (0,50-0,75) uT","Tipo 4 (&gt;0,75) uT"))))</f>
        <v>Tipo 1 (≤0,25) uT</v>
      </c>
      <c r="BD72" s="137" t="str">
        <f>IF(OR(AO72="",AY72="-"),"",IF(AO72&lt;=0.25,"Tipo 1 (≤0,25) uT",IF(AO72&lt;=0.5,"Tipo 2 (0,25-0,50) uT",IF(AO72&lt;=0.75,"Tipo 3 (0,50-0,75) uT","Tipo 4 (&gt;0,75) uT"))))</f>
        <v>Tipo 1 (≤0,25) uT</v>
      </c>
      <c r="BE72" s="137" t="str">
        <f>IF(OR(AE72="",AP72="-"),"",IF(AE72&lt;=0.25,"Tipo 1 (≤0,25) uT",IF(AE72&lt;=0.5,"Tipo 2 (0,25-0,50) uT",IF(AE72&lt;=0.75,"Tipo 3 (0,50-0,75) uT","Tipo 4 (&gt;0,75) uT"))))</f>
        <v>Tipo 4 (&gt;0,75) uT</v>
      </c>
      <c r="BF72" s="137" t="str">
        <f>IF(OR(AP72="",AP72="-"),"",IF(AP72&lt;=0.25,"Tipo 1 (≤0,25) uT",IF(AP72&lt;=0.5,"Tipo 2 (0,25-0,50) uT",IF(AP72&lt;=0.75,"Tipo 3 (0,50-0,75) uT","Tipo 4 (&gt;0,75) uT"))))</f>
        <v>Tipo 4 (&gt;0,75) uT</v>
      </c>
      <c r="BG72" s="137" t="str">
        <f>IF(OR(Q72="",Q72="-"),"",IF(Q72&lt;=0.25,"Tipo 1 (≤0,25) uT",IF(Q72&lt;=0.5,"Tipo 2 (0,25-0,50) uT",IF(Q72&lt;=0.75,"Tipo 3 (0,50-0,75) uT","Tipo 4 (&gt;0,75) uT"))))</f>
        <v>Tipo 2 (0,25-0,50) uT</v>
      </c>
    </row>
    <row r="73" spans="1:59" x14ac:dyDescent="0.3">
      <c r="A73" s="26">
        <v>46134</v>
      </c>
      <c r="B73" s="107">
        <v>0.89583333333333337</v>
      </c>
      <c r="C73" s="116">
        <v>1527</v>
      </c>
      <c r="D73" s="116">
        <v>82</v>
      </c>
      <c r="E73" s="116">
        <v>570</v>
      </c>
      <c r="F73" s="116">
        <v>2418</v>
      </c>
      <c r="G73" s="10" t="s">
        <v>34</v>
      </c>
      <c r="H73" s="122">
        <v>3.4</v>
      </c>
      <c r="I73" s="116">
        <v>90</v>
      </c>
      <c r="J73" s="116">
        <v>90</v>
      </c>
      <c r="K73" s="116">
        <v>90</v>
      </c>
      <c r="L73" s="122">
        <v>24.6</v>
      </c>
      <c r="M73" s="122">
        <v>6.8</v>
      </c>
      <c r="N73" s="79">
        <v>3.77</v>
      </c>
      <c r="O73" s="116">
        <v>16</v>
      </c>
      <c r="P73" s="122">
        <v>6.2</v>
      </c>
      <c r="Q73" s="79">
        <v>0.56999999999999995</v>
      </c>
      <c r="R73" s="79">
        <v>22.36</v>
      </c>
      <c r="S73" s="79">
        <v>0.88</v>
      </c>
      <c r="T73" s="79">
        <v>0.7</v>
      </c>
      <c r="U73" s="85"/>
      <c r="V73" s="79"/>
      <c r="W73" s="79"/>
      <c r="X73" s="116"/>
      <c r="Y73" s="116"/>
      <c r="Z73" s="122"/>
      <c r="AA73" s="116"/>
      <c r="AB73" s="122">
        <v>6.9</v>
      </c>
      <c r="AC73" s="122">
        <v>6.2</v>
      </c>
      <c r="AD73" s="10">
        <v>0.14000000000000001</v>
      </c>
      <c r="AE73" s="79">
        <v>1.05</v>
      </c>
      <c r="AF73" s="79"/>
      <c r="AG73" s="79"/>
      <c r="AH73" s="79"/>
      <c r="AI73" s="116"/>
      <c r="AJ73" s="116"/>
      <c r="AK73" s="79"/>
      <c r="AL73" s="79"/>
      <c r="AM73" s="122">
        <v>6.8</v>
      </c>
      <c r="AN73" s="122">
        <v>6</v>
      </c>
      <c r="AO73" s="79">
        <v>0.2</v>
      </c>
      <c r="AP73" s="127">
        <v>1.79</v>
      </c>
      <c r="AQ73" s="132">
        <f t="shared" si="4"/>
        <v>2179</v>
      </c>
      <c r="AR73" s="134">
        <f t="shared" si="5"/>
        <v>0.70078017439192286</v>
      </c>
      <c r="AS73" s="134">
        <f t="shared" si="6"/>
        <v>3.763194125745755E-2</v>
      </c>
      <c r="AT73" s="134">
        <f t="shared" si="7"/>
        <v>0.26158788435061953</v>
      </c>
      <c r="AU73" s="43" t="str">
        <f>IF(AND(F73&lt;&gt;"",Y73&lt;&gt;""),AA73/(F73/2/Y73),"")</f>
        <v/>
      </c>
      <c r="AV73" s="43" t="str">
        <f>IF(AND(F73&lt;&gt;"",AJ73&lt;&gt;""),AL73/(F73/2/AJ73),"")</f>
        <v/>
      </c>
      <c r="AW73" s="41">
        <f>IF(AND(AP73&lt;&gt;"",1-(AP73/N73)&gt;0),1-(AP73/N73),"")</f>
        <v>0.5251989389920424</v>
      </c>
      <c r="AX73" s="41">
        <f>IF(AND(AE73&lt;&gt;"",1-(AE73/N73)&gt;0),1-(AE73/N73),"")</f>
        <v>0.72148541114058351</v>
      </c>
      <c r="AY73" s="136" t="str">
        <f>IF(P73="","",IF(P73&lt;2.5,"Alc. Bruta &lt; 2,5 mg/L",IF(P73&lt;5,"2,5 ≤ Alc. Bruta &lt; 5,0 mg/L",IF(P73&lt;7.5,"5,0 ≤ Alc. Bruta &lt; 7,5 mg/L",IF(P73&lt;10,"7,5 ≤ Alc. Bruta &lt; 10,0 mg/L",IF(P73&lt;15,"10,0 ≤ Alca. Bruta &lt; 15,0 mg/L","Alc. Bruta &gt; 15 mg/L"))))))</f>
        <v>5,0 ≤ Alc. Bruta &lt; 7,5 mg/L</v>
      </c>
      <c r="AZ73" s="136" t="str">
        <f>IF(O73="","",IF(O73&lt;5,"Cor &lt;5 uC",IF(O73&lt;10,"5 ≤ Cor &lt; 10 uC",IF(O73&lt;15,"10 ≤ Cor &lt;15 uC",IF(O73&lt;30,"15 ≤ Cor &lt; 30 uC",IF(O73&lt;50,"30 ≤ Cor &lt; 50 uC","Cor &gt; 50 uC"))))))</f>
        <v>15 ≤ Cor &lt; 30 uC</v>
      </c>
      <c r="BA73" s="137" t="str">
        <f>IF(N73="","",IF(N73&lt;2.5,"Turbidez &lt; 2,5 uT",IF(N73&lt;5,"2,5 ≤ Turb &lt; 5,0 uT",IF(N73&lt;7.5,"5,0 ≤ Turb &lt; 7,5 uT",IF(N73&lt;10,"7,5 ≤ Turb &lt; 10,0 uT",IF(N73&lt;15,"10,0 ≤ Turb &lt; 15,0 uT","Turb &gt; 15 uT"))))))</f>
        <v>2,5 ≤ Turb &lt; 5,0 uT</v>
      </c>
      <c r="BB73" s="138" t="str">
        <f>IF(AND(C73&gt;D73,D73&gt;E73),"TOR &gt; SM &gt; BNN",IF(AND(C73&gt;E73,E73&gt;D73),"TOR &gt; BNN &gt; SM",IF(AND(D73&gt;C73,C73&gt;E73),"SM &gt; TOR &gt; BNN",IF(AND(D73&gt;E73,E73&gt;C73),"SM &gt; BNN &gt; TOR",IF(AND(C73=D73,D73=E73),"TOR = SM = BNN","Comb. diferentes")))))</f>
        <v>TOR &gt; BNN &gt; SM</v>
      </c>
      <c r="BC73" s="137" t="str">
        <f>IF(OR(AD73="",AP73="-"),"",IF(AD73&lt;=0.25,"Tipo 1 (≤0,25) uT",IF(AD73&lt;=0.5,"Tipo 2 (0,25-0,50) uT",IF(AD73&lt;=0.75,"Tipo 3 (0,50-0,75) uT","Tipo 4 (&gt;0,75) uT"))))</f>
        <v>Tipo 1 (≤0,25) uT</v>
      </c>
      <c r="BD73" s="137" t="str">
        <f>IF(OR(AO73="",AY73="-"),"",IF(AO73&lt;=0.25,"Tipo 1 (≤0,25) uT",IF(AO73&lt;=0.5,"Tipo 2 (0,25-0,50) uT",IF(AO73&lt;=0.75,"Tipo 3 (0,50-0,75) uT","Tipo 4 (&gt;0,75) uT"))))</f>
        <v>Tipo 1 (≤0,25) uT</v>
      </c>
      <c r="BE73" s="137" t="str">
        <f>IF(OR(AE73="",AP73="-"),"",IF(AE73&lt;=0.25,"Tipo 1 (≤0,25) uT",IF(AE73&lt;=0.5,"Tipo 2 (0,25-0,50) uT",IF(AE73&lt;=0.75,"Tipo 3 (0,50-0,75) uT","Tipo 4 (&gt;0,75) uT"))))</f>
        <v>Tipo 4 (&gt;0,75) uT</v>
      </c>
      <c r="BF73" s="137" t="str">
        <f>IF(OR(AP73="",AP73="-"),"",IF(AP73&lt;=0.25,"Tipo 1 (≤0,25) uT",IF(AP73&lt;=0.5,"Tipo 2 (0,25-0,50) uT",IF(AP73&lt;=0.75,"Tipo 3 (0,50-0,75) uT","Tipo 4 (&gt;0,75) uT"))))</f>
        <v>Tipo 4 (&gt;0,75) uT</v>
      </c>
      <c r="BG73" s="137" t="str">
        <f>IF(OR(Q73="",Q73="-"),"",IF(Q73&lt;=0.25,"Tipo 1 (≤0,25) uT",IF(Q73&lt;=0.5,"Tipo 2 (0,25-0,50) uT",IF(Q73&lt;=0.75,"Tipo 3 (0,50-0,75) uT","Tipo 4 (&gt;0,75) uT"))))</f>
        <v>Tipo 3 (0,50-0,75) uT</v>
      </c>
    </row>
    <row r="74" spans="1:59" x14ac:dyDescent="0.3">
      <c r="A74" s="26">
        <v>46134</v>
      </c>
      <c r="B74" s="107">
        <v>0.97916666666666663</v>
      </c>
      <c r="C74" s="116">
        <v>1529</v>
      </c>
      <c r="D74" s="116">
        <v>82</v>
      </c>
      <c r="E74" s="116">
        <v>570</v>
      </c>
      <c r="F74" s="116">
        <v>2423</v>
      </c>
      <c r="G74" s="10" t="s">
        <v>34</v>
      </c>
      <c r="H74" s="122">
        <v>3.4</v>
      </c>
      <c r="I74" s="116">
        <v>90</v>
      </c>
      <c r="J74" s="116">
        <v>90</v>
      </c>
      <c r="K74" s="116">
        <v>90</v>
      </c>
      <c r="L74" s="122">
        <v>24.4</v>
      </c>
      <c r="M74" s="122">
        <v>6.7</v>
      </c>
      <c r="N74" s="79">
        <v>4.03</v>
      </c>
      <c r="O74" s="116">
        <v>16</v>
      </c>
      <c r="P74" s="122">
        <v>6.5</v>
      </c>
      <c r="Q74" s="79">
        <v>0.39</v>
      </c>
      <c r="R74" s="79">
        <v>22.36</v>
      </c>
      <c r="S74" s="79">
        <v>0.88</v>
      </c>
      <c r="T74" s="79">
        <v>0.7</v>
      </c>
      <c r="U74" s="85"/>
      <c r="V74" s="79"/>
      <c r="W74" s="79"/>
      <c r="X74" s="116"/>
      <c r="Y74" s="116"/>
      <c r="Z74" s="122"/>
      <c r="AA74" s="116"/>
      <c r="AB74" s="122">
        <v>6.9</v>
      </c>
      <c r="AC74" s="122">
        <v>6.5</v>
      </c>
      <c r="AD74" s="10">
        <v>0.1</v>
      </c>
      <c r="AE74" s="79">
        <v>0.89</v>
      </c>
      <c r="AF74" s="79"/>
      <c r="AG74" s="79"/>
      <c r="AH74" s="79"/>
      <c r="AI74" s="116"/>
      <c r="AJ74" s="116"/>
      <c r="AK74" s="79"/>
      <c r="AL74" s="79"/>
      <c r="AM74" s="122">
        <v>6.8</v>
      </c>
      <c r="AN74" s="122">
        <v>6</v>
      </c>
      <c r="AO74" s="79">
        <v>0.1</v>
      </c>
      <c r="AP74" s="127">
        <v>1.24</v>
      </c>
      <c r="AQ74" s="132">
        <f t="shared" si="4"/>
        <v>2181</v>
      </c>
      <c r="AR74" s="134">
        <f t="shared" si="5"/>
        <v>0.70105456212746442</v>
      </c>
      <c r="AS74" s="134">
        <f t="shared" si="6"/>
        <v>3.7597432370472257E-2</v>
      </c>
      <c r="AT74" s="134">
        <f t="shared" si="7"/>
        <v>0.26134800550206327</v>
      </c>
      <c r="AU74" s="43" t="str">
        <f>IF(AND(F74&lt;&gt;"",Y74&lt;&gt;""),AA74/(F74/2/Y74),"")</f>
        <v/>
      </c>
      <c r="AV74" s="43" t="str">
        <f>IF(AND(F74&lt;&gt;"",AJ74&lt;&gt;""),AL74/(F74/2/AJ74),"")</f>
        <v/>
      </c>
      <c r="AW74" s="41">
        <f>IF(AND(AP74&lt;&gt;"",1-(AP74/N74)&gt;0),1-(AP74/N74),"")</f>
        <v>0.69230769230769229</v>
      </c>
      <c r="AX74" s="41">
        <f>IF(AND(AE74&lt;&gt;"",1-(AE74/N74)&gt;0),1-(AE74/N74),"")</f>
        <v>0.77915632754342434</v>
      </c>
      <c r="AY74" s="136" t="str">
        <f>IF(P74="","",IF(P74&lt;2.5,"Alc. Bruta &lt; 2,5 mg/L",IF(P74&lt;5,"2,5 ≤ Alc. Bruta &lt; 5,0 mg/L",IF(P74&lt;7.5,"5,0 ≤ Alc. Bruta &lt; 7,5 mg/L",IF(P74&lt;10,"7,5 ≤ Alc. Bruta &lt; 10,0 mg/L",IF(P74&lt;15,"10,0 ≤ Alca. Bruta &lt; 15,0 mg/L","Alc. Bruta &gt; 15 mg/L"))))))</f>
        <v>5,0 ≤ Alc. Bruta &lt; 7,5 mg/L</v>
      </c>
      <c r="AZ74" s="136" t="str">
        <f>IF(O74="","",IF(O74&lt;5,"Cor &lt;5 uC",IF(O74&lt;10,"5 ≤ Cor &lt; 10 uC",IF(O74&lt;15,"10 ≤ Cor &lt;15 uC",IF(O74&lt;30,"15 ≤ Cor &lt; 30 uC",IF(O74&lt;50,"30 ≤ Cor &lt; 50 uC","Cor &gt; 50 uC"))))))</f>
        <v>15 ≤ Cor &lt; 30 uC</v>
      </c>
      <c r="BA74" s="137" t="str">
        <f>IF(N74="","",IF(N74&lt;2.5,"Turbidez &lt; 2,5 uT",IF(N74&lt;5,"2,5 ≤ Turb &lt; 5,0 uT",IF(N74&lt;7.5,"5,0 ≤ Turb &lt; 7,5 uT",IF(N74&lt;10,"7,5 ≤ Turb &lt; 10,0 uT",IF(N74&lt;15,"10,0 ≤ Turb &lt; 15,0 uT","Turb &gt; 15 uT"))))))</f>
        <v>2,5 ≤ Turb &lt; 5,0 uT</v>
      </c>
      <c r="BB74" s="138" t="str">
        <f>IF(AND(C74&gt;D74,D74&gt;E74),"TOR &gt; SM &gt; BNN",IF(AND(C74&gt;E74,E74&gt;D74),"TOR &gt; BNN &gt; SM",IF(AND(D74&gt;C74,C74&gt;E74),"SM &gt; TOR &gt; BNN",IF(AND(D74&gt;E74,E74&gt;C74),"SM &gt; BNN &gt; TOR",IF(AND(C74=D74,D74=E74),"TOR = SM = BNN","Comb. diferentes")))))</f>
        <v>TOR &gt; BNN &gt; SM</v>
      </c>
      <c r="BC74" s="137" t="str">
        <f>IF(OR(AD74="",AP74="-"),"",IF(AD74&lt;=0.25,"Tipo 1 (≤0,25) uT",IF(AD74&lt;=0.5,"Tipo 2 (0,25-0,50) uT",IF(AD74&lt;=0.75,"Tipo 3 (0,50-0,75) uT","Tipo 4 (&gt;0,75) uT"))))</f>
        <v>Tipo 1 (≤0,25) uT</v>
      </c>
      <c r="BD74" s="137" t="str">
        <f>IF(OR(AO74="",AY74="-"),"",IF(AO74&lt;=0.25,"Tipo 1 (≤0,25) uT",IF(AO74&lt;=0.5,"Tipo 2 (0,25-0,50) uT",IF(AO74&lt;=0.75,"Tipo 3 (0,50-0,75) uT","Tipo 4 (&gt;0,75) uT"))))</f>
        <v>Tipo 1 (≤0,25) uT</v>
      </c>
      <c r="BE74" s="137" t="str">
        <f>IF(OR(AE74="",AP74="-"),"",IF(AE74&lt;=0.25,"Tipo 1 (≤0,25) uT",IF(AE74&lt;=0.5,"Tipo 2 (0,25-0,50) uT",IF(AE74&lt;=0.75,"Tipo 3 (0,50-0,75) uT","Tipo 4 (&gt;0,75) uT"))))</f>
        <v>Tipo 4 (&gt;0,75) uT</v>
      </c>
      <c r="BF74" s="137" t="str">
        <f>IF(OR(AP74="",AP74="-"),"",IF(AP74&lt;=0.25,"Tipo 1 (≤0,25) uT",IF(AP74&lt;=0.5,"Tipo 2 (0,25-0,50) uT",IF(AP74&lt;=0.75,"Tipo 3 (0,50-0,75) uT","Tipo 4 (&gt;0,75) uT"))))</f>
        <v>Tipo 4 (&gt;0,75) uT</v>
      </c>
      <c r="BG74" s="137" t="str">
        <f>IF(OR(Q74="",Q74="-"),"",IF(Q74&lt;=0.25,"Tipo 1 (≤0,25) uT",IF(Q74&lt;=0.5,"Tipo 2 (0,25-0,50) uT",IF(Q74&lt;=0.75,"Tipo 3 (0,50-0,75) uT","Tipo 4 (&gt;0,75) uT"))))</f>
        <v>Tipo 2 (0,25-0,50) uT</v>
      </c>
    </row>
    <row r="75" spans="1:59" x14ac:dyDescent="0.3">
      <c r="A75" s="26">
        <v>46135</v>
      </c>
      <c r="B75" s="107">
        <v>6.25E-2</v>
      </c>
      <c r="C75" s="116">
        <v>1576</v>
      </c>
      <c r="D75" s="116">
        <v>83</v>
      </c>
      <c r="E75" s="116">
        <v>569</v>
      </c>
      <c r="F75" s="116">
        <v>2421</v>
      </c>
      <c r="G75" s="10" t="s">
        <v>34</v>
      </c>
      <c r="H75" s="122">
        <v>3.4</v>
      </c>
      <c r="I75" s="116">
        <v>90</v>
      </c>
      <c r="J75" s="116">
        <v>90</v>
      </c>
      <c r="K75" s="116">
        <v>90</v>
      </c>
      <c r="L75" s="122">
        <v>24</v>
      </c>
      <c r="M75" s="122">
        <v>6.7</v>
      </c>
      <c r="N75" s="79">
        <v>4.3</v>
      </c>
      <c r="O75" s="116">
        <v>16</v>
      </c>
      <c r="P75" s="122">
        <v>6.2</v>
      </c>
      <c r="Q75" s="79">
        <v>0.41</v>
      </c>
      <c r="R75" s="79">
        <v>22.36</v>
      </c>
      <c r="S75" s="79">
        <v>0.88</v>
      </c>
      <c r="T75" s="79">
        <v>0.7</v>
      </c>
      <c r="U75" s="85"/>
      <c r="V75" s="79"/>
      <c r="W75" s="79"/>
      <c r="X75" s="116"/>
      <c r="Y75" s="116"/>
      <c r="Z75" s="122"/>
      <c r="AA75" s="116"/>
      <c r="AB75" s="122">
        <v>6.9</v>
      </c>
      <c r="AC75" s="122">
        <v>6.3</v>
      </c>
      <c r="AD75" s="10">
        <v>0.1</v>
      </c>
      <c r="AE75" s="79">
        <v>0.92</v>
      </c>
      <c r="AF75" s="79"/>
      <c r="AG75" s="79"/>
      <c r="AH75" s="79"/>
      <c r="AI75" s="116"/>
      <c r="AJ75" s="116"/>
      <c r="AK75" s="79"/>
      <c r="AL75" s="79"/>
      <c r="AM75" s="122">
        <v>6.8</v>
      </c>
      <c r="AN75" s="122">
        <v>6.8</v>
      </c>
      <c r="AO75" s="79">
        <v>0.08</v>
      </c>
      <c r="AP75" s="127">
        <v>1.46</v>
      </c>
      <c r="AQ75" s="132">
        <f t="shared" si="4"/>
        <v>2228</v>
      </c>
      <c r="AR75" s="134">
        <f t="shared" si="5"/>
        <v>0.70736086175942547</v>
      </c>
      <c r="AS75" s="134">
        <f t="shared" si="6"/>
        <v>3.7253141831238776E-2</v>
      </c>
      <c r="AT75" s="134">
        <f t="shared" si="7"/>
        <v>0.25538599640933574</v>
      </c>
      <c r="AU75" s="43" t="str">
        <f>IF(AND(F75&lt;&gt;"",Y75&lt;&gt;""),AA75/(F75/2/Y75),"")</f>
        <v/>
      </c>
      <c r="AV75" s="43" t="str">
        <f>IF(AND(F75&lt;&gt;"",AJ75&lt;&gt;""),AL75/(F75/2/AJ75),"")</f>
        <v/>
      </c>
      <c r="AW75" s="41">
        <f>IF(AND(AP75&lt;&gt;"",1-(AP75/N75)&gt;0),1-(AP75/N75),"")</f>
        <v>0.66046511627906979</v>
      </c>
      <c r="AX75" s="41">
        <f>IF(AND(AE75&lt;&gt;"",1-(AE75/N75)&gt;0),1-(AE75/N75),"")</f>
        <v>0.78604651162790695</v>
      </c>
      <c r="AY75" s="136" t="str">
        <f>IF(P75="","",IF(P75&lt;2.5,"Alc. Bruta &lt; 2,5 mg/L",IF(P75&lt;5,"2,5 ≤ Alc. Bruta &lt; 5,0 mg/L",IF(P75&lt;7.5,"5,0 ≤ Alc. Bruta &lt; 7,5 mg/L",IF(P75&lt;10,"7,5 ≤ Alc. Bruta &lt; 10,0 mg/L",IF(P75&lt;15,"10,0 ≤ Alca. Bruta &lt; 15,0 mg/L","Alc. Bruta &gt; 15 mg/L"))))))</f>
        <v>5,0 ≤ Alc. Bruta &lt; 7,5 mg/L</v>
      </c>
      <c r="AZ75" s="136" t="str">
        <f>IF(O75="","",IF(O75&lt;5,"Cor &lt;5 uC",IF(O75&lt;10,"5 ≤ Cor &lt; 10 uC",IF(O75&lt;15,"10 ≤ Cor &lt;15 uC",IF(O75&lt;30,"15 ≤ Cor &lt; 30 uC",IF(O75&lt;50,"30 ≤ Cor &lt; 50 uC","Cor &gt; 50 uC"))))))</f>
        <v>15 ≤ Cor &lt; 30 uC</v>
      </c>
      <c r="BA75" s="137" t="str">
        <f>IF(N75="","",IF(N75&lt;2.5,"Turbidez &lt; 2,5 uT",IF(N75&lt;5,"2,5 ≤ Turb &lt; 5,0 uT",IF(N75&lt;7.5,"5,0 ≤ Turb &lt; 7,5 uT",IF(N75&lt;10,"7,5 ≤ Turb &lt; 10,0 uT",IF(N75&lt;15,"10,0 ≤ Turb &lt; 15,0 uT","Turb &gt; 15 uT"))))))</f>
        <v>2,5 ≤ Turb &lt; 5,0 uT</v>
      </c>
      <c r="BB75" s="138" t="str">
        <f>IF(AND(C75&gt;D75,D75&gt;E75),"TOR &gt; SM &gt; BNN",IF(AND(C75&gt;E75,E75&gt;D75),"TOR &gt; BNN &gt; SM",IF(AND(D75&gt;C75,C75&gt;E75),"SM &gt; TOR &gt; BNN",IF(AND(D75&gt;E75,E75&gt;C75),"SM &gt; BNN &gt; TOR",IF(AND(C75=D75,D75=E75),"TOR = SM = BNN","Comb. diferentes")))))</f>
        <v>TOR &gt; BNN &gt; SM</v>
      </c>
      <c r="BC75" s="137" t="str">
        <f>IF(OR(AD75="",AP75="-"),"",IF(AD75&lt;=0.25,"Tipo 1 (≤0,25) uT",IF(AD75&lt;=0.5,"Tipo 2 (0,25-0,50) uT",IF(AD75&lt;=0.75,"Tipo 3 (0,50-0,75) uT","Tipo 4 (&gt;0,75) uT"))))</f>
        <v>Tipo 1 (≤0,25) uT</v>
      </c>
      <c r="BD75" s="137" t="str">
        <f>IF(OR(AO75="",AY75="-"),"",IF(AO75&lt;=0.25,"Tipo 1 (≤0,25) uT",IF(AO75&lt;=0.5,"Tipo 2 (0,25-0,50) uT",IF(AO75&lt;=0.75,"Tipo 3 (0,50-0,75) uT","Tipo 4 (&gt;0,75) uT"))))</f>
        <v>Tipo 1 (≤0,25) uT</v>
      </c>
      <c r="BE75" s="137" t="str">
        <f>IF(OR(AE75="",AP75="-"),"",IF(AE75&lt;=0.25,"Tipo 1 (≤0,25) uT",IF(AE75&lt;=0.5,"Tipo 2 (0,25-0,50) uT",IF(AE75&lt;=0.75,"Tipo 3 (0,50-0,75) uT","Tipo 4 (&gt;0,75) uT"))))</f>
        <v>Tipo 4 (&gt;0,75) uT</v>
      </c>
      <c r="BF75" s="137" t="str">
        <f>IF(OR(AP75="",AP75="-"),"",IF(AP75&lt;=0.25,"Tipo 1 (≤0,25) uT",IF(AP75&lt;=0.5,"Tipo 2 (0,25-0,50) uT",IF(AP75&lt;=0.75,"Tipo 3 (0,50-0,75) uT","Tipo 4 (&gt;0,75) uT"))))</f>
        <v>Tipo 4 (&gt;0,75) uT</v>
      </c>
      <c r="BG75" s="137" t="str">
        <f>IF(OR(Q75="",Q75="-"),"",IF(Q75&lt;=0.25,"Tipo 1 (≤0,25) uT",IF(Q75&lt;=0.5,"Tipo 2 (0,25-0,50) uT",IF(Q75&lt;=0.75,"Tipo 3 (0,50-0,75) uT","Tipo 4 (&gt;0,75) uT"))))</f>
        <v>Tipo 2 (0,25-0,50) uT</v>
      </c>
    </row>
    <row r="76" spans="1:59" x14ac:dyDescent="0.3">
      <c r="A76" s="26">
        <v>46135</v>
      </c>
      <c r="B76" s="107">
        <v>0.14583333333333334</v>
      </c>
      <c r="C76" s="116">
        <v>1120</v>
      </c>
      <c r="D76" s="116">
        <v>83</v>
      </c>
      <c r="E76" s="116">
        <v>579</v>
      </c>
      <c r="F76" s="116">
        <v>1970</v>
      </c>
      <c r="G76" s="10" t="s">
        <v>34</v>
      </c>
      <c r="H76" s="122">
        <v>3.4</v>
      </c>
      <c r="I76" s="116">
        <v>90</v>
      </c>
      <c r="J76" s="116">
        <v>90</v>
      </c>
      <c r="K76" s="116">
        <v>90</v>
      </c>
      <c r="L76" s="122">
        <v>23.7</v>
      </c>
      <c r="M76" s="122">
        <v>6.4</v>
      </c>
      <c r="N76" s="79">
        <v>3.53</v>
      </c>
      <c r="O76" s="116">
        <v>15</v>
      </c>
      <c r="P76" s="122">
        <v>6.3</v>
      </c>
      <c r="Q76" s="79">
        <v>0.35</v>
      </c>
      <c r="R76" s="79">
        <v>22.36</v>
      </c>
      <c r="S76" s="79">
        <v>0.88</v>
      </c>
      <c r="T76" s="79">
        <v>0.7</v>
      </c>
      <c r="U76" s="85"/>
      <c r="V76" s="79"/>
      <c r="W76" s="79"/>
      <c r="X76" s="116"/>
      <c r="Y76" s="116"/>
      <c r="Z76" s="122"/>
      <c r="AA76" s="116"/>
      <c r="AB76" s="122">
        <v>6.8</v>
      </c>
      <c r="AC76" s="122">
        <v>6.5</v>
      </c>
      <c r="AD76" s="10">
        <v>0.13</v>
      </c>
      <c r="AE76" s="79">
        <v>0.76</v>
      </c>
      <c r="AF76" s="79"/>
      <c r="AG76" s="79"/>
      <c r="AH76" s="79"/>
      <c r="AI76" s="116"/>
      <c r="AJ76" s="116"/>
      <c r="AK76" s="79"/>
      <c r="AL76" s="79"/>
      <c r="AM76" s="122">
        <v>6.8</v>
      </c>
      <c r="AN76" s="122">
        <v>6.5</v>
      </c>
      <c r="AO76" s="79">
        <v>0.14000000000000001</v>
      </c>
      <c r="AP76" s="127">
        <v>1.1299999999999999</v>
      </c>
      <c r="AQ76" s="132">
        <f t="shared" si="4"/>
        <v>1782</v>
      </c>
      <c r="AR76" s="134">
        <f t="shared" si="5"/>
        <v>0.62850729517396187</v>
      </c>
      <c r="AS76" s="134">
        <f t="shared" si="6"/>
        <v>4.6576879910213247E-2</v>
      </c>
      <c r="AT76" s="134">
        <f t="shared" si="7"/>
        <v>0.32491582491582494</v>
      </c>
      <c r="AU76" s="43" t="str">
        <f>IF(AND(F76&lt;&gt;"",Y76&lt;&gt;""),AA76/(F76/2/Y76),"")</f>
        <v/>
      </c>
      <c r="AV76" s="43" t="str">
        <f>IF(AND(F76&lt;&gt;"",AJ76&lt;&gt;""),AL76/(F76/2/AJ76),"")</f>
        <v/>
      </c>
      <c r="AW76" s="41">
        <f>IF(AND(AP76&lt;&gt;"",1-(AP76/N76)&gt;0),1-(AP76/N76),"")</f>
        <v>0.67988668555240794</v>
      </c>
      <c r="AX76" s="41">
        <f>IF(AND(AE76&lt;&gt;"",1-(AE76/N76)&gt;0),1-(AE76/N76),"")</f>
        <v>0.7847025495750708</v>
      </c>
      <c r="AY76" s="136" t="str">
        <f>IF(P76="","",IF(P76&lt;2.5,"Alc. Bruta &lt; 2,5 mg/L",IF(P76&lt;5,"2,5 ≤ Alc. Bruta &lt; 5,0 mg/L",IF(P76&lt;7.5,"5,0 ≤ Alc. Bruta &lt; 7,5 mg/L",IF(P76&lt;10,"7,5 ≤ Alc. Bruta &lt; 10,0 mg/L",IF(P76&lt;15,"10,0 ≤ Alca. Bruta &lt; 15,0 mg/L","Alc. Bruta &gt; 15 mg/L"))))))</f>
        <v>5,0 ≤ Alc. Bruta &lt; 7,5 mg/L</v>
      </c>
      <c r="AZ76" s="136" t="str">
        <f>IF(O76="","",IF(O76&lt;5,"Cor &lt;5 uC",IF(O76&lt;10,"5 ≤ Cor &lt; 10 uC",IF(O76&lt;15,"10 ≤ Cor &lt;15 uC",IF(O76&lt;30,"15 ≤ Cor &lt; 30 uC",IF(O76&lt;50,"30 ≤ Cor &lt; 50 uC","Cor &gt; 50 uC"))))))</f>
        <v>15 ≤ Cor &lt; 30 uC</v>
      </c>
      <c r="BA76" s="137" t="str">
        <f>IF(N76="","",IF(N76&lt;2.5,"Turbidez &lt; 2,5 uT",IF(N76&lt;5,"2,5 ≤ Turb &lt; 5,0 uT",IF(N76&lt;7.5,"5,0 ≤ Turb &lt; 7,5 uT",IF(N76&lt;10,"7,5 ≤ Turb &lt; 10,0 uT",IF(N76&lt;15,"10,0 ≤ Turb &lt; 15,0 uT","Turb &gt; 15 uT"))))))</f>
        <v>2,5 ≤ Turb &lt; 5,0 uT</v>
      </c>
      <c r="BB76" s="138" t="str">
        <f>IF(AND(C76&gt;D76,D76&gt;E76),"TOR &gt; SM &gt; BNN",IF(AND(C76&gt;E76,E76&gt;D76),"TOR &gt; BNN &gt; SM",IF(AND(D76&gt;C76,C76&gt;E76),"SM &gt; TOR &gt; BNN",IF(AND(D76&gt;E76,E76&gt;C76),"SM &gt; BNN &gt; TOR",IF(AND(C76=D76,D76=E76),"TOR = SM = BNN","Comb. diferentes")))))</f>
        <v>TOR &gt; BNN &gt; SM</v>
      </c>
      <c r="BC76" s="137" t="str">
        <f>IF(OR(AD76="",AP76="-"),"",IF(AD76&lt;=0.25,"Tipo 1 (≤0,25) uT",IF(AD76&lt;=0.5,"Tipo 2 (0,25-0,50) uT",IF(AD76&lt;=0.75,"Tipo 3 (0,50-0,75) uT","Tipo 4 (&gt;0,75) uT"))))</f>
        <v>Tipo 1 (≤0,25) uT</v>
      </c>
      <c r="BD76" s="137" t="str">
        <f>IF(OR(AO76="",AY76="-"),"",IF(AO76&lt;=0.25,"Tipo 1 (≤0,25) uT",IF(AO76&lt;=0.5,"Tipo 2 (0,25-0,50) uT",IF(AO76&lt;=0.75,"Tipo 3 (0,50-0,75) uT","Tipo 4 (&gt;0,75) uT"))))</f>
        <v>Tipo 1 (≤0,25) uT</v>
      </c>
      <c r="BE76" s="137" t="str">
        <f>IF(OR(AE76="",AP76="-"),"",IF(AE76&lt;=0.25,"Tipo 1 (≤0,25) uT",IF(AE76&lt;=0.5,"Tipo 2 (0,25-0,50) uT",IF(AE76&lt;=0.75,"Tipo 3 (0,50-0,75) uT","Tipo 4 (&gt;0,75) uT"))))</f>
        <v>Tipo 4 (&gt;0,75) uT</v>
      </c>
      <c r="BF76" s="137" t="str">
        <f>IF(OR(AP76="",AP76="-"),"",IF(AP76&lt;=0.25,"Tipo 1 (≤0,25) uT",IF(AP76&lt;=0.5,"Tipo 2 (0,25-0,50) uT",IF(AP76&lt;=0.75,"Tipo 3 (0,50-0,75) uT","Tipo 4 (&gt;0,75) uT"))))</f>
        <v>Tipo 4 (&gt;0,75) uT</v>
      </c>
      <c r="BG76" s="137" t="str">
        <f>IF(OR(Q76="",Q76="-"),"",IF(Q76&lt;=0.25,"Tipo 1 (≤0,25) uT",IF(Q76&lt;=0.5,"Tipo 2 (0,25-0,50) uT",IF(Q76&lt;=0.75,"Tipo 3 (0,50-0,75) uT","Tipo 4 (&gt;0,75) uT"))))</f>
        <v>Tipo 2 (0,25-0,50) uT</v>
      </c>
    </row>
    <row r="77" spans="1:59" ht="15" thickBot="1" x14ac:dyDescent="0.35">
      <c r="A77" s="26">
        <v>46135</v>
      </c>
      <c r="B77" s="110">
        <v>0.22916666666666666</v>
      </c>
      <c r="C77" s="117">
        <v>554</v>
      </c>
      <c r="D77" s="117">
        <v>84</v>
      </c>
      <c r="E77" s="117">
        <v>579</v>
      </c>
      <c r="F77" s="117">
        <v>1324</v>
      </c>
      <c r="G77" s="11" t="s">
        <v>34</v>
      </c>
      <c r="H77" s="122">
        <v>3.4</v>
      </c>
      <c r="I77" s="117">
        <v>90</v>
      </c>
      <c r="J77" s="117">
        <v>90</v>
      </c>
      <c r="K77" s="117">
        <v>90</v>
      </c>
      <c r="L77" s="123">
        <v>23.4</v>
      </c>
      <c r="M77" s="123">
        <v>6.8</v>
      </c>
      <c r="N77" s="80">
        <v>3.71</v>
      </c>
      <c r="O77" s="117">
        <v>16</v>
      </c>
      <c r="P77" s="123">
        <v>6.8</v>
      </c>
      <c r="Q77" s="80">
        <v>0.4</v>
      </c>
      <c r="R77" s="79">
        <v>22.36</v>
      </c>
      <c r="S77" s="79">
        <v>0.88</v>
      </c>
      <c r="T77" s="79">
        <v>0.7</v>
      </c>
      <c r="U77" s="85"/>
      <c r="V77" s="84"/>
      <c r="W77" s="80"/>
      <c r="X77" s="117"/>
      <c r="Y77" s="117"/>
      <c r="Z77" s="123"/>
      <c r="AA77" s="117"/>
      <c r="AB77" s="123">
        <v>6.8</v>
      </c>
      <c r="AC77" s="123">
        <v>7.2</v>
      </c>
      <c r="AD77" s="11">
        <v>0.11</v>
      </c>
      <c r="AE77" s="80">
        <v>1.21</v>
      </c>
      <c r="AF77" s="80"/>
      <c r="AG77" s="80"/>
      <c r="AH77" s="80"/>
      <c r="AI77" s="117"/>
      <c r="AJ77" s="117"/>
      <c r="AK77" s="80"/>
      <c r="AL77" s="80"/>
      <c r="AM77" s="123">
        <v>6.8</v>
      </c>
      <c r="AN77" s="123">
        <v>6.8</v>
      </c>
      <c r="AO77" s="80">
        <v>0.08</v>
      </c>
      <c r="AP77" s="128">
        <v>1.5</v>
      </c>
      <c r="AQ77" s="132">
        <f t="shared" si="4"/>
        <v>1217</v>
      </c>
      <c r="AR77" s="134">
        <f t="shared" si="5"/>
        <v>0.45521774856203778</v>
      </c>
      <c r="AS77" s="134">
        <f t="shared" si="6"/>
        <v>6.9022185702547242E-2</v>
      </c>
      <c r="AT77" s="134">
        <f t="shared" si="7"/>
        <v>0.47576006573541496</v>
      </c>
      <c r="AU77" s="43" t="str">
        <f>IF(AND(F77&lt;&gt;"",Y77&lt;&gt;""),AA77/(F77/2/Y77),"")</f>
        <v/>
      </c>
      <c r="AV77" s="43" t="str">
        <f>IF(AND(F77&lt;&gt;"",AJ77&lt;&gt;""),AL77/(F77/2/AJ77),"")</f>
        <v/>
      </c>
      <c r="AW77" s="41">
        <f>IF(AND(AP77&lt;&gt;"",1-(AP77/N77)&gt;0),1-(AP77/N77),"")</f>
        <v>0.5956873315363882</v>
      </c>
      <c r="AX77" s="41">
        <f>IF(AND(AE77&lt;&gt;"",1-(AE77/N77)&gt;0),1-(AE77/N77),"")</f>
        <v>0.67385444743935308</v>
      </c>
      <c r="AY77" s="136" t="str">
        <f>IF(P77="","",IF(P77&lt;2.5,"Alc. Bruta &lt; 2,5 mg/L",IF(P77&lt;5,"2,5 ≤ Alc. Bruta &lt; 5,0 mg/L",IF(P77&lt;7.5,"5,0 ≤ Alc. Bruta &lt; 7,5 mg/L",IF(P77&lt;10,"7,5 ≤ Alc. Bruta &lt; 10,0 mg/L",IF(P77&lt;15,"10,0 ≤ Alca. Bruta &lt; 15,0 mg/L","Alc. Bruta &gt; 15 mg/L"))))))</f>
        <v>5,0 ≤ Alc. Bruta &lt; 7,5 mg/L</v>
      </c>
      <c r="AZ77" s="136" t="str">
        <f>IF(O77="","",IF(O77&lt;5,"Cor &lt;5 uC",IF(O77&lt;10,"5 ≤ Cor &lt; 10 uC",IF(O77&lt;15,"10 ≤ Cor &lt;15 uC",IF(O77&lt;30,"15 ≤ Cor &lt; 30 uC",IF(O77&lt;50,"30 ≤ Cor &lt; 50 uC","Cor &gt; 50 uC"))))))</f>
        <v>15 ≤ Cor &lt; 30 uC</v>
      </c>
      <c r="BA77" s="137" t="str">
        <f>IF(N77="","",IF(N77&lt;2.5,"Turbidez &lt; 2,5 uT",IF(N77&lt;5,"2,5 ≤ Turb &lt; 5,0 uT",IF(N77&lt;7.5,"5,0 ≤ Turb &lt; 7,5 uT",IF(N77&lt;10,"7,5 ≤ Turb &lt; 10,0 uT",IF(N77&lt;15,"10,0 ≤ Turb &lt; 15,0 uT","Turb &gt; 15 uT"))))))</f>
        <v>2,5 ≤ Turb &lt; 5,0 uT</v>
      </c>
      <c r="BB77" s="138" t="str">
        <f>IF(AND(C77&gt;D77,D77&gt;E77),"TOR &gt; SM &gt; BNN",IF(AND(C77&gt;E77,E77&gt;D77),"TOR &gt; BNN &gt; SM",IF(AND(D77&gt;C77,C77&gt;E77),"SM &gt; TOR &gt; BNN",IF(AND(D77&gt;E77,E77&gt;C77),"SM &gt; BNN &gt; TOR",IF(AND(C77=D77,D77=E77),"TOR = SM = BNN","Comb. diferentes")))))</f>
        <v>Comb. diferentes</v>
      </c>
      <c r="BC77" s="137" t="str">
        <f>IF(OR(AD77="",AP77="-"),"",IF(AD77&lt;=0.25,"Tipo 1 (≤0,25) uT",IF(AD77&lt;=0.5,"Tipo 2 (0,25-0,50) uT",IF(AD77&lt;=0.75,"Tipo 3 (0,50-0,75) uT","Tipo 4 (&gt;0,75) uT"))))</f>
        <v>Tipo 1 (≤0,25) uT</v>
      </c>
      <c r="BD77" s="137" t="str">
        <f>IF(OR(AO77="",AY77="-"),"",IF(AO77&lt;=0.25,"Tipo 1 (≤0,25) uT",IF(AO77&lt;=0.5,"Tipo 2 (0,25-0,50) uT",IF(AO77&lt;=0.75,"Tipo 3 (0,50-0,75) uT","Tipo 4 (&gt;0,75) uT"))))</f>
        <v>Tipo 1 (≤0,25) uT</v>
      </c>
      <c r="BE77" s="137" t="str">
        <f>IF(OR(AE77="",AP77="-"),"",IF(AE77&lt;=0.25,"Tipo 1 (≤0,25) uT",IF(AE77&lt;=0.5,"Tipo 2 (0,25-0,50) uT",IF(AE77&lt;=0.75,"Tipo 3 (0,50-0,75) uT","Tipo 4 (&gt;0,75) uT"))))</f>
        <v>Tipo 4 (&gt;0,75) uT</v>
      </c>
      <c r="BF77" s="137" t="str">
        <f>IF(OR(AP77="",AP77="-"),"",IF(AP77&lt;=0.25,"Tipo 1 (≤0,25) uT",IF(AP77&lt;=0.5,"Tipo 2 (0,25-0,50) uT",IF(AP77&lt;=0.75,"Tipo 3 (0,50-0,75) uT","Tipo 4 (&gt;0,75) uT"))))</f>
        <v>Tipo 4 (&gt;0,75) uT</v>
      </c>
      <c r="BG77" s="137" t="str">
        <f>IF(OR(Q77="",Q77="-"),"",IF(Q77&lt;=0.25,"Tipo 1 (≤0,25) uT",IF(Q77&lt;=0.5,"Tipo 2 (0,25-0,50) uT",IF(Q77&lt;=0.75,"Tipo 3 (0,50-0,75) uT","Tipo 4 (&gt;0,75) uT"))))</f>
        <v>Tipo 2 (0,25-0,50) uT</v>
      </c>
    </row>
    <row r="78" spans="1:59" x14ac:dyDescent="0.3">
      <c r="A78" s="26">
        <v>46135</v>
      </c>
      <c r="B78" s="111">
        <v>0.3125</v>
      </c>
      <c r="C78" s="118">
        <v>576</v>
      </c>
      <c r="D78" s="116">
        <v>88</v>
      </c>
      <c r="E78" s="118">
        <v>580</v>
      </c>
      <c r="F78" s="118">
        <v>1275</v>
      </c>
      <c r="G78" s="9" t="s">
        <v>34</v>
      </c>
      <c r="H78" s="124">
        <v>3.6</v>
      </c>
      <c r="I78" s="118">
        <v>90</v>
      </c>
      <c r="J78" s="118">
        <v>90</v>
      </c>
      <c r="K78" s="118">
        <v>90</v>
      </c>
      <c r="L78" s="124">
        <v>22.8</v>
      </c>
      <c r="M78" s="124">
        <v>6.7</v>
      </c>
      <c r="N78" s="81">
        <v>4.8600000000000003</v>
      </c>
      <c r="O78" s="118">
        <v>18</v>
      </c>
      <c r="P78" s="124">
        <v>8.6999999999999993</v>
      </c>
      <c r="Q78" s="81">
        <v>0.39</v>
      </c>
      <c r="R78" s="79">
        <v>22.36</v>
      </c>
      <c r="S78" s="79">
        <v>0.88</v>
      </c>
      <c r="T78" s="79">
        <v>0.7</v>
      </c>
      <c r="U78" s="85"/>
      <c r="V78" s="82"/>
      <c r="W78" s="81"/>
      <c r="X78" s="118"/>
      <c r="Y78" s="118"/>
      <c r="Z78" s="124"/>
      <c r="AA78" s="118"/>
      <c r="AB78" s="124">
        <v>6.7</v>
      </c>
      <c r="AC78" s="124">
        <v>9.1</v>
      </c>
      <c r="AD78" s="9">
        <v>0.28999999999999998</v>
      </c>
      <c r="AE78" s="81">
        <v>1.32</v>
      </c>
      <c r="AF78" s="81"/>
      <c r="AG78" s="81"/>
      <c r="AH78" s="81"/>
      <c r="AI78" s="118"/>
      <c r="AJ78" s="118"/>
      <c r="AK78" s="81"/>
      <c r="AL78" s="81"/>
      <c r="AM78" s="124">
        <v>6.6</v>
      </c>
      <c r="AN78" s="124">
        <v>8.9</v>
      </c>
      <c r="AO78" s="81">
        <v>0.18</v>
      </c>
      <c r="AP78" s="129">
        <v>1.27</v>
      </c>
      <c r="AQ78" s="132">
        <f t="shared" si="4"/>
        <v>1244</v>
      </c>
      <c r="AR78" s="134">
        <f t="shared" si="5"/>
        <v>0.46302250803858519</v>
      </c>
      <c r="AS78" s="134">
        <f t="shared" si="6"/>
        <v>7.0739549839228297E-2</v>
      </c>
      <c r="AT78" s="134">
        <f t="shared" si="7"/>
        <v>0.4662379421221865</v>
      </c>
      <c r="AU78" s="43" t="str">
        <f>IF(AND(F78&lt;&gt;"",Y78&lt;&gt;""),AA78/(F78/2/Y78),"")</f>
        <v/>
      </c>
      <c r="AV78" s="43" t="str">
        <f>IF(AND(F78&lt;&gt;"",AJ78&lt;&gt;""),AL78/(F78/2/AJ78),"")</f>
        <v/>
      </c>
      <c r="AW78" s="41">
        <f>IF(AND(AP78&lt;&gt;"",1-(AP78/N78)&gt;0),1-(AP78/N78),"")</f>
        <v>0.73868312757201648</v>
      </c>
      <c r="AX78" s="41">
        <f>IF(AND(AE78&lt;&gt;"",1-(AE78/N78)&gt;0),1-(AE78/N78),"")</f>
        <v>0.72839506172839508</v>
      </c>
      <c r="AY78" s="136" t="str">
        <f>IF(P78="","",IF(P78&lt;2.5,"Alc. Bruta &lt; 2,5 mg/L",IF(P78&lt;5,"2,5 ≤ Alc. Bruta &lt; 5,0 mg/L",IF(P78&lt;7.5,"5,0 ≤ Alc. Bruta &lt; 7,5 mg/L",IF(P78&lt;10,"7,5 ≤ Alc. Bruta &lt; 10,0 mg/L",IF(P78&lt;15,"10,0 ≤ Alca. Bruta &lt; 15,0 mg/L","Alc. Bruta &gt; 15 mg/L"))))))</f>
        <v>7,5 ≤ Alc. Bruta &lt; 10,0 mg/L</v>
      </c>
      <c r="AZ78" s="136" t="str">
        <f>IF(O78="","",IF(O78&lt;5,"Cor &lt;5 uC",IF(O78&lt;10,"5 ≤ Cor &lt; 10 uC",IF(O78&lt;15,"10 ≤ Cor &lt;15 uC",IF(O78&lt;30,"15 ≤ Cor &lt; 30 uC",IF(O78&lt;50,"30 ≤ Cor &lt; 50 uC","Cor &gt; 50 uC"))))))</f>
        <v>15 ≤ Cor &lt; 30 uC</v>
      </c>
      <c r="BA78" s="137" t="str">
        <f>IF(N78="","",IF(N78&lt;2.5,"Turbidez &lt; 2,5 uT",IF(N78&lt;5,"2,5 ≤ Turb &lt; 5,0 uT",IF(N78&lt;7.5,"5,0 ≤ Turb &lt; 7,5 uT",IF(N78&lt;10,"7,5 ≤ Turb &lt; 10,0 uT",IF(N78&lt;15,"10,0 ≤ Turb &lt; 15,0 uT","Turb &gt; 15 uT"))))))</f>
        <v>2,5 ≤ Turb &lt; 5,0 uT</v>
      </c>
      <c r="BB78" s="138" t="str">
        <f>IF(AND(C78&gt;D78,D78&gt;E78),"TOR &gt; SM &gt; BNN",IF(AND(C78&gt;E78,E78&gt;D78),"TOR &gt; BNN &gt; SM",IF(AND(D78&gt;C78,C78&gt;E78),"SM &gt; TOR &gt; BNN",IF(AND(D78&gt;E78,E78&gt;C78),"SM &gt; BNN &gt; TOR",IF(AND(C78=D78,D78=E78),"TOR = SM = BNN","Comb. diferentes")))))</f>
        <v>Comb. diferentes</v>
      </c>
      <c r="BC78" s="137" t="str">
        <f>IF(OR(AD78="",AP78="-"),"",IF(AD78&lt;=0.25,"Tipo 1 (≤0,25) uT",IF(AD78&lt;=0.5,"Tipo 2 (0,25-0,50) uT",IF(AD78&lt;=0.75,"Tipo 3 (0,50-0,75) uT","Tipo 4 (&gt;0,75) uT"))))</f>
        <v>Tipo 2 (0,25-0,50) uT</v>
      </c>
      <c r="BD78" s="137" t="str">
        <f>IF(OR(AO78="",AY78="-"),"",IF(AO78&lt;=0.25,"Tipo 1 (≤0,25) uT",IF(AO78&lt;=0.5,"Tipo 2 (0,25-0,50) uT",IF(AO78&lt;=0.75,"Tipo 3 (0,50-0,75) uT","Tipo 4 (&gt;0,75) uT"))))</f>
        <v>Tipo 1 (≤0,25) uT</v>
      </c>
      <c r="BE78" s="137" t="str">
        <f>IF(OR(AE78="",AP78="-"),"",IF(AE78&lt;=0.25,"Tipo 1 (≤0,25) uT",IF(AE78&lt;=0.5,"Tipo 2 (0,25-0,50) uT",IF(AE78&lt;=0.75,"Tipo 3 (0,50-0,75) uT","Tipo 4 (&gt;0,75) uT"))))</f>
        <v>Tipo 4 (&gt;0,75) uT</v>
      </c>
      <c r="BF78" s="137" t="str">
        <f>IF(OR(AP78="",AP78="-"),"",IF(AP78&lt;=0.25,"Tipo 1 (≤0,25) uT",IF(AP78&lt;=0.5,"Tipo 2 (0,25-0,50) uT",IF(AP78&lt;=0.75,"Tipo 3 (0,50-0,75) uT","Tipo 4 (&gt;0,75) uT"))))</f>
        <v>Tipo 4 (&gt;0,75) uT</v>
      </c>
      <c r="BG78" s="137" t="str">
        <f>IF(OR(Q78="",Q78="-"),"",IF(Q78&lt;=0.25,"Tipo 1 (≤0,25) uT",IF(Q78&lt;=0.5,"Tipo 2 (0,25-0,50) uT",IF(Q78&lt;=0.75,"Tipo 3 (0,50-0,75) uT","Tipo 4 (&gt;0,75) uT"))))</f>
        <v>Tipo 2 (0,25-0,50) uT</v>
      </c>
    </row>
    <row r="79" spans="1:59" x14ac:dyDescent="0.3">
      <c r="A79" s="26">
        <v>46135</v>
      </c>
      <c r="B79" s="107">
        <v>0.39583333333333331</v>
      </c>
      <c r="C79" s="116">
        <v>1221</v>
      </c>
      <c r="D79" s="116">
        <v>89</v>
      </c>
      <c r="E79" s="116">
        <v>578</v>
      </c>
      <c r="F79" s="116">
        <v>1970</v>
      </c>
      <c r="G79" s="10" t="s">
        <v>34</v>
      </c>
      <c r="H79" s="122">
        <v>3.1</v>
      </c>
      <c r="I79" s="116">
        <v>90</v>
      </c>
      <c r="J79" s="116">
        <v>90</v>
      </c>
      <c r="K79" s="116">
        <v>90</v>
      </c>
      <c r="L79" s="122">
        <v>23.5</v>
      </c>
      <c r="M79" s="122">
        <v>6.9</v>
      </c>
      <c r="N79" s="79">
        <v>6.73</v>
      </c>
      <c r="O79" s="116">
        <v>16</v>
      </c>
      <c r="P79" s="122">
        <v>10.6</v>
      </c>
      <c r="Q79" s="79">
        <v>0.47</v>
      </c>
      <c r="R79" s="79">
        <v>22.36</v>
      </c>
      <c r="S79" s="79">
        <v>0.88</v>
      </c>
      <c r="T79" s="79">
        <v>0.7</v>
      </c>
      <c r="U79" s="85"/>
      <c r="V79" s="79"/>
      <c r="W79" s="79"/>
      <c r="X79" s="116"/>
      <c r="Y79" s="116"/>
      <c r="Z79" s="122"/>
      <c r="AA79" s="116"/>
      <c r="AB79" s="122">
        <v>6.9</v>
      </c>
      <c r="AC79" s="122">
        <v>10.5</v>
      </c>
      <c r="AD79" s="10">
        <v>0.17</v>
      </c>
      <c r="AE79" s="79">
        <v>2.75</v>
      </c>
      <c r="AF79" s="79"/>
      <c r="AG79" s="79"/>
      <c r="AH79" s="79"/>
      <c r="AI79" s="116"/>
      <c r="AJ79" s="116"/>
      <c r="AK79" s="79"/>
      <c r="AL79" s="79"/>
      <c r="AM79" s="122">
        <v>6.8</v>
      </c>
      <c r="AN79" s="122">
        <v>9.8000000000000007</v>
      </c>
      <c r="AO79" s="79">
        <v>0.12</v>
      </c>
      <c r="AP79" s="127">
        <v>1.01</v>
      </c>
      <c r="AQ79" s="132">
        <f t="shared" si="4"/>
        <v>1888</v>
      </c>
      <c r="AR79" s="134">
        <f t="shared" si="5"/>
        <v>0.64671610169491522</v>
      </c>
      <c r="AS79" s="134">
        <f t="shared" si="6"/>
        <v>4.7139830508474576E-2</v>
      </c>
      <c r="AT79" s="134">
        <f t="shared" si="7"/>
        <v>0.30614406779661019</v>
      </c>
      <c r="AU79" s="43" t="str">
        <f>IF(AND(F79&lt;&gt;"",Y79&lt;&gt;""),AA79/(F79/2/Y79),"")</f>
        <v/>
      </c>
      <c r="AV79" s="43" t="str">
        <f>IF(AND(F79&lt;&gt;"",AJ79&lt;&gt;""),AL79/(F79/2/AJ79),"")</f>
        <v/>
      </c>
      <c r="AW79" s="41">
        <f>IF(AND(AP79&lt;&gt;"",1-(AP79/N79)&gt;0),1-(AP79/N79),"")</f>
        <v>0.84992570579494797</v>
      </c>
      <c r="AX79" s="41">
        <f>IF(AND(AE79&lt;&gt;"",1-(AE79/N79)&gt;0),1-(AE79/N79),"")</f>
        <v>0.59138187221396732</v>
      </c>
      <c r="AY79" s="136" t="str">
        <f>IF(P79="","",IF(P79&lt;2.5,"Alc. Bruta &lt; 2,5 mg/L",IF(P79&lt;5,"2,5 ≤ Alc. Bruta &lt; 5,0 mg/L",IF(P79&lt;7.5,"5,0 ≤ Alc. Bruta &lt; 7,5 mg/L",IF(P79&lt;10,"7,5 ≤ Alc. Bruta &lt; 10,0 mg/L",IF(P79&lt;15,"10,0 ≤ Alca. Bruta &lt; 15,0 mg/L","Alc. Bruta &gt; 15 mg/L"))))))</f>
        <v>10,0 ≤ Alca. Bruta &lt; 15,0 mg/L</v>
      </c>
      <c r="AZ79" s="136" t="str">
        <f>IF(O79="","",IF(O79&lt;5,"Cor &lt;5 uC",IF(O79&lt;10,"5 ≤ Cor &lt; 10 uC",IF(O79&lt;15,"10 ≤ Cor &lt;15 uC",IF(O79&lt;30,"15 ≤ Cor &lt; 30 uC",IF(O79&lt;50,"30 ≤ Cor &lt; 50 uC","Cor &gt; 50 uC"))))))</f>
        <v>15 ≤ Cor &lt; 30 uC</v>
      </c>
      <c r="BA79" s="137" t="str">
        <f>IF(N79="","",IF(N79&lt;2.5,"Turbidez &lt; 2,5 uT",IF(N79&lt;5,"2,5 ≤ Turb &lt; 5,0 uT",IF(N79&lt;7.5,"5,0 ≤ Turb &lt; 7,5 uT",IF(N79&lt;10,"7,5 ≤ Turb &lt; 10,0 uT",IF(N79&lt;15,"10,0 ≤ Turb &lt; 15,0 uT","Turb &gt; 15 uT"))))))</f>
        <v>5,0 ≤ Turb &lt; 7,5 uT</v>
      </c>
      <c r="BB79" s="138" t="str">
        <f>IF(AND(C79&gt;D79,D79&gt;E79),"TOR &gt; SM &gt; BNN",IF(AND(C79&gt;E79,E79&gt;D79),"TOR &gt; BNN &gt; SM",IF(AND(D79&gt;C79,C79&gt;E79),"SM &gt; TOR &gt; BNN",IF(AND(D79&gt;E79,E79&gt;C79),"SM &gt; BNN &gt; TOR",IF(AND(C79=D79,D79=E79),"TOR = SM = BNN","Comb. diferentes")))))</f>
        <v>TOR &gt; BNN &gt; SM</v>
      </c>
      <c r="BC79" s="137" t="str">
        <f>IF(OR(AD79="",AP79="-"),"",IF(AD79&lt;=0.25,"Tipo 1 (≤0,25) uT",IF(AD79&lt;=0.5,"Tipo 2 (0,25-0,50) uT",IF(AD79&lt;=0.75,"Tipo 3 (0,50-0,75) uT","Tipo 4 (&gt;0,75) uT"))))</f>
        <v>Tipo 1 (≤0,25) uT</v>
      </c>
      <c r="BD79" s="137" t="str">
        <f>IF(OR(AO79="",AY79="-"),"",IF(AO79&lt;=0.25,"Tipo 1 (≤0,25) uT",IF(AO79&lt;=0.5,"Tipo 2 (0,25-0,50) uT",IF(AO79&lt;=0.75,"Tipo 3 (0,50-0,75) uT","Tipo 4 (&gt;0,75) uT"))))</f>
        <v>Tipo 1 (≤0,25) uT</v>
      </c>
      <c r="BE79" s="137" t="str">
        <f>IF(OR(AE79="",AP79="-"),"",IF(AE79&lt;=0.25,"Tipo 1 (≤0,25) uT",IF(AE79&lt;=0.5,"Tipo 2 (0,25-0,50) uT",IF(AE79&lt;=0.75,"Tipo 3 (0,50-0,75) uT","Tipo 4 (&gt;0,75) uT"))))</f>
        <v>Tipo 4 (&gt;0,75) uT</v>
      </c>
      <c r="BF79" s="137" t="str">
        <f>IF(OR(AP79="",AP79="-"),"",IF(AP79&lt;=0.25,"Tipo 1 (≤0,25) uT",IF(AP79&lt;=0.5,"Tipo 2 (0,25-0,50) uT",IF(AP79&lt;=0.75,"Tipo 3 (0,50-0,75) uT","Tipo 4 (&gt;0,75) uT"))))</f>
        <v>Tipo 4 (&gt;0,75) uT</v>
      </c>
      <c r="BG79" s="137" t="str">
        <f>IF(OR(Q79="",Q79="-"),"",IF(Q79&lt;=0.25,"Tipo 1 (≤0,25) uT",IF(Q79&lt;=0.5,"Tipo 2 (0,25-0,50) uT",IF(Q79&lt;=0.75,"Tipo 3 (0,50-0,75) uT","Tipo 4 (&gt;0,75) uT"))))</f>
        <v>Tipo 2 (0,25-0,50) uT</v>
      </c>
    </row>
    <row r="80" spans="1:59" x14ac:dyDescent="0.3">
      <c r="A80" s="26">
        <v>46135</v>
      </c>
      <c r="B80" s="107">
        <v>0.47916666666666669</v>
      </c>
      <c r="C80" s="116">
        <v>1141</v>
      </c>
      <c r="D80" s="116">
        <v>89</v>
      </c>
      <c r="E80" s="116">
        <v>581</v>
      </c>
      <c r="F80" s="116">
        <v>1968</v>
      </c>
      <c r="G80" s="10" t="s">
        <v>34</v>
      </c>
      <c r="H80" s="122">
        <v>3.1</v>
      </c>
      <c r="I80" s="116">
        <v>90</v>
      </c>
      <c r="J80" s="116">
        <v>90</v>
      </c>
      <c r="K80" s="116">
        <v>90</v>
      </c>
      <c r="L80" s="122">
        <v>24.1</v>
      </c>
      <c r="M80" s="122">
        <v>6.9</v>
      </c>
      <c r="N80" s="79">
        <v>3.87</v>
      </c>
      <c r="O80" s="116">
        <v>17</v>
      </c>
      <c r="P80" s="122">
        <v>10.5</v>
      </c>
      <c r="Q80" s="79">
        <v>0.31</v>
      </c>
      <c r="R80" s="79">
        <v>22.36</v>
      </c>
      <c r="S80" s="79">
        <v>0.88</v>
      </c>
      <c r="T80" s="79">
        <v>0.7</v>
      </c>
      <c r="U80" s="85"/>
      <c r="V80" s="79"/>
      <c r="W80" s="79"/>
      <c r="X80" s="116"/>
      <c r="Y80" s="116"/>
      <c r="Z80" s="122"/>
      <c r="AA80" s="116"/>
      <c r="AB80" s="122">
        <v>6.9</v>
      </c>
      <c r="AC80" s="122">
        <v>10</v>
      </c>
      <c r="AD80" s="10">
        <v>0.22</v>
      </c>
      <c r="AE80" s="79">
        <v>0.97</v>
      </c>
      <c r="AF80" s="79"/>
      <c r="AG80" s="79"/>
      <c r="AH80" s="79"/>
      <c r="AI80" s="116"/>
      <c r="AJ80" s="116"/>
      <c r="AK80" s="79"/>
      <c r="AL80" s="79"/>
      <c r="AM80" s="122">
        <v>6.7</v>
      </c>
      <c r="AN80" s="122">
        <v>9.4</v>
      </c>
      <c r="AO80" s="79">
        <v>0.31</v>
      </c>
      <c r="AP80" s="127">
        <v>1.35</v>
      </c>
      <c r="AQ80" s="132">
        <f t="shared" si="4"/>
        <v>1811</v>
      </c>
      <c r="AR80" s="134">
        <f t="shared" si="5"/>
        <v>0.63003865267807846</v>
      </c>
      <c r="AS80" s="134">
        <f t="shared" si="6"/>
        <v>4.9144119271120924E-2</v>
      </c>
      <c r="AT80" s="134">
        <f t="shared" si="7"/>
        <v>0.32081722805080065</v>
      </c>
      <c r="AU80" s="43" t="str">
        <f>IF(AND(F80&lt;&gt;"",Y80&lt;&gt;""),AA80/(F80/2/Y80),"")</f>
        <v/>
      </c>
      <c r="AV80" s="43" t="str">
        <f>IF(AND(F80&lt;&gt;"",AJ80&lt;&gt;""),AL80/(F80/2/AJ80),"")</f>
        <v/>
      </c>
      <c r="AW80" s="41">
        <f>IF(AND(AP80&lt;&gt;"",1-(AP80/N80)&gt;0),1-(AP80/N80),"")</f>
        <v>0.65116279069767447</v>
      </c>
      <c r="AX80" s="41">
        <f>IF(AND(AE80&lt;&gt;"",1-(AE80/N80)&gt;0),1-(AE80/N80),"")</f>
        <v>0.74935400516795869</v>
      </c>
      <c r="AY80" s="136" t="str">
        <f>IF(P80="","",IF(P80&lt;2.5,"Alc. Bruta &lt; 2,5 mg/L",IF(P80&lt;5,"2,5 ≤ Alc. Bruta &lt; 5,0 mg/L",IF(P80&lt;7.5,"5,0 ≤ Alc. Bruta &lt; 7,5 mg/L",IF(P80&lt;10,"7,5 ≤ Alc. Bruta &lt; 10,0 mg/L",IF(P80&lt;15,"10,0 ≤ Alca. Bruta &lt; 15,0 mg/L","Alc. Bruta &gt; 15 mg/L"))))))</f>
        <v>10,0 ≤ Alca. Bruta &lt; 15,0 mg/L</v>
      </c>
      <c r="AZ80" s="136" t="str">
        <f>IF(O80="","",IF(O80&lt;5,"Cor &lt;5 uC",IF(O80&lt;10,"5 ≤ Cor &lt; 10 uC",IF(O80&lt;15,"10 ≤ Cor &lt;15 uC",IF(O80&lt;30,"15 ≤ Cor &lt; 30 uC",IF(O80&lt;50,"30 ≤ Cor &lt; 50 uC","Cor &gt; 50 uC"))))))</f>
        <v>15 ≤ Cor &lt; 30 uC</v>
      </c>
      <c r="BA80" s="137" t="str">
        <f>IF(N80="","",IF(N80&lt;2.5,"Turbidez &lt; 2,5 uT",IF(N80&lt;5,"2,5 ≤ Turb &lt; 5,0 uT",IF(N80&lt;7.5,"5,0 ≤ Turb &lt; 7,5 uT",IF(N80&lt;10,"7,5 ≤ Turb &lt; 10,0 uT",IF(N80&lt;15,"10,0 ≤ Turb &lt; 15,0 uT","Turb &gt; 15 uT"))))))</f>
        <v>2,5 ≤ Turb &lt; 5,0 uT</v>
      </c>
      <c r="BB80" s="138" t="str">
        <f>IF(AND(C80&gt;D80,D80&gt;E80),"TOR &gt; SM &gt; BNN",IF(AND(C80&gt;E80,E80&gt;D80),"TOR &gt; BNN &gt; SM",IF(AND(D80&gt;C80,C80&gt;E80),"SM &gt; TOR &gt; BNN",IF(AND(D80&gt;E80,E80&gt;C80),"SM &gt; BNN &gt; TOR",IF(AND(C80=D80,D80=E80),"TOR = SM = BNN","Comb. diferentes")))))</f>
        <v>TOR &gt; BNN &gt; SM</v>
      </c>
      <c r="BC80" s="137" t="str">
        <f>IF(OR(AD80="",AP80="-"),"",IF(AD80&lt;=0.25,"Tipo 1 (≤0,25) uT",IF(AD80&lt;=0.5,"Tipo 2 (0,25-0,50) uT",IF(AD80&lt;=0.75,"Tipo 3 (0,50-0,75) uT","Tipo 4 (&gt;0,75) uT"))))</f>
        <v>Tipo 1 (≤0,25) uT</v>
      </c>
      <c r="BD80" s="137" t="str">
        <f>IF(OR(AO80="",AY80="-"),"",IF(AO80&lt;=0.25,"Tipo 1 (≤0,25) uT",IF(AO80&lt;=0.5,"Tipo 2 (0,25-0,50) uT",IF(AO80&lt;=0.75,"Tipo 3 (0,50-0,75) uT","Tipo 4 (&gt;0,75) uT"))))</f>
        <v>Tipo 2 (0,25-0,50) uT</v>
      </c>
      <c r="BE80" s="137" t="str">
        <f>IF(OR(AE80="",AP80="-"),"",IF(AE80&lt;=0.25,"Tipo 1 (≤0,25) uT",IF(AE80&lt;=0.5,"Tipo 2 (0,25-0,50) uT",IF(AE80&lt;=0.75,"Tipo 3 (0,50-0,75) uT","Tipo 4 (&gt;0,75) uT"))))</f>
        <v>Tipo 4 (&gt;0,75) uT</v>
      </c>
      <c r="BF80" s="137" t="str">
        <f>IF(OR(AP80="",AP80="-"),"",IF(AP80&lt;=0.25,"Tipo 1 (≤0,25) uT",IF(AP80&lt;=0.5,"Tipo 2 (0,25-0,50) uT",IF(AP80&lt;=0.75,"Tipo 3 (0,50-0,75) uT","Tipo 4 (&gt;0,75) uT"))))</f>
        <v>Tipo 4 (&gt;0,75) uT</v>
      </c>
      <c r="BG80" s="137" t="str">
        <f>IF(OR(Q80="",Q80="-"),"",IF(Q80&lt;=0.25,"Tipo 1 (≤0,25) uT",IF(Q80&lt;=0.5,"Tipo 2 (0,25-0,50) uT",IF(Q80&lt;=0.75,"Tipo 3 (0,50-0,75) uT","Tipo 4 (&gt;0,75) uT"))))</f>
        <v>Tipo 2 (0,25-0,50) uT</v>
      </c>
    </row>
    <row r="81" spans="1:59" x14ac:dyDescent="0.3">
      <c r="A81" s="26">
        <v>46135</v>
      </c>
      <c r="B81" s="107">
        <v>0.64583333333333337</v>
      </c>
      <c r="C81" s="116">
        <v>1503</v>
      </c>
      <c r="D81" s="116">
        <v>82</v>
      </c>
      <c r="E81" s="116">
        <v>540</v>
      </c>
      <c r="F81" s="116">
        <v>2162</v>
      </c>
      <c r="G81" s="10" t="s">
        <v>34</v>
      </c>
      <c r="H81" s="122">
        <v>3.1</v>
      </c>
      <c r="I81" s="116">
        <v>90</v>
      </c>
      <c r="J81" s="116">
        <v>90</v>
      </c>
      <c r="K81" s="116">
        <v>90</v>
      </c>
      <c r="L81" s="122">
        <v>24.1</v>
      </c>
      <c r="M81" s="122">
        <v>6.7</v>
      </c>
      <c r="N81" s="79">
        <v>3.87</v>
      </c>
      <c r="O81" s="116">
        <v>17</v>
      </c>
      <c r="P81" s="122">
        <v>10.5</v>
      </c>
      <c r="Q81" s="79">
        <v>0.28999999999999998</v>
      </c>
      <c r="R81" s="79">
        <v>22.36</v>
      </c>
      <c r="S81" s="79">
        <v>0.88</v>
      </c>
      <c r="T81" s="79">
        <v>0.7</v>
      </c>
      <c r="U81" s="85"/>
      <c r="V81" s="79"/>
      <c r="W81" s="79"/>
      <c r="X81" s="116"/>
      <c r="Y81" s="116"/>
      <c r="Z81" s="122"/>
      <c r="AA81" s="116"/>
      <c r="AB81" s="122">
        <v>6.6</v>
      </c>
      <c r="AC81" s="122">
        <v>6.8</v>
      </c>
      <c r="AD81" s="10">
        <v>0.19</v>
      </c>
      <c r="AE81" s="79">
        <v>0.51</v>
      </c>
      <c r="AF81" s="79"/>
      <c r="AG81" s="79"/>
      <c r="AH81" s="79"/>
      <c r="AI81" s="116"/>
      <c r="AJ81" s="116"/>
      <c r="AK81" s="79"/>
      <c r="AL81" s="79"/>
      <c r="AM81" s="122">
        <v>6.4</v>
      </c>
      <c r="AN81" s="122">
        <v>7.6</v>
      </c>
      <c r="AO81" s="79">
        <v>0.26</v>
      </c>
      <c r="AP81" s="127">
        <v>1.7</v>
      </c>
      <c r="AQ81" s="132">
        <f t="shared" si="4"/>
        <v>2125</v>
      </c>
      <c r="AR81" s="134">
        <f t="shared" si="5"/>
        <v>0.70729411764705885</v>
      </c>
      <c r="AS81" s="134">
        <f t="shared" si="6"/>
        <v>3.8588235294117645E-2</v>
      </c>
      <c r="AT81" s="134">
        <f t="shared" si="7"/>
        <v>0.2541176470588235</v>
      </c>
      <c r="AU81" s="43" t="str">
        <f>IF(AND(F81&lt;&gt;"",Y81&lt;&gt;""),AA81/(F81/2/Y81),"")</f>
        <v/>
      </c>
      <c r="AV81" s="43" t="str">
        <f>IF(AND(F81&lt;&gt;"",AJ81&lt;&gt;""),AL81/(F81/2/AJ81),"")</f>
        <v/>
      </c>
      <c r="AW81" s="41">
        <f>IF(AND(AP81&lt;&gt;"",1-(AP81/N81)&gt;0),1-(AP81/N81),"")</f>
        <v>0.56072351421188626</v>
      </c>
      <c r="AX81" s="41">
        <f>IF(AND(AE81&lt;&gt;"",1-(AE81/N81)&gt;0),1-(AE81/N81),"")</f>
        <v>0.86821705426356588</v>
      </c>
      <c r="AY81" s="136" t="str">
        <f>IF(P81="","",IF(P81&lt;2.5,"Alc. Bruta &lt; 2,5 mg/L",IF(P81&lt;5,"2,5 ≤ Alc. Bruta &lt; 5,0 mg/L",IF(P81&lt;7.5,"5,0 ≤ Alc. Bruta &lt; 7,5 mg/L",IF(P81&lt;10,"7,5 ≤ Alc. Bruta &lt; 10,0 mg/L",IF(P81&lt;15,"10,0 ≤ Alca. Bruta &lt; 15,0 mg/L","Alc. Bruta &gt; 15 mg/L"))))))</f>
        <v>10,0 ≤ Alca. Bruta &lt; 15,0 mg/L</v>
      </c>
      <c r="AZ81" s="136" t="str">
        <f>IF(O81="","",IF(O81&lt;5,"Cor &lt;5 uC",IF(O81&lt;10,"5 ≤ Cor &lt; 10 uC",IF(O81&lt;15,"10 ≤ Cor &lt;15 uC",IF(O81&lt;30,"15 ≤ Cor &lt; 30 uC",IF(O81&lt;50,"30 ≤ Cor &lt; 50 uC","Cor &gt; 50 uC"))))))</f>
        <v>15 ≤ Cor &lt; 30 uC</v>
      </c>
      <c r="BA81" s="137" t="str">
        <f>IF(N81="","",IF(N81&lt;2.5,"Turbidez &lt; 2,5 uT",IF(N81&lt;5,"2,5 ≤ Turb &lt; 5,0 uT",IF(N81&lt;7.5,"5,0 ≤ Turb &lt; 7,5 uT",IF(N81&lt;10,"7,5 ≤ Turb &lt; 10,0 uT",IF(N81&lt;15,"10,0 ≤ Turb &lt; 15,0 uT","Turb &gt; 15 uT"))))))</f>
        <v>2,5 ≤ Turb &lt; 5,0 uT</v>
      </c>
      <c r="BB81" s="138" t="str">
        <f>IF(AND(C81&gt;D81,D81&gt;E81),"TOR &gt; SM &gt; BNN",IF(AND(C81&gt;E81,E81&gt;D81),"TOR &gt; BNN &gt; SM",IF(AND(D81&gt;C81,C81&gt;E81),"SM &gt; TOR &gt; BNN",IF(AND(D81&gt;E81,E81&gt;C81),"SM &gt; BNN &gt; TOR",IF(AND(C81=D81,D81=E81),"TOR = SM = BNN","Comb. diferentes")))))</f>
        <v>TOR &gt; BNN &gt; SM</v>
      </c>
      <c r="BC81" s="137" t="str">
        <f>IF(OR(AD81="",AP81="-"),"",IF(AD81&lt;=0.25,"Tipo 1 (≤0,25) uT",IF(AD81&lt;=0.5,"Tipo 2 (0,25-0,50) uT",IF(AD81&lt;=0.75,"Tipo 3 (0,50-0,75) uT","Tipo 4 (&gt;0,75) uT"))))</f>
        <v>Tipo 1 (≤0,25) uT</v>
      </c>
      <c r="BD81" s="137" t="str">
        <f>IF(OR(AO81="",AY81="-"),"",IF(AO81&lt;=0.25,"Tipo 1 (≤0,25) uT",IF(AO81&lt;=0.5,"Tipo 2 (0,25-0,50) uT",IF(AO81&lt;=0.75,"Tipo 3 (0,50-0,75) uT","Tipo 4 (&gt;0,75) uT"))))</f>
        <v>Tipo 2 (0,25-0,50) uT</v>
      </c>
      <c r="BE81" s="137" t="str">
        <f>IF(OR(AE81="",AP81="-"),"",IF(AE81&lt;=0.25,"Tipo 1 (≤0,25) uT",IF(AE81&lt;=0.5,"Tipo 2 (0,25-0,50) uT",IF(AE81&lt;=0.75,"Tipo 3 (0,50-0,75) uT","Tipo 4 (&gt;0,75) uT"))))</f>
        <v>Tipo 3 (0,50-0,75) uT</v>
      </c>
      <c r="BF81" s="137" t="str">
        <f>IF(OR(AP81="",AP81="-"),"",IF(AP81&lt;=0.25,"Tipo 1 (≤0,25) uT",IF(AP81&lt;=0.5,"Tipo 2 (0,25-0,50) uT",IF(AP81&lt;=0.75,"Tipo 3 (0,50-0,75) uT","Tipo 4 (&gt;0,75) uT"))))</f>
        <v>Tipo 4 (&gt;0,75) uT</v>
      </c>
      <c r="BG81" s="137" t="str">
        <f>IF(OR(Q81="",Q81="-"),"",IF(Q81&lt;=0.25,"Tipo 1 (≤0,25) uT",IF(Q81&lt;=0.5,"Tipo 2 (0,25-0,50) uT",IF(Q81&lt;=0.75,"Tipo 3 (0,50-0,75) uT","Tipo 4 (&gt;0,75) uT"))))</f>
        <v>Tipo 2 (0,25-0,50) uT</v>
      </c>
    </row>
    <row r="82" spans="1:59" x14ac:dyDescent="0.3">
      <c r="A82" s="26">
        <v>46135</v>
      </c>
      <c r="B82" s="107">
        <v>0.72916666666666663</v>
      </c>
      <c r="C82" s="116">
        <v>1571</v>
      </c>
      <c r="D82" s="116">
        <v>82</v>
      </c>
      <c r="E82" s="116">
        <v>540</v>
      </c>
      <c r="F82" s="116">
        <v>2202</v>
      </c>
      <c r="G82" s="10" t="s">
        <v>34</v>
      </c>
      <c r="H82" s="122">
        <v>3.1</v>
      </c>
      <c r="I82" s="116">
        <v>90</v>
      </c>
      <c r="J82" s="116">
        <v>90</v>
      </c>
      <c r="K82" s="116">
        <v>90</v>
      </c>
      <c r="L82" s="122">
        <v>24.7</v>
      </c>
      <c r="M82" s="122">
        <v>6.9</v>
      </c>
      <c r="N82" s="79">
        <v>2.99</v>
      </c>
      <c r="O82" s="116">
        <v>14</v>
      </c>
      <c r="P82" s="122">
        <v>6.5</v>
      </c>
      <c r="Q82" s="79">
        <v>0.32</v>
      </c>
      <c r="R82" s="79">
        <v>22.36</v>
      </c>
      <c r="S82" s="79">
        <v>0.88</v>
      </c>
      <c r="T82" s="79">
        <v>0.7</v>
      </c>
      <c r="U82" s="85"/>
      <c r="V82" s="79"/>
      <c r="W82" s="79"/>
      <c r="X82" s="116"/>
      <c r="Y82" s="116"/>
      <c r="Z82" s="122"/>
      <c r="AA82" s="116"/>
      <c r="AB82" s="122">
        <v>6.9</v>
      </c>
      <c r="AC82" s="122">
        <v>7.6</v>
      </c>
      <c r="AD82" s="10">
        <v>0.16</v>
      </c>
      <c r="AE82" s="79">
        <v>0.65</v>
      </c>
      <c r="AF82" s="79"/>
      <c r="AG82" s="79"/>
      <c r="AH82" s="79"/>
      <c r="AI82" s="116"/>
      <c r="AJ82" s="116"/>
      <c r="AK82" s="79"/>
      <c r="AL82" s="79"/>
      <c r="AM82" s="122">
        <v>6.8</v>
      </c>
      <c r="AN82" s="122">
        <v>7.1</v>
      </c>
      <c r="AO82" s="79">
        <v>0.1</v>
      </c>
      <c r="AP82" s="127">
        <v>0.99</v>
      </c>
      <c r="AQ82" s="132">
        <f t="shared" si="4"/>
        <v>2193</v>
      </c>
      <c r="AR82" s="134">
        <f t="shared" si="5"/>
        <v>0.71637026903784773</v>
      </c>
      <c r="AS82" s="134">
        <f t="shared" si="6"/>
        <v>3.7391700866393068E-2</v>
      </c>
      <c r="AT82" s="134">
        <f t="shared" si="7"/>
        <v>0.24623803009575923</v>
      </c>
      <c r="AU82" s="43" t="str">
        <f>IF(AND(F82&lt;&gt;"",Y82&lt;&gt;""),AA82/(F82/2/Y82),"")</f>
        <v/>
      </c>
      <c r="AV82" s="43" t="str">
        <f>IF(AND(F82&lt;&gt;"",AJ82&lt;&gt;""),AL82/(F82/2/AJ82),"")</f>
        <v/>
      </c>
      <c r="AW82" s="41">
        <f>IF(AND(AP82&lt;&gt;"",1-(AP82/N82)&gt;0),1-(AP82/N82),"")</f>
        <v>0.66889632107023411</v>
      </c>
      <c r="AX82" s="41">
        <f>IF(AND(AE82&lt;&gt;"",1-(AE82/N82)&gt;0),1-(AE82/N82),"")</f>
        <v>0.78260869565217395</v>
      </c>
      <c r="AY82" s="136" t="str">
        <f>IF(P82="","",IF(P82&lt;2.5,"Alc. Bruta &lt; 2,5 mg/L",IF(P82&lt;5,"2,5 ≤ Alc. Bruta &lt; 5,0 mg/L",IF(P82&lt;7.5,"5,0 ≤ Alc. Bruta &lt; 7,5 mg/L",IF(P82&lt;10,"7,5 ≤ Alc. Bruta &lt; 10,0 mg/L",IF(P82&lt;15,"10,0 ≤ Alca. Bruta &lt; 15,0 mg/L","Alc. Bruta &gt; 15 mg/L"))))))</f>
        <v>5,0 ≤ Alc. Bruta &lt; 7,5 mg/L</v>
      </c>
      <c r="AZ82" s="136" t="str">
        <f>IF(O82="","",IF(O82&lt;5,"Cor &lt;5 uC",IF(O82&lt;10,"5 ≤ Cor &lt; 10 uC",IF(O82&lt;15,"10 ≤ Cor &lt;15 uC",IF(O82&lt;30,"15 ≤ Cor &lt; 30 uC",IF(O82&lt;50,"30 ≤ Cor &lt; 50 uC","Cor &gt; 50 uC"))))))</f>
        <v>10 ≤ Cor &lt;15 uC</v>
      </c>
      <c r="BA82" s="137" t="str">
        <f>IF(N82="","",IF(N82&lt;2.5,"Turbidez &lt; 2,5 uT",IF(N82&lt;5,"2,5 ≤ Turb &lt; 5,0 uT",IF(N82&lt;7.5,"5,0 ≤ Turb &lt; 7,5 uT",IF(N82&lt;10,"7,5 ≤ Turb &lt; 10,0 uT",IF(N82&lt;15,"10,0 ≤ Turb &lt; 15,0 uT","Turb &gt; 15 uT"))))))</f>
        <v>2,5 ≤ Turb &lt; 5,0 uT</v>
      </c>
      <c r="BB82" s="138" t="str">
        <f>IF(AND(C82&gt;D82,D82&gt;E82),"TOR &gt; SM &gt; BNN",IF(AND(C82&gt;E82,E82&gt;D82),"TOR &gt; BNN &gt; SM",IF(AND(D82&gt;C82,C82&gt;E82),"SM &gt; TOR &gt; BNN",IF(AND(D82&gt;E82,E82&gt;C82),"SM &gt; BNN &gt; TOR",IF(AND(C82=D82,D82=E82),"TOR = SM = BNN","Comb. diferentes")))))</f>
        <v>TOR &gt; BNN &gt; SM</v>
      </c>
      <c r="BC82" s="137" t="str">
        <f>IF(OR(AD82="",AP82="-"),"",IF(AD82&lt;=0.25,"Tipo 1 (≤0,25) uT",IF(AD82&lt;=0.5,"Tipo 2 (0,25-0,50) uT",IF(AD82&lt;=0.75,"Tipo 3 (0,50-0,75) uT","Tipo 4 (&gt;0,75) uT"))))</f>
        <v>Tipo 1 (≤0,25) uT</v>
      </c>
      <c r="BD82" s="137" t="str">
        <f>IF(OR(AO82="",AY82="-"),"",IF(AO82&lt;=0.25,"Tipo 1 (≤0,25) uT",IF(AO82&lt;=0.5,"Tipo 2 (0,25-0,50) uT",IF(AO82&lt;=0.75,"Tipo 3 (0,50-0,75) uT","Tipo 4 (&gt;0,75) uT"))))</f>
        <v>Tipo 1 (≤0,25) uT</v>
      </c>
      <c r="BE82" s="137" t="str">
        <f>IF(OR(AE82="",AP82="-"),"",IF(AE82&lt;=0.25,"Tipo 1 (≤0,25) uT",IF(AE82&lt;=0.5,"Tipo 2 (0,25-0,50) uT",IF(AE82&lt;=0.75,"Tipo 3 (0,50-0,75) uT","Tipo 4 (&gt;0,75) uT"))))</f>
        <v>Tipo 3 (0,50-0,75) uT</v>
      </c>
      <c r="BF82" s="137" t="str">
        <f>IF(OR(AP82="",AP82="-"),"",IF(AP82&lt;=0.25,"Tipo 1 (≤0,25) uT",IF(AP82&lt;=0.5,"Tipo 2 (0,25-0,50) uT",IF(AP82&lt;=0.75,"Tipo 3 (0,50-0,75) uT","Tipo 4 (&gt;0,75) uT"))))</f>
        <v>Tipo 4 (&gt;0,75) uT</v>
      </c>
      <c r="BG82" s="137" t="str">
        <f>IF(OR(Q82="",Q82="-"),"",IF(Q82&lt;=0.25,"Tipo 1 (≤0,25) uT",IF(Q82&lt;=0.5,"Tipo 2 (0,25-0,50) uT",IF(Q82&lt;=0.75,"Tipo 3 (0,50-0,75) uT","Tipo 4 (&gt;0,75) uT"))))</f>
        <v>Tipo 2 (0,25-0,50) uT</v>
      </c>
    </row>
    <row r="83" spans="1:59" x14ac:dyDescent="0.3">
      <c r="A83" s="26">
        <v>46135</v>
      </c>
      <c r="B83" s="107">
        <v>0.8125</v>
      </c>
      <c r="C83" s="116">
        <v>1533</v>
      </c>
      <c r="D83" s="116">
        <v>86</v>
      </c>
      <c r="E83" s="116">
        <v>540</v>
      </c>
      <c r="F83" s="116">
        <v>2222</v>
      </c>
      <c r="G83" s="10" t="s">
        <v>34</v>
      </c>
      <c r="H83" s="122">
        <v>3.1</v>
      </c>
      <c r="I83" s="116">
        <v>90</v>
      </c>
      <c r="J83" s="116">
        <v>90</v>
      </c>
      <c r="K83" s="116">
        <v>90</v>
      </c>
      <c r="L83" s="122">
        <v>25</v>
      </c>
      <c r="M83" s="122">
        <v>6.8</v>
      </c>
      <c r="N83" s="79">
        <v>2.87</v>
      </c>
      <c r="O83" s="116">
        <v>13</v>
      </c>
      <c r="P83" s="122">
        <v>6.3</v>
      </c>
      <c r="Q83" s="79">
        <v>0.23</v>
      </c>
      <c r="R83" s="79">
        <v>22.36</v>
      </c>
      <c r="S83" s="79">
        <v>0.88</v>
      </c>
      <c r="T83" s="79">
        <v>0.7</v>
      </c>
      <c r="U83" s="85"/>
      <c r="V83" s="79"/>
      <c r="W83" s="79"/>
      <c r="X83" s="116"/>
      <c r="Y83" s="116"/>
      <c r="Z83" s="122"/>
      <c r="AA83" s="116"/>
      <c r="AB83" s="122">
        <v>7</v>
      </c>
      <c r="AC83" s="122">
        <v>6</v>
      </c>
      <c r="AD83" s="10">
        <v>0.12</v>
      </c>
      <c r="AE83" s="79">
        <v>0.5</v>
      </c>
      <c r="AF83" s="79"/>
      <c r="AG83" s="79"/>
      <c r="AH83" s="79"/>
      <c r="AI83" s="116"/>
      <c r="AJ83" s="116"/>
      <c r="AK83" s="79"/>
      <c r="AL83" s="79"/>
      <c r="AM83" s="122">
        <v>7</v>
      </c>
      <c r="AN83" s="122">
        <v>6.3</v>
      </c>
      <c r="AO83" s="79">
        <v>0.14000000000000001</v>
      </c>
      <c r="AP83" s="127">
        <v>1.19</v>
      </c>
      <c r="AQ83" s="132">
        <f t="shared" si="4"/>
        <v>2159</v>
      </c>
      <c r="AR83" s="134">
        <f t="shared" si="5"/>
        <v>0.71005094951366376</v>
      </c>
      <c r="AS83" s="134">
        <f t="shared" si="6"/>
        <v>3.9833256137100509E-2</v>
      </c>
      <c r="AT83" s="134">
        <f t="shared" si="7"/>
        <v>0.25011579434923575</v>
      </c>
      <c r="AU83" s="43" t="str">
        <f>IF(AND(F83&lt;&gt;"",Y83&lt;&gt;""),AA83/(F83/2/Y83),"")</f>
        <v/>
      </c>
      <c r="AV83" s="43" t="str">
        <f>IF(AND(F83&lt;&gt;"",AJ83&lt;&gt;""),AL83/(F83/2/AJ83),"")</f>
        <v/>
      </c>
      <c r="AW83" s="41">
        <f>IF(AND(AP83&lt;&gt;"",1-(AP83/N83)&gt;0),1-(AP83/N83),"")</f>
        <v>0.58536585365853666</v>
      </c>
      <c r="AX83" s="41">
        <f>IF(AND(AE83&lt;&gt;"",1-(AE83/N83)&gt;0),1-(AE83/N83),"")</f>
        <v>0.82578397212543553</v>
      </c>
      <c r="AY83" s="136" t="str">
        <f>IF(P83="","",IF(P83&lt;2.5,"Alc. Bruta &lt; 2,5 mg/L",IF(P83&lt;5,"2,5 ≤ Alc. Bruta &lt; 5,0 mg/L",IF(P83&lt;7.5,"5,0 ≤ Alc. Bruta &lt; 7,5 mg/L",IF(P83&lt;10,"7,5 ≤ Alc. Bruta &lt; 10,0 mg/L",IF(P83&lt;15,"10,0 ≤ Alca. Bruta &lt; 15,0 mg/L","Alc. Bruta &gt; 15 mg/L"))))))</f>
        <v>5,0 ≤ Alc. Bruta &lt; 7,5 mg/L</v>
      </c>
      <c r="AZ83" s="136" t="str">
        <f>IF(O83="","",IF(O83&lt;5,"Cor &lt;5 uC",IF(O83&lt;10,"5 ≤ Cor &lt; 10 uC",IF(O83&lt;15,"10 ≤ Cor &lt;15 uC",IF(O83&lt;30,"15 ≤ Cor &lt; 30 uC",IF(O83&lt;50,"30 ≤ Cor &lt; 50 uC","Cor &gt; 50 uC"))))))</f>
        <v>10 ≤ Cor &lt;15 uC</v>
      </c>
      <c r="BA83" s="137" t="str">
        <f>IF(N83="","",IF(N83&lt;2.5,"Turbidez &lt; 2,5 uT",IF(N83&lt;5,"2,5 ≤ Turb &lt; 5,0 uT",IF(N83&lt;7.5,"5,0 ≤ Turb &lt; 7,5 uT",IF(N83&lt;10,"7,5 ≤ Turb &lt; 10,0 uT",IF(N83&lt;15,"10,0 ≤ Turb &lt; 15,0 uT","Turb &gt; 15 uT"))))))</f>
        <v>2,5 ≤ Turb &lt; 5,0 uT</v>
      </c>
      <c r="BB83" s="138" t="str">
        <f>IF(AND(C83&gt;D83,D83&gt;E83),"TOR &gt; SM &gt; BNN",IF(AND(C83&gt;E83,E83&gt;D83),"TOR &gt; BNN &gt; SM",IF(AND(D83&gt;C83,C83&gt;E83),"SM &gt; TOR &gt; BNN",IF(AND(D83&gt;E83,E83&gt;C83),"SM &gt; BNN &gt; TOR",IF(AND(C83=D83,D83=E83),"TOR = SM = BNN","Comb. diferentes")))))</f>
        <v>TOR &gt; BNN &gt; SM</v>
      </c>
      <c r="BC83" s="137" t="str">
        <f>IF(OR(AD83="",AP83="-"),"",IF(AD83&lt;=0.25,"Tipo 1 (≤0,25) uT",IF(AD83&lt;=0.5,"Tipo 2 (0,25-0,50) uT",IF(AD83&lt;=0.75,"Tipo 3 (0,50-0,75) uT","Tipo 4 (&gt;0,75) uT"))))</f>
        <v>Tipo 1 (≤0,25) uT</v>
      </c>
      <c r="BD83" s="137" t="str">
        <f>IF(OR(AO83="",AY83="-"),"",IF(AO83&lt;=0.25,"Tipo 1 (≤0,25) uT",IF(AO83&lt;=0.5,"Tipo 2 (0,25-0,50) uT",IF(AO83&lt;=0.75,"Tipo 3 (0,50-0,75) uT","Tipo 4 (&gt;0,75) uT"))))</f>
        <v>Tipo 1 (≤0,25) uT</v>
      </c>
      <c r="BE83" s="137" t="str">
        <f>IF(OR(AE83="",AP83="-"),"",IF(AE83&lt;=0.25,"Tipo 1 (≤0,25) uT",IF(AE83&lt;=0.5,"Tipo 2 (0,25-0,50) uT",IF(AE83&lt;=0.75,"Tipo 3 (0,50-0,75) uT","Tipo 4 (&gt;0,75) uT"))))</f>
        <v>Tipo 2 (0,25-0,50) uT</v>
      </c>
      <c r="BF83" s="137" t="str">
        <f>IF(OR(AP83="",AP83="-"),"",IF(AP83&lt;=0.25,"Tipo 1 (≤0,25) uT",IF(AP83&lt;=0.5,"Tipo 2 (0,25-0,50) uT",IF(AP83&lt;=0.75,"Tipo 3 (0,50-0,75) uT","Tipo 4 (&gt;0,75) uT"))))</f>
        <v>Tipo 4 (&gt;0,75) uT</v>
      </c>
      <c r="BG83" s="137" t="str">
        <f>IF(OR(Q83="",Q83="-"),"",IF(Q83&lt;=0.25,"Tipo 1 (≤0,25) uT",IF(Q83&lt;=0.5,"Tipo 2 (0,25-0,50) uT",IF(Q83&lt;=0.75,"Tipo 3 (0,50-0,75) uT","Tipo 4 (&gt;0,75) uT"))))</f>
        <v>Tipo 1 (≤0,25) uT</v>
      </c>
    </row>
    <row r="84" spans="1:59" x14ac:dyDescent="0.3">
      <c r="A84" s="26">
        <v>46135</v>
      </c>
      <c r="B84" s="107">
        <v>0.89583333333333337</v>
      </c>
      <c r="C84" s="116">
        <v>1526</v>
      </c>
      <c r="D84" s="116">
        <v>87</v>
      </c>
      <c r="E84" s="116">
        <v>541</v>
      </c>
      <c r="F84" s="116">
        <v>2227</v>
      </c>
      <c r="G84" s="10" t="s">
        <v>34</v>
      </c>
      <c r="H84" s="122">
        <v>3.1</v>
      </c>
      <c r="I84" s="116">
        <v>90</v>
      </c>
      <c r="J84" s="116">
        <v>90</v>
      </c>
      <c r="K84" s="116">
        <v>90</v>
      </c>
      <c r="L84" s="122">
        <v>24.8</v>
      </c>
      <c r="M84" s="122">
        <v>6.8</v>
      </c>
      <c r="N84" s="79">
        <v>2.5499999999999998</v>
      </c>
      <c r="O84" s="116">
        <v>14</v>
      </c>
      <c r="P84" s="122">
        <v>6.1</v>
      </c>
      <c r="Q84" s="79">
        <v>0.24</v>
      </c>
      <c r="R84" s="79">
        <v>22.36</v>
      </c>
      <c r="S84" s="79">
        <v>0.88</v>
      </c>
      <c r="T84" s="79">
        <v>0.7</v>
      </c>
      <c r="U84" s="85"/>
      <c r="V84" s="79"/>
      <c r="W84" s="79"/>
      <c r="X84" s="116"/>
      <c r="Y84" s="116"/>
      <c r="Z84" s="122"/>
      <c r="AA84" s="116"/>
      <c r="AB84" s="122">
        <v>6.9</v>
      </c>
      <c r="AC84" s="122">
        <v>5.8</v>
      </c>
      <c r="AD84" s="10">
        <v>0.14000000000000001</v>
      </c>
      <c r="AE84" s="79">
        <v>0.48</v>
      </c>
      <c r="AF84" s="79"/>
      <c r="AG84" s="79"/>
      <c r="AH84" s="79"/>
      <c r="AI84" s="116"/>
      <c r="AJ84" s="116"/>
      <c r="AK84" s="79"/>
      <c r="AL84" s="79"/>
      <c r="AM84" s="122">
        <v>6.9</v>
      </c>
      <c r="AN84" s="122">
        <v>6.4</v>
      </c>
      <c r="AO84" s="79">
        <v>0.15</v>
      </c>
      <c r="AP84" s="127">
        <v>1.0900000000000001</v>
      </c>
      <c r="AQ84" s="132">
        <f t="shared" si="4"/>
        <v>2154</v>
      </c>
      <c r="AR84" s="134">
        <f t="shared" si="5"/>
        <v>0.70844939647168059</v>
      </c>
      <c r="AS84" s="134">
        <f t="shared" si="6"/>
        <v>4.0389972144846797E-2</v>
      </c>
      <c r="AT84" s="134">
        <f t="shared" si="7"/>
        <v>0.25116063138347261</v>
      </c>
      <c r="AU84" s="43" t="str">
        <f>IF(AND(F84&lt;&gt;"",Y84&lt;&gt;""),AA84/(F84/2/Y84),"")</f>
        <v/>
      </c>
      <c r="AV84" s="43" t="str">
        <f>IF(AND(F84&lt;&gt;"",AJ84&lt;&gt;""),AL84/(F84/2/AJ84),"")</f>
        <v/>
      </c>
      <c r="AW84" s="41">
        <f>IF(AND(AP84&lt;&gt;"",1-(AP84/N84)&gt;0),1-(AP84/N84),"")</f>
        <v>0.5725490196078431</v>
      </c>
      <c r="AX84" s="41">
        <f>IF(AND(AE84&lt;&gt;"",1-(AE84/N84)&gt;0),1-(AE84/N84),"")</f>
        <v>0.81176470588235294</v>
      </c>
      <c r="AY84" s="136" t="str">
        <f>IF(P84="","",IF(P84&lt;2.5,"Alc. Bruta &lt; 2,5 mg/L",IF(P84&lt;5,"2,5 ≤ Alc. Bruta &lt; 5,0 mg/L",IF(P84&lt;7.5,"5,0 ≤ Alc. Bruta &lt; 7,5 mg/L",IF(P84&lt;10,"7,5 ≤ Alc. Bruta &lt; 10,0 mg/L",IF(P84&lt;15,"10,0 ≤ Alca. Bruta &lt; 15,0 mg/L","Alc. Bruta &gt; 15 mg/L"))))))</f>
        <v>5,0 ≤ Alc. Bruta &lt; 7,5 mg/L</v>
      </c>
      <c r="AZ84" s="136" t="str">
        <f>IF(O84="","",IF(O84&lt;5,"Cor &lt;5 uC",IF(O84&lt;10,"5 ≤ Cor &lt; 10 uC",IF(O84&lt;15,"10 ≤ Cor &lt;15 uC",IF(O84&lt;30,"15 ≤ Cor &lt; 30 uC",IF(O84&lt;50,"30 ≤ Cor &lt; 50 uC","Cor &gt; 50 uC"))))))</f>
        <v>10 ≤ Cor &lt;15 uC</v>
      </c>
      <c r="BA84" s="137" t="str">
        <f>IF(N84="","",IF(N84&lt;2.5,"Turbidez &lt; 2,5 uT",IF(N84&lt;5,"2,5 ≤ Turb &lt; 5,0 uT",IF(N84&lt;7.5,"5,0 ≤ Turb &lt; 7,5 uT",IF(N84&lt;10,"7,5 ≤ Turb &lt; 10,0 uT",IF(N84&lt;15,"10,0 ≤ Turb &lt; 15,0 uT","Turb &gt; 15 uT"))))))</f>
        <v>2,5 ≤ Turb &lt; 5,0 uT</v>
      </c>
      <c r="BB84" s="138" t="str">
        <f>IF(AND(C84&gt;D84,D84&gt;E84),"TOR &gt; SM &gt; BNN",IF(AND(C84&gt;E84,E84&gt;D84),"TOR &gt; BNN &gt; SM",IF(AND(D84&gt;C84,C84&gt;E84),"SM &gt; TOR &gt; BNN",IF(AND(D84&gt;E84,E84&gt;C84),"SM &gt; BNN &gt; TOR",IF(AND(C84=D84,D84=E84),"TOR = SM = BNN","Comb. diferentes")))))</f>
        <v>TOR &gt; BNN &gt; SM</v>
      </c>
      <c r="BC84" s="137" t="str">
        <f>IF(OR(AD84="",AP84="-"),"",IF(AD84&lt;=0.25,"Tipo 1 (≤0,25) uT",IF(AD84&lt;=0.5,"Tipo 2 (0,25-0,50) uT",IF(AD84&lt;=0.75,"Tipo 3 (0,50-0,75) uT","Tipo 4 (&gt;0,75) uT"))))</f>
        <v>Tipo 1 (≤0,25) uT</v>
      </c>
      <c r="BD84" s="137" t="str">
        <f>IF(OR(AO84="",AY84="-"),"",IF(AO84&lt;=0.25,"Tipo 1 (≤0,25) uT",IF(AO84&lt;=0.5,"Tipo 2 (0,25-0,50) uT",IF(AO84&lt;=0.75,"Tipo 3 (0,50-0,75) uT","Tipo 4 (&gt;0,75) uT"))))</f>
        <v>Tipo 1 (≤0,25) uT</v>
      </c>
      <c r="BE84" s="137" t="str">
        <f>IF(OR(AE84="",AP84="-"),"",IF(AE84&lt;=0.25,"Tipo 1 (≤0,25) uT",IF(AE84&lt;=0.5,"Tipo 2 (0,25-0,50) uT",IF(AE84&lt;=0.75,"Tipo 3 (0,50-0,75) uT","Tipo 4 (&gt;0,75) uT"))))</f>
        <v>Tipo 2 (0,25-0,50) uT</v>
      </c>
      <c r="BF84" s="137" t="str">
        <f>IF(OR(AP84="",AP84="-"),"",IF(AP84&lt;=0.25,"Tipo 1 (≤0,25) uT",IF(AP84&lt;=0.5,"Tipo 2 (0,25-0,50) uT",IF(AP84&lt;=0.75,"Tipo 3 (0,50-0,75) uT","Tipo 4 (&gt;0,75) uT"))))</f>
        <v>Tipo 4 (&gt;0,75) uT</v>
      </c>
      <c r="BG84" s="137" t="str">
        <f>IF(OR(Q84="",Q84="-"),"",IF(Q84&lt;=0.25,"Tipo 1 (≤0,25) uT",IF(Q84&lt;=0.5,"Tipo 2 (0,25-0,50) uT",IF(Q84&lt;=0.75,"Tipo 3 (0,50-0,75) uT","Tipo 4 (&gt;0,75) uT"))))</f>
        <v>Tipo 1 (≤0,25) uT</v>
      </c>
    </row>
    <row r="85" spans="1:59" x14ac:dyDescent="0.3">
      <c r="A85" s="26">
        <v>46135</v>
      </c>
      <c r="B85" s="107">
        <v>0.97916666666666663</v>
      </c>
      <c r="C85" s="116">
        <v>1662</v>
      </c>
      <c r="D85" s="116">
        <v>89</v>
      </c>
      <c r="E85" s="116">
        <v>540</v>
      </c>
      <c r="F85" s="116">
        <v>2238</v>
      </c>
      <c r="G85" s="10" t="s">
        <v>34</v>
      </c>
      <c r="H85" s="122">
        <v>3.1</v>
      </c>
      <c r="I85" s="116">
        <v>90</v>
      </c>
      <c r="J85" s="116">
        <v>90</v>
      </c>
      <c r="K85" s="116">
        <v>90</v>
      </c>
      <c r="L85" s="122">
        <v>23.8</v>
      </c>
      <c r="M85" s="122">
        <v>6.9</v>
      </c>
      <c r="N85" s="79">
        <v>3.84</v>
      </c>
      <c r="O85" s="116">
        <v>16</v>
      </c>
      <c r="P85" s="122">
        <v>6.3</v>
      </c>
      <c r="Q85" s="79">
        <v>0.25</v>
      </c>
      <c r="R85" s="79">
        <v>22.36</v>
      </c>
      <c r="S85" s="79">
        <v>0.88</v>
      </c>
      <c r="T85" s="79">
        <v>0.7</v>
      </c>
      <c r="U85" s="85"/>
      <c r="V85" s="79"/>
      <c r="W85" s="79"/>
      <c r="X85" s="116"/>
      <c r="Y85" s="116"/>
      <c r="Z85" s="122"/>
      <c r="AA85" s="116"/>
      <c r="AB85" s="122">
        <v>7</v>
      </c>
      <c r="AC85" s="122">
        <v>5.8</v>
      </c>
      <c r="AD85" s="10">
        <v>0.33</v>
      </c>
      <c r="AE85" s="79">
        <v>0.55000000000000004</v>
      </c>
      <c r="AF85" s="79"/>
      <c r="AG85" s="79"/>
      <c r="AH85" s="79"/>
      <c r="AI85" s="116"/>
      <c r="AJ85" s="116"/>
      <c r="AK85" s="79"/>
      <c r="AL85" s="79"/>
      <c r="AM85" s="122">
        <v>6.9</v>
      </c>
      <c r="AN85" s="122">
        <v>6</v>
      </c>
      <c r="AO85" s="79">
        <v>0.28999999999999998</v>
      </c>
      <c r="AP85" s="127">
        <v>1.38</v>
      </c>
      <c r="AQ85" s="132">
        <f t="shared" si="4"/>
        <v>2291</v>
      </c>
      <c r="AR85" s="134">
        <f t="shared" si="5"/>
        <v>0.72544740288083809</v>
      </c>
      <c r="AS85" s="134">
        <f t="shared" si="6"/>
        <v>3.8847664775207333E-2</v>
      </c>
      <c r="AT85" s="134">
        <f t="shared" si="7"/>
        <v>0.23570493234395459</v>
      </c>
      <c r="AU85" s="43" t="str">
        <f>IF(AND(F85&lt;&gt;"",Y85&lt;&gt;""),AA85/(F85/2/Y85),"")</f>
        <v/>
      </c>
      <c r="AV85" s="43" t="str">
        <f>IF(AND(F85&lt;&gt;"",AJ85&lt;&gt;""),AL85/(F85/2/AJ85),"")</f>
        <v/>
      </c>
      <c r="AW85" s="41">
        <f>IF(AND(AP85&lt;&gt;"",1-(AP85/N85)&gt;0),1-(AP85/N85),"")</f>
        <v>0.640625</v>
      </c>
      <c r="AX85" s="41">
        <f>IF(AND(AE85&lt;&gt;"",1-(AE85/N85)&gt;0),1-(AE85/N85),"")</f>
        <v>0.85677083333333326</v>
      </c>
      <c r="AY85" s="136" t="str">
        <f>IF(P85="","",IF(P85&lt;2.5,"Alc. Bruta &lt; 2,5 mg/L",IF(P85&lt;5,"2,5 ≤ Alc. Bruta &lt; 5,0 mg/L",IF(P85&lt;7.5,"5,0 ≤ Alc. Bruta &lt; 7,5 mg/L",IF(P85&lt;10,"7,5 ≤ Alc. Bruta &lt; 10,0 mg/L",IF(P85&lt;15,"10,0 ≤ Alca. Bruta &lt; 15,0 mg/L","Alc. Bruta &gt; 15 mg/L"))))))</f>
        <v>5,0 ≤ Alc. Bruta &lt; 7,5 mg/L</v>
      </c>
      <c r="AZ85" s="136" t="str">
        <f>IF(O85="","",IF(O85&lt;5,"Cor &lt;5 uC",IF(O85&lt;10,"5 ≤ Cor &lt; 10 uC",IF(O85&lt;15,"10 ≤ Cor &lt;15 uC",IF(O85&lt;30,"15 ≤ Cor &lt; 30 uC",IF(O85&lt;50,"30 ≤ Cor &lt; 50 uC","Cor &gt; 50 uC"))))))</f>
        <v>15 ≤ Cor &lt; 30 uC</v>
      </c>
      <c r="BA85" s="137" t="str">
        <f>IF(N85="","",IF(N85&lt;2.5,"Turbidez &lt; 2,5 uT",IF(N85&lt;5,"2,5 ≤ Turb &lt; 5,0 uT",IF(N85&lt;7.5,"5,0 ≤ Turb &lt; 7,5 uT",IF(N85&lt;10,"7,5 ≤ Turb &lt; 10,0 uT",IF(N85&lt;15,"10,0 ≤ Turb &lt; 15,0 uT","Turb &gt; 15 uT"))))))</f>
        <v>2,5 ≤ Turb &lt; 5,0 uT</v>
      </c>
      <c r="BB85" s="138" t="str">
        <f>IF(AND(C85&gt;D85,D85&gt;E85),"TOR &gt; SM &gt; BNN",IF(AND(C85&gt;E85,E85&gt;D85),"TOR &gt; BNN &gt; SM",IF(AND(D85&gt;C85,C85&gt;E85),"SM &gt; TOR &gt; BNN",IF(AND(D85&gt;E85,E85&gt;C85),"SM &gt; BNN &gt; TOR",IF(AND(C85=D85,D85=E85),"TOR = SM = BNN","Comb. diferentes")))))</f>
        <v>TOR &gt; BNN &gt; SM</v>
      </c>
      <c r="BC85" s="137" t="str">
        <f>IF(OR(AD85="",AP85="-"),"",IF(AD85&lt;=0.25,"Tipo 1 (≤0,25) uT",IF(AD85&lt;=0.5,"Tipo 2 (0,25-0,50) uT",IF(AD85&lt;=0.75,"Tipo 3 (0,50-0,75) uT","Tipo 4 (&gt;0,75) uT"))))</f>
        <v>Tipo 2 (0,25-0,50) uT</v>
      </c>
      <c r="BD85" s="137" t="str">
        <f>IF(OR(AO85="",AY85="-"),"",IF(AO85&lt;=0.25,"Tipo 1 (≤0,25) uT",IF(AO85&lt;=0.5,"Tipo 2 (0,25-0,50) uT",IF(AO85&lt;=0.75,"Tipo 3 (0,50-0,75) uT","Tipo 4 (&gt;0,75) uT"))))</f>
        <v>Tipo 2 (0,25-0,50) uT</v>
      </c>
      <c r="BE85" s="137" t="str">
        <f>IF(OR(AE85="",AP85="-"),"",IF(AE85&lt;=0.25,"Tipo 1 (≤0,25) uT",IF(AE85&lt;=0.5,"Tipo 2 (0,25-0,50) uT",IF(AE85&lt;=0.75,"Tipo 3 (0,50-0,75) uT","Tipo 4 (&gt;0,75) uT"))))</f>
        <v>Tipo 3 (0,50-0,75) uT</v>
      </c>
      <c r="BF85" s="137" t="str">
        <f>IF(OR(AP85="",AP85="-"),"",IF(AP85&lt;=0.25,"Tipo 1 (≤0,25) uT",IF(AP85&lt;=0.5,"Tipo 2 (0,25-0,50) uT",IF(AP85&lt;=0.75,"Tipo 3 (0,50-0,75) uT","Tipo 4 (&gt;0,75) uT"))))</f>
        <v>Tipo 4 (&gt;0,75) uT</v>
      </c>
      <c r="BG85" s="137" t="str">
        <f>IF(OR(Q85="",Q85="-"),"",IF(Q85&lt;=0.25,"Tipo 1 (≤0,25) uT",IF(Q85&lt;=0.5,"Tipo 2 (0,25-0,50) uT",IF(Q85&lt;=0.75,"Tipo 3 (0,50-0,75) uT","Tipo 4 (&gt;0,75) uT"))))</f>
        <v>Tipo 1 (≤0,25) uT</v>
      </c>
    </row>
    <row r="86" spans="1:59" x14ac:dyDescent="0.3">
      <c r="A86" s="26">
        <v>46136</v>
      </c>
      <c r="B86" s="107">
        <v>6.25E-2</v>
      </c>
      <c r="C86" s="116">
        <v>1606</v>
      </c>
      <c r="D86" s="116">
        <v>86</v>
      </c>
      <c r="E86" s="116">
        <v>541</v>
      </c>
      <c r="F86" s="116">
        <v>2234</v>
      </c>
      <c r="G86" s="10" t="s">
        <v>34</v>
      </c>
      <c r="H86" s="122">
        <v>3.1</v>
      </c>
      <c r="I86" s="116">
        <v>90</v>
      </c>
      <c r="J86" s="116">
        <v>90</v>
      </c>
      <c r="K86" s="116">
        <v>90</v>
      </c>
      <c r="L86" s="122">
        <v>23.4</v>
      </c>
      <c r="M86" s="122">
        <v>6.9</v>
      </c>
      <c r="N86" s="79">
        <v>3.35</v>
      </c>
      <c r="O86" s="116">
        <v>15</v>
      </c>
      <c r="P86" s="122">
        <v>6.2</v>
      </c>
      <c r="Q86" s="79">
        <v>0.28000000000000003</v>
      </c>
      <c r="R86" s="79">
        <v>22.36</v>
      </c>
      <c r="S86" s="79">
        <v>0.88</v>
      </c>
      <c r="T86" s="79">
        <v>0.7</v>
      </c>
      <c r="U86" s="85"/>
      <c r="V86" s="79"/>
      <c r="W86" s="79"/>
      <c r="X86" s="116"/>
      <c r="Y86" s="116"/>
      <c r="Z86" s="122"/>
      <c r="AA86" s="116"/>
      <c r="AB86" s="122">
        <v>6.9</v>
      </c>
      <c r="AC86" s="122">
        <v>6</v>
      </c>
      <c r="AD86" s="10">
        <v>0.25</v>
      </c>
      <c r="AE86" s="79">
        <v>0.56999999999999995</v>
      </c>
      <c r="AF86" s="79"/>
      <c r="AG86" s="79"/>
      <c r="AH86" s="79"/>
      <c r="AI86" s="116"/>
      <c r="AJ86" s="116"/>
      <c r="AK86" s="79"/>
      <c r="AL86" s="79"/>
      <c r="AM86" s="122">
        <v>6.9</v>
      </c>
      <c r="AN86" s="122">
        <v>6.1</v>
      </c>
      <c r="AO86" s="79">
        <v>0.23</v>
      </c>
      <c r="AP86" s="127">
        <v>1.22</v>
      </c>
      <c r="AQ86" s="132">
        <f t="shared" si="4"/>
        <v>2233</v>
      </c>
      <c r="AR86" s="134">
        <f t="shared" si="5"/>
        <v>0.71921182266009853</v>
      </c>
      <c r="AS86" s="134">
        <f t="shared" si="6"/>
        <v>3.8513210927004028E-2</v>
      </c>
      <c r="AT86" s="134">
        <f t="shared" si="7"/>
        <v>0.24227496641289745</v>
      </c>
      <c r="AU86" s="43" t="str">
        <f>IF(AND(F86&lt;&gt;"",Y86&lt;&gt;""),AA86/(F86/2/Y86),"")</f>
        <v/>
      </c>
      <c r="AV86" s="43" t="str">
        <f>IF(AND(F86&lt;&gt;"",AJ86&lt;&gt;""),AL86/(F86/2/AJ86),"")</f>
        <v/>
      </c>
      <c r="AW86" s="41">
        <f>IF(AND(AP86&lt;&gt;"",1-(AP86/N86)&gt;0),1-(AP86/N86),"")</f>
        <v>0.63582089552238807</v>
      </c>
      <c r="AX86" s="41">
        <f>IF(AND(AE86&lt;&gt;"",1-(AE86/N86)&gt;0),1-(AE86/N86),"")</f>
        <v>0.82985074626865674</v>
      </c>
      <c r="AY86" s="136" t="str">
        <f>IF(P86="","",IF(P86&lt;2.5,"Alc. Bruta &lt; 2,5 mg/L",IF(P86&lt;5,"2,5 ≤ Alc. Bruta &lt; 5,0 mg/L",IF(P86&lt;7.5,"5,0 ≤ Alc. Bruta &lt; 7,5 mg/L",IF(P86&lt;10,"7,5 ≤ Alc. Bruta &lt; 10,0 mg/L",IF(P86&lt;15,"10,0 ≤ Alca. Bruta &lt; 15,0 mg/L","Alc. Bruta &gt; 15 mg/L"))))))</f>
        <v>5,0 ≤ Alc. Bruta &lt; 7,5 mg/L</v>
      </c>
      <c r="AZ86" s="136" t="str">
        <f>IF(O86="","",IF(O86&lt;5,"Cor &lt;5 uC",IF(O86&lt;10,"5 ≤ Cor &lt; 10 uC",IF(O86&lt;15,"10 ≤ Cor &lt;15 uC",IF(O86&lt;30,"15 ≤ Cor &lt; 30 uC",IF(O86&lt;50,"30 ≤ Cor &lt; 50 uC","Cor &gt; 50 uC"))))))</f>
        <v>15 ≤ Cor &lt; 30 uC</v>
      </c>
      <c r="BA86" s="137" t="str">
        <f>IF(N86="","",IF(N86&lt;2.5,"Turbidez &lt; 2,5 uT",IF(N86&lt;5,"2,5 ≤ Turb &lt; 5,0 uT",IF(N86&lt;7.5,"5,0 ≤ Turb &lt; 7,5 uT",IF(N86&lt;10,"7,5 ≤ Turb &lt; 10,0 uT",IF(N86&lt;15,"10,0 ≤ Turb &lt; 15,0 uT","Turb &gt; 15 uT"))))))</f>
        <v>2,5 ≤ Turb &lt; 5,0 uT</v>
      </c>
      <c r="BB86" s="138" t="str">
        <f>IF(AND(C86&gt;D86,D86&gt;E86),"TOR &gt; SM &gt; BNN",IF(AND(C86&gt;E86,E86&gt;D86),"TOR &gt; BNN &gt; SM",IF(AND(D86&gt;C86,C86&gt;E86),"SM &gt; TOR &gt; BNN",IF(AND(D86&gt;E86,E86&gt;C86),"SM &gt; BNN &gt; TOR",IF(AND(C86=D86,D86=E86),"TOR = SM = BNN","Comb. diferentes")))))</f>
        <v>TOR &gt; BNN &gt; SM</v>
      </c>
      <c r="BC86" s="137" t="str">
        <f>IF(OR(AD86="",AP86="-"),"",IF(AD86&lt;=0.25,"Tipo 1 (≤0,25) uT",IF(AD86&lt;=0.5,"Tipo 2 (0,25-0,50) uT",IF(AD86&lt;=0.75,"Tipo 3 (0,50-0,75) uT","Tipo 4 (&gt;0,75) uT"))))</f>
        <v>Tipo 1 (≤0,25) uT</v>
      </c>
      <c r="BD86" s="137" t="str">
        <f>IF(OR(AO86="",AY86="-"),"",IF(AO86&lt;=0.25,"Tipo 1 (≤0,25) uT",IF(AO86&lt;=0.5,"Tipo 2 (0,25-0,50) uT",IF(AO86&lt;=0.75,"Tipo 3 (0,50-0,75) uT","Tipo 4 (&gt;0,75) uT"))))</f>
        <v>Tipo 1 (≤0,25) uT</v>
      </c>
      <c r="BE86" s="137" t="str">
        <f>IF(OR(AE86="",AP86="-"),"",IF(AE86&lt;=0.25,"Tipo 1 (≤0,25) uT",IF(AE86&lt;=0.5,"Tipo 2 (0,25-0,50) uT",IF(AE86&lt;=0.75,"Tipo 3 (0,50-0,75) uT","Tipo 4 (&gt;0,75) uT"))))</f>
        <v>Tipo 3 (0,50-0,75) uT</v>
      </c>
      <c r="BF86" s="137" t="str">
        <f>IF(OR(AP86="",AP86="-"),"",IF(AP86&lt;=0.25,"Tipo 1 (≤0,25) uT",IF(AP86&lt;=0.5,"Tipo 2 (0,25-0,50) uT",IF(AP86&lt;=0.75,"Tipo 3 (0,50-0,75) uT","Tipo 4 (&gt;0,75) uT"))))</f>
        <v>Tipo 4 (&gt;0,75) uT</v>
      </c>
      <c r="BG86" s="137" t="str">
        <f>IF(OR(Q86="",Q86="-"),"",IF(Q86&lt;=0.25,"Tipo 1 (≤0,25) uT",IF(Q86&lt;=0.5,"Tipo 2 (0,25-0,50) uT",IF(Q86&lt;=0.75,"Tipo 3 (0,50-0,75) uT","Tipo 4 (&gt;0,75) uT"))))</f>
        <v>Tipo 2 (0,25-0,50) uT</v>
      </c>
    </row>
    <row r="87" spans="1:59" x14ac:dyDescent="0.3">
      <c r="A87" s="26">
        <v>46136</v>
      </c>
      <c r="B87" s="107">
        <v>0.14583333333333334</v>
      </c>
      <c r="C87" s="116">
        <v>1209</v>
      </c>
      <c r="D87" s="116">
        <v>92</v>
      </c>
      <c r="E87" s="116">
        <v>579</v>
      </c>
      <c r="F87" s="116">
        <v>1963</v>
      </c>
      <c r="G87" s="10" t="s">
        <v>34</v>
      </c>
      <c r="H87" s="122">
        <v>3.1</v>
      </c>
      <c r="I87" s="116">
        <v>90</v>
      </c>
      <c r="J87" s="116">
        <v>90</v>
      </c>
      <c r="K87" s="116">
        <v>90</v>
      </c>
      <c r="L87" s="122">
        <v>23.1</v>
      </c>
      <c r="M87" s="122">
        <v>6.8</v>
      </c>
      <c r="N87" s="79">
        <v>4.1399999999999997</v>
      </c>
      <c r="O87" s="116">
        <v>17</v>
      </c>
      <c r="P87" s="122">
        <v>6.6</v>
      </c>
      <c r="Q87" s="79">
        <v>0.25</v>
      </c>
      <c r="R87" s="79">
        <v>22.36</v>
      </c>
      <c r="S87" s="79">
        <v>0.88</v>
      </c>
      <c r="T87" s="79">
        <v>0.7</v>
      </c>
      <c r="U87" s="85"/>
      <c r="V87" s="79"/>
      <c r="W87" s="79"/>
      <c r="X87" s="116"/>
      <c r="Y87" s="116"/>
      <c r="Z87" s="122"/>
      <c r="AA87" s="116"/>
      <c r="AB87" s="122">
        <v>7</v>
      </c>
      <c r="AC87" s="122">
        <v>7.2</v>
      </c>
      <c r="AD87" s="10">
        <v>0.16</v>
      </c>
      <c r="AE87" s="79">
        <v>0.76</v>
      </c>
      <c r="AF87" s="79"/>
      <c r="AG87" s="79"/>
      <c r="AH87" s="79"/>
      <c r="AI87" s="116"/>
      <c r="AJ87" s="116"/>
      <c r="AK87" s="79"/>
      <c r="AL87" s="79"/>
      <c r="AM87" s="122">
        <v>7</v>
      </c>
      <c r="AN87" s="122">
        <v>6.1</v>
      </c>
      <c r="AO87" s="79">
        <v>0.16</v>
      </c>
      <c r="AP87" s="127">
        <v>1.39</v>
      </c>
      <c r="AQ87" s="132">
        <f t="shared" si="4"/>
        <v>1880</v>
      </c>
      <c r="AR87" s="134">
        <f t="shared" si="5"/>
        <v>0.64308510638297878</v>
      </c>
      <c r="AS87" s="134">
        <f t="shared" si="6"/>
        <v>4.8936170212765959E-2</v>
      </c>
      <c r="AT87" s="134">
        <f t="shared" si="7"/>
        <v>0.30797872340425531</v>
      </c>
      <c r="AU87" s="43" t="str">
        <f>IF(AND(F87&lt;&gt;"",Y87&lt;&gt;""),AA87/(F87/2/Y87),"")</f>
        <v/>
      </c>
      <c r="AV87" s="43" t="str">
        <f>IF(AND(F87&lt;&gt;"",AJ87&lt;&gt;""),AL87/(F87/2/AJ87),"")</f>
        <v/>
      </c>
      <c r="AW87" s="41">
        <f>IF(AND(AP87&lt;&gt;"",1-(AP87/N87)&gt;0),1-(AP87/N87),"")</f>
        <v>0.66425120772946866</v>
      </c>
      <c r="AX87" s="41">
        <f>IF(AND(AE87&lt;&gt;"",1-(AE87/N87)&gt;0),1-(AE87/N87),"")</f>
        <v>0.81642512077294682</v>
      </c>
      <c r="AY87" s="136" t="str">
        <f>IF(P87="","",IF(P87&lt;2.5,"Alc. Bruta &lt; 2,5 mg/L",IF(P87&lt;5,"2,5 ≤ Alc. Bruta &lt; 5,0 mg/L",IF(P87&lt;7.5,"5,0 ≤ Alc. Bruta &lt; 7,5 mg/L",IF(P87&lt;10,"7,5 ≤ Alc. Bruta &lt; 10,0 mg/L",IF(P87&lt;15,"10,0 ≤ Alca. Bruta &lt; 15,0 mg/L","Alc. Bruta &gt; 15 mg/L"))))))</f>
        <v>5,0 ≤ Alc. Bruta &lt; 7,5 mg/L</v>
      </c>
      <c r="AZ87" s="136" t="str">
        <f>IF(O87="","",IF(O87&lt;5,"Cor &lt;5 uC",IF(O87&lt;10,"5 ≤ Cor &lt; 10 uC",IF(O87&lt;15,"10 ≤ Cor &lt;15 uC",IF(O87&lt;30,"15 ≤ Cor &lt; 30 uC",IF(O87&lt;50,"30 ≤ Cor &lt; 50 uC","Cor &gt; 50 uC"))))))</f>
        <v>15 ≤ Cor &lt; 30 uC</v>
      </c>
      <c r="BA87" s="137" t="str">
        <f>IF(N87="","",IF(N87&lt;2.5,"Turbidez &lt; 2,5 uT",IF(N87&lt;5,"2,5 ≤ Turb &lt; 5,0 uT",IF(N87&lt;7.5,"5,0 ≤ Turb &lt; 7,5 uT",IF(N87&lt;10,"7,5 ≤ Turb &lt; 10,0 uT",IF(N87&lt;15,"10,0 ≤ Turb &lt; 15,0 uT","Turb &gt; 15 uT"))))))</f>
        <v>2,5 ≤ Turb &lt; 5,0 uT</v>
      </c>
      <c r="BB87" s="138" t="str">
        <f>IF(AND(C87&gt;D87,D87&gt;E87),"TOR &gt; SM &gt; BNN",IF(AND(C87&gt;E87,E87&gt;D87),"TOR &gt; BNN &gt; SM",IF(AND(D87&gt;C87,C87&gt;E87),"SM &gt; TOR &gt; BNN",IF(AND(D87&gt;E87,E87&gt;C87),"SM &gt; BNN &gt; TOR",IF(AND(C87=D87,D87=E87),"TOR = SM = BNN","Comb. diferentes")))))</f>
        <v>TOR &gt; BNN &gt; SM</v>
      </c>
      <c r="BC87" s="137" t="str">
        <f>IF(OR(AD87="",AP87="-"),"",IF(AD87&lt;=0.25,"Tipo 1 (≤0,25) uT",IF(AD87&lt;=0.5,"Tipo 2 (0,25-0,50) uT",IF(AD87&lt;=0.75,"Tipo 3 (0,50-0,75) uT","Tipo 4 (&gt;0,75) uT"))))</f>
        <v>Tipo 1 (≤0,25) uT</v>
      </c>
      <c r="BD87" s="137" t="str">
        <f>IF(OR(AO87="",AY87="-"),"",IF(AO87&lt;=0.25,"Tipo 1 (≤0,25) uT",IF(AO87&lt;=0.5,"Tipo 2 (0,25-0,50) uT",IF(AO87&lt;=0.75,"Tipo 3 (0,50-0,75) uT","Tipo 4 (&gt;0,75) uT"))))</f>
        <v>Tipo 1 (≤0,25) uT</v>
      </c>
      <c r="BE87" s="137" t="str">
        <f>IF(OR(AE87="",AP87="-"),"",IF(AE87&lt;=0.25,"Tipo 1 (≤0,25) uT",IF(AE87&lt;=0.5,"Tipo 2 (0,25-0,50) uT",IF(AE87&lt;=0.75,"Tipo 3 (0,50-0,75) uT","Tipo 4 (&gt;0,75) uT"))))</f>
        <v>Tipo 4 (&gt;0,75) uT</v>
      </c>
      <c r="BF87" s="137" t="str">
        <f>IF(OR(AP87="",AP87="-"),"",IF(AP87&lt;=0.25,"Tipo 1 (≤0,25) uT",IF(AP87&lt;=0.5,"Tipo 2 (0,25-0,50) uT",IF(AP87&lt;=0.75,"Tipo 3 (0,50-0,75) uT","Tipo 4 (&gt;0,75) uT"))))</f>
        <v>Tipo 4 (&gt;0,75) uT</v>
      </c>
      <c r="BG87" s="137" t="str">
        <f>IF(OR(Q87="",Q87="-"),"",IF(Q87&lt;=0.25,"Tipo 1 (≤0,25) uT",IF(Q87&lt;=0.5,"Tipo 2 (0,25-0,50) uT",IF(Q87&lt;=0.75,"Tipo 3 (0,50-0,75) uT","Tipo 4 (&gt;0,75) uT"))))</f>
        <v>Tipo 1 (≤0,25) uT</v>
      </c>
    </row>
    <row r="88" spans="1:59" ht="15" thickBot="1" x14ac:dyDescent="0.35">
      <c r="A88" s="26">
        <v>46136</v>
      </c>
      <c r="B88" s="110">
        <v>0.22916666666666666</v>
      </c>
      <c r="C88" s="117">
        <v>1240</v>
      </c>
      <c r="D88" s="117">
        <v>88</v>
      </c>
      <c r="E88" s="117">
        <v>581</v>
      </c>
      <c r="F88" s="116">
        <v>1953</v>
      </c>
      <c r="G88" s="11" t="s">
        <v>34</v>
      </c>
      <c r="H88" s="122">
        <v>3.1</v>
      </c>
      <c r="I88" s="117">
        <v>90</v>
      </c>
      <c r="J88" s="117">
        <v>90</v>
      </c>
      <c r="K88" s="117">
        <v>90</v>
      </c>
      <c r="L88" s="123">
        <v>23.2</v>
      </c>
      <c r="M88" s="123">
        <v>6.9</v>
      </c>
      <c r="N88" s="80">
        <v>3.66</v>
      </c>
      <c r="O88" s="117">
        <v>16</v>
      </c>
      <c r="P88" s="123">
        <v>6.4</v>
      </c>
      <c r="Q88" s="80">
        <v>0.27</v>
      </c>
      <c r="R88" s="79">
        <v>22.36</v>
      </c>
      <c r="S88" s="79">
        <v>0.88</v>
      </c>
      <c r="T88" s="79">
        <v>0.7</v>
      </c>
      <c r="U88" s="85"/>
      <c r="V88" s="84"/>
      <c r="W88" s="80"/>
      <c r="X88" s="117"/>
      <c r="Y88" s="117"/>
      <c r="Z88" s="123"/>
      <c r="AA88" s="117"/>
      <c r="AB88" s="123">
        <v>6.9</v>
      </c>
      <c r="AC88" s="123">
        <v>7</v>
      </c>
      <c r="AD88" s="11">
        <v>0.21</v>
      </c>
      <c r="AE88" s="80">
        <v>0.82</v>
      </c>
      <c r="AF88" s="80"/>
      <c r="AG88" s="80"/>
      <c r="AH88" s="80"/>
      <c r="AI88" s="117"/>
      <c r="AJ88" s="117"/>
      <c r="AK88" s="80"/>
      <c r="AL88" s="80"/>
      <c r="AM88" s="123">
        <v>6.9</v>
      </c>
      <c r="AN88" s="123">
        <v>6.2</v>
      </c>
      <c r="AO88" s="80">
        <v>0.22</v>
      </c>
      <c r="AP88" s="128">
        <v>1.5</v>
      </c>
      <c r="AQ88" s="132">
        <f t="shared" si="4"/>
        <v>1909</v>
      </c>
      <c r="AR88" s="134">
        <f t="shared" si="5"/>
        <v>0.64955474070193819</v>
      </c>
      <c r="AS88" s="134">
        <f t="shared" si="6"/>
        <v>4.6097433211105293E-2</v>
      </c>
      <c r="AT88" s="134">
        <f t="shared" si="7"/>
        <v>0.30434782608695654</v>
      </c>
      <c r="AU88" s="43" t="str">
        <f>IF(AND(F88&lt;&gt;"",Y88&lt;&gt;""),AA88/(F88/2/Y88),"")</f>
        <v/>
      </c>
      <c r="AV88" s="43" t="str">
        <f>IF(AND(F88&lt;&gt;"",AJ88&lt;&gt;""),AL88/(F88/2/AJ88),"")</f>
        <v/>
      </c>
      <c r="AW88" s="41">
        <f>IF(AND(AP88&lt;&gt;"",1-(AP88/N88)&gt;0),1-(AP88/N88),"")</f>
        <v>0.5901639344262295</v>
      </c>
      <c r="AX88" s="41">
        <f>IF(AND(AE88&lt;&gt;"",1-(AE88/N88)&gt;0),1-(AE88/N88),"")</f>
        <v>0.77595628415300544</v>
      </c>
      <c r="AY88" s="136" t="str">
        <f>IF(P88="","",IF(P88&lt;2.5,"Alc. Bruta &lt; 2,5 mg/L",IF(P88&lt;5,"2,5 ≤ Alc. Bruta &lt; 5,0 mg/L",IF(P88&lt;7.5,"5,0 ≤ Alc. Bruta &lt; 7,5 mg/L",IF(P88&lt;10,"7,5 ≤ Alc. Bruta &lt; 10,0 mg/L",IF(P88&lt;15,"10,0 ≤ Alca. Bruta &lt; 15,0 mg/L","Alc. Bruta &gt; 15 mg/L"))))))</f>
        <v>5,0 ≤ Alc. Bruta &lt; 7,5 mg/L</v>
      </c>
      <c r="AZ88" s="136" t="str">
        <f>IF(O88="","",IF(O88&lt;5,"Cor &lt;5 uC",IF(O88&lt;10,"5 ≤ Cor &lt; 10 uC",IF(O88&lt;15,"10 ≤ Cor &lt;15 uC",IF(O88&lt;30,"15 ≤ Cor &lt; 30 uC",IF(O88&lt;50,"30 ≤ Cor &lt; 50 uC","Cor &gt; 50 uC"))))))</f>
        <v>15 ≤ Cor &lt; 30 uC</v>
      </c>
      <c r="BA88" s="137" t="str">
        <f>IF(N88="","",IF(N88&lt;2.5,"Turbidez &lt; 2,5 uT",IF(N88&lt;5,"2,5 ≤ Turb &lt; 5,0 uT",IF(N88&lt;7.5,"5,0 ≤ Turb &lt; 7,5 uT",IF(N88&lt;10,"7,5 ≤ Turb &lt; 10,0 uT",IF(N88&lt;15,"10,0 ≤ Turb &lt; 15,0 uT","Turb &gt; 15 uT"))))))</f>
        <v>2,5 ≤ Turb &lt; 5,0 uT</v>
      </c>
      <c r="BB88" s="138" t="str">
        <f>IF(AND(C88&gt;D88,D88&gt;E88),"TOR &gt; SM &gt; BNN",IF(AND(C88&gt;E88,E88&gt;D88),"TOR &gt; BNN &gt; SM",IF(AND(D88&gt;C88,C88&gt;E88),"SM &gt; TOR &gt; BNN",IF(AND(D88&gt;E88,E88&gt;C88),"SM &gt; BNN &gt; TOR",IF(AND(C88=D88,D88=E88),"TOR = SM = BNN","Comb. diferentes")))))</f>
        <v>TOR &gt; BNN &gt; SM</v>
      </c>
      <c r="BC88" s="137" t="str">
        <f>IF(OR(AD88="",AP88="-"),"",IF(AD88&lt;=0.25,"Tipo 1 (≤0,25) uT",IF(AD88&lt;=0.5,"Tipo 2 (0,25-0,50) uT",IF(AD88&lt;=0.75,"Tipo 3 (0,50-0,75) uT","Tipo 4 (&gt;0,75) uT"))))</f>
        <v>Tipo 1 (≤0,25) uT</v>
      </c>
      <c r="BD88" s="137" t="str">
        <f>IF(OR(AO88="",AY88="-"),"",IF(AO88&lt;=0.25,"Tipo 1 (≤0,25) uT",IF(AO88&lt;=0.5,"Tipo 2 (0,25-0,50) uT",IF(AO88&lt;=0.75,"Tipo 3 (0,50-0,75) uT","Tipo 4 (&gt;0,75) uT"))))</f>
        <v>Tipo 1 (≤0,25) uT</v>
      </c>
      <c r="BE88" s="137" t="str">
        <f>IF(OR(AE88="",AP88="-"),"",IF(AE88&lt;=0.25,"Tipo 1 (≤0,25) uT",IF(AE88&lt;=0.5,"Tipo 2 (0,25-0,50) uT",IF(AE88&lt;=0.75,"Tipo 3 (0,50-0,75) uT","Tipo 4 (&gt;0,75) uT"))))</f>
        <v>Tipo 4 (&gt;0,75) uT</v>
      </c>
      <c r="BF88" s="137" t="str">
        <f>IF(OR(AP88="",AP88="-"),"",IF(AP88&lt;=0.25,"Tipo 1 (≤0,25) uT",IF(AP88&lt;=0.5,"Tipo 2 (0,25-0,50) uT",IF(AP88&lt;=0.75,"Tipo 3 (0,50-0,75) uT","Tipo 4 (&gt;0,75) uT"))))</f>
        <v>Tipo 4 (&gt;0,75) uT</v>
      </c>
      <c r="BG88" s="137" t="str">
        <f>IF(OR(Q88="",Q88="-"),"",IF(Q88&lt;=0.25,"Tipo 1 (≤0,25) uT",IF(Q88&lt;=0.5,"Tipo 2 (0,25-0,50) uT",IF(Q88&lt;=0.75,"Tipo 3 (0,50-0,75) uT","Tipo 4 (&gt;0,75) uT"))))</f>
        <v>Tipo 2 (0,25-0,50) uT</v>
      </c>
    </row>
    <row r="89" spans="1:59" x14ac:dyDescent="0.3">
      <c r="A89" s="26">
        <v>46136</v>
      </c>
      <c r="B89" s="111">
        <v>0.3125</v>
      </c>
      <c r="C89" s="118">
        <v>1020</v>
      </c>
      <c r="D89" s="116">
        <v>81</v>
      </c>
      <c r="E89" s="118">
        <v>580</v>
      </c>
      <c r="F89" s="118">
        <v>1967</v>
      </c>
      <c r="G89" s="9" t="s">
        <v>34</v>
      </c>
      <c r="H89" s="124">
        <v>3.1</v>
      </c>
      <c r="I89" s="118">
        <v>90</v>
      </c>
      <c r="J89" s="118">
        <v>90</v>
      </c>
      <c r="K89" s="118">
        <v>90</v>
      </c>
      <c r="L89" s="124">
        <v>22.5</v>
      </c>
      <c r="M89" s="124">
        <v>6.9</v>
      </c>
      <c r="N89" s="81">
        <v>3.59</v>
      </c>
      <c r="O89" s="118">
        <v>19</v>
      </c>
      <c r="P89" s="124">
        <v>8.4</v>
      </c>
      <c r="Q89" s="81">
        <v>0.28999999999999998</v>
      </c>
      <c r="R89" s="79">
        <v>22.36</v>
      </c>
      <c r="S89" s="79">
        <v>0.88</v>
      </c>
      <c r="T89" s="79">
        <v>0.7</v>
      </c>
      <c r="U89" s="85"/>
      <c r="V89" s="82"/>
      <c r="W89" s="81"/>
      <c r="X89" s="118"/>
      <c r="Y89" s="118"/>
      <c r="Z89" s="124"/>
      <c r="AA89" s="118"/>
      <c r="AB89" s="124">
        <v>7</v>
      </c>
      <c r="AC89" s="124">
        <v>8.3000000000000007</v>
      </c>
      <c r="AD89" s="9">
        <v>0.24</v>
      </c>
      <c r="AE89" s="81">
        <v>0.78</v>
      </c>
      <c r="AF89" s="81"/>
      <c r="AG89" s="81"/>
      <c r="AH89" s="81"/>
      <c r="AI89" s="118"/>
      <c r="AJ89" s="118"/>
      <c r="AK89" s="81"/>
      <c r="AL89" s="81"/>
      <c r="AM89" s="124">
        <v>6.9</v>
      </c>
      <c r="AN89" s="124">
        <v>9.1999999999999993</v>
      </c>
      <c r="AO89" s="81">
        <v>0.37</v>
      </c>
      <c r="AP89" s="129">
        <v>1.23</v>
      </c>
      <c r="AQ89" s="132">
        <f t="shared" si="4"/>
        <v>1681</v>
      </c>
      <c r="AR89" s="134">
        <f t="shared" si="5"/>
        <v>0.60678167757287327</v>
      </c>
      <c r="AS89" s="134">
        <f t="shared" si="6"/>
        <v>4.8185603807257588E-2</v>
      </c>
      <c r="AT89" s="134">
        <f t="shared" si="7"/>
        <v>0.34503271861986912</v>
      </c>
      <c r="AU89" s="43" t="str">
        <f>IF(AND(F89&lt;&gt;"",Y89&lt;&gt;""),AA89/(F89/2/Y89),"")</f>
        <v/>
      </c>
      <c r="AV89" s="43" t="str">
        <f>IF(AND(F89&lt;&gt;"",AJ89&lt;&gt;""),AL89/(F89/2/AJ89),"")</f>
        <v/>
      </c>
      <c r="AW89" s="41">
        <f>IF(AND(AP89&lt;&gt;"",1-(AP89/N89)&gt;0),1-(AP89/N89),"")</f>
        <v>0.65738161559888586</v>
      </c>
      <c r="AX89" s="41">
        <f>IF(AND(AE89&lt;&gt;"",1-(AE89/N89)&gt;0),1-(AE89/N89),"")</f>
        <v>0.78272980501392753</v>
      </c>
      <c r="AY89" s="136" t="str">
        <f>IF(P89="","",IF(P89&lt;2.5,"Alc. Bruta &lt; 2,5 mg/L",IF(P89&lt;5,"2,5 ≤ Alc. Bruta &lt; 5,0 mg/L",IF(P89&lt;7.5,"5,0 ≤ Alc. Bruta &lt; 7,5 mg/L",IF(P89&lt;10,"7,5 ≤ Alc. Bruta &lt; 10,0 mg/L",IF(P89&lt;15,"10,0 ≤ Alca. Bruta &lt; 15,0 mg/L","Alc. Bruta &gt; 15 mg/L"))))))</f>
        <v>7,5 ≤ Alc. Bruta &lt; 10,0 mg/L</v>
      </c>
      <c r="AZ89" s="136" t="str">
        <f>IF(O89="","",IF(O89&lt;5,"Cor &lt;5 uC",IF(O89&lt;10,"5 ≤ Cor &lt; 10 uC",IF(O89&lt;15,"10 ≤ Cor &lt;15 uC",IF(O89&lt;30,"15 ≤ Cor &lt; 30 uC",IF(O89&lt;50,"30 ≤ Cor &lt; 50 uC","Cor &gt; 50 uC"))))))</f>
        <v>15 ≤ Cor &lt; 30 uC</v>
      </c>
      <c r="BA89" s="137" t="str">
        <f>IF(N89="","",IF(N89&lt;2.5,"Turbidez &lt; 2,5 uT",IF(N89&lt;5,"2,5 ≤ Turb &lt; 5,0 uT",IF(N89&lt;7.5,"5,0 ≤ Turb &lt; 7,5 uT",IF(N89&lt;10,"7,5 ≤ Turb &lt; 10,0 uT",IF(N89&lt;15,"10,0 ≤ Turb &lt; 15,0 uT","Turb &gt; 15 uT"))))))</f>
        <v>2,5 ≤ Turb &lt; 5,0 uT</v>
      </c>
      <c r="BB89" s="138" t="str">
        <f>IF(AND(C89&gt;D89,D89&gt;E89),"TOR &gt; SM &gt; BNN",IF(AND(C89&gt;E89,E89&gt;D89),"TOR &gt; BNN &gt; SM",IF(AND(D89&gt;C89,C89&gt;E89),"SM &gt; TOR &gt; BNN",IF(AND(D89&gt;E89,E89&gt;C89),"SM &gt; BNN &gt; TOR",IF(AND(C89=D89,D89=E89),"TOR = SM = BNN","Comb. diferentes")))))</f>
        <v>TOR &gt; BNN &gt; SM</v>
      </c>
      <c r="BC89" s="137" t="str">
        <f>IF(OR(AD89="",AP89="-"),"",IF(AD89&lt;=0.25,"Tipo 1 (≤0,25) uT",IF(AD89&lt;=0.5,"Tipo 2 (0,25-0,50) uT",IF(AD89&lt;=0.75,"Tipo 3 (0,50-0,75) uT","Tipo 4 (&gt;0,75) uT"))))</f>
        <v>Tipo 1 (≤0,25) uT</v>
      </c>
      <c r="BD89" s="137" t="str">
        <f>IF(OR(AO89="",AY89="-"),"",IF(AO89&lt;=0.25,"Tipo 1 (≤0,25) uT",IF(AO89&lt;=0.5,"Tipo 2 (0,25-0,50) uT",IF(AO89&lt;=0.75,"Tipo 3 (0,50-0,75) uT","Tipo 4 (&gt;0,75) uT"))))</f>
        <v>Tipo 2 (0,25-0,50) uT</v>
      </c>
      <c r="BE89" s="137" t="str">
        <f>IF(OR(AE89="",AP89="-"),"",IF(AE89&lt;=0.25,"Tipo 1 (≤0,25) uT",IF(AE89&lt;=0.5,"Tipo 2 (0,25-0,50) uT",IF(AE89&lt;=0.75,"Tipo 3 (0,50-0,75) uT","Tipo 4 (&gt;0,75) uT"))))</f>
        <v>Tipo 4 (&gt;0,75) uT</v>
      </c>
      <c r="BF89" s="137" t="str">
        <f>IF(OR(AP89="",AP89="-"),"",IF(AP89&lt;=0.25,"Tipo 1 (≤0,25) uT",IF(AP89&lt;=0.5,"Tipo 2 (0,25-0,50) uT",IF(AP89&lt;=0.75,"Tipo 3 (0,50-0,75) uT","Tipo 4 (&gt;0,75) uT"))))</f>
        <v>Tipo 4 (&gt;0,75) uT</v>
      </c>
      <c r="BG89" s="137" t="str">
        <f>IF(OR(Q89="",Q89="-"),"",IF(Q89&lt;=0.25,"Tipo 1 (≤0,25) uT",IF(Q89&lt;=0.5,"Tipo 2 (0,25-0,50) uT",IF(Q89&lt;=0.75,"Tipo 3 (0,50-0,75) uT","Tipo 4 (&gt;0,75) uT"))))</f>
        <v>Tipo 2 (0,25-0,50) uT</v>
      </c>
    </row>
    <row r="90" spans="1:59" x14ac:dyDescent="0.3">
      <c r="A90" s="26">
        <v>46136</v>
      </c>
      <c r="B90" s="107">
        <v>0.39583333333333331</v>
      </c>
      <c r="C90" s="116">
        <v>1051</v>
      </c>
      <c r="D90" s="116">
        <v>80</v>
      </c>
      <c r="E90" s="116">
        <v>580</v>
      </c>
      <c r="F90" s="116">
        <v>1800</v>
      </c>
      <c r="G90" s="10" t="s">
        <v>34</v>
      </c>
      <c r="H90" s="122">
        <v>2</v>
      </c>
      <c r="I90" s="116">
        <v>90</v>
      </c>
      <c r="J90" s="116">
        <v>90</v>
      </c>
      <c r="K90" s="116">
        <v>90</v>
      </c>
      <c r="L90" s="122">
        <v>23.3</v>
      </c>
      <c r="M90" s="122">
        <v>6.8</v>
      </c>
      <c r="N90" s="79">
        <v>3.67</v>
      </c>
      <c r="O90" s="116">
        <v>17</v>
      </c>
      <c r="P90" s="122">
        <v>7.3</v>
      </c>
      <c r="Q90" s="79">
        <v>0.25</v>
      </c>
      <c r="R90" s="79">
        <v>22.36</v>
      </c>
      <c r="S90" s="79">
        <v>0.88</v>
      </c>
      <c r="T90" s="79">
        <v>0.7</v>
      </c>
      <c r="U90" s="85"/>
      <c r="V90" s="79"/>
      <c r="W90" s="79"/>
      <c r="X90" s="116"/>
      <c r="Y90" s="116"/>
      <c r="Z90" s="122"/>
      <c r="AA90" s="116"/>
      <c r="AB90" s="122">
        <v>7</v>
      </c>
      <c r="AC90" s="122">
        <v>8.9</v>
      </c>
      <c r="AD90" s="10">
        <v>0.21</v>
      </c>
      <c r="AE90" s="79">
        <v>0.99</v>
      </c>
      <c r="AF90" s="79"/>
      <c r="AG90" s="79"/>
      <c r="AH90" s="79"/>
      <c r="AI90" s="116"/>
      <c r="AJ90" s="116"/>
      <c r="AK90" s="79"/>
      <c r="AL90" s="79"/>
      <c r="AM90" s="122">
        <v>6.9</v>
      </c>
      <c r="AN90" s="122">
        <v>8.6</v>
      </c>
      <c r="AO90" s="79">
        <v>0.33</v>
      </c>
      <c r="AP90" s="127">
        <v>1.1599999999999999</v>
      </c>
      <c r="AQ90" s="132">
        <f t="shared" si="4"/>
        <v>1711</v>
      </c>
      <c r="AR90" s="134">
        <f t="shared" si="5"/>
        <v>0.61426066627703102</v>
      </c>
      <c r="AS90" s="134">
        <f t="shared" si="6"/>
        <v>4.6756282875511396E-2</v>
      </c>
      <c r="AT90" s="134">
        <f t="shared" si="7"/>
        <v>0.33898305084745761</v>
      </c>
      <c r="AU90" s="43" t="str">
        <f>IF(AND(F90&lt;&gt;"",Y90&lt;&gt;""),AA90/(F90/2/Y90),"")</f>
        <v/>
      </c>
      <c r="AV90" s="43" t="str">
        <f>IF(AND(F90&lt;&gt;"",AJ90&lt;&gt;""),AL90/(F90/2/AJ90),"")</f>
        <v/>
      </c>
      <c r="AW90" s="41">
        <f>IF(AND(AP90&lt;&gt;"",1-(AP90/N90)&gt;0),1-(AP90/N90),"")</f>
        <v>0.68392370572207084</v>
      </c>
      <c r="AX90" s="41">
        <f>IF(AND(AE90&lt;&gt;"",1-(AE90/N90)&gt;0),1-(AE90/N90),"")</f>
        <v>0.73024523160762944</v>
      </c>
      <c r="AY90" s="136" t="str">
        <f>IF(P90="","",IF(P90&lt;2.5,"Alc. Bruta &lt; 2,5 mg/L",IF(P90&lt;5,"2,5 ≤ Alc. Bruta &lt; 5,0 mg/L",IF(P90&lt;7.5,"5,0 ≤ Alc. Bruta &lt; 7,5 mg/L",IF(P90&lt;10,"7,5 ≤ Alc. Bruta &lt; 10,0 mg/L",IF(P90&lt;15,"10,0 ≤ Alca. Bruta &lt; 15,0 mg/L","Alc. Bruta &gt; 15 mg/L"))))))</f>
        <v>5,0 ≤ Alc. Bruta &lt; 7,5 mg/L</v>
      </c>
      <c r="AZ90" s="136" t="str">
        <f>IF(O90="","",IF(O90&lt;5,"Cor &lt;5 uC",IF(O90&lt;10,"5 ≤ Cor &lt; 10 uC",IF(O90&lt;15,"10 ≤ Cor &lt;15 uC",IF(O90&lt;30,"15 ≤ Cor &lt; 30 uC",IF(O90&lt;50,"30 ≤ Cor &lt; 50 uC","Cor &gt; 50 uC"))))))</f>
        <v>15 ≤ Cor &lt; 30 uC</v>
      </c>
      <c r="BA90" s="137" t="str">
        <f>IF(N90="","",IF(N90&lt;2.5,"Turbidez &lt; 2,5 uT",IF(N90&lt;5,"2,5 ≤ Turb &lt; 5,0 uT",IF(N90&lt;7.5,"5,0 ≤ Turb &lt; 7,5 uT",IF(N90&lt;10,"7,5 ≤ Turb &lt; 10,0 uT",IF(N90&lt;15,"10,0 ≤ Turb &lt; 15,0 uT","Turb &gt; 15 uT"))))))</f>
        <v>2,5 ≤ Turb &lt; 5,0 uT</v>
      </c>
      <c r="BB90" s="138" t="str">
        <f>IF(AND(C90&gt;D90,D90&gt;E90),"TOR &gt; SM &gt; BNN",IF(AND(C90&gt;E90,E90&gt;D90),"TOR &gt; BNN &gt; SM",IF(AND(D90&gt;C90,C90&gt;E90),"SM &gt; TOR &gt; BNN",IF(AND(D90&gt;E90,E90&gt;C90),"SM &gt; BNN &gt; TOR",IF(AND(C90=D90,D90=E90),"TOR = SM = BNN","Comb. diferentes")))))</f>
        <v>TOR &gt; BNN &gt; SM</v>
      </c>
      <c r="BC90" s="137" t="str">
        <f>IF(OR(AD90="",AP90="-"),"",IF(AD90&lt;=0.25,"Tipo 1 (≤0,25) uT",IF(AD90&lt;=0.5,"Tipo 2 (0,25-0,50) uT",IF(AD90&lt;=0.75,"Tipo 3 (0,50-0,75) uT","Tipo 4 (&gt;0,75) uT"))))</f>
        <v>Tipo 1 (≤0,25) uT</v>
      </c>
      <c r="BD90" s="137" t="str">
        <f>IF(OR(AO90="",AY90="-"),"",IF(AO90&lt;=0.25,"Tipo 1 (≤0,25) uT",IF(AO90&lt;=0.5,"Tipo 2 (0,25-0,50) uT",IF(AO90&lt;=0.75,"Tipo 3 (0,50-0,75) uT","Tipo 4 (&gt;0,75) uT"))))</f>
        <v>Tipo 2 (0,25-0,50) uT</v>
      </c>
      <c r="BE90" s="137" t="str">
        <f>IF(OR(AE90="",AP90="-"),"",IF(AE90&lt;=0.25,"Tipo 1 (≤0,25) uT",IF(AE90&lt;=0.5,"Tipo 2 (0,25-0,50) uT",IF(AE90&lt;=0.75,"Tipo 3 (0,50-0,75) uT","Tipo 4 (&gt;0,75) uT"))))</f>
        <v>Tipo 4 (&gt;0,75) uT</v>
      </c>
      <c r="BF90" s="137" t="str">
        <f>IF(OR(AP90="",AP90="-"),"",IF(AP90&lt;=0.25,"Tipo 1 (≤0,25) uT",IF(AP90&lt;=0.5,"Tipo 2 (0,25-0,50) uT",IF(AP90&lt;=0.75,"Tipo 3 (0,50-0,75) uT","Tipo 4 (&gt;0,75) uT"))))</f>
        <v>Tipo 4 (&gt;0,75) uT</v>
      </c>
      <c r="BG90" s="137" t="str">
        <f>IF(OR(Q90="",Q90="-"),"",IF(Q90&lt;=0.25,"Tipo 1 (≤0,25) uT",IF(Q90&lt;=0.5,"Tipo 2 (0,25-0,50) uT",IF(Q90&lt;=0.75,"Tipo 3 (0,50-0,75) uT","Tipo 4 (&gt;0,75) uT"))))</f>
        <v>Tipo 1 (≤0,25) uT</v>
      </c>
    </row>
    <row r="91" spans="1:59" x14ac:dyDescent="0.3">
      <c r="A91" s="26">
        <v>46136</v>
      </c>
      <c r="B91" s="107">
        <v>0.47916666666666669</v>
      </c>
      <c r="C91" s="116">
        <v>1610</v>
      </c>
      <c r="D91" s="116">
        <v>83</v>
      </c>
      <c r="E91" s="116">
        <v>500</v>
      </c>
      <c r="F91" s="116">
        <v>2200</v>
      </c>
      <c r="G91" s="10" t="s">
        <v>34</v>
      </c>
      <c r="H91" s="122">
        <v>2.9</v>
      </c>
      <c r="I91" s="116">
        <v>90</v>
      </c>
      <c r="J91" s="116">
        <v>90</v>
      </c>
      <c r="K91" s="116">
        <v>90</v>
      </c>
      <c r="L91" s="122">
        <v>23.4</v>
      </c>
      <c r="M91" s="122">
        <v>6.8</v>
      </c>
      <c r="N91" s="79">
        <v>3.12</v>
      </c>
      <c r="O91" s="116">
        <v>16</v>
      </c>
      <c r="P91" s="122">
        <v>6.8</v>
      </c>
      <c r="Q91" s="79">
        <v>0.28999999999999998</v>
      </c>
      <c r="R91" s="79">
        <v>22.36</v>
      </c>
      <c r="S91" s="79">
        <v>0.88</v>
      </c>
      <c r="T91" s="79">
        <v>0.7</v>
      </c>
      <c r="U91" s="85"/>
      <c r="V91" s="79"/>
      <c r="W91" s="79"/>
      <c r="X91" s="116"/>
      <c r="Y91" s="116"/>
      <c r="Z91" s="122"/>
      <c r="AA91" s="116"/>
      <c r="AB91" s="122">
        <v>7</v>
      </c>
      <c r="AC91" s="122">
        <v>9.4</v>
      </c>
      <c r="AD91" s="10">
        <v>0.18</v>
      </c>
      <c r="AE91" s="79">
        <v>1.36</v>
      </c>
      <c r="AF91" s="79"/>
      <c r="AG91" s="79"/>
      <c r="AH91" s="79"/>
      <c r="AI91" s="116"/>
      <c r="AJ91" s="116"/>
      <c r="AK91" s="79"/>
      <c r="AL91" s="79"/>
      <c r="AM91" s="122">
        <v>6.9</v>
      </c>
      <c r="AN91" s="122">
        <v>8.3000000000000007</v>
      </c>
      <c r="AO91" s="79">
        <v>0.28999999999999998</v>
      </c>
      <c r="AP91" s="127">
        <v>1.1499999999999999</v>
      </c>
      <c r="AQ91" s="132">
        <f t="shared" si="4"/>
        <v>2193</v>
      </c>
      <c r="AR91" s="134">
        <f t="shared" si="5"/>
        <v>0.73415412676698588</v>
      </c>
      <c r="AS91" s="134">
        <f t="shared" si="6"/>
        <v>3.7847697218422252E-2</v>
      </c>
      <c r="AT91" s="134">
        <f t="shared" si="7"/>
        <v>0.22799817601459188</v>
      </c>
      <c r="AU91" s="43" t="str">
        <f>IF(AND(F91&lt;&gt;"",Y91&lt;&gt;""),AA91/(F91/2/Y91),"")</f>
        <v/>
      </c>
      <c r="AV91" s="43" t="str">
        <f>IF(AND(F91&lt;&gt;"",AJ91&lt;&gt;""),AL91/(F91/2/AJ91),"")</f>
        <v/>
      </c>
      <c r="AW91" s="41">
        <f>IF(AND(AP91&lt;&gt;"",1-(AP91/N91)&gt;0),1-(AP91/N91),"")</f>
        <v>0.63141025641025639</v>
      </c>
      <c r="AX91" s="41">
        <f>IF(AND(AE91&lt;&gt;"",1-(AE91/N91)&gt;0),1-(AE91/N91),"")</f>
        <v>0.5641025641025641</v>
      </c>
      <c r="AY91" s="136" t="str">
        <f>IF(P91="","",IF(P91&lt;2.5,"Alc. Bruta &lt; 2,5 mg/L",IF(P91&lt;5,"2,5 ≤ Alc. Bruta &lt; 5,0 mg/L",IF(P91&lt;7.5,"5,0 ≤ Alc. Bruta &lt; 7,5 mg/L",IF(P91&lt;10,"7,5 ≤ Alc. Bruta &lt; 10,0 mg/L",IF(P91&lt;15,"10,0 ≤ Alca. Bruta &lt; 15,0 mg/L","Alc. Bruta &gt; 15 mg/L"))))))</f>
        <v>5,0 ≤ Alc. Bruta &lt; 7,5 mg/L</v>
      </c>
      <c r="AZ91" s="136" t="str">
        <f>IF(O91="","",IF(O91&lt;5,"Cor &lt;5 uC",IF(O91&lt;10,"5 ≤ Cor &lt; 10 uC",IF(O91&lt;15,"10 ≤ Cor &lt;15 uC",IF(O91&lt;30,"15 ≤ Cor &lt; 30 uC",IF(O91&lt;50,"30 ≤ Cor &lt; 50 uC","Cor &gt; 50 uC"))))))</f>
        <v>15 ≤ Cor &lt; 30 uC</v>
      </c>
      <c r="BA91" s="137" t="str">
        <f>IF(N91="","",IF(N91&lt;2.5,"Turbidez &lt; 2,5 uT",IF(N91&lt;5,"2,5 ≤ Turb &lt; 5,0 uT",IF(N91&lt;7.5,"5,0 ≤ Turb &lt; 7,5 uT",IF(N91&lt;10,"7,5 ≤ Turb &lt; 10,0 uT",IF(N91&lt;15,"10,0 ≤ Turb &lt; 15,0 uT","Turb &gt; 15 uT"))))))</f>
        <v>2,5 ≤ Turb &lt; 5,0 uT</v>
      </c>
      <c r="BB91" s="138" t="str">
        <f>IF(AND(C91&gt;D91,D91&gt;E91),"TOR &gt; SM &gt; BNN",IF(AND(C91&gt;E91,E91&gt;D91),"TOR &gt; BNN &gt; SM",IF(AND(D91&gt;C91,C91&gt;E91),"SM &gt; TOR &gt; BNN",IF(AND(D91&gt;E91,E91&gt;C91),"SM &gt; BNN &gt; TOR",IF(AND(C91=D91,D91=E91),"TOR = SM = BNN","Comb. diferentes")))))</f>
        <v>TOR &gt; BNN &gt; SM</v>
      </c>
      <c r="BC91" s="137" t="str">
        <f>IF(OR(AD91="",AP91="-"),"",IF(AD91&lt;=0.25,"Tipo 1 (≤0,25) uT",IF(AD91&lt;=0.5,"Tipo 2 (0,25-0,50) uT",IF(AD91&lt;=0.75,"Tipo 3 (0,50-0,75) uT","Tipo 4 (&gt;0,75) uT"))))</f>
        <v>Tipo 1 (≤0,25) uT</v>
      </c>
      <c r="BD91" s="137" t="str">
        <f>IF(OR(AO91="",AY91="-"),"",IF(AO91&lt;=0.25,"Tipo 1 (≤0,25) uT",IF(AO91&lt;=0.5,"Tipo 2 (0,25-0,50) uT",IF(AO91&lt;=0.75,"Tipo 3 (0,50-0,75) uT","Tipo 4 (&gt;0,75) uT"))))</f>
        <v>Tipo 2 (0,25-0,50) uT</v>
      </c>
      <c r="BE91" s="137" t="str">
        <f>IF(OR(AE91="",AP91="-"),"",IF(AE91&lt;=0.25,"Tipo 1 (≤0,25) uT",IF(AE91&lt;=0.5,"Tipo 2 (0,25-0,50) uT",IF(AE91&lt;=0.75,"Tipo 3 (0,50-0,75) uT","Tipo 4 (&gt;0,75) uT"))))</f>
        <v>Tipo 4 (&gt;0,75) uT</v>
      </c>
      <c r="BF91" s="137" t="str">
        <f>IF(OR(AP91="",AP91="-"),"",IF(AP91&lt;=0.25,"Tipo 1 (≤0,25) uT",IF(AP91&lt;=0.5,"Tipo 2 (0,25-0,50) uT",IF(AP91&lt;=0.75,"Tipo 3 (0,50-0,75) uT","Tipo 4 (&gt;0,75) uT"))))</f>
        <v>Tipo 4 (&gt;0,75) uT</v>
      </c>
      <c r="BG91" s="137" t="str">
        <f>IF(OR(Q91="",Q91="-"),"",IF(Q91&lt;=0.25,"Tipo 1 (≤0,25) uT",IF(Q91&lt;=0.5,"Tipo 2 (0,25-0,50) uT",IF(Q91&lt;=0.75,"Tipo 3 (0,50-0,75) uT","Tipo 4 (&gt;0,75) uT"))))</f>
        <v>Tipo 2 (0,25-0,50) uT</v>
      </c>
    </row>
    <row r="92" spans="1:59" x14ac:dyDescent="0.3">
      <c r="A92" s="26">
        <v>46136</v>
      </c>
      <c r="B92" s="107">
        <v>0.64583333333333337</v>
      </c>
      <c r="C92" s="116">
        <v>1516</v>
      </c>
      <c r="D92" s="116">
        <v>87</v>
      </c>
      <c r="E92" s="116">
        <v>600</v>
      </c>
      <c r="F92" s="116">
        <v>2200</v>
      </c>
      <c r="G92" s="10" t="s">
        <v>34</v>
      </c>
      <c r="H92" s="122">
        <v>2.7</v>
      </c>
      <c r="I92" s="116">
        <v>90</v>
      </c>
      <c r="J92" s="116">
        <v>90</v>
      </c>
      <c r="K92" s="116">
        <v>90</v>
      </c>
      <c r="L92" s="122">
        <v>24.9</v>
      </c>
      <c r="M92" s="122">
        <v>6.8</v>
      </c>
      <c r="N92" s="79">
        <v>2.94</v>
      </c>
      <c r="O92" s="116">
        <v>15</v>
      </c>
      <c r="P92" s="122">
        <v>5.8</v>
      </c>
      <c r="Q92" s="79">
        <v>0.33</v>
      </c>
      <c r="R92" s="79">
        <v>22.36</v>
      </c>
      <c r="S92" s="79">
        <v>0.88</v>
      </c>
      <c r="T92" s="79">
        <v>0.7</v>
      </c>
      <c r="U92" s="85"/>
      <c r="V92" s="79"/>
      <c r="W92" s="79"/>
      <c r="X92" s="116"/>
      <c r="Y92" s="116"/>
      <c r="Z92" s="122"/>
      <c r="AA92" s="116"/>
      <c r="AB92" s="122">
        <v>7</v>
      </c>
      <c r="AC92" s="122">
        <v>6.7</v>
      </c>
      <c r="AD92" s="10">
        <v>0.12</v>
      </c>
      <c r="AE92" s="79">
        <v>0.72</v>
      </c>
      <c r="AF92" s="79"/>
      <c r="AG92" s="79"/>
      <c r="AH92" s="79"/>
      <c r="AI92" s="116"/>
      <c r="AJ92" s="116"/>
      <c r="AK92" s="79"/>
      <c r="AL92" s="79"/>
      <c r="AM92" s="122">
        <v>6.9</v>
      </c>
      <c r="AN92" s="122">
        <v>7.3</v>
      </c>
      <c r="AO92" s="79">
        <v>0.09</v>
      </c>
      <c r="AP92" s="127">
        <v>1.27</v>
      </c>
      <c r="AQ92" s="132">
        <f t="shared" si="4"/>
        <v>2203</v>
      </c>
      <c r="AR92" s="134">
        <f t="shared" si="5"/>
        <v>0.68815251929187471</v>
      </c>
      <c r="AS92" s="134">
        <f t="shared" si="6"/>
        <v>3.9491602360417613E-2</v>
      </c>
      <c r="AT92" s="134">
        <f t="shared" si="7"/>
        <v>0.27235587834770769</v>
      </c>
      <c r="AU92" s="43" t="str">
        <f>IF(AND(F92&lt;&gt;"",Y92&lt;&gt;""),AA92/(F92/2/Y92),"")</f>
        <v/>
      </c>
      <c r="AV92" s="43" t="str">
        <f>IF(AND(F92&lt;&gt;"",AJ92&lt;&gt;""),AL92/(F92/2/AJ92),"")</f>
        <v/>
      </c>
      <c r="AW92" s="41">
        <f>IF(AND(AP92&lt;&gt;"",1-(AP92/N92)&gt;0),1-(AP92/N92),"")</f>
        <v>0.56802721088435371</v>
      </c>
      <c r="AX92" s="41">
        <f>IF(AND(AE92&lt;&gt;"",1-(AE92/N92)&gt;0),1-(AE92/N92),"")</f>
        <v>0.75510204081632648</v>
      </c>
      <c r="AY92" s="136" t="str">
        <f>IF(P92="","",IF(P92&lt;2.5,"Alc. Bruta &lt; 2,5 mg/L",IF(P92&lt;5,"2,5 ≤ Alc. Bruta &lt; 5,0 mg/L",IF(P92&lt;7.5,"5,0 ≤ Alc. Bruta &lt; 7,5 mg/L",IF(P92&lt;10,"7,5 ≤ Alc. Bruta &lt; 10,0 mg/L",IF(P92&lt;15,"10,0 ≤ Alca. Bruta &lt; 15,0 mg/L","Alc. Bruta &gt; 15 mg/L"))))))</f>
        <v>5,0 ≤ Alc. Bruta &lt; 7,5 mg/L</v>
      </c>
      <c r="AZ92" s="136" t="str">
        <f>IF(O92="","",IF(O92&lt;5,"Cor &lt;5 uC",IF(O92&lt;10,"5 ≤ Cor &lt; 10 uC",IF(O92&lt;15,"10 ≤ Cor &lt;15 uC",IF(O92&lt;30,"15 ≤ Cor &lt; 30 uC",IF(O92&lt;50,"30 ≤ Cor &lt; 50 uC","Cor &gt; 50 uC"))))))</f>
        <v>15 ≤ Cor &lt; 30 uC</v>
      </c>
      <c r="BA92" s="137" t="str">
        <f>IF(N92="","",IF(N92&lt;2.5,"Turbidez &lt; 2,5 uT",IF(N92&lt;5,"2,5 ≤ Turb &lt; 5,0 uT",IF(N92&lt;7.5,"5,0 ≤ Turb &lt; 7,5 uT",IF(N92&lt;10,"7,5 ≤ Turb &lt; 10,0 uT",IF(N92&lt;15,"10,0 ≤ Turb &lt; 15,0 uT","Turb &gt; 15 uT"))))))</f>
        <v>2,5 ≤ Turb &lt; 5,0 uT</v>
      </c>
      <c r="BB92" s="138" t="str">
        <f>IF(AND(C92&gt;D92,D92&gt;E92),"TOR &gt; SM &gt; BNN",IF(AND(C92&gt;E92,E92&gt;D92),"TOR &gt; BNN &gt; SM",IF(AND(D92&gt;C92,C92&gt;E92),"SM &gt; TOR &gt; BNN",IF(AND(D92&gt;E92,E92&gt;C92),"SM &gt; BNN &gt; TOR",IF(AND(C92=D92,D92=E92),"TOR = SM = BNN","Comb. diferentes")))))</f>
        <v>TOR &gt; BNN &gt; SM</v>
      </c>
      <c r="BC92" s="137" t="str">
        <f>IF(OR(AD92="",AP92="-"),"",IF(AD92&lt;=0.25,"Tipo 1 (≤0,25) uT",IF(AD92&lt;=0.5,"Tipo 2 (0,25-0,50) uT",IF(AD92&lt;=0.75,"Tipo 3 (0,50-0,75) uT","Tipo 4 (&gt;0,75) uT"))))</f>
        <v>Tipo 1 (≤0,25) uT</v>
      </c>
      <c r="BD92" s="137" t="str">
        <f>IF(OR(AO92="",AY92="-"),"",IF(AO92&lt;=0.25,"Tipo 1 (≤0,25) uT",IF(AO92&lt;=0.5,"Tipo 2 (0,25-0,50) uT",IF(AO92&lt;=0.75,"Tipo 3 (0,50-0,75) uT","Tipo 4 (&gt;0,75) uT"))))</f>
        <v>Tipo 1 (≤0,25) uT</v>
      </c>
      <c r="BE92" s="137" t="str">
        <f>IF(OR(AE92="",AP92="-"),"",IF(AE92&lt;=0.25,"Tipo 1 (≤0,25) uT",IF(AE92&lt;=0.5,"Tipo 2 (0,25-0,50) uT",IF(AE92&lt;=0.75,"Tipo 3 (0,50-0,75) uT","Tipo 4 (&gt;0,75) uT"))))</f>
        <v>Tipo 3 (0,50-0,75) uT</v>
      </c>
      <c r="BF92" s="137" t="str">
        <f>IF(OR(AP92="",AP92="-"),"",IF(AP92&lt;=0.25,"Tipo 1 (≤0,25) uT",IF(AP92&lt;=0.5,"Tipo 2 (0,25-0,50) uT",IF(AP92&lt;=0.75,"Tipo 3 (0,50-0,75) uT","Tipo 4 (&gt;0,75) uT"))))</f>
        <v>Tipo 4 (&gt;0,75) uT</v>
      </c>
      <c r="BG92" s="137" t="str">
        <f>IF(OR(Q92="",Q92="-"),"",IF(Q92&lt;=0.25,"Tipo 1 (≤0,25) uT",IF(Q92&lt;=0.5,"Tipo 2 (0,25-0,50) uT",IF(Q92&lt;=0.75,"Tipo 3 (0,50-0,75) uT","Tipo 4 (&gt;0,75) uT"))))</f>
        <v>Tipo 2 (0,25-0,50) uT</v>
      </c>
    </row>
    <row r="93" spans="1:59" x14ac:dyDescent="0.3">
      <c r="A93" s="26">
        <v>46136</v>
      </c>
      <c r="B93" s="107">
        <v>0.72916666666666663</v>
      </c>
      <c r="C93" s="116">
        <v>1491</v>
      </c>
      <c r="D93" s="116">
        <v>82</v>
      </c>
      <c r="E93" s="116">
        <v>540</v>
      </c>
      <c r="F93" s="116">
        <v>2215</v>
      </c>
      <c r="G93" s="10" t="s">
        <v>34</v>
      </c>
      <c r="H93" s="122">
        <v>2.5</v>
      </c>
      <c r="I93" s="116">
        <v>90</v>
      </c>
      <c r="J93" s="116">
        <v>90</v>
      </c>
      <c r="K93" s="116">
        <v>90</v>
      </c>
      <c r="L93" s="122">
        <v>25.2</v>
      </c>
      <c r="M93" s="122">
        <v>6.8</v>
      </c>
      <c r="N93" s="79">
        <v>3.03</v>
      </c>
      <c r="O93" s="116">
        <v>14</v>
      </c>
      <c r="P93" s="122">
        <v>7.2</v>
      </c>
      <c r="Q93" s="79">
        <v>0.31</v>
      </c>
      <c r="R93" s="79">
        <v>22.36</v>
      </c>
      <c r="S93" s="79">
        <v>0.88</v>
      </c>
      <c r="T93" s="79">
        <v>0.7</v>
      </c>
      <c r="U93" s="85"/>
      <c r="V93" s="79"/>
      <c r="W93" s="79"/>
      <c r="X93" s="116"/>
      <c r="Y93" s="116"/>
      <c r="Z93" s="122"/>
      <c r="AA93" s="116"/>
      <c r="AB93" s="122">
        <v>7.1</v>
      </c>
      <c r="AC93" s="122">
        <v>7.3</v>
      </c>
      <c r="AD93" s="10">
        <v>0.09</v>
      </c>
      <c r="AE93" s="79">
        <v>0.66</v>
      </c>
      <c r="AF93" s="79"/>
      <c r="AG93" s="79"/>
      <c r="AH93" s="79"/>
      <c r="AI93" s="116"/>
      <c r="AJ93" s="116"/>
      <c r="AK93" s="79"/>
      <c r="AL93" s="79"/>
      <c r="AM93" s="122">
        <v>7</v>
      </c>
      <c r="AN93" s="122">
        <v>8.3000000000000007</v>
      </c>
      <c r="AO93" s="79">
        <v>0.09</v>
      </c>
      <c r="AP93" s="127">
        <v>1.23</v>
      </c>
      <c r="AQ93" s="132">
        <f t="shared" si="4"/>
        <v>2113</v>
      </c>
      <c r="AR93" s="134">
        <f t="shared" si="5"/>
        <v>0.70563180312352103</v>
      </c>
      <c r="AS93" s="134">
        <f t="shared" si="6"/>
        <v>3.8807382867960247E-2</v>
      </c>
      <c r="AT93" s="134">
        <f t="shared" si="7"/>
        <v>0.25556081400851871</v>
      </c>
      <c r="AU93" s="43" t="str">
        <f>IF(AND(F93&lt;&gt;"",Y93&lt;&gt;""),AA93/(F93/2/Y93),"")</f>
        <v/>
      </c>
      <c r="AV93" s="43" t="str">
        <f>IF(AND(F93&lt;&gt;"",AJ93&lt;&gt;""),AL93/(F93/2/AJ93),"")</f>
        <v/>
      </c>
      <c r="AW93" s="41">
        <f>IF(AND(AP93&lt;&gt;"",1-(AP93/N93)&gt;0),1-(AP93/N93),"")</f>
        <v>0.59405940594059403</v>
      </c>
      <c r="AX93" s="41">
        <f>IF(AND(AE93&lt;&gt;"",1-(AE93/N93)&gt;0),1-(AE93/N93),"")</f>
        <v>0.78217821782178221</v>
      </c>
      <c r="AY93" s="136" t="str">
        <f>IF(P93="","",IF(P93&lt;2.5,"Alc. Bruta &lt; 2,5 mg/L",IF(P93&lt;5,"2,5 ≤ Alc. Bruta &lt; 5,0 mg/L",IF(P93&lt;7.5,"5,0 ≤ Alc. Bruta &lt; 7,5 mg/L",IF(P93&lt;10,"7,5 ≤ Alc. Bruta &lt; 10,0 mg/L",IF(P93&lt;15,"10,0 ≤ Alca. Bruta &lt; 15,0 mg/L","Alc. Bruta &gt; 15 mg/L"))))))</f>
        <v>5,0 ≤ Alc. Bruta &lt; 7,5 mg/L</v>
      </c>
      <c r="AZ93" s="136" t="str">
        <f>IF(O93="","",IF(O93&lt;5,"Cor &lt;5 uC",IF(O93&lt;10,"5 ≤ Cor &lt; 10 uC",IF(O93&lt;15,"10 ≤ Cor &lt;15 uC",IF(O93&lt;30,"15 ≤ Cor &lt; 30 uC",IF(O93&lt;50,"30 ≤ Cor &lt; 50 uC","Cor &gt; 50 uC"))))))</f>
        <v>10 ≤ Cor &lt;15 uC</v>
      </c>
      <c r="BA93" s="137" t="str">
        <f>IF(N93="","",IF(N93&lt;2.5,"Turbidez &lt; 2,5 uT",IF(N93&lt;5,"2,5 ≤ Turb &lt; 5,0 uT",IF(N93&lt;7.5,"5,0 ≤ Turb &lt; 7,5 uT",IF(N93&lt;10,"7,5 ≤ Turb &lt; 10,0 uT",IF(N93&lt;15,"10,0 ≤ Turb &lt; 15,0 uT","Turb &gt; 15 uT"))))))</f>
        <v>2,5 ≤ Turb &lt; 5,0 uT</v>
      </c>
      <c r="BB93" s="138" t="str">
        <f>IF(AND(C93&gt;D93,D93&gt;E93),"TOR &gt; SM &gt; BNN",IF(AND(C93&gt;E93,E93&gt;D93),"TOR &gt; BNN &gt; SM",IF(AND(D93&gt;C93,C93&gt;E93),"SM &gt; TOR &gt; BNN",IF(AND(D93&gt;E93,E93&gt;C93),"SM &gt; BNN &gt; TOR",IF(AND(C93=D93,D93=E93),"TOR = SM = BNN","Comb. diferentes")))))</f>
        <v>TOR &gt; BNN &gt; SM</v>
      </c>
      <c r="BC93" s="137" t="str">
        <f>IF(OR(AD93="",AP93="-"),"",IF(AD93&lt;=0.25,"Tipo 1 (≤0,25) uT",IF(AD93&lt;=0.5,"Tipo 2 (0,25-0,50) uT",IF(AD93&lt;=0.75,"Tipo 3 (0,50-0,75) uT","Tipo 4 (&gt;0,75) uT"))))</f>
        <v>Tipo 1 (≤0,25) uT</v>
      </c>
      <c r="BD93" s="137" t="str">
        <f>IF(OR(AO93="",AY93="-"),"",IF(AO93&lt;=0.25,"Tipo 1 (≤0,25) uT",IF(AO93&lt;=0.5,"Tipo 2 (0,25-0,50) uT",IF(AO93&lt;=0.75,"Tipo 3 (0,50-0,75) uT","Tipo 4 (&gt;0,75) uT"))))</f>
        <v>Tipo 1 (≤0,25) uT</v>
      </c>
      <c r="BE93" s="137" t="str">
        <f>IF(OR(AE93="",AP93="-"),"",IF(AE93&lt;=0.25,"Tipo 1 (≤0,25) uT",IF(AE93&lt;=0.5,"Tipo 2 (0,25-0,50) uT",IF(AE93&lt;=0.75,"Tipo 3 (0,50-0,75) uT","Tipo 4 (&gt;0,75) uT"))))</f>
        <v>Tipo 3 (0,50-0,75) uT</v>
      </c>
      <c r="BF93" s="137" t="str">
        <f>IF(OR(AP93="",AP93="-"),"",IF(AP93&lt;=0.25,"Tipo 1 (≤0,25) uT",IF(AP93&lt;=0.5,"Tipo 2 (0,25-0,50) uT",IF(AP93&lt;=0.75,"Tipo 3 (0,50-0,75) uT","Tipo 4 (&gt;0,75) uT"))))</f>
        <v>Tipo 4 (&gt;0,75) uT</v>
      </c>
      <c r="BG93" s="137" t="str">
        <f>IF(OR(Q93="",Q93="-"),"",IF(Q93&lt;=0.25,"Tipo 1 (≤0,25) uT",IF(Q93&lt;=0.5,"Tipo 2 (0,25-0,50) uT",IF(Q93&lt;=0.75,"Tipo 3 (0,50-0,75) uT","Tipo 4 (&gt;0,75) uT"))))</f>
        <v>Tipo 2 (0,25-0,50) uT</v>
      </c>
    </row>
    <row r="94" spans="1:59" x14ac:dyDescent="0.3">
      <c r="A94" s="26">
        <v>46136</v>
      </c>
      <c r="B94" s="107">
        <v>0.8125</v>
      </c>
      <c r="C94" s="116">
        <v>1158</v>
      </c>
      <c r="D94" s="116">
        <v>81</v>
      </c>
      <c r="E94" s="116">
        <v>591</v>
      </c>
      <c r="F94" s="116">
        <v>1974</v>
      </c>
      <c r="G94" s="10" t="s">
        <v>34</v>
      </c>
      <c r="H94" s="122">
        <v>2.4500000000000002</v>
      </c>
      <c r="I94" s="116">
        <v>90</v>
      </c>
      <c r="J94" s="116">
        <v>90</v>
      </c>
      <c r="K94" s="116">
        <v>90</v>
      </c>
      <c r="L94" s="122">
        <v>25</v>
      </c>
      <c r="M94" s="122">
        <v>6.8</v>
      </c>
      <c r="N94" s="79">
        <v>2.4500000000000002</v>
      </c>
      <c r="O94" s="116">
        <v>10</v>
      </c>
      <c r="P94" s="122">
        <v>6.9</v>
      </c>
      <c r="Q94" s="79">
        <v>0.4</v>
      </c>
      <c r="R94" s="79">
        <v>22.36</v>
      </c>
      <c r="S94" s="79">
        <v>0.88</v>
      </c>
      <c r="T94" s="79">
        <v>0.7</v>
      </c>
      <c r="U94" s="85"/>
      <c r="V94" s="79"/>
      <c r="W94" s="79"/>
      <c r="X94" s="116"/>
      <c r="Y94" s="116"/>
      <c r="Z94" s="122"/>
      <c r="AA94" s="116"/>
      <c r="AB94" s="122">
        <v>7</v>
      </c>
      <c r="AC94" s="122">
        <v>6.6</v>
      </c>
      <c r="AD94" s="10">
        <v>0.14000000000000001</v>
      </c>
      <c r="AE94" s="79">
        <v>0.83</v>
      </c>
      <c r="AF94" s="79"/>
      <c r="AG94" s="79"/>
      <c r="AH94" s="79"/>
      <c r="AI94" s="116"/>
      <c r="AJ94" s="116"/>
      <c r="AK94" s="79"/>
      <c r="AL94" s="79"/>
      <c r="AM94" s="122">
        <v>7</v>
      </c>
      <c r="AN94" s="122">
        <v>6.9</v>
      </c>
      <c r="AO94" s="79">
        <v>0.13</v>
      </c>
      <c r="AP94" s="127">
        <v>1.36</v>
      </c>
      <c r="AQ94" s="132">
        <f t="shared" si="4"/>
        <v>1830</v>
      </c>
      <c r="AR94" s="134">
        <f t="shared" si="5"/>
        <v>0.63278688524590165</v>
      </c>
      <c r="AS94" s="134">
        <f t="shared" si="6"/>
        <v>4.4262295081967211E-2</v>
      </c>
      <c r="AT94" s="134">
        <f t="shared" si="7"/>
        <v>0.32295081967213113</v>
      </c>
      <c r="AU94" s="43" t="str">
        <f>IF(AND(F94&lt;&gt;"",Y94&lt;&gt;""),AA94/(F94/2/Y94),"")</f>
        <v/>
      </c>
      <c r="AV94" s="43" t="str">
        <f>IF(AND(F94&lt;&gt;"",AJ94&lt;&gt;""),AL94/(F94/2/AJ94),"")</f>
        <v/>
      </c>
      <c r="AW94" s="41">
        <f>IF(AND(AP94&lt;&gt;"",1-(AP94/N94)&gt;0),1-(AP94/N94),"")</f>
        <v>0.44489795918367347</v>
      </c>
      <c r="AX94" s="41">
        <f>IF(AND(AE94&lt;&gt;"",1-(AE94/N94)&gt;0),1-(AE94/N94),"")</f>
        <v>0.66122448979591841</v>
      </c>
      <c r="AY94" s="136" t="str">
        <f>IF(P94="","",IF(P94&lt;2.5,"Alc. Bruta &lt; 2,5 mg/L",IF(P94&lt;5,"2,5 ≤ Alc. Bruta &lt; 5,0 mg/L",IF(P94&lt;7.5,"5,0 ≤ Alc. Bruta &lt; 7,5 mg/L",IF(P94&lt;10,"7,5 ≤ Alc. Bruta &lt; 10,0 mg/L",IF(P94&lt;15,"10,0 ≤ Alca. Bruta &lt; 15,0 mg/L","Alc. Bruta &gt; 15 mg/L"))))))</f>
        <v>5,0 ≤ Alc. Bruta &lt; 7,5 mg/L</v>
      </c>
      <c r="AZ94" s="136" t="str">
        <f>IF(O94="","",IF(O94&lt;5,"Cor &lt;5 uC",IF(O94&lt;10,"5 ≤ Cor &lt; 10 uC",IF(O94&lt;15,"10 ≤ Cor &lt;15 uC",IF(O94&lt;30,"15 ≤ Cor &lt; 30 uC",IF(O94&lt;50,"30 ≤ Cor &lt; 50 uC","Cor &gt; 50 uC"))))))</f>
        <v>10 ≤ Cor &lt;15 uC</v>
      </c>
      <c r="BA94" s="137" t="str">
        <f>IF(N94="","",IF(N94&lt;2.5,"Turbidez &lt; 2,5 uT",IF(N94&lt;5,"2,5 ≤ Turb &lt; 5,0 uT",IF(N94&lt;7.5,"5,0 ≤ Turb &lt; 7,5 uT",IF(N94&lt;10,"7,5 ≤ Turb &lt; 10,0 uT",IF(N94&lt;15,"10,0 ≤ Turb &lt; 15,0 uT","Turb &gt; 15 uT"))))))</f>
        <v>Turbidez &lt; 2,5 uT</v>
      </c>
      <c r="BB94" s="138" t="str">
        <f>IF(AND(C94&gt;D94,D94&gt;E94),"TOR &gt; SM &gt; BNN",IF(AND(C94&gt;E94,E94&gt;D94),"TOR &gt; BNN &gt; SM",IF(AND(D94&gt;C94,C94&gt;E94),"SM &gt; TOR &gt; BNN",IF(AND(D94&gt;E94,E94&gt;C94),"SM &gt; BNN &gt; TOR",IF(AND(C94=D94,D94=E94),"TOR = SM = BNN","Comb. diferentes")))))</f>
        <v>TOR &gt; BNN &gt; SM</v>
      </c>
      <c r="BC94" s="137" t="str">
        <f>IF(OR(AD94="",AP94="-"),"",IF(AD94&lt;=0.25,"Tipo 1 (≤0,25) uT",IF(AD94&lt;=0.5,"Tipo 2 (0,25-0,50) uT",IF(AD94&lt;=0.75,"Tipo 3 (0,50-0,75) uT","Tipo 4 (&gt;0,75) uT"))))</f>
        <v>Tipo 1 (≤0,25) uT</v>
      </c>
      <c r="BD94" s="137" t="str">
        <f>IF(OR(AO94="",AY94="-"),"",IF(AO94&lt;=0.25,"Tipo 1 (≤0,25) uT",IF(AO94&lt;=0.5,"Tipo 2 (0,25-0,50) uT",IF(AO94&lt;=0.75,"Tipo 3 (0,50-0,75) uT","Tipo 4 (&gt;0,75) uT"))))</f>
        <v>Tipo 1 (≤0,25) uT</v>
      </c>
      <c r="BE94" s="137" t="str">
        <f>IF(OR(AE94="",AP94="-"),"",IF(AE94&lt;=0.25,"Tipo 1 (≤0,25) uT",IF(AE94&lt;=0.5,"Tipo 2 (0,25-0,50) uT",IF(AE94&lt;=0.75,"Tipo 3 (0,50-0,75) uT","Tipo 4 (&gt;0,75) uT"))))</f>
        <v>Tipo 4 (&gt;0,75) uT</v>
      </c>
      <c r="BF94" s="137" t="str">
        <f>IF(OR(AP94="",AP94="-"),"",IF(AP94&lt;=0.25,"Tipo 1 (≤0,25) uT",IF(AP94&lt;=0.5,"Tipo 2 (0,25-0,50) uT",IF(AP94&lt;=0.75,"Tipo 3 (0,50-0,75) uT","Tipo 4 (&gt;0,75) uT"))))</f>
        <v>Tipo 4 (&gt;0,75) uT</v>
      </c>
      <c r="BG94" s="137" t="str">
        <f>IF(OR(Q94="",Q94="-"),"",IF(Q94&lt;=0.25,"Tipo 1 (≤0,25) uT",IF(Q94&lt;=0.5,"Tipo 2 (0,25-0,50) uT",IF(Q94&lt;=0.75,"Tipo 3 (0,50-0,75) uT","Tipo 4 (&gt;0,75) uT"))))</f>
        <v>Tipo 2 (0,25-0,50) uT</v>
      </c>
    </row>
    <row r="95" spans="1:59" x14ac:dyDescent="0.3">
      <c r="A95" s="26">
        <v>46136</v>
      </c>
      <c r="B95" s="107">
        <v>0.89583333333333337</v>
      </c>
      <c r="C95" s="116">
        <v>1175</v>
      </c>
      <c r="D95" s="116">
        <v>84</v>
      </c>
      <c r="E95" s="116">
        <v>591</v>
      </c>
      <c r="F95" s="116">
        <v>1889</v>
      </c>
      <c r="G95" s="10" t="s">
        <v>34</v>
      </c>
      <c r="H95" s="122">
        <v>2.4500000000000002</v>
      </c>
      <c r="I95" s="116">
        <v>90</v>
      </c>
      <c r="J95" s="116">
        <v>90</v>
      </c>
      <c r="K95" s="116">
        <v>90</v>
      </c>
      <c r="L95" s="122">
        <v>24.5</v>
      </c>
      <c r="M95" s="122">
        <v>6.9</v>
      </c>
      <c r="N95" s="79">
        <v>3.44</v>
      </c>
      <c r="O95" s="116">
        <v>5</v>
      </c>
      <c r="P95" s="122">
        <v>7.6</v>
      </c>
      <c r="Q95" s="79">
        <v>0.3</v>
      </c>
      <c r="R95" s="79">
        <v>22.36</v>
      </c>
      <c r="S95" s="79">
        <v>0.88</v>
      </c>
      <c r="T95" s="79">
        <v>0.7</v>
      </c>
      <c r="U95" s="85"/>
      <c r="V95" s="79"/>
      <c r="W95" s="79"/>
      <c r="X95" s="116"/>
      <c r="Y95" s="116"/>
      <c r="Z95" s="122"/>
      <c r="AA95" s="116"/>
      <c r="AB95" s="122">
        <v>7.1</v>
      </c>
      <c r="AC95" s="122">
        <v>9.9</v>
      </c>
      <c r="AD95" s="10">
        <v>0.34</v>
      </c>
      <c r="AE95" s="79">
        <v>1.2</v>
      </c>
      <c r="AF95" s="79"/>
      <c r="AG95" s="79"/>
      <c r="AH95" s="79"/>
      <c r="AI95" s="116"/>
      <c r="AJ95" s="116"/>
      <c r="AK95" s="79"/>
      <c r="AL95" s="79"/>
      <c r="AM95" s="122">
        <v>7</v>
      </c>
      <c r="AN95" s="122">
        <v>9.4</v>
      </c>
      <c r="AO95" s="79">
        <v>0.18</v>
      </c>
      <c r="AP95" s="127">
        <v>1.49</v>
      </c>
      <c r="AQ95" s="132">
        <f t="shared" si="4"/>
        <v>1850</v>
      </c>
      <c r="AR95" s="134">
        <f t="shared" si="5"/>
        <v>0.63513513513513509</v>
      </c>
      <c r="AS95" s="134">
        <f t="shared" si="6"/>
        <v>4.5405405405405407E-2</v>
      </c>
      <c r="AT95" s="134">
        <f t="shared" si="7"/>
        <v>0.31945945945945947</v>
      </c>
      <c r="AU95" s="43" t="str">
        <f>IF(AND(F95&lt;&gt;"",Y95&lt;&gt;""),AA95/(F95/2/Y95),"")</f>
        <v/>
      </c>
      <c r="AV95" s="43" t="str">
        <f>IF(AND(F95&lt;&gt;"",AJ95&lt;&gt;""),AL95/(F95/2/AJ95),"")</f>
        <v/>
      </c>
      <c r="AW95" s="41">
        <f>IF(AND(AP95&lt;&gt;"",1-(AP95/N95)&gt;0),1-(AP95/N95),"")</f>
        <v>0.56686046511627908</v>
      </c>
      <c r="AX95" s="41">
        <f>IF(AND(AE95&lt;&gt;"",1-(AE95/N95)&gt;0),1-(AE95/N95),"")</f>
        <v>0.65116279069767447</v>
      </c>
      <c r="AY95" s="136" t="str">
        <f>IF(P95="","",IF(P95&lt;2.5,"Alc. Bruta &lt; 2,5 mg/L",IF(P95&lt;5,"2,5 ≤ Alc. Bruta &lt; 5,0 mg/L",IF(P95&lt;7.5,"5,0 ≤ Alc. Bruta &lt; 7,5 mg/L",IF(P95&lt;10,"7,5 ≤ Alc. Bruta &lt; 10,0 mg/L",IF(P95&lt;15,"10,0 ≤ Alca. Bruta &lt; 15,0 mg/L","Alc. Bruta &gt; 15 mg/L"))))))</f>
        <v>7,5 ≤ Alc. Bruta &lt; 10,0 mg/L</v>
      </c>
      <c r="AZ95" s="136" t="str">
        <f>IF(O95="","",IF(O95&lt;5,"Cor &lt;5 uC",IF(O95&lt;10,"5 ≤ Cor &lt; 10 uC",IF(O95&lt;15,"10 ≤ Cor &lt;15 uC",IF(O95&lt;30,"15 ≤ Cor &lt; 30 uC",IF(O95&lt;50,"30 ≤ Cor &lt; 50 uC","Cor &gt; 50 uC"))))))</f>
        <v>5 ≤ Cor &lt; 10 uC</v>
      </c>
      <c r="BA95" s="137" t="str">
        <f>IF(N95="","",IF(N95&lt;2.5,"Turbidez &lt; 2,5 uT",IF(N95&lt;5,"2,5 ≤ Turb &lt; 5,0 uT",IF(N95&lt;7.5,"5,0 ≤ Turb &lt; 7,5 uT",IF(N95&lt;10,"7,5 ≤ Turb &lt; 10,0 uT",IF(N95&lt;15,"10,0 ≤ Turb &lt; 15,0 uT","Turb &gt; 15 uT"))))))</f>
        <v>2,5 ≤ Turb &lt; 5,0 uT</v>
      </c>
      <c r="BB95" s="138" t="str">
        <f>IF(AND(C95&gt;D95,D95&gt;E95),"TOR &gt; SM &gt; BNN",IF(AND(C95&gt;E95,E95&gt;D95),"TOR &gt; BNN &gt; SM",IF(AND(D95&gt;C95,C95&gt;E95),"SM &gt; TOR &gt; BNN",IF(AND(D95&gt;E95,E95&gt;C95),"SM &gt; BNN &gt; TOR",IF(AND(C95=D95,D95=E95),"TOR = SM = BNN","Comb. diferentes")))))</f>
        <v>TOR &gt; BNN &gt; SM</v>
      </c>
      <c r="BC95" s="137" t="str">
        <f>IF(OR(AD95="",AP95="-"),"",IF(AD95&lt;=0.25,"Tipo 1 (≤0,25) uT",IF(AD95&lt;=0.5,"Tipo 2 (0,25-0,50) uT",IF(AD95&lt;=0.75,"Tipo 3 (0,50-0,75) uT","Tipo 4 (&gt;0,75) uT"))))</f>
        <v>Tipo 2 (0,25-0,50) uT</v>
      </c>
      <c r="BD95" s="137" t="str">
        <f>IF(OR(AO95="",AY95="-"),"",IF(AO95&lt;=0.25,"Tipo 1 (≤0,25) uT",IF(AO95&lt;=0.5,"Tipo 2 (0,25-0,50) uT",IF(AO95&lt;=0.75,"Tipo 3 (0,50-0,75) uT","Tipo 4 (&gt;0,75) uT"))))</f>
        <v>Tipo 1 (≤0,25) uT</v>
      </c>
      <c r="BE95" s="137" t="str">
        <f>IF(OR(AE95="",AP95="-"),"",IF(AE95&lt;=0.25,"Tipo 1 (≤0,25) uT",IF(AE95&lt;=0.5,"Tipo 2 (0,25-0,50) uT",IF(AE95&lt;=0.75,"Tipo 3 (0,50-0,75) uT","Tipo 4 (&gt;0,75) uT"))))</f>
        <v>Tipo 4 (&gt;0,75) uT</v>
      </c>
      <c r="BF95" s="137" t="str">
        <f>IF(OR(AP95="",AP95="-"),"",IF(AP95&lt;=0.25,"Tipo 1 (≤0,25) uT",IF(AP95&lt;=0.5,"Tipo 2 (0,25-0,50) uT",IF(AP95&lt;=0.75,"Tipo 3 (0,50-0,75) uT","Tipo 4 (&gt;0,75) uT"))))</f>
        <v>Tipo 4 (&gt;0,75) uT</v>
      </c>
      <c r="BG95" s="137" t="str">
        <f>IF(OR(Q95="",Q95="-"),"",IF(Q95&lt;=0.25,"Tipo 1 (≤0,25) uT",IF(Q95&lt;=0.5,"Tipo 2 (0,25-0,50) uT",IF(Q95&lt;=0.75,"Tipo 3 (0,50-0,75) uT","Tipo 4 (&gt;0,75) uT"))))</f>
        <v>Tipo 2 (0,25-0,50) uT</v>
      </c>
    </row>
    <row r="96" spans="1:59" x14ac:dyDescent="0.3">
      <c r="A96" s="26">
        <v>46136</v>
      </c>
      <c r="B96" s="107">
        <v>0.97916666666666663</v>
      </c>
      <c r="C96" s="116">
        <v>1218</v>
      </c>
      <c r="D96" s="116">
        <v>81</v>
      </c>
      <c r="E96" s="116">
        <v>589</v>
      </c>
      <c r="F96" s="116">
        <v>1978</v>
      </c>
      <c r="G96" s="10" t="s">
        <v>34</v>
      </c>
      <c r="H96" s="122">
        <v>2.4500000000000002</v>
      </c>
      <c r="I96" s="116">
        <v>90</v>
      </c>
      <c r="J96" s="116">
        <v>90</v>
      </c>
      <c r="K96" s="116">
        <v>90</v>
      </c>
      <c r="L96" s="122">
        <v>24.4</v>
      </c>
      <c r="M96" s="122">
        <v>6.9</v>
      </c>
      <c r="N96" s="79">
        <v>5.89</v>
      </c>
      <c r="O96" s="116">
        <v>21</v>
      </c>
      <c r="P96" s="122">
        <v>6.2</v>
      </c>
      <c r="Q96" s="79">
        <v>0.33</v>
      </c>
      <c r="R96" s="79">
        <v>22.36</v>
      </c>
      <c r="S96" s="79">
        <v>0.88</v>
      </c>
      <c r="T96" s="79">
        <v>0.7</v>
      </c>
      <c r="U96" s="85"/>
      <c r="V96" s="79"/>
      <c r="W96" s="79"/>
      <c r="X96" s="116"/>
      <c r="Y96" s="116"/>
      <c r="Z96" s="122"/>
      <c r="AA96" s="116"/>
      <c r="AB96" s="122">
        <v>7.1</v>
      </c>
      <c r="AC96" s="122">
        <v>7.2</v>
      </c>
      <c r="AD96" s="10">
        <v>0.48</v>
      </c>
      <c r="AE96" s="79">
        <v>1.34</v>
      </c>
      <c r="AF96" s="79"/>
      <c r="AG96" s="79"/>
      <c r="AH96" s="79"/>
      <c r="AI96" s="116"/>
      <c r="AJ96" s="116"/>
      <c r="AK96" s="79"/>
      <c r="AL96" s="79"/>
      <c r="AM96" s="122">
        <v>7</v>
      </c>
      <c r="AN96" s="122">
        <v>7.6</v>
      </c>
      <c r="AO96" s="79">
        <v>0.11</v>
      </c>
      <c r="AP96" s="127">
        <v>1.01</v>
      </c>
      <c r="AQ96" s="132">
        <f t="shared" si="4"/>
        <v>1888</v>
      </c>
      <c r="AR96" s="134">
        <f t="shared" si="5"/>
        <v>0.6451271186440678</v>
      </c>
      <c r="AS96" s="134">
        <f t="shared" si="6"/>
        <v>4.2902542372881353E-2</v>
      </c>
      <c r="AT96" s="134">
        <f t="shared" si="7"/>
        <v>0.31197033898305082</v>
      </c>
      <c r="AU96" s="43" t="str">
        <f>IF(AND(F96&lt;&gt;"",Y96&lt;&gt;""),AA96/(F96/2/Y96),"")</f>
        <v/>
      </c>
      <c r="AV96" s="43" t="str">
        <f>IF(AND(F96&lt;&gt;"",AJ96&lt;&gt;""),AL96/(F96/2/AJ96),"")</f>
        <v/>
      </c>
      <c r="AW96" s="41">
        <f>IF(AND(AP96&lt;&gt;"",1-(AP96/N96)&gt;0),1-(AP96/N96),"")</f>
        <v>0.82852292020373519</v>
      </c>
      <c r="AX96" s="41">
        <f>IF(AND(AE96&lt;&gt;"",1-(AE96/N96)&gt;0),1-(AE96/N96),"")</f>
        <v>0.77249575551782679</v>
      </c>
      <c r="AY96" s="136" t="str">
        <f>IF(P96="","",IF(P96&lt;2.5,"Alc. Bruta &lt; 2,5 mg/L",IF(P96&lt;5,"2,5 ≤ Alc. Bruta &lt; 5,0 mg/L",IF(P96&lt;7.5,"5,0 ≤ Alc. Bruta &lt; 7,5 mg/L",IF(P96&lt;10,"7,5 ≤ Alc. Bruta &lt; 10,0 mg/L",IF(P96&lt;15,"10,0 ≤ Alca. Bruta &lt; 15,0 mg/L","Alc. Bruta &gt; 15 mg/L"))))))</f>
        <v>5,0 ≤ Alc. Bruta &lt; 7,5 mg/L</v>
      </c>
      <c r="AZ96" s="136" t="str">
        <f>IF(O96="","",IF(O96&lt;5,"Cor &lt;5 uC",IF(O96&lt;10,"5 ≤ Cor &lt; 10 uC",IF(O96&lt;15,"10 ≤ Cor &lt;15 uC",IF(O96&lt;30,"15 ≤ Cor &lt; 30 uC",IF(O96&lt;50,"30 ≤ Cor &lt; 50 uC","Cor &gt; 50 uC"))))))</f>
        <v>15 ≤ Cor &lt; 30 uC</v>
      </c>
      <c r="BA96" s="137" t="str">
        <f>IF(N96="","",IF(N96&lt;2.5,"Turbidez &lt; 2,5 uT",IF(N96&lt;5,"2,5 ≤ Turb &lt; 5,0 uT",IF(N96&lt;7.5,"5,0 ≤ Turb &lt; 7,5 uT",IF(N96&lt;10,"7,5 ≤ Turb &lt; 10,0 uT",IF(N96&lt;15,"10,0 ≤ Turb &lt; 15,0 uT","Turb &gt; 15 uT"))))))</f>
        <v>5,0 ≤ Turb &lt; 7,5 uT</v>
      </c>
      <c r="BB96" s="138" t="str">
        <f>IF(AND(C96&gt;D96,D96&gt;E96),"TOR &gt; SM &gt; BNN",IF(AND(C96&gt;E96,E96&gt;D96),"TOR &gt; BNN &gt; SM",IF(AND(D96&gt;C96,C96&gt;E96),"SM &gt; TOR &gt; BNN",IF(AND(D96&gt;E96,E96&gt;C96),"SM &gt; BNN &gt; TOR",IF(AND(C96=D96,D96=E96),"TOR = SM = BNN","Comb. diferentes")))))</f>
        <v>TOR &gt; BNN &gt; SM</v>
      </c>
      <c r="BC96" s="137" t="str">
        <f>IF(OR(AD96="",AP96="-"),"",IF(AD96&lt;=0.25,"Tipo 1 (≤0,25) uT",IF(AD96&lt;=0.5,"Tipo 2 (0,25-0,50) uT",IF(AD96&lt;=0.75,"Tipo 3 (0,50-0,75) uT","Tipo 4 (&gt;0,75) uT"))))</f>
        <v>Tipo 2 (0,25-0,50) uT</v>
      </c>
      <c r="BD96" s="137" t="str">
        <f>IF(OR(AO96="",AY96="-"),"",IF(AO96&lt;=0.25,"Tipo 1 (≤0,25) uT",IF(AO96&lt;=0.5,"Tipo 2 (0,25-0,50) uT",IF(AO96&lt;=0.75,"Tipo 3 (0,50-0,75) uT","Tipo 4 (&gt;0,75) uT"))))</f>
        <v>Tipo 1 (≤0,25) uT</v>
      </c>
      <c r="BE96" s="137" t="str">
        <f>IF(OR(AE96="",AP96="-"),"",IF(AE96&lt;=0.25,"Tipo 1 (≤0,25) uT",IF(AE96&lt;=0.5,"Tipo 2 (0,25-0,50) uT",IF(AE96&lt;=0.75,"Tipo 3 (0,50-0,75) uT","Tipo 4 (&gt;0,75) uT"))))</f>
        <v>Tipo 4 (&gt;0,75) uT</v>
      </c>
      <c r="BF96" s="137" t="str">
        <f>IF(OR(AP96="",AP96="-"),"",IF(AP96&lt;=0.25,"Tipo 1 (≤0,25) uT",IF(AP96&lt;=0.5,"Tipo 2 (0,25-0,50) uT",IF(AP96&lt;=0.75,"Tipo 3 (0,50-0,75) uT","Tipo 4 (&gt;0,75) uT"))))</f>
        <v>Tipo 4 (&gt;0,75) uT</v>
      </c>
      <c r="BG96" s="137" t="str">
        <f>IF(OR(Q96="",Q96="-"),"",IF(Q96&lt;=0.25,"Tipo 1 (≤0,25) uT",IF(Q96&lt;=0.5,"Tipo 2 (0,25-0,50) uT",IF(Q96&lt;=0.75,"Tipo 3 (0,50-0,75) uT","Tipo 4 (&gt;0,75) uT"))))</f>
        <v>Tipo 2 (0,25-0,50) uT</v>
      </c>
    </row>
    <row r="97" spans="1:59" x14ac:dyDescent="0.3">
      <c r="A97" s="26">
        <v>46137</v>
      </c>
      <c r="B97" s="107">
        <v>6.25E-2</v>
      </c>
      <c r="C97" s="116">
        <v>1221</v>
      </c>
      <c r="D97" s="116">
        <v>86</v>
      </c>
      <c r="E97" s="116">
        <v>589</v>
      </c>
      <c r="F97" s="116">
        <v>1975</v>
      </c>
      <c r="G97" s="10" t="s">
        <v>34</v>
      </c>
      <c r="H97" s="122">
        <v>2.6</v>
      </c>
      <c r="I97" s="116">
        <v>90</v>
      </c>
      <c r="J97" s="116">
        <v>90</v>
      </c>
      <c r="K97" s="116">
        <v>90</v>
      </c>
      <c r="L97" s="122">
        <v>24.1</v>
      </c>
      <c r="M97" s="122">
        <v>6.9</v>
      </c>
      <c r="N97" s="79">
        <v>3.36</v>
      </c>
      <c r="O97" s="116">
        <v>14</v>
      </c>
      <c r="P97" s="122">
        <v>7.1</v>
      </c>
      <c r="Q97" s="79">
        <v>0.63</v>
      </c>
      <c r="R97" s="79">
        <v>22.36</v>
      </c>
      <c r="S97" s="79">
        <v>0.88</v>
      </c>
      <c r="T97" s="79">
        <v>0.7</v>
      </c>
      <c r="U97" s="85"/>
      <c r="V97" s="79"/>
      <c r="W97" s="79"/>
      <c r="X97" s="116"/>
      <c r="Y97" s="116"/>
      <c r="Z97" s="122"/>
      <c r="AA97" s="116"/>
      <c r="AB97" s="122">
        <v>7.1</v>
      </c>
      <c r="AC97" s="122">
        <v>7.1</v>
      </c>
      <c r="AD97" s="10">
        <v>0.43</v>
      </c>
      <c r="AE97" s="79">
        <v>1.58</v>
      </c>
      <c r="AF97" s="79"/>
      <c r="AG97" s="79"/>
      <c r="AH97" s="79"/>
      <c r="AI97" s="116"/>
      <c r="AJ97" s="116"/>
      <c r="AK97" s="79"/>
      <c r="AL97" s="79"/>
      <c r="AM97" s="122">
        <v>7</v>
      </c>
      <c r="AN97" s="122">
        <v>6.9</v>
      </c>
      <c r="AO97" s="79">
        <v>0.13</v>
      </c>
      <c r="AP97" s="127">
        <v>0.93</v>
      </c>
      <c r="AQ97" s="132">
        <f t="shared" si="4"/>
        <v>1896</v>
      </c>
      <c r="AR97" s="134">
        <f t="shared" si="5"/>
        <v>0.64398734177215189</v>
      </c>
      <c r="AS97" s="134">
        <f t="shared" si="6"/>
        <v>4.5358649789029537E-2</v>
      </c>
      <c r="AT97" s="134">
        <f t="shared" si="7"/>
        <v>0.31065400843881857</v>
      </c>
      <c r="AU97" s="43" t="str">
        <f>IF(AND(F97&lt;&gt;"",Y97&lt;&gt;""),AA97/(F97/2/Y97),"")</f>
        <v/>
      </c>
      <c r="AV97" s="43" t="str">
        <f>IF(AND(F97&lt;&gt;"",AJ97&lt;&gt;""),AL97/(F97/2/AJ97),"")</f>
        <v/>
      </c>
      <c r="AW97" s="41">
        <f>IF(AND(AP97&lt;&gt;"",1-(AP97/N97)&gt;0),1-(AP97/N97),"")</f>
        <v>0.7232142857142857</v>
      </c>
      <c r="AX97" s="41">
        <f>IF(AND(AE97&lt;&gt;"",1-(AE97/N97)&gt;0),1-(AE97/N97),"")</f>
        <v>0.52976190476190466</v>
      </c>
      <c r="AY97" s="136" t="str">
        <f>IF(P97="","",IF(P97&lt;2.5,"Alc. Bruta &lt; 2,5 mg/L",IF(P97&lt;5,"2,5 ≤ Alc. Bruta &lt; 5,0 mg/L",IF(P97&lt;7.5,"5,0 ≤ Alc. Bruta &lt; 7,5 mg/L",IF(P97&lt;10,"7,5 ≤ Alc. Bruta &lt; 10,0 mg/L",IF(P97&lt;15,"10,0 ≤ Alca. Bruta &lt; 15,0 mg/L","Alc. Bruta &gt; 15 mg/L"))))))</f>
        <v>5,0 ≤ Alc. Bruta &lt; 7,5 mg/L</v>
      </c>
      <c r="AZ97" s="136" t="str">
        <f>IF(O97="","",IF(O97&lt;5,"Cor &lt;5 uC",IF(O97&lt;10,"5 ≤ Cor &lt; 10 uC",IF(O97&lt;15,"10 ≤ Cor &lt;15 uC",IF(O97&lt;30,"15 ≤ Cor &lt; 30 uC",IF(O97&lt;50,"30 ≤ Cor &lt; 50 uC","Cor &gt; 50 uC"))))))</f>
        <v>10 ≤ Cor &lt;15 uC</v>
      </c>
      <c r="BA97" s="137" t="str">
        <f>IF(N97="","",IF(N97&lt;2.5,"Turbidez &lt; 2,5 uT",IF(N97&lt;5,"2,5 ≤ Turb &lt; 5,0 uT",IF(N97&lt;7.5,"5,0 ≤ Turb &lt; 7,5 uT",IF(N97&lt;10,"7,5 ≤ Turb &lt; 10,0 uT",IF(N97&lt;15,"10,0 ≤ Turb &lt; 15,0 uT","Turb &gt; 15 uT"))))))</f>
        <v>2,5 ≤ Turb &lt; 5,0 uT</v>
      </c>
      <c r="BB97" s="138" t="str">
        <f>IF(AND(C97&gt;D97,D97&gt;E97),"TOR &gt; SM &gt; BNN",IF(AND(C97&gt;E97,E97&gt;D97),"TOR &gt; BNN &gt; SM",IF(AND(D97&gt;C97,C97&gt;E97),"SM &gt; TOR &gt; BNN",IF(AND(D97&gt;E97,E97&gt;C97),"SM &gt; BNN &gt; TOR",IF(AND(C97=D97,D97=E97),"TOR = SM = BNN","Comb. diferentes")))))</f>
        <v>TOR &gt; BNN &gt; SM</v>
      </c>
      <c r="BC97" s="137" t="str">
        <f>IF(OR(AD97="",AP97="-"),"",IF(AD97&lt;=0.25,"Tipo 1 (≤0,25) uT",IF(AD97&lt;=0.5,"Tipo 2 (0,25-0,50) uT",IF(AD97&lt;=0.75,"Tipo 3 (0,50-0,75) uT","Tipo 4 (&gt;0,75) uT"))))</f>
        <v>Tipo 2 (0,25-0,50) uT</v>
      </c>
      <c r="BD97" s="137" t="str">
        <f>IF(OR(AO97="",AY97="-"),"",IF(AO97&lt;=0.25,"Tipo 1 (≤0,25) uT",IF(AO97&lt;=0.5,"Tipo 2 (0,25-0,50) uT",IF(AO97&lt;=0.75,"Tipo 3 (0,50-0,75) uT","Tipo 4 (&gt;0,75) uT"))))</f>
        <v>Tipo 1 (≤0,25) uT</v>
      </c>
      <c r="BE97" s="137" t="str">
        <f>IF(OR(AE97="",AP97="-"),"",IF(AE97&lt;=0.25,"Tipo 1 (≤0,25) uT",IF(AE97&lt;=0.5,"Tipo 2 (0,25-0,50) uT",IF(AE97&lt;=0.75,"Tipo 3 (0,50-0,75) uT","Tipo 4 (&gt;0,75) uT"))))</f>
        <v>Tipo 4 (&gt;0,75) uT</v>
      </c>
      <c r="BF97" s="137" t="str">
        <f>IF(OR(AP97="",AP97="-"),"",IF(AP97&lt;=0.25,"Tipo 1 (≤0,25) uT",IF(AP97&lt;=0.5,"Tipo 2 (0,25-0,50) uT",IF(AP97&lt;=0.75,"Tipo 3 (0,50-0,75) uT","Tipo 4 (&gt;0,75) uT"))))</f>
        <v>Tipo 4 (&gt;0,75) uT</v>
      </c>
      <c r="BG97" s="137" t="str">
        <f>IF(OR(Q97="",Q97="-"),"",IF(Q97&lt;=0.25,"Tipo 1 (≤0,25) uT",IF(Q97&lt;=0.5,"Tipo 2 (0,25-0,50) uT",IF(Q97&lt;=0.75,"Tipo 3 (0,50-0,75) uT","Tipo 4 (&gt;0,75) uT"))))</f>
        <v>Tipo 3 (0,50-0,75) uT</v>
      </c>
    </row>
    <row r="98" spans="1:59" x14ac:dyDescent="0.3">
      <c r="A98" s="26">
        <v>46137</v>
      </c>
      <c r="B98" s="107">
        <v>0.14583333333333334</v>
      </c>
      <c r="C98" s="116">
        <v>1212</v>
      </c>
      <c r="D98" s="116">
        <v>87</v>
      </c>
      <c r="E98" s="116">
        <v>590</v>
      </c>
      <c r="F98" s="116">
        <v>1946</v>
      </c>
      <c r="G98" s="10" t="s">
        <v>34</v>
      </c>
      <c r="H98" s="122">
        <v>2.7</v>
      </c>
      <c r="I98" s="116">
        <v>90</v>
      </c>
      <c r="J98" s="116">
        <v>90</v>
      </c>
      <c r="K98" s="116">
        <v>90</v>
      </c>
      <c r="L98" s="122">
        <v>24</v>
      </c>
      <c r="M98" s="122">
        <v>6.9</v>
      </c>
      <c r="N98" s="79">
        <v>3.36</v>
      </c>
      <c r="O98" s="116">
        <v>15</v>
      </c>
      <c r="P98" s="122">
        <v>6.5</v>
      </c>
      <c r="Q98" s="79">
        <v>0.45</v>
      </c>
      <c r="R98" s="79">
        <v>22.36</v>
      </c>
      <c r="S98" s="79">
        <v>0.88</v>
      </c>
      <c r="T98" s="79">
        <v>0.7</v>
      </c>
      <c r="U98" s="85"/>
      <c r="V98" s="79"/>
      <c r="W98" s="79"/>
      <c r="X98" s="116"/>
      <c r="Y98" s="116"/>
      <c r="Z98" s="122"/>
      <c r="AA98" s="116"/>
      <c r="AB98" s="122">
        <v>7</v>
      </c>
      <c r="AC98" s="122">
        <v>8.1</v>
      </c>
      <c r="AD98" s="10">
        <v>0.6</v>
      </c>
      <c r="AE98" s="79">
        <v>1.22</v>
      </c>
      <c r="AF98" s="79"/>
      <c r="AG98" s="79"/>
      <c r="AH98" s="79"/>
      <c r="AI98" s="116"/>
      <c r="AJ98" s="116"/>
      <c r="AK98" s="79"/>
      <c r="AL98" s="79"/>
      <c r="AM98" s="122">
        <v>7</v>
      </c>
      <c r="AN98" s="122">
        <v>7.7</v>
      </c>
      <c r="AO98" s="79">
        <v>0.14000000000000001</v>
      </c>
      <c r="AP98" s="127">
        <v>0.98</v>
      </c>
      <c r="AQ98" s="132">
        <f t="shared" si="4"/>
        <v>1889</v>
      </c>
      <c r="AR98" s="134">
        <f t="shared" si="5"/>
        <v>0.64160931709899416</v>
      </c>
      <c r="AS98" s="134">
        <f t="shared" si="6"/>
        <v>4.6056114346214927E-2</v>
      </c>
      <c r="AT98" s="134">
        <f t="shared" si="7"/>
        <v>0.31233456855479091</v>
      </c>
      <c r="AU98" s="43" t="str">
        <f>IF(AND(F98&lt;&gt;"",Y98&lt;&gt;""),AA98/(F98/2/Y98),"")</f>
        <v/>
      </c>
      <c r="AV98" s="43" t="str">
        <f>IF(AND(F98&lt;&gt;"",AJ98&lt;&gt;""),AL98/(F98/2/AJ98),"")</f>
        <v/>
      </c>
      <c r="AW98" s="41">
        <f>IF(AND(AP98&lt;&gt;"",1-(AP98/N98)&gt;0),1-(AP98/N98),"")</f>
        <v>0.70833333333333326</v>
      </c>
      <c r="AX98" s="41">
        <f>IF(AND(AE98&lt;&gt;"",1-(AE98/N98)&gt;0),1-(AE98/N98),"")</f>
        <v>0.63690476190476186</v>
      </c>
      <c r="AY98" s="136" t="str">
        <f>IF(P98="","",IF(P98&lt;2.5,"Alc. Bruta &lt; 2,5 mg/L",IF(P98&lt;5,"2,5 ≤ Alc. Bruta &lt; 5,0 mg/L",IF(P98&lt;7.5,"5,0 ≤ Alc. Bruta &lt; 7,5 mg/L",IF(P98&lt;10,"7,5 ≤ Alc. Bruta &lt; 10,0 mg/L",IF(P98&lt;15,"10,0 ≤ Alca. Bruta &lt; 15,0 mg/L","Alc. Bruta &gt; 15 mg/L"))))))</f>
        <v>5,0 ≤ Alc. Bruta &lt; 7,5 mg/L</v>
      </c>
      <c r="AZ98" s="136" t="str">
        <f>IF(O98="","",IF(O98&lt;5,"Cor &lt;5 uC",IF(O98&lt;10,"5 ≤ Cor &lt; 10 uC",IF(O98&lt;15,"10 ≤ Cor &lt;15 uC",IF(O98&lt;30,"15 ≤ Cor &lt; 30 uC",IF(O98&lt;50,"30 ≤ Cor &lt; 50 uC","Cor &gt; 50 uC"))))))</f>
        <v>15 ≤ Cor &lt; 30 uC</v>
      </c>
      <c r="BA98" s="137" t="str">
        <f>IF(N98="","",IF(N98&lt;2.5,"Turbidez &lt; 2,5 uT",IF(N98&lt;5,"2,5 ≤ Turb &lt; 5,0 uT",IF(N98&lt;7.5,"5,0 ≤ Turb &lt; 7,5 uT",IF(N98&lt;10,"7,5 ≤ Turb &lt; 10,0 uT",IF(N98&lt;15,"10,0 ≤ Turb &lt; 15,0 uT","Turb &gt; 15 uT"))))))</f>
        <v>2,5 ≤ Turb &lt; 5,0 uT</v>
      </c>
      <c r="BB98" s="138" t="str">
        <f>IF(AND(C98&gt;D98,D98&gt;E98),"TOR &gt; SM &gt; BNN",IF(AND(C98&gt;E98,E98&gt;D98),"TOR &gt; BNN &gt; SM",IF(AND(D98&gt;C98,C98&gt;E98),"SM &gt; TOR &gt; BNN",IF(AND(D98&gt;E98,E98&gt;C98),"SM &gt; BNN &gt; TOR",IF(AND(C98=D98,D98=E98),"TOR = SM = BNN","Comb. diferentes")))))</f>
        <v>TOR &gt; BNN &gt; SM</v>
      </c>
      <c r="BC98" s="137" t="str">
        <f>IF(OR(AD98="",AP98="-"),"",IF(AD98&lt;=0.25,"Tipo 1 (≤0,25) uT",IF(AD98&lt;=0.5,"Tipo 2 (0,25-0,50) uT",IF(AD98&lt;=0.75,"Tipo 3 (0,50-0,75) uT","Tipo 4 (&gt;0,75) uT"))))</f>
        <v>Tipo 3 (0,50-0,75) uT</v>
      </c>
      <c r="BD98" s="137" t="str">
        <f>IF(OR(AO98="",AY98="-"),"",IF(AO98&lt;=0.25,"Tipo 1 (≤0,25) uT",IF(AO98&lt;=0.5,"Tipo 2 (0,25-0,50) uT",IF(AO98&lt;=0.75,"Tipo 3 (0,50-0,75) uT","Tipo 4 (&gt;0,75) uT"))))</f>
        <v>Tipo 1 (≤0,25) uT</v>
      </c>
      <c r="BE98" s="137" t="str">
        <f>IF(OR(AE98="",AP98="-"),"",IF(AE98&lt;=0.25,"Tipo 1 (≤0,25) uT",IF(AE98&lt;=0.5,"Tipo 2 (0,25-0,50) uT",IF(AE98&lt;=0.75,"Tipo 3 (0,50-0,75) uT","Tipo 4 (&gt;0,75) uT"))))</f>
        <v>Tipo 4 (&gt;0,75) uT</v>
      </c>
      <c r="BF98" s="137" t="str">
        <f>IF(OR(AP98="",AP98="-"),"",IF(AP98&lt;=0.25,"Tipo 1 (≤0,25) uT",IF(AP98&lt;=0.5,"Tipo 2 (0,25-0,50) uT",IF(AP98&lt;=0.75,"Tipo 3 (0,50-0,75) uT","Tipo 4 (&gt;0,75) uT"))))</f>
        <v>Tipo 4 (&gt;0,75) uT</v>
      </c>
      <c r="BG98" s="137" t="str">
        <f>IF(OR(Q98="",Q98="-"),"",IF(Q98&lt;=0.25,"Tipo 1 (≤0,25) uT",IF(Q98&lt;=0.5,"Tipo 2 (0,25-0,50) uT",IF(Q98&lt;=0.75,"Tipo 3 (0,50-0,75) uT","Tipo 4 (&gt;0,75) uT"))))</f>
        <v>Tipo 2 (0,25-0,50) uT</v>
      </c>
    </row>
    <row r="99" spans="1:59" ht="15" thickBot="1" x14ac:dyDescent="0.35">
      <c r="A99" s="26">
        <v>46137</v>
      </c>
      <c r="B99" s="110">
        <v>0.22916666666666666</v>
      </c>
      <c r="C99" s="117">
        <v>1156</v>
      </c>
      <c r="D99" s="117">
        <v>86</v>
      </c>
      <c r="E99" s="117">
        <v>591</v>
      </c>
      <c r="F99" s="117">
        <v>1884</v>
      </c>
      <c r="G99" s="11" t="s">
        <v>34</v>
      </c>
      <c r="H99" s="123">
        <v>2.7</v>
      </c>
      <c r="I99" s="117">
        <v>90</v>
      </c>
      <c r="J99" s="117">
        <v>90</v>
      </c>
      <c r="K99" s="117">
        <v>90</v>
      </c>
      <c r="L99" s="123">
        <v>23.7</v>
      </c>
      <c r="M99" s="123">
        <v>6.8</v>
      </c>
      <c r="N99" s="80">
        <v>4.1900000000000004</v>
      </c>
      <c r="O99" s="117">
        <v>16</v>
      </c>
      <c r="P99" s="123">
        <v>7.1</v>
      </c>
      <c r="Q99" s="80">
        <v>0.35</v>
      </c>
      <c r="R99" s="79">
        <v>22.36</v>
      </c>
      <c r="S99" s="79">
        <v>0.88</v>
      </c>
      <c r="T99" s="79">
        <v>0.7</v>
      </c>
      <c r="U99" s="85"/>
      <c r="V99" s="84"/>
      <c r="W99" s="80"/>
      <c r="X99" s="117"/>
      <c r="Y99" s="117"/>
      <c r="Z99" s="123"/>
      <c r="AA99" s="117"/>
      <c r="AB99" s="123">
        <v>6.9</v>
      </c>
      <c r="AC99" s="123">
        <v>7.9</v>
      </c>
      <c r="AD99" s="11">
        <v>0.23</v>
      </c>
      <c r="AE99" s="80">
        <v>0.74</v>
      </c>
      <c r="AF99" s="80"/>
      <c r="AG99" s="80"/>
      <c r="AH99" s="80"/>
      <c r="AI99" s="117"/>
      <c r="AJ99" s="117"/>
      <c r="AK99" s="80"/>
      <c r="AL99" s="80"/>
      <c r="AM99" s="123">
        <v>6.8</v>
      </c>
      <c r="AN99" s="123">
        <v>8.1999999999999993</v>
      </c>
      <c r="AO99" s="80">
        <v>0.11</v>
      </c>
      <c r="AP99" s="128">
        <v>0.97</v>
      </c>
      <c r="AQ99" s="132">
        <f t="shared" si="4"/>
        <v>1833</v>
      </c>
      <c r="AR99" s="134">
        <f t="shared" si="5"/>
        <v>0.63066012002182215</v>
      </c>
      <c r="AS99" s="134">
        <f t="shared" si="6"/>
        <v>4.6917621385706494E-2</v>
      </c>
      <c r="AT99" s="134">
        <f t="shared" si="7"/>
        <v>0.32242225859247137</v>
      </c>
      <c r="AU99" s="43" t="str">
        <f>IF(AND(F99&lt;&gt;"",Y99&lt;&gt;""),AA99/(F99/2/Y99),"")</f>
        <v/>
      </c>
      <c r="AV99" s="43" t="str">
        <f>IF(AND(F99&lt;&gt;"",AJ99&lt;&gt;""),AL99/(F99/2/AJ99),"")</f>
        <v/>
      </c>
      <c r="AW99" s="41">
        <f>IF(AND(AP99&lt;&gt;"",1-(AP99/N99)&gt;0),1-(AP99/N99),"")</f>
        <v>0.76849642004773266</v>
      </c>
      <c r="AX99" s="41">
        <f>IF(AND(AE99&lt;&gt;"",1-(AE99/N99)&gt;0),1-(AE99/N99),"")</f>
        <v>0.8233890214797136</v>
      </c>
      <c r="AY99" s="136" t="str">
        <f>IF(P99="","",IF(P99&lt;2.5,"Alc. Bruta &lt; 2,5 mg/L",IF(P99&lt;5,"2,5 ≤ Alc. Bruta &lt; 5,0 mg/L",IF(P99&lt;7.5,"5,0 ≤ Alc. Bruta &lt; 7,5 mg/L",IF(P99&lt;10,"7,5 ≤ Alc. Bruta &lt; 10,0 mg/L",IF(P99&lt;15,"10,0 ≤ Alca. Bruta &lt; 15,0 mg/L","Alc. Bruta &gt; 15 mg/L"))))))</f>
        <v>5,0 ≤ Alc. Bruta &lt; 7,5 mg/L</v>
      </c>
      <c r="AZ99" s="136" t="str">
        <f>IF(O99="","",IF(O99&lt;5,"Cor &lt;5 uC",IF(O99&lt;10,"5 ≤ Cor &lt; 10 uC",IF(O99&lt;15,"10 ≤ Cor &lt;15 uC",IF(O99&lt;30,"15 ≤ Cor &lt; 30 uC",IF(O99&lt;50,"30 ≤ Cor &lt; 50 uC","Cor &gt; 50 uC"))))))</f>
        <v>15 ≤ Cor &lt; 30 uC</v>
      </c>
      <c r="BA99" s="137" t="str">
        <f>IF(N99="","",IF(N99&lt;2.5,"Turbidez &lt; 2,5 uT",IF(N99&lt;5,"2,5 ≤ Turb &lt; 5,0 uT",IF(N99&lt;7.5,"5,0 ≤ Turb &lt; 7,5 uT",IF(N99&lt;10,"7,5 ≤ Turb &lt; 10,0 uT",IF(N99&lt;15,"10,0 ≤ Turb &lt; 15,0 uT","Turb &gt; 15 uT"))))))</f>
        <v>2,5 ≤ Turb &lt; 5,0 uT</v>
      </c>
      <c r="BB99" s="138" t="str">
        <f>IF(AND(C99&gt;D99,D99&gt;E99),"TOR &gt; SM &gt; BNN",IF(AND(C99&gt;E99,E99&gt;D99),"TOR &gt; BNN &gt; SM",IF(AND(D99&gt;C99,C99&gt;E99),"SM &gt; TOR &gt; BNN",IF(AND(D99&gt;E99,E99&gt;C99),"SM &gt; BNN &gt; TOR",IF(AND(C99=D99,D99=E99),"TOR = SM = BNN","Comb. diferentes")))))</f>
        <v>TOR &gt; BNN &gt; SM</v>
      </c>
      <c r="BC99" s="137" t="str">
        <f>IF(OR(AD99="",AP99="-"),"",IF(AD99&lt;=0.25,"Tipo 1 (≤0,25) uT",IF(AD99&lt;=0.5,"Tipo 2 (0,25-0,50) uT",IF(AD99&lt;=0.75,"Tipo 3 (0,50-0,75) uT","Tipo 4 (&gt;0,75) uT"))))</f>
        <v>Tipo 1 (≤0,25) uT</v>
      </c>
      <c r="BD99" s="137" t="str">
        <f>IF(OR(AO99="",AY99="-"),"",IF(AO99&lt;=0.25,"Tipo 1 (≤0,25) uT",IF(AO99&lt;=0.5,"Tipo 2 (0,25-0,50) uT",IF(AO99&lt;=0.75,"Tipo 3 (0,50-0,75) uT","Tipo 4 (&gt;0,75) uT"))))</f>
        <v>Tipo 1 (≤0,25) uT</v>
      </c>
      <c r="BE99" s="137" t="str">
        <f>IF(OR(AE99="",AP99="-"),"",IF(AE99&lt;=0.25,"Tipo 1 (≤0,25) uT",IF(AE99&lt;=0.5,"Tipo 2 (0,25-0,50) uT",IF(AE99&lt;=0.75,"Tipo 3 (0,50-0,75) uT","Tipo 4 (&gt;0,75) uT"))))</f>
        <v>Tipo 3 (0,50-0,75) uT</v>
      </c>
      <c r="BF99" s="137" t="str">
        <f>IF(OR(AP99="",AP99="-"),"",IF(AP99&lt;=0.25,"Tipo 1 (≤0,25) uT",IF(AP99&lt;=0.5,"Tipo 2 (0,25-0,50) uT",IF(AP99&lt;=0.75,"Tipo 3 (0,50-0,75) uT","Tipo 4 (&gt;0,75) uT"))))</f>
        <v>Tipo 4 (&gt;0,75) uT</v>
      </c>
      <c r="BG99" s="137" t="str">
        <f>IF(OR(Q99="",Q99="-"),"",IF(Q99&lt;=0.25,"Tipo 1 (≤0,25) uT",IF(Q99&lt;=0.5,"Tipo 2 (0,25-0,50) uT",IF(Q99&lt;=0.75,"Tipo 3 (0,50-0,75) uT","Tipo 4 (&gt;0,75) uT"))))</f>
        <v>Tipo 2 (0,25-0,50) uT</v>
      </c>
    </row>
    <row r="100" spans="1:59" x14ac:dyDescent="0.3">
      <c r="A100" s="26">
        <v>46139</v>
      </c>
      <c r="B100" s="107">
        <v>0.47916666666666669</v>
      </c>
      <c r="C100" s="116">
        <v>1584</v>
      </c>
      <c r="D100" s="116">
        <v>86</v>
      </c>
      <c r="E100" s="116">
        <v>543</v>
      </c>
      <c r="F100" s="116">
        <v>2166</v>
      </c>
      <c r="G100" s="10" t="s">
        <v>34</v>
      </c>
      <c r="H100" s="122">
        <v>2.6</v>
      </c>
      <c r="I100" s="116">
        <v>90</v>
      </c>
      <c r="J100" s="116">
        <v>90</v>
      </c>
      <c r="K100" s="116">
        <v>90</v>
      </c>
      <c r="L100" s="122">
        <v>24.3</v>
      </c>
      <c r="M100" s="122">
        <v>6.8</v>
      </c>
      <c r="N100" s="79">
        <v>3.27</v>
      </c>
      <c r="O100" s="116">
        <v>13</v>
      </c>
      <c r="P100" s="122">
        <v>5.8</v>
      </c>
      <c r="Q100" s="79">
        <v>0.56000000000000005</v>
      </c>
      <c r="R100" s="79">
        <v>22.36</v>
      </c>
      <c r="S100" s="79">
        <v>0.88</v>
      </c>
      <c r="T100" s="79">
        <v>0.7</v>
      </c>
      <c r="U100" s="85">
        <f t="shared" ref="U100:U163" si="8">(N100+0.3*H100+0.25)*(F100/2/Y100)</f>
        <v>1164.2249999999999</v>
      </c>
      <c r="V100" s="85">
        <f t="shared" ref="V100:V163" si="9">R100*(T100*Z100*0.987-S100)*AA100</f>
        <v>1456.0756423199998</v>
      </c>
      <c r="W100" s="79">
        <f t="shared" ref="W100:W163" si="10">V100/U100</f>
        <v>1.2506823357340719</v>
      </c>
      <c r="X100" s="116">
        <v>3</v>
      </c>
      <c r="Y100" s="116">
        <v>4</v>
      </c>
      <c r="Z100" s="122">
        <v>6.51</v>
      </c>
      <c r="AA100" s="116">
        <v>18</v>
      </c>
      <c r="AB100" s="122">
        <v>6.9</v>
      </c>
      <c r="AC100" s="122">
        <v>5.9</v>
      </c>
      <c r="AD100" s="10">
        <v>0.35</v>
      </c>
      <c r="AE100" s="79">
        <v>0.47</v>
      </c>
      <c r="AF100" s="85">
        <f>(N100+0.3*H100+0.25)*(F100/2/AJ100)</f>
        <v>1164.2249999999999</v>
      </c>
      <c r="AG100" s="85">
        <f>R100*(T100*AK100*0.987-S100)*AL100</f>
        <v>1900.6500864</v>
      </c>
      <c r="AH100" s="85">
        <f>AG100/AF100</f>
        <v>1.6325453296398893</v>
      </c>
      <c r="AI100" s="116">
        <v>3</v>
      </c>
      <c r="AJ100" s="116">
        <v>4</v>
      </c>
      <c r="AK100" s="79">
        <v>6.4</v>
      </c>
      <c r="AL100" s="79">
        <v>24</v>
      </c>
      <c r="AM100" s="122">
        <v>6.8</v>
      </c>
      <c r="AN100" s="122">
        <v>5.9</v>
      </c>
      <c r="AO100" s="79">
        <v>0.28999999999999998</v>
      </c>
      <c r="AP100" s="127">
        <v>0.75</v>
      </c>
      <c r="AQ100" s="132">
        <f t="shared" si="4"/>
        <v>2213</v>
      </c>
      <c r="AR100" s="134">
        <f t="shared" si="5"/>
        <v>0.71577044735652962</v>
      </c>
      <c r="AS100" s="134">
        <f t="shared" si="6"/>
        <v>3.886127428829643E-2</v>
      </c>
      <c r="AT100" s="134">
        <f t="shared" si="7"/>
        <v>0.24536827835517397</v>
      </c>
      <c r="AU100" s="43">
        <f>IF(AND(F100&lt;&gt;"",Y100&lt;&gt;""),AA100/(F100/2/Y100),"")</f>
        <v>6.6481994459833799E-2</v>
      </c>
      <c r="AV100" s="43">
        <f>IF(AND(F100&lt;&gt;"",AJ100&lt;&gt;""),AL100/(F100/2/AJ100),"")</f>
        <v>8.8642659279778394E-2</v>
      </c>
      <c r="AW100" s="41">
        <f>IF(AND(AP100&lt;&gt;"",1-(AP100/N100)&gt;0),1-(AP100/N100),"")</f>
        <v>0.77064220183486243</v>
      </c>
      <c r="AX100" s="41">
        <f>IF(AND(AE100&lt;&gt;"",1-(AE100/N100)&gt;0),1-(AE100/N100),"")</f>
        <v>0.85626911314984711</v>
      </c>
      <c r="AY100" s="136" t="str">
        <f>IF(P100="","",IF(P100&lt;2.5,"Alc. Bruta &lt; 2,5 mg/L",IF(P100&lt;5,"2,5 ≤ Alc. Bruta &lt; 5,0 mg/L",IF(P100&lt;7.5,"5,0 ≤ Alc. Bruta &lt; 7,5 mg/L",IF(P100&lt;10,"7,5 ≤ Alc. Bruta &lt; 10,0 mg/L",IF(P100&lt;15,"10,0 ≤ Alca. Bruta &lt; 15,0 mg/L","Alc. Bruta &gt; 15 mg/L"))))))</f>
        <v>5,0 ≤ Alc. Bruta &lt; 7,5 mg/L</v>
      </c>
      <c r="AZ100" s="136" t="str">
        <f>IF(O100="","",IF(O100&lt;5,"Cor &lt;5 uC",IF(O100&lt;10,"5 ≤ Cor &lt; 10 uC",IF(O100&lt;15,"10 ≤ Cor &lt;15 uC",IF(O100&lt;30,"15 ≤ Cor &lt; 30 uC",IF(O100&lt;50,"30 ≤ Cor &lt; 50 uC","Cor &gt; 50 uC"))))))</f>
        <v>10 ≤ Cor &lt;15 uC</v>
      </c>
      <c r="BA100" s="137" t="str">
        <f>IF(N100="","",IF(N100&lt;2.5,"Turbidez &lt; 2,5 uT",IF(N100&lt;5,"2,5 ≤ Turb &lt; 5,0 uT",IF(N100&lt;7.5,"5,0 ≤ Turb &lt; 7,5 uT",IF(N100&lt;10,"7,5 ≤ Turb &lt; 10,0 uT",IF(N100&lt;15,"10,0 ≤ Turb &lt; 15,0 uT","Turb &gt; 15 uT"))))))</f>
        <v>2,5 ≤ Turb &lt; 5,0 uT</v>
      </c>
      <c r="BB100" s="138" t="str">
        <f>IF(AND(C100&gt;D100,D100&gt;E100),"TOR &gt; SM &gt; BNN",IF(AND(C100&gt;E100,E100&gt;D100),"TOR &gt; BNN &gt; SM",IF(AND(D100&gt;C100,C100&gt;E100),"SM &gt; TOR &gt; BNN",IF(AND(D100&gt;E100,E100&gt;C100),"SM &gt; BNN &gt; TOR",IF(AND(C100=D100,D100=E100),"TOR = SM = BNN","Comb. diferentes")))))</f>
        <v>TOR &gt; BNN &gt; SM</v>
      </c>
      <c r="BC100" s="137" t="str">
        <f>IF(OR(AD100="",AP100="-"),"",IF(AD100&lt;=0.25,"Tipo 1 (≤0,25) uT",IF(AD100&lt;=0.5,"Tipo 2 (0,25-0,50) uT",IF(AD100&lt;=0.75,"Tipo 3 (0,50-0,75) uT","Tipo 4 (&gt;0,75) uT"))))</f>
        <v>Tipo 2 (0,25-0,50) uT</v>
      </c>
      <c r="BD100" s="137" t="str">
        <f>IF(OR(AO100="",AY100="-"),"",IF(AO100&lt;=0.25,"Tipo 1 (≤0,25) uT",IF(AO100&lt;=0.5,"Tipo 2 (0,25-0,50) uT",IF(AO100&lt;=0.75,"Tipo 3 (0,50-0,75) uT","Tipo 4 (&gt;0,75) uT"))))</f>
        <v>Tipo 2 (0,25-0,50) uT</v>
      </c>
      <c r="BE100" s="137" t="str">
        <f>IF(OR(AE100="",AP100="-"),"",IF(AE100&lt;=0.25,"Tipo 1 (≤0,25) uT",IF(AE100&lt;=0.5,"Tipo 2 (0,25-0,50) uT",IF(AE100&lt;=0.75,"Tipo 3 (0,50-0,75) uT","Tipo 4 (&gt;0,75) uT"))))</f>
        <v>Tipo 2 (0,25-0,50) uT</v>
      </c>
      <c r="BF100" s="137" t="str">
        <f>IF(OR(AP100="",AP100="-"),"",IF(AP100&lt;=0.25,"Tipo 1 (≤0,25) uT",IF(AP100&lt;=0.5,"Tipo 2 (0,25-0,50) uT",IF(AP100&lt;=0.75,"Tipo 3 (0,50-0,75) uT","Tipo 4 (&gt;0,75) uT"))))</f>
        <v>Tipo 3 (0,50-0,75) uT</v>
      </c>
      <c r="BG100" s="137" t="str">
        <f>IF(OR(Q100="",Q100="-"),"",IF(Q100&lt;=0.25,"Tipo 1 (≤0,25) uT",IF(Q100&lt;=0.5,"Tipo 2 (0,25-0,50) uT",IF(Q100&lt;=0.75,"Tipo 3 (0,50-0,75) uT","Tipo 4 (&gt;0,75) uT"))))</f>
        <v>Tipo 3 (0,50-0,75) uT</v>
      </c>
    </row>
    <row r="101" spans="1:59" x14ac:dyDescent="0.3">
      <c r="A101" s="26">
        <v>46139</v>
      </c>
      <c r="B101" s="107">
        <v>0.5625</v>
      </c>
      <c r="C101" s="116">
        <v>1512</v>
      </c>
      <c r="D101" s="116">
        <v>80</v>
      </c>
      <c r="E101" s="116">
        <v>542</v>
      </c>
      <c r="F101" s="116">
        <v>2170</v>
      </c>
      <c r="G101" s="10" t="s">
        <v>34</v>
      </c>
      <c r="H101" s="122">
        <v>2.6</v>
      </c>
      <c r="I101" s="116">
        <v>90</v>
      </c>
      <c r="J101" s="116">
        <v>90</v>
      </c>
      <c r="K101" s="116">
        <v>90</v>
      </c>
      <c r="L101" s="122">
        <v>25</v>
      </c>
      <c r="M101" s="122">
        <v>6.7</v>
      </c>
      <c r="N101" s="79">
        <v>3.39</v>
      </c>
      <c r="O101" s="116">
        <v>16</v>
      </c>
      <c r="P101" s="122">
        <v>4.7</v>
      </c>
      <c r="Q101" s="79">
        <v>0.2</v>
      </c>
      <c r="R101" s="79">
        <v>22.36</v>
      </c>
      <c r="S101" s="79">
        <v>0.88</v>
      </c>
      <c r="T101" s="79">
        <v>0.7</v>
      </c>
      <c r="U101" s="85">
        <f t="shared" si="8"/>
        <v>1198.925</v>
      </c>
      <c r="V101" s="79">
        <f t="shared" si="9"/>
        <v>1558.2550958000002</v>
      </c>
      <c r="W101" s="79">
        <f t="shared" si="10"/>
        <v>1.2997102369205749</v>
      </c>
      <c r="X101" s="116">
        <v>3</v>
      </c>
      <c r="Y101" s="116">
        <v>4</v>
      </c>
      <c r="Z101" s="122">
        <v>6.5</v>
      </c>
      <c r="AA101" s="116">
        <v>19.3</v>
      </c>
      <c r="AB101" s="122">
        <v>7</v>
      </c>
      <c r="AC101" s="122">
        <v>5.6</v>
      </c>
      <c r="AD101" s="10">
        <v>0.22</v>
      </c>
      <c r="AE101" s="79">
        <v>0.51</v>
      </c>
      <c r="AF101" s="85">
        <f t="shared" ref="AF101:AF164" si="11">(N101+0.3*H101+0.25)*(F101/2/AJ101)</f>
        <v>1198.925</v>
      </c>
      <c r="AG101" s="85">
        <f t="shared" ref="AG101:AG164" si="12">R101*(T101*AK101*0.987-S101)*AL101</f>
        <v>1929.1598376959998</v>
      </c>
      <c r="AH101" s="85">
        <f t="shared" ref="AH101:AH164" si="13">AG101/AF101</f>
        <v>1.6090746607969639</v>
      </c>
      <c r="AI101" s="116">
        <v>3</v>
      </c>
      <c r="AJ101" s="116">
        <v>4</v>
      </c>
      <c r="AK101" s="79">
        <v>6.4</v>
      </c>
      <c r="AL101" s="79">
        <v>24.36</v>
      </c>
      <c r="AM101" s="122">
        <v>6.9</v>
      </c>
      <c r="AN101" s="122">
        <v>6.5</v>
      </c>
      <c r="AO101" s="79">
        <v>0.25</v>
      </c>
      <c r="AP101" s="127">
        <v>0.7</v>
      </c>
      <c r="AQ101" s="132">
        <f t="shared" si="4"/>
        <v>2134</v>
      </c>
      <c r="AR101" s="134">
        <f t="shared" si="5"/>
        <v>0.70852858481724457</v>
      </c>
      <c r="AS101" s="134">
        <f t="shared" si="6"/>
        <v>3.7488284910965321E-2</v>
      </c>
      <c r="AT101" s="134">
        <f t="shared" si="7"/>
        <v>0.25398313027179009</v>
      </c>
      <c r="AU101" s="43">
        <f>IF(AND(F101&lt;&gt;"",Y101&lt;&gt;""),AA101/(F101/2/Y101),"")</f>
        <v>7.1152073732718896E-2</v>
      </c>
      <c r="AV101" s="43">
        <f>IF(AND(F101&lt;&gt;"",AJ101&lt;&gt;""),AL101/(F101/2/AJ101),"")</f>
        <v>8.9806451612903224E-2</v>
      </c>
      <c r="AW101" s="41">
        <f>IF(AND(AP101&lt;&gt;"",1-(AP101/N101)&gt;0),1-(AP101/N101),"")</f>
        <v>0.79351032448377579</v>
      </c>
      <c r="AX101" s="41">
        <f>IF(AND(AE101&lt;&gt;"",1-(AE101/N101)&gt;0),1-(AE101/N101),"")</f>
        <v>0.84955752212389379</v>
      </c>
      <c r="AY101" s="136" t="str">
        <f>IF(P101="","",IF(P101&lt;2.5,"Alc. Bruta &lt; 2,5 mg/L",IF(P101&lt;5,"2,5 ≤ Alc. Bruta &lt; 5,0 mg/L",IF(P101&lt;7.5,"5,0 ≤ Alc. Bruta &lt; 7,5 mg/L",IF(P101&lt;10,"7,5 ≤ Alc. Bruta &lt; 10,0 mg/L",IF(P101&lt;15,"10,0 ≤ Alca. Bruta &lt; 15,0 mg/L","Alc. Bruta &gt; 15 mg/L"))))))</f>
        <v>2,5 ≤ Alc. Bruta &lt; 5,0 mg/L</v>
      </c>
      <c r="AZ101" s="136" t="str">
        <f>IF(O101="","",IF(O101&lt;5,"Cor &lt;5 uC",IF(O101&lt;10,"5 ≤ Cor &lt; 10 uC",IF(O101&lt;15,"10 ≤ Cor &lt;15 uC",IF(O101&lt;30,"15 ≤ Cor &lt; 30 uC",IF(O101&lt;50,"30 ≤ Cor &lt; 50 uC","Cor &gt; 50 uC"))))))</f>
        <v>15 ≤ Cor &lt; 30 uC</v>
      </c>
      <c r="BA101" s="137" t="str">
        <f>IF(N101="","",IF(N101&lt;2.5,"Turbidez &lt; 2,5 uT",IF(N101&lt;5,"2,5 ≤ Turb &lt; 5,0 uT",IF(N101&lt;7.5,"5,0 ≤ Turb &lt; 7,5 uT",IF(N101&lt;10,"7,5 ≤ Turb &lt; 10,0 uT",IF(N101&lt;15,"10,0 ≤ Turb &lt; 15,0 uT","Turb &gt; 15 uT"))))))</f>
        <v>2,5 ≤ Turb &lt; 5,0 uT</v>
      </c>
      <c r="BB101" s="138" t="str">
        <f>IF(AND(C101&gt;D101,D101&gt;E101),"TOR &gt; SM &gt; BNN",IF(AND(C101&gt;E101,E101&gt;D101),"TOR &gt; BNN &gt; SM",IF(AND(D101&gt;C101,C101&gt;E101),"SM &gt; TOR &gt; BNN",IF(AND(D101&gt;E101,E101&gt;C101),"SM &gt; BNN &gt; TOR",IF(AND(C101=D101,D101=E101),"TOR = SM = BNN","Comb. diferentes")))))</f>
        <v>TOR &gt; BNN &gt; SM</v>
      </c>
      <c r="BC101" s="137" t="str">
        <f>IF(OR(AD101="",AP101="-"),"",IF(AD101&lt;=0.25,"Tipo 1 (≤0,25) uT",IF(AD101&lt;=0.5,"Tipo 2 (0,25-0,50) uT",IF(AD101&lt;=0.75,"Tipo 3 (0,50-0,75) uT","Tipo 4 (&gt;0,75) uT"))))</f>
        <v>Tipo 1 (≤0,25) uT</v>
      </c>
      <c r="BD101" s="137" t="str">
        <f>IF(OR(AO101="",AY101="-"),"",IF(AO101&lt;=0.25,"Tipo 1 (≤0,25) uT",IF(AO101&lt;=0.5,"Tipo 2 (0,25-0,50) uT",IF(AO101&lt;=0.75,"Tipo 3 (0,50-0,75) uT","Tipo 4 (&gt;0,75) uT"))))</f>
        <v>Tipo 1 (≤0,25) uT</v>
      </c>
      <c r="BE101" s="137" t="str">
        <f>IF(OR(AE101="",AP101="-"),"",IF(AE101&lt;=0.25,"Tipo 1 (≤0,25) uT",IF(AE101&lt;=0.5,"Tipo 2 (0,25-0,50) uT",IF(AE101&lt;=0.75,"Tipo 3 (0,50-0,75) uT","Tipo 4 (&gt;0,75) uT"))))</f>
        <v>Tipo 3 (0,50-0,75) uT</v>
      </c>
      <c r="BF101" s="137" t="str">
        <f>IF(OR(AP101="",AP101="-"),"",IF(AP101&lt;=0.25,"Tipo 1 (≤0,25) uT",IF(AP101&lt;=0.5,"Tipo 2 (0,25-0,50) uT",IF(AP101&lt;=0.75,"Tipo 3 (0,50-0,75) uT","Tipo 4 (&gt;0,75) uT"))))</f>
        <v>Tipo 3 (0,50-0,75) uT</v>
      </c>
      <c r="BG101" s="137" t="str">
        <f>IF(OR(Q101="",Q101="-"),"",IF(Q101&lt;=0.25,"Tipo 1 (≤0,25) uT",IF(Q101&lt;=0.5,"Tipo 2 (0,25-0,50) uT",IF(Q101&lt;=0.75,"Tipo 3 (0,50-0,75) uT","Tipo 4 (&gt;0,75) uT"))))</f>
        <v>Tipo 1 (≤0,25) uT</v>
      </c>
    </row>
    <row r="102" spans="1:59" x14ac:dyDescent="0.3">
      <c r="A102" s="26">
        <v>46139</v>
      </c>
      <c r="B102" s="107">
        <v>0.64583333333333337</v>
      </c>
      <c r="C102" s="116">
        <v>1611</v>
      </c>
      <c r="D102" s="116">
        <v>86</v>
      </c>
      <c r="E102" s="116">
        <v>543</v>
      </c>
      <c r="F102" s="116">
        <v>2163</v>
      </c>
      <c r="G102" s="10" t="s">
        <v>34</v>
      </c>
      <c r="H102" s="122">
        <v>2.5</v>
      </c>
      <c r="I102" s="116">
        <v>90</v>
      </c>
      <c r="J102" s="116">
        <v>90</v>
      </c>
      <c r="K102" s="116">
        <v>90</v>
      </c>
      <c r="L102" s="122">
        <v>25.7</v>
      </c>
      <c r="M102" s="122">
        <v>6.8</v>
      </c>
      <c r="N102" s="79">
        <v>3.36</v>
      </c>
      <c r="O102" s="116">
        <v>17</v>
      </c>
      <c r="P102" s="122">
        <v>6</v>
      </c>
      <c r="Q102" s="79">
        <v>0.28000000000000003</v>
      </c>
      <c r="R102" s="79">
        <v>22.36</v>
      </c>
      <c r="S102" s="79">
        <v>0.88</v>
      </c>
      <c r="T102" s="79">
        <v>0.7</v>
      </c>
      <c r="U102" s="85">
        <f t="shared" si="8"/>
        <v>1178.8349999999998</v>
      </c>
      <c r="V102" s="79">
        <f t="shared" si="9"/>
        <v>1585.43421803</v>
      </c>
      <c r="W102" s="79">
        <f t="shared" si="10"/>
        <v>1.3449161401129084</v>
      </c>
      <c r="X102" s="116">
        <v>3</v>
      </c>
      <c r="Y102" s="116">
        <v>4</v>
      </c>
      <c r="Z102" s="122">
        <v>6.47</v>
      </c>
      <c r="AA102" s="116">
        <v>19.75</v>
      </c>
      <c r="AB102" s="122">
        <v>6.9</v>
      </c>
      <c r="AC102" s="122">
        <v>6.4</v>
      </c>
      <c r="AD102" s="10">
        <v>0.18</v>
      </c>
      <c r="AE102" s="79">
        <v>0.4</v>
      </c>
      <c r="AF102" s="85">
        <f t="shared" si="11"/>
        <v>1178.8349999999998</v>
      </c>
      <c r="AG102" s="85">
        <f t="shared" si="12"/>
        <v>1855.1684768499999</v>
      </c>
      <c r="AH102" s="85">
        <f t="shared" si="13"/>
        <v>1.5737304006497943</v>
      </c>
      <c r="AI102" s="116">
        <v>3</v>
      </c>
      <c r="AJ102" s="116">
        <v>4</v>
      </c>
      <c r="AK102" s="79">
        <v>6.33</v>
      </c>
      <c r="AL102" s="79">
        <v>23.75</v>
      </c>
      <c r="AM102" s="122">
        <v>6.9</v>
      </c>
      <c r="AN102" s="122">
        <v>6.2</v>
      </c>
      <c r="AO102" s="79">
        <v>0.15</v>
      </c>
      <c r="AP102" s="127">
        <v>1</v>
      </c>
      <c r="AQ102" s="132">
        <f t="shared" si="4"/>
        <v>2240</v>
      </c>
      <c r="AR102" s="134">
        <f t="shared" si="5"/>
        <v>0.71919642857142863</v>
      </c>
      <c r="AS102" s="134">
        <f t="shared" si="6"/>
        <v>3.8392857142857145E-2</v>
      </c>
      <c r="AT102" s="134">
        <f t="shared" si="7"/>
        <v>0.24241071428571428</v>
      </c>
      <c r="AU102" s="43">
        <f>IF(AND(F102&lt;&gt;"",Y102&lt;&gt;""),AA102/(F102/2/Y102),"")</f>
        <v>7.3046694405917711E-2</v>
      </c>
      <c r="AV102" s="43">
        <f>IF(AND(F102&lt;&gt;"",AJ102&lt;&gt;""),AL102/(F102/2/AJ102),"")</f>
        <v>8.7840961627369388E-2</v>
      </c>
      <c r="AW102" s="41">
        <f>IF(AND(AP102&lt;&gt;"",1-(AP102/N102)&gt;0),1-(AP102/N102),"")</f>
        <v>0.70238095238095233</v>
      </c>
      <c r="AX102" s="41">
        <f>IF(AND(AE102&lt;&gt;"",1-(AE102/N102)&gt;0),1-(AE102/N102),"")</f>
        <v>0.88095238095238093</v>
      </c>
      <c r="AY102" s="136" t="str">
        <f>IF(P102="","",IF(P102&lt;2.5,"Alc. Bruta &lt; 2,5 mg/L",IF(P102&lt;5,"2,5 ≤ Alc. Bruta &lt; 5,0 mg/L",IF(P102&lt;7.5,"5,0 ≤ Alc. Bruta &lt; 7,5 mg/L",IF(P102&lt;10,"7,5 ≤ Alc. Bruta &lt; 10,0 mg/L",IF(P102&lt;15,"10,0 ≤ Alca. Bruta &lt; 15,0 mg/L","Alc. Bruta &gt; 15 mg/L"))))))</f>
        <v>5,0 ≤ Alc. Bruta &lt; 7,5 mg/L</v>
      </c>
      <c r="AZ102" s="136" t="str">
        <f>IF(O102="","",IF(O102&lt;5,"Cor &lt;5 uC",IF(O102&lt;10,"5 ≤ Cor &lt; 10 uC",IF(O102&lt;15,"10 ≤ Cor &lt;15 uC",IF(O102&lt;30,"15 ≤ Cor &lt; 30 uC",IF(O102&lt;50,"30 ≤ Cor &lt; 50 uC","Cor &gt; 50 uC"))))))</f>
        <v>15 ≤ Cor &lt; 30 uC</v>
      </c>
      <c r="BA102" s="137" t="str">
        <f>IF(N102="","",IF(N102&lt;2.5,"Turbidez &lt; 2,5 uT",IF(N102&lt;5,"2,5 ≤ Turb &lt; 5,0 uT",IF(N102&lt;7.5,"5,0 ≤ Turb &lt; 7,5 uT",IF(N102&lt;10,"7,5 ≤ Turb &lt; 10,0 uT",IF(N102&lt;15,"10,0 ≤ Turb &lt; 15,0 uT","Turb &gt; 15 uT"))))))</f>
        <v>2,5 ≤ Turb &lt; 5,0 uT</v>
      </c>
      <c r="BB102" s="138" t="str">
        <f>IF(AND(C102&gt;D102,D102&gt;E102),"TOR &gt; SM &gt; BNN",IF(AND(C102&gt;E102,E102&gt;D102),"TOR &gt; BNN &gt; SM",IF(AND(D102&gt;C102,C102&gt;E102),"SM &gt; TOR &gt; BNN",IF(AND(D102&gt;E102,E102&gt;C102),"SM &gt; BNN &gt; TOR",IF(AND(C102=D102,D102=E102),"TOR = SM = BNN","Comb. diferentes")))))</f>
        <v>TOR &gt; BNN &gt; SM</v>
      </c>
      <c r="BC102" s="137" t="str">
        <f>IF(OR(AD102="",AP102="-"),"",IF(AD102&lt;=0.25,"Tipo 1 (≤0,25) uT",IF(AD102&lt;=0.5,"Tipo 2 (0,25-0,50) uT",IF(AD102&lt;=0.75,"Tipo 3 (0,50-0,75) uT","Tipo 4 (&gt;0,75) uT"))))</f>
        <v>Tipo 1 (≤0,25) uT</v>
      </c>
      <c r="BD102" s="137" t="str">
        <f>IF(OR(AO102="",AY102="-"),"",IF(AO102&lt;=0.25,"Tipo 1 (≤0,25) uT",IF(AO102&lt;=0.5,"Tipo 2 (0,25-0,50) uT",IF(AO102&lt;=0.75,"Tipo 3 (0,50-0,75) uT","Tipo 4 (&gt;0,75) uT"))))</f>
        <v>Tipo 1 (≤0,25) uT</v>
      </c>
      <c r="BE102" s="137" t="str">
        <f>IF(OR(AE102="",AP102="-"),"",IF(AE102&lt;=0.25,"Tipo 1 (≤0,25) uT",IF(AE102&lt;=0.5,"Tipo 2 (0,25-0,50) uT",IF(AE102&lt;=0.75,"Tipo 3 (0,50-0,75) uT","Tipo 4 (&gt;0,75) uT"))))</f>
        <v>Tipo 2 (0,25-0,50) uT</v>
      </c>
      <c r="BF102" s="137" t="str">
        <f>IF(OR(AP102="",AP102="-"),"",IF(AP102&lt;=0.25,"Tipo 1 (≤0,25) uT",IF(AP102&lt;=0.5,"Tipo 2 (0,25-0,50) uT",IF(AP102&lt;=0.75,"Tipo 3 (0,50-0,75) uT","Tipo 4 (&gt;0,75) uT"))))</f>
        <v>Tipo 4 (&gt;0,75) uT</v>
      </c>
      <c r="BG102" s="137" t="str">
        <f>IF(OR(Q102="",Q102="-"),"",IF(Q102&lt;=0.25,"Tipo 1 (≤0,25) uT",IF(Q102&lt;=0.5,"Tipo 2 (0,25-0,50) uT",IF(Q102&lt;=0.75,"Tipo 3 (0,50-0,75) uT","Tipo 4 (&gt;0,75) uT"))))</f>
        <v>Tipo 2 (0,25-0,50) uT</v>
      </c>
    </row>
    <row r="103" spans="1:59" x14ac:dyDescent="0.3">
      <c r="A103" s="26">
        <v>46139</v>
      </c>
      <c r="B103" s="107">
        <v>0.72916666666666663</v>
      </c>
      <c r="C103" s="116">
        <v>1438</v>
      </c>
      <c r="D103" s="116">
        <v>205</v>
      </c>
      <c r="E103" s="116">
        <v>540</v>
      </c>
      <c r="F103" s="116">
        <v>2206</v>
      </c>
      <c r="G103" s="10" t="s">
        <v>34</v>
      </c>
      <c r="H103" s="122">
        <v>2.8</v>
      </c>
      <c r="I103" s="116">
        <v>90</v>
      </c>
      <c r="J103" s="116">
        <v>90</v>
      </c>
      <c r="K103" s="116">
        <v>90</v>
      </c>
      <c r="L103" s="122">
        <v>25.4</v>
      </c>
      <c r="M103" s="122">
        <v>6.9</v>
      </c>
      <c r="N103" s="79">
        <v>3.37</v>
      </c>
      <c r="O103" s="116">
        <v>15</v>
      </c>
      <c r="P103" s="122">
        <v>6.1</v>
      </c>
      <c r="Q103" s="79">
        <v>0.3</v>
      </c>
      <c r="R103" s="79">
        <v>22.36</v>
      </c>
      <c r="S103" s="79">
        <v>0.88</v>
      </c>
      <c r="T103" s="79">
        <v>0.7</v>
      </c>
      <c r="U103" s="85">
        <f t="shared" si="8"/>
        <v>1229.845</v>
      </c>
      <c r="V103" s="79">
        <f t="shared" si="9"/>
        <v>1592.5067832959999</v>
      </c>
      <c r="W103" s="79">
        <f t="shared" si="10"/>
        <v>1.2948841384857439</v>
      </c>
      <c r="X103" s="116">
        <v>3</v>
      </c>
      <c r="Y103" s="116">
        <v>4</v>
      </c>
      <c r="Z103" s="122">
        <v>6.48</v>
      </c>
      <c r="AA103" s="116">
        <v>19.8</v>
      </c>
      <c r="AB103" s="122">
        <v>6.9</v>
      </c>
      <c r="AC103" s="122">
        <v>5.9</v>
      </c>
      <c r="AD103" s="10">
        <v>0.23</v>
      </c>
      <c r="AE103" s="79">
        <v>0.28000000000000003</v>
      </c>
      <c r="AF103" s="85">
        <f t="shared" si="11"/>
        <v>1229.845</v>
      </c>
      <c r="AG103" s="85">
        <f t="shared" si="12"/>
        <v>1901.4420239359999</v>
      </c>
      <c r="AH103" s="85">
        <f t="shared" si="13"/>
        <v>1.5460826558924092</v>
      </c>
      <c r="AI103" s="116">
        <v>3</v>
      </c>
      <c r="AJ103" s="116">
        <v>4</v>
      </c>
      <c r="AK103" s="79">
        <v>6.4</v>
      </c>
      <c r="AL103" s="79">
        <v>24.01</v>
      </c>
      <c r="AM103" s="122">
        <v>7</v>
      </c>
      <c r="AN103" s="122">
        <v>6.1</v>
      </c>
      <c r="AO103" s="79">
        <v>0.19</v>
      </c>
      <c r="AP103" s="127">
        <v>1.05</v>
      </c>
      <c r="AQ103" s="132">
        <f t="shared" si="4"/>
        <v>2183</v>
      </c>
      <c r="AR103" s="134">
        <f t="shared" si="5"/>
        <v>0.65872652313330282</v>
      </c>
      <c r="AS103" s="134">
        <f t="shared" si="6"/>
        <v>9.3907466788822724E-2</v>
      </c>
      <c r="AT103" s="134">
        <f t="shared" si="7"/>
        <v>0.24736601007787448</v>
      </c>
      <c r="AU103" s="43">
        <f>IF(AND(F103&lt;&gt;"",Y103&lt;&gt;""),AA103/(F103/2/Y103),"")</f>
        <v>7.1804170444242976E-2</v>
      </c>
      <c r="AV103" s="43">
        <f>IF(AND(F103&lt;&gt;"",AJ103&lt;&gt;""),AL103/(F103/2/AJ103),"")</f>
        <v>8.7071622846781507E-2</v>
      </c>
      <c r="AW103" s="41">
        <f>IF(AND(AP103&lt;&gt;"",1-(AP103/N103)&gt;0),1-(AP103/N103),"")</f>
        <v>0.68842729970326411</v>
      </c>
      <c r="AX103" s="41">
        <f>IF(AND(AE103&lt;&gt;"",1-(AE103/N103)&gt;0),1-(AE103/N103),"")</f>
        <v>0.91691394658753711</v>
      </c>
      <c r="AY103" s="136" t="str">
        <f>IF(P103="","",IF(P103&lt;2.5,"Alc. Bruta &lt; 2,5 mg/L",IF(P103&lt;5,"2,5 ≤ Alc. Bruta &lt; 5,0 mg/L",IF(P103&lt;7.5,"5,0 ≤ Alc. Bruta &lt; 7,5 mg/L",IF(P103&lt;10,"7,5 ≤ Alc. Bruta &lt; 10,0 mg/L",IF(P103&lt;15,"10,0 ≤ Alca. Bruta &lt; 15,0 mg/L","Alc. Bruta &gt; 15 mg/L"))))))</f>
        <v>5,0 ≤ Alc. Bruta &lt; 7,5 mg/L</v>
      </c>
      <c r="AZ103" s="136" t="str">
        <f>IF(O103="","",IF(O103&lt;5,"Cor &lt;5 uC",IF(O103&lt;10,"5 ≤ Cor &lt; 10 uC",IF(O103&lt;15,"10 ≤ Cor &lt;15 uC",IF(O103&lt;30,"15 ≤ Cor &lt; 30 uC",IF(O103&lt;50,"30 ≤ Cor &lt; 50 uC","Cor &gt; 50 uC"))))))</f>
        <v>15 ≤ Cor &lt; 30 uC</v>
      </c>
      <c r="BA103" s="137" t="str">
        <f>IF(N103="","",IF(N103&lt;2.5,"Turbidez &lt; 2,5 uT",IF(N103&lt;5,"2,5 ≤ Turb &lt; 5,0 uT",IF(N103&lt;7.5,"5,0 ≤ Turb &lt; 7,5 uT",IF(N103&lt;10,"7,5 ≤ Turb &lt; 10,0 uT",IF(N103&lt;15,"10,0 ≤ Turb &lt; 15,0 uT","Turb &gt; 15 uT"))))))</f>
        <v>2,5 ≤ Turb &lt; 5,0 uT</v>
      </c>
      <c r="BB103" s="138" t="str">
        <f>IF(AND(C103&gt;D103,D103&gt;E103),"TOR &gt; SM &gt; BNN",IF(AND(C103&gt;E103,E103&gt;D103),"TOR &gt; BNN &gt; SM",IF(AND(D103&gt;C103,C103&gt;E103),"SM &gt; TOR &gt; BNN",IF(AND(D103&gt;E103,E103&gt;C103),"SM &gt; BNN &gt; TOR",IF(AND(C103=D103,D103=E103),"TOR = SM = BNN","Comb. diferentes")))))</f>
        <v>TOR &gt; BNN &gt; SM</v>
      </c>
      <c r="BC103" s="137" t="str">
        <f>IF(OR(AD103="",AP103="-"),"",IF(AD103&lt;=0.25,"Tipo 1 (≤0,25) uT",IF(AD103&lt;=0.5,"Tipo 2 (0,25-0,50) uT",IF(AD103&lt;=0.75,"Tipo 3 (0,50-0,75) uT","Tipo 4 (&gt;0,75) uT"))))</f>
        <v>Tipo 1 (≤0,25) uT</v>
      </c>
      <c r="BD103" s="137" t="str">
        <f>IF(OR(AO103="",AY103="-"),"",IF(AO103&lt;=0.25,"Tipo 1 (≤0,25) uT",IF(AO103&lt;=0.5,"Tipo 2 (0,25-0,50) uT",IF(AO103&lt;=0.75,"Tipo 3 (0,50-0,75) uT","Tipo 4 (&gt;0,75) uT"))))</f>
        <v>Tipo 1 (≤0,25) uT</v>
      </c>
      <c r="BE103" s="137" t="str">
        <f>IF(OR(AE103="",AP103="-"),"",IF(AE103&lt;=0.25,"Tipo 1 (≤0,25) uT",IF(AE103&lt;=0.5,"Tipo 2 (0,25-0,50) uT",IF(AE103&lt;=0.75,"Tipo 3 (0,50-0,75) uT","Tipo 4 (&gt;0,75) uT"))))</f>
        <v>Tipo 2 (0,25-0,50) uT</v>
      </c>
      <c r="BF103" s="137" t="str">
        <f>IF(OR(AP103="",AP103="-"),"",IF(AP103&lt;=0.25,"Tipo 1 (≤0,25) uT",IF(AP103&lt;=0.5,"Tipo 2 (0,25-0,50) uT",IF(AP103&lt;=0.75,"Tipo 3 (0,50-0,75) uT","Tipo 4 (&gt;0,75) uT"))))</f>
        <v>Tipo 4 (&gt;0,75) uT</v>
      </c>
      <c r="BG103" s="137" t="str">
        <f>IF(OR(Q103="",Q103="-"),"",IF(Q103&lt;=0.25,"Tipo 1 (≤0,25) uT",IF(Q103&lt;=0.5,"Tipo 2 (0,25-0,50) uT",IF(Q103&lt;=0.75,"Tipo 3 (0,50-0,75) uT","Tipo 4 (&gt;0,75) uT"))))</f>
        <v>Tipo 2 (0,25-0,50) uT</v>
      </c>
    </row>
    <row r="104" spans="1:59" x14ac:dyDescent="0.3">
      <c r="A104" s="26">
        <v>46139</v>
      </c>
      <c r="B104" s="107">
        <v>0.8125</v>
      </c>
      <c r="C104" s="116">
        <v>1243</v>
      </c>
      <c r="D104" s="116">
        <v>380</v>
      </c>
      <c r="E104" s="116">
        <v>540</v>
      </c>
      <c r="F104" s="116">
        <v>2327</v>
      </c>
      <c r="G104" s="10" t="s">
        <v>34</v>
      </c>
      <c r="H104" s="122">
        <v>2.8</v>
      </c>
      <c r="I104" s="116">
        <v>90</v>
      </c>
      <c r="J104" s="116">
        <v>90</v>
      </c>
      <c r="K104" s="116">
        <v>90</v>
      </c>
      <c r="L104" s="122">
        <v>25.5</v>
      </c>
      <c r="M104" s="122">
        <v>6.7</v>
      </c>
      <c r="N104" s="79">
        <v>3.18</v>
      </c>
      <c r="O104" s="116">
        <v>14</v>
      </c>
      <c r="P104" s="122">
        <v>5.6</v>
      </c>
      <c r="Q104" s="79">
        <v>0.37</v>
      </c>
      <c r="R104" s="79">
        <v>22.36</v>
      </c>
      <c r="S104" s="79">
        <v>0.88</v>
      </c>
      <c r="T104" s="79">
        <v>0.7</v>
      </c>
      <c r="U104" s="85">
        <f t="shared" si="8"/>
        <v>1242.0362500000001</v>
      </c>
      <c r="V104" s="79">
        <f t="shared" si="9"/>
        <v>1557.9220400223999</v>
      </c>
      <c r="W104" s="79">
        <f t="shared" si="10"/>
        <v>1.2543289618337627</v>
      </c>
      <c r="X104" s="116">
        <v>3</v>
      </c>
      <c r="Y104" s="116">
        <v>4</v>
      </c>
      <c r="Z104" s="122">
        <v>6.48</v>
      </c>
      <c r="AA104" s="116">
        <v>19.37</v>
      </c>
      <c r="AB104" s="122">
        <v>6.8</v>
      </c>
      <c r="AC104" s="122">
        <v>5.8</v>
      </c>
      <c r="AD104" s="10">
        <v>0.11</v>
      </c>
      <c r="AE104" s="79">
        <v>0.41</v>
      </c>
      <c r="AF104" s="85">
        <f t="shared" si="11"/>
        <v>1242.0362500000001</v>
      </c>
      <c r="AG104" s="85">
        <f t="shared" si="12"/>
        <v>1897.7961230799995</v>
      </c>
      <c r="AH104" s="85">
        <f t="shared" si="13"/>
        <v>1.5279716055630417</v>
      </c>
      <c r="AI104" s="116">
        <v>3</v>
      </c>
      <c r="AJ104" s="116">
        <v>4</v>
      </c>
      <c r="AK104" s="79">
        <v>6.35</v>
      </c>
      <c r="AL104" s="79">
        <v>24.2</v>
      </c>
      <c r="AM104" s="122">
        <v>6.8</v>
      </c>
      <c r="AN104" s="122">
        <v>5.7</v>
      </c>
      <c r="AO104" s="79">
        <v>7.0000000000000007E-2</v>
      </c>
      <c r="AP104" s="127">
        <v>0.9</v>
      </c>
      <c r="AQ104" s="132">
        <f t="shared" si="4"/>
        <v>2163</v>
      </c>
      <c r="AR104" s="134">
        <f t="shared" si="5"/>
        <v>0.57466481738326403</v>
      </c>
      <c r="AS104" s="134">
        <f t="shared" si="6"/>
        <v>0.17568192325473878</v>
      </c>
      <c r="AT104" s="134">
        <f t="shared" si="7"/>
        <v>0.24965325936199723</v>
      </c>
      <c r="AU104" s="43">
        <f>IF(AND(F104&lt;&gt;"",Y104&lt;&gt;""),AA104/(F104/2/Y104),"")</f>
        <v>6.6592178770949723E-2</v>
      </c>
      <c r="AV104" s="43">
        <f>IF(AND(F104&lt;&gt;"",AJ104&lt;&gt;""),AL104/(F104/2/AJ104),"")</f>
        <v>8.3197249677696608E-2</v>
      </c>
      <c r="AW104" s="41">
        <f>IF(AND(AP104&lt;&gt;"",1-(AP104/N104)&gt;0),1-(AP104/N104),"")</f>
        <v>0.71698113207547176</v>
      </c>
      <c r="AX104" s="41">
        <f>IF(AND(AE104&lt;&gt;"",1-(AE104/N104)&gt;0),1-(AE104/N104),"")</f>
        <v>0.87106918238993714</v>
      </c>
      <c r="AY104" s="136" t="str">
        <f>IF(P104="","",IF(P104&lt;2.5,"Alc. Bruta &lt; 2,5 mg/L",IF(P104&lt;5,"2,5 ≤ Alc. Bruta &lt; 5,0 mg/L",IF(P104&lt;7.5,"5,0 ≤ Alc. Bruta &lt; 7,5 mg/L",IF(P104&lt;10,"7,5 ≤ Alc. Bruta &lt; 10,0 mg/L",IF(P104&lt;15,"10,0 ≤ Alca. Bruta &lt; 15,0 mg/L","Alc. Bruta &gt; 15 mg/L"))))))</f>
        <v>5,0 ≤ Alc. Bruta &lt; 7,5 mg/L</v>
      </c>
      <c r="AZ104" s="136" t="str">
        <f>IF(O104="","",IF(O104&lt;5,"Cor &lt;5 uC",IF(O104&lt;10,"5 ≤ Cor &lt; 10 uC",IF(O104&lt;15,"10 ≤ Cor &lt;15 uC",IF(O104&lt;30,"15 ≤ Cor &lt; 30 uC",IF(O104&lt;50,"30 ≤ Cor &lt; 50 uC","Cor &gt; 50 uC"))))))</f>
        <v>10 ≤ Cor &lt;15 uC</v>
      </c>
      <c r="BA104" s="137" t="str">
        <f>IF(N104="","",IF(N104&lt;2.5,"Turbidez &lt; 2,5 uT",IF(N104&lt;5,"2,5 ≤ Turb &lt; 5,0 uT",IF(N104&lt;7.5,"5,0 ≤ Turb &lt; 7,5 uT",IF(N104&lt;10,"7,5 ≤ Turb &lt; 10,0 uT",IF(N104&lt;15,"10,0 ≤ Turb &lt; 15,0 uT","Turb &gt; 15 uT"))))))</f>
        <v>2,5 ≤ Turb &lt; 5,0 uT</v>
      </c>
      <c r="BB104" s="138" t="str">
        <f>IF(AND(C104&gt;D104,D104&gt;E104),"TOR &gt; SM &gt; BNN",IF(AND(C104&gt;E104,E104&gt;D104),"TOR &gt; BNN &gt; SM",IF(AND(D104&gt;C104,C104&gt;E104),"SM &gt; TOR &gt; BNN",IF(AND(D104&gt;E104,E104&gt;C104),"SM &gt; BNN &gt; TOR",IF(AND(C104=D104,D104=E104),"TOR = SM = BNN","Comb. diferentes")))))</f>
        <v>TOR &gt; BNN &gt; SM</v>
      </c>
      <c r="BC104" s="137" t="str">
        <f>IF(OR(AD104="",AP104="-"),"",IF(AD104&lt;=0.25,"Tipo 1 (≤0,25) uT",IF(AD104&lt;=0.5,"Tipo 2 (0,25-0,50) uT",IF(AD104&lt;=0.75,"Tipo 3 (0,50-0,75) uT","Tipo 4 (&gt;0,75) uT"))))</f>
        <v>Tipo 1 (≤0,25) uT</v>
      </c>
      <c r="BD104" s="137" t="str">
        <f>IF(OR(AO104="",AY104="-"),"",IF(AO104&lt;=0.25,"Tipo 1 (≤0,25) uT",IF(AO104&lt;=0.5,"Tipo 2 (0,25-0,50) uT",IF(AO104&lt;=0.75,"Tipo 3 (0,50-0,75) uT","Tipo 4 (&gt;0,75) uT"))))</f>
        <v>Tipo 1 (≤0,25) uT</v>
      </c>
      <c r="BE104" s="137" t="str">
        <f>IF(OR(AE104="",AP104="-"),"",IF(AE104&lt;=0.25,"Tipo 1 (≤0,25) uT",IF(AE104&lt;=0.5,"Tipo 2 (0,25-0,50) uT",IF(AE104&lt;=0.75,"Tipo 3 (0,50-0,75) uT","Tipo 4 (&gt;0,75) uT"))))</f>
        <v>Tipo 2 (0,25-0,50) uT</v>
      </c>
      <c r="BF104" s="137" t="str">
        <f>IF(OR(AP104="",AP104="-"),"",IF(AP104&lt;=0.25,"Tipo 1 (≤0,25) uT",IF(AP104&lt;=0.5,"Tipo 2 (0,25-0,50) uT",IF(AP104&lt;=0.75,"Tipo 3 (0,50-0,75) uT","Tipo 4 (&gt;0,75) uT"))))</f>
        <v>Tipo 4 (&gt;0,75) uT</v>
      </c>
      <c r="BG104" s="137" t="str">
        <f>IF(OR(Q104="",Q104="-"),"",IF(Q104&lt;=0.25,"Tipo 1 (≤0,25) uT",IF(Q104&lt;=0.5,"Tipo 2 (0,25-0,50) uT",IF(Q104&lt;=0.75,"Tipo 3 (0,50-0,75) uT","Tipo 4 (&gt;0,75) uT"))))</f>
        <v>Tipo 2 (0,25-0,50) uT</v>
      </c>
    </row>
    <row r="105" spans="1:59" x14ac:dyDescent="0.3">
      <c r="A105" s="26">
        <v>46139</v>
      </c>
      <c r="B105" s="107">
        <v>0.89583333333333337</v>
      </c>
      <c r="C105" s="116">
        <v>1272</v>
      </c>
      <c r="D105" s="116">
        <v>329</v>
      </c>
      <c r="E105" s="116">
        <v>541</v>
      </c>
      <c r="F105" s="116">
        <v>2327</v>
      </c>
      <c r="G105" s="10" t="s">
        <v>34</v>
      </c>
      <c r="H105" s="122">
        <v>2.8</v>
      </c>
      <c r="I105" s="116">
        <v>90</v>
      </c>
      <c r="J105" s="116">
        <v>90</v>
      </c>
      <c r="K105" s="116">
        <v>90</v>
      </c>
      <c r="L105" s="122">
        <v>25</v>
      </c>
      <c r="M105" s="122">
        <v>6.6</v>
      </c>
      <c r="N105" s="79">
        <v>3.83</v>
      </c>
      <c r="O105" s="116">
        <v>17</v>
      </c>
      <c r="P105" s="122">
        <v>6.5</v>
      </c>
      <c r="Q105" s="79">
        <v>0.46</v>
      </c>
      <c r="R105" s="79">
        <v>22.36</v>
      </c>
      <c r="S105" s="79">
        <v>0.88</v>
      </c>
      <c r="T105" s="79">
        <v>0.7</v>
      </c>
      <c r="U105" s="85">
        <f t="shared" si="8"/>
        <v>1431.105</v>
      </c>
      <c r="V105" s="79">
        <f t="shared" si="9"/>
        <v>1566.0902464063997</v>
      </c>
      <c r="W105" s="79">
        <f t="shared" si="10"/>
        <v>1.0943223917227596</v>
      </c>
      <c r="X105" s="116">
        <v>3</v>
      </c>
      <c r="Y105" s="116">
        <v>4</v>
      </c>
      <c r="Z105" s="122">
        <v>6.51</v>
      </c>
      <c r="AA105" s="116">
        <v>19.36</v>
      </c>
      <c r="AB105" s="122">
        <v>6.8</v>
      </c>
      <c r="AC105" s="122">
        <v>7</v>
      </c>
      <c r="AD105" s="10">
        <v>0.59</v>
      </c>
      <c r="AE105" s="79">
        <v>0.79</v>
      </c>
      <c r="AF105" s="85">
        <f t="shared" si="11"/>
        <v>1431.105</v>
      </c>
      <c r="AG105" s="85">
        <f t="shared" si="12"/>
        <v>1917.2807746559999</v>
      </c>
      <c r="AH105" s="85">
        <f t="shared" si="13"/>
        <v>1.3397205478675569</v>
      </c>
      <c r="AI105" s="116">
        <v>3</v>
      </c>
      <c r="AJ105" s="116">
        <v>4</v>
      </c>
      <c r="AK105" s="79">
        <v>6.4</v>
      </c>
      <c r="AL105" s="79">
        <v>24.21</v>
      </c>
      <c r="AM105" s="122">
        <v>6.7</v>
      </c>
      <c r="AN105" s="122">
        <v>6</v>
      </c>
      <c r="AO105" s="79">
        <v>0.56999999999999995</v>
      </c>
      <c r="AP105" s="127">
        <v>0.82</v>
      </c>
      <c r="AQ105" s="132">
        <f t="shared" si="4"/>
        <v>2142</v>
      </c>
      <c r="AR105" s="134">
        <f t="shared" si="5"/>
        <v>0.5938375350140056</v>
      </c>
      <c r="AS105" s="134">
        <f t="shared" si="6"/>
        <v>0.15359477124183007</v>
      </c>
      <c r="AT105" s="134">
        <f t="shared" si="7"/>
        <v>0.25256769374416432</v>
      </c>
      <c r="AU105" s="43">
        <f>IF(AND(F105&lt;&gt;"",Y105&lt;&gt;""),AA105/(F105/2/Y105),"")</f>
        <v>6.6557799742157281E-2</v>
      </c>
      <c r="AV105" s="43">
        <f>IF(AND(F105&lt;&gt;"",AJ105&lt;&gt;""),AL105/(F105/2/AJ105),"")</f>
        <v>8.323162870648905E-2</v>
      </c>
      <c r="AW105" s="41">
        <f>IF(AND(AP105&lt;&gt;"",1-(AP105/N105)&gt;0),1-(AP105/N105),"")</f>
        <v>0.78590078328981727</v>
      </c>
      <c r="AX105" s="41">
        <f>IF(AND(AE105&lt;&gt;"",1-(AE105/N105)&gt;0),1-(AE105/N105),"")</f>
        <v>0.79373368146214096</v>
      </c>
      <c r="AY105" s="136" t="str">
        <f>IF(P105="","",IF(P105&lt;2.5,"Alc. Bruta &lt; 2,5 mg/L",IF(P105&lt;5,"2,5 ≤ Alc. Bruta &lt; 5,0 mg/L",IF(P105&lt;7.5,"5,0 ≤ Alc. Bruta &lt; 7,5 mg/L",IF(P105&lt;10,"7,5 ≤ Alc. Bruta &lt; 10,0 mg/L",IF(P105&lt;15,"10,0 ≤ Alca. Bruta &lt; 15,0 mg/L","Alc. Bruta &gt; 15 mg/L"))))))</f>
        <v>5,0 ≤ Alc. Bruta &lt; 7,5 mg/L</v>
      </c>
      <c r="AZ105" s="136" t="str">
        <f>IF(O105="","",IF(O105&lt;5,"Cor &lt;5 uC",IF(O105&lt;10,"5 ≤ Cor &lt; 10 uC",IF(O105&lt;15,"10 ≤ Cor &lt;15 uC",IF(O105&lt;30,"15 ≤ Cor &lt; 30 uC",IF(O105&lt;50,"30 ≤ Cor &lt; 50 uC","Cor &gt; 50 uC"))))))</f>
        <v>15 ≤ Cor &lt; 30 uC</v>
      </c>
      <c r="BA105" s="137" t="str">
        <f>IF(N105="","",IF(N105&lt;2.5,"Turbidez &lt; 2,5 uT",IF(N105&lt;5,"2,5 ≤ Turb &lt; 5,0 uT",IF(N105&lt;7.5,"5,0 ≤ Turb &lt; 7,5 uT",IF(N105&lt;10,"7,5 ≤ Turb &lt; 10,0 uT",IF(N105&lt;15,"10,0 ≤ Turb &lt; 15,0 uT","Turb &gt; 15 uT"))))))</f>
        <v>2,5 ≤ Turb &lt; 5,0 uT</v>
      </c>
      <c r="BB105" s="138" t="str">
        <f>IF(AND(C105&gt;D105,D105&gt;E105),"TOR &gt; SM &gt; BNN",IF(AND(C105&gt;E105,E105&gt;D105),"TOR &gt; BNN &gt; SM",IF(AND(D105&gt;C105,C105&gt;E105),"SM &gt; TOR &gt; BNN",IF(AND(D105&gt;E105,E105&gt;C105),"SM &gt; BNN &gt; TOR",IF(AND(C105=D105,D105=E105),"TOR = SM = BNN","Comb. diferentes")))))</f>
        <v>TOR &gt; BNN &gt; SM</v>
      </c>
      <c r="BC105" s="137" t="str">
        <f>IF(OR(AD105="",AP105="-"),"",IF(AD105&lt;=0.25,"Tipo 1 (≤0,25) uT",IF(AD105&lt;=0.5,"Tipo 2 (0,25-0,50) uT",IF(AD105&lt;=0.75,"Tipo 3 (0,50-0,75) uT","Tipo 4 (&gt;0,75) uT"))))</f>
        <v>Tipo 3 (0,50-0,75) uT</v>
      </c>
      <c r="BD105" s="137" t="str">
        <f>IF(OR(AO105="",AY105="-"),"",IF(AO105&lt;=0.25,"Tipo 1 (≤0,25) uT",IF(AO105&lt;=0.5,"Tipo 2 (0,25-0,50) uT",IF(AO105&lt;=0.75,"Tipo 3 (0,50-0,75) uT","Tipo 4 (&gt;0,75) uT"))))</f>
        <v>Tipo 3 (0,50-0,75) uT</v>
      </c>
      <c r="BE105" s="137" t="str">
        <f>IF(OR(AE105="",AP105="-"),"",IF(AE105&lt;=0.25,"Tipo 1 (≤0,25) uT",IF(AE105&lt;=0.5,"Tipo 2 (0,25-0,50) uT",IF(AE105&lt;=0.75,"Tipo 3 (0,50-0,75) uT","Tipo 4 (&gt;0,75) uT"))))</f>
        <v>Tipo 4 (&gt;0,75) uT</v>
      </c>
      <c r="BF105" s="137" t="str">
        <f>IF(OR(AP105="",AP105="-"),"",IF(AP105&lt;=0.25,"Tipo 1 (≤0,25) uT",IF(AP105&lt;=0.5,"Tipo 2 (0,25-0,50) uT",IF(AP105&lt;=0.75,"Tipo 3 (0,50-0,75) uT","Tipo 4 (&gt;0,75) uT"))))</f>
        <v>Tipo 4 (&gt;0,75) uT</v>
      </c>
      <c r="BG105" s="137" t="str">
        <f>IF(OR(Q105="",Q105="-"),"",IF(Q105&lt;=0.25,"Tipo 1 (≤0,25) uT",IF(Q105&lt;=0.5,"Tipo 2 (0,25-0,50) uT",IF(Q105&lt;=0.75,"Tipo 3 (0,50-0,75) uT","Tipo 4 (&gt;0,75) uT"))))</f>
        <v>Tipo 2 (0,25-0,50) uT</v>
      </c>
    </row>
    <row r="106" spans="1:59" x14ac:dyDescent="0.3">
      <c r="A106" s="26">
        <v>46139</v>
      </c>
      <c r="B106" s="107">
        <v>0.97916666666666663</v>
      </c>
      <c r="C106" s="116">
        <v>1251</v>
      </c>
      <c r="D106" s="116">
        <v>361</v>
      </c>
      <c r="E106" s="116">
        <v>541</v>
      </c>
      <c r="F106" s="116">
        <v>2315</v>
      </c>
      <c r="G106" s="10" t="s">
        <v>34</v>
      </c>
      <c r="H106" s="122">
        <v>2.9</v>
      </c>
      <c r="I106" s="116">
        <v>90</v>
      </c>
      <c r="J106" s="116">
        <v>90</v>
      </c>
      <c r="K106" s="116">
        <v>90</v>
      </c>
      <c r="L106" s="122">
        <v>25</v>
      </c>
      <c r="M106" s="122">
        <v>6.8</v>
      </c>
      <c r="N106" s="79">
        <v>3.16</v>
      </c>
      <c r="O106" s="116">
        <v>14</v>
      </c>
      <c r="P106" s="122">
        <v>6</v>
      </c>
      <c r="Q106" s="79">
        <v>0.77</v>
      </c>
      <c r="R106" s="79">
        <v>22.36</v>
      </c>
      <c r="S106" s="79">
        <v>0.88</v>
      </c>
      <c r="T106" s="79">
        <v>0.7</v>
      </c>
      <c r="U106" s="85">
        <f t="shared" si="8"/>
        <v>1238.5250000000001</v>
      </c>
      <c r="V106" s="79">
        <f t="shared" si="9"/>
        <v>1563.6634536691997</v>
      </c>
      <c r="W106" s="79">
        <f t="shared" si="10"/>
        <v>1.2625207029887968</v>
      </c>
      <c r="X106" s="116">
        <v>3</v>
      </c>
      <c r="Y106" s="116">
        <v>4</v>
      </c>
      <c r="Z106" s="122">
        <v>6.51</v>
      </c>
      <c r="AA106" s="116">
        <v>19.329999999999998</v>
      </c>
      <c r="AB106" s="122">
        <v>6.9</v>
      </c>
      <c r="AC106" s="122">
        <v>6.9</v>
      </c>
      <c r="AD106" s="10">
        <v>0.34</v>
      </c>
      <c r="AE106" s="79">
        <v>1.39</v>
      </c>
      <c r="AF106" s="85">
        <f t="shared" si="11"/>
        <v>1238.5250000000001</v>
      </c>
      <c r="AG106" s="85">
        <f t="shared" si="12"/>
        <v>1921.8143447048001</v>
      </c>
      <c r="AH106" s="85">
        <f t="shared" si="13"/>
        <v>1.5516960454611735</v>
      </c>
      <c r="AI106" s="116">
        <v>3</v>
      </c>
      <c r="AJ106" s="116">
        <v>4</v>
      </c>
      <c r="AK106" s="79">
        <v>6.41</v>
      </c>
      <c r="AL106" s="79">
        <v>24.22</v>
      </c>
      <c r="AM106" s="122">
        <v>6.9</v>
      </c>
      <c r="AN106" s="122">
        <v>7.2</v>
      </c>
      <c r="AO106" s="79">
        <v>0.37</v>
      </c>
      <c r="AP106" s="127">
        <v>0.95</v>
      </c>
      <c r="AQ106" s="132">
        <f t="shared" si="4"/>
        <v>2153</v>
      </c>
      <c r="AR106" s="134">
        <f t="shared" si="5"/>
        <v>0.58104969809568041</v>
      </c>
      <c r="AS106" s="134">
        <f t="shared" si="6"/>
        <v>0.1676730143985137</v>
      </c>
      <c r="AT106" s="134">
        <f t="shared" si="7"/>
        <v>0.25127728750580586</v>
      </c>
      <c r="AU106" s="43">
        <f>IF(AND(F106&lt;&gt;"",Y106&lt;&gt;""),AA106/(F106/2/Y106),"")</f>
        <v>6.6799136069114459E-2</v>
      </c>
      <c r="AV106" s="43">
        <f>IF(AND(F106&lt;&gt;"",AJ106&lt;&gt;""),AL106/(F106/2/AJ106),"")</f>
        <v>8.3697624190064795E-2</v>
      </c>
      <c r="AW106" s="41">
        <f>IF(AND(AP106&lt;&gt;"",1-(AP106/N106)&gt;0),1-(AP106/N106),"")</f>
        <v>0.69936708860759489</v>
      </c>
      <c r="AX106" s="41">
        <f>IF(AND(AE106&lt;&gt;"",1-(AE106/N106)&gt;0),1-(AE106/N106),"")</f>
        <v>0.56012658227848111</v>
      </c>
      <c r="AY106" s="136" t="str">
        <f>IF(P106="","",IF(P106&lt;2.5,"Alc. Bruta &lt; 2,5 mg/L",IF(P106&lt;5,"2,5 ≤ Alc. Bruta &lt; 5,0 mg/L",IF(P106&lt;7.5,"5,0 ≤ Alc. Bruta &lt; 7,5 mg/L",IF(P106&lt;10,"7,5 ≤ Alc. Bruta &lt; 10,0 mg/L",IF(P106&lt;15,"10,0 ≤ Alca. Bruta &lt; 15,0 mg/L","Alc. Bruta &gt; 15 mg/L"))))))</f>
        <v>5,0 ≤ Alc. Bruta &lt; 7,5 mg/L</v>
      </c>
      <c r="AZ106" s="136" t="str">
        <f>IF(O106="","",IF(O106&lt;5,"Cor &lt;5 uC",IF(O106&lt;10,"5 ≤ Cor &lt; 10 uC",IF(O106&lt;15,"10 ≤ Cor &lt;15 uC",IF(O106&lt;30,"15 ≤ Cor &lt; 30 uC",IF(O106&lt;50,"30 ≤ Cor &lt; 50 uC","Cor &gt; 50 uC"))))))</f>
        <v>10 ≤ Cor &lt;15 uC</v>
      </c>
      <c r="BA106" s="137" t="str">
        <f>IF(N106="","",IF(N106&lt;2.5,"Turbidez &lt; 2,5 uT",IF(N106&lt;5,"2,5 ≤ Turb &lt; 5,0 uT",IF(N106&lt;7.5,"5,0 ≤ Turb &lt; 7,5 uT",IF(N106&lt;10,"7,5 ≤ Turb &lt; 10,0 uT",IF(N106&lt;15,"10,0 ≤ Turb &lt; 15,0 uT","Turb &gt; 15 uT"))))))</f>
        <v>2,5 ≤ Turb &lt; 5,0 uT</v>
      </c>
      <c r="BB106" s="138" t="str">
        <f>IF(AND(C106&gt;D106,D106&gt;E106),"TOR &gt; SM &gt; BNN",IF(AND(C106&gt;E106,E106&gt;D106),"TOR &gt; BNN &gt; SM",IF(AND(D106&gt;C106,C106&gt;E106),"SM &gt; TOR &gt; BNN",IF(AND(D106&gt;E106,E106&gt;C106),"SM &gt; BNN &gt; TOR",IF(AND(C106=D106,D106=E106),"TOR = SM = BNN","Comb. diferentes")))))</f>
        <v>TOR &gt; BNN &gt; SM</v>
      </c>
      <c r="BC106" s="137" t="str">
        <f>IF(OR(AD106="",AP106="-"),"",IF(AD106&lt;=0.25,"Tipo 1 (≤0,25) uT",IF(AD106&lt;=0.5,"Tipo 2 (0,25-0,50) uT",IF(AD106&lt;=0.75,"Tipo 3 (0,50-0,75) uT","Tipo 4 (&gt;0,75) uT"))))</f>
        <v>Tipo 2 (0,25-0,50) uT</v>
      </c>
      <c r="BD106" s="137" t="str">
        <f>IF(OR(AO106="",AY106="-"),"",IF(AO106&lt;=0.25,"Tipo 1 (≤0,25) uT",IF(AO106&lt;=0.5,"Tipo 2 (0,25-0,50) uT",IF(AO106&lt;=0.75,"Tipo 3 (0,50-0,75) uT","Tipo 4 (&gt;0,75) uT"))))</f>
        <v>Tipo 2 (0,25-0,50) uT</v>
      </c>
      <c r="BE106" s="137" t="str">
        <f>IF(OR(AE106="",AP106="-"),"",IF(AE106&lt;=0.25,"Tipo 1 (≤0,25) uT",IF(AE106&lt;=0.5,"Tipo 2 (0,25-0,50) uT",IF(AE106&lt;=0.75,"Tipo 3 (0,50-0,75) uT","Tipo 4 (&gt;0,75) uT"))))</f>
        <v>Tipo 4 (&gt;0,75) uT</v>
      </c>
      <c r="BF106" s="137" t="str">
        <f>IF(OR(AP106="",AP106="-"),"",IF(AP106&lt;=0.25,"Tipo 1 (≤0,25) uT",IF(AP106&lt;=0.5,"Tipo 2 (0,25-0,50) uT",IF(AP106&lt;=0.75,"Tipo 3 (0,50-0,75) uT","Tipo 4 (&gt;0,75) uT"))))</f>
        <v>Tipo 4 (&gt;0,75) uT</v>
      </c>
      <c r="BG106" s="137" t="str">
        <f>IF(OR(Q106="",Q106="-"),"",IF(Q106&lt;=0.25,"Tipo 1 (≤0,25) uT",IF(Q106&lt;=0.5,"Tipo 2 (0,25-0,50) uT",IF(Q106&lt;=0.75,"Tipo 3 (0,50-0,75) uT","Tipo 4 (&gt;0,75) uT"))))</f>
        <v>Tipo 4 (&gt;0,75) uT</v>
      </c>
    </row>
    <row r="107" spans="1:59" x14ac:dyDescent="0.3">
      <c r="A107" s="26">
        <v>46140</v>
      </c>
      <c r="B107" s="107">
        <v>6.25E-2</v>
      </c>
      <c r="C107" s="116">
        <v>1298</v>
      </c>
      <c r="D107" s="116">
        <v>397</v>
      </c>
      <c r="E107" s="116">
        <v>541.9</v>
      </c>
      <c r="F107" s="116">
        <v>2328</v>
      </c>
      <c r="G107" s="10" t="s">
        <v>34</v>
      </c>
      <c r="H107" s="122">
        <v>3.5</v>
      </c>
      <c r="I107" s="116">
        <v>90</v>
      </c>
      <c r="J107" s="116">
        <v>90</v>
      </c>
      <c r="K107" s="116">
        <v>90</v>
      </c>
      <c r="L107" s="122">
        <v>24.8</v>
      </c>
      <c r="M107" s="122">
        <v>6.8</v>
      </c>
      <c r="N107" s="79">
        <v>3.58</v>
      </c>
      <c r="O107" s="116">
        <v>14</v>
      </c>
      <c r="P107" s="122">
        <v>6.1</v>
      </c>
      <c r="Q107" s="79">
        <v>0.77</v>
      </c>
      <c r="R107" s="79">
        <v>22.36</v>
      </c>
      <c r="S107" s="79">
        <v>0.88</v>
      </c>
      <c r="T107" s="79">
        <v>0.7</v>
      </c>
      <c r="U107" s="85">
        <f t="shared" si="8"/>
        <v>1420.08</v>
      </c>
      <c r="V107" s="79">
        <f t="shared" si="9"/>
        <v>1591.3579242600001</v>
      </c>
      <c r="W107" s="79">
        <f t="shared" si="10"/>
        <v>1.1206114615092109</v>
      </c>
      <c r="X107" s="116">
        <v>3</v>
      </c>
      <c r="Y107" s="116">
        <v>4</v>
      </c>
      <c r="Z107" s="122">
        <v>6.5</v>
      </c>
      <c r="AA107" s="116">
        <v>19.71</v>
      </c>
      <c r="AB107" s="122">
        <v>6.9</v>
      </c>
      <c r="AC107" s="122">
        <v>7</v>
      </c>
      <c r="AD107" s="10">
        <v>1.1399999999999999</v>
      </c>
      <c r="AE107" s="79">
        <v>1.31</v>
      </c>
      <c r="AF107" s="85">
        <f t="shared" si="11"/>
        <v>1420.08</v>
      </c>
      <c r="AG107" s="85">
        <f t="shared" si="12"/>
        <v>1890.3190374639998</v>
      </c>
      <c r="AH107" s="85">
        <f t="shared" si="13"/>
        <v>1.3311355962086642</v>
      </c>
      <c r="AI107" s="116">
        <v>3</v>
      </c>
      <c r="AJ107" s="116">
        <v>4</v>
      </c>
      <c r="AK107" s="79">
        <v>6.33</v>
      </c>
      <c r="AL107" s="79">
        <v>24.2</v>
      </c>
      <c r="AM107" s="122">
        <v>6.8</v>
      </c>
      <c r="AN107" s="122">
        <v>6.1</v>
      </c>
      <c r="AO107" s="79">
        <v>0.42</v>
      </c>
      <c r="AP107" s="127">
        <v>0.85</v>
      </c>
      <c r="AQ107" s="132">
        <f t="shared" si="4"/>
        <v>2236.9</v>
      </c>
      <c r="AR107" s="134">
        <f t="shared" si="5"/>
        <v>0.58026733425723098</v>
      </c>
      <c r="AS107" s="134">
        <f t="shared" si="6"/>
        <v>0.17747775939916849</v>
      </c>
      <c r="AT107" s="134">
        <f t="shared" si="7"/>
        <v>0.2422549063436005</v>
      </c>
      <c r="AU107" s="43">
        <f>IF(AND(F107&lt;&gt;"",Y107&lt;&gt;""),AA107/(F107/2/Y107),"")</f>
        <v>6.7731958762886596E-2</v>
      </c>
      <c r="AV107" s="43">
        <f>IF(AND(F107&lt;&gt;"",AJ107&lt;&gt;""),AL107/(F107/2/AJ107),"")</f>
        <v>8.3161512027491405E-2</v>
      </c>
      <c r="AW107" s="41">
        <f>IF(AND(AP107&lt;&gt;"",1-(AP107/N107)&gt;0),1-(AP107/N107),"")</f>
        <v>0.76256983240223464</v>
      </c>
      <c r="AX107" s="41">
        <f>IF(AND(AE107&lt;&gt;"",1-(AE107/N107)&gt;0),1-(AE107/N107),"")</f>
        <v>0.63407821229050276</v>
      </c>
      <c r="AY107" s="136" t="str">
        <f>IF(P107="","",IF(P107&lt;2.5,"Alc. Bruta &lt; 2,5 mg/L",IF(P107&lt;5,"2,5 ≤ Alc. Bruta &lt; 5,0 mg/L",IF(P107&lt;7.5,"5,0 ≤ Alc. Bruta &lt; 7,5 mg/L",IF(P107&lt;10,"7,5 ≤ Alc. Bruta &lt; 10,0 mg/L",IF(P107&lt;15,"10,0 ≤ Alca. Bruta &lt; 15,0 mg/L","Alc. Bruta &gt; 15 mg/L"))))))</f>
        <v>5,0 ≤ Alc. Bruta &lt; 7,5 mg/L</v>
      </c>
      <c r="AZ107" s="136" t="str">
        <f>IF(O107="","",IF(O107&lt;5,"Cor &lt;5 uC",IF(O107&lt;10,"5 ≤ Cor &lt; 10 uC",IF(O107&lt;15,"10 ≤ Cor &lt;15 uC",IF(O107&lt;30,"15 ≤ Cor &lt; 30 uC",IF(O107&lt;50,"30 ≤ Cor &lt; 50 uC","Cor &gt; 50 uC"))))))</f>
        <v>10 ≤ Cor &lt;15 uC</v>
      </c>
      <c r="BA107" s="137" t="str">
        <f>IF(N107="","",IF(N107&lt;2.5,"Turbidez &lt; 2,5 uT",IF(N107&lt;5,"2,5 ≤ Turb &lt; 5,0 uT",IF(N107&lt;7.5,"5,0 ≤ Turb &lt; 7,5 uT",IF(N107&lt;10,"7,5 ≤ Turb &lt; 10,0 uT",IF(N107&lt;15,"10,0 ≤ Turb &lt; 15,0 uT","Turb &gt; 15 uT"))))))</f>
        <v>2,5 ≤ Turb &lt; 5,0 uT</v>
      </c>
      <c r="BB107" s="138" t="str">
        <f>IF(AND(C107&gt;D107,D107&gt;E107),"TOR &gt; SM &gt; BNN",IF(AND(C107&gt;E107,E107&gt;D107),"TOR &gt; BNN &gt; SM",IF(AND(D107&gt;C107,C107&gt;E107),"SM &gt; TOR &gt; BNN",IF(AND(D107&gt;E107,E107&gt;C107),"SM &gt; BNN &gt; TOR",IF(AND(C107=D107,D107=E107),"TOR = SM = BNN","Comb. diferentes")))))</f>
        <v>TOR &gt; BNN &gt; SM</v>
      </c>
      <c r="BC107" s="137" t="str">
        <f>IF(OR(AD107="",AP107="-"),"",IF(AD107&lt;=0.25,"Tipo 1 (≤0,25) uT",IF(AD107&lt;=0.5,"Tipo 2 (0,25-0,50) uT",IF(AD107&lt;=0.75,"Tipo 3 (0,50-0,75) uT","Tipo 4 (&gt;0,75) uT"))))</f>
        <v>Tipo 4 (&gt;0,75) uT</v>
      </c>
      <c r="BD107" s="137" t="str">
        <f>IF(OR(AO107="",AY107="-"),"",IF(AO107&lt;=0.25,"Tipo 1 (≤0,25) uT",IF(AO107&lt;=0.5,"Tipo 2 (0,25-0,50) uT",IF(AO107&lt;=0.75,"Tipo 3 (0,50-0,75) uT","Tipo 4 (&gt;0,75) uT"))))</f>
        <v>Tipo 2 (0,25-0,50) uT</v>
      </c>
      <c r="BE107" s="137" t="str">
        <f>IF(OR(AE107="",AP107="-"),"",IF(AE107&lt;=0.25,"Tipo 1 (≤0,25) uT",IF(AE107&lt;=0.5,"Tipo 2 (0,25-0,50) uT",IF(AE107&lt;=0.75,"Tipo 3 (0,50-0,75) uT","Tipo 4 (&gt;0,75) uT"))))</f>
        <v>Tipo 4 (&gt;0,75) uT</v>
      </c>
      <c r="BF107" s="137" t="str">
        <f>IF(OR(AP107="",AP107="-"),"",IF(AP107&lt;=0.25,"Tipo 1 (≤0,25) uT",IF(AP107&lt;=0.5,"Tipo 2 (0,25-0,50) uT",IF(AP107&lt;=0.75,"Tipo 3 (0,50-0,75) uT","Tipo 4 (&gt;0,75) uT"))))</f>
        <v>Tipo 4 (&gt;0,75) uT</v>
      </c>
      <c r="BG107" s="137" t="str">
        <f>IF(OR(Q107="",Q107="-"),"",IF(Q107&lt;=0.25,"Tipo 1 (≤0,25) uT",IF(Q107&lt;=0.5,"Tipo 2 (0,25-0,50) uT",IF(Q107&lt;=0.75,"Tipo 3 (0,50-0,75) uT","Tipo 4 (&gt;0,75) uT"))))</f>
        <v>Tipo 4 (&gt;0,75) uT</v>
      </c>
    </row>
    <row r="108" spans="1:59" x14ac:dyDescent="0.3">
      <c r="A108" s="26">
        <v>46140</v>
      </c>
      <c r="B108" s="107">
        <v>0.14583333333333334</v>
      </c>
      <c r="C108" s="116">
        <v>1206.3</v>
      </c>
      <c r="D108" s="116">
        <v>387</v>
      </c>
      <c r="E108" s="116">
        <v>539.70000000000005</v>
      </c>
      <c r="F108" s="116">
        <v>2322</v>
      </c>
      <c r="G108" s="10" t="s">
        <v>34</v>
      </c>
      <c r="H108" s="122">
        <v>3.5</v>
      </c>
      <c r="I108" s="116">
        <v>90</v>
      </c>
      <c r="J108" s="116">
        <v>90</v>
      </c>
      <c r="K108" s="116">
        <v>90</v>
      </c>
      <c r="L108" s="122">
        <v>26.6</v>
      </c>
      <c r="M108" s="122">
        <v>6.8</v>
      </c>
      <c r="N108" s="79">
        <v>3.42</v>
      </c>
      <c r="O108" s="116">
        <v>14</v>
      </c>
      <c r="P108" s="122">
        <v>6.2</v>
      </c>
      <c r="Q108" s="79">
        <v>1.03</v>
      </c>
      <c r="R108" s="79">
        <v>22.36</v>
      </c>
      <c r="S108" s="79">
        <v>0.88</v>
      </c>
      <c r="T108" s="79">
        <v>0.7</v>
      </c>
      <c r="U108" s="85">
        <f t="shared" si="8"/>
        <v>1369.98</v>
      </c>
      <c r="V108" s="79">
        <f t="shared" si="9"/>
        <v>1622.8459806000003</v>
      </c>
      <c r="W108" s="79">
        <f t="shared" si="10"/>
        <v>1.1845764030131829</v>
      </c>
      <c r="X108" s="116">
        <v>3</v>
      </c>
      <c r="Y108" s="116">
        <v>4</v>
      </c>
      <c r="Z108" s="122">
        <v>6.5</v>
      </c>
      <c r="AA108" s="116">
        <v>20.100000000000001</v>
      </c>
      <c r="AB108" s="122">
        <v>6.8</v>
      </c>
      <c r="AC108" s="122">
        <v>6.2</v>
      </c>
      <c r="AD108" s="10">
        <v>0.32</v>
      </c>
      <c r="AE108" s="79">
        <v>1.77</v>
      </c>
      <c r="AF108" s="85">
        <f t="shared" si="11"/>
        <v>1369.98</v>
      </c>
      <c r="AG108" s="85">
        <f t="shared" si="12"/>
        <v>1902.3204240144</v>
      </c>
      <c r="AH108" s="85">
        <f t="shared" si="13"/>
        <v>1.3885753251977402</v>
      </c>
      <c r="AI108" s="116">
        <v>3</v>
      </c>
      <c r="AJ108" s="116">
        <v>4</v>
      </c>
      <c r="AK108" s="79">
        <v>6.36</v>
      </c>
      <c r="AL108" s="79">
        <v>24.21</v>
      </c>
      <c r="AM108" s="122">
        <v>6.7</v>
      </c>
      <c r="AN108" s="122">
        <v>6.7</v>
      </c>
      <c r="AO108" s="79">
        <v>0.16</v>
      </c>
      <c r="AP108" s="127">
        <v>1.05</v>
      </c>
      <c r="AQ108" s="132">
        <f t="shared" si="4"/>
        <v>2133</v>
      </c>
      <c r="AR108" s="134">
        <f t="shared" si="5"/>
        <v>0.56554149085794658</v>
      </c>
      <c r="AS108" s="134">
        <f t="shared" si="6"/>
        <v>0.18143459915611815</v>
      </c>
      <c r="AT108" s="134">
        <f t="shared" si="7"/>
        <v>0.25302390998593532</v>
      </c>
      <c r="AU108" s="43">
        <f>IF(AND(F108&lt;&gt;"",Y108&lt;&gt;""),AA108/(F108/2/Y108),"")</f>
        <v>6.925064599483205E-2</v>
      </c>
      <c r="AV108" s="43">
        <f>IF(AND(F108&lt;&gt;"",AJ108&lt;&gt;""),AL108/(F108/2/AJ108),"")</f>
        <v>8.3410852713178302E-2</v>
      </c>
      <c r="AW108" s="41">
        <f>IF(AND(AP108&lt;&gt;"",1-(AP108/N108)&gt;0),1-(AP108/N108),"")</f>
        <v>0.69298245614035081</v>
      </c>
      <c r="AX108" s="41">
        <f>IF(AND(AE108&lt;&gt;"",1-(AE108/N108)&gt;0),1-(AE108/N108),"")</f>
        <v>0.48245614035087714</v>
      </c>
      <c r="AY108" s="136" t="str">
        <f>IF(P108="","",IF(P108&lt;2.5,"Alc. Bruta &lt; 2,5 mg/L",IF(P108&lt;5,"2,5 ≤ Alc. Bruta &lt; 5,0 mg/L",IF(P108&lt;7.5,"5,0 ≤ Alc. Bruta &lt; 7,5 mg/L",IF(P108&lt;10,"7,5 ≤ Alc. Bruta &lt; 10,0 mg/L",IF(P108&lt;15,"10,0 ≤ Alca. Bruta &lt; 15,0 mg/L","Alc. Bruta &gt; 15 mg/L"))))))</f>
        <v>5,0 ≤ Alc. Bruta &lt; 7,5 mg/L</v>
      </c>
      <c r="AZ108" s="136" t="str">
        <f>IF(O108="","",IF(O108&lt;5,"Cor &lt;5 uC",IF(O108&lt;10,"5 ≤ Cor &lt; 10 uC",IF(O108&lt;15,"10 ≤ Cor &lt;15 uC",IF(O108&lt;30,"15 ≤ Cor &lt; 30 uC",IF(O108&lt;50,"30 ≤ Cor &lt; 50 uC","Cor &gt; 50 uC"))))))</f>
        <v>10 ≤ Cor &lt;15 uC</v>
      </c>
      <c r="BA108" s="137" t="str">
        <f>IF(N108="","",IF(N108&lt;2.5,"Turbidez &lt; 2,5 uT",IF(N108&lt;5,"2,5 ≤ Turb &lt; 5,0 uT",IF(N108&lt;7.5,"5,0 ≤ Turb &lt; 7,5 uT",IF(N108&lt;10,"7,5 ≤ Turb &lt; 10,0 uT",IF(N108&lt;15,"10,0 ≤ Turb &lt; 15,0 uT","Turb &gt; 15 uT"))))))</f>
        <v>2,5 ≤ Turb &lt; 5,0 uT</v>
      </c>
      <c r="BB108" s="138" t="str">
        <f>IF(AND(C108&gt;D108,D108&gt;E108),"TOR &gt; SM &gt; BNN",IF(AND(C108&gt;E108,E108&gt;D108),"TOR &gt; BNN &gt; SM",IF(AND(D108&gt;C108,C108&gt;E108),"SM &gt; TOR &gt; BNN",IF(AND(D108&gt;E108,E108&gt;C108),"SM &gt; BNN &gt; TOR",IF(AND(C108=D108,D108=E108),"TOR = SM = BNN","Comb. diferentes")))))</f>
        <v>TOR &gt; BNN &gt; SM</v>
      </c>
      <c r="BC108" s="137" t="str">
        <f>IF(OR(AD108="",AP108="-"),"",IF(AD108&lt;=0.25,"Tipo 1 (≤0,25) uT",IF(AD108&lt;=0.5,"Tipo 2 (0,25-0,50) uT",IF(AD108&lt;=0.75,"Tipo 3 (0,50-0,75) uT","Tipo 4 (&gt;0,75) uT"))))</f>
        <v>Tipo 2 (0,25-0,50) uT</v>
      </c>
      <c r="BD108" s="137" t="str">
        <f>IF(OR(AO108="",AY108="-"),"",IF(AO108&lt;=0.25,"Tipo 1 (≤0,25) uT",IF(AO108&lt;=0.5,"Tipo 2 (0,25-0,50) uT",IF(AO108&lt;=0.75,"Tipo 3 (0,50-0,75) uT","Tipo 4 (&gt;0,75) uT"))))</f>
        <v>Tipo 1 (≤0,25) uT</v>
      </c>
      <c r="BE108" s="137" t="str">
        <f>IF(OR(AE108="",AP108="-"),"",IF(AE108&lt;=0.25,"Tipo 1 (≤0,25) uT",IF(AE108&lt;=0.5,"Tipo 2 (0,25-0,50) uT",IF(AE108&lt;=0.75,"Tipo 3 (0,50-0,75) uT","Tipo 4 (&gt;0,75) uT"))))</f>
        <v>Tipo 4 (&gt;0,75) uT</v>
      </c>
      <c r="BF108" s="137" t="str">
        <f>IF(OR(AP108="",AP108="-"),"",IF(AP108&lt;=0.25,"Tipo 1 (≤0,25) uT",IF(AP108&lt;=0.5,"Tipo 2 (0,25-0,50) uT",IF(AP108&lt;=0.75,"Tipo 3 (0,50-0,75) uT","Tipo 4 (&gt;0,75) uT"))))</f>
        <v>Tipo 4 (&gt;0,75) uT</v>
      </c>
      <c r="BG108" s="137" t="str">
        <f>IF(OR(Q108="",Q108="-"),"",IF(Q108&lt;=0.25,"Tipo 1 (≤0,25) uT",IF(Q108&lt;=0.5,"Tipo 2 (0,25-0,50) uT",IF(Q108&lt;=0.75,"Tipo 3 (0,50-0,75) uT","Tipo 4 (&gt;0,75) uT"))))</f>
        <v>Tipo 4 (&gt;0,75) uT</v>
      </c>
    </row>
    <row r="109" spans="1:59" ht="15" thickBot="1" x14ac:dyDescent="0.35">
      <c r="A109" s="26">
        <v>46140</v>
      </c>
      <c r="B109" s="110">
        <v>0.22916666666666666</v>
      </c>
      <c r="C109" s="117">
        <v>1253</v>
      </c>
      <c r="D109" s="117">
        <v>368</v>
      </c>
      <c r="E109" s="117">
        <v>543</v>
      </c>
      <c r="F109" s="117">
        <v>2324</v>
      </c>
      <c r="G109" s="11" t="s">
        <v>34</v>
      </c>
      <c r="H109" s="122">
        <v>3.5</v>
      </c>
      <c r="I109" s="117">
        <v>90</v>
      </c>
      <c r="J109" s="117">
        <v>90</v>
      </c>
      <c r="K109" s="117">
        <v>90</v>
      </c>
      <c r="L109" s="123">
        <v>24.2</v>
      </c>
      <c r="M109" s="123">
        <v>6.7</v>
      </c>
      <c r="N109" s="80">
        <v>3.82</v>
      </c>
      <c r="O109" s="117">
        <v>16</v>
      </c>
      <c r="P109" s="123">
        <v>5.9</v>
      </c>
      <c r="Q109" s="80">
        <v>0.65</v>
      </c>
      <c r="R109" s="79">
        <v>22.36</v>
      </c>
      <c r="S109" s="79">
        <v>0.88</v>
      </c>
      <c r="T109" s="79">
        <v>0.7</v>
      </c>
      <c r="U109" s="85">
        <f t="shared" si="8"/>
        <v>1487.3600000000001</v>
      </c>
      <c r="V109" s="79">
        <f t="shared" si="9"/>
        <v>1560.1085779135997</v>
      </c>
      <c r="W109" s="79">
        <f t="shared" si="10"/>
        <v>1.0489112104087777</v>
      </c>
      <c r="X109" s="117">
        <v>3</v>
      </c>
      <c r="Y109" s="117">
        <v>4</v>
      </c>
      <c r="Z109" s="123">
        <v>6.49</v>
      </c>
      <c r="AA109" s="117">
        <v>19.36</v>
      </c>
      <c r="AB109" s="123">
        <v>6.8</v>
      </c>
      <c r="AC109" s="123">
        <v>6.2</v>
      </c>
      <c r="AD109" s="11">
        <v>0.28999999999999998</v>
      </c>
      <c r="AE109" s="80">
        <v>1.1399999999999999</v>
      </c>
      <c r="AF109" s="85">
        <f t="shared" si="11"/>
        <v>1487.3600000000001</v>
      </c>
      <c r="AG109" s="85">
        <f t="shared" si="12"/>
        <v>1901.7171894499995</v>
      </c>
      <c r="AH109" s="85">
        <f t="shared" si="13"/>
        <v>1.2785856749206643</v>
      </c>
      <c r="AI109" s="117">
        <v>3</v>
      </c>
      <c r="AJ109" s="117">
        <v>4</v>
      </c>
      <c r="AK109" s="80">
        <v>6.35</v>
      </c>
      <c r="AL109" s="80">
        <v>24.25</v>
      </c>
      <c r="AM109" s="123">
        <v>6.7</v>
      </c>
      <c r="AN109" s="123">
        <v>5.9</v>
      </c>
      <c r="AO109" s="80">
        <v>0.12</v>
      </c>
      <c r="AP109" s="128">
        <v>0.73</v>
      </c>
      <c r="AQ109" s="132">
        <f t="shared" si="4"/>
        <v>2164</v>
      </c>
      <c r="AR109" s="134">
        <f t="shared" si="5"/>
        <v>0.57902033271719033</v>
      </c>
      <c r="AS109" s="134">
        <f t="shared" si="6"/>
        <v>0.17005545286506468</v>
      </c>
      <c r="AT109" s="134">
        <f t="shared" si="7"/>
        <v>0.25092421441774493</v>
      </c>
      <c r="AU109" s="43">
        <f>IF(AND(F109&lt;&gt;"",Y109&lt;&gt;""),AA109/(F109/2/Y109),"")</f>
        <v>6.664371772805508E-2</v>
      </c>
      <c r="AV109" s="43">
        <f>IF(AND(F109&lt;&gt;"",AJ109&lt;&gt;""),AL109/(F109/2/AJ109),"")</f>
        <v>8.3476764199655759E-2</v>
      </c>
      <c r="AW109" s="41">
        <f>IF(AND(AP109&lt;&gt;"",1-(AP109/N109)&gt;0),1-(AP109/N109),"")</f>
        <v>0.80890052356020936</v>
      </c>
      <c r="AX109" s="41">
        <f>IF(AND(AE109&lt;&gt;"",1-(AE109/N109)&gt;0),1-(AE109/N109),"")</f>
        <v>0.70157068062827221</v>
      </c>
      <c r="AY109" s="136" t="str">
        <f>IF(P109="","",IF(P109&lt;2.5,"Alc. Bruta &lt; 2,5 mg/L",IF(P109&lt;5,"2,5 ≤ Alc. Bruta &lt; 5,0 mg/L",IF(P109&lt;7.5,"5,0 ≤ Alc. Bruta &lt; 7,5 mg/L",IF(P109&lt;10,"7,5 ≤ Alc. Bruta &lt; 10,0 mg/L",IF(P109&lt;15,"10,0 ≤ Alca. Bruta &lt; 15,0 mg/L","Alc. Bruta &gt; 15 mg/L"))))))</f>
        <v>5,0 ≤ Alc. Bruta &lt; 7,5 mg/L</v>
      </c>
      <c r="AZ109" s="136" t="str">
        <f>IF(O109="","",IF(O109&lt;5,"Cor &lt;5 uC",IF(O109&lt;10,"5 ≤ Cor &lt; 10 uC",IF(O109&lt;15,"10 ≤ Cor &lt;15 uC",IF(O109&lt;30,"15 ≤ Cor &lt; 30 uC",IF(O109&lt;50,"30 ≤ Cor &lt; 50 uC","Cor &gt; 50 uC"))))))</f>
        <v>15 ≤ Cor &lt; 30 uC</v>
      </c>
      <c r="BA109" s="137" t="str">
        <f>IF(N109="","",IF(N109&lt;2.5,"Turbidez &lt; 2,5 uT",IF(N109&lt;5,"2,5 ≤ Turb &lt; 5,0 uT",IF(N109&lt;7.5,"5,0 ≤ Turb &lt; 7,5 uT",IF(N109&lt;10,"7,5 ≤ Turb &lt; 10,0 uT",IF(N109&lt;15,"10,0 ≤ Turb &lt; 15,0 uT","Turb &gt; 15 uT"))))))</f>
        <v>2,5 ≤ Turb &lt; 5,0 uT</v>
      </c>
      <c r="BB109" s="138" t="str">
        <f>IF(AND(C109&gt;D109,D109&gt;E109),"TOR &gt; SM &gt; BNN",IF(AND(C109&gt;E109,E109&gt;D109),"TOR &gt; BNN &gt; SM",IF(AND(D109&gt;C109,C109&gt;E109),"SM &gt; TOR &gt; BNN",IF(AND(D109&gt;E109,E109&gt;C109),"SM &gt; BNN &gt; TOR",IF(AND(C109=D109,D109=E109),"TOR = SM = BNN","Comb. diferentes")))))</f>
        <v>TOR &gt; BNN &gt; SM</v>
      </c>
      <c r="BC109" s="137" t="str">
        <f>IF(OR(AD109="",AP109="-"),"",IF(AD109&lt;=0.25,"Tipo 1 (≤0,25) uT",IF(AD109&lt;=0.5,"Tipo 2 (0,25-0,50) uT",IF(AD109&lt;=0.75,"Tipo 3 (0,50-0,75) uT","Tipo 4 (&gt;0,75) uT"))))</f>
        <v>Tipo 2 (0,25-0,50) uT</v>
      </c>
      <c r="BD109" s="137" t="str">
        <f>IF(OR(AO109="",AY109="-"),"",IF(AO109&lt;=0.25,"Tipo 1 (≤0,25) uT",IF(AO109&lt;=0.5,"Tipo 2 (0,25-0,50) uT",IF(AO109&lt;=0.75,"Tipo 3 (0,50-0,75) uT","Tipo 4 (&gt;0,75) uT"))))</f>
        <v>Tipo 1 (≤0,25) uT</v>
      </c>
      <c r="BE109" s="137" t="str">
        <f>IF(OR(AE109="",AP109="-"),"",IF(AE109&lt;=0.25,"Tipo 1 (≤0,25) uT",IF(AE109&lt;=0.5,"Tipo 2 (0,25-0,50) uT",IF(AE109&lt;=0.75,"Tipo 3 (0,50-0,75) uT","Tipo 4 (&gt;0,75) uT"))))</f>
        <v>Tipo 4 (&gt;0,75) uT</v>
      </c>
      <c r="BF109" s="137" t="str">
        <f>IF(OR(AP109="",AP109="-"),"",IF(AP109&lt;=0.25,"Tipo 1 (≤0,25) uT",IF(AP109&lt;=0.5,"Tipo 2 (0,25-0,50) uT",IF(AP109&lt;=0.75,"Tipo 3 (0,50-0,75) uT","Tipo 4 (&gt;0,75) uT"))))</f>
        <v>Tipo 3 (0,50-0,75) uT</v>
      </c>
      <c r="BG109" s="137" t="str">
        <f>IF(OR(Q109="",Q109="-"),"",IF(Q109&lt;=0.25,"Tipo 1 (≤0,25) uT",IF(Q109&lt;=0.5,"Tipo 2 (0,25-0,50) uT",IF(Q109&lt;=0.75,"Tipo 3 (0,50-0,75) uT","Tipo 4 (&gt;0,75) uT"))))</f>
        <v>Tipo 3 (0,50-0,75) uT</v>
      </c>
    </row>
    <row r="110" spans="1:59" x14ac:dyDescent="0.3">
      <c r="A110" s="26">
        <v>46140</v>
      </c>
      <c r="B110" s="111">
        <v>0.3125</v>
      </c>
      <c r="C110" s="118">
        <v>1246</v>
      </c>
      <c r="D110" s="116">
        <v>297</v>
      </c>
      <c r="E110" s="118">
        <v>542</v>
      </c>
      <c r="F110" s="118">
        <v>2300</v>
      </c>
      <c r="G110" s="9" t="s">
        <v>34</v>
      </c>
      <c r="H110" s="124">
        <v>3.5</v>
      </c>
      <c r="I110" s="118">
        <v>90</v>
      </c>
      <c r="J110" s="118">
        <v>90</v>
      </c>
      <c r="K110" s="118">
        <v>90</v>
      </c>
      <c r="L110" s="124">
        <v>24.1</v>
      </c>
      <c r="M110" s="124">
        <v>6.9</v>
      </c>
      <c r="N110" s="81">
        <v>3.1</v>
      </c>
      <c r="O110" s="118">
        <v>16</v>
      </c>
      <c r="P110" s="124">
        <v>6.3</v>
      </c>
      <c r="Q110" s="81">
        <v>0.57999999999999996</v>
      </c>
      <c r="R110" s="79">
        <v>22.36</v>
      </c>
      <c r="S110" s="79">
        <v>0.88</v>
      </c>
      <c r="T110" s="79">
        <v>0.7</v>
      </c>
      <c r="U110" s="85">
        <f t="shared" si="8"/>
        <v>1265</v>
      </c>
      <c r="V110" s="79">
        <f t="shared" si="9"/>
        <v>1553.3241579180003</v>
      </c>
      <c r="W110" s="79">
        <f t="shared" si="10"/>
        <v>1.2279242355083007</v>
      </c>
      <c r="X110" s="118">
        <v>3</v>
      </c>
      <c r="Y110" s="118">
        <v>4</v>
      </c>
      <c r="Z110" s="124">
        <v>6.47</v>
      </c>
      <c r="AA110" s="118">
        <v>19.350000000000001</v>
      </c>
      <c r="AB110" s="124">
        <v>6.8</v>
      </c>
      <c r="AC110" s="124">
        <v>6.5</v>
      </c>
      <c r="AD110" s="9">
        <v>0.5</v>
      </c>
      <c r="AE110" s="81">
        <v>0.84</v>
      </c>
      <c r="AF110" s="85">
        <f t="shared" si="11"/>
        <v>1265</v>
      </c>
      <c r="AG110" s="85">
        <f t="shared" si="12"/>
        <v>1967.8363232320003</v>
      </c>
      <c r="AH110" s="85">
        <f t="shared" si="13"/>
        <v>1.5556018365470359</v>
      </c>
      <c r="AI110" s="118">
        <v>3</v>
      </c>
      <c r="AJ110" s="118">
        <v>4</v>
      </c>
      <c r="AK110" s="81">
        <v>6.41</v>
      </c>
      <c r="AL110" s="81">
        <v>24.8</v>
      </c>
      <c r="AM110" s="124">
        <v>6.9</v>
      </c>
      <c r="AN110" s="124">
        <v>6.7</v>
      </c>
      <c r="AO110" s="81">
        <v>0.35</v>
      </c>
      <c r="AP110" s="129">
        <v>1.19</v>
      </c>
      <c r="AQ110" s="132">
        <f t="shared" si="4"/>
        <v>2085</v>
      </c>
      <c r="AR110" s="134">
        <f t="shared" si="5"/>
        <v>0.59760191846522781</v>
      </c>
      <c r="AS110" s="134">
        <f t="shared" si="6"/>
        <v>0.14244604316546763</v>
      </c>
      <c r="AT110" s="134">
        <f t="shared" si="7"/>
        <v>0.25995203836930458</v>
      </c>
      <c r="AU110" s="43">
        <f>IF(AND(F110&lt;&gt;"",Y110&lt;&gt;""),AA110/(F110/2/Y110),"")</f>
        <v>6.7304347826086963E-2</v>
      </c>
      <c r="AV110" s="43">
        <f>IF(AND(F110&lt;&gt;"",AJ110&lt;&gt;""),AL110/(F110/2/AJ110),"")</f>
        <v>8.6260869565217391E-2</v>
      </c>
      <c r="AW110" s="41">
        <f>IF(AND(AP110&lt;&gt;"",1-(AP110/N110)&gt;0),1-(AP110/N110),"")</f>
        <v>0.61612903225806459</v>
      </c>
      <c r="AX110" s="41">
        <f>IF(AND(AE110&lt;&gt;"",1-(AE110/N110)&gt;0),1-(AE110/N110),"")</f>
        <v>0.7290322580645161</v>
      </c>
      <c r="AY110" s="136" t="str">
        <f>IF(P110="","",IF(P110&lt;2.5,"Alc. Bruta &lt; 2,5 mg/L",IF(P110&lt;5,"2,5 ≤ Alc. Bruta &lt; 5,0 mg/L",IF(P110&lt;7.5,"5,0 ≤ Alc. Bruta &lt; 7,5 mg/L",IF(P110&lt;10,"7,5 ≤ Alc. Bruta &lt; 10,0 mg/L",IF(P110&lt;15,"10,0 ≤ Alca. Bruta &lt; 15,0 mg/L","Alc. Bruta &gt; 15 mg/L"))))))</f>
        <v>5,0 ≤ Alc. Bruta &lt; 7,5 mg/L</v>
      </c>
      <c r="AZ110" s="136" t="str">
        <f>IF(O110="","",IF(O110&lt;5,"Cor &lt;5 uC",IF(O110&lt;10,"5 ≤ Cor &lt; 10 uC",IF(O110&lt;15,"10 ≤ Cor &lt;15 uC",IF(O110&lt;30,"15 ≤ Cor &lt; 30 uC",IF(O110&lt;50,"30 ≤ Cor &lt; 50 uC","Cor &gt; 50 uC"))))))</f>
        <v>15 ≤ Cor &lt; 30 uC</v>
      </c>
      <c r="BA110" s="137" t="str">
        <f>IF(N110="","",IF(N110&lt;2.5,"Turbidez &lt; 2,5 uT",IF(N110&lt;5,"2,5 ≤ Turb &lt; 5,0 uT",IF(N110&lt;7.5,"5,0 ≤ Turb &lt; 7,5 uT",IF(N110&lt;10,"7,5 ≤ Turb &lt; 10,0 uT",IF(N110&lt;15,"10,0 ≤ Turb &lt; 15,0 uT","Turb &gt; 15 uT"))))))</f>
        <v>2,5 ≤ Turb &lt; 5,0 uT</v>
      </c>
      <c r="BB110" s="138" t="str">
        <f>IF(AND(C110&gt;D110,D110&gt;E110),"TOR &gt; SM &gt; BNN",IF(AND(C110&gt;E110,E110&gt;D110),"TOR &gt; BNN &gt; SM",IF(AND(D110&gt;C110,C110&gt;E110),"SM &gt; TOR &gt; BNN",IF(AND(D110&gt;E110,E110&gt;C110),"SM &gt; BNN &gt; TOR",IF(AND(C110=D110,D110=E110),"TOR = SM = BNN","Comb. diferentes")))))</f>
        <v>TOR &gt; BNN &gt; SM</v>
      </c>
      <c r="BC110" s="137" t="str">
        <f>IF(OR(AD110="",AP110="-"),"",IF(AD110&lt;=0.25,"Tipo 1 (≤0,25) uT",IF(AD110&lt;=0.5,"Tipo 2 (0,25-0,50) uT",IF(AD110&lt;=0.75,"Tipo 3 (0,50-0,75) uT","Tipo 4 (&gt;0,75) uT"))))</f>
        <v>Tipo 2 (0,25-0,50) uT</v>
      </c>
      <c r="BD110" s="137" t="str">
        <f>IF(OR(AO110="",AY110="-"),"",IF(AO110&lt;=0.25,"Tipo 1 (≤0,25) uT",IF(AO110&lt;=0.5,"Tipo 2 (0,25-0,50) uT",IF(AO110&lt;=0.75,"Tipo 3 (0,50-0,75) uT","Tipo 4 (&gt;0,75) uT"))))</f>
        <v>Tipo 2 (0,25-0,50) uT</v>
      </c>
      <c r="BE110" s="137" t="str">
        <f>IF(OR(AE110="",AP110="-"),"",IF(AE110&lt;=0.25,"Tipo 1 (≤0,25) uT",IF(AE110&lt;=0.5,"Tipo 2 (0,25-0,50) uT",IF(AE110&lt;=0.75,"Tipo 3 (0,50-0,75) uT","Tipo 4 (&gt;0,75) uT"))))</f>
        <v>Tipo 4 (&gt;0,75) uT</v>
      </c>
      <c r="BF110" s="137" t="str">
        <f>IF(OR(AP110="",AP110="-"),"",IF(AP110&lt;=0.25,"Tipo 1 (≤0,25) uT",IF(AP110&lt;=0.5,"Tipo 2 (0,25-0,50) uT",IF(AP110&lt;=0.75,"Tipo 3 (0,50-0,75) uT","Tipo 4 (&gt;0,75) uT"))))</f>
        <v>Tipo 4 (&gt;0,75) uT</v>
      </c>
      <c r="BG110" s="137" t="str">
        <f>IF(OR(Q110="",Q110="-"),"",IF(Q110&lt;=0.25,"Tipo 1 (≤0,25) uT",IF(Q110&lt;=0.5,"Tipo 2 (0,25-0,50) uT",IF(Q110&lt;=0.75,"Tipo 3 (0,50-0,75) uT","Tipo 4 (&gt;0,75) uT"))))</f>
        <v>Tipo 3 (0,50-0,75) uT</v>
      </c>
    </row>
    <row r="111" spans="1:59" x14ac:dyDescent="0.3">
      <c r="A111" s="26">
        <v>46140</v>
      </c>
      <c r="B111" s="107">
        <v>0.39583333333333331</v>
      </c>
      <c r="C111" s="116">
        <v>1415</v>
      </c>
      <c r="D111" s="116">
        <v>607</v>
      </c>
      <c r="E111" s="116">
        <v>500</v>
      </c>
      <c r="F111" s="116">
        <v>2583</v>
      </c>
      <c r="G111" s="10" t="s">
        <v>34</v>
      </c>
      <c r="H111" s="122">
        <v>3.5</v>
      </c>
      <c r="I111" s="116">
        <v>90</v>
      </c>
      <c r="J111" s="116">
        <v>90</v>
      </c>
      <c r="K111" s="116">
        <v>90</v>
      </c>
      <c r="L111" s="122">
        <v>24.5</v>
      </c>
      <c r="M111" s="122">
        <v>6.8</v>
      </c>
      <c r="N111" s="79">
        <v>3.09</v>
      </c>
      <c r="O111" s="116">
        <v>15</v>
      </c>
      <c r="P111" s="122">
        <v>6.9</v>
      </c>
      <c r="Q111" s="79">
        <v>0.86</v>
      </c>
      <c r="R111" s="79">
        <v>22.36</v>
      </c>
      <c r="S111" s="79">
        <v>0.88</v>
      </c>
      <c r="T111" s="79">
        <v>0.7</v>
      </c>
      <c r="U111" s="85">
        <f t="shared" si="8"/>
        <v>1417.4212499999999</v>
      </c>
      <c r="V111" s="79">
        <f t="shared" si="9"/>
        <v>1593.7800824399999</v>
      </c>
      <c r="W111" s="79">
        <f t="shared" si="10"/>
        <v>1.1244223144248755</v>
      </c>
      <c r="X111" s="116">
        <v>3</v>
      </c>
      <c r="Y111" s="116">
        <v>4</v>
      </c>
      <c r="Z111" s="122">
        <v>6.5</v>
      </c>
      <c r="AA111" s="116">
        <v>19.739999999999998</v>
      </c>
      <c r="AB111" s="122">
        <v>6.6</v>
      </c>
      <c r="AC111" s="122">
        <v>6.1</v>
      </c>
      <c r="AD111" s="10">
        <v>0.48</v>
      </c>
      <c r="AE111" s="79">
        <v>1.29</v>
      </c>
      <c r="AF111" s="85">
        <f t="shared" si="11"/>
        <v>1889.8949999999998</v>
      </c>
      <c r="AG111" s="85">
        <f t="shared" si="12"/>
        <v>1866.4275921199996</v>
      </c>
      <c r="AH111" s="85">
        <f t="shared" si="13"/>
        <v>0.98758269222364203</v>
      </c>
      <c r="AI111" s="116">
        <v>3</v>
      </c>
      <c r="AJ111" s="116">
        <v>3</v>
      </c>
      <c r="AK111" s="79">
        <v>6.35</v>
      </c>
      <c r="AL111" s="79">
        <v>23.8</v>
      </c>
      <c r="AM111" s="122">
        <v>6.5</v>
      </c>
      <c r="AN111" s="122">
        <v>6.9</v>
      </c>
      <c r="AO111" s="79">
        <v>0.23</v>
      </c>
      <c r="AP111" s="127">
        <v>0.82</v>
      </c>
      <c r="AQ111" s="132">
        <f t="shared" si="4"/>
        <v>2522</v>
      </c>
      <c r="AR111" s="134">
        <f t="shared" si="5"/>
        <v>0.56106264869151468</v>
      </c>
      <c r="AS111" s="134">
        <f t="shared" si="6"/>
        <v>0.24068199841395718</v>
      </c>
      <c r="AT111" s="134">
        <f t="shared" si="7"/>
        <v>0.19825535289452814</v>
      </c>
      <c r="AU111" s="43">
        <f>IF(AND(F111&lt;&gt;"",Y111&lt;&gt;""),AA111/(F111/2/Y111),"")</f>
        <v>6.1138211382113818E-2</v>
      </c>
      <c r="AV111" s="43">
        <f>IF(AND(F111&lt;&gt;"",AJ111&lt;&gt;""),AL111/(F111/2/AJ111),"")</f>
        <v>5.5284552845528454E-2</v>
      </c>
      <c r="AW111" s="41">
        <f>IF(AND(AP111&lt;&gt;"",1-(AP111/N111)&gt;0),1-(AP111/N111),"")</f>
        <v>0.7346278317152104</v>
      </c>
      <c r="AX111" s="41">
        <f>IF(AND(AE111&lt;&gt;"",1-(AE111/N111)&gt;0),1-(AE111/N111),"")</f>
        <v>0.58252427184466016</v>
      </c>
      <c r="AY111" s="136" t="str">
        <f>IF(P111="","",IF(P111&lt;2.5,"Alc. Bruta &lt; 2,5 mg/L",IF(P111&lt;5,"2,5 ≤ Alc. Bruta &lt; 5,0 mg/L",IF(P111&lt;7.5,"5,0 ≤ Alc. Bruta &lt; 7,5 mg/L",IF(P111&lt;10,"7,5 ≤ Alc. Bruta &lt; 10,0 mg/L",IF(P111&lt;15,"10,0 ≤ Alca. Bruta &lt; 15,0 mg/L","Alc. Bruta &gt; 15 mg/L"))))))</f>
        <v>5,0 ≤ Alc. Bruta &lt; 7,5 mg/L</v>
      </c>
      <c r="AZ111" s="136" t="str">
        <f>IF(O111="","",IF(O111&lt;5,"Cor &lt;5 uC",IF(O111&lt;10,"5 ≤ Cor &lt; 10 uC",IF(O111&lt;15,"10 ≤ Cor &lt;15 uC",IF(O111&lt;30,"15 ≤ Cor &lt; 30 uC",IF(O111&lt;50,"30 ≤ Cor &lt; 50 uC","Cor &gt; 50 uC"))))))</f>
        <v>15 ≤ Cor &lt; 30 uC</v>
      </c>
      <c r="BA111" s="137" t="str">
        <f>IF(N111="","",IF(N111&lt;2.5,"Turbidez &lt; 2,5 uT",IF(N111&lt;5,"2,5 ≤ Turb &lt; 5,0 uT",IF(N111&lt;7.5,"5,0 ≤ Turb &lt; 7,5 uT",IF(N111&lt;10,"7,5 ≤ Turb &lt; 10,0 uT",IF(N111&lt;15,"10,0 ≤ Turb &lt; 15,0 uT","Turb &gt; 15 uT"))))))</f>
        <v>2,5 ≤ Turb &lt; 5,0 uT</v>
      </c>
      <c r="BB111" s="138" t="str">
        <f>IF(AND(C111&gt;D111,D111&gt;E111),"TOR &gt; SM &gt; BNN",IF(AND(C111&gt;E111,E111&gt;D111),"TOR &gt; BNN &gt; SM",IF(AND(D111&gt;C111,C111&gt;E111),"SM &gt; TOR &gt; BNN",IF(AND(D111&gt;E111,E111&gt;C111),"SM &gt; BNN &gt; TOR",IF(AND(C111=D111,D111=E111),"TOR = SM = BNN","Comb. diferentes")))))</f>
        <v>TOR &gt; SM &gt; BNN</v>
      </c>
      <c r="BC111" s="137" t="str">
        <f>IF(OR(AD111="",AP111="-"),"",IF(AD111&lt;=0.25,"Tipo 1 (≤0,25) uT",IF(AD111&lt;=0.5,"Tipo 2 (0,25-0,50) uT",IF(AD111&lt;=0.75,"Tipo 3 (0,50-0,75) uT","Tipo 4 (&gt;0,75) uT"))))</f>
        <v>Tipo 2 (0,25-0,50) uT</v>
      </c>
      <c r="BD111" s="137" t="str">
        <f>IF(OR(AO111="",AY111="-"),"",IF(AO111&lt;=0.25,"Tipo 1 (≤0,25) uT",IF(AO111&lt;=0.5,"Tipo 2 (0,25-0,50) uT",IF(AO111&lt;=0.75,"Tipo 3 (0,50-0,75) uT","Tipo 4 (&gt;0,75) uT"))))</f>
        <v>Tipo 1 (≤0,25) uT</v>
      </c>
      <c r="BE111" s="137" t="str">
        <f>IF(OR(AE111="",AP111="-"),"",IF(AE111&lt;=0.25,"Tipo 1 (≤0,25) uT",IF(AE111&lt;=0.5,"Tipo 2 (0,25-0,50) uT",IF(AE111&lt;=0.75,"Tipo 3 (0,50-0,75) uT","Tipo 4 (&gt;0,75) uT"))))</f>
        <v>Tipo 4 (&gt;0,75) uT</v>
      </c>
      <c r="BF111" s="137" t="str">
        <f>IF(OR(AP111="",AP111="-"),"",IF(AP111&lt;=0.25,"Tipo 1 (≤0,25) uT",IF(AP111&lt;=0.5,"Tipo 2 (0,25-0,50) uT",IF(AP111&lt;=0.75,"Tipo 3 (0,50-0,75) uT","Tipo 4 (&gt;0,75) uT"))))</f>
        <v>Tipo 4 (&gt;0,75) uT</v>
      </c>
      <c r="BG111" s="137" t="str">
        <f>IF(OR(Q111="",Q111="-"),"",IF(Q111&lt;=0.25,"Tipo 1 (≤0,25) uT",IF(Q111&lt;=0.5,"Tipo 2 (0,25-0,50) uT",IF(Q111&lt;=0.75,"Tipo 3 (0,50-0,75) uT","Tipo 4 (&gt;0,75) uT"))))</f>
        <v>Tipo 4 (&gt;0,75) uT</v>
      </c>
    </row>
    <row r="112" spans="1:59" x14ac:dyDescent="0.3">
      <c r="A112" s="26">
        <v>46140</v>
      </c>
      <c r="B112" s="107">
        <v>0.47916666666666669</v>
      </c>
      <c r="C112" s="116">
        <v>1215</v>
      </c>
      <c r="D112" s="116">
        <v>669</v>
      </c>
      <c r="E112" s="116">
        <v>500</v>
      </c>
      <c r="F112" s="116">
        <v>2482</v>
      </c>
      <c r="G112" s="10" t="s">
        <v>34</v>
      </c>
      <c r="H112" s="122">
        <v>3.3</v>
      </c>
      <c r="I112" s="116">
        <v>90</v>
      </c>
      <c r="J112" s="116">
        <v>90</v>
      </c>
      <c r="K112" s="116">
        <v>90</v>
      </c>
      <c r="L112" s="122">
        <v>25.3</v>
      </c>
      <c r="M112" s="122">
        <v>6.5</v>
      </c>
      <c r="N112" s="79">
        <v>2.9</v>
      </c>
      <c r="O112" s="116">
        <v>19</v>
      </c>
      <c r="P112" s="122">
        <v>7.9</v>
      </c>
      <c r="Q112" s="79">
        <v>0.74</v>
      </c>
      <c r="R112" s="79">
        <v>22.36</v>
      </c>
      <c r="S112" s="79">
        <v>0.88</v>
      </c>
      <c r="T112" s="79">
        <v>0.7</v>
      </c>
      <c r="U112" s="85">
        <f t="shared" si="8"/>
        <v>1284.4349999999999</v>
      </c>
      <c r="V112" s="79">
        <f t="shared" si="9"/>
        <v>1594.5874685000001</v>
      </c>
      <c r="W112" s="79">
        <f t="shared" si="10"/>
        <v>1.2414699603327535</v>
      </c>
      <c r="X112" s="116">
        <v>3</v>
      </c>
      <c r="Y112" s="116">
        <v>4</v>
      </c>
      <c r="Z112" s="122">
        <v>6.5</v>
      </c>
      <c r="AA112" s="116">
        <v>19.75</v>
      </c>
      <c r="AB112" s="122">
        <v>6.6</v>
      </c>
      <c r="AC112" s="122">
        <v>9.1</v>
      </c>
      <c r="AD112" s="10">
        <v>0.55000000000000004</v>
      </c>
      <c r="AE112" s="79">
        <v>1.1499999999999999</v>
      </c>
      <c r="AF112" s="85">
        <f t="shared" si="11"/>
        <v>1712.58</v>
      </c>
      <c r="AG112" s="85">
        <f t="shared" si="12"/>
        <v>1834.8592640507998</v>
      </c>
      <c r="AH112" s="85">
        <f t="shared" si="13"/>
        <v>1.0714006143075359</v>
      </c>
      <c r="AI112" s="116">
        <v>3</v>
      </c>
      <c r="AJ112" s="116">
        <v>3</v>
      </c>
      <c r="AK112" s="79">
        <v>6.33</v>
      </c>
      <c r="AL112" s="79">
        <v>23.49</v>
      </c>
      <c r="AM112" s="122">
        <v>6.5</v>
      </c>
      <c r="AN112" s="122">
        <v>7.3</v>
      </c>
      <c r="AO112" s="79">
        <v>0.56999999999999995</v>
      </c>
      <c r="AP112" s="127">
        <v>0.68</v>
      </c>
      <c r="AQ112" s="132">
        <f t="shared" si="4"/>
        <v>2384</v>
      </c>
      <c r="AR112" s="134">
        <f t="shared" si="5"/>
        <v>0.50964765100671139</v>
      </c>
      <c r="AS112" s="134">
        <f t="shared" si="6"/>
        <v>0.28062080536912754</v>
      </c>
      <c r="AT112" s="134">
        <f t="shared" si="7"/>
        <v>0.20973154362416108</v>
      </c>
      <c r="AU112" s="43">
        <f>IF(AND(F112&lt;&gt;"",Y112&lt;&gt;""),AA112/(F112/2/Y112),"")</f>
        <v>6.3658340048348111E-2</v>
      </c>
      <c r="AV112" s="43">
        <f>IF(AND(F112&lt;&gt;"",AJ112&lt;&gt;""),AL112/(F112/2/AJ112),"")</f>
        <v>5.6784850926672036E-2</v>
      </c>
      <c r="AW112" s="41">
        <f>IF(AND(AP112&lt;&gt;"",1-(AP112/N112)&gt;0),1-(AP112/N112),"")</f>
        <v>0.76551724137931032</v>
      </c>
      <c r="AX112" s="41">
        <f>IF(AND(AE112&lt;&gt;"",1-(AE112/N112)&gt;0),1-(AE112/N112),"")</f>
        <v>0.60344827586206895</v>
      </c>
      <c r="AY112" s="136" t="str">
        <f>IF(P112="","",IF(P112&lt;2.5,"Alc. Bruta &lt; 2,5 mg/L",IF(P112&lt;5,"2,5 ≤ Alc. Bruta &lt; 5,0 mg/L",IF(P112&lt;7.5,"5,0 ≤ Alc. Bruta &lt; 7,5 mg/L",IF(P112&lt;10,"7,5 ≤ Alc. Bruta &lt; 10,0 mg/L",IF(P112&lt;15,"10,0 ≤ Alca. Bruta &lt; 15,0 mg/L","Alc. Bruta &gt; 15 mg/L"))))))</f>
        <v>7,5 ≤ Alc. Bruta &lt; 10,0 mg/L</v>
      </c>
      <c r="AZ112" s="136" t="str">
        <f>IF(O112="","",IF(O112&lt;5,"Cor &lt;5 uC",IF(O112&lt;10,"5 ≤ Cor &lt; 10 uC",IF(O112&lt;15,"10 ≤ Cor &lt;15 uC",IF(O112&lt;30,"15 ≤ Cor &lt; 30 uC",IF(O112&lt;50,"30 ≤ Cor &lt; 50 uC","Cor &gt; 50 uC"))))))</f>
        <v>15 ≤ Cor &lt; 30 uC</v>
      </c>
      <c r="BA112" s="137" t="str">
        <f>IF(N112="","",IF(N112&lt;2.5,"Turbidez &lt; 2,5 uT",IF(N112&lt;5,"2,5 ≤ Turb &lt; 5,0 uT",IF(N112&lt;7.5,"5,0 ≤ Turb &lt; 7,5 uT",IF(N112&lt;10,"7,5 ≤ Turb &lt; 10,0 uT",IF(N112&lt;15,"10,0 ≤ Turb &lt; 15,0 uT","Turb &gt; 15 uT"))))))</f>
        <v>2,5 ≤ Turb &lt; 5,0 uT</v>
      </c>
      <c r="BB112" s="138" t="str">
        <f>IF(AND(C112&gt;D112,D112&gt;E112),"TOR &gt; SM &gt; BNN",IF(AND(C112&gt;E112,E112&gt;D112),"TOR &gt; BNN &gt; SM",IF(AND(D112&gt;C112,C112&gt;E112),"SM &gt; TOR &gt; BNN",IF(AND(D112&gt;E112,E112&gt;C112),"SM &gt; BNN &gt; TOR",IF(AND(C112=D112,D112=E112),"TOR = SM = BNN","Comb. diferentes")))))</f>
        <v>TOR &gt; SM &gt; BNN</v>
      </c>
      <c r="BC112" s="137" t="str">
        <f>IF(OR(AD112="",AP112="-"),"",IF(AD112&lt;=0.25,"Tipo 1 (≤0,25) uT",IF(AD112&lt;=0.5,"Tipo 2 (0,25-0,50) uT",IF(AD112&lt;=0.75,"Tipo 3 (0,50-0,75) uT","Tipo 4 (&gt;0,75) uT"))))</f>
        <v>Tipo 3 (0,50-0,75) uT</v>
      </c>
      <c r="BD112" s="137" t="str">
        <f>IF(OR(AO112="",AY112="-"),"",IF(AO112&lt;=0.25,"Tipo 1 (≤0,25) uT",IF(AO112&lt;=0.5,"Tipo 2 (0,25-0,50) uT",IF(AO112&lt;=0.75,"Tipo 3 (0,50-0,75) uT","Tipo 4 (&gt;0,75) uT"))))</f>
        <v>Tipo 3 (0,50-0,75) uT</v>
      </c>
      <c r="BE112" s="137" t="str">
        <f>IF(OR(AE112="",AP112="-"),"",IF(AE112&lt;=0.25,"Tipo 1 (≤0,25) uT",IF(AE112&lt;=0.5,"Tipo 2 (0,25-0,50) uT",IF(AE112&lt;=0.75,"Tipo 3 (0,50-0,75) uT","Tipo 4 (&gt;0,75) uT"))))</f>
        <v>Tipo 4 (&gt;0,75) uT</v>
      </c>
      <c r="BF112" s="137" t="str">
        <f>IF(OR(AP112="",AP112="-"),"",IF(AP112&lt;=0.25,"Tipo 1 (≤0,25) uT",IF(AP112&lt;=0.5,"Tipo 2 (0,25-0,50) uT",IF(AP112&lt;=0.75,"Tipo 3 (0,50-0,75) uT","Tipo 4 (&gt;0,75) uT"))))</f>
        <v>Tipo 3 (0,50-0,75) uT</v>
      </c>
      <c r="BG112" s="137" t="str">
        <f>IF(OR(Q112="",Q112="-"),"",IF(Q112&lt;=0.25,"Tipo 1 (≤0,25) uT",IF(Q112&lt;=0.5,"Tipo 2 (0,25-0,50) uT",IF(Q112&lt;=0.75,"Tipo 3 (0,50-0,75) uT","Tipo 4 (&gt;0,75) uT"))))</f>
        <v>Tipo 3 (0,50-0,75) uT</v>
      </c>
    </row>
    <row r="113" spans="1:59" x14ac:dyDescent="0.3">
      <c r="A113" s="26">
        <v>46140</v>
      </c>
      <c r="B113" s="107">
        <v>0.64583333333333337</v>
      </c>
      <c r="C113" s="116">
        <v>1090</v>
      </c>
      <c r="D113" s="116">
        <v>653</v>
      </c>
      <c r="E113" s="116">
        <v>500</v>
      </c>
      <c r="F113" s="116">
        <v>2557</v>
      </c>
      <c r="G113" s="10" t="s">
        <v>34</v>
      </c>
      <c r="H113" s="122">
        <v>4</v>
      </c>
      <c r="I113" s="116">
        <v>90</v>
      </c>
      <c r="J113" s="116">
        <v>90</v>
      </c>
      <c r="K113" s="116">
        <v>90</v>
      </c>
      <c r="L113" s="122">
        <v>25.9</v>
      </c>
      <c r="M113" s="122">
        <v>6.5</v>
      </c>
      <c r="N113" s="79">
        <v>3.36</v>
      </c>
      <c r="O113" s="116">
        <v>19</v>
      </c>
      <c r="P113" s="122">
        <v>5.5</v>
      </c>
      <c r="Q113" s="79">
        <v>0.44</v>
      </c>
      <c r="R113" s="79">
        <v>22.36</v>
      </c>
      <c r="S113" s="79">
        <v>0.88</v>
      </c>
      <c r="T113" s="79">
        <v>0.7</v>
      </c>
      <c r="U113" s="85">
        <f t="shared" si="8"/>
        <v>1537.3962499999998</v>
      </c>
      <c r="V113" s="79">
        <f t="shared" si="9"/>
        <v>1565.7679062115999</v>
      </c>
      <c r="W113" s="79">
        <f t="shared" si="10"/>
        <v>1.0184543550249976</v>
      </c>
      <c r="X113" s="116">
        <v>3</v>
      </c>
      <c r="Y113" s="116">
        <v>4</v>
      </c>
      <c r="Z113" s="122">
        <v>6.39</v>
      </c>
      <c r="AA113" s="116">
        <v>19.809999999999999</v>
      </c>
      <c r="AB113" s="122">
        <v>6.5</v>
      </c>
      <c r="AC113" s="122">
        <v>6</v>
      </c>
      <c r="AD113" s="10">
        <v>0.51</v>
      </c>
      <c r="AE113" s="79">
        <v>0.77</v>
      </c>
      <c r="AF113" s="85">
        <f t="shared" si="11"/>
        <v>2049.8616666666667</v>
      </c>
      <c r="AG113" s="85">
        <f t="shared" si="12"/>
        <v>1853.1338342399997</v>
      </c>
      <c r="AH113" s="85">
        <f t="shared" si="13"/>
        <v>0.90402872758405639</v>
      </c>
      <c r="AI113" s="116">
        <v>3</v>
      </c>
      <c r="AJ113" s="116">
        <v>3</v>
      </c>
      <c r="AK113" s="79">
        <v>6.4</v>
      </c>
      <c r="AL113" s="79">
        <v>23.4</v>
      </c>
      <c r="AM113" s="122">
        <v>6.5</v>
      </c>
      <c r="AN113" s="122">
        <v>6.1</v>
      </c>
      <c r="AO113" s="79">
        <v>0.26</v>
      </c>
      <c r="AP113" s="127">
        <v>0.46</v>
      </c>
      <c r="AQ113" s="132">
        <f t="shared" si="4"/>
        <v>2243</v>
      </c>
      <c r="AR113" s="134">
        <f t="shared" si="5"/>
        <v>0.48595630851538119</v>
      </c>
      <c r="AS113" s="134">
        <f t="shared" si="6"/>
        <v>0.2911279536335265</v>
      </c>
      <c r="AT113" s="134">
        <f t="shared" si="7"/>
        <v>0.22291573785109228</v>
      </c>
      <c r="AU113" s="43">
        <f>IF(AND(F113&lt;&gt;"",Y113&lt;&gt;""),AA113/(F113/2/Y113),"")</f>
        <v>6.1978881501759869E-2</v>
      </c>
      <c r="AV113" s="43">
        <f>IF(AND(F113&lt;&gt;"",AJ113&lt;&gt;""),AL113/(F113/2/AJ113),"")</f>
        <v>5.4908095424325377E-2</v>
      </c>
      <c r="AW113" s="41">
        <f>IF(AND(AP113&lt;&gt;"",1-(AP113/N113)&gt;0),1-(AP113/N113),"")</f>
        <v>0.86309523809523814</v>
      </c>
      <c r="AX113" s="41">
        <f>IF(AND(AE113&lt;&gt;"",1-(AE113/N113)&gt;0),1-(AE113/N113),"")</f>
        <v>0.77083333333333326</v>
      </c>
      <c r="AY113" s="136" t="str">
        <f>IF(P113="","",IF(P113&lt;2.5,"Alc. Bruta &lt; 2,5 mg/L",IF(P113&lt;5,"2,5 ≤ Alc. Bruta &lt; 5,0 mg/L",IF(P113&lt;7.5,"5,0 ≤ Alc. Bruta &lt; 7,5 mg/L",IF(P113&lt;10,"7,5 ≤ Alc. Bruta &lt; 10,0 mg/L",IF(P113&lt;15,"10,0 ≤ Alca. Bruta &lt; 15,0 mg/L","Alc. Bruta &gt; 15 mg/L"))))))</f>
        <v>5,0 ≤ Alc. Bruta &lt; 7,5 mg/L</v>
      </c>
      <c r="AZ113" s="136" t="str">
        <f>IF(O113="","",IF(O113&lt;5,"Cor &lt;5 uC",IF(O113&lt;10,"5 ≤ Cor &lt; 10 uC",IF(O113&lt;15,"10 ≤ Cor &lt;15 uC",IF(O113&lt;30,"15 ≤ Cor &lt; 30 uC",IF(O113&lt;50,"30 ≤ Cor &lt; 50 uC","Cor &gt; 50 uC"))))))</f>
        <v>15 ≤ Cor &lt; 30 uC</v>
      </c>
      <c r="BA113" s="137" t="str">
        <f>IF(N113="","",IF(N113&lt;2.5,"Turbidez &lt; 2,5 uT",IF(N113&lt;5,"2,5 ≤ Turb &lt; 5,0 uT",IF(N113&lt;7.5,"5,0 ≤ Turb &lt; 7,5 uT",IF(N113&lt;10,"7,5 ≤ Turb &lt; 10,0 uT",IF(N113&lt;15,"10,0 ≤ Turb &lt; 15,0 uT","Turb &gt; 15 uT"))))))</f>
        <v>2,5 ≤ Turb &lt; 5,0 uT</v>
      </c>
      <c r="BB113" s="138" t="str">
        <f>IF(AND(C113&gt;D113,D113&gt;E113),"TOR &gt; SM &gt; BNN",IF(AND(C113&gt;E113,E113&gt;D113),"TOR &gt; BNN &gt; SM",IF(AND(D113&gt;C113,C113&gt;E113),"SM &gt; TOR &gt; BNN",IF(AND(D113&gt;E113,E113&gt;C113),"SM &gt; BNN &gt; TOR",IF(AND(C113=D113,D113=E113),"TOR = SM = BNN","Comb. diferentes")))))</f>
        <v>TOR &gt; SM &gt; BNN</v>
      </c>
      <c r="BC113" s="137" t="str">
        <f>IF(OR(AD113="",AP113="-"),"",IF(AD113&lt;=0.25,"Tipo 1 (≤0,25) uT",IF(AD113&lt;=0.5,"Tipo 2 (0,25-0,50) uT",IF(AD113&lt;=0.75,"Tipo 3 (0,50-0,75) uT","Tipo 4 (&gt;0,75) uT"))))</f>
        <v>Tipo 3 (0,50-0,75) uT</v>
      </c>
      <c r="BD113" s="137" t="str">
        <f>IF(OR(AO113="",AY113="-"),"",IF(AO113&lt;=0.25,"Tipo 1 (≤0,25) uT",IF(AO113&lt;=0.5,"Tipo 2 (0,25-0,50) uT",IF(AO113&lt;=0.75,"Tipo 3 (0,50-0,75) uT","Tipo 4 (&gt;0,75) uT"))))</f>
        <v>Tipo 2 (0,25-0,50) uT</v>
      </c>
      <c r="BE113" s="137" t="str">
        <f>IF(OR(AE113="",AP113="-"),"",IF(AE113&lt;=0.25,"Tipo 1 (≤0,25) uT",IF(AE113&lt;=0.5,"Tipo 2 (0,25-0,50) uT",IF(AE113&lt;=0.75,"Tipo 3 (0,50-0,75) uT","Tipo 4 (&gt;0,75) uT"))))</f>
        <v>Tipo 4 (&gt;0,75) uT</v>
      </c>
      <c r="BF113" s="137" t="str">
        <f>IF(OR(AP113="",AP113="-"),"",IF(AP113&lt;=0.25,"Tipo 1 (≤0,25) uT",IF(AP113&lt;=0.5,"Tipo 2 (0,25-0,50) uT",IF(AP113&lt;=0.75,"Tipo 3 (0,50-0,75) uT","Tipo 4 (&gt;0,75) uT"))))</f>
        <v>Tipo 2 (0,25-0,50) uT</v>
      </c>
      <c r="BG113" s="137" t="str">
        <f>IF(OR(Q113="",Q113="-"),"",IF(Q113&lt;=0.25,"Tipo 1 (≤0,25) uT",IF(Q113&lt;=0.5,"Tipo 2 (0,25-0,50) uT",IF(Q113&lt;=0.75,"Tipo 3 (0,50-0,75) uT","Tipo 4 (&gt;0,75) uT"))))</f>
        <v>Tipo 2 (0,25-0,50) uT</v>
      </c>
    </row>
    <row r="114" spans="1:59" x14ac:dyDescent="0.3">
      <c r="A114" s="26">
        <v>46140</v>
      </c>
      <c r="B114" s="107">
        <v>0.72916666666666663</v>
      </c>
      <c r="C114" s="116">
        <v>1175</v>
      </c>
      <c r="D114" s="116">
        <v>674</v>
      </c>
      <c r="E114" s="116">
        <v>500</v>
      </c>
      <c r="F114" s="116">
        <v>2577</v>
      </c>
      <c r="G114" s="10" t="s">
        <v>34</v>
      </c>
      <c r="H114" s="122">
        <v>4</v>
      </c>
      <c r="I114" s="116">
        <v>90</v>
      </c>
      <c r="J114" s="116">
        <v>90</v>
      </c>
      <c r="K114" s="116">
        <v>90</v>
      </c>
      <c r="L114" s="122">
        <v>25.8</v>
      </c>
      <c r="M114" s="122">
        <v>6.5</v>
      </c>
      <c r="N114" s="79">
        <v>2.93</v>
      </c>
      <c r="O114" s="116">
        <v>13</v>
      </c>
      <c r="P114" s="122">
        <v>5.9</v>
      </c>
      <c r="Q114" s="79">
        <v>0.48</v>
      </c>
      <c r="R114" s="79">
        <v>22.36</v>
      </c>
      <c r="S114" s="79">
        <v>0.88</v>
      </c>
      <c r="T114" s="79">
        <v>0.7</v>
      </c>
      <c r="U114" s="85">
        <f t="shared" si="8"/>
        <v>1410.9075</v>
      </c>
      <c r="V114" s="79">
        <f t="shared" si="9"/>
        <v>1554.4676894603997</v>
      </c>
      <c r="W114" s="79">
        <f t="shared" si="10"/>
        <v>1.1017502490137727</v>
      </c>
      <c r="X114" s="116">
        <v>3</v>
      </c>
      <c r="Y114" s="116">
        <v>4</v>
      </c>
      <c r="Z114" s="122">
        <v>6.49</v>
      </c>
      <c r="AA114" s="116">
        <v>19.29</v>
      </c>
      <c r="AB114" s="122">
        <v>6.4</v>
      </c>
      <c r="AC114" s="122">
        <v>5.7</v>
      </c>
      <c r="AD114" s="10">
        <v>0.59</v>
      </c>
      <c r="AE114" s="79">
        <v>0.79</v>
      </c>
      <c r="AF114" s="85">
        <f t="shared" si="11"/>
        <v>1881.21</v>
      </c>
      <c r="AG114" s="85">
        <f t="shared" si="12"/>
        <v>1898.4026291359999</v>
      </c>
      <c r="AH114" s="85">
        <f t="shared" si="13"/>
        <v>1.0091391333960589</v>
      </c>
      <c r="AI114" s="116">
        <v>3</v>
      </c>
      <c r="AJ114" s="116">
        <v>3</v>
      </c>
      <c r="AK114" s="79">
        <v>6.31</v>
      </c>
      <c r="AL114" s="79">
        <v>24.4</v>
      </c>
      <c r="AM114" s="122">
        <v>6.5</v>
      </c>
      <c r="AN114" s="122">
        <v>6.2</v>
      </c>
      <c r="AO114" s="79">
        <v>0.6</v>
      </c>
      <c r="AP114" s="127">
        <v>0.39</v>
      </c>
      <c r="AQ114" s="132">
        <f t="shared" si="4"/>
        <v>2349</v>
      </c>
      <c r="AR114" s="134">
        <f t="shared" si="5"/>
        <v>0.5002128565346956</v>
      </c>
      <c r="AS114" s="134">
        <f t="shared" si="6"/>
        <v>0.28693060876968923</v>
      </c>
      <c r="AT114" s="134">
        <f t="shared" si="7"/>
        <v>0.21285653469561516</v>
      </c>
      <c r="AU114" s="43">
        <f>IF(AND(F114&lt;&gt;"",Y114&lt;&gt;""),AA114/(F114/2/Y114),"")</f>
        <v>5.9883585564610008E-2</v>
      </c>
      <c r="AV114" s="43">
        <f>IF(AND(F114&lt;&gt;"",AJ114&lt;&gt;""),AL114/(F114/2/AJ114),"")</f>
        <v>5.6810244470314318E-2</v>
      </c>
      <c r="AW114" s="41">
        <f>IF(AND(AP114&lt;&gt;"",1-(AP114/N114)&gt;0),1-(AP114/N114),"")</f>
        <v>0.86689419795221845</v>
      </c>
      <c r="AX114" s="41">
        <f>IF(AND(AE114&lt;&gt;"",1-(AE114/N114)&gt;0),1-(AE114/N114),"")</f>
        <v>0.7303754266211604</v>
      </c>
      <c r="AY114" s="136" t="str">
        <f>IF(P114="","",IF(P114&lt;2.5,"Alc. Bruta &lt; 2,5 mg/L",IF(P114&lt;5,"2,5 ≤ Alc. Bruta &lt; 5,0 mg/L",IF(P114&lt;7.5,"5,0 ≤ Alc. Bruta &lt; 7,5 mg/L",IF(P114&lt;10,"7,5 ≤ Alc. Bruta &lt; 10,0 mg/L",IF(P114&lt;15,"10,0 ≤ Alca. Bruta &lt; 15,0 mg/L","Alc. Bruta &gt; 15 mg/L"))))))</f>
        <v>5,0 ≤ Alc. Bruta &lt; 7,5 mg/L</v>
      </c>
      <c r="AZ114" s="136" t="str">
        <f>IF(O114="","",IF(O114&lt;5,"Cor &lt;5 uC",IF(O114&lt;10,"5 ≤ Cor &lt; 10 uC",IF(O114&lt;15,"10 ≤ Cor &lt;15 uC",IF(O114&lt;30,"15 ≤ Cor &lt; 30 uC",IF(O114&lt;50,"30 ≤ Cor &lt; 50 uC","Cor &gt; 50 uC"))))))</f>
        <v>10 ≤ Cor &lt;15 uC</v>
      </c>
      <c r="BA114" s="137" t="str">
        <f>IF(N114="","",IF(N114&lt;2.5,"Turbidez &lt; 2,5 uT",IF(N114&lt;5,"2,5 ≤ Turb &lt; 5,0 uT",IF(N114&lt;7.5,"5,0 ≤ Turb &lt; 7,5 uT",IF(N114&lt;10,"7,5 ≤ Turb &lt; 10,0 uT",IF(N114&lt;15,"10,0 ≤ Turb &lt; 15,0 uT","Turb &gt; 15 uT"))))))</f>
        <v>2,5 ≤ Turb &lt; 5,0 uT</v>
      </c>
      <c r="BB114" s="138" t="str">
        <f>IF(AND(C114&gt;D114,D114&gt;E114),"TOR &gt; SM &gt; BNN",IF(AND(C114&gt;E114,E114&gt;D114),"TOR &gt; BNN &gt; SM",IF(AND(D114&gt;C114,C114&gt;E114),"SM &gt; TOR &gt; BNN",IF(AND(D114&gt;E114,E114&gt;C114),"SM &gt; BNN &gt; TOR",IF(AND(C114=D114,D114=E114),"TOR = SM = BNN","Comb. diferentes")))))</f>
        <v>TOR &gt; SM &gt; BNN</v>
      </c>
      <c r="BC114" s="137" t="str">
        <f>IF(OR(AD114="",AP114="-"),"",IF(AD114&lt;=0.25,"Tipo 1 (≤0,25) uT",IF(AD114&lt;=0.5,"Tipo 2 (0,25-0,50) uT",IF(AD114&lt;=0.75,"Tipo 3 (0,50-0,75) uT","Tipo 4 (&gt;0,75) uT"))))</f>
        <v>Tipo 3 (0,50-0,75) uT</v>
      </c>
      <c r="BD114" s="137" t="str">
        <f>IF(OR(AO114="",AY114="-"),"",IF(AO114&lt;=0.25,"Tipo 1 (≤0,25) uT",IF(AO114&lt;=0.5,"Tipo 2 (0,25-0,50) uT",IF(AO114&lt;=0.75,"Tipo 3 (0,50-0,75) uT","Tipo 4 (&gt;0,75) uT"))))</f>
        <v>Tipo 3 (0,50-0,75) uT</v>
      </c>
      <c r="BE114" s="137" t="str">
        <f>IF(OR(AE114="",AP114="-"),"",IF(AE114&lt;=0.25,"Tipo 1 (≤0,25) uT",IF(AE114&lt;=0.5,"Tipo 2 (0,25-0,50) uT",IF(AE114&lt;=0.75,"Tipo 3 (0,50-0,75) uT","Tipo 4 (&gt;0,75) uT"))))</f>
        <v>Tipo 4 (&gt;0,75) uT</v>
      </c>
      <c r="BF114" s="137" t="str">
        <f>IF(OR(AP114="",AP114="-"),"",IF(AP114&lt;=0.25,"Tipo 1 (≤0,25) uT",IF(AP114&lt;=0.5,"Tipo 2 (0,25-0,50) uT",IF(AP114&lt;=0.75,"Tipo 3 (0,50-0,75) uT","Tipo 4 (&gt;0,75) uT"))))</f>
        <v>Tipo 2 (0,25-0,50) uT</v>
      </c>
      <c r="BG114" s="137" t="str">
        <f>IF(OR(Q114="",Q114="-"),"",IF(Q114&lt;=0.25,"Tipo 1 (≤0,25) uT",IF(Q114&lt;=0.5,"Tipo 2 (0,25-0,50) uT",IF(Q114&lt;=0.75,"Tipo 3 (0,50-0,75) uT","Tipo 4 (&gt;0,75) uT"))))</f>
        <v>Tipo 2 (0,25-0,50) uT</v>
      </c>
    </row>
    <row r="115" spans="1:59" x14ac:dyDescent="0.3">
      <c r="A115" s="26">
        <v>46140</v>
      </c>
      <c r="B115" s="107">
        <v>0.8125</v>
      </c>
      <c r="C115" s="116">
        <v>1227</v>
      </c>
      <c r="D115" s="116">
        <v>634</v>
      </c>
      <c r="E115" s="116">
        <v>500</v>
      </c>
      <c r="F115" s="116">
        <v>2105</v>
      </c>
      <c r="G115" s="10" t="s">
        <v>34</v>
      </c>
      <c r="H115" s="122">
        <v>4</v>
      </c>
      <c r="I115" s="116">
        <v>90</v>
      </c>
      <c r="J115" s="116">
        <v>90</v>
      </c>
      <c r="K115" s="116">
        <v>90</v>
      </c>
      <c r="L115" s="122">
        <v>25.4</v>
      </c>
      <c r="M115" s="122">
        <v>6.6</v>
      </c>
      <c r="N115" s="79">
        <v>2.84</v>
      </c>
      <c r="O115" s="116">
        <v>15</v>
      </c>
      <c r="P115" s="122">
        <v>5.2</v>
      </c>
      <c r="Q115" s="79">
        <v>1.1200000000000001</v>
      </c>
      <c r="R115" s="79">
        <v>22.36</v>
      </c>
      <c r="S115" s="79">
        <v>0.88</v>
      </c>
      <c r="T115" s="79">
        <v>0.7</v>
      </c>
      <c r="U115" s="85">
        <f t="shared" si="8"/>
        <v>1128.8062500000001</v>
      </c>
      <c r="V115" s="79">
        <f t="shared" si="9"/>
        <v>1586.7013377644</v>
      </c>
      <c r="W115" s="79">
        <f t="shared" si="10"/>
        <v>1.4056454221124306</v>
      </c>
      <c r="X115" s="116">
        <v>3</v>
      </c>
      <c r="Y115" s="116">
        <v>4</v>
      </c>
      <c r="Z115" s="122">
        <v>6.49</v>
      </c>
      <c r="AA115" s="116">
        <v>19.690000000000001</v>
      </c>
      <c r="AB115" s="122">
        <v>6.8</v>
      </c>
      <c r="AC115" s="122">
        <v>7.9</v>
      </c>
      <c r="AD115" s="10">
        <v>0.64</v>
      </c>
      <c r="AE115" s="79">
        <v>1.21</v>
      </c>
      <c r="AF115" s="85">
        <f t="shared" si="11"/>
        <v>1505.0749999999998</v>
      </c>
      <c r="AG115" s="85">
        <f t="shared" si="12"/>
        <v>1932.8288129539999</v>
      </c>
      <c r="AH115" s="85">
        <f t="shared" si="13"/>
        <v>1.284207639455841</v>
      </c>
      <c r="AI115" s="116">
        <v>3</v>
      </c>
      <c r="AJ115" s="116">
        <v>3</v>
      </c>
      <c r="AK115" s="79">
        <v>6.37</v>
      </c>
      <c r="AL115" s="79">
        <v>24.55</v>
      </c>
      <c r="AM115" s="122">
        <v>6.6</v>
      </c>
      <c r="AN115" s="122">
        <v>7.5</v>
      </c>
      <c r="AO115" s="79">
        <v>0.35</v>
      </c>
      <c r="AP115" s="127">
        <v>0.85</v>
      </c>
      <c r="AQ115" s="132">
        <f t="shared" si="4"/>
        <v>2361</v>
      </c>
      <c r="AR115" s="134">
        <f t="shared" si="5"/>
        <v>0.51969504447268111</v>
      </c>
      <c r="AS115" s="134">
        <f t="shared" si="6"/>
        <v>0.26853028377806015</v>
      </c>
      <c r="AT115" s="134">
        <f t="shared" si="7"/>
        <v>0.21177467174925879</v>
      </c>
      <c r="AU115" s="43">
        <f>IF(AND(F115&lt;&gt;"",Y115&lt;&gt;""),AA115/(F115/2/Y115),"")</f>
        <v>7.483135391923991E-2</v>
      </c>
      <c r="AV115" s="43">
        <f>IF(AND(F115&lt;&gt;"",AJ115&lt;&gt;""),AL115/(F115/2/AJ115),"")</f>
        <v>6.997624703087886E-2</v>
      </c>
      <c r="AW115" s="41">
        <f>IF(AND(AP115&lt;&gt;"",1-(AP115/N115)&gt;0),1-(AP115/N115),"")</f>
        <v>0.70070422535211274</v>
      </c>
      <c r="AX115" s="41">
        <f>IF(AND(AE115&lt;&gt;"",1-(AE115/N115)&gt;0),1-(AE115/N115),"")</f>
        <v>0.573943661971831</v>
      </c>
      <c r="AY115" s="136" t="str">
        <f>IF(P115="","",IF(P115&lt;2.5,"Alc. Bruta &lt; 2,5 mg/L",IF(P115&lt;5,"2,5 ≤ Alc. Bruta &lt; 5,0 mg/L",IF(P115&lt;7.5,"5,0 ≤ Alc. Bruta &lt; 7,5 mg/L",IF(P115&lt;10,"7,5 ≤ Alc. Bruta &lt; 10,0 mg/L",IF(P115&lt;15,"10,0 ≤ Alca. Bruta &lt; 15,0 mg/L","Alc. Bruta &gt; 15 mg/L"))))))</f>
        <v>5,0 ≤ Alc. Bruta &lt; 7,5 mg/L</v>
      </c>
      <c r="AZ115" s="136" t="str">
        <f>IF(O115="","",IF(O115&lt;5,"Cor &lt;5 uC",IF(O115&lt;10,"5 ≤ Cor &lt; 10 uC",IF(O115&lt;15,"10 ≤ Cor &lt;15 uC",IF(O115&lt;30,"15 ≤ Cor &lt; 30 uC",IF(O115&lt;50,"30 ≤ Cor &lt; 50 uC","Cor &gt; 50 uC"))))))</f>
        <v>15 ≤ Cor &lt; 30 uC</v>
      </c>
      <c r="BA115" s="137" t="str">
        <f>IF(N115="","",IF(N115&lt;2.5,"Turbidez &lt; 2,5 uT",IF(N115&lt;5,"2,5 ≤ Turb &lt; 5,0 uT",IF(N115&lt;7.5,"5,0 ≤ Turb &lt; 7,5 uT",IF(N115&lt;10,"7,5 ≤ Turb &lt; 10,0 uT",IF(N115&lt;15,"10,0 ≤ Turb &lt; 15,0 uT","Turb &gt; 15 uT"))))))</f>
        <v>2,5 ≤ Turb &lt; 5,0 uT</v>
      </c>
      <c r="BB115" s="138" t="str">
        <f>IF(AND(C115&gt;D115,D115&gt;E115),"TOR &gt; SM &gt; BNN",IF(AND(C115&gt;E115,E115&gt;D115),"TOR &gt; BNN &gt; SM",IF(AND(D115&gt;C115,C115&gt;E115),"SM &gt; TOR &gt; BNN",IF(AND(D115&gt;E115,E115&gt;C115),"SM &gt; BNN &gt; TOR",IF(AND(C115=D115,D115=E115),"TOR = SM = BNN","Comb. diferentes")))))</f>
        <v>TOR &gt; SM &gt; BNN</v>
      </c>
      <c r="BC115" s="137" t="str">
        <f>IF(OR(AD115="",AP115="-"),"",IF(AD115&lt;=0.25,"Tipo 1 (≤0,25) uT",IF(AD115&lt;=0.5,"Tipo 2 (0,25-0,50) uT",IF(AD115&lt;=0.75,"Tipo 3 (0,50-0,75) uT","Tipo 4 (&gt;0,75) uT"))))</f>
        <v>Tipo 3 (0,50-0,75) uT</v>
      </c>
      <c r="BD115" s="137" t="str">
        <f>IF(OR(AO115="",AY115="-"),"",IF(AO115&lt;=0.25,"Tipo 1 (≤0,25) uT",IF(AO115&lt;=0.5,"Tipo 2 (0,25-0,50) uT",IF(AO115&lt;=0.75,"Tipo 3 (0,50-0,75) uT","Tipo 4 (&gt;0,75) uT"))))</f>
        <v>Tipo 2 (0,25-0,50) uT</v>
      </c>
      <c r="BE115" s="137" t="str">
        <f>IF(OR(AE115="",AP115="-"),"",IF(AE115&lt;=0.25,"Tipo 1 (≤0,25) uT",IF(AE115&lt;=0.5,"Tipo 2 (0,25-0,50) uT",IF(AE115&lt;=0.75,"Tipo 3 (0,50-0,75) uT","Tipo 4 (&gt;0,75) uT"))))</f>
        <v>Tipo 4 (&gt;0,75) uT</v>
      </c>
      <c r="BF115" s="137" t="str">
        <f>IF(OR(AP115="",AP115="-"),"",IF(AP115&lt;=0.25,"Tipo 1 (≤0,25) uT",IF(AP115&lt;=0.5,"Tipo 2 (0,25-0,50) uT",IF(AP115&lt;=0.75,"Tipo 3 (0,50-0,75) uT","Tipo 4 (&gt;0,75) uT"))))</f>
        <v>Tipo 4 (&gt;0,75) uT</v>
      </c>
      <c r="BG115" s="137" t="str">
        <f>IF(OR(Q115="",Q115="-"),"",IF(Q115&lt;=0.25,"Tipo 1 (≤0,25) uT",IF(Q115&lt;=0.5,"Tipo 2 (0,25-0,50) uT",IF(Q115&lt;=0.75,"Tipo 3 (0,50-0,75) uT","Tipo 4 (&gt;0,75) uT"))))</f>
        <v>Tipo 4 (&gt;0,75) uT</v>
      </c>
    </row>
    <row r="116" spans="1:59" x14ac:dyDescent="0.3">
      <c r="A116" s="26">
        <v>46140</v>
      </c>
      <c r="B116" s="107">
        <v>0.89583333333333337</v>
      </c>
      <c r="C116" s="116">
        <v>1116</v>
      </c>
      <c r="D116" s="116">
        <v>663</v>
      </c>
      <c r="E116" s="116">
        <v>499</v>
      </c>
      <c r="F116" s="116">
        <v>2006</v>
      </c>
      <c r="G116" s="10" t="s">
        <v>34</v>
      </c>
      <c r="H116" s="122">
        <v>4.5</v>
      </c>
      <c r="I116" s="116">
        <v>90</v>
      </c>
      <c r="J116" s="116">
        <v>90</v>
      </c>
      <c r="K116" s="116">
        <v>90</v>
      </c>
      <c r="L116" s="122">
        <v>24</v>
      </c>
      <c r="M116" s="122">
        <v>6.7</v>
      </c>
      <c r="N116" s="79">
        <v>3.06</v>
      </c>
      <c r="O116" s="116">
        <v>15</v>
      </c>
      <c r="P116" s="122">
        <v>6.4</v>
      </c>
      <c r="Q116" s="79">
        <v>1.1200000000000001</v>
      </c>
      <c r="R116" s="79">
        <v>22.36</v>
      </c>
      <c r="S116" s="79">
        <v>0.88</v>
      </c>
      <c r="T116" s="79">
        <v>0.7</v>
      </c>
      <c r="U116" s="85">
        <f t="shared" si="8"/>
        <v>1168.4950000000001</v>
      </c>
      <c r="V116" s="79">
        <f t="shared" si="9"/>
        <v>1562.7478181535998</v>
      </c>
      <c r="W116" s="79">
        <f t="shared" si="10"/>
        <v>1.3374022294948629</v>
      </c>
      <c r="X116" s="116">
        <v>3</v>
      </c>
      <c r="Y116" s="116">
        <v>4</v>
      </c>
      <c r="Z116" s="122">
        <v>6.48</v>
      </c>
      <c r="AA116" s="116">
        <v>19.43</v>
      </c>
      <c r="AB116" s="122">
        <v>6.8</v>
      </c>
      <c r="AC116" s="122">
        <v>6.5</v>
      </c>
      <c r="AD116" s="10">
        <v>0.48</v>
      </c>
      <c r="AE116" s="79">
        <v>1.61</v>
      </c>
      <c r="AF116" s="85">
        <f t="shared" si="11"/>
        <v>1557.9933333333333</v>
      </c>
      <c r="AG116" s="85">
        <f t="shared" si="12"/>
        <v>1944.5099039079994</v>
      </c>
      <c r="AH116" s="85">
        <f t="shared" si="13"/>
        <v>1.2480861517858437</v>
      </c>
      <c r="AI116" s="116">
        <v>3</v>
      </c>
      <c r="AJ116" s="116">
        <v>3</v>
      </c>
      <c r="AK116" s="79">
        <v>6.38</v>
      </c>
      <c r="AL116" s="79">
        <v>24.65</v>
      </c>
      <c r="AM116" s="122">
        <v>6.9</v>
      </c>
      <c r="AN116" s="122">
        <v>5.0999999999999996</v>
      </c>
      <c r="AO116" s="79">
        <v>0.3</v>
      </c>
      <c r="AP116" s="127">
        <v>0.89</v>
      </c>
      <c r="AQ116" s="132">
        <f t="shared" si="4"/>
        <v>2278</v>
      </c>
      <c r="AR116" s="134">
        <f t="shared" si="5"/>
        <v>0.48990342405618964</v>
      </c>
      <c r="AS116" s="134">
        <f t="shared" si="6"/>
        <v>0.29104477611940299</v>
      </c>
      <c r="AT116" s="134">
        <f t="shared" si="7"/>
        <v>0.21905179982440737</v>
      </c>
      <c r="AU116" s="43">
        <f>IF(AND(F116&lt;&gt;"",Y116&lt;&gt;""),AA116/(F116/2/Y116),"")</f>
        <v>7.7487537387836494E-2</v>
      </c>
      <c r="AV116" s="43">
        <f>IF(AND(F116&lt;&gt;"",AJ116&lt;&gt;""),AL116/(F116/2/AJ116),"")</f>
        <v>7.3728813559322037E-2</v>
      </c>
      <c r="AW116" s="41">
        <f>IF(AND(AP116&lt;&gt;"",1-(AP116/N116)&gt;0),1-(AP116/N116),"")</f>
        <v>0.70915032679738554</v>
      </c>
      <c r="AX116" s="41">
        <f>IF(AND(AE116&lt;&gt;"",1-(AE116/N116)&gt;0),1-(AE116/N116),"")</f>
        <v>0.47385620915032678</v>
      </c>
      <c r="AY116" s="136" t="str">
        <f>IF(P116="","",IF(P116&lt;2.5,"Alc. Bruta &lt; 2,5 mg/L",IF(P116&lt;5,"2,5 ≤ Alc. Bruta &lt; 5,0 mg/L",IF(P116&lt;7.5,"5,0 ≤ Alc. Bruta &lt; 7,5 mg/L",IF(P116&lt;10,"7,5 ≤ Alc. Bruta &lt; 10,0 mg/L",IF(P116&lt;15,"10,0 ≤ Alca. Bruta &lt; 15,0 mg/L","Alc. Bruta &gt; 15 mg/L"))))))</f>
        <v>5,0 ≤ Alc. Bruta &lt; 7,5 mg/L</v>
      </c>
      <c r="AZ116" s="136" t="str">
        <f>IF(O116="","",IF(O116&lt;5,"Cor &lt;5 uC",IF(O116&lt;10,"5 ≤ Cor &lt; 10 uC",IF(O116&lt;15,"10 ≤ Cor &lt;15 uC",IF(O116&lt;30,"15 ≤ Cor &lt; 30 uC",IF(O116&lt;50,"30 ≤ Cor &lt; 50 uC","Cor &gt; 50 uC"))))))</f>
        <v>15 ≤ Cor &lt; 30 uC</v>
      </c>
      <c r="BA116" s="137" t="str">
        <f>IF(N116="","",IF(N116&lt;2.5,"Turbidez &lt; 2,5 uT",IF(N116&lt;5,"2,5 ≤ Turb &lt; 5,0 uT",IF(N116&lt;7.5,"5,0 ≤ Turb &lt; 7,5 uT",IF(N116&lt;10,"7,5 ≤ Turb &lt; 10,0 uT",IF(N116&lt;15,"10,0 ≤ Turb &lt; 15,0 uT","Turb &gt; 15 uT"))))))</f>
        <v>2,5 ≤ Turb &lt; 5,0 uT</v>
      </c>
      <c r="BB116" s="138" t="str">
        <f>IF(AND(C116&gt;D116,D116&gt;E116),"TOR &gt; SM &gt; BNN",IF(AND(C116&gt;E116,E116&gt;D116),"TOR &gt; BNN &gt; SM",IF(AND(D116&gt;C116,C116&gt;E116),"SM &gt; TOR &gt; BNN",IF(AND(D116&gt;E116,E116&gt;C116),"SM &gt; BNN &gt; TOR",IF(AND(C116=D116,D116=E116),"TOR = SM = BNN","Comb. diferentes")))))</f>
        <v>TOR &gt; SM &gt; BNN</v>
      </c>
      <c r="BC116" s="137" t="str">
        <f>IF(OR(AD116="",AP116="-"),"",IF(AD116&lt;=0.25,"Tipo 1 (≤0,25) uT",IF(AD116&lt;=0.5,"Tipo 2 (0,25-0,50) uT",IF(AD116&lt;=0.75,"Tipo 3 (0,50-0,75) uT","Tipo 4 (&gt;0,75) uT"))))</f>
        <v>Tipo 2 (0,25-0,50) uT</v>
      </c>
      <c r="BD116" s="137" t="str">
        <f>IF(OR(AO116="",AY116="-"),"",IF(AO116&lt;=0.25,"Tipo 1 (≤0,25) uT",IF(AO116&lt;=0.5,"Tipo 2 (0,25-0,50) uT",IF(AO116&lt;=0.75,"Tipo 3 (0,50-0,75) uT","Tipo 4 (&gt;0,75) uT"))))</f>
        <v>Tipo 2 (0,25-0,50) uT</v>
      </c>
      <c r="BE116" s="137" t="str">
        <f>IF(OR(AE116="",AP116="-"),"",IF(AE116&lt;=0.25,"Tipo 1 (≤0,25) uT",IF(AE116&lt;=0.5,"Tipo 2 (0,25-0,50) uT",IF(AE116&lt;=0.75,"Tipo 3 (0,50-0,75) uT","Tipo 4 (&gt;0,75) uT"))))</f>
        <v>Tipo 4 (&gt;0,75) uT</v>
      </c>
      <c r="BF116" s="137" t="str">
        <f>IF(OR(AP116="",AP116="-"),"",IF(AP116&lt;=0.25,"Tipo 1 (≤0,25) uT",IF(AP116&lt;=0.5,"Tipo 2 (0,25-0,50) uT",IF(AP116&lt;=0.75,"Tipo 3 (0,50-0,75) uT","Tipo 4 (&gt;0,75) uT"))))</f>
        <v>Tipo 4 (&gt;0,75) uT</v>
      </c>
      <c r="BG116" s="137" t="str">
        <f>IF(OR(Q116="",Q116="-"),"",IF(Q116&lt;=0.25,"Tipo 1 (≤0,25) uT",IF(Q116&lt;=0.5,"Tipo 2 (0,25-0,50) uT",IF(Q116&lt;=0.75,"Tipo 3 (0,50-0,75) uT","Tipo 4 (&gt;0,75) uT"))))</f>
        <v>Tipo 4 (&gt;0,75) uT</v>
      </c>
    </row>
    <row r="117" spans="1:59" x14ac:dyDescent="0.3">
      <c r="A117" s="26">
        <v>46140</v>
      </c>
      <c r="B117" s="107">
        <v>0.97916666666666663</v>
      </c>
      <c r="C117" s="116">
        <v>1134</v>
      </c>
      <c r="D117" s="116">
        <v>653</v>
      </c>
      <c r="E117" s="116">
        <v>501</v>
      </c>
      <c r="F117" s="116">
        <v>2130</v>
      </c>
      <c r="G117" s="10" t="s">
        <v>34</v>
      </c>
      <c r="H117" s="122">
        <v>4</v>
      </c>
      <c r="I117" s="116">
        <v>90</v>
      </c>
      <c r="J117" s="116">
        <v>90</v>
      </c>
      <c r="K117" s="116">
        <v>90</v>
      </c>
      <c r="L117" s="122">
        <v>23</v>
      </c>
      <c r="M117" s="122">
        <v>6.8</v>
      </c>
      <c r="N117" s="79">
        <v>2.92</v>
      </c>
      <c r="O117" s="116">
        <v>16</v>
      </c>
      <c r="P117" s="122">
        <v>6.3</v>
      </c>
      <c r="Q117" s="79">
        <v>1.2</v>
      </c>
      <c r="R117" s="79">
        <v>22.36</v>
      </c>
      <c r="S117" s="79">
        <v>0.88</v>
      </c>
      <c r="T117" s="79">
        <v>0.7</v>
      </c>
      <c r="U117" s="85">
        <f t="shared" si="8"/>
        <v>1163.5125</v>
      </c>
      <c r="V117" s="79">
        <f t="shared" si="9"/>
        <v>1455.3844723599998</v>
      </c>
      <c r="W117" s="79">
        <f t="shared" si="10"/>
        <v>1.2508541784982969</v>
      </c>
      <c r="X117" s="116">
        <v>3</v>
      </c>
      <c r="Y117" s="116">
        <v>4</v>
      </c>
      <c r="Z117" s="122">
        <v>6.45</v>
      </c>
      <c r="AA117" s="116">
        <v>18.2</v>
      </c>
      <c r="AB117" s="122">
        <v>6.8</v>
      </c>
      <c r="AC117" s="122">
        <v>6.4</v>
      </c>
      <c r="AD117" s="10">
        <v>0.59</v>
      </c>
      <c r="AE117" s="79">
        <v>2.23</v>
      </c>
      <c r="AF117" s="85">
        <f t="shared" si="11"/>
        <v>1551.3500000000001</v>
      </c>
      <c r="AG117" s="85">
        <f t="shared" si="12"/>
        <v>1948.9874201199998</v>
      </c>
      <c r="AH117" s="85">
        <f t="shared" si="13"/>
        <v>1.2563170271827762</v>
      </c>
      <c r="AI117" s="116">
        <v>3</v>
      </c>
      <c r="AJ117" s="116">
        <v>3</v>
      </c>
      <c r="AK117" s="79">
        <v>6.3</v>
      </c>
      <c r="AL117" s="79">
        <v>25.1</v>
      </c>
      <c r="AM117" s="122">
        <v>6.8</v>
      </c>
      <c r="AN117" s="122">
        <v>5.8</v>
      </c>
      <c r="AO117" s="79">
        <v>0.48</v>
      </c>
      <c r="AP117" s="127">
        <v>1.53</v>
      </c>
      <c r="AQ117" s="132">
        <f t="shared" si="4"/>
        <v>2288</v>
      </c>
      <c r="AR117" s="134">
        <f t="shared" si="5"/>
        <v>0.49562937062937062</v>
      </c>
      <c r="AS117" s="134">
        <f t="shared" si="6"/>
        <v>0.28540209790209792</v>
      </c>
      <c r="AT117" s="134">
        <f t="shared" si="7"/>
        <v>0.21896853146853146</v>
      </c>
      <c r="AU117" s="43">
        <f>IF(AND(F117&lt;&gt;"",Y117&lt;&gt;""),AA117/(F117/2/Y117),"")</f>
        <v>6.8356807511737089E-2</v>
      </c>
      <c r="AV117" s="43">
        <f>IF(AND(F117&lt;&gt;"",AJ117&lt;&gt;""),AL117/(F117/2/AJ117),"")</f>
        <v>7.0704225352112682E-2</v>
      </c>
      <c r="AW117" s="41">
        <f>IF(AND(AP117&lt;&gt;"",1-(AP117/N117)&gt;0),1-(AP117/N117),"")</f>
        <v>0.47602739726027399</v>
      </c>
      <c r="AX117" s="41">
        <f>IF(AND(AE117&lt;&gt;"",1-(AE117/N117)&gt;0),1-(AE117/N117),"")</f>
        <v>0.23630136986301364</v>
      </c>
      <c r="AY117" s="136" t="str">
        <f>IF(P117="","",IF(P117&lt;2.5,"Alc. Bruta &lt; 2,5 mg/L",IF(P117&lt;5,"2,5 ≤ Alc. Bruta &lt; 5,0 mg/L",IF(P117&lt;7.5,"5,0 ≤ Alc. Bruta &lt; 7,5 mg/L",IF(P117&lt;10,"7,5 ≤ Alc. Bruta &lt; 10,0 mg/L",IF(P117&lt;15,"10,0 ≤ Alca. Bruta &lt; 15,0 mg/L","Alc. Bruta &gt; 15 mg/L"))))))</f>
        <v>5,0 ≤ Alc. Bruta &lt; 7,5 mg/L</v>
      </c>
      <c r="AZ117" s="136" t="str">
        <f>IF(O117="","",IF(O117&lt;5,"Cor &lt;5 uC",IF(O117&lt;10,"5 ≤ Cor &lt; 10 uC",IF(O117&lt;15,"10 ≤ Cor &lt;15 uC",IF(O117&lt;30,"15 ≤ Cor &lt; 30 uC",IF(O117&lt;50,"30 ≤ Cor &lt; 50 uC","Cor &gt; 50 uC"))))))</f>
        <v>15 ≤ Cor &lt; 30 uC</v>
      </c>
      <c r="BA117" s="137" t="str">
        <f>IF(N117="","",IF(N117&lt;2.5,"Turbidez &lt; 2,5 uT",IF(N117&lt;5,"2,5 ≤ Turb &lt; 5,0 uT",IF(N117&lt;7.5,"5,0 ≤ Turb &lt; 7,5 uT",IF(N117&lt;10,"7,5 ≤ Turb &lt; 10,0 uT",IF(N117&lt;15,"10,0 ≤ Turb &lt; 15,0 uT","Turb &gt; 15 uT"))))))</f>
        <v>2,5 ≤ Turb &lt; 5,0 uT</v>
      </c>
      <c r="BB117" s="138" t="str">
        <f>IF(AND(C117&gt;D117,D117&gt;E117),"TOR &gt; SM &gt; BNN",IF(AND(C117&gt;E117,E117&gt;D117),"TOR &gt; BNN &gt; SM",IF(AND(D117&gt;C117,C117&gt;E117),"SM &gt; TOR &gt; BNN",IF(AND(D117&gt;E117,E117&gt;C117),"SM &gt; BNN &gt; TOR",IF(AND(C117=D117,D117=E117),"TOR = SM = BNN","Comb. diferentes")))))</f>
        <v>TOR &gt; SM &gt; BNN</v>
      </c>
      <c r="BC117" s="137" t="str">
        <f>IF(OR(AD117="",AP117="-"),"",IF(AD117&lt;=0.25,"Tipo 1 (≤0,25) uT",IF(AD117&lt;=0.5,"Tipo 2 (0,25-0,50) uT",IF(AD117&lt;=0.75,"Tipo 3 (0,50-0,75) uT","Tipo 4 (&gt;0,75) uT"))))</f>
        <v>Tipo 3 (0,50-0,75) uT</v>
      </c>
      <c r="BD117" s="137" t="str">
        <f>IF(OR(AO117="",AY117="-"),"",IF(AO117&lt;=0.25,"Tipo 1 (≤0,25) uT",IF(AO117&lt;=0.5,"Tipo 2 (0,25-0,50) uT",IF(AO117&lt;=0.75,"Tipo 3 (0,50-0,75) uT","Tipo 4 (&gt;0,75) uT"))))</f>
        <v>Tipo 2 (0,25-0,50) uT</v>
      </c>
      <c r="BE117" s="137" t="str">
        <f>IF(OR(AE117="",AP117="-"),"",IF(AE117&lt;=0.25,"Tipo 1 (≤0,25) uT",IF(AE117&lt;=0.5,"Tipo 2 (0,25-0,50) uT",IF(AE117&lt;=0.75,"Tipo 3 (0,50-0,75) uT","Tipo 4 (&gt;0,75) uT"))))</f>
        <v>Tipo 4 (&gt;0,75) uT</v>
      </c>
      <c r="BF117" s="137" t="str">
        <f>IF(OR(AP117="",AP117="-"),"",IF(AP117&lt;=0.25,"Tipo 1 (≤0,25) uT",IF(AP117&lt;=0.5,"Tipo 2 (0,25-0,50) uT",IF(AP117&lt;=0.75,"Tipo 3 (0,50-0,75) uT","Tipo 4 (&gt;0,75) uT"))))</f>
        <v>Tipo 4 (&gt;0,75) uT</v>
      </c>
      <c r="BG117" s="137" t="str">
        <f>IF(OR(Q117="",Q117="-"),"",IF(Q117&lt;=0.25,"Tipo 1 (≤0,25) uT",IF(Q117&lt;=0.5,"Tipo 2 (0,25-0,50) uT",IF(Q117&lt;=0.75,"Tipo 3 (0,50-0,75) uT","Tipo 4 (&gt;0,75) uT"))))</f>
        <v>Tipo 4 (&gt;0,75) uT</v>
      </c>
    </row>
    <row r="118" spans="1:59" x14ac:dyDescent="0.3">
      <c r="A118" s="26">
        <v>46141</v>
      </c>
      <c r="B118" s="107">
        <v>6.25E-2</v>
      </c>
      <c r="C118" s="116">
        <v>950</v>
      </c>
      <c r="D118" s="116">
        <v>300</v>
      </c>
      <c r="E118" s="116">
        <v>500</v>
      </c>
      <c r="F118" s="116">
        <v>1797</v>
      </c>
      <c r="G118" s="10" t="s">
        <v>34</v>
      </c>
      <c r="H118" s="122">
        <v>4</v>
      </c>
      <c r="I118" s="116">
        <v>90</v>
      </c>
      <c r="J118" s="116">
        <v>90</v>
      </c>
      <c r="K118" s="116">
        <v>90</v>
      </c>
      <c r="L118" s="122">
        <v>23.1</v>
      </c>
      <c r="M118" s="122">
        <v>6.8</v>
      </c>
      <c r="N118" s="79">
        <v>3.11</v>
      </c>
      <c r="O118" s="116">
        <v>15</v>
      </c>
      <c r="P118" s="122">
        <v>5.9</v>
      </c>
      <c r="Q118" s="79">
        <v>0.56999999999999995</v>
      </c>
      <c r="R118" s="79">
        <v>22.36</v>
      </c>
      <c r="S118" s="79">
        <v>0.88</v>
      </c>
      <c r="T118" s="79">
        <v>0.7</v>
      </c>
      <c r="U118" s="85">
        <f t="shared" si="8"/>
        <v>1024.29</v>
      </c>
      <c r="V118" s="79">
        <f t="shared" si="9"/>
        <v>1452.9802200680001</v>
      </c>
      <c r="W118" s="79">
        <f t="shared" si="10"/>
        <v>1.4185242656552346</v>
      </c>
      <c r="X118" s="116">
        <v>1</v>
      </c>
      <c r="Y118" s="116">
        <v>4</v>
      </c>
      <c r="Z118" s="122">
        <v>6.47</v>
      </c>
      <c r="AA118" s="116">
        <v>18.100000000000001</v>
      </c>
      <c r="AB118" s="122">
        <v>6.8</v>
      </c>
      <c r="AC118" s="122">
        <v>5.9</v>
      </c>
      <c r="AD118" s="10">
        <v>0.3</v>
      </c>
      <c r="AE118" s="79">
        <v>0.6</v>
      </c>
      <c r="AF118" s="85">
        <f t="shared" si="11"/>
        <v>1365.7199999999998</v>
      </c>
      <c r="AG118" s="85">
        <f t="shared" si="12"/>
        <v>1960.6453382879999</v>
      </c>
      <c r="AH118" s="85">
        <f t="shared" si="13"/>
        <v>1.4356129648009843</v>
      </c>
      <c r="AI118" s="116">
        <v>3</v>
      </c>
      <c r="AJ118" s="116">
        <v>3</v>
      </c>
      <c r="AK118" s="79">
        <v>6.31</v>
      </c>
      <c r="AL118" s="79">
        <v>25.2</v>
      </c>
      <c r="AM118" s="122">
        <v>6.8</v>
      </c>
      <c r="AN118" s="122">
        <v>5.7</v>
      </c>
      <c r="AO118" s="79">
        <v>0.28000000000000003</v>
      </c>
      <c r="AP118" s="127">
        <v>0.35</v>
      </c>
      <c r="AQ118" s="132">
        <f t="shared" si="4"/>
        <v>1750</v>
      </c>
      <c r="AR118" s="134">
        <f t="shared" si="5"/>
        <v>0.54285714285714282</v>
      </c>
      <c r="AS118" s="134">
        <f t="shared" si="6"/>
        <v>0.17142857142857143</v>
      </c>
      <c r="AT118" s="134">
        <f t="shared" si="7"/>
        <v>0.2857142857142857</v>
      </c>
      <c r="AU118" s="43">
        <f>IF(AND(F118&lt;&gt;"",Y118&lt;&gt;""),AA118/(F118/2/Y118),"")</f>
        <v>8.0578742348358379E-2</v>
      </c>
      <c r="AV118" s="43">
        <f>IF(AND(F118&lt;&gt;"",AJ118&lt;&gt;""),AL118/(F118/2/AJ118),"")</f>
        <v>8.4140233722871452E-2</v>
      </c>
      <c r="AW118" s="41">
        <f>IF(AND(AP118&lt;&gt;"",1-(AP118/N118)&gt;0),1-(AP118/N118),"")</f>
        <v>0.887459807073955</v>
      </c>
      <c r="AX118" s="41">
        <f>IF(AND(AE118&lt;&gt;"",1-(AE118/N118)&gt;0),1-(AE118/N118),"")</f>
        <v>0.80707395498392287</v>
      </c>
      <c r="AY118" s="136" t="str">
        <f>IF(P118="","",IF(P118&lt;2.5,"Alc. Bruta &lt; 2,5 mg/L",IF(P118&lt;5,"2,5 ≤ Alc. Bruta &lt; 5,0 mg/L",IF(P118&lt;7.5,"5,0 ≤ Alc. Bruta &lt; 7,5 mg/L",IF(P118&lt;10,"7,5 ≤ Alc. Bruta &lt; 10,0 mg/L",IF(P118&lt;15,"10,0 ≤ Alca. Bruta &lt; 15,0 mg/L","Alc. Bruta &gt; 15 mg/L"))))))</f>
        <v>5,0 ≤ Alc. Bruta &lt; 7,5 mg/L</v>
      </c>
      <c r="AZ118" s="136" t="str">
        <f>IF(O118="","",IF(O118&lt;5,"Cor &lt;5 uC",IF(O118&lt;10,"5 ≤ Cor &lt; 10 uC",IF(O118&lt;15,"10 ≤ Cor &lt;15 uC",IF(O118&lt;30,"15 ≤ Cor &lt; 30 uC",IF(O118&lt;50,"30 ≤ Cor &lt; 50 uC","Cor &gt; 50 uC"))))))</f>
        <v>15 ≤ Cor &lt; 30 uC</v>
      </c>
      <c r="BA118" s="137" t="str">
        <f>IF(N118="","",IF(N118&lt;2.5,"Turbidez &lt; 2,5 uT",IF(N118&lt;5,"2,5 ≤ Turb &lt; 5,0 uT",IF(N118&lt;7.5,"5,0 ≤ Turb &lt; 7,5 uT",IF(N118&lt;10,"7,5 ≤ Turb &lt; 10,0 uT",IF(N118&lt;15,"10,0 ≤ Turb &lt; 15,0 uT","Turb &gt; 15 uT"))))))</f>
        <v>2,5 ≤ Turb &lt; 5,0 uT</v>
      </c>
      <c r="BB118" s="138" t="str">
        <f>IF(AND(C118&gt;D118,D118&gt;E118),"TOR &gt; SM &gt; BNN",IF(AND(C118&gt;E118,E118&gt;D118),"TOR &gt; BNN &gt; SM",IF(AND(D118&gt;C118,C118&gt;E118),"SM &gt; TOR &gt; BNN",IF(AND(D118&gt;E118,E118&gt;C118),"SM &gt; BNN &gt; TOR",IF(AND(C118=D118,D118=E118),"TOR = SM = BNN","Comb. diferentes")))))</f>
        <v>TOR &gt; BNN &gt; SM</v>
      </c>
      <c r="BC118" s="137" t="str">
        <f>IF(OR(AD118="",AP118="-"),"",IF(AD118&lt;=0.25,"Tipo 1 (≤0,25) uT",IF(AD118&lt;=0.5,"Tipo 2 (0,25-0,50) uT",IF(AD118&lt;=0.75,"Tipo 3 (0,50-0,75) uT","Tipo 4 (&gt;0,75) uT"))))</f>
        <v>Tipo 2 (0,25-0,50) uT</v>
      </c>
      <c r="BD118" s="137" t="str">
        <f>IF(OR(AO118="",AY118="-"),"",IF(AO118&lt;=0.25,"Tipo 1 (≤0,25) uT",IF(AO118&lt;=0.5,"Tipo 2 (0,25-0,50) uT",IF(AO118&lt;=0.75,"Tipo 3 (0,50-0,75) uT","Tipo 4 (&gt;0,75) uT"))))</f>
        <v>Tipo 2 (0,25-0,50) uT</v>
      </c>
      <c r="BE118" s="137" t="str">
        <f>IF(OR(AE118="",AP118="-"),"",IF(AE118&lt;=0.25,"Tipo 1 (≤0,25) uT",IF(AE118&lt;=0.5,"Tipo 2 (0,25-0,50) uT",IF(AE118&lt;=0.75,"Tipo 3 (0,50-0,75) uT","Tipo 4 (&gt;0,75) uT"))))</f>
        <v>Tipo 3 (0,50-0,75) uT</v>
      </c>
      <c r="BF118" s="137" t="str">
        <f>IF(OR(AP118="",AP118="-"),"",IF(AP118&lt;=0.25,"Tipo 1 (≤0,25) uT",IF(AP118&lt;=0.5,"Tipo 2 (0,25-0,50) uT",IF(AP118&lt;=0.75,"Tipo 3 (0,50-0,75) uT","Tipo 4 (&gt;0,75) uT"))))</f>
        <v>Tipo 2 (0,25-0,50) uT</v>
      </c>
      <c r="BG118" s="137" t="str">
        <f>IF(OR(Q118="",Q118="-"),"",IF(Q118&lt;=0.25,"Tipo 1 (≤0,25) uT",IF(Q118&lt;=0.5,"Tipo 2 (0,25-0,50) uT",IF(Q118&lt;=0.75,"Tipo 3 (0,50-0,75) uT","Tipo 4 (&gt;0,75) uT"))))</f>
        <v>Tipo 3 (0,50-0,75) uT</v>
      </c>
    </row>
    <row r="119" spans="1:59" x14ac:dyDescent="0.3">
      <c r="A119" s="26">
        <v>46141</v>
      </c>
      <c r="B119" s="107">
        <v>0.14583333333333334</v>
      </c>
      <c r="C119" s="116">
        <v>1010</v>
      </c>
      <c r="D119" s="116">
        <v>260</v>
      </c>
      <c r="E119" s="116">
        <v>500</v>
      </c>
      <c r="F119" s="116">
        <v>1866</v>
      </c>
      <c r="G119" s="10" t="s">
        <v>34</v>
      </c>
      <c r="H119" s="122">
        <v>4</v>
      </c>
      <c r="I119" s="116">
        <v>90</v>
      </c>
      <c r="J119" s="116">
        <v>90</v>
      </c>
      <c r="K119" s="116">
        <v>90</v>
      </c>
      <c r="L119" s="122">
        <v>23.4</v>
      </c>
      <c r="M119" s="122">
        <v>6.4</v>
      </c>
      <c r="N119" s="79">
        <v>3.54</v>
      </c>
      <c r="O119" s="116">
        <v>17</v>
      </c>
      <c r="P119" s="122">
        <v>7.1</v>
      </c>
      <c r="Q119" s="79">
        <v>0.33</v>
      </c>
      <c r="R119" s="79">
        <v>22.36</v>
      </c>
      <c r="S119" s="79">
        <v>0.88</v>
      </c>
      <c r="T119" s="79">
        <v>0.7</v>
      </c>
      <c r="U119" s="85">
        <f t="shared" si="8"/>
        <v>1163.9175</v>
      </c>
      <c r="V119" s="79">
        <f t="shared" si="9"/>
        <v>1469.0485214547998</v>
      </c>
      <c r="W119" s="79">
        <f t="shared" si="10"/>
        <v>1.2621586336272115</v>
      </c>
      <c r="X119" s="116">
        <v>1</v>
      </c>
      <c r="Y119" s="116">
        <v>4</v>
      </c>
      <c r="Z119" s="122">
        <v>6.49</v>
      </c>
      <c r="AA119" s="116">
        <v>18.23</v>
      </c>
      <c r="AB119" s="122">
        <v>6.5</v>
      </c>
      <c r="AC119" s="122">
        <v>7.5</v>
      </c>
      <c r="AD119" s="10">
        <v>0.22</v>
      </c>
      <c r="AE119" s="79">
        <v>0.15</v>
      </c>
      <c r="AF119" s="85">
        <f t="shared" si="11"/>
        <v>1551.89</v>
      </c>
      <c r="AG119" s="85">
        <f t="shared" si="12"/>
        <v>1941.0176855679999</v>
      </c>
      <c r="AH119" s="85">
        <f t="shared" si="13"/>
        <v>1.2507443733563588</v>
      </c>
      <c r="AI119" s="116">
        <v>3</v>
      </c>
      <c r="AJ119" s="116">
        <v>3</v>
      </c>
      <c r="AK119" s="79">
        <v>6.34</v>
      </c>
      <c r="AL119" s="79">
        <v>24.8</v>
      </c>
      <c r="AM119" s="122">
        <v>6.4</v>
      </c>
      <c r="AN119" s="122">
        <v>7</v>
      </c>
      <c r="AO119" s="79">
        <v>0.24</v>
      </c>
      <c r="AP119" s="127">
        <v>0.31</v>
      </c>
      <c r="AQ119" s="132">
        <f t="shared" si="4"/>
        <v>1770</v>
      </c>
      <c r="AR119" s="134">
        <f t="shared" si="5"/>
        <v>0.57062146892655363</v>
      </c>
      <c r="AS119" s="134">
        <f t="shared" si="6"/>
        <v>0.14689265536723164</v>
      </c>
      <c r="AT119" s="134">
        <f t="shared" si="7"/>
        <v>0.2824858757062147</v>
      </c>
      <c r="AU119" s="43">
        <f>IF(AND(F119&lt;&gt;"",Y119&lt;&gt;""),AA119/(F119/2/Y119),"")</f>
        <v>7.815648445873527E-2</v>
      </c>
      <c r="AV119" s="43">
        <f>IF(AND(F119&lt;&gt;"",AJ119&lt;&gt;""),AL119/(F119/2/AJ119),"")</f>
        <v>7.9742765273311894E-2</v>
      </c>
      <c r="AW119" s="41">
        <f>IF(AND(AP119&lt;&gt;"",1-(AP119/N119)&gt;0),1-(AP119/N119),"")</f>
        <v>0.91242937853107342</v>
      </c>
      <c r="AX119" s="41">
        <f>IF(AND(AE119&lt;&gt;"",1-(AE119/N119)&gt;0),1-(AE119/N119),"")</f>
        <v>0.9576271186440678</v>
      </c>
      <c r="AY119" s="136" t="str">
        <f>IF(P119="","",IF(P119&lt;2.5,"Alc. Bruta &lt; 2,5 mg/L",IF(P119&lt;5,"2,5 ≤ Alc. Bruta &lt; 5,0 mg/L",IF(P119&lt;7.5,"5,0 ≤ Alc. Bruta &lt; 7,5 mg/L",IF(P119&lt;10,"7,5 ≤ Alc. Bruta &lt; 10,0 mg/L",IF(P119&lt;15,"10,0 ≤ Alca. Bruta &lt; 15,0 mg/L","Alc. Bruta &gt; 15 mg/L"))))))</f>
        <v>5,0 ≤ Alc. Bruta &lt; 7,5 mg/L</v>
      </c>
      <c r="AZ119" s="136" t="str">
        <f>IF(O119="","",IF(O119&lt;5,"Cor &lt;5 uC",IF(O119&lt;10,"5 ≤ Cor &lt; 10 uC",IF(O119&lt;15,"10 ≤ Cor &lt;15 uC",IF(O119&lt;30,"15 ≤ Cor &lt; 30 uC",IF(O119&lt;50,"30 ≤ Cor &lt; 50 uC","Cor &gt; 50 uC"))))))</f>
        <v>15 ≤ Cor &lt; 30 uC</v>
      </c>
      <c r="BA119" s="137" t="str">
        <f>IF(N119="","",IF(N119&lt;2.5,"Turbidez &lt; 2,5 uT",IF(N119&lt;5,"2,5 ≤ Turb &lt; 5,0 uT",IF(N119&lt;7.5,"5,0 ≤ Turb &lt; 7,5 uT",IF(N119&lt;10,"7,5 ≤ Turb &lt; 10,0 uT",IF(N119&lt;15,"10,0 ≤ Turb &lt; 15,0 uT","Turb &gt; 15 uT"))))))</f>
        <v>2,5 ≤ Turb &lt; 5,0 uT</v>
      </c>
      <c r="BB119" s="138" t="str">
        <f>IF(AND(C119&gt;D119,D119&gt;E119),"TOR &gt; SM &gt; BNN",IF(AND(C119&gt;E119,E119&gt;D119),"TOR &gt; BNN &gt; SM",IF(AND(D119&gt;C119,C119&gt;E119),"SM &gt; TOR &gt; BNN",IF(AND(D119&gt;E119,E119&gt;C119),"SM &gt; BNN &gt; TOR",IF(AND(C119=D119,D119=E119),"TOR = SM = BNN","Comb. diferentes")))))</f>
        <v>TOR &gt; BNN &gt; SM</v>
      </c>
      <c r="BC119" s="137" t="str">
        <f>IF(OR(AD119="",AP119="-"),"",IF(AD119&lt;=0.25,"Tipo 1 (≤0,25) uT",IF(AD119&lt;=0.5,"Tipo 2 (0,25-0,50) uT",IF(AD119&lt;=0.75,"Tipo 3 (0,50-0,75) uT","Tipo 4 (&gt;0,75) uT"))))</f>
        <v>Tipo 1 (≤0,25) uT</v>
      </c>
      <c r="BD119" s="137" t="str">
        <f>IF(OR(AO119="",AY119="-"),"",IF(AO119&lt;=0.25,"Tipo 1 (≤0,25) uT",IF(AO119&lt;=0.5,"Tipo 2 (0,25-0,50) uT",IF(AO119&lt;=0.75,"Tipo 3 (0,50-0,75) uT","Tipo 4 (&gt;0,75) uT"))))</f>
        <v>Tipo 1 (≤0,25) uT</v>
      </c>
      <c r="BE119" s="137" t="str">
        <f>IF(OR(AE119="",AP119="-"),"",IF(AE119&lt;=0.25,"Tipo 1 (≤0,25) uT",IF(AE119&lt;=0.5,"Tipo 2 (0,25-0,50) uT",IF(AE119&lt;=0.75,"Tipo 3 (0,50-0,75) uT","Tipo 4 (&gt;0,75) uT"))))</f>
        <v>Tipo 1 (≤0,25) uT</v>
      </c>
      <c r="BF119" s="137" t="str">
        <f>IF(OR(AP119="",AP119="-"),"",IF(AP119&lt;=0.25,"Tipo 1 (≤0,25) uT",IF(AP119&lt;=0.5,"Tipo 2 (0,25-0,50) uT",IF(AP119&lt;=0.75,"Tipo 3 (0,50-0,75) uT","Tipo 4 (&gt;0,75) uT"))))</f>
        <v>Tipo 2 (0,25-0,50) uT</v>
      </c>
      <c r="BG119" s="137" t="str">
        <f>IF(OR(Q119="",Q119="-"),"",IF(Q119&lt;=0.25,"Tipo 1 (≤0,25) uT",IF(Q119&lt;=0.5,"Tipo 2 (0,25-0,50) uT",IF(Q119&lt;=0.75,"Tipo 3 (0,50-0,75) uT","Tipo 4 (&gt;0,75) uT"))))</f>
        <v>Tipo 2 (0,25-0,50) uT</v>
      </c>
    </row>
    <row r="120" spans="1:59" ht="15" thickBot="1" x14ac:dyDescent="0.35">
      <c r="A120" s="26">
        <v>46141</v>
      </c>
      <c r="B120" s="110">
        <v>0.22916666666666666</v>
      </c>
      <c r="C120" s="117">
        <v>928</v>
      </c>
      <c r="D120" s="117">
        <v>260</v>
      </c>
      <c r="E120" s="117">
        <v>497</v>
      </c>
      <c r="F120" s="117">
        <v>1791</v>
      </c>
      <c r="G120" s="11" t="s">
        <v>34</v>
      </c>
      <c r="H120" s="122">
        <v>4</v>
      </c>
      <c r="I120" s="117">
        <v>90</v>
      </c>
      <c r="J120" s="117">
        <v>90</v>
      </c>
      <c r="K120" s="117">
        <v>90</v>
      </c>
      <c r="L120" s="123">
        <v>23.7</v>
      </c>
      <c r="M120" s="123">
        <v>6.6</v>
      </c>
      <c r="N120" s="80">
        <v>3.15</v>
      </c>
      <c r="O120" s="117">
        <v>14</v>
      </c>
      <c r="P120" s="123">
        <v>6.4</v>
      </c>
      <c r="Q120" s="80">
        <v>0.6</v>
      </c>
      <c r="R120" s="79">
        <v>22.36</v>
      </c>
      <c r="S120" s="79">
        <v>0.88</v>
      </c>
      <c r="T120" s="79">
        <v>0.7</v>
      </c>
      <c r="U120" s="85">
        <f t="shared" si="8"/>
        <v>1029.8249999999998</v>
      </c>
      <c r="V120" s="79">
        <f t="shared" si="9"/>
        <v>1566.7692999295998</v>
      </c>
      <c r="W120" s="79">
        <f t="shared" si="10"/>
        <v>1.5213937318763868</v>
      </c>
      <c r="X120" s="117">
        <v>1</v>
      </c>
      <c r="Y120" s="117">
        <v>4</v>
      </c>
      <c r="Z120" s="123">
        <v>6.48</v>
      </c>
      <c r="AA120" s="117">
        <v>19.48</v>
      </c>
      <c r="AB120" s="123">
        <v>6.6</v>
      </c>
      <c r="AC120" s="123">
        <v>5.7</v>
      </c>
      <c r="AD120" s="11">
        <v>0.17</v>
      </c>
      <c r="AE120" s="80">
        <v>7.0000000000000007E-2</v>
      </c>
      <c r="AF120" s="85">
        <f t="shared" si="11"/>
        <v>1373.1</v>
      </c>
      <c r="AG120" s="85">
        <f t="shared" si="12"/>
        <v>1841.6061570348002</v>
      </c>
      <c r="AH120" s="85">
        <f t="shared" si="13"/>
        <v>1.341203231399607</v>
      </c>
      <c r="AI120" s="117">
        <v>3</v>
      </c>
      <c r="AJ120" s="117">
        <v>3</v>
      </c>
      <c r="AK120" s="80">
        <v>6.31</v>
      </c>
      <c r="AL120" s="80">
        <v>23.67</v>
      </c>
      <c r="AM120" s="123">
        <v>6.7</v>
      </c>
      <c r="AN120" s="123">
        <v>6</v>
      </c>
      <c r="AO120" s="80">
        <v>0.23</v>
      </c>
      <c r="AP120" s="128">
        <v>0.32</v>
      </c>
      <c r="AQ120" s="132">
        <f t="shared" si="4"/>
        <v>1685</v>
      </c>
      <c r="AR120" s="134">
        <f t="shared" si="5"/>
        <v>0.55074183976261126</v>
      </c>
      <c r="AS120" s="134">
        <f t="shared" si="6"/>
        <v>0.1543026706231454</v>
      </c>
      <c r="AT120" s="134">
        <f t="shared" si="7"/>
        <v>0.29495548961424334</v>
      </c>
      <c r="AU120" s="43">
        <f>IF(AND(F120&lt;&gt;"",Y120&lt;&gt;""),AA120/(F120/2/Y120),"")</f>
        <v>8.7012841987716361E-2</v>
      </c>
      <c r="AV120" s="43">
        <f>IF(AND(F120&lt;&gt;"",AJ120&lt;&gt;""),AL120/(F120/2/AJ120),"")</f>
        <v>7.9296482412060304E-2</v>
      </c>
      <c r="AW120" s="41">
        <f>IF(AND(AP120&lt;&gt;"",1-(AP120/N120)&gt;0),1-(AP120/N120),"")</f>
        <v>0.89841269841269844</v>
      </c>
      <c r="AX120" s="41">
        <f>IF(AND(AE120&lt;&gt;"",1-(AE120/N120)&gt;0),1-(AE120/N120),"")</f>
        <v>0.97777777777777775</v>
      </c>
      <c r="AY120" s="136" t="str">
        <f>IF(P120="","",IF(P120&lt;2.5,"Alc. Bruta &lt; 2,5 mg/L",IF(P120&lt;5,"2,5 ≤ Alc. Bruta &lt; 5,0 mg/L",IF(P120&lt;7.5,"5,0 ≤ Alc. Bruta &lt; 7,5 mg/L",IF(P120&lt;10,"7,5 ≤ Alc. Bruta &lt; 10,0 mg/L",IF(P120&lt;15,"10,0 ≤ Alca. Bruta &lt; 15,0 mg/L","Alc. Bruta &gt; 15 mg/L"))))))</f>
        <v>5,0 ≤ Alc. Bruta &lt; 7,5 mg/L</v>
      </c>
      <c r="AZ120" s="136" t="str">
        <f>IF(O120="","",IF(O120&lt;5,"Cor &lt;5 uC",IF(O120&lt;10,"5 ≤ Cor &lt; 10 uC",IF(O120&lt;15,"10 ≤ Cor &lt;15 uC",IF(O120&lt;30,"15 ≤ Cor &lt; 30 uC",IF(O120&lt;50,"30 ≤ Cor &lt; 50 uC","Cor &gt; 50 uC"))))))</f>
        <v>10 ≤ Cor &lt;15 uC</v>
      </c>
      <c r="BA120" s="137" t="str">
        <f>IF(N120="","",IF(N120&lt;2.5,"Turbidez &lt; 2,5 uT",IF(N120&lt;5,"2,5 ≤ Turb &lt; 5,0 uT",IF(N120&lt;7.5,"5,0 ≤ Turb &lt; 7,5 uT",IF(N120&lt;10,"7,5 ≤ Turb &lt; 10,0 uT",IF(N120&lt;15,"10,0 ≤ Turb &lt; 15,0 uT","Turb &gt; 15 uT"))))))</f>
        <v>2,5 ≤ Turb &lt; 5,0 uT</v>
      </c>
      <c r="BB120" s="138" t="str">
        <f>IF(AND(C120&gt;D120,D120&gt;E120),"TOR &gt; SM &gt; BNN",IF(AND(C120&gt;E120,E120&gt;D120),"TOR &gt; BNN &gt; SM",IF(AND(D120&gt;C120,C120&gt;E120),"SM &gt; TOR &gt; BNN",IF(AND(D120&gt;E120,E120&gt;C120),"SM &gt; BNN &gt; TOR",IF(AND(C120=D120,D120=E120),"TOR = SM = BNN","Comb. diferentes")))))</f>
        <v>TOR &gt; BNN &gt; SM</v>
      </c>
      <c r="BC120" s="137" t="str">
        <f>IF(OR(AD120="",AP120="-"),"",IF(AD120&lt;=0.25,"Tipo 1 (≤0,25) uT",IF(AD120&lt;=0.5,"Tipo 2 (0,25-0,50) uT",IF(AD120&lt;=0.75,"Tipo 3 (0,50-0,75) uT","Tipo 4 (&gt;0,75) uT"))))</f>
        <v>Tipo 1 (≤0,25) uT</v>
      </c>
      <c r="BD120" s="137" t="str">
        <f>IF(OR(AO120="",AY120="-"),"",IF(AO120&lt;=0.25,"Tipo 1 (≤0,25) uT",IF(AO120&lt;=0.5,"Tipo 2 (0,25-0,50) uT",IF(AO120&lt;=0.75,"Tipo 3 (0,50-0,75) uT","Tipo 4 (&gt;0,75) uT"))))</f>
        <v>Tipo 1 (≤0,25) uT</v>
      </c>
      <c r="BE120" s="137" t="str">
        <f>IF(OR(AE120="",AP120="-"),"",IF(AE120&lt;=0.25,"Tipo 1 (≤0,25) uT",IF(AE120&lt;=0.5,"Tipo 2 (0,25-0,50) uT",IF(AE120&lt;=0.75,"Tipo 3 (0,50-0,75) uT","Tipo 4 (&gt;0,75) uT"))))</f>
        <v>Tipo 1 (≤0,25) uT</v>
      </c>
      <c r="BF120" s="137" t="str">
        <f>IF(OR(AP120="",AP120="-"),"",IF(AP120&lt;=0.25,"Tipo 1 (≤0,25) uT",IF(AP120&lt;=0.5,"Tipo 2 (0,25-0,50) uT",IF(AP120&lt;=0.75,"Tipo 3 (0,50-0,75) uT","Tipo 4 (&gt;0,75) uT"))))</f>
        <v>Tipo 2 (0,25-0,50) uT</v>
      </c>
      <c r="BG120" s="137" t="str">
        <f>IF(OR(Q120="",Q120="-"),"",IF(Q120&lt;=0.25,"Tipo 1 (≤0,25) uT",IF(Q120&lt;=0.5,"Tipo 2 (0,25-0,50) uT",IF(Q120&lt;=0.75,"Tipo 3 (0,50-0,75) uT","Tipo 4 (&gt;0,75) uT"))))</f>
        <v>Tipo 3 (0,50-0,75) uT</v>
      </c>
    </row>
    <row r="121" spans="1:59" x14ac:dyDescent="0.3">
      <c r="A121" s="26">
        <v>46141</v>
      </c>
      <c r="B121" s="111">
        <v>0.3125</v>
      </c>
      <c r="C121" s="118">
        <v>980</v>
      </c>
      <c r="D121" s="116">
        <v>236</v>
      </c>
      <c r="E121" s="118">
        <v>500</v>
      </c>
      <c r="F121" s="118">
        <v>1886</v>
      </c>
      <c r="G121" s="9" t="s">
        <v>34</v>
      </c>
      <c r="H121" s="124">
        <v>3.5</v>
      </c>
      <c r="I121" s="118">
        <v>90</v>
      </c>
      <c r="J121" s="118">
        <v>90</v>
      </c>
      <c r="K121" s="118">
        <v>90</v>
      </c>
      <c r="L121" s="124">
        <v>23.6</v>
      </c>
      <c r="M121" s="124">
        <v>6.6</v>
      </c>
      <c r="N121" s="81">
        <v>3.44</v>
      </c>
      <c r="O121" s="118">
        <v>14</v>
      </c>
      <c r="P121" s="124">
        <v>6.4</v>
      </c>
      <c r="Q121" s="81">
        <v>0.1</v>
      </c>
      <c r="R121" s="79">
        <v>22.36</v>
      </c>
      <c r="S121" s="79">
        <v>0.88</v>
      </c>
      <c r="T121" s="79">
        <v>0.7</v>
      </c>
      <c r="U121" s="85">
        <f t="shared" si="8"/>
        <v>1117.4550000000002</v>
      </c>
      <c r="V121" s="79">
        <f t="shared" si="9"/>
        <v>1453.2949080000001</v>
      </c>
      <c r="W121" s="79">
        <f t="shared" si="10"/>
        <v>1.3005399841604359</v>
      </c>
      <c r="X121" s="118">
        <v>1</v>
      </c>
      <c r="Y121" s="118">
        <v>4</v>
      </c>
      <c r="Z121" s="124">
        <v>6.5</v>
      </c>
      <c r="AA121" s="118">
        <v>18</v>
      </c>
      <c r="AB121" s="124">
        <v>6.6</v>
      </c>
      <c r="AC121" s="124">
        <v>6.7</v>
      </c>
      <c r="AD121" s="9">
        <v>0.2</v>
      </c>
      <c r="AE121" s="81">
        <v>7.0000000000000007E-2</v>
      </c>
      <c r="AF121" s="85">
        <f t="shared" si="11"/>
        <v>1489.94</v>
      </c>
      <c r="AG121" s="85">
        <f t="shared" si="12"/>
        <v>1960.5331849999995</v>
      </c>
      <c r="AH121" s="85">
        <f t="shared" si="13"/>
        <v>1.3158470710229939</v>
      </c>
      <c r="AI121" s="118">
        <v>3</v>
      </c>
      <c r="AJ121" s="118">
        <v>3</v>
      </c>
      <c r="AK121" s="81">
        <v>6.35</v>
      </c>
      <c r="AL121" s="81">
        <v>25</v>
      </c>
      <c r="AM121" s="124">
        <v>6.6</v>
      </c>
      <c r="AN121" s="124">
        <v>6.5</v>
      </c>
      <c r="AO121" s="81">
        <v>0.19</v>
      </c>
      <c r="AP121" s="129">
        <v>0.26</v>
      </c>
      <c r="AQ121" s="132">
        <f t="shared" si="4"/>
        <v>1716</v>
      </c>
      <c r="AR121" s="134">
        <f t="shared" si="5"/>
        <v>0.57109557109557108</v>
      </c>
      <c r="AS121" s="134">
        <f t="shared" si="6"/>
        <v>0.13752913752913754</v>
      </c>
      <c r="AT121" s="134">
        <f t="shared" si="7"/>
        <v>0.29137529137529139</v>
      </c>
      <c r="AU121" s="43">
        <f>IF(AND(F121&lt;&gt;"",Y121&lt;&gt;""),AA121/(F121/2/Y121),"")</f>
        <v>7.6352067868504778E-2</v>
      </c>
      <c r="AV121" s="43">
        <f>IF(AND(F121&lt;&gt;"",AJ121&lt;&gt;""),AL121/(F121/2/AJ121),"")</f>
        <v>7.9533404029692473E-2</v>
      </c>
      <c r="AW121" s="41">
        <f>IF(AND(AP121&lt;&gt;"",1-(AP121/N121)&gt;0),1-(AP121/N121),"")</f>
        <v>0.92441860465116277</v>
      </c>
      <c r="AX121" s="41">
        <f>IF(AND(AE121&lt;&gt;"",1-(AE121/N121)&gt;0),1-(AE121/N121),"")</f>
        <v>0.97965116279069764</v>
      </c>
      <c r="AY121" s="136" t="str">
        <f>IF(P121="","",IF(P121&lt;2.5,"Alc. Bruta &lt; 2,5 mg/L",IF(P121&lt;5,"2,5 ≤ Alc. Bruta &lt; 5,0 mg/L",IF(P121&lt;7.5,"5,0 ≤ Alc. Bruta &lt; 7,5 mg/L",IF(P121&lt;10,"7,5 ≤ Alc. Bruta &lt; 10,0 mg/L",IF(P121&lt;15,"10,0 ≤ Alca. Bruta &lt; 15,0 mg/L","Alc. Bruta &gt; 15 mg/L"))))))</f>
        <v>5,0 ≤ Alc. Bruta &lt; 7,5 mg/L</v>
      </c>
      <c r="AZ121" s="136" t="str">
        <f>IF(O121="","",IF(O121&lt;5,"Cor &lt;5 uC",IF(O121&lt;10,"5 ≤ Cor &lt; 10 uC",IF(O121&lt;15,"10 ≤ Cor &lt;15 uC",IF(O121&lt;30,"15 ≤ Cor &lt; 30 uC",IF(O121&lt;50,"30 ≤ Cor &lt; 50 uC","Cor &gt; 50 uC"))))))</f>
        <v>10 ≤ Cor &lt;15 uC</v>
      </c>
      <c r="BA121" s="137" t="str">
        <f>IF(N121="","",IF(N121&lt;2.5,"Turbidez &lt; 2,5 uT",IF(N121&lt;5,"2,5 ≤ Turb &lt; 5,0 uT",IF(N121&lt;7.5,"5,0 ≤ Turb &lt; 7,5 uT",IF(N121&lt;10,"7,5 ≤ Turb &lt; 10,0 uT",IF(N121&lt;15,"10,0 ≤ Turb &lt; 15,0 uT","Turb &gt; 15 uT"))))))</f>
        <v>2,5 ≤ Turb &lt; 5,0 uT</v>
      </c>
      <c r="BB121" s="138" t="str">
        <f>IF(AND(C121&gt;D121,D121&gt;E121),"TOR &gt; SM &gt; BNN",IF(AND(C121&gt;E121,E121&gt;D121),"TOR &gt; BNN &gt; SM",IF(AND(D121&gt;C121,C121&gt;E121),"SM &gt; TOR &gt; BNN",IF(AND(D121&gt;E121,E121&gt;C121),"SM &gt; BNN &gt; TOR",IF(AND(C121=D121,D121=E121),"TOR = SM = BNN","Comb. diferentes")))))</f>
        <v>TOR &gt; BNN &gt; SM</v>
      </c>
      <c r="BC121" s="137" t="str">
        <f>IF(OR(AD121="",AP121="-"),"",IF(AD121&lt;=0.25,"Tipo 1 (≤0,25) uT",IF(AD121&lt;=0.5,"Tipo 2 (0,25-0,50) uT",IF(AD121&lt;=0.75,"Tipo 3 (0,50-0,75) uT","Tipo 4 (&gt;0,75) uT"))))</f>
        <v>Tipo 1 (≤0,25) uT</v>
      </c>
      <c r="BD121" s="137" t="str">
        <f>IF(OR(AO121="",AY121="-"),"",IF(AO121&lt;=0.25,"Tipo 1 (≤0,25) uT",IF(AO121&lt;=0.5,"Tipo 2 (0,25-0,50) uT",IF(AO121&lt;=0.75,"Tipo 3 (0,50-0,75) uT","Tipo 4 (&gt;0,75) uT"))))</f>
        <v>Tipo 1 (≤0,25) uT</v>
      </c>
      <c r="BE121" s="137" t="str">
        <f>IF(OR(AE121="",AP121="-"),"",IF(AE121&lt;=0.25,"Tipo 1 (≤0,25) uT",IF(AE121&lt;=0.5,"Tipo 2 (0,25-0,50) uT",IF(AE121&lt;=0.75,"Tipo 3 (0,50-0,75) uT","Tipo 4 (&gt;0,75) uT"))))</f>
        <v>Tipo 1 (≤0,25) uT</v>
      </c>
      <c r="BF121" s="137" t="str">
        <f>IF(OR(AP121="",AP121="-"),"",IF(AP121&lt;=0.25,"Tipo 1 (≤0,25) uT",IF(AP121&lt;=0.5,"Tipo 2 (0,25-0,50) uT",IF(AP121&lt;=0.75,"Tipo 3 (0,50-0,75) uT","Tipo 4 (&gt;0,75) uT"))))</f>
        <v>Tipo 2 (0,25-0,50) uT</v>
      </c>
      <c r="BG121" s="137" t="str">
        <f>IF(OR(Q121="",Q121="-"),"",IF(Q121&lt;=0.25,"Tipo 1 (≤0,25) uT",IF(Q121&lt;=0.5,"Tipo 2 (0,25-0,50) uT",IF(Q121&lt;=0.75,"Tipo 3 (0,50-0,75) uT","Tipo 4 (&gt;0,75) uT"))))</f>
        <v>Tipo 1 (≤0,25) uT</v>
      </c>
    </row>
    <row r="122" spans="1:59" x14ac:dyDescent="0.3">
      <c r="A122" s="26">
        <v>46141</v>
      </c>
      <c r="B122" s="107">
        <v>0.47916666666666669</v>
      </c>
      <c r="C122" s="116">
        <v>1008</v>
      </c>
      <c r="D122" s="116">
        <v>265</v>
      </c>
      <c r="E122" s="116">
        <v>590</v>
      </c>
      <c r="F122" s="116">
        <v>1899</v>
      </c>
      <c r="G122" s="10" t="s">
        <v>34</v>
      </c>
      <c r="H122" s="122">
        <v>3</v>
      </c>
      <c r="I122" s="116">
        <v>90</v>
      </c>
      <c r="J122" s="116">
        <v>90</v>
      </c>
      <c r="K122" s="116">
        <v>90</v>
      </c>
      <c r="L122" s="122">
        <v>24.1</v>
      </c>
      <c r="M122" s="122">
        <v>6.7</v>
      </c>
      <c r="N122" s="79">
        <v>3.29</v>
      </c>
      <c r="O122" s="116">
        <v>15</v>
      </c>
      <c r="P122" s="122">
        <v>7.2</v>
      </c>
      <c r="Q122" s="79">
        <v>0.51</v>
      </c>
      <c r="R122" s="79">
        <v>22.36</v>
      </c>
      <c r="S122" s="79">
        <v>0.88</v>
      </c>
      <c r="T122" s="79">
        <v>0.7</v>
      </c>
      <c r="U122" s="85">
        <f t="shared" si="8"/>
        <v>1405.2599999999998</v>
      </c>
      <c r="V122" s="79">
        <f t="shared" si="9"/>
        <v>1539.9039531199996</v>
      </c>
      <c r="W122" s="79">
        <f t="shared" si="10"/>
        <v>1.0958142643496576</v>
      </c>
      <c r="X122" s="116">
        <v>2</v>
      </c>
      <c r="Y122" s="116">
        <v>3</v>
      </c>
      <c r="Z122" s="122">
        <v>6.52</v>
      </c>
      <c r="AA122" s="116">
        <v>19</v>
      </c>
      <c r="AB122" s="122">
        <v>6.8</v>
      </c>
      <c r="AC122" s="122">
        <v>7</v>
      </c>
      <c r="AD122" s="10">
        <v>0.44</v>
      </c>
      <c r="AE122" s="79">
        <v>1.05</v>
      </c>
      <c r="AF122" s="85">
        <f t="shared" si="11"/>
        <v>1405.2599999999998</v>
      </c>
      <c r="AG122" s="85">
        <f t="shared" si="12"/>
        <v>1882.1118575999994</v>
      </c>
      <c r="AH122" s="85">
        <f t="shared" si="13"/>
        <v>1.33933354510909</v>
      </c>
      <c r="AI122" s="116">
        <v>2</v>
      </c>
      <c r="AJ122" s="116">
        <v>3</v>
      </c>
      <c r="AK122" s="79">
        <v>6.35</v>
      </c>
      <c r="AL122" s="79">
        <v>24</v>
      </c>
      <c r="AM122" s="122">
        <v>6.8</v>
      </c>
      <c r="AN122" s="122">
        <v>7.2</v>
      </c>
      <c r="AO122" s="79">
        <v>0.22</v>
      </c>
      <c r="AP122" s="127">
        <v>0.49</v>
      </c>
      <c r="AQ122" s="132">
        <f t="shared" si="4"/>
        <v>1863</v>
      </c>
      <c r="AR122" s="134">
        <f t="shared" si="5"/>
        <v>0.54106280193236711</v>
      </c>
      <c r="AS122" s="134">
        <f t="shared" si="6"/>
        <v>0.14224369296833064</v>
      </c>
      <c r="AT122" s="134">
        <f t="shared" si="7"/>
        <v>0.31669350509930222</v>
      </c>
      <c r="AU122" s="43">
        <f>IF(AND(F122&lt;&gt;"",Y122&lt;&gt;""),AA122/(F122/2/Y122),"")</f>
        <v>6.0031595576619273E-2</v>
      </c>
      <c r="AV122" s="43">
        <f>IF(AND(F122&lt;&gt;"",AJ122&lt;&gt;""),AL122/(F122/2/AJ122),"")</f>
        <v>7.582938388625593E-2</v>
      </c>
      <c r="AW122" s="41">
        <f>IF(AND(AP122&lt;&gt;"",1-(AP122/N122)&gt;0),1-(AP122/N122),"")</f>
        <v>0.85106382978723405</v>
      </c>
      <c r="AX122" s="41">
        <f>IF(AND(AE122&lt;&gt;"",1-(AE122/N122)&gt;0),1-(AE122/N122),"")</f>
        <v>0.68085106382978722</v>
      </c>
      <c r="AY122" s="136" t="str">
        <f>IF(P122="","",IF(P122&lt;2.5,"Alc. Bruta &lt; 2,5 mg/L",IF(P122&lt;5,"2,5 ≤ Alc. Bruta &lt; 5,0 mg/L",IF(P122&lt;7.5,"5,0 ≤ Alc. Bruta &lt; 7,5 mg/L",IF(P122&lt;10,"7,5 ≤ Alc. Bruta &lt; 10,0 mg/L",IF(P122&lt;15,"10,0 ≤ Alca. Bruta &lt; 15,0 mg/L","Alc. Bruta &gt; 15 mg/L"))))))</f>
        <v>5,0 ≤ Alc. Bruta &lt; 7,5 mg/L</v>
      </c>
      <c r="AZ122" s="136" t="str">
        <f>IF(O122="","",IF(O122&lt;5,"Cor &lt;5 uC",IF(O122&lt;10,"5 ≤ Cor &lt; 10 uC",IF(O122&lt;15,"10 ≤ Cor &lt;15 uC",IF(O122&lt;30,"15 ≤ Cor &lt; 30 uC",IF(O122&lt;50,"30 ≤ Cor &lt; 50 uC","Cor &gt; 50 uC"))))))</f>
        <v>15 ≤ Cor &lt; 30 uC</v>
      </c>
      <c r="BA122" s="137" t="str">
        <f>IF(N122="","",IF(N122&lt;2.5,"Turbidez &lt; 2,5 uT",IF(N122&lt;5,"2,5 ≤ Turb &lt; 5,0 uT",IF(N122&lt;7.5,"5,0 ≤ Turb &lt; 7,5 uT",IF(N122&lt;10,"7,5 ≤ Turb &lt; 10,0 uT",IF(N122&lt;15,"10,0 ≤ Turb &lt; 15,0 uT","Turb &gt; 15 uT"))))))</f>
        <v>2,5 ≤ Turb &lt; 5,0 uT</v>
      </c>
      <c r="BB122" s="138" t="str">
        <f>IF(AND(C122&gt;D122,D122&gt;E122),"TOR &gt; SM &gt; BNN",IF(AND(C122&gt;E122,E122&gt;D122),"TOR &gt; BNN &gt; SM",IF(AND(D122&gt;C122,C122&gt;E122),"SM &gt; TOR &gt; BNN",IF(AND(D122&gt;E122,E122&gt;C122),"SM &gt; BNN &gt; TOR",IF(AND(C122=D122,D122=E122),"TOR = SM = BNN","Comb. diferentes")))))</f>
        <v>TOR &gt; BNN &gt; SM</v>
      </c>
      <c r="BC122" s="137" t="str">
        <f>IF(OR(AD122="",AP122="-"),"",IF(AD122&lt;=0.25,"Tipo 1 (≤0,25) uT",IF(AD122&lt;=0.5,"Tipo 2 (0,25-0,50) uT",IF(AD122&lt;=0.75,"Tipo 3 (0,50-0,75) uT","Tipo 4 (&gt;0,75) uT"))))</f>
        <v>Tipo 2 (0,25-0,50) uT</v>
      </c>
      <c r="BD122" s="137" t="str">
        <f>IF(OR(AO122="",AY122="-"),"",IF(AO122&lt;=0.25,"Tipo 1 (≤0,25) uT",IF(AO122&lt;=0.5,"Tipo 2 (0,25-0,50) uT",IF(AO122&lt;=0.75,"Tipo 3 (0,50-0,75) uT","Tipo 4 (&gt;0,75) uT"))))</f>
        <v>Tipo 1 (≤0,25) uT</v>
      </c>
      <c r="BE122" s="137" t="str">
        <f>IF(OR(AE122="",AP122="-"),"",IF(AE122&lt;=0.25,"Tipo 1 (≤0,25) uT",IF(AE122&lt;=0.5,"Tipo 2 (0,25-0,50) uT",IF(AE122&lt;=0.75,"Tipo 3 (0,50-0,75) uT","Tipo 4 (&gt;0,75) uT"))))</f>
        <v>Tipo 4 (&gt;0,75) uT</v>
      </c>
      <c r="BF122" s="137" t="str">
        <f>IF(OR(AP122="",AP122="-"),"",IF(AP122&lt;=0.25,"Tipo 1 (≤0,25) uT",IF(AP122&lt;=0.5,"Tipo 2 (0,25-0,50) uT",IF(AP122&lt;=0.75,"Tipo 3 (0,50-0,75) uT","Tipo 4 (&gt;0,75) uT"))))</f>
        <v>Tipo 2 (0,25-0,50) uT</v>
      </c>
      <c r="BG122" s="137" t="str">
        <f>IF(OR(Q122="",Q122="-"),"",IF(Q122&lt;=0.25,"Tipo 1 (≤0,25) uT",IF(Q122&lt;=0.5,"Tipo 2 (0,25-0,50) uT",IF(Q122&lt;=0.75,"Tipo 3 (0,50-0,75) uT","Tipo 4 (&gt;0,75) uT"))))</f>
        <v>Tipo 3 (0,50-0,75) uT</v>
      </c>
    </row>
    <row r="123" spans="1:59" x14ac:dyDescent="0.3">
      <c r="A123" s="26">
        <v>46141</v>
      </c>
      <c r="B123" s="107">
        <v>0.5625</v>
      </c>
      <c r="C123" s="116">
        <v>1251</v>
      </c>
      <c r="D123" s="116">
        <v>376</v>
      </c>
      <c r="E123" s="116">
        <v>540</v>
      </c>
      <c r="F123" s="116">
        <v>2195</v>
      </c>
      <c r="G123" s="10" t="s">
        <v>34</v>
      </c>
      <c r="H123" s="122">
        <v>3.5</v>
      </c>
      <c r="I123" s="116">
        <v>90</v>
      </c>
      <c r="J123" s="116">
        <v>90</v>
      </c>
      <c r="K123" s="116">
        <v>90</v>
      </c>
      <c r="L123" s="122">
        <v>24.5</v>
      </c>
      <c r="M123" s="122">
        <v>6.7</v>
      </c>
      <c r="N123" s="79">
        <v>3.85</v>
      </c>
      <c r="O123" s="116">
        <v>16</v>
      </c>
      <c r="P123" s="122">
        <v>7.3</v>
      </c>
      <c r="Q123" s="79">
        <v>0.38</v>
      </c>
      <c r="R123" s="79">
        <v>22.36</v>
      </c>
      <c r="S123" s="79">
        <v>0.88</v>
      </c>
      <c r="T123" s="79">
        <v>0.7</v>
      </c>
      <c r="U123" s="85">
        <f t="shared" si="8"/>
        <v>1413.03125</v>
      </c>
      <c r="V123" s="79">
        <f t="shared" si="9"/>
        <v>1614.7721200000001</v>
      </c>
      <c r="W123" s="79">
        <f t="shared" si="10"/>
        <v>1.142771697370458</v>
      </c>
      <c r="X123" s="116">
        <v>3</v>
      </c>
      <c r="Y123" s="116">
        <v>4</v>
      </c>
      <c r="Z123" s="122">
        <v>6.5</v>
      </c>
      <c r="AA123" s="116">
        <v>20</v>
      </c>
      <c r="AB123" s="122">
        <v>6.7</v>
      </c>
      <c r="AC123" s="122">
        <v>6.5</v>
      </c>
      <c r="AD123" s="10">
        <v>0.25</v>
      </c>
      <c r="AE123" s="79">
        <v>0.9</v>
      </c>
      <c r="AF123" s="85">
        <f t="shared" si="11"/>
        <v>1413.03125</v>
      </c>
      <c r="AG123" s="85">
        <f t="shared" si="12"/>
        <v>1861.0532095999999</v>
      </c>
      <c r="AH123" s="85">
        <f t="shared" si="13"/>
        <v>1.3170644383130239</v>
      </c>
      <c r="AI123" s="116">
        <v>3</v>
      </c>
      <c r="AJ123" s="116">
        <v>4</v>
      </c>
      <c r="AK123" s="79">
        <v>6.4</v>
      </c>
      <c r="AL123" s="79">
        <v>23.5</v>
      </c>
      <c r="AM123" s="122">
        <v>6.6</v>
      </c>
      <c r="AN123" s="122">
        <v>6.6</v>
      </c>
      <c r="AO123" s="79">
        <v>0.25</v>
      </c>
      <c r="AP123" s="127">
        <v>0.5</v>
      </c>
      <c r="AQ123" s="132">
        <f t="shared" si="4"/>
        <v>2167</v>
      </c>
      <c r="AR123" s="134">
        <f t="shared" si="5"/>
        <v>0.57729580064605446</v>
      </c>
      <c r="AS123" s="134">
        <f t="shared" si="6"/>
        <v>0.17351176742039687</v>
      </c>
      <c r="AT123" s="134">
        <f t="shared" si="7"/>
        <v>0.24919243193354867</v>
      </c>
      <c r="AU123" s="43">
        <f>IF(AND(F123&lt;&gt;"",Y123&lt;&gt;""),AA123/(F123/2/Y123),"")</f>
        <v>7.289293849658314E-2</v>
      </c>
      <c r="AV123" s="43">
        <f>IF(AND(F123&lt;&gt;"",AJ123&lt;&gt;""),AL123/(F123/2/AJ123),"")</f>
        <v>8.5649202733485197E-2</v>
      </c>
      <c r="AW123" s="41">
        <f>IF(AND(AP123&lt;&gt;"",1-(AP123/N123)&gt;0),1-(AP123/N123),"")</f>
        <v>0.87012987012987009</v>
      </c>
      <c r="AX123" s="41">
        <f>IF(AND(AE123&lt;&gt;"",1-(AE123/N123)&gt;0),1-(AE123/N123),"")</f>
        <v>0.76623376623376627</v>
      </c>
      <c r="AY123" s="136" t="str">
        <f>IF(P123="","",IF(P123&lt;2.5,"Alc. Bruta &lt; 2,5 mg/L",IF(P123&lt;5,"2,5 ≤ Alc. Bruta &lt; 5,0 mg/L",IF(P123&lt;7.5,"5,0 ≤ Alc. Bruta &lt; 7,5 mg/L",IF(P123&lt;10,"7,5 ≤ Alc. Bruta &lt; 10,0 mg/L",IF(P123&lt;15,"10,0 ≤ Alca. Bruta &lt; 15,0 mg/L","Alc. Bruta &gt; 15 mg/L"))))))</f>
        <v>5,0 ≤ Alc. Bruta &lt; 7,5 mg/L</v>
      </c>
      <c r="AZ123" s="136" t="str">
        <f>IF(O123="","",IF(O123&lt;5,"Cor &lt;5 uC",IF(O123&lt;10,"5 ≤ Cor &lt; 10 uC",IF(O123&lt;15,"10 ≤ Cor &lt;15 uC",IF(O123&lt;30,"15 ≤ Cor &lt; 30 uC",IF(O123&lt;50,"30 ≤ Cor &lt; 50 uC","Cor &gt; 50 uC"))))))</f>
        <v>15 ≤ Cor &lt; 30 uC</v>
      </c>
      <c r="BA123" s="137" t="str">
        <f>IF(N123="","",IF(N123&lt;2.5,"Turbidez &lt; 2,5 uT",IF(N123&lt;5,"2,5 ≤ Turb &lt; 5,0 uT",IF(N123&lt;7.5,"5,0 ≤ Turb &lt; 7,5 uT",IF(N123&lt;10,"7,5 ≤ Turb &lt; 10,0 uT",IF(N123&lt;15,"10,0 ≤ Turb &lt; 15,0 uT","Turb &gt; 15 uT"))))))</f>
        <v>2,5 ≤ Turb &lt; 5,0 uT</v>
      </c>
      <c r="BB123" s="138" t="str">
        <f>IF(AND(C123&gt;D123,D123&gt;E123),"TOR &gt; SM &gt; BNN",IF(AND(C123&gt;E123,E123&gt;D123),"TOR &gt; BNN &gt; SM",IF(AND(D123&gt;C123,C123&gt;E123),"SM &gt; TOR &gt; BNN",IF(AND(D123&gt;E123,E123&gt;C123),"SM &gt; BNN &gt; TOR",IF(AND(C123=D123,D123=E123),"TOR = SM = BNN","Comb. diferentes")))))</f>
        <v>TOR &gt; BNN &gt; SM</v>
      </c>
      <c r="BC123" s="137" t="str">
        <f>IF(OR(AD123="",AP123="-"),"",IF(AD123&lt;=0.25,"Tipo 1 (≤0,25) uT",IF(AD123&lt;=0.5,"Tipo 2 (0,25-0,50) uT",IF(AD123&lt;=0.75,"Tipo 3 (0,50-0,75) uT","Tipo 4 (&gt;0,75) uT"))))</f>
        <v>Tipo 1 (≤0,25) uT</v>
      </c>
      <c r="BD123" s="137" t="str">
        <f>IF(OR(AO123="",AY123="-"),"",IF(AO123&lt;=0.25,"Tipo 1 (≤0,25) uT",IF(AO123&lt;=0.5,"Tipo 2 (0,25-0,50) uT",IF(AO123&lt;=0.75,"Tipo 3 (0,50-0,75) uT","Tipo 4 (&gt;0,75) uT"))))</f>
        <v>Tipo 1 (≤0,25) uT</v>
      </c>
      <c r="BE123" s="137" t="str">
        <f>IF(OR(AE123="",AP123="-"),"",IF(AE123&lt;=0.25,"Tipo 1 (≤0,25) uT",IF(AE123&lt;=0.5,"Tipo 2 (0,25-0,50) uT",IF(AE123&lt;=0.75,"Tipo 3 (0,50-0,75) uT","Tipo 4 (&gt;0,75) uT"))))</f>
        <v>Tipo 4 (&gt;0,75) uT</v>
      </c>
      <c r="BF123" s="137" t="str">
        <f>IF(OR(AP123="",AP123="-"),"",IF(AP123&lt;=0.25,"Tipo 1 (≤0,25) uT",IF(AP123&lt;=0.5,"Tipo 2 (0,25-0,50) uT",IF(AP123&lt;=0.75,"Tipo 3 (0,50-0,75) uT","Tipo 4 (&gt;0,75) uT"))))</f>
        <v>Tipo 2 (0,25-0,50) uT</v>
      </c>
      <c r="BG123" s="137" t="str">
        <f>IF(OR(Q123="",Q123="-"),"",IF(Q123&lt;=0.25,"Tipo 1 (≤0,25) uT",IF(Q123&lt;=0.5,"Tipo 2 (0,25-0,50) uT",IF(Q123&lt;=0.75,"Tipo 3 (0,50-0,75) uT","Tipo 4 (&gt;0,75) uT"))))</f>
        <v>Tipo 2 (0,25-0,50) uT</v>
      </c>
    </row>
    <row r="124" spans="1:59" x14ac:dyDescent="0.3">
      <c r="A124" s="26">
        <v>46141</v>
      </c>
      <c r="B124" s="107">
        <v>0.64583333333333337</v>
      </c>
      <c r="C124" s="116">
        <v>1264</v>
      </c>
      <c r="D124" s="116">
        <v>423</v>
      </c>
      <c r="E124" s="116">
        <v>540</v>
      </c>
      <c r="F124" s="116">
        <v>2225</v>
      </c>
      <c r="G124" s="10" t="s">
        <v>34</v>
      </c>
      <c r="H124" s="122">
        <v>3.2</v>
      </c>
      <c r="I124" s="116">
        <v>90</v>
      </c>
      <c r="J124" s="116">
        <v>90</v>
      </c>
      <c r="K124" s="116">
        <v>90</v>
      </c>
      <c r="L124" s="122">
        <v>24.5</v>
      </c>
      <c r="M124" s="122">
        <v>6.7</v>
      </c>
      <c r="N124" s="79">
        <v>3.66</v>
      </c>
      <c r="O124" s="116">
        <v>15</v>
      </c>
      <c r="P124" s="122">
        <v>7.2</v>
      </c>
      <c r="Q124" s="79">
        <v>0.28999999999999998</v>
      </c>
      <c r="R124" s="79">
        <v>22.36</v>
      </c>
      <c r="S124" s="79">
        <v>0.88</v>
      </c>
      <c r="T124" s="79">
        <v>0.7</v>
      </c>
      <c r="U124" s="85">
        <f t="shared" si="8"/>
        <v>1354.46875</v>
      </c>
      <c r="V124" s="79">
        <f t="shared" si="9"/>
        <v>1519.3574161999998</v>
      </c>
      <c r="W124" s="79">
        <f t="shared" si="10"/>
        <v>1.1217367814502917</v>
      </c>
      <c r="X124" s="116">
        <v>3</v>
      </c>
      <c r="Y124" s="116">
        <v>4</v>
      </c>
      <c r="Z124" s="122">
        <v>6.45</v>
      </c>
      <c r="AA124" s="116">
        <v>19</v>
      </c>
      <c r="AB124" s="122">
        <v>6.5</v>
      </c>
      <c r="AC124" s="122">
        <v>6.9</v>
      </c>
      <c r="AD124" s="10">
        <v>0.24</v>
      </c>
      <c r="AE124" s="79">
        <v>0.65</v>
      </c>
      <c r="AF124" s="85">
        <f t="shared" si="11"/>
        <v>1354.46875</v>
      </c>
      <c r="AG124" s="85">
        <f t="shared" si="12"/>
        <v>1979.8438399999998</v>
      </c>
      <c r="AH124" s="85">
        <f t="shared" si="13"/>
        <v>1.461712453683409</v>
      </c>
      <c r="AI124" s="116">
        <v>3</v>
      </c>
      <c r="AJ124" s="116">
        <v>4</v>
      </c>
      <c r="AK124" s="79">
        <v>6.4</v>
      </c>
      <c r="AL124" s="79">
        <v>25</v>
      </c>
      <c r="AM124" s="122">
        <v>6.6</v>
      </c>
      <c r="AN124" s="122">
        <v>7.1</v>
      </c>
      <c r="AO124" s="79">
        <v>0.13</v>
      </c>
      <c r="AP124" s="127">
        <v>0.41</v>
      </c>
      <c r="AQ124" s="132">
        <f t="shared" si="4"/>
        <v>2227</v>
      </c>
      <c r="AR124" s="134">
        <f t="shared" si="5"/>
        <v>0.56757970363718002</v>
      </c>
      <c r="AS124" s="134">
        <f t="shared" si="6"/>
        <v>0.18994162550516389</v>
      </c>
      <c r="AT124" s="134">
        <f t="shared" si="7"/>
        <v>0.24247867085765604</v>
      </c>
      <c r="AU124" s="43">
        <f>IF(AND(F124&lt;&gt;"",Y124&lt;&gt;""),AA124/(F124/2/Y124),"")</f>
        <v>6.8314606741573039E-2</v>
      </c>
      <c r="AV124" s="43">
        <f>IF(AND(F124&lt;&gt;"",AJ124&lt;&gt;""),AL124/(F124/2/AJ124),"")</f>
        <v>8.98876404494382E-2</v>
      </c>
      <c r="AW124" s="41">
        <f>IF(AND(AP124&lt;&gt;"",1-(AP124/N124)&gt;0),1-(AP124/N124),"")</f>
        <v>0.88797814207650272</v>
      </c>
      <c r="AX124" s="41">
        <f>IF(AND(AE124&lt;&gt;"",1-(AE124/N124)&gt;0),1-(AE124/N124),"")</f>
        <v>0.82240437158469948</v>
      </c>
      <c r="AY124" s="136" t="str">
        <f>IF(P124="","",IF(P124&lt;2.5,"Alc. Bruta &lt; 2,5 mg/L",IF(P124&lt;5,"2,5 ≤ Alc. Bruta &lt; 5,0 mg/L",IF(P124&lt;7.5,"5,0 ≤ Alc. Bruta &lt; 7,5 mg/L",IF(P124&lt;10,"7,5 ≤ Alc. Bruta &lt; 10,0 mg/L",IF(P124&lt;15,"10,0 ≤ Alca. Bruta &lt; 15,0 mg/L","Alc. Bruta &gt; 15 mg/L"))))))</f>
        <v>5,0 ≤ Alc. Bruta &lt; 7,5 mg/L</v>
      </c>
      <c r="AZ124" s="136" t="str">
        <f>IF(O124="","",IF(O124&lt;5,"Cor &lt;5 uC",IF(O124&lt;10,"5 ≤ Cor &lt; 10 uC",IF(O124&lt;15,"10 ≤ Cor &lt;15 uC",IF(O124&lt;30,"15 ≤ Cor &lt; 30 uC",IF(O124&lt;50,"30 ≤ Cor &lt; 50 uC","Cor &gt; 50 uC"))))))</f>
        <v>15 ≤ Cor &lt; 30 uC</v>
      </c>
      <c r="BA124" s="137" t="str">
        <f>IF(N124="","",IF(N124&lt;2.5,"Turbidez &lt; 2,5 uT",IF(N124&lt;5,"2,5 ≤ Turb &lt; 5,0 uT",IF(N124&lt;7.5,"5,0 ≤ Turb &lt; 7,5 uT",IF(N124&lt;10,"7,5 ≤ Turb &lt; 10,0 uT",IF(N124&lt;15,"10,0 ≤ Turb &lt; 15,0 uT","Turb &gt; 15 uT"))))))</f>
        <v>2,5 ≤ Turb &lt; 5,0 uT</v>
      </c>
      <c r="BB124" s="138" t="str">
        <f>IF(AND(C124&gt;D124,D124&gt;E124),"TOR &gt; SM &gt; BNN",IF(AND(C124&gt;E124,E124&gt;D124),"TOR &gt; BNN &gt; SM",IF(AND(D124&gt;C124,C124&gt;E124),"SM &gt; TOR &gt; BNN",IF(AND(D124&gt;E124,E124&gt;C124),"SM &gt; BNN &gt; TOR",IF(AND(C124=D124,D124=E124),"TOR = SM = BNN","Comb. diferentes")))))</f>
        <v>TOR &gt; BNN &gt; SM</v>
      </c>
      <c r="BC124" s="137" t="str">
        <f>IF(OR(AD124="",AP124="-"),"",IF(AD124&lt;=0.25,"Tipo 1 (≤0,25) uT",IF(AD124&lt;=0.5,"Tipo 2 (0,25-0,50) uT",IF(AD124&lt;=0.75,"Tipo 3 (0,50-0,75) uT","Tipo 4 (&gt;0,75) uT"))))</f>
        <v>Tipo 1 (≤0,25) uT</v>
      </c>
      <c r="BD124" s="137" t="str">
        <f>IF(OR(AO124="",AY124="-"),"",IF(AO124&lt;=0.25,"Tipo 1 (≤0,25) uT",IF(AO124&lt;=0.5,"Tipo 2 (0,25-0,50) uT",IF(AO124&lt;=0.75,"Tipo 3 (0,50-0,75) uT","Tipo 4 (&gt;0,75) uT"))))</f>
        <v>Tipo 1 (≤0,25) uT</v>
      </c>
      <c r="BE124" s="137" t="str">
        <f>IF(OR(AE124="",AP124="-"),"",IF(AE124&lt;=0.25,"Tipo 1 (≤0,25) uT",IF(AE124&lt;=0.5,"Tipo 2 (0,25-0,50) uT",IF(AE124&lt;=0.75,"Tipo 3 (0,50-0,75) uT","Tipo 4 (&gt;0,75) uT"))))</f>
        <v>Tipo 3 (0,50-0,75) uT</v>
      </c>
      <c r="BF124" s="137" t="str">
        <f>IF(OR(AP124="",AP124="-"),"",IF(AP124&lt;=0.25,"Tipo 1 (≤0,25) uT",IF(AP124&lt;=0.5,"Tipo 2 (0,25-0,50) uT",IF(AP124&lt;=0.75,"Tipo 3 (0,50-0,75) uT","Tipo 4 (&gt;0,75) uT"))))</f>
        <v>Tipo 2 (0,25-0,50) uT</v>
      </c>
      <c r="BG124" s="137" t="str">
        <f>IF(OR(Q124="",Q124="-"),"",IF(Q124&lt;=0.25,"Tipo 1 (≤0,25) uT",IF(Q124&lt;=0.5,"Tipo 2 (0,25-0,50) uT",IF(Q124&lt;=0.75,"Tipo 3 (0,50-0,75) uT","Tipo 4 (&gt;0,75) uT"))))</f>
        <v>Tipo 2 (0,25-0,50) uT</v>
      </c>
    </row>
    <row r="125" spans="1:59" x14ac:dyDescent="0.3">
      <c r="A125" s="26">
        <v>46141</v>
      </c>
      <c r="B125" s="107">
        <v>0.72916666666666663</v>
      </c>
      <c r="C125" s="116">
        <v>1280</v>
      </c>
      <c r="D125" s="116">
        <v>330</v>
      </c>
      <c r="E125" s="116">
        <v>480</v>
      </c>
      <c r="F125" s="116">
        <v>2248</v>
      </c>
      <c r="G125" s="10" t="s">
        <v>34</v>
      </c>
      <c r="H125" s="122">
        <v>3.8</v>
      </c>
      <c r="I125" s="116">
        <v>90</v>
      </c>
      <c r="J125" s="116">
        <v>90</v>
      </c>
      <c r="K125" s="116">
        <v>90</v>
      </c>
      <c r="L125" s="122">
        <v>24.8</v>
      </c>
      <c r="M125" s="122">
        <v>6.8</v>
      </c>
      <c r="N125" s="79">
        <v>2.85</v>
      </c>
      <c r="O125" s="116">
        <v>13</v>
      </c>
      <c r="P125" s="122">
        <v>6.3</v>
      </c>
      <c r="Q125" s="79">
        <v>0.98</v>
      </c>
      <c r="R125" s="79">
        <v>22.36</v>
      </c>
      <c r="S125" s="79">
        <v>0.88</v>
      </c>
      <c r="T125" s="79">
        <v>0.7</v>
      </c>
      <c r="U125" s="85">
        <f t="shared" si="8"/>
        <v>1191.44</v>
      </c>
      <c r="V125" s="79">
        <f t="shared" si="9"/>
        <v>1608.5927103999998</v>
      </c>
      <c r="W125" s="79">
        <f t="shared" si="10"/>
        <v>1.350124815685221</v>
      </c>
      <c r="X125" s="116">
        <v>3</v>
      </c>
      <c r="Y125" s="116">
        <v>4</v>
      </c>
      <c r="Z125" s="122">
        <v>6.48</v>
      </c>
      <c r="AA125" s="116">
        <v>20</v>
      </c>
      <c r="AB125" s="122">
        <v>6.7</v>
      </c>
      <c r="AC125" s="122">
        <v>6.2</v>
      </c>
      <c r="AD125" s="10">
        <v>0.94</v>
      </c>
      <c r="AE125" s="79">
        <v>1.79</v>
      </c>
      <c r="AF125" s="85">
        <f t="shared" si="11"/>
        <v>1191.44</v>
      </c>
      <c r="AG125" s="85">
        <f t="shared" si="12"/>
        <v>1937.7265440000001</v>
      </c>
      <c r="AH125" s="85">
        <f t="shared" si="13"/>
        <v>1.6263735849056604</v>
      </c>
      <c r="AI125" s="116">
        <v>3</v>
      </c>
      <c r="AJ125" s="116">
        <v>4</v>
      </c>
      <c r="AK125" s="79">
        <v>6.5</v>
      </c>
      <c r="AL125" s="79">
        <v>24</v>
      </c>
      <c r="AM125" s="122">
        <v>6.7</v>
      </c>
      <c r="AN125" s="122">
        <v>5.8</v>
      </c>
      <c r="AO125" s="79">
        <v>0.51</v>
      </c>
      <c r="AP125" s="127">
        <v>1.07</v>
      </c>
      <c r="AQ125" s="132">
        <f t="shared" si="4"/>
        <v>2090</v>
      </c>
      <c r="AR125" s="134">
        <f t="shared" si="5"/>
        <v>0.61244019138755978</v>
      </c>
      <c r="AS125" s="134">
        <f t="shared" si="6"/>
        <v>0.15789473684210525</v>
      </c>
      <c r="AT125" s="134">
        <f t="shared" si="7"/>
        <v>0.22966507177033493</v>
      </c>
      <c r="AU125" s="43">
        <f>IF(AND(F125&lt;&gt;"",Y125&lt;&gt;""),AA125/(F125/2/Y125),"")</f>
        <v>7.1174377224199295E-2</v>
      </c>
      <c r="AV125" s="43">
        <f>IF(AND(F125&lt;&gt;"",AJ125&lt;&gt;""),AL125/(F125/2/AJ125),"")</f>
        <v>8.5409252669039148E-2</v>
      </c>
      <c r="AW125" s="41">
        <f>IF(AND(AP125&lt;&gt;"",1-(AP125/N125)&gt;0),1-(AP125/N125),"")</f>
        <v>0.62456140350877187</v>
      </c>
      <c r="AX125" s="41">
        <f>IF(AND(AE125&lt;&gt;"",1-(AE125/N125)&gt;0),1-(AE125/N125),"")</f>
        <v>0.37192982456140355</v>
      </c>
      <c r="AY125" s="136" t="str">
        <f>IF(P125="","",IF(P125&lt;2.5,"Alc. Bruta &lt; 2,5 mg/L",IF(P125&lt;5,"2,5 ≤ Alc. Bruta &lt; 5,0 mg/L",IF(P125&lt;7.5,"5,0 ≤ Alc. Bruta &lt; 7,5 mg/L",IF(P125&lt;10,"7,5 ≤ Alc. Bruta &lt; 10,0 mg/L",IF(P125&lt;15,"10,0 ≤ Alca. Bruta &lt; 15,0 mg/L","Alc. Bruta &gt; 15 mg/L"))))))</f>
        <v>5,0 ≤ Alc. Bruta &lt; 7,5 mg/L</v>
      </c>
      <c r="AZ125" s="136" t="str">
        <f>IF(O125="","",IF(O125&lt;5,"Cor &lt;5 uC",IF(O125&lt;10,"5 ≤ Cor &lt; 10 uC",IF(O125&lt;15,"10 ≤ Cor &lt;15 uC",IF(O125&lt;30,"15 ≤ Cor &lt; 30 uC",IF(O125&lt;50,"30 ≤ Cor &lt; 50 uC","Cor &gt; 50 uC"))))))</f>
        <v>10 ≤ Cor &lt;15 uC</v>
      </c>
      <c r="BA125" s="137" t="str">
        <f>IF(N125="","",IF(N125&lt;2.5,"Turbidez &lt; 2,5 uT",IF(N125&lt;5,"2,5 ≤ Turb &lt; 5,0 uT",IF(N125&lt;7.5,"5,0 ≤ Turb &lt; 7,5 uT",IF(N125&lt;10,"7,5 ≤ Turb &lt; 10,0 uT",IF(N125&lt;15,"10,0 ≤ Turb &lt; 15,0 uT","Turb &gt; 15 uT"))))))</f>
        <v>2,5 ≤ Turb &lt; 5,0 uT</v>
      </c>
      <c r="BB125" s="138" t="str">
        <f>IF(AND(C125&gt;D125,D125&gt;E125),"TOR &gt; SM &gt; BNN",IF(AND(C125&gt;E125,E125&gt;D125),"TOR &gt; BNN &gt; SM",IF(AND(D125&gt;C125,C125&gt;E125),"SM &gt; TOR &gt; BNN",IF(AND(D125&gt;E125,E125&gt;C125),"SM &gt; BNN &gt; TOR",IF(AND(C125=D125,D125=E125),"TOR = SM = BNN","Comb. diferentes")))))</f>
        <v>TOR &gt; BNN &gt; SM</v>
      </c>
      <c r="BC125" s="137" t="str">
        <f>IF(OR(AD125="",AP125="-"),"",IF(AD125&lt;=0.25,"Tipo 1 (≤0,25) uT",IF(AD125&lt;=0.5,"Tipo 2 (0,25-0,50) uT",IF(AD125&lt;=0.75,"Tipo 3 (0,50-0,75) uT","Tipo 4 (&gt;0,75) uT"))))</f>
        <v>Tipo 4 (&gt;0,75) uT</v>
      </c>
      <c r="BD125" s="137" t="str">
        <f>IF(OR(AO125="",AY125="-"),"",IF(AO125&lt;=0.25,"Tipo 1 (≤0,25) uT",IF(AO125&lt;=0.5,"Tipo 2 (0,25-0,50) uT",IF(AO125&lt;=0.75,"Tipo 3 (0,50-0,75) uT","Tipo 4 (&gt;0,75) uT"))))</f>
        <v>Tipo 3 (0,50-0,75) uT</v>
      </c>
      <c r="BE125" s="137" t="str">
        <f>IF(OR(AE125="",AP125="-"),"",IF(AE125&lt;=0.25,"Tipo 1 (≤0,25) uT",IF(AE125&lt;=0.5,"Tipo 2 (0,25-0,50) uT",IF(AE125&lt;=0.75,"Tipo 3 (0,50-0,75) uT","Tipo 4 (&gt;0,75) uT"))))</f>
        <v>Tipo 4 (&gt;0,75) uT</v>
      </c>
      <c r="BF125" s="137" t="str">
        <f>IF(OR(AP125="",AP125="-"),"",IF(AP125&lt;=0.25,"Tipo 1 (≤0,25) uT",IF(AP125&lt;=0.5,"Tipo 2 (0,25-0,50) uT",IF(AP125&lt;=0.75,"Tipo 3 (0,50-0,75) uT","Tipo 4 (&gt;0,75) uT"))))</f>
        <v>Tipo 4 (&gt;0,75) uT</v>
      </c>
      <c r="BG125" s="137" t="str">
        <f>IF(OR(Q125="",Q125="-"),"",IF(Q125&lt;=0.25,"Tipo 1 (≤0,25) uT",IF(Q125&lt;=0.5,"Tipo 2 (0,25-0,50) uT",IF(Q125&lt;=0.75,"Tipo 3 (0,50-0,75) uT","Tipo 4 (&gt;0,75) uT"))))</f>
        <v>Tipo 4 (&gt;0,75) uT</v>
      </c>
    </row>
    <row r="126" spans="1:59" x14ac:dyDescent="0.3">
      <c r="A126" s="26">
        <v>46141</v>
      </c>
      <c r="B126" s="107">
        <v>0.8125</v>
      </c>
      <c r="C126" s="116">
        <v>1200</v>
      </c>
      <c r="D126" s="116">
        <v>316</v>
      </c>
      <c r="E126" s="116">
        <v>479</v>
      </c>
      <c r="F126" s="116">
        <v>2195</v>
      </c>
      <c r="G126" s="10" t="s">
        <v>34</v>
      </c>
      <c r="H126" s="122">
        <v>4.5</v>
      </c>
      <c r="I126" s="116">
        <v>90</v>
      </c>
      <c r="J126" s="116">
        <v>90</v>
      </c>
      <c r="K126" s="116">
        <v>90</v>
      </c>
      <c r="L126" s="122">
        <v>23.4</v>
      </c>
      <c r="M126" s="122">
        <v>6.8</v>
      </c>
      <c r="N126" s="79">
        <v>5.04</v>
      </c>
      <c r="O126" s="116">
        <v>22</v>
      </c>
      <c r="P126" s="122">
        <v>7.5</v>
      </c>
      <c r="Q126" s="79">
        <v>0.93</v>
      </c>
      <c r="R126" s="79">
        <v>22.36</v>
      </c>
      <c r="S126" s="79">
        <v>0.88</v>
      </c>
      <c r="T126" s="79">
        <v>0.7</v>
      </c>
      <c r="U126" s="85">
        <f t="shared" si="8"/>
        <v>1821.85</v>
      </c>
      <c r="V126" s="79">
        <f t="shared" si="9"/>
        <v>1692.2665359599998</v>
      </c>
      <c r="W126" s="79">
        <f t="shared" si="10"/>
        <v>0.92887259431896141</v>
      </c>
      <c r="X126" s="116">
        <v>3</v>
      </c>
      <c r="Y126" s="116">
        <v>4</v>
      </c>
      <c r="Z126" s="122">
        <v>6.49</v>
      </c>
      <c r="AA126" s="116">
        <v>21</v>
      </c>
      <c r="AB126" s="122">
        <v>6.8</v>
      </c>
      <c r="AC126" s="122">
        <v>7</v>
      </c>
      <c r="AD126" s="10">
        <v>1.07</v>
      </c>
      <c r="AE126" s="79">
        <v>1.44</v>
      </c>
      <c r="AF126" s="85">
        <f t="shared" si="11"/>
        <v>1821.85</v>
      </c>
      <c r="AG126" s="85">
        <f t="shared" si="12"/>
        <v>1882.8356284399995</v>
      </c>
      <c r="AH126" s="85">
        <f t="shared" si="13"/>
        <v>1.0334745607157558</v>
      </c>
      <c r="AI126" s="116">
        <v>3</v>
      </c>
      <c r="AJ126" s="116">
        <v>4</v>
      </c>
      <c r="AK126" s="79">
        <v>6.46</v>
      </c>
      <c r="AL126" s="79">
        <v>23.5</v>
      </c>
      <c r="AM126" s="122">
        <v>7</v>
      </c>
      <c r="AN126" s="122">
        <v>7.3</v>
      </c>
      <c r="AO126" s="79">
        <v>0.59</v>
      </c>
      <c r="AP126" s="127">
        <v>0.78</v>
      </c>
      <c r="AQ126" s="132">
        <f t="shared" si="4"/>
        <v>1995</v>
      </c>
      <c r="AR126" s="134">
        <f t="shared" si="5"/>
        <v>0.60150375939849621</v>
      </c>
      <c r="AS126" s="134">
        <f t="shared" si="6"/>
        <v>0.15839598997493734</v>
      </c>
      <c r="AT126" s="134">
        <f t="shared" si="7"/>
        <v>0.24010025062656642</v>
      </c>
      <c r="AU126" s="43">
        <f>IF(AND(F126&lt;&gt;"",Y126&lt;&gt;""),AA126/(F126/2/Y126),"")</f>
        <v>7.6537585421412299E-2</v>
      </c>
      <c r="AV126" s="43">
        <f>IF(AND(F126&lt;&gt;"",AJ126&lt;&gt;""),AL126/(F126/2/AJ126),"")</f>
        <v>8.5649202733485197E-2</v>
      </c>
      <c r="AW126" s="41">
        <f>IF(AND(AP126&lt;&gt;"",1-(AP126/N126)&gt;0),1-(AP126/N126),"")</f>
        <v>0.84523809523809523</v>
      </c>
      <c r="AX126" s="41">
        <f>IF(AND(AE126&lt;&gt;"",1-(AE126/N126)&gt;0),1-(AE126/N126),"")</f>
        <v>0.7142857142857143</v>
      </c>
      <c r="AY126" s="136" t="str">
        <f>IF(P126="","",IF(P126&lt;2.5,"Alc. Bruta &lt; 2,5 mg/L",IF(P126&lt;5,"2,5 ≤ Alc. Bruta &lt; 5,0 mg/L",IF(P126&lt;7.5,"5,0 ≤ Alc. Bruta &lt; 7,5 mg/L",IF(P126&lt;10,"7,5 ≤ Alc. Bruta &lt; 10,0 mg/L",IF(P126&lt;15,"10,0 ≤ Alca. Bruta &lt; 15,0 mg/L","Alc. Bruta &gt; 15 mg/L"))))))</f>
        <v>7,5 ≤ Alc. Bruta &lt; 10,0 mg/L</v>
      </c>
      <c r="AZ126" s="136" t="str">
        <f>IF(O126="","",IF(O126&lt;5,"Cor &lt;5 uC",IF(O126&lt;10,"5 ≤ Cor &lt; 10 uC",IF(O126&lt;15,"10 ≤ Cor &lt;15 uC",IF(O126&lt;30,"15 ≤ Cor &lt; 30 uC",IF(O126&lt;50,"30 ≤ Cor &lt; 50 uC","Cor &gt; 50 uC"))))))</f>
        <v>15 ≤ Cor &lt; 30 uC</v>
      </c>
      <c r="BA126" s="137" t="str">
        <f>IF(N126="","",IF(N126&lt;2.5,"Turbidez &lt; 2,5 uT",IF(N126&lt;5,"2,5 ≤ Turb &lt; 5,0 uT",IF(N126&lt;7.5,"5,0 ≤ Turb &lt; 7,5 uT",IF(N126&lt;10,"7,5 ≤ Turb &lt; 10,0 uT",IF(N126&lt;15,"10,0 ≤ Turb &lt; 15,0 uT","Turb &gt; 15 uT"))))))</f>
        <v>5,0 ≤ Turb &lt; 7,5 uT</v>
      </c>
      <c r="BB126" s="138" t="str">
        <f>IF(AND(C126&gt;D126,D126&gt;E126),"TOR &gt; SM &gt; BNN",IF(AND(C126&gt;E126,E126&gt;D126),"TOR &gt; BNN &gt; SM",IF(AND(D126&gt;C126,C126&gt;E126),"SM &gt; TOR &gt; BNN",IF(AND(D126&gt;E126,E126&gt;C126),"SM &gt; BNN &gt; TOR",IF(AND(C126=D126,D126=E126),"TOR = SM = BNN","Comb. diferentes")))))</f>
        <v>TOR &gt; BNN &gt; SM</v>
      </c>
      <c r="BC126" s="137" t="str">
        <f>IF(OR(AD126="",AP126="-"),"",IF(AD126&lt;=0.25,"Tipo 1 (≤0,25) uT",IF(AD126&lt;=0.5,"Tipo 2 (0,25-0,50) uT",IF(AD126&lt;=0.75,"Tipo 3 (0,50-0,75) uT","Tipo 4 (&gt;0,75) uT"))))</f>
        <v>Tipo 4 (&gt;0,75) uT</v>
      </c>
      <c r="BD126" s="137" t="str">
        <f>IF(OR(AO126="",AY126="-"),"",IF(AO126&lt;=0.25,"Tipo 1 (≤0,25) uT",IF(AO126&lt;=0.5,"Tipo 2 (0,25-0,50) uT",IF(AO126&lt;=0.75,"Tipo 3 (0,50-0,75) uT","Tipo 4 (&gt;0,75) uT"))))</f>
        <v>Tipo 3 (0,50-0,75) uT</v>
      </c>
      <c r="BE126" s="137" t="str">
        <f>IF(OR(AE126="",AP126="-"),"",IF(AE126&lt;=0.25,"Tipo 1 (≤0,25) uT",IF(AE126&lt;=0.5,"Tipo 2 (0,25-0,50) uT",IF(AE126&lt;=0.75,"Tipo 3 (0,50-0,75) uT","Tipo 4 (&gt;0,75) uT"))))</f>
        <v>Tipo 4 (&gt;0,75) uT</v>
      </c>
      <c r="BF126" s="137" t="str">
        <f>IF(OR(AP126="",AP126="-"),"",IF(AP126&lt;=0.25,"Tipo 1 (≤0,25) uT",IF(AP126&lt;=0.5,"Tipo 2 (0,25-0,50) uT",IF(AP126&lt;=0.75,"Tipo 3 (0,50-0,75) uT","Tipo 4 (&gt;0,75) uT"))))</f>
        <v>Tipo 4 (&gt;0,75) uT</v>
      </c>
      <c r="BG126" s="137" t="str">
        <f>IF(OR(Q126="",Q126="-"),"",IF(Q126&lt;=0.25,"Tipo 1 (≤0,25) uT",IF(Q126&lt;=0.5,"Tipo 2 (0,25-0,50) uT",IF(Q126&lt;=0.75,"Tipo 3 (0,50-0,75) uT","Tipo 4 (&gt;0,75) uT"))))</f>
        <v>Tipo 4 (&gt;0,75) uT</v>
      </c>
    </row>
    <row r="127" spans="1:59" x14ac:dyDescent="0.3">
      <c r="A127" s="26">
        <v>46141</v>
      </c>
      <c r="B127" s="107">
        <v>0.89583333333333337</v>
      </c>
      <c r="C127" s="116">
        <v>1306</v>
      </c>
      <c r="D127" s="116">
        <v>340</v>
      </c>
      <c r="E127" s="116">
        <v>479</v>
      </c>
      <c r="F127" s="116">
        <v>2185.5</v>
      </c>
      <c r="G127" s="10" t="s">
        <v>34</v>
      </c>
      <c r="H127" s="122">
        <v>4.5</v>
      </c>
      <c r="I127" s="116">
        <v>90</v>
      </c>
      <c r="J127" s="116">
        <v>90</v>
      </c>
      <c r="K127" s="116">
        <v>90</v>
      </c>
      <c r="L127" s="122">
        <v>23.1</v>
      </c>
      <c r="M127" s="122">
        <v>7</v>
      </c>
      <c r="N127" s="79">
        <v>4.8</v>
      </c>
      <c r="O127" s="116">
        <v>13</v>
      </c>
      <c r="P127" s="122">
        <v>6.9</v>
      </c>
      <c r="Q127" s="79">
        <v>1.05</v>
      </c>
      <c r="R127" s="79">
        <v>22.36</v>
      </c>
      <c r="S127" s="79">
        <v>0.88</v>
      </c>
      <c r="T127" s="79">
        <v>0.7</v>
      </c>
      <c r="U127" s="85">
        <f t="shared" si="8"/>
        <v>1748.3999999999999</v>
      </c>
      <c r="V127" s="79">
        <f t="shared" si="9"/>
        <v>1602.4133007999994</v>
      </c>
      <c r="W127" s="79">
        <f t="shared" si="10"/>
        <v>0.91650268862960393</v>
      </c>
      <c r="X127" s="116">
        <v>3</v>
      </c>
      <c r="Y127" s="116">
        <v>4</v>
      </c>
      <c r="Z127" s="122">
        <v>6.46</v>
      </c>
      <c r="AA127" s="116">
        <v>20</v>
      </c>
      <c r="AB127" s="122">
        <v>6.9</v>
      </c>
      <c r="AC127" s="122">
        <v>8.6999999999999993</v>
      </c>
      <c r="AD127" s="10">
        <v>1.0900000000000001</v>
      </c>
      <c r="AE127" s="79">
        <v>1.63</v>
      </c>
      <c r="AF127" s="85">
        <f t="shared" si="11"/>
        <v>1748.3999999999999</v>
      </c>
      <c r="AG127" s="85">
        <f t="shared" si="12"/>
        <v>1941.4341897599998</v>
      </c>
      <c r="AH127" s="85">
        <f t="shared" si="13"/>
        <v>1.1104061940974606</v>
      </c>
      <c r="AI127" s="116">
        <v>3</v>
      </c>
      <c r="AJ127" s="116">
        <v>4</v>
      </c>
      <c r="AK127" s="79">
        <v>6.51</v>
      </c>
      <c r="AL127" s="79">
        <v>24</v>
      </c>
      <c r="AM127" s="122">
        <v>6.8</v>
      </c>
      <c r="AN127" s="122">
        <v>7.8</v>
      </c>
      <c r="AO127" s="79">
        <v>0.55000000000000004</v>
      </c>
      <c r="AP127" s="127">
        <v>0.85</v>
      </c>
      <c r="AQ127" s="132">
        <f t="shared" si="4"/>
        <v>2125</v>
      </c>
      <c r="AR127" s="134">
        <f t="shared" si="5"/>
        <v>0.61458823529411766</v>
      </c>
      <c r="AS127" s="134">
        <f t="shared" si="6"/>
        <v>0.16</v>
      </c>
      <c r="AT127" s="134">
        <f t="shared" si="7"/>
        <v>0.22541176470588234</v>
      </c>
      <c r="AU127" s="43">
        <f>IF(AND(F127&lt;&gt;"",Y127&lt;&gt;""),AA127/(F127/2/Y127),"")</f>
        <v>7.3209791809654548E-2</v>
      </c>
      <c r="AV127" s="43">
        <f>IF(AND(F127&lt;&gt;"",AJ127&lt;&gt;""),AL127/(F127/2/AJ127),"")</f>
        <v>8.7851750171585447E-2</v>
      </c>
      <c r="AW127" s="41">
        <f>IF(AND(AP127&lt;&gt;"",1-(AP127/N127)&gt;0),1-(AP127/N127),"")</f>
        <v>0.82291666666666663</v>
      </c>
      <c r="AX127" s="41">
        <f>IF(AND(AE127&lt;&gt;"",1-(AE127/N127)&gt;0),1-(AE127/N127),"")</f>
        <v>0.66041666666666665</v>
      </c>
      <c r="AY127" s="136" t="str">
        <f>IF(P127="","",IF(P127&lt;2.5,"Alc. Bruta &lt; 2,5 mg/L",IF(P127&lt;5,"2,5 ≤ Alc. Bruta &lt; 5,0 mg/L",IF(P127&lt;7.5,"5,0 ≤ Alc. Bruta &lt; 7,5 mg/L",IF(P127&lt;10,"7,5 ≤ Alc. Bruta &lt; 10,0 mg/L",IF(P127&lt;15,"10,0 ≤ Alca. Bruta &lt; 15,0 mg/L","Alc. Bruta &gt; 15 mg/L"))))))</f>
        <v>5,0 ≤ Alc. Bruta &lt; 7,5 mg/L</v>
      </c>
      <c r="AZ127" s="136" t="str">
        <f>IF(O127="","",IF(O127&lt;5,"Cor &lt;5 uC",IF(O127&lt;10,"5 ≤ Cor &lt; 10 uC",IF(O127&lt;15,"10 ≤ Cor &lt;15 uC",IF(O127&lt;30,"15 ≤ Cor &lt; 30 uC",IF(O127&lt;50,"30 ≤ Cor &lt; 50 uC","Cor &gt; 50 uC"))))))</f>
        <v>10 ≤ Cor &lt;15 uC</v>
      </c>
      <c r="BA127" s="137" t="str">
        <f>IF(N127="","",IF(N127&lt;2.5,"Turbidez &lt; 2,5 uT",IF(N127&lt;5,"2,5 ≤ Turb &lt; 5,0 uT",IF(N127&lt;7.5,"5,0 ≤ Turb &lt; 7,5 uT",IF(N127&lt;10,"7,5 ≤ Turb &lt; 10,0 uT",IF(N127&lt;15,"10,0 ≤ Turb &lt; 15,0 uT","Turb &gt; 15 uT"))))))</f>
        <v>2,5 ≤ Turb &lt; 5,0 uT</v>
      </c>
      <c r="BB127" s="138" t="str">
        <f>IF(AND(C127&gt;D127,D127&gt;E127),"TOR &gt; SM &gt; BNN",IF(AND(C127&gt;E127,E127&gt;D127),"TOR &gt; BNN &gt; SM",IF(AND(D127&gt;C127,C127&gt;E127),"SM &gt; TOR &gt; BNN",IF(AND(D127&gt;E127,E127&gt;C127),"SM &gt; BNN &gt; TOR",IF(AND(C127=D127,D127=E127),"TOR = SM = BNN","Comb. diferentes")))))</f>
        <v>TOR &gt; BNN &gt; SM</v>
      </c>
      <c r="BC127" s="137" t="str">
        <f>IF(OR(AD127="",AP127="-"),"",IF(AD127&lt;=0.25,"Tipo 1 (≤0,25) uT",IF(AD127&lt;=0.5,"Tipo 2 (0,25-0,50) uT",IF(AD127&lt;=0.75,"Tipo 3 (0,50-0,75) uT","Tipo 4 (&gt;0,75) uT"))))</f>
        <v>Tipo 4 (&gt;0,75) uT</v>
      </c>
      <c r="BD127" s="137" t="str">
        <f>IF(OR(AO127="",AY127="-"),"",IF(AO127&lt;=0.25,"Tipo 1 (≤0,25) uT",IF(AO127&lt;=0.5,"Tipo 2 (0,25-0,50) uT",IF(AO127&lt;=0.75,"Tipo 3 (0,50-0,75) uT","Tipo 4 (&gt;0,75) uT"))))</f>
        <v>Tipo 3 (0,50-0,75) uT</v>
      </c>
      <c r="BE127" s="137" t="str">
        <f>IF(OR(AE127="",AP127="-"),"",IF(AE127&lt;=0.25,"Tipo 1 (≤0,25) uT",IF(AE127&lt;=0.5,"Tipo 2 (0,25-0,50) uT",IF(AE127&lt;=0.75,"Tipo 3 (0,50-0,75) uT","Tipo 4 (&gt;0,75) uT"))))</f>
        <v>Tipo 4 (&gt;0,75) uT</v>
      </c>
      <c r="BF127" s="137" t="str">
        <f>IF(OR(AP127="",AP127="-"),"",IF(AP127&lt;=0.25,"Tipo 1 (≤0,25) uT",IF(AP127&lt;=0.5,"Tipo 2 (0,25-0,50) uT",IF(AP127&lt;=0.75,"Tipo 3 (0,50-0,75) uT","Tipo 4 (&gt;0,75) uT"))))</f>
        <v>Tipo 4 (&gt;0,75) uT</v>
      </c>
      <c r="BG127" s="137" t="str">
        <f>IF(OR(Q127="",Q127="-"),"",IF(Q127&lt;=0.25,"Tipo 1 (≤0,25) uT",IF(Q127&lt;=0.5,"Tipo 2 (0,25-0,50) uT",IF(Q127&lt;=0.75,"Tipo 3 (0,50-0,75) uT","Tipo 4 (&gt;0,75) uT"))))</f>
        <v>Tipo 4 (&gt;0,75) uT</v>
      </c>
    </row>
    <row r="128" spans="1:59" x14ac:dyDescent="0.3">
      <c r="A128" s="26">
        <v>46141</v>
      </c>
      <c r="B128" s="107">
        <v>0.97916666666666663</v>
      </c>
      <c r="C128" s="116">
        <v>1215</v>
      </c>
      <c r="D128" s="116">
        <v>325</v>
      </c>
      <c r="E128" s="116">
        <v>478</v>
      </c>
      <c r="F128" s="116">
        <v>2292</v>
      </c>
      <c r="G128" s="10" t="s">
        <v>34</v>
      </c>
      <c r="H128" s="122">
        <v>5</v>
      </c>
      <c r="I128" s="116">
        <v>90</v>
      </c>
      <c r="J128" s="116">
        <v>90</v>
      </c>
      <c r="K128" s="116">
        <v>90</v>
      </c>
      <c r="L128" s="122">
        <v>23.4</v>
      </c>
      <c r="M128" s="122">
        <v>6.9</v>
      </c>
      <c r="N128" s="79">
        <v>2.79</v>
      </c>
      <c r="O128" s="116">
        <v>26</v>
      </c>
      <c r="P128" s="122">
        <v>6.8</v>
      </c>
      <c r="Q128" s="79">
        <v>0.43</v>
      </c>
      <c r="R128" s="79">
        <v>22.36</v>
      </c>
      <c r="S128" s="79">
        <v>0.88</v>
      </c>
      <c r="T128" s="79">
        <v>0.7</v>
      </c>
      <c r="U128" s="85">
        <f t="shared" si="8"/>
        <v>1300.71</v>
      </c>
      <c r="V128" s="79">
        <f t="shared" si="9"/>
        <v>1534.0335140000002</v>
      </c>
      <c r="W128" s="79">
        <f t="shared" si="10"/>
        <v>1.1793816561723982</v>
      </c>
      <c r="X128" s="116">
        <v>3</v>
      </c>
      <c r="Y128" s="116">
        <v>4</v>
      </c>
      <c r="Z128" s="122">
        <v>6.5</v>
      </c>
      <c r="AA128" s="116">
        <v>19</v>
      </c>
      <c r="AB128" s="122">
        <v>6.8</v>
      </c>
      <c r="AC128" s="122">
        <v>6.5</v>
      </c>
      <c r="AD128" s="10">
        <v>0.59</v>
      </c>
      <c r="AE128" s="79">
        <v>0.84</v>
      </c>
      <c r="AF128" s="85">
        <f t="shared" si="11"/>
        <v>1300.71</v>
      </c>
      <c r="AG128" s="85">
        <f t="shared" si="12"/>
        <v>1807.2436907199999</v>
      </c>
      <c r="AH128" s="85">
        <f t="shared" si="13"/>
        <v>1.3894286126192616</v>
      </c>
      <c r="AI128" s="116">
        <v>3</v>
      </c>
      <c r="AJ128" s="116">
        <v>4</v>
      </c>
      <c r="AK128" s="79">
        <v>6.36</v>
      </c>
      <c r="AL128" s="79">
        <v>23</v>
      </c>
      <c r="AM128" s="122">
        <v>6.8</v>
      </c>
      <c r="AN128" s="122">
        <v>6.7</v>
      </c>
      <c r="AO128" s="79">
        <v>0.23</v>
      </c>
      <c r="AP128" s="127">
        <v>0.44</v>
      </c>
      <c r="AQ128" s="132">
        <f t="shared" si="4"/>
        <v>2018</v>
      </c>
      <c r="AR128" s="134">
        <f t="shared" si="5"/>
        <v>0.60208126858275524</v>
      </c>
      <c r="AS128" s="134">
        <f t="shared" si="6"/>
        <v>0.16105054509415262</v>
      </c>
      <c r="AT128" s="134">
        <f t="shared" si="7"/>
        <v>0.23686818632309217</v>
      </c>
      <c r="AU128" s="43">
        <f>IF(AND(F128&lt;&gt;"",Y128&lt;&gt;""),AA128/(F128/2/Y128),"")</f>
        <v>6.6317626527050616E-2</v>
      </c>
      <c r="AV128" s="43">
        <f>IF(AND(F128&lt;&gt;"",AJ128&lt;&gt;""),AL128/(F128/2/AJ128),"")</f>
        <v>8.0279232111692841E-2</v>
      </c>
      <c r="AW128" s="41">
        <f>IF(AND(AP128&lt;&gt;"",1-(AP128/N128)&gt;0),1-(AP128/N128),"")</f>
        <v>0.84229390681003591</v>
      </c>
      <c r="AX128" s="41">
        <f>IF(AND(AE128&lt;&gt;"",1-(AE128/N128)&gt;0),1-(AE128/N128),"")</f>
        <v>0.69892473118279574</v>
      </c>
      <c r="AY128" s="136" t="str">
        <f>IF(P128="","",IF(P128&lt;2.5,"Alc. Bruta &lt; 2,5 mg/L",IF(P128&lt;5,"2,5 ≤ Alc. Bruta &lt; 5,0 mg/L",IF(P128&lt;7.5,"5,0 ≤ Alc. Bruta &lt; 7,5 mg/L",IF(P128&lt;10,"7,5 ≤ Alc. Bruta &lt; 10,0 mg/L",IF(P128&lt;15,"10,0 ≤ Alca. Bruta &lt; 15,0 mg/L","Alc. Bruta &gt; 15 mg/L"))))))</f>
        <v>5,0 ≤ Alc. Bruta &lt; 7,5 mg/L</v>
      </c>
      <c r="AZ128" s="136" t="str">
        <f>IF(O128="","",IF(O128&lt;5,"Cor &lt;5 uC",IF(O128&lt;10,"5 ≤ Cor &lt; 10 uC",IF(O128&lt;15,"10 ≤ Cor &lt;15 uC",IF(O128&lt;30,"15 ≤ Cor &lt; 30 uC",IF(O128&lt;50,"30 ≤ Cor &lt; 50 uC","Cor &gt; 50 uC"))))))</f>
        <v>15 ≤ Cor &lt; 30 uC</v>
      </c>
      <c r="BA128" s="137" t="str">
        <f>IF(N128="","",IF(N128&lt;2.5,"Turbidez &lt; 2,5 uT",IF(N128&lt;5,"2,5 ≤ Turb &lt; 5,0 uT",IF(N128&lt;7.5,"5,0 ≤ Turb &lt; 7,5 uT",IF(N128&lt;10,"7,5 ≤ Turb &lt; 10,0 uT",IF(N128&lt;15,"10,0 ≤ Turb &lt; 15,0 uT","Turb &gt; 15 uT"))))))</f>
        <v>2,5 ≤ Turb &lt; 5,0 uT</v>
      </c>
      <c r="BB128" s="138" t="str">
        <f>IF(AND(C128&gt;D128,D128&gt;E128),"TOR &gt; SM &gt; BNN",IF(AND(C128&gt;E128,E128&gt;D128),"TOR &gt; BNN &gt; SM",IF(AND(D128&gt;C128,C128&gt;E128),"SM &gt; TOR &gt; BNN",IF(AND(D128&gt;E128,E128&gt;C128),"SM &gt; BNN &gt; TOR",IF(AND(C128=D128,D128=E128),"TOR = SM = BNN","Comb. diferentes")))))</f>
        <v>TOR &gt; BNN &gt; SM</v>
      </c>
      <c r="BC128" s="137" t="str">
        <f>IF(OR(AD128="",AP128="-"),"",IF(AD128&lt;=0.25,"Tipo 1 (≤0,25) uT",IF(AD128&lt;=0.5,"Tipo 2 (0,25-0,50) uT",IF(AD128&lt;=0.75,"Tipo 3 (0,50-0,75) uT","Tipo 4 (&gt;0,75) uT"))))</f>
        <v>Tipo 3 (0,50-0,75) uT</v>
      </c>
      <c r="BD128" s="137" t="str">
        <f>IF(OR(AO128="",AY128="-"),"",IF(AO128&lt;=0.25,"Tipo 1 (≤0,25) uT",IF(AO128&lt;=0.5,"Tipo 2 (0,25-0,50) uT",IF(AO128&lt;=0.75,"Tipo 3 (0,50-0,75) uT","Tipo 4 (&gt;0,75) uT"))))</f>
        <v>Tipo 1 (≤0,25) uT</v>
      </c>
      <c r="BE128" s="137" t="str">
        <f>IF(OR(AE128="",AP128="-"),"",IF(AE128&lt;=0.25,"Tipo 1 (≤0,25) uT",IF(AE128&lt;=0.5,"Tipo 2 (0,25-0,50) uT",IF(AE128&lt;=0.75,"Tipo 3 (0,50-0,75) uT","Tipo 4 (&gt;0,75) uT"))))</f>
        <v>Tipo 4 (&gt;0,75) uT</v>
      </c>
      <c r="BF128" s="137" t="str">
        <f>IF(OR(AP128="",AP128="-"),"",IF(AP128&lt;=0.25,"Tipo 1 (≤0,25) uT",IF(AP128&lt;=0.5,"Tipo 2 (0,25-0,50) uT",IF(AP128&lt;=0.75,"Tipo 3 (0,50-0,75) uT","Tipo 4 (&gt;0,75) uT"))))</f>
        <v>Tipo 2 (0,25-0,50) uT</v>
      </c>
      <c r="BG128" s="137" t="str">
        <f>IF(OR(Q128="",Q128="-"),"",IF(Q128&lt;=0.25,"Tipo 1 (≤0,25) uT",IF(Q128&lt;=0.5,"Tipo 2 (0,25-0,50) uT",IF(Q128&lt;=0.75,"Tipo 3 (0,50-0,75) uT","Tipo 4 (&gt;0,75) uT"))))</f>
        <v>Tipo 2 (0,25-0,50) uT</v>
      </c>
    </row>
    <row r="129" spans="1:59" x14ac:dyDescent="0.3">
      <c r="A129" s="26">
        <v>46142</v>
      </c>
      <c r="B129" s="107">
        <v>6.25E-2</v>
      </c>
      <c r="C129" s="116">
        <v>1251</v>
      </c>
      <c r="D129" s="116">
        <v>371</v>
      </c>
      <c r="E129" s="116">
        <v>480</v>
      </c>
      <c r="F129" s="116">
        <v>2281</v>
      </c>
      <c r="G129" s="10" t="s">
        <v>34</v>
      </c>
      <c r="H129" s="122">
        <v>4.8</v>
      </c>
      <c r="I129" s="116">
        <v>90</v>
      </c>
      <c r="J129" s="116">
        <v>90</v>
      </c>
      <c r="K129" s="116">
        <v>90</v>
      </c>
      <c r="L129" s="122">
        <v>23.4</v>
      </c>
      <c r="M129" s="122">
        <v>6.9</v>
      </c>
      <c r="N129" s="79">
        <v>2.7</v>
      </c>
      <c r="O129" s="116">
        <v>12</v>
      </c>
      <c r="P129" s="122">
        <v>6.8</v>
      </c>
      <c r="Q129" s="79">
        <v>0.44</v>
      </c>
      <c r="R129" s="79">
        <v>22.36</v>
      </c>
      <c r="S129" s="79">
        <v>0.88</v>
      </c>
      <c r="T129" s="79">
        <v>0.7</v>
      </c>
      <c r="U129" s="85">
        <f t="shared" si="8"/>
        <v>1251.6987500000002</v>
      </c>
      <c r="V129" s="79">
        <f t="shared" si="9"/>
        <v>1531.0982944399998</v>
      </c>
      <c r="W129" s="79">
        <f t="shared" si="10"/>
        <v>1.2232162846211994</v>
      </c>
      <c r="X129" s="116">
        <v>3</v>
      </c>
      <c r="Y129" s="116">
        <v>4</v>
      </c>
      <c r="Z129" s="122">
        <v>6.49</v>
      </c>
      <c r="AA129" s="116">
        <v>19</v>
      </c>
      <c r="AB129" s="122">
        <v>6.8</v>
      </c>
      <c r="AC129" s="122">
        <v>6.6</v>
      </c>
      <c r="AD129" s="10">
        <v>0.44</v>
      </c>
      <c r="AE129" s="79">
        <v>0.76</v>
      </c>
      <c r="AF129" s="85">
        <f t="shared" si="11"/>
        <v>1251.6987500000002</v>
      </c>
      <c r="AG129" s="85">
        <f t="shared" si="12"/>
        <v>1814.3500117599995</v>
      </c>
      <c r="AH129" s="85">
        <f t="shared" si="13"/>
        <v>1.4495101251479232</v>
      </c>
      <c r="AI129" s="116">
        <v>3</v>
      </c>
      <c r="AJ129" s="116">
        <v>4</v>
      </c>
      <c r="AK129" s="79">
        <v>6.38</v>
      </c>
      <c r="AL129" s="79">
        <v>23</v>
      </c>
      <c r="AM129" s="122">
        <v>6.8</v>
      </c>
      <c r="AN129" s="122">
        <v>6.9</v>
      </c>
      <c r="AO129" s="79">
        <v>0.35</v>
      </c>
      <c r="AP129" s="127">
        <v>0.37</v>
      </c>
      <c r="AQ129" s="132">
        <f t="shared" si="4"/>
        <v>2102</v>
      </c>
      <c r="AR129" s="134">
        <f t="shared" si="5"/>
        <v>0.59514747859181727</v>
      </c>
      <c r="AS129" s="134">
        <f t="shared" si="6"/>
        <v>0.17649857278782113</v>
      </c>
      <c r="AT129" s="134">
        <f t="shared" si="7"/>
        <v>0.22835394862036157</v>
      </c>
      <c r="AU129" s="43">
        <f>IF(AND(F129&lt;&gt;"",Y129&lt;&gt;""),AA129/(F129/2/Y129),"")</f>
        <v>6.6637439719421307E-2</v>
      </c>
      <c r="AV129" s="43">
        <f>IF(AND(F129&lt;&gt;"",AJ129&lt;&gt;""),AL129/(F129/2/AJ129),"")</f>
        <v>8.0666374397194207E-2</v>
      </c>
      <c r="AW129" s="41">
        <f>IF(AND(AP129&lt;&gt;"",1-(AP129/N129)&gt;0),1-(AP129/N129),"")</f>
        <v>0.86296296296296293</v>
      </c>
      <c r="AX129" s="41">
        <f>IF(AND(AE129&lt;&gt;"",1-(AE129/N129)&gt;0),1-(AE129/N129),"")</f>
        <v>0.71851851851851856</v>
      </c>
      <c r="AY129" s="136" t="str">
        <f>IF(P129="","",IF(P129&lt;2.5,"Alc. Bruta &lt; 2,5 mg/L",IF(P129&lt;5,"2,5 ≤ Alc. Bruta &lt; 5,0 mg/L",IF(P129&lt;7.5,"5,0 ≤ Alc. Bruta &lt; 7,5 mg/L",IF(P129&lt;10,"7,5 ≤ Alc. Bruta &lt; 10,0 mg/L",IF(P129&lt;15,"10,0 ≤ Alca. Bruta &lt; 15,0 mg/L","Alc. Bruta &gt; 15 mg/L"))))))</f>
        <v>5,0 ≤ Alc. Bruta &lt; 7,5 mg/L</v>
      </c>
      <c r="AZ129" s="136" t="str">
        <f>IF(O129="","",IF(O129&lt;5,"Cor &lt;5 uC",IF(O129&lt;10,"5 ≤ Cor &lt; 10 uC",IF(O129&lt;15,"10 ≤ Cor &lt;15 uC",IF(O129&lt;30,"15 ≤ Cor &lt; 30 uC",IF(O129&lt;50,"30 ≤ Cor &lt; 50 uC","Cor &gt; 50 uC"))))))</f>
        <v>10 ≤ Cor &lt;15 uC</v>
      </c>
      <c r="BA129" s="137" t="str">
        <f>IF(N129="","",IF(N129&lt;2.5,"Turbidez &lt; 2,5 uT",IF(N129&lt;5,"2,5 ≤ Turb &lt; 5,0 uT",IF(N129&lt;7.5,"5,0 ≤ Turb &lt; 7,5 uT",IF(N129&lt;10,"7,5 ≤ Turb &lt; 10,0 uT",IF(N129&lt;15,"10,0 ≤ Turb &lt; 15,0 uT","Turb &gt; 15 uT"))))))</f>
        <v>2,5 ≤ Turb &lt; 5,0 uT</v>
      </c>
      <c r="BB129" s="138" t="str">
        <f>IF(AND(C129&gt;D129,D129&gt;E129),"TOR &gt; SM &gt; BNN",IF(AND(C129&gt;E129,E129&gt;D129),"TOR &gt; BNN &gt; SM",IF(AND(D129&gt;C129,C129&gt;E129),"SM &gt; TOR &gt; BNN",IF(AND(D129&gt;E129,E129&gt;C129),"SM &gt; BNN &gt; TOR",IF(AND(C129=D129,D129=E129),"TOR = SM = BNN","Comb. diferentes")))))</f>
        <v>TOR &gt; BNN &gt; SM</v>
      </c>
      <c r="BC129" s="137" t="str">
        <f>IF(OR(AD129="",AP129="-"),"",IF(AD129&lt;=0.25,"Tipo 1 (≤0,25) uT",IF(AD129&lt;=0.5,"Tipo 2 (0,25-0,50) uT",IF(AD129&lt;=0.75,"Tipo 3 (0,50-0,75) uT","Tipo 4 (&gt;0,75) uT"))))</f>
        <v>Tipo 2 (0,25-0,50) uT</v>
      </c>
      <c r="BD129" s="137" t="str">
        <f>IF(OR(AO129="",AY129="-"),"",IF(AO129&lt;=0.25,"Tipo 1 (≤0,25) uT",IF(AO129&lt;=0.5,"Tipo 2 (0,25-0,50) uT",IF(AO129&lt;=0.75,"Tipo 3 (0,50-0,75) uT","Tipo 4 (&gt;0,75) uT"))))</f>
        <v>Tipo 2 (0,25-0,50) uT</v>
      </c>
      <c r="BE129" s="137" t="str">
        <f>IF(OR(AE129="",AP129="-"),"",IF(AE129&lt;=0.25,"Tipo 1 (≤0,25) uT",IF(AE129&lt;=0.5,"Tipo 2 (0,25-0,50) uT",IF(AE129&lt;=0.75,"Tipo 3 (0,50-0,75) uT","Tipo 4 (&gt;0,75) uT"))))</f>
        <v>Tipo 4 (&gt;0,75) uT</v>
      </c>
      <c r="BF129" s="137" t="str">
        <f>IF(OR(AP129="",AP129="-"),"",IF(AP129&lt;=0.25,"Tipo 1 (≤0,25) uT",IF(AP129&lt;=0.5,"Tipo 2 (0,25-0,50) uT",IF(AP129&lt;=0.75,"Tipo 3 (0,50-0,75) uT","Tipo 4 (&gt;0,75) uT"))))</f>
        <v>Tipo 2 (0,25-0,50) uT</v>
      </c>
      <c r="BG129" s="137" t="str">
        <f>IF(OR(Q129="",Q129="-"),"",IF(Q129&lt;=0.25,"Tipo 1 (≤0,25) uT",IF(Q129&lt;=0.5,"Tipo 2 (0,25-0,50) uT",IF(Q129&lt;=0.75,"Tipo 3 (0,50-0,75) uT","Tipo 4 (&gt;0,75) uT"))))</f>
        <v>Tipo 2 (0,25-0,50) uT</v>
      </c>
    </row>
    <row r="130" spans="1:59" x14ac:dyDescent="0.3">
      <c r="A130" s="26">
        <v>46142</v>
      </c>
      <c r="B130" s="107">
        <v>0.14583333333333334</v>
      </c>
      <c r="C130" s="116">
        <v>1244</v>
      </c>
      <c r="D130" s="116">
        <v>422</v>
      </c>
      <c r="E130" s="116">
        <v>399</v>
      </c>
      <c r="F130" s="116">
        <v>2228</v>
      </c>
      <c r="G130" s="10" t="s">
        <v>34</v>
      </c>
      <c r="H130" s="122">
        <v>4.5999999999999996</v>
      </c>
      <c r="I130" s="116">
        <v>90</v>
      </c>
      <c r="J130" s="116">
        <v>90</v>
      </c>
      <c r="K130" s="116">
        <v>90</v>
      </c>
      <c r="L130" s="122">
        <v>23.1</v>
      </c>
      <c r="M130" s="122">
        <v>6.9</v>
      </c>
      <c r="N130" s="79">
        <v>2.69</v>
      </c>
      <c r="O130" s="116">
        <v>20</v>
      </c>
      <c r="P130" s="122">
        <v>8.1999999999999993</v>
      </c>
      <c r="Q130" s="79">
        <v>0.51</v>
      </c>
      <c r="R130" s="79">
        <v>22.36</v>
      </c>
      <c r="S130" s="79">
        <v>0.88</v>
      </c>
      <c r="T130" s="79">
        <v>0.7</v>
      </c>
      <c r="U130" s="85">
        <f t="shared" si="8"/>
        <v>1203.1200000000001</v>
      </c>
      <c r="V130" s="79">
        <f t="shared" si="9"/>
        <v>1614.7721200000001</v>
      </c>
      <c r="W130" s="79">
        <f t="shared" si="10"/>
        <v>1.3421538333665801</v>
      </c>
      <c r="X130" s="116">
        <v>3</v>
      </c>
      <c r="Y130" s="116">
        <v>4</v>
      </c>
      <c r="Z130" s="122">
        <v>6.5</v>
      </c>
      <c r="AA130" s="116">
        <v>20</v>
      </c>
      <c r="AB130" s="122">
        <v>6.8</v>
      </c>
      <c r="AC130" s="122">
        <v>8.1999999999999993</v>
      </c>
      <c r="AD130" s="10">
        <v>0.71</v>
      </c>
      <c r="AE130" s="79">
        <v>0.9</v>
      </c>
      <c r="AF130" s="85">
        <f t="shared" si="11"/>
        <v>1203.1200000000001</v>
      </c>
      <c r="AG130" s="85">
        <f t="shared" si="12"/>
        <v>1828.5626538399999</v>
      </c>
      <c r="AH130" s="85">
        <f t="shared" si="13"/>
        <v>1.5198505999734022</v>
      </c>
      <c r="AI130" s="116">
        <v>3</v>
      </c>
      <c r="AJ130" s="116">
        <v>4</v>
      </c>
      <c r="AK130" s="79">
        <v>6.42</v>
      </c>
      <c r="AL130" s="79">
        <v>23</v>
      </c>
      <c r="AM130" s="122">
        <v>6.9</v>
      </c>
      <c r="AN130" s="122">
        <v>7.4</v>
      </c>
      <c r="AO130" s="79">
        <v>0.57999999999999996</v>
      </c>
      <c r="AP130" s="127">
        <v>0.55000000000000004</v>
      </c>
      <c r="AQ130" s="132">
        <f t="shared" ref="AQ130:AQ193" si="14">SUM(C130:E130)</f>
        <v>2065</v>
      </c>
      <c r="AR130" s="134">
        <f t="shared" ref="AR130:AR193" si="15">C130/AQ130</f>
        <v>0.60242130750605327</v>
      </c>
      <c r="AS130" s="134">
        <f t="shared" ref="AS130:AS193" si="16">D130/AQ130</f>
        <v>0.20435835351089587</v>
      </c>
      <c r="AT130" s="134">
        <f t="shared" ref="AT130:AT193" si="17">E130/AQ130</f>
        <v>0.19322033898305085</v>
      </c>
      <c r="AU130" s="43">
        <f>IF(AND(F130&lt;&gt;"",Y130&lt;&gt;""),AA130/(F130/2/Y130),"")</f>
        <v>7.1813285457809697E-2</v>
      </c>
      <c r="AV130" s="43">
        <f>IF(AND(F130&lt;&gt;"",AJ130&lt;&gt;""),AL130/(F130/2/AJ130),"")</f>
        <v>8.2585278276481155E-2</v>
      </c>
      <c r="AW130" s="41">
        <f>IF(AND(AP130&lt;&gt;"",1-(AP130/N130)&gt;0),1-(AP130/N130),"")</f>
        <v>0.79553903345724908</v>
      </c>
      <c r="AX130" s="41">
        <f>IF(AND(AE130&lt;&gt;"",1-(AE130/N130)&gt;0),1-(AE130/N130),"")</f>
        <v>0.66542750929368033</v>
      </c>
      <c r="AY130" s="136" t="str">
        <f>IF(P130="","",IF(P130&lt;2.5,"Alc. Bruta &lt; 2,5 mg/L",IF(P130&lt;5,"2,5 ≤ Alc. Bruta &lt; 5,0 mg/L",IF(P130&lt;7.5,"5,0 ≤ Alc. Bruta &lt; 7,5 mg/L",IF(P130&lt;10,"7,5 ≤ Alc. Bruta &lt; 10,0 mg/L",IF(P130&lt;15,"10,0 ≤ Alca. Bruta &lt; 15,0 mg/L","Alc. Bruta &gt; 15 mg/L"))))))</f>
        <v>7,5 ≤ Alc. Bruta &lt; 10,0 mg/L</v>
      </c>
      <c r="AZ130" s="136" t="str">
        <f>IF(O130="","",IF(O130&lt;5,"Cor &lt;5 uC",IF(O130&lt;10,"5 ≤ Cor &lt; 10 uC",IF(O130&lt;15,"10 ≤ Cor &lt;15 uC",IF(O130&lt;30,"15 ≤ Cor &lt; 30 uC",IF(O130&lt;50,"30 ≤ Cor &lt; 50 uC","Cor &gt; 50 uC"))))))</f>
        <v>15 ≤ Cor &lt; 30 uC</v>
      </c>
      <c r="BA130" s="137" t="str">
        <f>IF(N130="","",IF(N130&lt;2.5,"Turbidez &lt; 2,5 uT",IF(N130&lt;5,"2,5 ≤ Turb &lt; 5,0 uT",IF(N130&lt;7.5,"5,0 ≤ Turb &lt; 7,5 uT",IF(N130&lt;10,"7,5 ≤ Turb &lt; 10,0 uT",IF(N130&lt;15,"10,0 ≤ Turb &lt; 15,0 uT","Turb &gt; 15 uT"))))))</f>
        <v>2,5 ≤ Turb &lt; 5,0 uT</v>
      </c>
      <c r="BB130" s="138" t="str">
        <f>IF(AND(C130&gt;D130,D130&gt;E130),"TOR &gt; SM &gt; BNN",IF(AND(C130&gt;E130,E130&gt;D130),"TOR &gt; BNN &gt; SM",IF(AND(D130&gt;C130,C130&gt;E130),"SM &gt; TOR &gt; BNN",IF(AND(D130&gt;E130,E130&gt;C130),"SM &gt; BNN &gt; TOR",IF(AND(C130=D130,D130=E130),"TOR = SM = BNN","Comb. diferentes")))))</f>
        <v>TOR &gt; SM &gt; BNN</v>
      </c>
      <c r="BC130" s="137" t="str">
        <f>IF(OR(AD130="",AP130="-"),"",IF(AD130&lt;=0.25,"Tipo 1 (≤0,25) uT",IF(AD130&lt;=0.5,"Tipo 2 (0,25-0,50) uT",IF(AD130&lt;=0.75,"Tipo 3 (0,50-0,75) uT","Tipo 4 (&gt;0,75) uT"))))</f>
        <v>Tipo 3 (0,50-0,75) uT</v>
      </c>
      <c r="BD130" s="137" t="str">
        <f>IF(OR(AO130="",AY130="-"),"",IF(AO130&lt;=0.25,"Tipo 1 (≤0,25) uT",IF(AO130&lt;=0.5,"Tipo 2 (0,25-0,50) uT",IF(AO130&lt;=0.75,"Tipo 3 (0,50-0,75) uT","Tipo 4 (&gt;0,75) uT"))))</f>
        <v>Tipo 3 (0,50-0,75) uT</v>
      </c>
      <c r="BE130" s="137" t="str">
        <f>IF(OR(AE130="",AP130="-"),"",IF(AE130&lt;=0.25,"Tipo 1 (≤0,25) uT",IF(AE130&lt;=0.5,"Tipo 2 (0,25-0,50) uT",IF(AE130&lt;=0.75,"Tipo 3 (0,50-0,75) uT","Tipo 4 (&gt;0,75) uT"))))</f>
        <v>Tipo 4 (&gt;0,75) uT</v>
      </c>
      <c r="BF130" s="137" t="str">
        <f>IF(OR(AP130="",AP130="-"),"",IF(AP130&lt;=0.25,"Tipo 1 (≤0,25) uT",IF(AP130&lt;=0.5,"Tipo 2 (0,25-0,50) uT",IF(AP130&lt;=0.75,"Tipo 3 (0,50-0,75) uT","Tipo 4 (&gt;0,75) uT"))))</f>
        <v>Tipo 3 (0,50-0,75) uT</v>
      </c>
      <c r="BG130" s="137" t="str">
        <f>IF(OR(Q130="",Q130="-"),"",IF(Q130&lt;=0.25,"Tipo 1 (≤0,25) uT",IF(Q130&lt;=0.5,"Tipo 2 (0,25-0,50) uT",IF(Q130&lt;=0.75,"Tipo 3 (0,50-0,75) uT","Tipo 4 (&gt;0,75) uT"))))</f>
        <v>Tipo 3 (0,50-0,75) uT</v>
      </c>
    </row>
    <row r="131" spans="1:59" ht="15" thickBot="1" x14ac:dyDescent="0.35">
      <c r="A131" s="26">
        <v>46142</v>
      </c>
      <c r="B131" s="110">
        <v>0.22916666666666666</v>
      </c>
      <c r="C131" s="117">
        <v>1251</v>
      </c>
      <c r="D131" s="117">
        <v>343</v>
      </c>
      <c r="E131" s="117">
        <v>399</v>
      </c>
      <c r="F131" s="117">
        <v>2212</v>
      </c>
      <c r="G131" s="11" t="s">
        <v>34</v>
      </c>
      <c r="H131" s="122">
        <v>4.5999999999999996</v>
      </c>
      <c r="I131" s="117">
        <v>90</v>
      </c>
      <c r="J131" s="117">
        <v>90</v>
      </c>
      <c r="K131" s="117">
        <v>90</v>
      </c>
      <c r="L131" s="123">
        <v>22.9</v>
      </c>
      <c r="M131" s="123">
        <v>6.8</v>
      </c>
      <c r="N131" s="80">
        <v>2.68</v>
      </c>
      <c r="O131" s="117">
        <v>13</v>
      </c>
      <c r="P131" s="123">
        <v>6.8</v>
      </c>
      <c r="Q131" s="80">
        <v>0.27</v>
      </c>
      <c r="R131" s="79">
        <v>22.36</v>
      </c>
      <c r="S131" s="79">
        <v>0.88</v>
      </c>
      <c r="T131" s="79">
        <v>0.7</v>
      </c>
      <c r="U131" s="85">
        <f t="shared" si="8"/>
        <v>1191.7150000000001</v>
      </c>
      <c r="V131" s="79">
        <f t="shared" si="9"/>
        <v>1689.0223459199999</v>
      </c>
      <c r="W131" s="79">
        <f t="shared" si="10"/>
        <v>1.4173039241093714</v>
      </c>
      <c r="X131" s="117">
        <v>3</v>
      </c>
      <c r="Y131" s="117">
        <v>4</v>
      </c>
      <c r="Z131" s="123">
        <v>6.48</v>
      </c>
      <c r="AA131" s="117">
        <v>21</v>
      </c>
      <c r="AB131" s="123">
        <v>6.7</v>
      </c>
      <c r="AC131" s="123">
        <v>6.5</v>
      </c>
      <c r="AD131" s="11">
        <v>0.28000000000000003</v>
      </c>
      <c r="AE131" s="80">
        <v>0.22</v>
      </c>
      <c r="AF131" s="85">
        <f t="shared" si="11"/>
        <v>1191.7150000000001</v>
      </c>
      <c r="AG131" s="85">
        <f t="shared" si="12"/>
        <v>1896.9424406399999</v>
      </c>
      <c r="AH131" s="85">
        <f t="shared" si="13"/>
        <v>1.5917752488136843</v>
      </c>
      <c r="AI131" s="117">
        <v>3</v>
      </c>
      <c r="AJ131" s="117">
        <v>4</v>
      </c>
      <c r="AK131" s="80">
        <v>6.39</v>
      </c>
      <c r="AL131" s="80">
        <v>24</v>
      </c>
      <c r="AM131" s="123">
        <v>6.6</v>
      </c>
      <c r="AN131" s="123">
        <v>6.7</v>
      </c>
      <c r="AO131" s="80">
        <v>0.23</v>
      </c>
      <c r="AP131" s="128">
        <v>0.38</v>
      </c>
      <c r="AQ131" s="132">
        <f t="shared" si="14"/>
        <v>1993</v>
      </c>
      <c r="AR131" s="134">
        <f t="shared" si="15"/>
        <v>0.62769693928750625</v>
      </c>
      <c r="AS131" s="134">
        <f t="shared" si="16"/>
        <v>0.17210235825388862</v>
      </c>
      <c r="AT131" s="134">
        <f t="shared" si="17"/>
        <v>0.20020070245860511</v>
      </c>
      <c r="AU131" s="43">
        <f>IF(AND(F131&lt;&gt;"",Y131&lt;&gt;""),AA131/(F131/2/Y131),"")</f>
        <v>7.5949367088607597E-2</v>
      </c>
      <c r="AV131" s="43">
        <f>IF(AND(F131&lt;&gt;"",AJ131&lt;&gt;""),AL131/(F131/2/AJ131),"")</f>
        <v>8.6799276672694395E-2</v>
      </c>
      <c r="AW131" s="41">
        <f>IF(AND(AP131&lt;&gt;"",1-(AP131/N131)&gt;0),1-(AP131/N131),"")</f>
        <v>0.85820895522388063</v>
      </c>
      <c r="AX131" s="41">
        <f>IF(AND(AE131&lt;&gt;"",1-(AE131/N131)&gt;0),1-(AE131/N131),"")</f>
        <v>0.91791044776119401</v>
      </c>
      <c r="AY131" s="136" t="str">
        <f>IF(P131="","",IF(P131&lt;2.5,"Alc. Bruta &lt; 2,5 mg/L",IF(P131&lt;5,"2,5 ≤ Alc. Bruta &lt; 5,0 mg/L",IF(P131&lt;7.5,"5,0 ≤ Alc. Bruta &lt; 7,5 mg/L",IF(P131&lt;10,"7,5 ≤ Alc. Bruta &lt; 10,0 mg/L",IF(P131&lt;15,"10,0 ≤ Alca. Bruta &lt; 15,0 mg/L","Alc. Bruta &gt; 15 mg/L"))))))</f>
        <v>5,0 ≤ Alc. Bruta &lt; 7,5 mg/L</v>
      </c>
      <c r="AZ131" s="136" t="str">
        <f>IF(O131="","",IF(O131&lt;5,"Cor &lt;5 uC",IF(O131&lt;10,"5 ≤ Cor &lt; 10 uC",IF(O131&lt;15,"10 ≤ Cor &lt;15 uC",IF(O131&lt;30,"15 ≤ Cor &lt; 30 uC",IF(O131&lt;50,"30 ≤ Cor &lt; 50 uC","Cor &gt; 50 uC"))))))</f>
        <v>10 ≤ Cor &lt;15 uC</v>
      </c>
      <c r="BA131" s="137" t="str">
        <f>IF(N131="","",IF(N131&lt;2.5,"Turbidez &lt; 2,5 uT",IF(N131&lt;5,"2,5 ≤ Turb &lt; 5,0 uT",IF(N131&lt;7.5,"5,0 ≤ Turb &lt; 7,5 uT",IF(N131&lt;10,"7,5 ≤ Turb &lt; 10,0 uT",IF(N131&lt;15,"10,0 ≤ Turb &lt; 15,0 uT","Turb &gt; 15 uT"))))))</f>
        <v>2,5 ≤ Turb &lt; 5,0 uT</v>
      </c>
      <c r="BB131" s="138" t="str">
        <f>IF(AND(C131&gt;D131,D131&gt;E131),"TOR &gt; SM &gt; BNN",IF(AND(C131&gt;E131,E131&gt;D131),"TOR &gt; BNN &gt; SM",IF(AND(D131&gt;C131,C131&gt;E131),"SM &gt; TOR &gt; BNN",IF(AND(D131&gt;E131,E131&gt;C131),"SM &gt; BNN &gt; TOR",IF(AND(C131=D131,D131=E131),"TOR = SM = BNN","Comb. diferentes")))))</f>
        <v>TOR &gt; BNN &gt; SM</v>
      </c>
      <c r="BC131" s="137" t="str">
        <f>IF(OR(AD131="",AP131="-"),"",IF(AD131&lt;=0.25,"Tipo 1 (≤0,25) uT",IF(AD131&lt;=0.5,"Tipo 2 (0,25-0,50) uT",IF(AD131&lt;=0.75,"Tipo 3 (0,50-0,75) uT","Tipo 4 (&gt;0,75) uT"))))</f>
        <v>Tipo 2 (0,25-0,50) uT</v>
      </c>
      <c r="BD131" s="137" t="str">
        <f>IF(OR(AO131="",AY131="-"),"",IF(AO131&lt;=0.25,"Tipo 1 (≤0,25) uT",IF(AO131&lt;=0.5,"Tipo 2 (0,25-0,50) uT",IF(AO131&lt;=0.75,"Tipo 3 (0,50-0,75) uT","Tipo 4 (&gt;0,75) uT"))))</f>
        <v>Tipo 1 (≤0,25) uT</v>
      </c>
      <c r="BE131" s="137" t="str">
        <f>IF(OR(AE131="",AP131="-"),"",IF(AE131&lt;=0.25,"Tipo 1 (≤0,25) uT",IF(AE131&lt;=0.5,"Tipo 2 (0,25-0,50) uT",IF(AE131&lt;=0.75,"Tipo 3 (0,50-0,75) uT","Tipo 4 (&gt;0,75) uT"))))</f>
        <v>Tipo 1 (≤0,25) uT</v>
      </c>
      <c r="BF131" s="137" t="str">
        <f>IF(OR(AP131="",AP131="-"),"",IF(AP131&lt;=0.25,"Tipo 1 (≤0,25) uT",IF(AP131&lt;=0.5,"Tipo 2 (0,25-0,50) uT",IF(AP131&lt;=0.75,"Tipo 3 (0,50-0,75) uT","Tipo 4 (&gt;0,75) uT"))))</f>
        <v>Tipo 2 (0,25-0,50) uT</v>
      </c>
      <c r="BG131" s="137" t="str">
        <f>IF(OR(Q131="",Q131="-"),"",IF(Q131&lt;=0.25,"Tipo 1 (≤0,25) uT",IF(Q131&lt;=0.5,"Tipo 2 (0,25-0,50) uT",IF(Q131&lt;=0.75,"Tipo 3 (0,50-0,75) uT","Tipo 4 (&gt;0,75) uT"))))</f>
        <v>Tipo 2 (0,25-0,50) uT</v>
      </c>
    </row>
    <row r="132" spans="1:59" x14ac:dyDescent="0.3">
      <c r="A132" s="26">
        <v>46142</v>
      </c>
      <c r="B132" s="111">
        <v>0.3125</v>
      </c>
      <c r="C132" s="118">
        <v>1326</v>
      </c>
      <c r="D132" s="118">
        <v>386</v>
      </c>
      <c r="E132" s="116">
        <v>400</v>
      </c>
      <c r="F132" s="118">
        <v>2227</v>
      </c>
      <c r="G132" s="9" t="s">
        <v>34</v>
      </c>
      <c r="H132" s="124">
        <v>4.5999999999999996</v>
      </c>
      <c r="I132" s="118">
        <v>90</v>
      </c>
      <c r="J132" s="118">
        <v>90</v>
      </c>
      <c r="K132" s="118">
        <v>90</v>
      </c>
      <c r="L132" s="124">
        <v>22.6</v>
      </c>
      <c r="M132" s="124">
        <v>6.9</v>
      </c>
      <c r="N132" s="81">
        <v>2.66</v>
      </c>
      <c r="O132" s="118">
        <v>12</v>
      </c>
      <c r="P132" s="124">
        <v>5.7</v>
      </c>
      <c r="Q132" s="81">
        <v>0.28000000000000003</v>
      </c>
      <c r="R132" s="79">
        <v>22.36</v>
      </c>
      <c r="S132" s="79">
        <v>0.88</v>
      </c>
      <c r="T132" s="79">
        <v>0.7</v>
      </c>
      <c r="U132" s="85">
        <f t="shared" si="8"/>
        <v>1194.22875</v>
      </c>
      <c r="V132" s="79">
        <f t="shared" si="9"/>
        <v>1536.9687335599997</v>
      </c>
      <c r="W132" s="79">
        <f t="shared" si="10"/>
        <v>1.286996928821216</v>
      </c>
      <c r="X132" s="118">
        <v>3</v>
      </c>
      <c r="Y132" s="118">
        <v>4</v>
      </c>
      <c r="Z132" s="124">
        <v>6.51</v>
      </c>
      <c r="AA132" s="118">
        <v>19</v>
      </c>
      <c r="AB132" s="124">
        <v>6.8</v>
      </c>
      <c r="AC132" s="124">
        <v>5.9</v>
      </c>
      <c r="AD132" s="9">
        <v>0.62</v>
      </c>
      <c r="AE132" s="81">
        <v>0.61</v>
      </c>
      <c r="AF132" s="85">
        <f t="shared" si="11"/>
        <v>1194.22875</v>
      </c>
      <c r="AG132" s="85">
        <f t="shared" si="12"/>
        <v>1807.2436907199999</v>
      </c>
      <c r="AH132" s="85">
        <f t="shared" si="13"/>
        <v>1.5133145058850743</v>
      </c>
      <c r="AI132" s="118">
        <v>3</v>
      </c>
      <c r="AJ132" s="118">
        <v>4</v>
      </c>
      <c r="AK132" s="81">
        <v>6.36</v>
      </c>
      <c r="AL132" s="81">
        <v>23</v>
      </c>
      <c r="AM132" s="124">
        <v>6.9</v>
      </c>
      <c r="AN132" s="124">
        <v>5.5</v>
      </c>
      <c r="AO132" s="81">
        <v>0.37</v>
      </c>
      <c r="AP132" s="129">
        <v>0.36</v>
      </c>
      <c r="AQ132" s="132">
        <f t="shared" si="14"/>
        <v>2112</v>
      </c>
      <c r="AR132" s="134">
        <f t="shared" si="15"/>
        <v>0.62784090909090906</v>
      </c>
      <c r="AS132" s="134">
        <f t="shared" si="16"/>
        <v>0.18276515151515152</v>
      </c>
      <c r="AT132" s="134">
        <f t="shared" si="17"/>
        <v>0.18939393939393939</v>
      </c>
      <c r="AU132" s="43">
        <f>IF(AND(F132&lt;&gt;"",Y132&lt;&gt;""),AA132/(F132/2/Y132),"")</f>
        <v>6.8253255500673557E-2</v>
      </c>
      <c r="AV132" s="43">
        <f>IF(AND(F132&lt;&gt;"",AJ132&lt;&gt;""),AL132/(F132/2/AJ132),"")</f>
        <v>8.262236192186799E-2</v>
      </c>
      <c r="AW132" s="41">
        <f>IF(AND(AP132&lt;&gt;"",1-(AP132/N132)&gt;0),1-(AP132/N132),"")</f>
        <v>0.86466165413533835</v>
      </c>
      <c r="AX132" s="41">
        <f>IF(AND(AE132&lt;&gt;"",1-(AE132/N132)&gt;0),1-(AE132/N132),"")</f>
        <v>0.77067669172932329</v>
      </c>
      <c r="AY132" s="136" t="str">
        <f>IF(P132="","",IF(P132&lt;2.5,"Alc. Bruta &lt; 2,5 mg/L",IF(P132&lt;5,"2,5 ≤ Alc. Bruta &lt; 5,0 mg/L",IF(P132&lt;7.5,"5,0 ≤ Alc. Bruta &lt; 7,5 mg/L",IF(P132&lt;10,"7,5 ≤ Alc. Bruta &lt; 10,0 mg/L",IF(P132&lt;15,"10,0 ≤ Alca. Bruta &lt; 15,0 mg/L","Alc. Bruta &gt; 15 mg/L"))))))</f>
        <v>5,0 ≤ Alc. Bruta &lt; 7,5 mg/L</v>
      </c>
      <c r="AZ132" s="136" t="str">
        <f>IF(O132="","",IF(O132&lt;5,"Cor &lt;5 uC",IF(O132&lt;10,"5 ≤ Cor &lt; 10 uC",IF(O132&lt;15,"10 ≤ Cor &lt;15 uC",IF(O132&lt;30,"15 ≤ Cor &lt; 30 uC",IF(O132&lt;50,"30 ≤ Cor &lt; 50 uC","Cor &gt; 50 uC"))))))</f>
        <v>10 ≤ Cor &lt;15 uC</v>
      </c>
      <c r="BA132" s="137" t="str">
        <f>IF(N132="","",IF(N132&lt;2.5,"Turbidez &lt; 2,5 uT",IF(N132&lt;5,"2,5 ≤ Turb &lt; 5,0 uT",IF(N132&lt;7.5,"5,0 ≤ Turb &lt; 7,5 uT",IF(N132&lt;10,"7,5 ≤ Turb &lt; 10,0 uT",IF(N132&lt;15,"10,0 ≤ Turb &lt; 15,0 uT","Turb &gt; 15 uT"))))))</f>
        <v>2,5 ≤ Turb &lt; 5,0 uT</v>
      </c>
      <c r="BB132" s="138" t="str">
        <f>IF(AND(C132&gt;D132,D132&gt;E132),"TOR &gt; SM &gt; BNN",IF(AND(C132&gt;E132,E132&gt;D132),"TOR &gt; BNN &gt; SM",IF(AND(D132&gt;C132,C132&gt;E132),"SM &gt; TOR &gt; BNN",IF(AND(D132&gt;E132,E132&gt;C132),"SM &gt; BNN &gt; TOR",IF(AND(C132=D132,D132=E132),"TOR = SM = BNN","Comb. diferentes")))))</f>
        <v>TOR &gt; BNN &gt; SM</v>
      </c>
      <c r="BC132" s="137" t="str">
        <f>IF(OR(AD132="",AP132="-"),"",IF(AD132&lt;=0.25,"Tipo 1 (≤0,25) uT",IF(AD132&lt;=0.5,"Tipo 2 (0,25-0,50) uT",IF(AD132&lt;=0.75,"Tipo 3 (0,50-0,75) uT","Tipo 4 (&gt;0,75) uT"))))</f>
        <v>Tipo 3 (0,50-0,75) uT</v>
      </c>
      <c r="BD132" s="137" t="str">
        <f>IF(OR(AO132="",AY132="-"),"",IF(AO132&lt;=0.25,"Tipo 1 (≤0,25) uT",IF(AO132&lt;=0.5,"Tipo 2 (0,25-0,50) uT",IF(AO132&lt;=0.75,"Tipo 3 (0,50-0,75) uT","Tipo 4 (&gt;0,75) uT"))))</f>
        <v>Tipo 2 (0,25-0,50) uT</v>
      </c>
      <c r="BE132" s="137" t="str">
        <f>IF(OR(AE132="",AP132="-"),"",IF(AE132&lt;=0.25,"Tipo 1 (≤0,25) uT",IF(AE132&lt;=0.5,"Tipo 2 (0,25-0,50) uT",IF(AE132&lt;=0.75,"Tipo 3 (0,50-0,75) uT","Tipo 4 (&gt;0,75) uT"))))</f>
        <v>Tipo 3 (0,50-0,75) uT</v>
      </c>
      <c r="BF132" s="137" t="str">
        <f>IF(OR(AP132="",AP132="-"),"",IF(AP132&lt;=0.25,"Tipo 1 (≤0,25) uT",IF(AP132&lt;=0.5,"Tipo 2 (0,25-0,50) uT",IF(AP132&lt;=0.75,"Tipo 3 (0,50-0,75) uT","Tipo 4 (&gt;0,75) uT"))))</f>
        <v>Tipo 2 (0,25-0,50) uT</v>
      </c>
      <c r="BG132" s="137" t="str">
        <f>IF(OR(Q132="",Q132="-"),"",IF(Q132&lt;=0.25,"Tipo 1 (≤0,25) uT",IF(Q132&lt;=0.5,"Tipo 2 (0,25-0,50) uT",IF(Q132&lt;=0.75,"Tipo 3 (0,50-0,75) uT","Tipo 4 (&gt;0,75) uT"))))</f>
        <v>Tipo 2 (0,25-0,50) uT</v>
      </c>
    </row>
    <row r="133" spans="1:59" x14ac:dyDescent="0.3">
      <c r="A133" s="26">
        <v>46142</v>
      </c>
      <c r="B133" s="107">
        <v>0.39583333333333331</v>
      </c>
      <c r="C133" s="116">
        <v>1242</v>
      </c>
      <c r="D133" s="116">
        <v>350</v>
      </c>
      <c r="E133" s="116">
        <v>283</v>
      </c>
      <c r="F133" s="116">
        <v>2142</v>
      </c>
      <c r="G133" s="10" t="s">
        <v>34</v>
      </c>
      <c r="H133" s="122">
        <v>4.3</v>
      </c>
      <c r="I133" s="116">
        <v>90</v>
      </c>
      <c r="J133" s="116">
        <v>90</v>
      </c>
      <c r="K133" s="116">
        <v>90</v>
      </c>
      <c r="L133" s="122">
        <v>23.2</v>
      </c>
      <c r="M133" s="122">
        <v>6.9</v>
      </c>
      <c r="N133" s="79">
        <v>2.83</v>
      </c>
      <c r="O133" s="116">
        <v>13</v>
      </c>
      <c r="P133" s="122">
        <v>5.6</v>
      </c>
      <c r="Q133" s="79">
        <v>0.54</v>
      </c>
      <c r="R133" s="79">
        <v>22.36</v>
      </c>
      <c r="S133" s="79">
        <v>0.88</v>
      </c>
      <c r="T133" s="79">
        <v>0.7</v>
      </c>
      <c r="U133" s="85">
        <f t="shared" si="8"/>
        <v>1170.0675000000001</v>
      </c>
      <c r="V133" s="79">
        <f t="shared" si="9"/>
        <v>1528.1630748799998</v>
      </c>
      <c r="W133" s="79">
        <f t="shared" si="10"/>
        <v>1.3060469373604511</v>
      </c>
      <c r="X133" s="116">
        <v>3</v>
      </c>
      <c r="Y133" s="116">
        <v>4</v>
      </c>
      <c r="Z133" s="122">
        <v>6.48</v>
      </c>
      <c r="AA133" s="116">
        <v>19</v>
      </c>
      <c r="AB133" s="122">
        <v>6.8</v>
      </c>
      <c r="AC133" s="122">
        <v>5.6</v>
      </c>
      <c r="AD133" s="10">
        <v>0.19</v>
      </c>
      <c r="AE133" s="79">
        <v>0.88</v>
      </c>
      <c r="AF133" s="85">
        <f t="shared" si="11"/>
        <v>1170.0675000000001</v>
      </c>
      <c r="AG133" s="85">
        <f t="shared" si="12"/>
        <v>1832.1158143599996</v>
      </c>
      <c r="AH133" s="85">
        <f t="shared" si="13"/>
        <v>1.5658206166396378</v>
      </c>
      <c r="AI133" s="116">
        <v>3</v>
      </c>
      <c r="AJ133" s="116">
        <v>4</v>
      </c>
      <c r="AK133" s="79">
        <v>6.43</v>
      </c>
      <c r="AL133" s="79">
        <v>23</v>
      </c>
      <c r="AM133" s="122">
        <v>6.7</v>
      </c>
      <c r="AN133" s="122">
        <v>5.0999999999999996</v>
      </c>
      <c r="AO133" s="79">
        <v>0.41</v>
      </c>
      <c r="AP133" s="127">
        <v>0.59</v>
      </c>
      <c r="AQ133" s="132">
        <f t="shared" si="14"/>
        <v>1875</v>
      </c>
      <c r="AR133" s="134">
        <f t="shared" si="15"/>
        <v>0.66239999999999999</v>
      </c>
      <c r="AS133" s="134">
        <f t="shared" si="16"/>
        <v>0.18666666666666668</v>
      </c>
      <c r="AT133" s="134">
        <f t="shared" si="17"/>
        <v>0.15093333333333334</v>
      </c>
      <c r="AU133" s="43">
        <f>IF(AND(F133&lt;&gt;"",Y133&lt;&gt;""),AA133/(F133/2/Y133),"")</f>
        <v>7.0961718020541548E-2</v>
      </c>
      <c r="AV133" s="43">
        <f>IF(AND(F133&lt;&gt;"",AJ133&lt;&gt;""),AL133/(F133/2/AJ133),"")</f>
        <v>8.5901027077497666E-2</v>
      </c>
      <c r="AW133" s="41">
        <f>IF(AND(AP133&lt;&gt;"",1-(AP133/N133)&gt;0),1-(AP133/N133),"")</f>
        <v>0.79151943462897534</v>
      </c>
      <c r="AX133" s="41">
        <f>IF(AND(AE133&lt;&gt;"",1-(AE133/N133)&gt;0),1-(AE133/N133),"")</f>
        <v>0.68904593639575973</v>
      </c>
      <c r="AY133" s="136" t="str">
        <f>IF(P133="","",IF(P133&lt;2.5,"Alc. Bruta &lt; 2,5 mg/L",IF(P133&lt;5,"2,5 ≤ Alc. Bruta &lt; 5,0 mg/L",IF(P133&lt;7.5,"5,0 ≤ Alc. Bruta &lt; 7,5 mg/L",IF(P133&lt;10,"7,5 ≤ Alc. Bruta &lt; 10,0 mg/L",IF(P133&lt;15,"10,0 ≤ Alca. Bruta &lt; 15,0 mg/L","Alc. Bruta &gt; 15 mg/L"))))))</f>
        <v>5,0 ≤ Alc. Bruta &lt; 7,5 mg/L</v>
      </c>
      <c r="AZ133" s="136" t="str">
        <f>IF(O133="","",IF(O133&lt;5,"Cor &lt;5 uC",IF(O133&lt;10,"5 ≤ Cor &lt; 10 uC",IF(O133&lt;15,"10 ≤ Cor &lt;15 uC",IF(O133&lt;30,"15 ≤ Cor &lt; 30 uC",IF(O133&lt;50,"30 ≤ Cor &lt; 50 uC","Cor &gt; 50 uC"))))))</f>
        <v>10 ≤ Cor &lt;15 uC</v>
      </c>
      <c r="BA133" s="137" t="str">
        <f>IF(N133="","",IF(N133&lt;2.5,"Turbidez &lt; 2,5 uT",IF(N133&lt;5,"2,5 ≤ Turb &lt; 5,0 uT",IF(N133&lt;7.5,"5,0 ≤ Turb &lt; 7,5 uT",IF(N133&lt;10,"7,5 ≤ Turb &lt; 10,0 uT",IF(N133&lt;15,"10,0 ≤ Turb &lt; 15,0 uT","Turb &gt; 15 uT"))))))</f>
        <v>2,5 ≤ Turb &lt; 5,0 uT</v>
      </c>
      <c r="BB133" s="138" t="str">
        <f>IF(AND(C133&gt;D133,D133&gt;E133),"TOR &gt; SM &gt; BNN",IF(AND(C133&gt;E133,E133&gt;D133),"TOR &gt; BNN &gt; SM",IF(AND(D133&gt;C133,C133&gt;E133),"SM &gt; TOR &gt; BNN",IF(AND(D133&gt;E133,E133&gt;C133),"SM &gt; BNN &gt; TOR",IF(AND(C133=D133,D133=E133),"TOR = SM = BNN","Comb. diferentes")))))</f>
        <v>TOR &gt; SM &gt; BNN</v>
      </c>
      <c r="BC133" s="137" t="str">
        <f>IF(OR(AD133="",AP133="-"),"",IF(AD133&lt;=0.25,"Tipo 1 (≤0,25) uT",IF(AD133&lt;=0.5,"Tipo 2 (0,25-0,50) uT",IF(AD133&lt;=0.75,"Tipo 3 (0,50-0,75) uT","Tipo 4 (&gt;0,75) uT"))))</f>
        <v>Tipo 1 (≤0,25) uT</v>
      </c>
      <c r="BD133" s="137" t="str">
        <f>IF(OR(AO133="",AY133="-"),"",IF(AO133&lt;=0.25,"Tipo 1 (≤0,25) uT",IF(AO133&lt;=0.5,"Tipo 2 (0,25-0,50) uT",IF(AO133&lt;=0.75,"Tipo 3 (0,50-0,75) uT","Tipo 4 (&gt;0,75) uT"))))</f>
        <v>Tipo 2 (0,25-0,50) uT</v>
      </c>
      <c r="BE133" s="137" t="str">
        <f>IF(OR(AE133="",AP133="-"),"",IF(AE133&lt;=0.25,"Tipo 1 (≤0,25) uT",IF(AE133&lt;=0.5,"Tipo 2 (0,25-0,50) uT",IF(AE133&lt;=0.75,"Tipo 3 (0,50-0,75) uT","Tipo 4 (&gt;0,75) uT"))))</f>
        <v>Tipo 4 (&gt;0,75) uT</v>
      </c>
      <c r="BF133" s="137" t="str">
        <f>IF(OR(AP133="",AP133="-"),"",IF(AP133&lt;=0.25,"Tipo 1 (≤0,25) uT",IF(AP133&lt;=0.5,"Tipo 2 (0,25-0,50) uT",IF(AP133&lt;=0.75,"Tipo 3 (0,50-0,75) uT","Tipo 4 (&gt;0,75) uT"))))</f>
        <v>Tipo 3 (0,50-0,75) uT</v>
      </c>
      <c r="BG133" s="137" t="str">
        <f>IF(OR(Q133="",Q133="-"),"",IF(Q133&lt;=0.25,"Tipo 1 (≤0,25) uT",IF(Q133&lt;=0.5,"Tipo 2 (0,25-0,50) uT",IF(Q133&lt;=0.75,"Tipo 3 (0,50-0,75) uT","Tipo 4 (&gt;0,75) uT"))))</f>
        <v>Tipo 3 (0,50-0,75) uT</v>
      </c>
    </row>
    <row r="134" spans="1:59" x14ac:dyDescent="0.3">
      <c r="A134" s="26">
        <v>46142</v>
      </c>
      <c r="B134" s="107">
        <v>0.47916666666666669</v>
      </c>
      <c r="C134" s="116">
        <v>1326</v>
      </c>
      <c r="D134" s="116">
        <v>370</v>
      </c>
      <c r="E134" s="116">
        <v>283</v>
      </c>
      <c r="F134" s="116">
        <v>2139</v>
      </c>
      <c r="G134" s="10" t="s">
        <v>34</v>
      </c>
      <c r="H134" s="122">
        <v>4.3</v>
      </c>
      <c r="I134" s="116">
        <v>90</v>
      </c>
      <c r="J134" s="116">
        <v>90</v>
      </c>
      <c r="K134" s="116">
        <v>90</v>
      </c>
      <c r="L134" s="122">
        <v>22.4</v>
      </c>
      <c r="M134" s="122">
        <v>6.7</v>
      </c>
      <c r="N134" s="79">
        <v>3.44</v>
      </c>
      <c r="O134" s="116">
        <v>16</v>
      </c>
      <c r="P134" s="122">
        <v>5.4</v>
      </c>
      <c r="Q134" s="79">
        <v>0.5</v>
      </c>
      <c r="R134" s="79">
        <v>22.36</v>
      </c>
      <c r="S134" s="79">
        <v>0.88</v>
      </c>
      <c r="T134" s="79">
        <v>0.7</v>
      </c>
      <c r="U134" s="85">
        <f t="shared" si="8"/>
        <v>1331.5274999999999</v>
      </c>
      <c r="V134" s="79">
        <f t="shared" si="9"/>
        <v>1531.0982944399998</v>
      </c>
      <c r="W134" s="79">
        <f t="shared" si="10"/>
        <v>1.1498810910326673</v>
      </c>
      <c r="X134" s="116">
        <v>3</v>
      </c>
      <c r="Y134" s="116">
        <v>4</v>
      </c>
      <c r="Z134" s="122">
        <v>6.49</v>
      </c>
      <c r="AA134" s="116">
        <v>19</v>
      </c>
      <c r="AB134" s="122">
        <v>6.9</v>
      </c>
      <c r="AC134" s="122">
        <v>5.5</v>
      </c>
      <c r="AD134" s="10">
        <v>0.54</v>
      </c>
      <c r="AE134" s="79">
        <v>0.88</v>
      </c>
      <c r="AF134" s="85">
        <f t="shared" si="11"/>
        <v>1331.5274999999999</v>
      </c>
      <c r="AG134" s="85">
        <f t="shared" si="12"/>
        <v>1825.0094933200003</v>
      </c>
      <c r="AH134" s="85">
        <f t="shared" si="13"/>
        <v>1.3706134445739953</v>
      </c>
      <c r="AI134" s="116">
        <v>3</v>
      </c>
      <c r="AJ134" s="116">
        <v>4</v>
      </c>
      <c r="AK134" s="79">
        <v>6.41</v>
      </c>
      <c r="AL134" s="79">
        <v>23</v>
      </c>
      <c r="AM134" s="122">
        <v>6.7</v>
      </c>
      <c r="AN134" s="122">
        <v>5.0999999999999996</v>
      </c>
      <c r="AO134" s="79">
        <v>0.28000000000000003</v>
      </c>
      <c r="AP134" s="127">
        <v>0.3</v>
      </c>
      <c r="AQ134" s="132">
        <f t="shared" si="14"/>
        <v>1979</v>
      </c>
      <c r="AR134" s="134">
        <f t="shared" si="15"/>
        <v>0.67003537139969682</v>
      </c>
      <c r="AS134" s="134">
        <f t="shared" si="16"/>
        <v>0.18696311268317331</v>
      </c>
      <c r="AT134" s="134">
        <f t="shared" si="17"/>
        <v>0.14300151591712987</v>
      </c>
      <c r="AU134" s="43">
        <f>IF(AND(F134&lt;&gt;"",Y134&lt;&gt;""),AA134/(F134/2/Y134),"")</f>
        <v>7.1061243571762508E-2</v>
      </c>
      <c r="AV134" s="43">
        <f>IF(AND(F134&lt;&gt;"",AJ134&lt;&gt;""),AL134/(F134/2/AJ134),"")</f>
        <v>8.6021505376344093E-2</v>
      </c>
      <c r="AW134" s="41">
        <f>IF(AND(AP134&lt;&gt;"",1-(AP134/N134)&gt;0),1-(AP134/N134),"")</f>
        <v>0.91279069767441856</v>
      </c>
      <c r="AX134" s="41">
        <f>IF(AND(AE134&lt;&gt;"",1-(AE134/N134)&gt;0),1-(AE134/N134),"")</f>
        <v>0.7441860465116279</v>
      </c>
      <c r="AY134" s="136" t="str">
        <f>IF(P134="","",IF(P134&lt;2.5,"Alc. Bruta &lt; 2,5 mg/L",IF(P134&lt;5,"2,5 ≤ Alc. Bruta &lt; 5,0 mg/L",IF(P134&lt;7.5,"5,0 ≤ Alc. Bruta &lt; 7,5 mg/L",IF(P134&lt;10,"7,5 ≤ Alc. Bruta &lt; 10,0 mg/L",IF(P134&lt;15,"10,0 ≤ Alca. Bruta &lt; 15,0 mg/L","Alc. Bruta &gt; 15 mg/L"))))))</f>
        <v>5,0 ≤ Alc. Bruta &lt; 7,5 mg/L</v>
      </c>
      <c r="AZ134" s="136" t="str">
        <f>IF(O134="","",IF(O134&lt;5,"Cor &lt;5 uC",IF(O134&lt;10,"5 ≤ Cor &lt; 10 uC",IF(O134&lt;15,"10 ≤ Cor &lt;15 uC",IF(O134&lt;30,"15 ≤ Cor &lt; 30 uC",IF(O134&lt;50,"30 ≤ Cor &lt; 50 uC","Cor &gt; 50 uC"))))))</f>
        <v>15 ≤ Cor &lt; 30 uC</v>
      </c>
      <c r="BA134" s="137" t="str">
        <f>IF(N134="","",IF(N134&lt;2.5,"Turbidez &lt; 2,5 uT",IF(N134&lt;5,"2,5 ≤ Turb &lt; 5,0 uT",IF(N134&lt;7.5,"5,0 ≤ Turb &lt; 7,5 uT",IF(N134&lt;10,"7,5 ≤ Turb &lt; 10,0 uT",IF(N134&lt;15,"10,0 ≤ Turb &lt; 15,0 uT","Turb &gt; 15 uT"))))))</f>
        <v>2,5 ≤ Turb &lt; 5,0 uT</v>
      </c>
      <c r="BB134" s="138" t="str">
        <f>IF(AND(C134&gt;D134,D134&gt;E134),"TOR &gt; SM &gt; BNN",IF(AND(C134&gt;E134,E134&gt;D134),"TOR &gt; BNN &gt; SM",IF(AND(D134&gt;C134,C134&gt;E134),"SM &gt; TOR &gt; BNN",IF(AND(D134&gt;E134,E134&gt;C134),"SM &gt; BNN &gt; TOR",IF(AND(C134=D134,D134=E134),"TOR = SM = BNN","Comb. diferentes")))))</f>
        <v>TOR &gt; SM &gt; BNN</v>
      </c>
      <c r="BC134" s="137" t="str">
        <f>IF(OR(AD134="",AP134="-"),"",IF(AD134&lt;=0.25,"Tipo 1 (≤0,25) uT",IF(AD134&lt;=0.5,"Tipo 2 (0,25-0,50) uT",IF(AD134&lt;=0.75,"Tipo 3 (0,50-0,75) uT","Tipo 4 (&gt;0,75) uT"))))</f>
        <v>Tipo 3 (0,50-0,75) uT</v>
      </c>
      <c r="BD134" s="137" t="str">
        <f>IF(OR(AO134="",AY134="-"),"",IF(AO134&lt;=0.25,"Tipo 1 (≤0,25) uT",IF(AO134&lt;=0.5,"Tipo 2 (0,25-0,50) uT",IF(AO134&lt;=0.75,"Tipo 3 (0,50-0,75) uT","Tipo 4 (&gt;0,75) uT"))))</f>
        <v>Tipo 2 (0,25-0,50) uT</v>
      </c>
      <c r="BE134" s="137" t="str">
        <f>IF(OR(AE134="",AP134="-"),"",IF(AE134&lt;=0.25,"Tipo 1 (≤0,25) uT",IF(AE134&lt;=0.5,"Tipo 2 (0,25-0,50) uT",IF(AE134&lt;=0.75,"Tipo 3 (0,50-0,75) uT","Tipo 4 (&gt;0,75) uT"))))</f>
        <v>Tipo 4 (&gt;0,75) uT</v>
      </c>
      <c r="BF134" s="137" t="str">
        <f>IF(OR(AP134="",AP134="-"),"",IF(AP134&lt;=0.25,"Tipo 1 (≤0,25) uT",IF(AP134&lt;=0.5,"Tipo 2 (0,25-0,50) uT",IF(AP134&lt;=0.75,"Tipo 3 (0,50-0,75) uT","Tipo 4 (&gt;0,75) uT"))))</f>
        <v>Tipo 2 (0,25-0,50) uT</v>
      </c>
      <c r="BG134" s="137" t="str">
        <f>IF(OR(Q134="",Q134="-"),"",IF(Q134&lt;=0.25,"Tipo 1 (≤0,25) uT",IF(Q134&lt;=0.5,"Tipo 2 (0,25-0,50) uT",IF(Q134&lt;=0.75,"Tipo 3 (0,50-0,75) uT","Tipo 4 (&gt;0,75) uT"))))</f>
        <v>Tipo 2 (0,25-0,50) uT</v>
      </c>
    </row>
    <row r="135" spans="1:59" x14ac:dyDescent="0.3">
      <c r="A135" s="26">
        <v>46142</v>
      </c>
      <c r="B135" s="107">
        <v>0.5625</v>
      </c>
      <c r="C135" s="116">
        <v>1241</v>
      </c>
      <c r="D135" s="116">
        <v>274</v>
      </c>
      <c r="E135" s="116">
        <v>282</v>
      </c>
      <c r="F135" s="116">
        <v>2143</v>
      </c>
      <c r="G135" s="10" t="s">
        <v>34</v>
      </c>
      <c r="H135" s="122">
        <v>4.3</v>
      </c>
      <c r="I135" s="116">
        <v>90</v>
      </c>
      <c r="J135" s="116">
        <v>90</v>
      </c>
      <c r="K135" s="116">
        <v>90</v>
      </c>
      <c r="L135" s="122">
        <v>24.9</v>
      </c>
      <c r="M135" s="122">
        <v>7.1</v>
      </c>
      <c r="N135" s="79">
        <v>2.78</v>
      </c>
      <c r="O135" s="116">
        <v>15</v>
      </c>
      <c r="P135" s="122">
        <v>5.6</v>
      </c>
      <c r="Q135" s="79">
        <v>2.2000000000000002</v>
      </c>
      <c r="R135" s="79">
        <v>22.36</v>
      </c>
      <c r="S135" s="79">
        <v>0.88</v>
      </c>
      <c r="T135" s="79">
        <v>0.7</v>
      </c>
      <c r="U135" s="85">
        <f t="shared" si="8"/>
        <v>1157.2199999999998</v>
      </c>
      <c r="V135" s="79">
        <f t="shared" si="9"/>
        <v>1528.1630748799998</v>
      </c>
      <c r="W135" s="79">
        <f t="shared" si="10"/>
        <v>1.3205467196211611</v>
      </c>
      <c r="X135" s="116">
        <v>3</v>
      </c>
      <c r="Y135" s="116">
        <v>4</v>
      </c>
      <c r="Z135" s="122">
        <v>6.48</v>
      </c>
      <c r="AA135" s="116">
        <v>19</v>
      </c>
      <c r="AB135" s="122">
        <v>7</v>
      </c>
      <c r="AC135" s="122">
        <v>5.4</v>
      </c>
      <c r="AD135" s="10">
        <v>0.94</v>
      </c>
      <c r="AE135" s="79">
        <v>2.54</v>
      </c>
      <c r="AF135" s="85">
        <f t="shared" si="11"/>
        <v>1157.2199999999998</v>
      </c>
      <c r="AG135" s="85">
        <f t="shared" si="12"/>
        <v>1825.0094933200003</v>
      </c>
      <c r="AH135" s="85">
        <f t="shared" si="13"/>
        <v>1.5770635603601739</v>
      </c>
      <c r="AI135" s="116">
        <v>3</v>
      </c>
      <c r="AJ135" s="116">
        <v>4</v>
      </c>
      <c r="AK135" s="79">
        <v>6.41</v>
      </c>
      <c r="AL135" s="79">
        <v>23</v>
      </c>
      <c r="AM135" s="122">
        <v>6.9</v>
      </c>
      <c r="AN135" s="122">
        <v>5.3</v>
      </c>
      <c r="AO135" s="79">
        <v>0.43</v>
      </c>
      <c r="AP135" s="127">
        <v>1.61</v>
      </c>
      <c r="AQ135" s="132">
        <f t="shared" si="14"/>
        <v>1797</v>
      </c>
      <c r="AR135" s="134">
        <f t="shared" si="15"/>
        <v>0.69059543683917646</v>
      </c>
      <c r="AS135" s="134">
        <f t="shared" si="16"/>
        <v>0.15247634947134112</v>
      </c>
      <c r="AT135" s="134">
        <f t="shared" si="17"/>
        <v>0.15692821368948248</v>
      </c>
      <c r="AU135" s="43">
        <f>IF(AND(F135&lt;&gt;"",Y135&lt;&gt;""),AA135/(F135/2/Y135),"")</f>
        <v>7.0928604759682684E-2</v>
      </c>
      <c r="AV135" s="43">
        <f>IF(AND(F135&lt;&gt;"",AJ135&lt;&gt;""),AL135/(F135/2/AJ135),"")</f>
        <v>8.5860942603826415E-2</v>
      </c>
      <c r="AW135" s="41">
        <f>IF(AND(AP135&lt;&gt;"",1-(AP135/N135)&gt;0),1-(AP135/N135),"")</f>
        <v>0.42086330935251792</v>
      </c>
      <c r="AX135" s="41">
        <f>IF(AND(AE135&lt;&gt;"",1-(AE135/N135)&gt;0),1-(AE135/N135),"")</f>
        <v>8.6330935251798468E-2</v>
      </c>
      <c r="AY135" s="136" t="str">
        <f>IF(P135="","",IF(P135&lt;2.5,"Alc. Bruta &lt; 2,5 mg/L",IF(P135&lt;5,"2,5 ≤ Alc. Bruta &lt; 5,0 mg/L",IF(P135&lt;7.5,"5,0 ≤ Alc. Bruta &lt; 7,5 mg/L",IF(P135&lt;10,"7,5 ≤ Alc. Bruta &lt; 10,0 mg/L",IF(P135&lt;15,"10,0 ≤ Alca. Bruta &lt; 15,0 mg/L","Alc. Bruta &gt; 15 mg/L"))))))</f>
        <v>5,0 ≤ Alc. Bruta &lt; 7,5 mg/L</v>
      </c>
      <c r="AZ135" s="136" t="str">
        <f>IF(O135="","",IF(O135&lt;5,"Cor &lt;5 uC",IF(O135&lt;10,"5 ≤ Cor &lt; 10 uC",IF(O135&lt;15,"10 ≤ Cor &lt;15 uC",IF(O135&lt;30,"15 ≤ Cor &lt; 30 uC",IF(O135&lt;50,"30 ≤ Cor &lt; 50 uC","Cor &gt; 50 uC"))))))</f>
        <v>15 ≤ Cor &lt; 30 uC</v>
      </c>
      <c r="BA135" s="137" t="str">
        <f>IF(N135="","",IF(N135&lt;2.5,"Turbidez &lt; 2,5 uT",IF(N135&lt;5,"2,5 ≤ Turb &lt; 5,0 uT",IF(N135&lt;7.5,"5,0 ≤ Turb &lt; 7,5 uT",IF(N135&lt;10,"7,5 ≤ Turb &lt; 10,0 uT",IF(N135&lt;15,"10,0 ≤ Turb &lt; 15,0 uT","Turb &gt; 15 uT"))))))</f>
        <v>2,5 ≤ Turb &lt; 5,0 uT</v>
      </c>
      <c r="BB135" s="138" t="str">
        <f>IF(AND(C135&gt;D135,D135&gt;E135),"TOR &gt; SM &gt; BNN",IF(AND(C135&gt;E135,E135&gt;D135),"TOR &gt; BNN &gt; SM",IF(AND(D135&gt;C135,C135&gt;E135),"SM &gt; TOR &gt; BNN",IF(AND(D135&gt;E135,E135&gt;C135),"SM &gt; BNN &gt; TOR",IF(AND(C135=D135,D135=E135),"TOR = SM = BNN","Comb. diferentes")))))</f>
        <v>TOR &gt; BNN &gt; SM</v>
      </c>
      <c r="BC135" s="137" t="str">
        <f>IF(OR(AD135="",AP135="-"),"",IF(AD135&lt;=0.25,"Tipo 1 (≤0,25) uT",IF(AD135&lt;=0.5,"Tipo 2 (0,25-0,50) uT",IF(AD135&lt;=0.75,"Tipo 3 (0,50-0,75) uT","Tipo 4 (&gt;0,75) uT"))))</f>
        <v>Tipo 4 (&gt;0,75) uT</v>
      </c>
      <c r="BD135" s="137" t="str">
        <f>IF(OR(AO135="",AY135="-"),"",IF(AO135&lt;=0.25,"Tipo 1 (≤0,25) uT",IF(AO135&lt;=0.5,"Tipo 2 (0,25-0,50) uT",IF(AO135&lt;=0.75,"Tipo 3 (0,50-0,75) uT","Tipo 4 (&gt;0,75) uT"))))</f>
        <v>Tipo 2 (0,25-0,50) uT</v>
      </c>
      <c r="BE135" s="137" t="str">
        <f>IF(OR(AE135="",AP135="-"),"",IF(AE135&lt;=0.25,"Tipo 1 (≤0,25) uT",IF(AE135&lt;=0.5,"Tipo 2 (0,25-0,50) uT",IF(AE135&lt;=0.75,"Tipo 3 (0,50-0,75) uT","Tipo 4 (&gt;0,75) uT"))))</f>
        <v>Tipo 4 (&gt;0,75) uT</v>
      </c>
      <c r="BF135" s="137" t="str">
        <f>IF(OR(AP135="",AP135="-"),"",IF(AP135&lt;=0.25,"Tipo 1 (≤0,25) uT",IF(AP135&lt;=0.5,"Tipo 2 (0,25-0,50) uT",IF(AP135&lt;=0.75,"Tipo 3 (0,50-0,75) uT","Tipo 4 (&gt;0,75) uT"))))</f>
        <v>Tipo 4 (&gt;0,75) uT</v>
      </c>
      <c r="BG135" s="137" t="str">
        <f>IF(OR(Q135="",Q135="-"),"",IF(Q135&lt;=0.25,"Tipo 1 (≤0,25) uT",IF(Q135&lt;=0.5,"Tipo 2 (0,25-0,50) uT",IF(Q135&lt;=0.75,"Tipo 3 (0,50-0,75) uT","Tipo 4 (&gt;0,75) uT"))))</f>
        <v>Tipo 4 (&gt;0,75) uT</v>
      </c>
    </row>
    <row r="136" spans="1:59" x14ac:dyDescent="0.3">
      <c r="A136" s="26">
        <v>46142</v>
      </c>
      <c r="B136" s="107">
        <v>0.64583333333333337</v>
      </c>
      <c r="C136" s="116">
        <v>1295</v>
      </c>
      <c r="D136" s="116">
        <v>399</v>
      </c>
      <c r="E136" s="116">
        <v>281</v>
      </c>
      <c r="F136" s="116">
        <v>2130</v>
      </c>
      <c r="G136" s="10" t="s">
        <v>34</v>
      </c>
      <c r="H136" s="122">
        <v>4.5999999999999996</v>
      </c>
      <c r="I136" s="116">
        <v>90</v>
      </c>
      <c r="J136" s="116">
        <v>90</v>
      </c>
      <c r="K136" s="116">
        <v>90</v>
      </c>
      <c r="L136" s="122">
        <v>25.3</v>
      </c>
      <c r="M136" s="122">
        <v>7</v>
      </c>
      <c r="N136" s="79">
        <v>3.22</v>
      </c>
      <c r="O136" s="116">
        <v>13</v>
      </c>
      <c r="P136" s="122">
        <v>5.7</v>
      </c>
      <c r="Q136" s="79">
        <v>1.69</v>
      </c>
      <c r="R136" s="79">
        <v>22.36</v>
      </c>
      <c r="S136" s="79">
        <v>0.88</v>
      </c>
      <c r="T136" s="79">
        <v>0.7</v>
      </c>
      <c r="U136" s="85">
        <f t="shared" si="8"/>
        <v>1291.3125</v>
      </c>
      <c r="V136" s="79">
        <f t="shared" si="9"/>
        <v>1528.1630748799998</v>
      </c>
      <c r="W136" s="79">
        <f t="shared" si="10"/>
        <v>1.1834184791675135</v>
      </c>
      <c r="X136" s="116">
        <v>3</v>
      </c>
      <c r="Y136" s="116">
        <v>4</v>
      </c>
      <c r="Z136" s="122">
        <v>6.48</v>
      </c>
      <c r="AA136" s="116">
        <v>19</v>
      </c>
      <c r="AB136" s="122">
        <v>7</v>
      </c>
      <c r="AC136" s="122">
        <v>4.9000000000000004</v>
      </c>
      <c r="AD136" s="10">
        <v>2.73</v>
      </c>
      <c r="AE136" s="79">
        <v>2.5499999999999998</v>
      </c>
      <c r="AF136" s="85">
        <f t="shared" si="11"/>
        <v>1291.3125</v>
      </c>
      <c r="AG136" s="85">
        <f t="shared" si="12"/>
        <v>1828.5626538399999</v>
      </c>
      <c r="AH136" s="85">
        <f t="shared" si="13"/>
        <v>1.4160496811112724</v>
      </c>
      <c r="AI136" s="116">
        <v>3</v>
      </c>
      <c r="AJ136" s="116">
        <v>4</v>
      </c>
      <c r="AK136" s="79">
        <v>6.42</v>
      </c>
      <c r="AL136" s="79">
        <v>23</v>
      </c>
      <c r="AM136" s="122">
        <v>6.9</v>
      </c>
      <c r="AN136" s="122">
        <v>5</v>
      </c>
      <c r="AO136" s="79">
        <v>0.45</v>
      </c>
      <c r="AP136" s="127">
        <v>1.41</v>
      </c>
      <c r="AQ136" s="132">
        <f t="shared" si="14"/>
        <v>1975</v>
      </c>
      <c r="AR136" s="134">
        <f t="shared" si="15"/>
        <v>0.65569620253164562</v>
      </c>
      <c r="AS136" s="134">
        <f t="shared" si="16"/>
        <v>0.20202531645569621</v>
      </c>
      <c r="AT136" s="134">
        <f t="shared" si="17"/>
        <v>0.14227848101265822</v>
      </c>
      <c r="AU136" s="43">
        <f>IF(AND(F136&lt;&gt;"",Y136&lt;&gt;""),AA136/(F136/2/Y136),"")</f>
        <v>7.1361502347417838E-2</v>
      </c>
      <c r="AV136" s="43">
        <f>IF(AND(F136&lt;&gt;"",AJ136&lt;&gt;""),AL136/(F136/2/AJ136),"")</f>
        <v>8.6384976525821597E-2</v>
      </c>
      <c r="AW136" s="41">
        <f>IF(AND(AP136&lt;&gt;"",1-(AP136/N136)&gt;0),1-(AP136/N136),"")</f>
        <v>0.56211180124223614</v>
      </c>
      <c r="AX136" s="41">
        <f>IF(AND(AE136&lt;&gt;"",1-(AE136/N136)&gt;0),1-(AE136/N136),"")</f>
        <v>0.2080745341614908</v>
      </c>
      <c r="AY136" s="136" t="str">
        <f>IF(P136="","",IF(P136&lt;2.5,"Alc. Bruta &lt; 2,5 mg/L",IF(P136&lt;5,"2,5 ≤ Alc. Bruta &lt; 5,0 mg/L",IF(P136&lt;7.5,"5,0 ≤ Alc. Bruta &lt; 7,5 mg/L",IF(P136&lt;10,"7,5 ≤ Alc. Bruta &lt; 10,0 mg/L",IF(P136&lt;15,"10,0 ≤ Alca. Bruta &lt; 15,0 mg/L","Alc. Bruta &gt; 15 mg/L"))))))</f>
        <v>5,0 ≤ Alc. Bruta &lt; 7,5 mg/L</v>
      </c>
      <c r="AZ136" s="136" t="str">
        <f>IF(O136="","",IF(O136&lt;5,"Cor &lt;5 uC",IF(O136&lt;10,"5 ≤ Cor &lt; 10 uC",IF(O136&lt;15,"10 ≤ Cor &lt;15 uC",IF(O136&lt;30,"15 ≤ Cor &lt; 30 uC",IF(O136&lt;50,"30 ≤ Cor &lt; 50 uC","Cor &gt; 50 uC"))))))</f>
        <v>10 ≤ Cor &lt;15 uC</v>
      </c>
      <c r="BA136" s="137" t="str">
        <f>IF(N136="","",IF(N136&lt;2.5,"Turbidez &lt; 2,5 uT",IF(N136&lt;5,"2,5 ≤ Turb &lt; 5,0 uT",IF(N136&lt;7.5,"5,0 ≤ Turb &lt; 7,5 uT",IF(N136&lt;10,"7,5 ≤ Turb &lt; 10,0 uT",IF(N136&lt;15,"10,0 ≤ Turb &lt; 15,0 uT","Turb &gt; 15 uT"))))))</f>
        <v>2,5 ≤ Turb &lt; 5,0 uT</v>
      </c>
      <c r="BB136" s="138" t="str">
        <f>IF(AND(C136&gt;D136,D136&gt;E136),"TOR &gt; SM &gt; BNN",IF(AND(C136&gt;E136,E136&gt;D136),"TOR &gt; BNN &gt; SM",IF(AND(D136&gt;C136,C136&gt;E136),"SM &gt; TOR &gt; BNN",IF(AND(D136&gt;E136,E136&gt;C136),"SM &gt; BNN &gt; TOR",IF(AND(C136=D136,D136=E136),"TOR = SM = BNN","Comb. diferentes")))))</f>
        <v>TOR &gt; SM &gt; BNN</v>
      </c>
      <c r="BC136" s="137" t="str">
        <f>IF(OR(AD136="",AP136="-"),"",IF(AD136&lt;=0.25,"Tipo 1 (≤0,25) uT",IF(AD136&lt;=0.5,"Tipo 2 (0,25-0,50) uT",IF(AD136&lt;=0.75,"Tipo 3 (0,50-0,75) uT","Tipo 4 (&gt;0,75) uT"))))</f>
        <v>Tipo 4 (&gt;0,75) uT</v>
      </c>
      <c r="BD136" s="137" t="str">
        <f>IF(OR(AO136="",AY136="-"),"",IF(AO136&lt;=0.25,"Tipo 1 (≤0,25) uT",IF(AO136&lt;=0.5,"Tipo 2 (0,25-0,50) uT",IF(AO136&lt;=0.75,"Tipo 3 (0,50-0,75) uT","Tipo 4 (&gt;0,75) uT"))))</f>
        <v>Tipo 2 (0,25-0,50) uT</v>
      </c>
      <c r="BE136" s="137" t="str">
        <f>IF(OR(AE136="",AP136="-"),"",IF(AE136&lt;=0.25,"Tipo 1 (≤0,25) uT",IF(AE136&lt;=0.5,"Tipo 2 (0,25-0,50) uT",IF(AE136&lt;=0.75,"Tipo 3 (0,50-0,75) uT","Tipo 4 (&gt;0,75) uT"))))</f>
        <v>Tipo 4 (&gt;0,75) uT</v>
      </c>
      <c r="BF136" s="137" t="str">
        <f>IF(OR(AP136="",AP136="-"),"",IF(AP136&lt;=0.25,"Tipo 1 (≤0,25) uT",IF(AP136&lt;=0.5,"Tipo 2 (0,25-0,50) uT",IF(AP136&lt;=0.75,"Tipo 3 (0,50-0,75) uT","Tipo 4 (&gt;0,75) uT"))))</f>
        <v>Tipo 4 (&gt;0,75) uT</v>
      </c>
      <c r="BG136" s="137" t="str">
        <f>IF(OR(Q136="",Q136="-"),"",IF(Q136&lt;=0.25,"Tipo 1 (≤0,25) uT",IF(Q136&lt;=0.5,"Tipo 2 (0,25-0,50) uT",IF(Q136&lt;=0.75,"Tipo 3 (0,50-0,75) uT","Tipo 4 (&gt;0,75) uT"))))</f>
        <v>Tipo 4 (&gt;0,75) uT</v>
      </c>
    </row>
    <row r="137" spans="1:59" x14ac:dyDescent="0.3">
      <c r="A137" s="26">
        <v>46142</v>
      </c>
      <c r="B137" s="107">
        <v>0.72916666666666663</v>
      </c>
      <c r="C137" s="116">
        <v>1152</v>
      </c>
      <c r="D137" s="116">
        <v>432</v>
      </c>
      <c r="E137" s="116">
        <v>293</v>
      </c>
      <c r="F137" s="116">
        <v>2151</v>
      </c>
      <c r="G137" s="10" t="s">
        <v>34</v>
      </c>
      <c r="H137" s="122">
        <v>4.5999999999999996</v>
      </c>
      <c r="I137" s="116">
        <v>90</v>
      </c>
      <c r="J137" s="116">
        <v>90</v>
      </c>
      <c r="K137" s="116">
        <v>90</v>
      </c>
      <c r="L137" s="122">
        <v>24.7</v>
      </c>
      <c r="M137" s="122">
        <v>6.9</v>
      </c>
      <c r="N137" s="79">
        <v>4.74</v>
      </c>
      <c r="O137" s="116">
        <v>13</v>
      </c>
      <c r="P137" s="122">
        <v>5.5</v>
      </c>
      <c r="Q137" s="79">
        <v>0.99</v>
      </c>
      <c r="R137" s="79">
        <v>22.36</v>
      </c>
      <c r="S137" s="79">
        <v>0.88</v>
      </c>
      <c r="T137" s="79">
        <v>0.7</v>
      </c>
      <c r="U137" s="85">
        <f t="shared" si="8"/>
        <v>1712.7337500000001</v>
      </c>
      <c r="V137" s="79">
        <f t="shared" si="9"/>
        <v>1531.0982944399998</v>
      </c>
      <c r="W137" s="79">
        <f t="shared" si="10"/>
        <v>0.89394997584417291</v>
      </c>
      <c r="X137" s="116">
        <v>3</v>
      </c>
      <c r="Y137" s="116">
        <v>4</v>
      </c>
      <c r="Z137" s="122">
        <v>6.49</v>
      </c>
      <c r="AA137" s="116">
        <v>19</v>
      </c>
      <c r="AB137" s="122">
        <v>6.9</v>
      </c>
      <c r="AC137" s="122">
        <v>4.9000000000000004</v>
      </c>
      <c r="AD137" s="10">
        <v>0.56999999999999995</v>
      </c>
      <c r="AE137" s="79">
        <v>1.25</v>
      </c>
      <c r="AF137" s="85">
        <f t="shared" si="11"/>
        <v>1712.7337500000001</v>
      </c>
      <c r="AG137" s="85">
        <f t="shared" si="12"/>
        <v>1825.0094933200003</v>
      </c>
      <c r="AH137" s="85">
        <f t="shared" si="13"/>
        <v>1.065553530033492</v>
      </c>
      <c r="AI137" s="116">
        <v>3</v>
      </c>
      <c r="AJ137" s="116">
        <v>4</v>
      </c>
      <c r="AK137" s="79">
        <v>6.41</v>
      </c>
      <c r="AL137" s="79">
        <v>23</v>
      </c>
      <c r="AM137" s="122">
        <v>7</v>
      </c>
      <c r="AN137" s="122">
        <v>5.2</v>
      </c>
      <c r="AO137" s="79">
        <v>0.71</v>
      </c>
      <c r="AP137" s="127">
        <v>0.83</v>
      </c>
      <c r="AQ137" s="132">
        <f t="shared" si="14"/>
        <v>1877</v>
      </c>
      <c r="AR137" s="134">
        <f t="shared" si="15"/>
        <v>0.61374533830580713</v>
      </c>
      <c r="AS137" s="134">
        <f t="shared" si="16"/>
        <v>0.23015450186467767</v>
      </c>
      <c r="AT137" s="134">
        <f t="shared" si="17"/>
        <v>0.15610015982951519</v>
      </c>
      <c r="AU137" s="43">
        <f>IF(AND(F137&lt;&gt;"",Y137&lt;&gt;""),AA137/(F137/2/Y137),"")</f>
        <v>7.0664807066480706E-2</v>
      </c>
      <c r="AV137" s="43">
        <f>IF(AND(F137&lt;&gt;"",AJ137&lt;&gt;""),AL137/(F137/2/AJ137),"")</f>
        <v>8.5541608554160861E-2</v>
      </c>
      <c r="AW137" s="41">
        <f>IF(AND(AP137&lt;&gt;"",1-(AP137/N137)&gt;0),1-(AP137/N137),"")</f>
        <v>0.82489451476793252</v>
      </c>
      <c r="AX137" s="41">
        <f>IF(AND(AE137&lt;&gt;"",1-(AE137/N137)&gt;0),1-(AE137/N137),"")</f>
        <v>0.73628691983122363</v>
      </c>
      <c r="AY137" s="136" t="str">
        <f>IF(P137="","",IF(P137&lt;2.5,"Alc. Bruta &lt; 2,5 mg/L",IF(P137&lt;5,"2,5 ≤ Alc. Bruta &lt; 5,0 mg/L",IF(P137&lt;7.5,"5,0 ≤ Alc. Bruta &lt; 7,5 mg/L",IF(P137&lt;10,"7,5 ≤ Alc. Bruta &lt; 10,0 mg/L",IF(P137&lt;15,"10,0 ≤ Alca. Bruta &lt; 15,0 mg/L","Alc. Bruta &gt; 15 mg/L"))))))</f>
        <v>5,0 ≤ Alc. Bruta &lt; 7,5 mg/L</v>
      </c>
      <c r="AZ137" s="136" t="str">
        <f>IF(O137="","",IF(O137&lt;5,"Cor &lt;5 uC",IF(O137&lt;10,"5 ≤ Cor &lt; 10 uC",IF(O137&lt;15,"10 ≤ Cor &lt;15 uC",IF(O137&lt;30,"15 ≤ Cor &lt; 30 uC",IF(O137&lt;50,"30 ≤ Cor &lt; 50 uC","Cor &gt; 50 uC"))))))</f>
        <v>10 ≤ Cor &lt;15 uC</v>
      </c>
      <c r="BA137" s="137" t="str">
        <f>IF(N137="","",IF(N137&lt;2.5,"Turbidez &lt; 2,5 uT",IF(N137&lt;5,"2,5 ≤ Turb &lt; 5,0 uT",IF(N137&lt;7.5,"5,0 ≤ Turb &lt; 7,5 uT",IF(N137&lt;10,"7,5 ≤ Turb &lt; 10,0 uT",IF(N137&lt;15,"10,0 ≤ Turb &lt; 15,0 uT","Turb &gt; 15 uT"))))))</f>
        <v>2,5 ≤ Turb &lt; 5,0 uT</v>
      </c>
      <c r="BB137" s="138" t="str">
        <f>IF(AND(C137&gt;D137,D137&gt;E137),"TOR &gt; SM &gt; BNN",IF(AND(C137&gt;E137,E137&gt;D137),"TOR &gt; BNN &gt; SM",IF(AND(D137&gt;C137,C137&gt;E137),"SM &gt; TOR &gt; BNN",IF(AND(D137&gt;E137,E137&gt;C137),"SM &gt; BNN &gt; TOR",IF(AND(C137=D137,D137=E137),"TOR = SM = BNN","Comb. diferentes")))))</f>
        <v>TOR &gt; SM &gt; BNN</v>
      </c>
      <c r="BC137" s="137" t="str">
        <f>IF(OR(AD137="",AP137="-"),"",IF(AD137&lt;=0.25,"Tipo 1 (≤0,25) uT",IF(AD137&lt;=0.5,"Tipo 2 (0,25-0,50) uT",IF(AD137&lt;=0.75,"Tipo 3 (0,50-0,75) uT","Tipo 4 (&gt;0,75) uT"))))</f>
        <v>Tipo 3 (0,50-0,75) uT</v>
      </c>
      <c r="BD137" s="137" t="str">
        <f>IF(OR(AO137="",AY137="-"),"",IF(AO137&lt;=0.25,"Tipo 1 (≤0,25) uT",IF(AO137&lt;=0.5,"Tipo 2 (0,25-0,50) uT",IF(AO137&lt;=0.75,"Tipo 3 (0,50-0,75) uT","Tipo 4 (&gt;0,75) uT"))))</f>
        <v>Tipo 3 (0,50-0,75) uT</v>
      </c>
      <c r="BE137" s="137" t="str">
        <f>IF(OR(AE137="",AP137="-"),"",IF(AE137&lt;=0.25,"Tipo 1 (≤0,25) uT",IF(AE137&lt;=0.5,"Tipo 2 (0,25-0,50) uT",IF(AE137&lt;=0.75,"Tipo 3 (0,50-0,75) uT","Tipo 4 (&gt;0,75) uT"))))</f>
        <v>Tipo 4 (&gt;0,75) uT</v>
      </c>
      <c r="BF137" s="137" t="str">
        <f>IF(OR(AP137="",AP137="-"),"",IF(AP137&lt;=0.25,"Tipo 1 (≤0,25) uT",IF(AP137&lt;=0.5,"Tipo 2 (0,25-0,50) uT",IF(AP137&lt;=0.75,"Tipo 3 (0,50-0,75) uT","Tipo 4 (&gt;0,75) uT"))))</f>
        <v>Tipo 4 (&gt;0,75) uT</v>
      </c>
      <c r="BG137" s="137" t="str">
        <f>IF(OR(Q137="",Q137="-"),"",IF(Q137&lt;=0.25,"Tipo 1 (≤0,25) uT",IF(Q137&lt;=0.5,"Tipo 2 (0,25-0,50) uT",IF(Q137&lt;=0.75,"Tipo 3 (0,50-0,75) uT","Tipo 4 (&gt;0,75) uT"))))</f>
        <v>Tipo 4 (&gt;0,75) uT</v>
      </c>
    </row>
    <row r="138" spans="1:59" x14ac:dyDescent="0.3">
      <c r="A138" s="26">
        <v>46142</v>
      </c>
      <c r="B138" s="107">
        <v>0.8125</v>
      </c>
      <c r="C138" s="116">
        <v>1260</v>
      </c>
      <c r="D138" s="116">
        <v>486</v>
      </c>
      <c r="E138" s="116">
        <v>293</v>
      </c>
      <c r="F138" s="116">
        <v>2148</v>
      </c>
      <c r="G138" s="10" t="s">
        <v>34</v>
      </c>
      <c r="H138" s="122">
        <v>4.5999999999999996</v>
      </c>
      <c r="I138" s="116">
        <v>90</v>
      </c>
      <c r="J138" s="116">
        <v>90</v>
      </c>
      <c r="K138" s="116">
        <v>90</v>
      </c>
      <c r="L138" s="122">
        <v>24.6</v>
      </c>
      <c r="M138" s="122">
        <v>6.9</v>
      </c>
      <c r="N138" s="79">
        <v>2.88</v>
      </c>
      <c r="O138" s="116">
        <v>16</v>
      </c>
      <c r="P138" s="122">
        <v>5.9</v>
      </c>
      <c r="Q138" s="79">
        <v>1.79</v>
      </c>
      <c r="R138" s="79">
        <v>22.36</v>
      </c>
      <c r="S138" s="79">
        <v>0.88</v>
      </c>
      <c r="T138" s="79">
        <v>0.7</v>
      </c>
      <c r="U138" s="85">
        <f t="shared" si="8"/>
        <v>1210.9349999999999</v>
      </c>
      <c r="V138" s="79">
        <f t="shared" si="9"/>
        <v>1611.6824151999999</v>
      </c>
      <c r="W138" s="79">
        <f t="shared" si="10"/>
        <v>1.3309404841713222</v>
      </c>
      <c r="X138" s="116">
        <v>3</v>
      </c>
      <c r="Y138" s="116">
        <v>4</v>
      </c>
      <c r="Z138" s="122">
        <v>6.49</v>
      </c>
      <c r="AA138" s="116">
        <v>20</v>
      </c>
      <c r="AB138" s="122">
        <v>6.7</v>
      </c>
      <c r="AC138" s="122">
        <v>5.5</v>
      </c>
      <c r="AD138" s="10">
        <v>0.56999999999999995</v>
      </c>
      <c r="AE138" s="79">
        <v>0.98</v>
      </c>
      <c r="AF138" s="85">
        <f t="shared" si="11"/>
        <v>1210.9349999999999</v>
      </c>
      <c r="AG138" s="85">
        <f t="shared" si="12"/>
        <v>1832.1158143599996</v>
      </c>
      <c r="AH138" s="85">
        <f t="shared" si="13"/>
        <v>1.5129761831642488</v>
      </c>
      <c r="AI138" s="116">
        <v>3</v>
      </c>
      <c r="AJ138" s="116">
        <v>4</v>
      </c>
      <c r="AK138" s="79">
        <v>6.43</v>
      </c>
      <c r="AL138" s="79">
        <v>23</v>
      </c>
      <c r="AM138" s="122">
        <v>6.7</v>
      </c>
      <c r="AN138" s="122">
        <v>6.7</v>
      </c>
      <c r="AO138" s="79">
        <v>0.43</v>
      </c>
      <c r="AP138" s="127">
        <v>0.47</v>
      </c>
      <c r="AQ138" s="132">
        <f t="shared" si="14"/>
        <v>2039</v>
      </c>
      <c r="AR138" s="134">
        <f t="shared" si="15"/>
        <v>0.61794997547817554</v>
      </c>
      <c r="AS138" s="134">
        <f t="shared" si="16"/>
        <v>0.23835213339872485</v>
      </c>
      <c r="AT138" s="134">
        <f t="shared" si="17"/>
        <v>0.14369789112309955</v>
      </c>
      <c r="AU138" s="43">
        <f>IF(AND(F138&lt;&gt;"",Y138&lt;&gt;""),AA138/(F138/2/Y138),"")</f>
        <v>7.4487895716946001E-2</v>
      </c>
      <c r="AV138" s="43">
        <f>IF(AND(F138&lt;&gt;"",AJ138&lt;&gt;""),AL138/(F138/2/AJ138),"")</f>
        <v>8.5661080074487903E-2</v>
      </c>
      <c r="AW138" s="41">
        <f>IF(AND(AP138&lt;&gt;"",1-(AP138/N138)&gt;0),1-(AP138/N138),"")</f>
        <v>0.83680555555555558</v>
      </c>
      <c r="AX138" s="41">
        <f>IF(AND(AE138&lt;&gt;"",1-(AE138/N138)&gt;0),1-(AE138/N138),"")</f>
        <v>0.65972222222222221</v>
      </c>
      <c r="AY138" s="136" t="str">
        <f>IF(P138="","",IF(P138&lt;2.5,"Alc. Bruta &lt; 2,5 mg/L",IF(P138&lt;5,"2,5 ≤ Alc. Bruta &lt; 5,0 mg/L",IF(P138&lt;7.5,"5,0 ≤ Alc. Bruta &lt; 7,5 mg/L",IF(P138&lt;10,"7,5 ≤ Alc. Bruta &lt; 10,0 mg/L",IF(P138&lt;15,"10,0 ≤ Alca. Bruta &lt; 15,0 mg/L","Alc. Bruta &gt; 15 mg/L"))))))</f>
        <v>5,0 ≤ Alc. Bruta &lt; 7,5 mg/L</v>
      </c>
      <c r="AZ138" s="136" t="str">
        <f>IF(O138="","",IF(O138&lt;5,"Cor &lt;5 uC",IF(O138&lt;10,"5 ≤ Cor &lt; 10 uC",IF(O138&lt;15,"10 ≤ Cor &lt;15 uC",IF(O138&lt;30,"15 ≤ Cor &lt; 30 uC",IF(O138&lt;50,"30 ≤ Cor &lt; 50 uC","Cor &gt; 50 uC"))))))</f>
        <v>15 ≤ Cor &lt; 30 uC</v>
      </c>
      <c r="BA138" s="137" t="str">
        <f>IF(N138="","",IF(N138&lt;2.5,"Turbidez &lt; 2,5 uT",IF(N138&lt;5,"2,5 ≤ Turb &lt; 5,0 uT",IF(N138&lt;7.5,"5,0 ≤ Turb &lt; 7,5 uT",IF(N138&lt;10,"7,5 ≤ Turb &lt; 10,0 uT",IF(N138&lt;15,"10,0 ≤ Turb &lt; 15,0 uT","Turb &gt; 15 uT"))))))</f>
        <v>2,5 ≤ Turb &lt; 5,0 uT</v>
      </c>
      <c r="BB138" s="138" t="str">
        <f>IF(AND(C138&gt;D138,D138&gt;E138),"TOR &gt; SM &gt; BNN",IF(AND(C138&gt;E138,E138&gt;D138),"TOR &gt; BNN &gt; SM",IF(AND(D138&gt;C138,C138&gt;E138),"SM &gt; TOR &gt; BNN",IF(AND(D138&gt;E138,E138&gt;C138),"SM &gt; BNN &gt; TOR",IF(AND(C138=D138,D138=E138),"TOR = SM = BNN","Comb. diferentes")))))</f>
        <v>TOR &gt; SM &gt; BNN</v>
      </c>
      <c r="BC138" s="137" t="str">
        <f>IF(OR(AD138="",AP138="-"),"",IF(AD138&lt;=0.25,"Tipo 1 (≤0,25) uT",IF(AD138&lt;=0.5,"Tipo 2 (0,25-0,50) uT",IF(AD138&lt;=0.75,"Tipo 3 (0,50-0,75) uT","Tipo 4 (&gt;0,75) uT"))))</f>
        <v>Tipo 3 (0,50-0,75) uT</v>
      </c>
      <c r="BD138" s="137" t="str">
        <f>IF(OR(AO138="",AY138="-"),"",IF(AO138&lt;=0.25,"Tipo 1 (≤0,25) uT",IF(AO138&lt;=0.5,"Tipo 2 (0,25-0,50) uT",IF(AO138&lt;=0.75,"Tipo 3 (0,50-0,75) uT","Tipo 4 (&gt;0,75) uT"))))</f>
        <v>Tipo 2 (0,25-0,50) uT</v>
      </c>
      <c r="BE138" s="137" t="str">
        <f>IF(OR(AE138="",AP138="-"),"",IF(AE138&lt;=0.25,"Tipo 1 (≤0,25) uT",IF(AE138&lt;=0.5,"Tipo 2 (0,25-0,50) uT",IF(AE138&lt;=0.75,"Tipo 3 (0,50-0,75) uT","Tipo 4 (&gt;0,75) uT"))))</f>
        <v>Tipo 4 (&gt;0,75) uT</v>
      </c>
      <c r="BF138" s="137" t="str">
        <f>IF(OR(AP138="",AP138="-"),"",IF(AP138&lt;=0.25,"Tipo 1 (≤0,25) uT",IF(AP138&lt;=0.5,"Tipo 2 (0,25-0,50) uT",IF(AP138&lt;=0.75,"Tipo 3 (0,50-0,75) uT","Tipo 4 (&gt;0,75) uT"))))</f>
        <v>Tipo 2 (0,25-0,50) uT</v>
      </c>
      <c r="BG138" s="137" t="str">
        <f>IF(OR(Q138="",Q138="-"),"",IF(Q138&lt;=0.25,"Tipo 1 (≤0,25) uT",IF(Q138&lt;=0.5,"Tipo 2 (0,25-0,50) uT",IF(Q138&lt;=0.75,"Tipo 3 (0,50-0,75) uT","Tipo 4 (&gt;0,75) uT"))))</f>
        <v>Tipo 4 (&gt;0,75) uT</v>
      </c>
    </row>
    <row r="139" spans="1:59" x14ac:dyDescent="0.3">
      <c r="A139" s="26">
        <v>46142</v>
      </c>
      <c r="B139" s="107">
        <v>0.89583333333333337</v>
      </c>
      <c r="C139" s="116">
        <v>1102</v>
      </c>
      <c r="D139" s="116">
        <v>660</v>
      </c>
      <c r="E139" s="116">
        <v>450</v>
      </c>
      <c r="F139" s="116">
        <v>2231</v>
      </c>
      <c r="G139" s="10" t="s">
        <v>34</v>
      </c>
      <c r="H139" s="122">
        <v>4.5999999999999996</v>
      </c>
      <c r="I139" s="116">
        <v>90</v>
      </c>
      <c r="J139" s="116">
        <v>90</v>
      </c>
      <c r="K139" s="116">
        <v>90</v>
      </c>
      <c r="L139" s="122">
        <v>24.2</v>
      </c>
      <c r="M139" s="122">
        <v>7</v>
      </c>
      <c r="N139" s="79">
        <v>2.74</v>
      </c>
      <c r="O139" s="116">
        <v>13</v>
      </c>
      <c r="P139" s="122">
        <v>6.1</v>
      </c>
      <c r="Q139" s="79">
        <v>1.98</v>
      </c>
      <c r="R139" s="79">
        <v>22.36</v>
      </c>
      <c r="S139" s="79">
        <v>0.88</v>
      </c>
      <c r="T139" s="79">
        <v>0.7</v>
      </c>
      <c r="U139" s="85">
        <f t="shared" si="8"/>
        <v>1218.6837499999999</v>
      </c>
      <c r="V139" s="79">
        <f t="shared" si="9"/>
        <v>1611.6824151999999</v>
      </c>
      <c r="W139" s="79">
        <f t="shared" si="10"/>
        <v>1.322477972812881</v>
      </c>
      <c r="X139" s="116">
        <v>3</v>
      </c>
      <c r="Y139" s="116">
        <v>4</v>
      </c>
      <c r="Z139" s="122">
        <v>6.49</v>
      </c>
      <c r="AA139" s="116">
        <v>20</v>
      </c>
      <c r="AB139" s="122">
        <v>6.9</v>
      </c>
      <c r="AC139" s="122">
        <v>7</v>
      </c>
      <c r="AD139" s="10">
        <v>0.49</v>
      </c>
      <c r="AE139" s="79">
        <v>1.1299999999999999</v>
      </c>
      <c r="AF139" s="85">
        <f t="shared" si="11"/>
        <v>1218.6837499999999</v>
      </c>
      <c r="AG139" s="85">
        <f t="shared" si="12"/>
        <v>2256.3553812799996</v>
      </c>
      <c r="AH139" s="85">
        <f t="shared" si="13"/>
        <v>1.8514691619380335</v>
      </c>
      <c r="AI139" s="116">
        <v>3</v>
      </c>
      <c r="AJ139" s="116">
        <v>4</v>
      </c>
      <c r="AK139" s="79">
        <v>6.49</v>
      </c>
      <c r="AL139" s="79">
        <v>28</v>
      </c>
      <c r="AM139" s="122">
        <v>6.9</v>
      </c>
      <c r="AN139" s="122">
        <v>8.1</v>
      </c>
      <c r="AO139" s="79">
        <v>0.42</v>
      </c>
      <c r="AP139" s="127">
        <v>1.0900000000000001</v>
      </c>
      <c r="AQ139" s="132">
        <f t="shared" si="14"/>
        <v>2212</v>
      </c>
      <c r="AR139" s="134">
        <f t="shared" si="15"/>
        <v>0.49819168173598555</v>
      </c>
      <c r="AS139" s="134">
        <f t="shared" si="16"/>
        <v>0.29837251356238698</v>
      </c>
      <c r="AT139" s="134">
        <f t="shared" si="17"/>
        <v>0.20343580470162748</v>
      </c>
      <c r="AU139" s="43">
        <f>IF(AND(F139&lt;&gt;"",Y139&lt;&gt;""),AA139/(F139/2/Y139),"")</f>
        <v>7.1716718960107576E-2</v>
      </c>
      <c r="AV139" s="43">
        <f>IF(AND(F139&lt;&gt;"",AJ139&lt;&gt;""),AL139/(F139/2/AJ139),"")</f>
        <v>0.1004034065441506</v>
      </c>
      <c r="AW139" s="41">
        <f>IF(AND(AP139&lt;&gt;"",1-(AP139/N139)&gt;0),1-(AP139/N139),"")</f>
        <v>0.6021897810218978</v>
      </c>
      <c r="AX139" s="41">
        <f>IF(AND(AE139&lt;&gt;"",1-(AE139/N139)&gt;0),1-(AE139/N139),"")</f>
        <v>0.58759124087591252</v>
      </c>
      <c r="AY139" s="136" t="str">
        <f>IF(P139="","",IF(P139&lt;2.5,"Alc. Bruta &lt; 2,5 mg/L",IF(P139&lt;5,"2,5 ≤ Alc. Bruta &lt; 5,0 mg/L",IF(P139&lt;7.5,"5,0 ≤ Alc. Bruta &lt; 7,5 mg/L",IF(P139&lt;10,"7,5 ≤ Alc. Bruta &lt; 10,0 mg/L",IF(P139&lt;15,"10,0 ≤ Alca. Bruta &lt; 15,0 mg/L","Alc. Bruta &gt; 15 mg/L"))))))</f>
        <v>5,0 ≤ Alc. Bruta &lt; 7,5 mg/L</v>
      </c>
      <c r="AZ139" s="136" t="str">
        <f>IF(O139="","",IF(O139&lt;5,"Cor &lt;5 uC",IF(O139&lt;10,"5 ≤ Cor &lt; 10 uC",IF(O139&lt;15,"10 ≤ Cor &lt;15 uC",IF(O139&lt;30,"15 ≤ Cor &lt; 30 uC",IF(O139&lt;50,"30 ≤ Cor &lt; 50 uC","Cor &gt; 50 uC"))))))</f>
        <v>10 ≤ Cor &lt;15 uC</v>
      </c>
      <c r="BA139" s="137" t="str">
        <f>IF(N139="","",IF(N139&lt;2.5,"Turbidez &lt; 2,5 uT",IF(N139&lt;5,"2,5 ≤ Turb &lt; 5,0 uT",IF(N139&lt;7.5,"5,0 ≤ Turb &lt; 7,5 uT",IF(N139&lt;10,"7,5 ≤ Turb &lt; 10,0 uT",IF(N139&lt;15,"10,0 ≤ Turb &lt; 15,0 uT","Turb &gt; 15 uT"))))))</f>
        <v>2,5 ≤ Turb &lt; 5,0 uT</v>
      </c>
      <c r="BB139" s="138" t="str">
        <f>IF(AND(C139&gt;D139,D139&gt;E139),"TOR &gt; SM &gt; BNN",IF(AND(C139&gt;E139,E139&gt;D139),"TOR &gt; BNN &gt; SM",IF(AND(D139&gt;C139,C139&gt;E139),"SM &gt; TOR &gt; BNN",IF(AND(D139&gt;E139,E139&gt;C139),"SM &gt; BNN &gt; TOR",IF(AND(C139=D139,D139=E139),"TOR = SM = BNN","Comb. diferentes")))))</f>
        <v>TOR &gt; SM &gt; BNN</v>
      </c>
      <c r="BC139" s="137" t="str">
        <f>IF(OR(AD139="",AP139="-"),"",IF(AD139&lt;=0.25,"Tipo 1 (≤0,25) uT",IF(AD139&lt;=0.5,"Tipo 2 (0,25-0,50) uT",IF(AD139&lt;=0.75,"Tipo 3 (0,50-0,75) uT","Tipo 4 (&gt;0,75) uT"))))</f>
        <v>Tipo 2 (0,25-0,50) uT</v>
      </c>
      <c r="BD139" s="137" t="str">
        <f>IF(OR(AO139="",AY139="-"),"",IF(AO139&lt;=0.25,"Tipo 1 (≤0,25) uT",IF(AO139&lt;=0.5,"Tipo 2 (0,25-0,50) uT",IF(AO139&lt;=0.75,"Tipo 3 (0,50-0,75) uT","Tipo 4 (&gt;0,75) uT"))))</f>
        <v>Tipo 2 (0,25-0,50) uT</v>
      </c>
      <c r="BE139" s="137" t="str">
        <f>IF(OR(AE139="",AP139="-"),"",IF(AE139&lt;=0.25,"Tipo 1 (≤0,25) uT",IF(AE139&lt;=0.5,"Tipo 2 (0,25-0,50) uT",IF(AE139&lt;=0.75,"Tipo 3 (0,50-0,75) uT","Tipo 4 (&gt;0,75) uT"))))</f>
        <v>Tipo 4 (&gt;0,75) uT</v>
      </c>
      <c r="BF139" s="137" t="str">
        <f>IF(OR(AP139="",AP139="-"),"",IF(AP139&lt;=0.25,"Tipo 1 (≤0,25) uT",IF(AP139&lt;=0.5,"Tipo 2 (0,25-0,50) uT",IF(AP139&lt;=0.75,"Tipo 3 (0,50-0,75) uT","Tipo 4 (&gt;0,75) uT"))))</f>
        <v>Tipo 4 (&gt;0,75) uT</v>
      </c>
      <c r="BG139" s="137" t="str">
        <f>IF(OR(Q139="",Q139="-"),"",IF(Q139&lt;=0.25,"Tipo 1 (≤0,25) uT",IF(Q139&lt;=0.5,"Tipo 2 (0,25-0,50) uT",IF(Q139&lt;=0.75,"Tipo 3 (0,50-0,75) uT","Tipo 4 (&gt;0,75) uT"))))</f>
        <v>Tipo 4 (&gt;0,75) uT</v>
      </c>
    </row>
    <row r="140" spans="1:59" x14ac:dyDescent="0.3">
      <c r="A140" s="26">
        <v>46143</v>
      </c>
      <c r="B140" s="107">
        <v>6.25E-2</v>
      </c>
      <c r="C140" s="116">
        <v>1060</v>
      </c>
      <c r="D140" s="116">
        <v>646</v>
      </c>
      <c r="E140" s="116">
        <v>450</v>
      </c>
      <c r="F140" s="116">
        <v>2221</v>
      </c>
      <c r="G140" s="10" t="s">
        <v>34</v>
      </c>
      <c r="H140" s="122">
        <v>4</v>
      </c>
      <c r="I140" s="116">
        <v>90</v>
      </c>
      <c r="J140" s="116">
        <v>90</v>
      </c>
      <c r="K140" s="116">
        <v>90</v>
      </c>
      <c r="L140" s="122">
        <v>24.1</v>
      </c>
      <c r="M140" s="122">
        <v>6.7</v>
      </c>
      <c r="N140" s="79">
        <v>2.17</v>
      </c>
      <c r="O140" s="116">
        <v>17</v>
      </c>
      <c r="P140" s="122">
        <v>6.1</v>
      </c>
      <c r="Q140" s="79">
        <v>1.75</v>
      </c>
      <c r="R140" s="79">
        <v>22.36</v>
      </c>
      <c r="S140" s="79">
        <v>0.88</v>
      </c>
      <c r="T140" s="79">
        <v>0.7</v>
      </c>
      <c r="U140" s="85">
        <f t="shared" si="8"/>
        <v>1005.0025000000001</v>
      </c>
      <c r="V140" s="79">
        <f t="shared" si="9"/>
        <v>1614.7721200000001</v>
      </c>
      <c r="W140" s="79">
        <f t="shared" si="10"/>
        <v>1.606734431008878</v>
      </c>
      <c r="X140" s="116">
        <v>3</v>
      </c>
      <c r="Y140" s="116">
        <v>4</v>
      </c>
      <c r="Z140" s="122">
        <v>6.5</v>
      </c>
      <c r="AA140" s="116">
        <v>20</v>
      </c>
      <c r="AB140" s="122">
        <v>6.6</v>
      </c>
      <c r="AC140" s="122">
        <v>6.2</v>
      </c>
      <c r="AD140" s="10">
        <v>2.2599999999999998</v>
      </c>
      <c r="AE140" s="79">
        <v>2.0499999999999998</v>
      </c>
      <c r="AF140" s="85">
        <f t="shared" si="11"/>
        <v>1005.0025000000001</v>
      </c>
      <c r="AG140" s="85">
        <f t="shared" si="12"/>
        <v>1853.4347774799999</v>
      </c>
      <c r="AH140" s="85">
        <f t="shared" si="13"/>
        <v>1.8442091213504441</v>
      </c>
      <c r="AI140" s="116">
        <v>3</v>
      </c>
      <c r="AJ140" s="116">
        <v>4</v>
      </c>
      <c r="AK140" s="79">
        <v>6.49</v>
      </c>
      <c r="AL140" s="79">
        <v>23</v>
      </c>
      <c r="AM140" s="122">
        <v>6.5</v>
      </c>
      <c r="AN140" s="122">
        <v>6.2</v>
      </c>
      <c r="AO140" s="79">
        <v>0.23</v>
      </c>
      <c r="AP140" s="127">
        <v>1.38</v>
      </c>
      <c r="AQ140" s="132">
        <f t="shared" si="14"/>
        <v>2156</v>
      </c>
      <c r="AR140" s="134">
        <f t="shared" si="15"/>
        <v>0.49165120593692024</v>
      </c>
      <c r="AS140" s="134">
        <f t="shared" si="16"/>
        <v>0.29962894248608535</v>
      </c>
      <c r="AT140" s="134">
        <f t="shared" si="17"/>
        <v>0.20871985157699444</v>
      </c>
      <c r="AU140" s="43">
        <f>IF(AND(F140&lt;&gt;"",Y140&lt;&gt;""),AA140/(F140/2/Y140),"")</f>
        <v>7.2039621791985586E-2</v>
      </c>
      <c r="AV140" s="43">
        <f>IF(AND(F140&lt;&gt;"",AJ140&lt;&gt;""),AL140/(F140/2/AJ140),"")</f>
        <v>8.284556506078343E-2</v>
      </c>
      <c r="AW140" s="41">
        <f>IF(AND(AP140&lt;&gt;"",1-(AP140/N140)&gt;0),1-(AP140/N140),"")</f>
        <v>0.36405529953917048</v>
      </c>
      <c r="AX140" s="41">
        <f>IF(AND(AE140&lt;&gt;"",1-(AE140/N140)&gt;0),1-(AE140/N140),"")</f>
        <v>5.5299539170507006E-2</v>
      </c>
      <c r="AY140" s="136" t="str">
        <f>IF(P140="","",IF(P140&lt;2.5,"Alc. Bruta &lt; 2,5 mg/L",IF(P140&lt;5,"2,5 ≤ Alc. Bruta &lt; 5,0 mg/L",IF(P140&lt;7.5,"5,0 ≤ Alc. Bruta &lt; 7,5 mg/L",IF(P140&lt;10,"7,5 ≤ Alc. Bruta &lt; 10,0 mg/L",IF(P140&lt;15,"10,0 ≤ Alca. Bruta &lt; 15,0 mg/L","Alc. Bruta &gt; 15 mg/L"))))))</f>
        <v>5,0 ≤ Alc. Bruta &lt; 7,5 mg/L</v>
      </c>
      <c r="AZ140" s="136" t="str">
        <f>IF(O140="","",IF(O140&lt;5,"Cor &lt;5 uC",IF(O140&lt;10,"5 ≤ Cor &lt; 10 uC",IF(O140&lt;15,"10 ≤ Cor &lt;15 uC",IF(O140&lt;30,"15 ≤ Cor &lt; 30 uC",IF(O140&lt;50,"30 ≤ Cor &lt; 50 uC","Cor &gt; 50 uC"))))))</f>
        <v>15 ≤ Cor &lt; 30 uC</v>
      </c>
      <c r="BA140" s="137" t="str">
        <f>IF(N140="","",IF(N140&lt;2.5,"Turbidez &lt; 2,5 uT",IF(N140&lt;5,"2,5 ≤ Turb &lt; 5,0 uT",IF(N140&lt;7.5,"5,0 ≤ Turb &lt; 7,5 uT",IF(N140&lt;10,"7,5 ≤ Turb &lt; 10,0 uT",IF(N140&lt;15,"10,0 ≤ Turb &lt; 15,0 uT","Turb &gt; 15 uT"))))))</f>
        <v>Turbidez &lt; 2,5 uT</v>
      </c>
      <c r="BB140" s="138" t="str">
        <f>IF(AND(C140&gt;D140,D140&gt;E140),"TOR &gt; SM &gt; BNN",IF(AND(C140&gt;E140,E140&gt;D140),"TOR &gt; BNN &gt; SM",IF(AND(D140&gt;C140,C140&gt;E140),"SM &gt; TOR &gt; BNN",IF(AND(D140&gt;E140,E140&gt;C140),"SM &gt; BNN &gt; TOR",IF(AND(C140=D140,D140=E140),"TOR = SM = BNN","Comb. diferentes")))))</f>
        <v>TOR &gt; SM &gt; BNN</v>
      </c>
      <c r="BC140" s="137" t="str">
        <f>IF(OR(AD140="",AP140="-"),"",IF(AD140&lt;=0.25,"Tipo 1 (≤0,25) uT",IF(AD140&lt;=0.5,"Tipo 2 (0,25-0,50) uT",IF(AD140&lt;=0.75,"Tipo 3 (0,50-0,75) uT","Tipo 4 (&gt;0,75) uT"))))</f>
        <v>Tipo 4 (&gt;0,75) uT</v>
      </c>
      <c r="BD140" s="137" t="str">
        <f>IF(OR(AO140="",AY140="-"),"",IF(AO140&lt;=0.25,"Tipo 1 (≤0,25) uT",IF(AO140&lt;=0.5,"Tipo 2 (0,25-0,50) uT",IF(AO140&lt;=0.75,"Tipo 3 (0,50-0,75) uT","Tipo 4 (&gt;0,75) uT"))))</f>
        <v>Tipo 1 (≤0,25) uT</v>
      </c>
      <c r="BE140" s="137" t="str">
        <f>IF(OR(AE140="",AP140="-"),"",IF(AE140&lt;=0.25,"Tipo 1 (≤0,25) uT",IF(AE140&lt;=0.5,"Tipo 2 (0,25-0,50) uT",IF(AE140&lt;=0.75,"Tipo 3 (0,50-0,75) uT","Tipo 4 (&gt;0,75) uT"))))</f>
        <v>Tipo 4 (&gt;0,75) uT</v>
      </c>
      <c r="BF140" s="137" t="str">
        <f>IF(OR(AP140="",AP140="-"),"",IF(AP140&lt;=0.25,"Tipo 1 (≤0,25) uT",IF(AP140&lt;=0.5,"Tipo 2 (0,25-0,50) uT",IF(AP140&lt;=0.75,"Tipo 3 (0,50-0,75) uT","Tipo 4 (&gt;0,75) uT"))))</f>
        <v>Tipo 4 (&gt;0,75) uT</v>
      </c>
      <c r="BG140" s="137" t="str">
        <f>IF(OR(Q140="",Q140="-"),"",IF(Q140&lt;=0.25,"Tipo 1 (≤0,25) uT",IF(Q140&lt;=0.5,"Tipo 2 (0,25-0,50) uT",IF(Q140&lt;=0.75,"Tipo 3 (0,50-0,75) uT","Tipo 4 (&gt;0,75) uT"))))</f>
        <v>Tipo 4 (&gt;0,75) uT</v>
      </c>
    </row>
    <row r="141" spans="1:59" x14ac:dyDescent="0.3">
      <c r="A141" s="26">
        <v>46143</v>
      </c>
      <c r="B141" s="112">
        <v>0.14583333333333334</v>
      </c>
      <c r="C141" s="116">
        <v>1003</v>
      </c>
      <c r="D141" s="116">
        <v>679</v>
      </c>
      <c r="E141" s="116">
        <v>450</v>
      </c>
      <c r="F141" s="116">
        <v>2296</v>
      </c>
      <c r="G141" s="10" t="s">
        <v>34</v>
      </c>
      <c r="H141" s="122">
        <v>4</v>
      </c>
      <c r="I141" s="116">
        <v>90</v>
      </c>
      <c r="J141" s="116">
        <v>90</v>
      </c>
      <c r="K141" s="116">
        <v>90</v>
      </c>
      <c r="L141" s="122">
        <v>24</v>
      </c>
      <c r="M141" s="122">
        <v>6.6</v>
      </c>
      <c r="N141" s="79">
        <v>2.38</v>
      </c>
      <c r="O141" s="116">
        <v>12</v>
      </c>
      <c r="P141" s="122">
        <v>5.9</v>
      </c>
      <c r="Q141" s="79">
        <v>1.66</v>
      </c>
      <c r="R141" s="79">
        <v>22.36</v>
      </c>
      <c r="S141" s="79">
        <v>0.88</v>
      </c>
      <c r="T141" s="79">
        <v>0.7</v>
      </c>
      <c r="U141" s="85">
        <f t="shared" si="8"/>
        <v>1099.21</v>
      </c>
      <c r="V141" s="79">
        <f t="shared" si="9"/>
        <v>1614.7721200000001</v>
      </c>
      <c r="W141" s="79">
        <f t="shared" si="10"/>
        <v>1.4690296849555591</v>
      </c>
      <c r="X141" s="116">
        <v>3</v>
      </c>
      <c r="Y141" s="116">
        <v>4</v>
      </c>
      <c r="Z141" s="122">
        <v>6.5</v>
      </c>
      <c r="AA141" s="116">
        <v>20</v>
      </c>
      <c r="AB141" s="122">
        <v>6.6</v>
      </c>
      <c r="AC141" s="122">
        <v>5.8</v>
      </c>
      <c r="AD141" s="10">
        <v>0.28999999999999998</v>
      </c>
      <c r="AE141" s="79">
        <v>0.56000000000000005</v>
      </c>
      <c r="AF141" s="85">
        <f t="shared" si="11"/>
        <v>1099.21</v>
      </c>
      <c r="AG141" s="85">
        <f t="shared" si="12"/>
        <v>1856.9879380000002</v>
      </c>
      <c r="AH141" s="85">
        <f t="shared" si="13"/>
        <v>1.689384137698893</v>
      </c>
      <c r="AI141" s="116">
        <v>3</v>
      </c>
      <c r="AJ141" s="116">
        <v>4</v>
      </c>
      <c r="AK141" s="79">
        <v>6.5</v>
      </c>
      <c r="AL141" s="79">
        <v>23</v>
      </c>
      <c r="AM141" s="122">
        <v>6.6</v>
      </c>
      <c r="AN141" s="122">
        <v>6.3</v>
      </c>
      <c r="AO141" s="79">
        <v>0.43</v>
      </c>
      <c r="AP141" s="127">
        <v>0.37</v>
      </c>
      <c r="AQ141" s="132">
        <f t="shared" si="14"/>
        <v>2132</v>
      </c>
      <c r="AR141" s="134">
        <f t="shared" si="15"/>
        <v>0.47045028142589118</v>
      </c>
      <c r="AS141" s="134">
        <f t="shared" si="16"/>
        <v>0.31848030018761725</v>
      </c>
      <c r="AT141" s="134">
        <f t="shared" si="17"/>
        <v>0.21106941838649157</v>
      </c>
      <c r="AU141" s="43">
        <f>IF(AND(F141&lt;&gt;"",Y141&lt;&gt;""),AA141/(F141/2/Y141),"")</f>
        <v>6.968641114982578E-2</v>
      </c>
      <c r="AV141" s="43">
        <f>IF(AND(F141&lt;&gt;"",AJ141&lt;&gt;""),AL141/(F141/2/AJ141),"")</f>
        <v>8.0139372822299645E-2</v>
      </c>
      <c r="AW141" s="41">
        <f>IF(AND(AP141&lt;&gt;"",1-(AP141/N141)&gt;0),1-(AP141/N141),"")</f>
        <v>0.84453781512605042</v>
      </c>
      <c r="AX141" s="41">
        <f>IF(AND(AE141&lt;&gt;"",1-(AE141/N141)&gt;0),1-(AE141/N141),"")</f>
        <v>0.76470588235294112</v>
      </c>
      <c r="AY141" s="136" t="str">
        <f>IF(P141="","",IF(P141&lt;2.5,"Alc. Bruta &lt; 2,5 mg/L",IF(P141&lt;5,"2,5 ≤ Alc. Bruta &lt; 5,0 mg/L",IF(P141&lt;7.5,"5,0 ≤ Alc. Bruta &lt; 7,5 mg/L",IF(P141&lt;10,"7,5 ≤ Alc. Bruta &lt; 10,0 mg/L",IF(P141&lt;15,"10,0 ≤ Alca. Bruta &lt; 15,0 mg/L","Alc. Bruta &gt; 15 mg/L"))))))</f>
        <v>5,0 ≤ Alc. Bruta &lt; 7,5 mg/L</v>
      </c>
      <c r="AZ141" s="136" t="str">
        <f>IF(O141="","",IF(O141&lt;5,"Cor &lt;5 uC",IF(O141&lt;10,"5 ≤ Cor &lt; 10 uC",IF(O141&lt;15,"10 ≤ Cor &lt;15 uC",IF(O141&lt;30,"15 ≤ Cor &lt; 30 uC",IF(O141&lt;50,"30 ≤ Cor &lt; 50 uC","Cor &gt; 50 uC"))))))</f>
        <v>10 ≤ Cor &lt;15 uC</v>
      </c>
      <c r="BA141" s="137" t="str">
        <f>IF(N141="","",IF(N141&lt;2.5,"Turbidez &lt; 2,5 uT",IF(N141&lt;5,"2,5 ≤ Turb &lt; 5,0 uT",IF(N141&lt;7.5,"5,0 ≤ Turb &lt; 7,5 uT",IF(N141&lt;10,"7,5 ≤ Turb &lt; 10,0 uT",IF(N141&lt;15,"10,0 ≤ Turb &lt; 15,0 uT","Turb &gt; 15 uT"))))))</f>
        <v>Turbidez &lt; 2,5 uT</v>
      </c>
      <c r="BB141" s="138" t="str">
        <f>IF(AND(C141&gt;D141,D141&gt;E141),"TOR &gt; SM &gt; BNN",IF(AND(C141&gt;E141,E141&gt;D141),"TOR &gt; BNN &gt; SM",IF(AND(D141&gt;C141,C141&gt;E141),"SM &gt; TOR &gt; BNN",IF(AND(D141&gt;E141,E141&gt;C141),"SM &gt; BNN &gt; TOR",IF(AND(C141=D141,D141=E141),"TOR = SM = BNN","Comb. diferentes")))))</f>
        <v>TOR &gt; SM &gt; BNN</v>
      </c>
      <c r="BC141" s="137" t="str">
        <f>IF(OR(AD141="",AP141="-"),"",IF(AD141&lt;=0.25,"Tipo 1 (≤0,25) uT",IF(AD141&lt;=0.5,"Tipo 2 (0,25-0,50) uT",IF(AD141&lt;=0.75,"Tipo 3 (0,50-0,75) uT","Tipo 4 (&gt;0,75) uT"))))</f>
        <v>Tipo 2 (0,25-0,50) uT</v>
      </c>
      <c r="BD141" s="137" t="str">
        <f>IF(OR(AO141="",AY141="-"),"",IF(AO141&lt;=0.25,"Tipo 1 (≤0,25) uT",IF(AO141&lt;=0.5,"Tipo 2 (0,25-0,50) uT",IF(AO141&lt;=0.75,"Tipo 3 (0,50-0,75) uT","Tipo 4 (&gt;0,75) uT"))))</f>
        <v>Tipo 2 (0,25-0,50) uT</v>
      </c>
      <c r="BE141" s="137" t="str">
        <f>IF(OR(AE141="",AP141="-"),"",IF(AE141&lt;=0.25,"Tipo 1 (≤0,25) uT",IF(AE141&lt;=0.5,"Tipo 2 (0,25-0,50) uT",IF(AE141&lt;=0.75,"Tipo 3 (0,50-0,75) uT","Tipo 4 (&gt;0,75) uT"))))</f>
        <v>Tipo 3 (0,50-0,75) uT</v>
      </c>
      <c r="BF141" s="137" t="str">
        <f>IF(OR(AP141="",AP141="-"),"",IF(AP141&lt;=0.25,"Tipo 1 (≤0,25) uT",IF(AP141&lt;=0.5,"Tipo 2 (0,25-0,50) uT",IF(AP141&lt;=0.75,"Tipo 3 (0,50-0,75) uT","Tipo 4 (&gt;0,75) uT"))))</f>
        <v>Tipo 2 (0,25-0,50) uT</v>
      </c>
      <c r="BG141" s="137" t="str">
        <f>IF(OR(Q141="",Q141="-"),"",IF(Q141&lt;=0.25,"Tipo 1 (≤0,25) uT",IF(Q141&lt;=0.5,"Tipo 2 (0,25-0,50) uT",IF(Q141&lt;=0.75,"Tipo 3 (0,50-0,75) uT","Tipo 4 (&gt;0,75) uT"))))</f>
        <v>Tipo 4 (&gt;0,75) uT</v>
      </c>
    </row>
    <row r="142" spans="1:59" ht="15" thickBot="1" x14ac:dyDescent="0.35">
      <c r="A142" s="26">
        <v>46143</v>
      </c>
      <c r="B142" s="113">
        <v>0.22916666666666666</v>
      </c>
      <c r="C142" s="117">
        <v>1023</v>
      </c>
      <c r="D142" s="117">
        <v>683</v>
      </c>
      <c r="E142" s="117">
        <v>450</v>
      </c>
      <c r="F142" s="117">
        <v>2300</v>
      </c>
      <c r="G142" s="11" t="s">
        <v>34</v>
      </c>
      <c r="H142" s="123">
        <v>3.8</v>
      </c>
      <c r="I142" s="116">
        <v>90</v>
      </c>
      <c r="J142" s="117">
        <v>90</v>
      </c>
      <c r="K142" s="117">
        <v>90</v>
      </c>
      <c r="L142" s="123">
        <v>23.5</v>
      </c>
      <c r="M142" s="123">
        <v>6.5</v>
      </c>
      <c r="N142" s="80">
        <v>2.69</v>
      </c>
      <c r="O142" s="117">
        <v>15</v>
      </c>
      <c r="P142" s="123">
        <v>6.8</v>
      </c>
      <c r="Q142" s="80">
        <v>2</v>
      </c>
      <c r="R142" s="79">
        <v>22.36</v>
      </c>
      <c r="S142" s="79">
        <v>0.88</v>
      </c>
      <c r="T142" s="79">
        <v>0.7</v>
      </c>
      <c r="U142" s="85">
        <f t="shared" si="8"/>
        <v>1173</v>
      </c>
      <c r="V142" s="79">
        <f t="shared" si="9"/>
        <v>1611.6824151999999</v>
      </c>
      <c r="W142" s="79">
        <f t="shared" si="10"/>
        <v>1.373983303665814</v>
      </c>
      <c r="X142" s="117">
        <v>3</v>
      </c>
      <c r="Y142" s="117">
        <v>4</v>
      </c>
      <c r="Z142" s="123">
        <v>6.49</v>
      </c>
      <c r="AA142" s="117">
        <v>20</v>
      </c>
      <c r="AB142" s="123">
        <v>6.6</v>
      </c>
      <c r="AC142" s="123">
        <v>7.7</v>
      </c>
      <c r="AD142" s="11">
        <v>0.34</v>
      </c>
      <c r="AE142" s="80">
        <v>0.96</v>
      </c>
      <c r="AF142" s="85">
        <f t="shared" si="11"/>
        <v>1173</v>
      </c>
      <c r="AG142" s="85">
        <f t="shared" si="12"/>
        <v>1856.9879380000002</v>
      </c>
      <c r="AH142" s="85">
        <f t="shared" si="13"/>
        <v>1.5831099215686277</v>
      </c>
      <c r="AI142" s="117">
        <v>3</v>
      </c>
      <c r="AJ142" s="117">
        <v>4</v>
      </c>
      <c r="AK142" s="80">
        <v>6.5</v>
      </c>
      <c r="AL142" s="80">
        <v>23</v>
      </c>
      <c r="AM142" s="123">
        <v>6.6</v>
      </c>
      <c r="AN142" s="123">
        <v>6.5</v>
      </c>
      <c r="AO142" s="80">
        <v>0.32</v>
      </c>
      <c r="AP142" s="128">
        <v>0.84</v>
      </c>
      <c r="AQ142" s="132">
        <f t="shared" si="14"/>
        <v>2156</v>
      </c>
      <c r="AR142" s="134">
        <f t="shared" si="15"/>
        <v>0.47448979591836737</v>
      </c>
      <c r="AS142" s="134">
        <f t="shared" si="16"/>
        <v>0.31679035250463822</v>
      </c>
      <c r="AT142" s="134">
        <f t="shared" si="17"/>
        <v>0.20871985157699444</v>
      </c>
      <c r="AU142" s="43">
        <f>IF(AND(F142&lt;&gt;"",Y142&lt;&gt;""),AA142/(F142/2/Y142),"")</f>
        <v>6.9565217391304349E-2</v>
      </c>
      <c r="AV142" s="43">
        <f>IF(AND(F142&lt;&gt;"",AJ142&lt;&gt;""),AL142/(F142/2/AJ142),"")</f>
        <v>0.08</v>
      </c>
      <c r="AW142" s="41">
        <f>IF(AND(AP142&lt;&gt;"",1-(AP142/N142)&gt;0),1-(AP142/N142),"")</f>
        <v>0.68773234200743494</v>
      </c>
      <c r="AX142" s="41">
        <f>IF(AND(AE142&lt;&gt;"",1-(AE142/N142)&gt;0),1-(AE142/N142),"")</f>
        <v>0.64312267657992561</v>
      </c>
      <c r="AY142" s="136" t="str">
        <f>IF(P142="","",IF(P142&lt;2.5,"Alc. Bruta &lt; 2,5 mg/L",IF(P142&lt;5,"2,5 ≤ Alc. Bruta &lt; 5,0 mg/L",IF(P142&lt;7.5,"5,0 ≤ Alc. Bruta &lt; 7,5 mg/L",IF(P142&lt;10,"7,5 ≤ Alc. Bruta &lt; 10,0 mg/L",IF(P142&lt;15,"10,0 ≤ Alca. Bruta &lt; 15,0 mg/L","Alc. Bruta &gt; 15 mg/L"))))))</f>
        <v>5,0 ≤ Alc. Bruta &lt; 7,5 mg/L</v>
      </c>
      <c r="AZ142" s="136" t="str">
        <f>IF(O142="","",IF(O142&lt;5,"Cor &lt;5 uC",IF(O142&lt;10,"5 ≤ Cor &lt; 10 uC",IF(O142&lt;15,"10 ≤ Cor &lt;15 uC",IF(O142&lt;30,"15 ≤ Cor &lt; 30 uC",IF(O142&lt;50,"30 ≤ Cor &lt; 50 uC","Cor &gt; 50 uC"))))))</f>
        <v>15 ≤ Cor &lt; 30 uC</v>
      </c>
      <c r="BA142" s="137" t="str">
        <f>IF(N142="","",IF(N142&lt;2.5,"Turbidez &lt; 2,5 uT",IF(N142&lt;5,"2,5 ≤ Turb &lt; 5,0 uT",IF(N142&lt;7.5,"5,0 ≤ Turb &lt; 7,5 uT",IF(N142&lt;10,"7,5 ≤ Turb &lt; 10,0 uT",IF(N142&lt;15,"10,0 ≤ Turb &lt; 15,0 uT","Turb &gt; 15 uT"))))))</f>
        <v>2,5 ≤ Turb &lt; 5,0 uT</v>
      </c>
      <c r="BB142" s="138" t="str">
        <f>IF(AND(C142&gt;D142,D142&gt;E142),"TOR &gt; SM &gt; BNN",IF(AND(C142&gt;E142,E142&gt;D142),"TOR &gt; BNN &gt; SM",IF(AND(D142&gt;C142,C142&gt;E142),"SM &gt; TOR &gt; BNN",IF(AND(D142&gt;E142,E142&gt;C142),"SM &gt; BNN &gt; TOR",IF(AND(C142=D142,D142=E142),"TOR = SM = BNN","Comb. diferentes")))))</f>
        <v>TOR &gt; SM &gt; BNN</v>
      </c>
      <c r="BC142" s="137" t="str">
        <f>IF(OR(AD142="",AP142="-"),"",IF(AD142&lt;=0.25,"Tipo 1 (≤0,25) uT",IF(AD142&lt;=0.5,"Tipo 2 (0,25-0,50) uT",IF(AD142&lt;=0.75,"Tipo 3 (0,50-0,75) uT","Tipo 4 (&gt;0,75) uT"))))</f>
        <v>Tipo 2 (0,25-0,50) uT</v>
      </c>
      <c r="BD142" s="137" t="str">
        <f>IF(OR(AO142="",AY142="-"),"",IF(AO142&lt;=0.25,"Tipo 1 (≤0,25) uT",IF(AO142&lt;=0.5,"Tipo 2 (0,25-0,50) uT",IF(AO142&lt;=0.75,"Tipo 3 (0,50-0,75) uT","Tipo 4 (&gt;0,75) uT"))))</f>
        <v>Tipo 2 (0,25-0,50) uT</v>
      </c>
      <c r="BE142" s="137" t="str">
        <f>IF(OR(AE142="",AP142="-"),"",IF(AE142&lt;=0.25,"Tipo 1 (≤0,25) uT",IF(AE142&lt;=0.5,"Tipo 2 (0,25-0,50) uT",IF(AE142&lt;=0.75,"Tipo 3 (0,50-0,75) uT","Tipo 4 (&gt;0,75) uT"))))</f>
        <v>Tipo 4 (&gt;0,75) uT</v>
      </c>
      <c r="BF142" s="137" t="str">
        <f>IF(OR(AP142="",AP142="-"),"",IF(AP142&lt;=0.25,"Tipo 1 (≤0,25) uT",IF(AP142&lt;=0.5,"Tipo 2 (0,25-0,50) uT",IF(AP142&lt;=0.75,"Tipo 3 (0,50-0,75) uT","Tipo 4 (&gt;0,75) uT"))))</f>
        <v>Tipo 4 (&gt;0,75) uT</v>
      </c>
      <c r="BG142" s="137" t="str">
        <f>IF(OR(Q142="",Q142="-"),"",IF(Q142&lt;=0.25,"Tipo 1 (≤0,25) uT",IF(Q142&lt;=0.5,"Tipo 2 (0,25-0,50) uT",IF(Q142&lt;=0.75,"Tipo 3 (0,50-0,75) uT","Tipo 4 (&gt;0,75) uT"))))</f>
        <v>Tipo 4 (&gt;0,75) uT</v>
      </c>
    </row>
    <row r="143" spans="1:59" x14ac:dyDescent="0.3">
      <c r="A143" s="26">
        <v>46143</v>
      </c>
      <c r="B143" s="111">
        <v>0.3125</v>
      </c>
      <c r="C143" s="118">
        <v>1050</v>
      </c>
      <c r="D143" s="116">
        <v>629</v>
      </c>
      <c r="E143" s="118">
        <v>450</v>
      </c>
      <c r="F143" s="118">
        <v>2500</v>
      </c>
      <c r="G143" s="9" t="s">
        <v>34</v>
      </c>
      <c r="H143" s="124">
        <v>3.8</v>
      </c>
      <c r="I143" s="118">
        <v>90</v>
      </c>
      <c r="J143" s="118">
        <v>90</v>
      </c>
      <c r="K143" s="118">
        <v>90</v>
      </c>
      <c r="L143" s="124">
        <v>23.3</v>
      </c>
      <c r="M143" s="124">
        <v>6.5</v>
      </c>
      <c r="N143" s="81">
        <v>2.31</v>
      </c>
      <c r="O143" s="118">
        <v>14</v>
      </c>
      <c r="P143" s="124">
        <v>5</v>
      </c>
      <c r="Q143" s="81">
        <v>0.25</v>
      </c>
      <c r="R143" s="79">
        <v>22.36</v>
      </c>
      <c r="S143" s="79">
        <v>0.88</v>
      </c>
      <c r="T143" s="79">
        <v>0.7</v>
      </c>
      <c r="U143" s="85">
        <f t="shared" si="8"/>
        <v>1156.25</v>
      </c>
      <c r="V143" s="79">
        <f t="shared" si="9"/>
        <v>1552.0610895919995</v>
      </c>
      <c r="W143" s="79">
        <f t="shared" si="10"/>
        <v>1.3423231045119994</v>
      </c>
      <c r="X143" s="118">
        <v>3</v>
      </c>
      <c r="Y143" s="118">
        <v>4</v>
      </c>
      <c r="Z143" s="124">
        <v>6.52</v>
      </c>
      <c r="AA143" s="118">
        <v>19.149999999999999</v>
      </c>
      <c r="AB143" s="124">
        <v>6.5</v>
      </c>
      <c r="AC143" s="124">
        <v>5.4</v>
      </c>
      <c r="AD143" s="9">
        <v>0.33</v>
      </c>
      <c r="AE143" s="81">
        <v>0.36</v>
      </c>
      <c r="AF143" s="85">
        <f t="shared" si="11"/>
        <v>1156.25</v>
      </c>
      <c r="AG143" s="85">
        <f t="shared" si="12"/>
        <v>1840.4628336639996</v>
      </c>
      <c r="AH143" s="85">
        <f t="shared" si="13"/>
        <v>1.5917516399256213</v>
      </c>
      <c r="AI143" s="118">
        <v>3</v>
      </c>
      <c r="AJ143" s="118">
        <v>4</v>
      </c>
      <c r="AK143" s="81">
        <v>6.4</v>
      </c>
      <c r="AL143" s="81">
        <v>23.24</v>
      </c>
      <c r="AM143" s="124">
        <v>6.5</v>
      </c>
      <c r="AN143" s="124">
        <v>5.7</v>
      </c>
      <c r="AO143" s="81">
        <v>0.23</v>
      </c>
      <c r="AP143" s="129">
        <v>0.27</v>
      </c>
      <c r="AQ143" s="132">
        <f t="shared" si="14"/>
        <v>2129</v>
      </c>
      <c r="AR143" s="134">
        <f t="shared" si="15"/>
        <v>0.49318929074682949</v>
      </c>
      <c r="AS143" s="134">
        <f t="shared" si="16"/>
        <v>0.29544387036167213</v>
      </c>
      <c r="AT143" s="134">
        <f t="shared" si="17"/>
        <v>0.21136683889149835</v>
      </c>
      <c r="AU143" s="43">
        <f>IF(AND(F143&lt;&gt;"",Y143&lt;&gt;""),AA143/(F143/2/Y143),"")</f>
        <v>6.1279999999999994E-2</v>
      </c>
      <c r="AV143" s="43">
        <f>IF(AND(F143&lt;&gt;"",AJ143&lt;&gt;""),AL143/(F143/2/AJ143),"")</f>
        <v>7.436799999999999E-2</v>
      </c>
      <c r="AW143" s="41">
        <f>IF(AND(AP143&lt;&gt;"",1-(AP143/N143)&gt;0),1-(AP143/N143),"")</f>
        <v>0.88311688311688308</v>
      </c>
      <c r="AX143" s="41">
        <f>IF(AND(AE143&lt;&gt;"",1-(AE143/N143)&gt;0),1-(AE143/N143),"")</f>
        <v>0.8441558441558441</v>
      </c>
      <c r="AY143" s="136" t="str">
        <f>IF(P143="","",IF(P143&lt;2.5,"Alc. Bruta &lt; 2,5 mg/L",IF(P143&lt;5,"2,5 ≤ Alc. Bruta &lt; 5,0 mg/L",IF(P143&lt;7.5,"5,0 ≤ Alc. Bruta &lt; 7,5 mg/L",IF(P143&lt;10,"7,5 ≤ Alc. Bruta &lt; 10,0 mg/L",IF(P143&lt;15,"10,0 ≤ Alca. Bruta &lt; 15,0 mg/L","Alc. Bruta &gt; 15 mg/L"))))))</f>
        <v>5,0 ≤ Alc. Bruta &lt; 7,5 mg/L</v>
      </c>
      <c r="AZ143" s="136" t="str">
        <f>IF(O143="","",IF(O143&lt;5,"Cor &lt;5 uC",IF(O143&lt;10,"5 ≤ Cor &lt; 10 uC",IF(O143&lt;15,"10 ≤ Cor &lt;15 uC",IF(O143&lt;30,"15 ≤ Cor &lt; 30 uC",IF(O143&lt;50,"30 ≤ Cor &lt; 50 uC","Cor &gt; 50 uC"))))))</f>
        <v>10 ≤ Cor &lt;15 uC</v>
      </c>
      <c r="BA143" s="137" t="str">
        <f>IF(N143="","",IF(N143&lt;2.5,"Turbidez &lt; 2,5 uT",IF(N143&lt;5,"2,5 ≤ Turb &lt; 5,0 uT",IF(N143&lt;7.5,"5,0 ≤ Turb &lt; 7,5 uT",IF(N143&lt;10,"7,5 ≤ Turb &lt; 10,0 uT",IF(N143&lt;15,"10,0 ≤ Turb &lt; 15,0 uT","Turb &gt; 15 uT"))))))</f>
        <v>Turbidez &lt; 2,5 uT</v>
      </c>
      <c r="BB143" s="138" t="str">
        <f>IF(AND(C143&gt;D143,D143&gt;E143),"TOR &gt; SM &gt; BNN",IF(AND(C143&gt;E143,E143&gt;D143),"TOR &gt; BNN &gt; SM",IF(AND(D143&gt;C143,C143&gt;E143),"SM &gt; TOR &gt; BNN",IF(AND(D143&gt;E143,E143&gt;C143),"SM &gt; BNN &gt; TOR",IF(AND(C143=D143,D143=E143),"TOR = SM = BNN","Comb. diferentes")))))</f>
        <v>TOR &gt; SM &gt; BNN</v>
      </c>
      <c r="BC143" s="137" t="str">
        <f>IF(OR(AD143="",AP143="-"),"",IF(AD143&lt;=0.25,"Tipo 1 (≤0,25) uT",IF(AD143&lt;=0.5,"Tipo 2 (0,25-0,50) uT",IF(AD143&lt;=0.75,"Tipo 3 (0,50-0,75) uT","Tipo 4 (&gt;0,75) uT"))))</f>
        <v>Tipo 2 (0,25-0,50) uT</v>
      </c>
      <c r="BD143" s="137" t="str">
        <f>IF(OR(AO143="",AY143="-"),"",IF(AO143&lt;=0.25,"Tipo 1 (≤0,25) uT",IF(AO143&lt;=0.5,"Tipo 2 (0,25-0,50) uT",IF(AO143&lt;=0.75,"Tipo 3 (0,50-0,75) uT","Tipo 4 (&gt;0,75) uT"))))</f>
        <v>Tipo 1 (≤0,25) uT</v>
      </c>
      <c r="BE143" s="137" t="str">
        <f>IF(OR(AE143="",AP143="-"),"",IF(AE143&lt;=0.25,"Tipo 1 (≤0,25) uT",IF(AE143&lt;=0.5,"Tipo 2 (0,25-0,50) uT",IF(AE143&lt;=0.75,"Tipo 3 (0,50-0,75) uT","Tipo 4 (&gt;0,75) uT"))))</f>
        <v>Tipo 2 (0,25-0,50) uT</v>
      </c>
      <c r="BF143" s="137" t="str">
        <f>IF(OR(AP143="",AP143="-"),"",IF(AP143&lt;=0.25,"Tipo 1 (≤0,25) uT",IF(AP143&lt;=0.5,"Tipo 2 (0,25-0,50) uT",IF(AP143&lt;=0.75,"Tipo 3 (0,50-0,75) uT","Tipo 4 (&gt;0,75) uT"))))</f>
        <v>Tipo 2 (0,25-0,50) uT</v>
      </c>
      <c r="BG143" s="137" t="str">
        <f>IF(OR(Q143="",Q143="-"),"",IF(Q143&lt;=0.25,"Tipo 1 (≤0,25) uT",IF(Q143&lt;=0.5,"Tipo 2 (0,25-0,50) uT",IF(Q143&lt;=0.75,"Tipo 3 (0,50-0,75) uT","Tipo 4 (&gt;0,75) uT"))))</f>
        <v>Tipo 1 (≤0,25) uT</v>
      </c>
    </row>
    <row r="144" spans="1:59" x14ac:dyDescent="0.3">
      <c r="A144" s="26">
        <v>46143</v>
      </c>
      <c r="B144" s="107">
        <v>0.39583333333333331</v>
      </c>
      <c r="C144" s="116">
        <v>1211</v>
      </c>
      <c r="D144" s="116">
        <v>90</v>
      </c>
      <c r="E144" s="116">
        <v>453</v>
      </c>
      <c r="F144" s="116">
        <v>1820</v>
      </c>
      <c r="G144" s="10" t="s">
        <v>100</v>
      </c>
      <c r="H144" s="122">
        <v>3.8</v>
      </c>
      <c r="I144" s="116">
        <v>90</v>
      </c>
      <c r="J144" s="116">
        <v>90</v>
      </c>
      <c r="K144" s="116">
        <v>90</v>
      </c>
      <c r="L144" s="122">
        <v>23.9</v>
      </c>
      <c r="M144" s="122">
        <v>6.4</v>
      </c>
      <c r="N144" s="79">
        <v>2.73</v>
      </c>
      <c r="O144" s="116">
        <v>14</v>
      </c>
      <c r="P144" s="122">
        <v>5.9</v>
      </c>
      <c r="Q144" s="79">
        <v>0.27</v>
      </c>
      <c r="R144" s="79">
        <v>22.36</v>
      </c>
      <c r="S144" s="79">
        <v>0.88</v>
      </c>
      <c r="T144" s="79">
        <v>0.7</v>
      </c>
      <c r="U144" s="85">
        <f t="shared" si="8"/>
        <v>1249.7333333333333</v>
      </c>
      <c r="V144" s="79">
        <f t="shared" si="9"/>
        <v>1419.2646569504</v>
      </c>
      <c r="W144" s="79">
        <f t="shared" si="10"/>
        <v>1.1356539984133147</v>
      </c>
      <c r="X144" s="116">
        <v>2</v>
      </c>
      <c r="Y144" s="116">
        <v>3</v>
      </c>
      <c r="Z144" s="122">
        <v>6.47</v>
      </c>
      <c r="AA144" s="116">
        <v>17.68</v>
      </c>
      <c r="AB144" s="122">
        <v>6.4</v>
      </c>
      <c r="AC144" s="122">
        <v>5.4</v>
      </c>
      <c r="AD144" s="10">
        <v>0.23</v>
      </c>
      <c r="AE144" s="79">
        <v>0.71</v>
      </c>
      <c r="AF144" s="85">
        <f t="shared" si="11"/>
        <v>1249.7333333333333</v>
      </c>
      <c r="AG144" s="85">
        <f t="shared" si="12"/>
        <v>1856.9879380000002</v>
      </c>
      <c r="AH144" s="85">
        <f t="shared" si="13"/>
        <v>1.485907343966713</v>
      </c>
      <c r="AI144" s="116">
        <v>2</v>
      </c>
      <c r="AJ144" s="116">
        <v>3</v>
      </c>
      <c r="AK144" s="79">
        <v>6.5</v>
      </c>
      <c r="AL144" s="79">
        <v>23</v>
      </c>
      <c r="AM144" s="122">
        <v>6.4</v>
      </c>
      <c r="AN144" s="122">
        <v>5.4</v>
      </c>
      <c r="AO144" s="79">
        <v>0.34</v>
      </c>
      <c r="AP144" s="127">
        <v>0.28000000000000003</v>
      </c>
      <c r="AQ144" s="132">
        <f t="shared" si="14"/>
        <v>1754</v>
      </c>
      <c r="AR144" s="134">
        <f t="shared" si="15"/>
        <v>0.69042189281641964</v>
      </c>
      <c r="AS144" s="134">
        <f t="shared" si="16"/>
        <v>5.1311288483466361E-2</v>
      </c>
      <c r="AT144" s="134">
        <f t="shared" si="17"/>
        <v>0.25826681870011403</v>
      </c>
      <c r="AU144" s="43">
        <f>IF(AND(F144&lt;&gt;"",Y144&lt;&gt;""),AA144/(F144/2/Y144),"")</f>
        <v>5.8285714285714288E-2</v>
      </c>
      <c r="AV144" s="43">
        <f>IF(AND(F144&lt;&gt;"",AJ144&lt;&gt;""),AL144/(F144/2/AJ144),"")</f>
        <v>7.5824175824175832E-2</v>
      </c>
      <c r="AW144" s="41">
        <f>IF(AND(AP144&lt;&gt;"",1-(AP144/N144)&gt;0),1-(AP144/N144),"")</f>
        <v>0.89743589743589747</v>
      </c>
      <c r="AX144" s="41">
        <f>IF(AND(AE144&lt;&gt;"",1-(AE144/N144)&gt;0),1-(AE144/N144),"")</f>
        <v>0.73992673992673996</v>
      </c>
      <c r="AY144" s="136" t="str">
        <f>IF(P144="","",IF(P144&lt;2.5,"Alc. Bruta &lt; 2,5 mg/L",IF(P144&lt;5,"2,5 ≤ Alc. Bruta &lt; 5,0 mg/L",IF(P144&lt;7.5,"5,0 ≤ Alc. Bruta &lt; 7,5 mg/L",IF(P144&lt;10,"7,5 ≤ Alc. Bruta &lt; 10,0 mg/L",IF(P144&lt;15,"10,0 ≤ Alca. Bruta &lt; 15,0 mg/L","Alc. Bruta &gt; 15 mg/L"))))))</f>
        <v>5,0 ≤ Alc. Bruta &lt; 7,5 mg/L</v>
      </c>
      <c r="AZ144" s="136" t="str">
        <f>IF(O144="","",IF(O144&lt;5,"Cor &lt;5 uC",IF(O144&lt;10,"5 ≤ Cor &lt; 10 uC",IF(O144&lt;15,"10 ≤ Cor &lt;15 uC",IF(O144&lt;30,"15 ≤ Cor &lt; 30 uC",IF(O144&lt;50,"30 ≤ Cor &lt; 50 uC","Cor &gt; 50 uC"))))))</f>
        <v>10 ≤ Cor &lt;15 uC</v>
      </c>
      <c r="BA144" s="137" t="str">
        <f>IF(N144="","",IF(N144&lt;2.5,"Turbidez &lt; 2,5 uT",IF(N144&lt;5,"2,5 ≤ Turb &lt; 5,0 uT",IF(N144&lt;7.5,"5,0 ≤ Turb &lt; 7,5 uT",IF(N144&lt;10,"7,5 ≤ Turb &lt; 10,0 uT",IF(N144&lt;15,"10,0 ≤ Turb &lt; 15,0 uT","Turb &gt; 15 uT"))))))</f>
        <v>2,5 ≤ Turb &lt; 5,0 uT</v>
      </c>
      <c r="BB144" s="138" t="str">
        <f>IF(AND(C144&gt;D144,D144&gt;E144),"TOR &gt; SM &gt; BNN",IF(AND(C144&gt;E144,E144&gt;D144),"TOR &gt; BNN &gt; SM",IF(AND(D144&gt;C144,C144&gt;E144),"SM &gt; TOR &gt; BNN",IF(AND(D144&gt;E144,E144&gt;C144),"SM &gt; BNN &gt; TOR",IF(AND(C144=D144,D144=E144),"TOR = SM = BNN","Comb. diferentes")))))</f>
        <v>TOR &gt; BNN &gt; SM</v>
      </c>
      <c r="BC144" s="137" t="str">
        <f>IF(OR(AD144="",AP144="-"),"",IF(AD144&lt;=0.25,"Tipo 1 (≤0,25) uT",IF(AD144&lt;=0.5,"Tipo 2 (0,25-0,50) uT",IF(AD144&lt;=0.75,"Tipo 3 (0,50-0,75) uT","Tipo 4 (&gt;0,75) uT"))))</f>
        <v>Tipo 1 (≤0,25) uT</v>
      </c>
      <c r="BD144" s="137" t="str">
        <f>IF(OR(AO144="",AY144="-"),"",IF(AO144&lt;=0.25,"Tipo 1 (≤0,25) uT",IF(AO144&lt;=0.5,"Tipo 2 (0,25-0,50) uT",IF(AO144&lt;=0.75,"Tipo 3 (0,50-0,75) uT","Tipo 4 (&gt;0,75) uT"))))</f>
        <v>Tipo 2 (0,25-0,50) uT</v>
      </c>
      <c r="BE144" s="137" t="str">
        <f>IF(OR(AE144="",AP144="-"),"",IF(AE144&lt;=0.25,"Tipo 1 (≤0,25) uT",IF(AE144&lt;=0.5,"Tipo 2 (0,25-0,50) uT",IF(AE144&lt;=0.75,"Tipo 3 (0,50-0,75) uT","Tipo 4 (&gt;0,75) uT"))))</f>
        <v>Tipo 3 (0,50-0,75) uT</v>
      </c>
      <c r="BF144" s="137" t="str">
        <f>IF(OR(AP144="",AP144="-"),"",IF(AP144&lt;=0.25,"Tipo 1 (≤0,25) uT",IF(AP144&lt;=0.5,"Tipo 2 (0,25-0,50) uT",IF(AP144&lt;=0.75,"Tipo 3 (0,50-0,75) uT","Tipo 4 (&gt;0,75) uT"))))</f>
        <v>Tipo 2 (0,25-0,50) uT</v>
      </c>
      <c r="BG144" s="137" t="str">
        <f>IF(OR(Q144="",Q144="-"),"",IF(Q144&lt;=0.25,"Tipo 1 (≤0,25) uT",IF(Q144&lt;=0.5,"Tipo 2 (0,25-0,50) uT",IF(Q144&lt;=0.75,"Tipo 3 (0,50-0,75) uT","Tipo 4 (&gt;0,75) uT"))))</f>
        <v>Tipo 2 (0,25-0,50) uT</v>
      </c>
    </row>
    <row r="145" spans="1:59" x14ac:dyDescent="0.3">
      <c r="A145" s="26">
        <v>46143</v>
      </c>
      <c r="B145" s="107">
        <v>0.47916666666666669</v>
      </c>
      <c r="C145" s="116">
        <v>1163</v>
      </c>
      <c r="D145" s="116">
        <v>92</v>
      </c>
      <c r="E145" s="116">
        <v>452</v>
      </c>
      <c r="F145" s="116">
        <v>1825</v>
      </c>
      <c r="G145" s="10" t="s">
        <v>100</v>
      </c>
      <c r="H145" s="122">
        <v>3.2</v>
      </c>
      <c r="I145" s="116">
        <v>90</v>
      </c>
      <c r="J145" s="116">
        <v>90</v>
      </c>
      <c r="K145" s="116">
        <v>90</v>
      </c>
      <c r="L145" s="122">
        <v>24.1</v>
      </c>
      <c r="M145" s="122">
        <v>6.6</v>
      </c>
      <c r="N145" s="79">
        <v>3.22</v>
      </c>
      <c r="O145" s="116">
        <v>15</v>
      </c>
      <c r="P145" s="122">
        <v>4.8</v>
      </c>
      <c r="Q145" s="79">
        <v>0.11</v>
      </c>
      <c r="R145" s="79">
        <v>22.36</v>
      </c>
      <c r="S145" s="79">
        <v>0.88</v>
      </c>
      <c r="T145" s="79">
        <v>0.7</v>
      </c>
      <c r="U145" s="85">
        <f t="shared" si="8"/>
        <v>1347.4583333333333</v>
      </c>
      <c r="V145" s="79">
        <f t="shared" si="9"/>
        <v>1417.8003678539999</v>
      </c>
      <c r="W145" s="79">
        <f t="shared" si="10"/>
        <v>1.0522034951141346</v>
      </c>
      <c r="X145" s="116">
        <v>2</v>
      </c>
      <c r="Y145" s="116">
        <v>3</v>
      </c>
      <c r="Z145" s="122">
        <v>6.45</v>
      </c>
      <c r="AA145" s="116">
        <v>17.73</v>
      </c>
      <c r="AB145" s="122">
        <v>6.5</v>
      </c>
      <c r="AC145" s="122">
        <v>4.4000000000000004</v>
      </c>
      <c r="AD145" s="10">
        <v>0.18</v>
      </c>
      <c r="AE145" s="79">
        <v>0.09</v>
      </c>
      <c r="AF145" s="85">
        <f t="shared" si="11"/>
        <v>1347.4583333333333</v>
      </c>
      <c r="AG145" s="85">
        <f t="shared" si="12"/>
        <v>1851.0172538571996</v>
      </c>
      <c r="AH145" s="85">
        <f t="shared" si="13"/>
        <v>1.3737101979830173</v>
      </c>
      <c r="AI145" s="116">
        <v>2</v>
      </c>
      <c r="AJ145" s="116">
        <v>3</v>
      </c>
      <c r="AK145" s="79">
        <v>6.49</v>
      </c>
      <c r="AL145" s="79">
        <v>22.97</v>
      </c>
      <c r="AM145" s="122">
        <v>6.6</v>
      </c>
      <c r="AN145" s="122">
        <v>5.0999999999999996</v>
      </c>
      <c r="AO145" s="79">
        <v>0.25</v>
      </c>
      <c r="AP145" s="127">
        <v>0.14000000000000001</v>
      </c>
      <c r="AQ145" s="132">
        <f t="shared" si="14"/>
        <v>1707</v>
      </c>
      <c r="AR145" s="134">
        <f t="shared" si="15"/>
        <v>0.68131224370240184</v>
      </c>
      <c r="AS145" s="134">
        <f t="shared" si="16"/>
        <v>5.3895723491505565E-2</v>
      </c>
      <c r="AT145" s="134">
        <f t="shared" si="17"/>
        <v>0.26479203280609254</v>
      </c>
      <c r="AU145" s="43">
        <f>IF(AND(F145&lt;&gt;"",Y145&lt;&gt;""),AA145/(F145/2/Y145),"")</f>
        <v>5.829041095890411E-2</v>
      </c>
      <c r="AV145" s="43">
        <f>IF(AND(F145&lt;&gt;"",AJ145&lt;&gt;""),AL145/(F145/2/AJ145),"")</f>
        <v>7.551780821917807E-2</v>
      </c>
      <c r="AW145" s="41">
        <f>IF(AND(AP145&lt;&gt;"",1-(AP145/N145)&gt;0),1-(AP145/N145),"")</f>
        <v>0.95652173913043481</v>
      </c>
      <c r="AX145" s="41">
        <f>IF(AND(AE145&lt;&gt;"",1-(AE145/N145)&gt;0),1-(AE145/N145),"")</f>
        <v>0.97204968944099379</v>
      </c>
      <c r="AY145" s="136" t="str">
        <f>IF(P145="","",IF(P145&lt;2.5,"Alc. Bruta &lt; 2,5 mg/L",IF(P145&lt;5,"2,5 ≤ Alc. Bruta &lt; 5,0 mg/L",IF(P145&lt;7.5,"5,0 ≤ Alc. Bruta &lt; 7,5 mg/L",IF(P145&lt;10,"7,5 ≤ Alc. Bruta &lt; 10,0 mg/L",IF(P145&lt;15,"10,0 ≤ Alca. Bruta &lt; 15,0 mg/L","Alc. Bruta &gt; 15 mg/L"))))))</f>
        <v>2,5 ≤ Alc. Bruta &lt; 5,0 mg/L</v>
      </c>
      <c r="AZ145" s="136" t="str">
        <f>IF(O145="","",IF(O145&lt;5,"Cor &lt;5 uC",IF(O145&lt;10,"5 ≤ Cor &lt; 10 uC",IF(O145&lt;15,"10 ≤ Cor &lt;15 uC",IF(O145&lt;30,"15 ≤ Cor &lt; 30 uC",IF(O145&lt;50,"30 ≤ Cor &lt; 50 uC","Cor &gt; 50 uC"))))))</f>
        <v>15 ≤ Cor &lt; 30 uC</v>
      </c>
      <c r="BA145" s="137" t="str">
        <f>IF(N145="","",IF(N145&lt;2.5,"Turbidez &lt; 2,5 uT",IF(N145&lt;5,"2,5 ≤ Turb &lt; 5,0 uT",IF(N145&lt;7.5,"5,0 ≤ Turb &lt; 7,5 uT",IF(N145&lt;10,"7,5 ≤ Turb &lt; 10,0 uT",IF(N145&lt;15,"10,0 ≤ Turb &lt; 15,0 uT","Turb &gt; 15 uT"))))))</f>
        <v>2,5 ≤ Turb &lt; 5,0 uT</v>
      </c>
      <c r="BB145" s="138" t="str">
        <f>IF(AND(C145&gt;D145,D145&gt;E145),"TOR &gt; SM &gt; BNN",IF(AND(C145&gt;E145,E145&gt;D145),"TOR &gt; BNN &gt; SM",IF(AND(D145&gt;C145,C145&gt;E145),"SM &gt; TOR &gt; BNN",IF(AND(D145&gt;E145,E145&gt;C145),"SM &gt; BNN &gt; TOR",IF(AND(C145=D145,D145=E145),"TOR = SM = BNN","Comb. diferentes")))))</f>
        <v>TOR &gt; BNN &gt; SM</v>
      </c>
      <c r="BC145" s="137" t="str">
        <f>IF(OR(AD145="",AP145="-"),"",IF(AD145&lt;=0.25,"Tipo 1 (≤0,25) uT",IF(AD145&lt;=0.5,"Tipo 2 (0,25-0,50) uT",IF(AD145&lt;=0.75,"Tipo 3 (0,50-0,75) uT","Tipo 4 (&gt;0,75) uT"))))</f>
        <v>Tipo 1 (≤0,25) uT</v>
      </c>
      <c r="BD145" s="137" t="str">
        <f>IF(OR(AO145="",AY145="-"),"",IF(AO145&lt;=0.25,"Tipo 1 (≤0,25) uT",IF(AO145&lt;=0.5,"Tipo 2 (0,25-0,50) uT",IF(AO145&lt;=0.75,"Tipo 3 (0,50-0,75) uT","Tipo 4 (&gt;0,75) uT"))))</f>
        <v>Tipo 1 (≤0,25) uT</v>
      </c>
      <c r="BE145" s="137" t="str">
        <f>IF(OR(AE145="",AP145="-"),"",IF(AE145&lt;=0.25,"Tipo 1 (≤0,25) uT",IF(AE145&lt;=0.5,"Tipo 2 (0,25-0,50) uT",IF(AE145&lt;=0.75,"Tipo 3 (0,50-0,75) uT","Tipo 4 (&gt;0,75) uT"))))</f>
        <v>Tipo 1 (≤0,25) uT</v>
      </c>
      <c r="BF145" s="137" t="str">
        <f>IF(OR(AP145="",AP145="-"),"",IF(AP145&lt;=0.25,"Tipo 1 (≤0,25) uT",IF(AP145&lt;=0.5,"Tipo 2 (0,25-0,50) uT",IF(AP145&lt;=0.75,"Tipo 3 (0,50-0,75) uT","Tipo 4 (&gt;0,75) uT"))))</f>
        <v>Tipo 1 (≤0,25) uT</v>
      </c>
      <c r="BG145" s="137" t="str">
        <f>IF(OR(Q145="",Q145="-"),"",IF(Q145&lt;=0.25,"Tipo 1 (≤0,25) uT",IF(Q145&lt;=0.5,"Tipo 2 (0,25-0,50) uT",IF(Q145&lt;=0.75,"Tipo 3 (0,50-0,75) uT","Tipo 4 (&gt;0,75) uT"))))</f>
        <v>Tipo 1 (≤0,25) uT</v>
      </c>
    </row>
    <row r="146" spans="1:59" x14ac:dyDescent="0.3">
      <c r="A146" s="26">
        <v>46143</v>
      </c>
      <c r="B146" s="107">
        <v>0.5625</v>
      </c>
      <c r="C146" s="116">
        <v>1109</v>
      </c>
      <c r="D146" s="116">
        <v>90</v>
      </c>
      <c r="E146" s="116">
        <v>453</v>
      </c>
      <c r="F146" s="116">
        <v>1819</v>
      </c>
      <c r="G146" s="10" t="s">
        <v>100</v>
      </c>
      <c r="H146" s="122">
        <v>3.3</v>
      </c>
      <c r="I146" s="116">
        <v>90</v>
      </c>
      <c r="J146" s="116">
        <v>90</v>
      </c>
      <c r="K146" s="116">
        <v>90</v>
      </c>
      <c r="L146" s="122">
        <v>24.6</v>
      </c>
      <c r="M146" s="122">
        <v>6.6</v>
      </c>
      <c r="N146" s="79">
        <v>3.06</v>
      </c>
      <c r="O146" s="116">
        <v>13</v>
      </c>
      <c r="P146" s="122">
        <v>5.6</v>
      </c>
      <c r="Q146" s="79">
        <v>0.08</v>
      </c>
      <c r="R146" s="79">
        <v>22.36</v>
      </c>
      <c r="S146" s="79">
        <v>0.88</v>
      </c>
      <c r="T146" s="79">
        <v>0.7</v>
      </c>
      <c r="U146" s="85">
        <f t="shared" si="8"/>
        <v>1303.6166666666668</v>
      </c>
      <c r="V146" s="79">
        <f t="shared" si="9"/>
        <v>1429.8807122600001</v>
      </c>
      <c r="W146" s="79">
        <f t="shared" si="10"/>
        <v>1.0968567285321604</v>
      </c>
      <c r="X146" s="116">
        <v>2</v>
      </c>
      <c r="Y146" s="116">
        <v>3</v>
      </c>
      <c r="Z146" s="122">
        <v>6.5</v>
      </c>
      <c r="AA146" s="116">
        <v>17.71</v>
      </c>
      <c r="AB146" s="122">
        <v>6.5</v>
      </c>
      <c r="AC146" s="122">
        <v>4.4000000000000004</v>
      </c>
      <c r="AD146" s="10">
        <v>0.18</v>
      </c>
      <c r="AE146" s="79">
        <v>0.12</v>
      </c>
      <c r="AF146" s="85">
        <f t="shared" si="11"/>
        <v>1303.6166666666668</v>
      </c>
      <c r="AG146" s="85">
        <f t="shared" si="12"/>
        <v>1856.9879380000002</v>
      </c>
      <c r="AH146" s="85">
        <f t="shared" si="13"/>
        <v>1.4244892578339747</v>
      </c>
      <c r="AI146" s="116">
        <v>2</v>
      </c>
      <c r="AJ146" s="116">
        <v>3</v>
      </c>
      <c r="AK146" s="79">
        <v>6.5</v>
      </c>
      <c r="AL146" s="79">
        <v>23</v>
      </c>
      <c r="AM146" s="122">
        <v>6.6</v>
      </c>
      <c r="AN146" s="122">
        <v>4.5999999999999996</v>
      </c>
      <c r="AO146" s="79">
        <v>0.24</v>
      </c>
      <c r="AP146" s="127">
        <v>0.24</v>
      </c>
      <c r="AQ146" s="132">
        <f t="shared" si="14"/>
        <v>1652</v>
      </c>
      <c r="AR146" s="134">
        <f t="shared" si="15"/>
        <v>0.67130750605326872</v>
      </c>
      <c r="AS146" s="134">
        <f t="shared" si="16"/>
        <v>5.4479418886198547E-2</v>
      </c>
      <c r="AT146" s="134">
        <f t="shared" si="17"/>
        <v>0.27421307506053266</v>
      </c>
      <c r="AU146" s="43">
        <f>IF(AND(F146&lt;&gt;"",Y146&lt;&gt;""),AA146/(F146/2/Y146),"")</f>
        <v>5.8416712479384278E-2</v>
      </c>
      <c r="AV146" s="43">
        <f>IF(AND(F146&lt;&gt;"",AJ146&lt;&gt;""),AL146/(F146/2/AJ146),"")</f>
        <v>7.5865860362836712E-2</v>
      </c>
      <c r="AW146" s="41">
        <f>IF(AND(AP146&lt;&gt;"",1-(AP146/N146)&gt;0),1-(AP146/N146),"")</f>
        <v>0.92156862745098045</v>
      </c>
      <c r="AX146" s="41">
        <f>IF(AND(AE146&lt;&gt;"",1-(AE146/N146)&gt;0),1-(AE146/N146),"")</f>
        <v>0.96078431372549022</v>
      </c>
      <c r="AY146" s="136" t="str">
        <f>IF(P146="","",IF(P146&lt;2.5,"Alc. Bruta &lt; 2,5 mg/L",IF(P146&lt;5,"2,5 ≤ Alc. Bruta &lt; 5,0 mg/L",IF(P146&lt;7.5,"5,0 ≤ Alc. Bruta &lt; 7,5 mg/L",IF(P146&lt;10,"7,5 ≤ Alc. Bruta &lt; 10,0 mg/L",IF(P146&lt;15,"10,0 ≤ Alca. Bruta &lt; 15,0 mg/L","Alc. Bruta &gt; 15 mg/L"))))))</f>
        <v>5,0 ≤ Alc. Bruta &lt; 7,5 mg/L</v>
      </c>
      <c r="AZ146" s="136" t="str">
        <f>IF(O146="","",IF(O146&lt;5,"Cor &lt;5 uC",IF(O146&lt;10,"5 ≤ Cor &lt; 10 uC",IF(O146&lt;15,"10 ≤ Cor &lt;15 uC",IF(O146&lt;30,"15 ≤ Cor &lt; 30 uC",IF(O146&lt;50,"30 ≤ Cor &lt; 50 uC","Cor &gt; 50 uC"))))))</f>
        <v>10 ≤ Cor &lt;15 uC</v>
      </c>
      <c r="BA146" s="137" t="str">
        <f>IF(N146="","",IF(N146&lt;2.5,"Turbidez &lt; 2,5 uT",IF(N146&lt;5,"2,5 ≤ Turb &lt; 5,0 uT",IF(N146&lt;7.5,"5,0 ≤ Turb &lt; 7,5 uT",IF(N146&lt;10,"7,5 ≤ Turb &lt; 10,0 uT",IF(N146&lt;15,"10,0 ≤ Turb &lt; 15,0 uT","Turb &gt; 15 uT"))))))</f>
        <v>2,5 ≤ Turb &lt; 5,0 uT</v>
      </c>
      <c r="BB146" s="138" t="str">
        <f>IF(AND(C146&gt;D146,D146&gt;E146),"TOR &gt; SM &gt; BNN",IF(AND(C146&gt;E146,E146&gt;D146),"TOR &gt; BNN &gt; SM",IF(AND(D146&gt;C146,C146&gt;E146),"SM &gt; TOR &gt; BNN",IF(AND(D146&gt;E146,E146&gt;C146),"SM &gt; BNN &gt; TOR",IF(AND(C146=D146,D146=E146),"TOR = SM = BNN","Comb. diferentes")))))</f>
        <v>TOR &gt; BNN &gt; SM</v>
      </c>
      <c r="BC146" s="137" t="str">
        <f>IF(OR(AD146="",AP146="-"),"",IF(AD146&lt;=0.25,"Tipo 1 (≤0,25) uT",IF(AD146&lt;=0.5,"Tipo 2 (0,25-0,50) uT",IF(AD146&lt;=0.75,"Tipo 3 (0,50-0,75) uT","Tipo 4 (&gt;0,75) uT"))))</f>
        <v>Tipo 1 (≤0,25) uT</v>
      </c>
      <c r="BD146" s="137" t="str">
        <f>IF(OR(AO146="",AY146="-"),"",IF(AO146&lt;=0.25,"Tipo 1 (≤0,25) uT",IF(AO146&lt;=0.5,"Tipo 2 (0,25-0,50) uT",IF(AO146&lt;=0.75,"Tipo 3 (0,50-0,75) uT","Tipo 4 (&gt;0,75) uT"))))</f>
        <v>Tipo 1 (≤0,25) uT</v>
      </c>
      <c r="BE146" s="137" t="str">
        <f>IF(OR(AE146="",AP146="-"),"",IF(AE146&lt;=0.25,"Tipo 1 (≤0,25) uT",IF(AE146&lt;=0.5,"Tipo 2 (0,25-0,50) uT",IF(AE146&lt;=0.75,"Tipo 3 (0,50-0,75) uT","Tipo 4 (&gt;0,75) uT"))))</f>
        <v>Tipo 1 (≤0,25) uT</v>
      </c>
      <c r="BF146" s="137" t="str">
        <f>IF(OR(AP146="",AP146="-"),"",IF(AP146&lt;=0.25,"Tipo 1 (≤0,25) uT",IF(AP146&lt;=0.5,"Tipo 2 (0,25-0,50) uT",IF(AP146&lt;=0.75,"Tipo 3 (0,50-0,75) uT","Tipo 4 (&gt;0,75) uT"))))</f>
        <v>Tipo 1 (≤0,25) uT</v>
      </c>
      <c r="BG146" s="137" t="str">
        <f>IF(OR(Q146="",Q146="-"),"",IF(Q146&lt;=0.25,"Tipo 1 (≤0,25) uT",IF(Q146&lt;=0.5,"Tipo 2 (0,25-0,50) uT",IF(Q146&lt;=0.75,"Tipo 3 (0,50-0,75) uT","Tipo 4 (&gt;0,75) uT"))))</f>
        <v>Tipo 1 (≤0,25) uT</v>
      </c>
    </row>
    <row r="147" spans="1:59" x14ac:dyDescent="0.3">
      <c r="A147" s="26">
        <v>46143</v>
      </c>
      <c r="B147" s="107">
        <v>0.64583333333333337</v>
      </c>
      <c r="C147" s="116">
        <v>1053</v>
      </c>
      <c r="D147" s="116">
        <v>90</v>
      </c>
      <c r="E147" s="116">
        <v>453</v>
      </c>
      <c r="F147" s="116">
        <v>1802</v>
      </c>
      <c r="G147" s="10" t="s">
        <v>100</v>
      </c>
      <c r="H147" s="122">
        <v>3.3</v>
      </c>
      <c r="I147" s="116">
        <v>90</v>
      </c>
      <c r="J147" s="116">
        <v>90</v>
      </c>
      <c r="K147" s="116">
        <v>90</v>
      </c>
      <c r="L147" s="122">
        <v>25</v>
      </c>
      <c r="M147" s="122">
        <v>6.6</v>
      </c>
      <c r="N147" s="79">
        <v>3.43</v>
      </c>
      <c r="O147" s="116">
        <v>15</v>
      </c>
      <c r="P147" s="122">
        <v>5.3</v>
      </c>
      <c r="Q147" s="79">
        <v>7.0000000000000007E-2</v>
      </c>
      <c r="R147" s="79">
        <v>22.36</v>
      </c>
      <c r="S147" s="79">
        <v>0.88</v>
      </c>
      <c r="T147" s="79">
        <v>0.7</v>
      </c>
      <c r="U147" s="85">
        <f t="shared" si="8"/>
        <v>1402.5566666666666</v>
      </c>
      <c r="V147" s="79">
        <f t="shared" si="9"/>
        <v>1429.0733262000001</v>
      </c>
      <c r="W147" s="79">
        <f t="shared" si="10"/>
        <v>1.0189059452381011</v>
      </c>
      <c r="X147" s="116">
        <v>2</v>
      </c>
      <c r="Y147" s="116">
        <v>3</v>
      </c>
      <c r="Z147" s="122">
        <v>6.5</v>
      </c>
      <c r="AA147" s="116">
        <v>17.7</v>
      </c>
      <c r="AB147" s="122">
        <v>6.6</v>
      </c>
      <c r="AC147" s="122">
        <v>5.3</v>
      </c>
      <c r="AD147" s="10">
        <v>0.14000000000000001</v>
      </c>
      <c r="AE147" s="79">
        <v>0.6</v>
      </c>
      <c r="AF147" s="85">
        <f t="shared" si="11"/>
        <v>1402.5566666666666</v>
      </c>
      <c r="AG147" s="85">
        <f t="shared" si="12"/>
        <v>1848.1066913400002</v>
      </c>
      <c r="AH147" s="85">
        <f t="shared" si="13"/>
        <v>1.3176698918926628</v>
      </c>
      <c r="AI147" s="116">
        <v>2</v>
      </c>
      <c r="AJ147" s="116">
        <v>3</v>
      </c>
      <c r="AK147" s="79">
        <v>6.5</v>
      </c>
      <c r="AL147" s="79">
        <v>22.89</v>
      </c>
      <c r="AM147" s="122">
        <v>6.6</v>
      </c>
      <c r="AN147" s="122">
        <v>4.4000000000000004</v>
      </c>
      <c r="AO147" s="79">
        <v>0.15</v>
      </c>
      <c r="AP147" s="127">
        <v>0.23</v>
      </c>
      <c r="AQ147" s="132">
        <f t="shared" si="14"/>
        <v>1596</v>
      </c>
      <c r="AR147" s="134">
        <f t="shared" si="15"/>
        <v>0.65977443609022557</v>
      </c>
      <c r="AS147" s="134">
        <f t="shared" si="16"/>
        <v>5.6390977443609019E-2</v>
      </c>
      <c r="AT147" s="134">
        <f t="shared" si="17"/>
        <v>0.28383458646616544</v>
      </c>
      <c r="AU147" s="43">
        <f>IF(AND(F147&lt;&gt;"",Y147&lt;&gt;""),AA147/(F147/2/Y147),"")</f>
        <v>5.8934517203107661E-2</v>
      </c>
      <c r="AV147" s="43">
        <f>IF(AND(F147&lt;&gt;"",AJ147&lt;&gt;""),AL147/(F147/2/AJ147),"")</f>
        <v>7.6215316315205339E-2</v>
      </c>
      <c r="AW147" s="41">
        <f>IF(AND(AP147&lt;&gt;"",1-(AP147/N147)&gt;0),1-(AP147/N147),"")</f>
        <v>0.93294460641399413</v>
      </c>
      <c r="AX147" s="41">
        <f>IF(AND(AE147&lt;&gt;"",1-(AE147/N147)&gt;0),1-(AE147/N147),"")</f>
        <v>0.82507288629737607</v>
      </c>
      <c r="AY147" s="136" t="str">
        <f>IF(P147="","",IF(P147&lt;2.5,"Alc. Bruta &lt; 2,5 mg/L",IF(P147&lt;5,"2,5 ≤ Alc. Bruta &lt; 5,0 mg/L",IF(P147&lt;7.5,"5,0 ≤ Alc. Bruta &lt; 7,5 mg/L",IF(P147&lt;10,"7,5 ≤ Alc. Bruta &lt; 10,0 mg/L",IF(P147&lt;15,"10,0 ≤ Alca. Bruta &lt; 15,0 mg/L","Alc. Bruta &gt; 15 mg/L"))))))</f>
        <v>5,0 ≤ Alc. Bruta &lt; 7,5 mg/L</v>
      </c>
      <c r="AZ147" s="136" t="str">
        <f>IF(O147="","",IF(O147&lt;5,"Cor &lt;5 uC",IF(O147&lt;10,"5 ≤ Cor &lt; 10 uC",IF(O147&lt;15,"10 ≤ Cor &lt;15 uC",IF(O147&lt;30,"15 ≤ Cor &lt; 30 uC",IF(O147&lt;50,"30 ≤ Cor &lt; 50 uC","Cor &gt; 50 uC"))))))</f>
        <v>15 ≤ Cor &lt; 30 uC</v>
      </c>
      <c r="BA147" s="137" t="str">
        <f>IF(N147="","",IF(N147&lt;2.5,"Turbidez &lt; 2,5 uT",IF(N147&lt;5,"2,5 ≤ Turb &lt; 5,0 uT",IF(N147&lt;7.5,"5,0 ≤ Turb &lt; 7,5 uT",IF(N147&lt;10,"7,5 ≤ Turb &lt; 10,0 uT",IF(N147&lt;15,"10,0 ≤ Turb &lt; 15,0 uT","Turb &gt; 15 uT"))))))</f>
        <v>2,5 ≤ Turb &lt; 5,0 uT</v>
      </c>
      <c r="BB147" s="138" t="str">
        <f>IF(AND(C147&gt;D147,D147&gt;E147),"TOR &gt; SM &gt; BNN",IF(AND(C147&gt;E147,E147&gt;D147),"TOR &gt; BNN &gt; SM",IF(AND(D147&gt;C147,C147&gt;E147),"SM &gt; TOR &gt; BNN",IF(AND(D147&gt;E147,E147&gt;C147),"SM &gt; BNN &gt; TOR",IF(AND(C147=D147,D147=E147),"TOR = SM = BNN","Comb. diferentes")))))</f>
        <v>TOR &gt; BNN &gt; SM</v>
      </c>
      <c r="BC147" s="137" t="str">
        <f>IF(OR(AD147="",AP147="-"),"",IF(AD147&lt;=0.25,"Tipo 1 (≤0,25) uT",IF(AD147&lt;=0.5,"Tipo 2 (0,25-0,50) uT",IF(AD147&lt;=0.75,"Tipo 3 (0,50-0,75) uT","Tipo 4 (&gt;0,75) uT"))))</f>
        <v>Tipo 1 (≤0,25) uT</v>
      </c>
      <c r="BD147" s="137" t="str">
        <f>IF(OR(AO147="",AY147="-"),"",IF(AO147&lt;=0.25,"Tipo 1 (≤0,25) uT",IF(AO147&lt;=0.5,"Tipo 2 (0,25-0,50) uT",IF(AO147&lt;=0.75,"Tipo 3 (0,50-0,75) uT","Tipo 4 (&gt;0,75) uT"))))</f>
        <v>Tipo 1 (≤0,25) uT</v>
      </c>
      <c r="BE147" s="137" t="str">
        <f>IF(OR(AE147="",AP147="-"),"",IF(AE147&lt;=0.25,"Tipo 1 (≤0,25) uT",IF(AE147&lt;=0.5,"Tipo 2 (0,25-0,50) uT",IF(AE147&lt;=0.75,"Tipo 3 (0,50-0,75) uT","Tipo 4 (&gt;0,75) uT"))))</f>
        <v>Tipo 3 (0,50-0,75) uT</v>
      </c>
      <c r="BF147" s="137" t="str">
        <f>IF(OR(AP147="",AP147="-"),"",IF(AP147&lt;=0.25,"Tipo 1 (≤0,25) uT",IF(AP147&lt;=0.5,"Tipo 2 (0,25-0,50) uT",IF(AP147&lt;=0.75,"Tipo 3 (0,50-0,75) uT","Tipo 4 (&gt;0,75) uT"))))</f>
        <v>Tipo 1 (≤0,25) uT</v>
      </c>
      <c r="BG147" s="137" t="str">
        <f>IF(OR(Q147="",Q147="-"),"",IF(Q147&lt;=0.25,"Tipo 1 (≤0,25) uT",IF(Q147&lt;=0.5,"Tipo 2 (0,25-0,50) uT",IF(Q147&lt;=0.75,"Tipo 3 (0,50-0,75) uT","Tipo 4 (&gt;0,75) uT"))))</f>
        <v>Tipo 1 (≤0,25) uT</v>
      </c>
    </row>
    <row r="148" spans="1:59" x14ac:dyDescent="0.3">
      <c r="A148" s="26">
        <v>46143</v>
      </c>
      <c r="B148" s="107">
        <v>0.72916666666666663</v>
      </c>
      <c r="C148" s="116">
        <v>1035</v>
      </c>
      <c r="D148" s="116">
        <v>80</v>
      </c>
      <c r="E148" s="116">
        <v>453</v>
      </c>
      <c r="F148" s="116">
        <v>1821</v>
      </c>
      <c r="G148" s="10" t="s">
        <v>100</v>
      </c>
      <c r="H148" s="122">
        <v>3.3</v>
      </c>
      <c r="I148" s="116">
        <v>90</v>
      </c>
      <c r="J148" s="116">
        <v>90</v>
      </c>
      <c r="K148" s="116">
        <v>90</v>
      </c>
      <c r="L148" s="122">
        <v>24.8</v>
      </c>
      <c r="M148" s="122">
        <v>6.8</v>
      </c>
      <c r="N148" s="79">
        <v>3.15</v>
      </c>
      <c r="O148" s="116">
        <v>16</v>
      </c>
      <c r="P148" s="122">
        <v>5.5</v>
      </c>
      <c r="Q148" s="79">
        <v>7.0000000000000007E-2</v>
      </c>
      <c r="R148" s="79">
        <v>22.36</v>
      </c>
      <c r="S148" s="79">
        <v>0.88</v>
      </c>
      <c r="T148" s="79">
        <v>0.7</v>
      </c>
      <c r="U148" s="85">
        <f t="shared" si="8"/>
        <v>1332.365</v>
      </c>
      <c r="V148" s="79">
        <f t="shared" si="9"/>
        <v>1431.4954843800001</v>
      </c>
      <c r="W148" s="79">
        <f t="shared" si="10"/>
        <v>1.074401897663178</v>
      </c>
      <c r="X148" s="116">
        <v>2</v>
      </c>
      <c r="Y148" s="116">
        <v>3</v>
      </c>
      <c r="Z148" s="122">
        <v>6.5</v>
      </c>
      <c r="AA148" s="116">
        <v>17.73</v>
      </c>
      <c r="AB148" s="122">
        <v>6.6</v>
      </c>
      <c r="AC148" s="122">
        <v>5.6</v>
      </c>
      <c r="AD148" s="10">
        <v>0.09</v>
      </c>
      <c r="AE148" s="79">
        <v>0.31</v>
      </c>
      <c r="AF148" s="85">
        <f t="shared" si="11"/>
        <v>1332.365</v>
      </c>
      <c r="AG148" s="85">
        <f t="shared" si="12"/>
        <v>1856.9879380000002</v>
      </c>
      <c r="AH148" s="85">
        <f t="shared" si="13"/>
        <v>1.3937531667373431</v>
      </c>
      <c r="AI148" s="116">
        <v>2</v>
      </c>
      <c r="AJ148" s="116">
        <v>3</v>
      </c>
      <c r="AK148" s="79">
        <v>6.5</v>
      </c>
      <c r="AL148" s="79">
        <v>23</v>
      </c>
      <c r="AM148" s="122">
        <v>6.6</v>
      </c>
      <c r="AN148" s="122">
        <v>5.6</v>
      </c>
      <c r="AO148" s="79">
        <v>0.11</v>
      </c>
      <c r="AP148" s="127">
        <v>0.26</v>
      </c>
      <c r="AQ148" s="132">
        <f t="shared" si="14"/>
        <v>1568</v>
      </c>
      <c r="AR148" s="134">
        <f t="shared" si="15"/>
        <v>0.66007653061224492</v>
      </c>
      <c r="AS148" s="134">
        <f t="shared" si="16"/>
        <v>5.1020408163265307E-2</v>
      </c>
      <c r="AT148" s="134">
        <f t="shared" si="17"/>
        <v>0.28890306122448978</v>
      </c>
      <c r="AU148" s="43">
        <f>IF(AND(F148&lt;&gt;"",Y148&lt;&gt;""),AA148/(F148/2/Y148),"")</f>
        <v>5.8418451400329488E-2</v>
      </c>
      <c r="AV148" s="43">
        <f>IF(AND(F148&lt;&gt;"",AJ148&lt;&gt;""),AL148/(F148/2/AJ148),"")</f>
        <v>7.57825370675453E-2</v>
      </c>
      <c r="AW148" s="41">
        <f>IF(AND(AP148&lt;&gt;"",1-(AP148/N148)&gt;0),1-(AP148/N148),"")</f>
        <v>0.91746031746031742</v>
      </c>
      <c r="AX148" s="41">
        <f>IF(AND(AE148&lt;&gt;"",1-(AE148/N148)&gt;0),1-(AE148/N148),"")</f>
        <v>0.9015873015873016</v>
      </c>
      <c r="AY148" s="136" t="str">
        <f>IF(P148="","",IF(P148&lt;2.5,"Alc. Bruta &lt; 2,5 mg/L",IF(P148&lt;5,"2,5 ≤ Alc. Bruta &lt; 5,0 mg/L",IF(P148&lt;7.5,"5,0 ≤ Alc. Bruta &lt; 7,5 mg/L",IF(P148&lt;10,"7,5 ≤ Alc. Bruta &lt; 10,0 mg/L",IF(P148&lt;15,"10,0 ≤ Alca. Bruta &lt; 15,0 mg/L","Alc. Bruta &gt; 15 mg/L"))))))</f>
        <v>5,0 ≤ Alc. Bruta &lt; 7,5 mg/L</v>
      </c>
      <c r="AZ148" s="136" t="str">
        <f>IF(O148="","",IF(O148&lt;5,"Cor &lt;5 uC",IF(O148&lt;10,"5 ≤ Cor &lt; 10 uC",IF(O148&lt;15,"10 ≤ Cor &lt;15 uC",IF(O148&lt;30,"15 ≤ Cor &lt; 30 uC",IF(O148&lt;50,"30 ≤ Cor &lt; 50 uC","Cor &gt; 50 uC"))))))</f>
        <v>15 ≤ Cor &lt; 30 uC</v>
      </c>
      <c r="BA148" s="137" t="str">
        <f>IF(N148="","",IF(N148&lt;2.5,"Turbidez &lt; 2,5 uT",IF(N148&lt;5,"2,5 ≤ Turb &lt; 5,0 uT",IF(N148&lt;7.5,"5,0 ≤ Turb &lt; 7,5 uT",IF(N148&lt;10,"7,5 ≤ Turb &lt; 10,0 uT",IF(N148&lt;15,"10,0 ≤ Turb &lt; 15,0 uT","Turb &gt; 15 uT"))))))</f>
        <v>2,5 ≤ Turb &lt; 5,0 uT</v>
      </c>
      <c r="BB148" s="138" t="str">
        <f>IF(AND(C148&gt;D148,D148&gt;E148),"TOR &gt; SM &gt; BNN",IF(AND(C148&gt;E148,E148&gt;D148),"TOR &gt; BNN &gt; SM",IF(AND(D148&gt;C148,C148&gt;E148),"SM &gt; TOR &gt; BNN",IF(AND(D148&gt;E148,E148&gt;C148),"SM &gt; BNN &gt; TOR",IF(AND(C148=D148,D148=E148),"TOR = SM = BNN","Comb. diferentes")))))</f>
        <v>TOR &gt; BNN &gt; SM</v>
      </c>
      <c r="BC148" s="137" t="str">
        <f>IF(OR(AD148="",AP148="-"),"",IF(AD148&lt;=0.25,"Tipo 1 (≤0,25) uT",IF(AD148&lt;=0.5,"Tipo 2 (0,25-0,50) uT",IF(AD148&lt;=0.75,"Tipo 3 (0,50-0,75) uT","Tipo 4 (&gt;0,75) uT"))))</f>
        <v>Tipo 1 (≤0,25) uT</v>
      </c>
      <c r="BD148" s="137" t="str">
        <f>IF(OR(AO148="",AY148="-"),"",IF(AO148&lt;=0.25,"Tipo 1 (≤0,25) uT",IF(AO148&lt;=0.5,"Tipo 2 (0,25-0,50) uT",IF(AO148&lt;=0.75,"Tipo 3 (0,50-0,75) uT","Tipo 4 (&gt;0,75) uT"))))</f>
        <v>Tipo 1 (≤0,25) uT</v>
      </c>
      <c r="BE148" s="137" t="str">
        <f>IF(OR(AE148="",AP148="-"),"",IF(AE148&lt;=0.25,"Tipo 1 (≤0,25) uT",IF(AE148&lt;=0.5,"Tipo 2 (0,25-0,50) uT",IF(AE148&lt;=0.75,"Tipo 3 (0,50-0,75) uT","Tipo 4 (&gt;0,75) uT"))))</f>
        <v>Tipo 2 (0,25-0,50) uT</v>
      </c>
      <c r="BF148" s="137" t="str">
        <f>IF(OR(AP148="",AP148="-"),"",IF(AP148&lt;=0.25,"Tipo 1 (≤0,25) uT",IF(AP148&lt;=0.5,"Tipo 2 (0,25-0,50) uT",IF(AP148&lt;=0.75,"Tipo 3 (0,50-0,75) uT","Tipo 4 (&gt;0,75) uT"))))</f>
        <v>Tipo 2 (0,25-0,50) uT</v>
      </c>
      <c r="BG148" s="137" t="str">
        <f>IF(OR(Q148="",Q148="-"),"",IF(Q148&lt;=0.25,"Tipo 1 (≤0,25) uT",IF(Q148&lt;=0.5,"Tipo 2 (0,25-0,50) uT",IF(Q148&lt;=0.75,"Tipo 3 (0,50-0,75) uT","Tipo 4 (&gt;0,75) uT"))))</f>
        <v>Tipo 1 (≤0,25) uT</v>
      </c>
    </row>
    <row r="149" spans="1:59" x14ac:dyDescent="0.3">
      <c r="A149" s="26">
        <v>46143</v>
      </c>
      <c r="B149" s="107">
        <v>0.8125</v>
      </c>
      <c r="C149" s="116">
        <v>1117</v>
      </c>
      <c r="D149" s="116">
        <v>83</v>
      </c>
      <c r="E149" s="116">
        <v>452</v>
      </c>
      <c r="F149" s="116">
        <v>1890</v>
      </c>
      <c r="G149" s="10" t="s">
        <v>100</v>
      </c>
      <c r="H149" s="122">
        <v>3.3</v>
      </c>
      <c r="I149" s="116">
        <v>90</v>
      </c>
      <c r="J149" s="116">
        <v>90</v>
      </c>
      <c r="K149" s="116">
        <v>90</v>
      </c>
      <c r="L149" s="122">
        <v>24.3</v>
      </c>
      <c r="M149" s="122">
        <v>6.7</v>
      </c>
      <c r="N149" s="79">
        <v>3.56</v>
      </c>
      <c r="O149" s="116">
        <v>14</v>
      </c>
      <c r="P149" s="122">
        <v>5.4</v>
      </c>
      <c r="Q149" s="79">
        <v>7.0000000000000007E-2</v>
      </c>
      <c r="R149" s="79">
        <v>22.36</v>
      </c>
      <c r="S149" s="79">
        <v>0.88</v>
      </c>
      <c r="T149" s="79">
        <v>0.7</v>
      </c>
      <c r="U149" s="85">
        <f t="shared" si="8"/>
        <v>1512</v>
      </c>
      <c r="V149" s="79">
        <f t="shared" si="9"/>
        <v>1438.9005336784001</v>
      </c>
      <c r="W149" s="79">
        <f t="shared" si="10"/>
        <v>0.95165379211534395</v>
      </c>
      <c r="X149" s="116">
        <v>2</v>
      </c>
      <c r="Y149" s="116">
        <v>3</v>
      </c>
      <c r="Z149" s="122">
        <v>6.53</v>
      </c>
      <c r="AA149" s="116">
        <v>17.72</v>
      </c>
      <c r="AB149" s="122">
        <v>6.6</v>
      </c>
      <c r="AC149" s="122">
        <v>5.6</v>
      </c>
      <c r="AD149" s="10">
        <v>0.11</v>
      </c>
      <c r="AE149" s="79">
        <v>0.43</v>
      </c>
      <c r="AF149" s="85">
        <f t="shared" si="11"/>
        <v>1512</v>
      </c>
      <c r="AG149" s="85">
        <f t="shared" si="12"/>
        <v>1849.7214634600002</v>
      </c>
      <c r="AH149" s="85">
        <f t="shared" si="13"/>
        <v>1.223360756256614</v>
      </c>
      <c r="AI149" s="116">
        <v>2</v>
      </c>
      <c r="AJ149" s="116">
        <v>3</v>
      </c>
      <c r="AK149" s="79">
        <v>6.5</v>
      </c>
      <c r="AL149" s="79">
        <v>22.91</v>
      </c>
      <c r="AM149" s="122">
        <v>6.5</v>
      </c>
      <c r="AN149" s="122">
        <v>5.5</v>
      </c>
      <c r="AO149" s="79">
        <v>0.14000000000000001</v>
      </c>
      <c r="AP149" s="127">
        <v>0.31</v>
      </c>
      <c r="AQ149" s="132">
        <f t="shared" si="14"/>
        <v>1652</v>
      </c>
      <c r="AR149" s="134">
        <f t="shared" si="15"/>
        <v>0.67615012106537531</v>
      </c>
      <c r="AS149" s="134">
        <f t="shared" si="16"/>
        <v>5.0242130750605324E-2</v>
      </c>
      <c r="AT149" s="134">
        <f t="shared" si="17"/>
        <v>0.27360774818401939</v>
      </c>
      <c r="AU149" s="43">
        <f>IF(AND(F149&lt;&gt;"",Y149&lt;&gt;""),AA149/(F149/2/Y149),"")</f>
        <v>5.6253968253968251E-2</v>
      </c>
      <c r="AV149" s="43">
        <f>IF(AND(F149&lt;&gt;"",AJ149&lt;&gt;""),AL149/(F149/2/AJ149),"")</f>
        <v>7.2730158730158728E-2</v>
      </c>
      <c r="AW149" s="41">
        <f>IF(AND(AP149&lt;&gt;"",1-(AP149/N149)&gt;0),1-(AP149/N149),"")</f>
        <v>0.9129213483146067</v>
      </c>
      <c r="AX149" s="41">
        <f>IF(AND(AE149&lt;&gt;"",1-(AE149/N149)&gt;0),1-(AE149/N149),"")</f>
        <v>0.8792134831460674</v>
      </c>
      <c r="AY149" s="136" t="str">
        <f>IF(P149="","",IF(P149&lt;2.5,"Alc. Bruta &lt; 2,5 mg/L",IF(P149&lt;5,"2,5 ≤ Alc. Bruta &lt; 5,0 mg/L",IF(P149&lt;7.5,"5,0 ≤ Alc. Bruta &lt; 7,5 mg/L",IF(P149&lt;10,"7,5 ≤ Alc. Bruta &lt; 10,0 mg/L",IF(P149&lt;15,"10,0 ≤ Alca. Bruta &lt; 15,0 mg/L","Alc. Bruta &gt; 15 mg/L"))))))</f>
        <v>5,0 ≤ Alc. Bruta &lt; 7,5 mg/L</v>
      </c>
      <c r="AZ149" s="136" t="str">
        <f>IF(O149="","",IF(O149&lt;5,"Cor &lt;5 uC",IF(O149&lt;10,"5 ≤ Cor &lt; 10 uC",IF(O149&lt;15,"10 ≤ Cor &lt;15 uC",IF(O149&lt;30,"15 ≤ Cor &lt; 30 uC",IF(O149&lt;50,"30 ≤ Cor &lt; 50 uC","Cor &gt; 50 uC"))))))</f>
        <v>10 ≤ Cor &lt;15 uC</v>
      </c>
      <c r="BA149" s="137" t="str">
        <f>IF(N149="","",IF(N149&lt;2.5,"Turbidez &lt; 2,5 uT",IF(N149&lt;5,"2,5 ≤ Turb &lt; 5,0 uT",IF(N149&lt;7.5,"5,0 ≤ Turb &lt; 7,5 uT",IF(N149&lt;10,"7,5 ≤ Turb &lt; 10,0 uT",IF(N149&lt;15,"10,0 ≤ Turb &lt; 15,0 uT","Turb &gt; 15 uT"))))))</f>
        <v>2,5 ≤ Turb &lt; 5,0 uT</v>
      </c>
      <c r="BB149" s="138" t="str">
        <f>IF(AND(C149&gt;D149,D149&gt;E149),"TOR &gt; SM &gt; BNN",IF(AND(C149&gt;E149,E149&gt;D149),"TOR &gt; BNN &gt; SM",IF(AND(D149&gt;C149,C149&gt;E149),"SM &gt; TOR &gt; BNN",IF(AND(D149&gt;E149,E149&gt;C149),"SM &gt; BNN &gt; TOR",IF(AND(C149=D149,D149=E149),"TOR = SM = BNN","Comb. diferentes")))))</f>
        <v>TOR &gt; BNN &gt; SM</v>
      </c>
      <c r="BC149" s="137" t="str">
        <f>IF(OR(AD149="",AP149="-"),"",IF(AD149&lt;=0.25,"Tipo 1 (≤0,25) uT",IF(AD149&lt;=0.5,"Tipo 2 (0,25-0,50) uT",IF(AD149&lt;=0.75,"Tipo 3 (0,50-0,75) uT","Tipo 4 (&gt;0,75) uT"))))</f>
        <v>Tipo 1 (≤0,25) uT</v>
      </c>
      <c r="BD149" s="137" t="str">
        <f>IF(OR(AO149="",AY149="-"),"",IF(AO149&lt;=0.25,"Tipo 1 (≤0,25) uT",IF(AO149&lt;=0.5,"Tipo 2 (0,25-0,50) uT",IF(AO149&lt;=0.75,"Tipo 3 (0,50-0,75) uT","Tipo 4 (&gt;0,75) uT"))))</f>
        <v>Tipo 1 (≤0,25) uT</v>
      </c>
      <c r="BE149" s="137" t="str">
        <f>IF(OR(AE149="",AP149="-"),"",IF(AE149&lt;=0.25,"Tipo 1 (≤0,25) uT",IF(AE149&lt;=0.5,"Tipo 2 (0,25-0,50) uT",IF(AE149&lt;=0.75,"Tipo 3 (0,50-0,75) uT","Tipo 4 (&gt;0,75) uT"))))</f>
        <v>Tipo 2 (0,25-0,50) uT</v>
      </c>
      <c r="BF149" s="137" t="str">
        <f>IF(OR(AP149="",AP149="-"),"",IF(AP149&lt;=0.25,"Tipo 1 (≤0,25) uT",IF(AP149&lt;=0.5,"Tipo 2 (0,25-0,50) uT",IF(AP149&lt;=0.75,"Tipo 3 (0,50-0,75) uT","Tipo 4 (&gt;0,75) uT"))))</f>
        <v>Tipo 2 (0,25-0,50) uT</v>
      </c>
      <c r="BG149" s="137" t="str">
        <f>IF(OR(Q149="",Q149="-"),"",IF(Q149&lt;=0.25,"Tipo 1 (≤0,25) uT",IF(Q149&lt;=0.5,"Tipo 2 (0,25-0,50) uT",IF(Q149&lt;=0.75,"Tipo 3 (0,50-0,75) uT","Tipo 4 (&gt;0,75) uT"))))</f>
        <v>Tipo 1 (≤0,25) uT</v>
      </c>
    </row>
    <row r="150" spans="1:59" x14ac:dyDescent="0.3">
      <c r="A150" s="26">
        <v>46143</v>
      </c>
      <c r="B150" s="107">
        <v>0.89583333333333337</v>
      </c>
      <c r="C150" s="116">
        <v>1122</v>
      </c>
      <c r="D150" s="116">
        <v>95</v>
      </c>
      <c r="E150" s="116">
        <v>452</v>
      </c>
      <c r="F150" s="116">
        <v>1823</v>
      </c>
      <c r="G150" s="10" t="s">
        <v>100</v>
      </c>
      <c r="H150" s="122">
        <v>3.3</v>
      </c>
      <c r="I150" s="116">
        <v>90</v>
      </c>
      <c r="J150" s="116">
        <v>90</v>
      </c>
      <c r="K150" s="116">
        <v>90</v>
      </c>
      <c r="L150" s="122">
        <v>24.1</v>
      </c>
      <c r="M150" s="122">
        <v>6.7</v>
      </c>
      <c r="N150" s="79">
        <v>3.7</v>
      </c>
      <c r="O150" s="116">
        <v>16</v>
      </c>
      <c r="P150" s="122">
        <v>6.1</v>
      </c>
      <c r="Q150" s="79">
        <v>7.0000000000000007E-2</v>
      </c>
      <c r="R150" s="79">
        <v>22.36</v>
      </c>
      <c r="S150" s="79">
        <v>0.88</v>
      </c>
      <c r="T150" s="79">
        <v>0.7</v>
      </c>
      <c r="U150" s="85">
        <f t="shared" si="8"/>
        <v>1500.9366666666667</v>
      </c>
      <c r="V150" s="79">
        <f t="shared" si="9"/>
        <v>1548.2704837599999</v>
      </c>
      <c r="W150" s="79">
        <f t="shared" si="10"/>
        <v>1.0315361854664087</v>
      </c>
      <c r="X150" s="116">
        <v>2</v>
      </c>
      <c r="Y150" s="116">
        <v>3</v>
      </c>
      <c r="Z150" s="122">
        <v>6.48</v>
      </c>
      <c r="AA150" s="116">
        <v>19.25</v>
      </c>
      <c r="AB150" s="122">
        <v>6.6</v>
      </c>
      <c r="AC150" s="122">
        <v>6.4</v>
      </c>
      <c r="AD150" s="10">
        <v>0.1</v>
      </c>
      <c r="AE150" s="79">
        <v>0.18</v>
      </c>
      <c r="AF150" s="85">
        <f t="shared" si="11"/>
        <v>1500.9366666666667</v>
      </c>
      <c r="AG150" s="85">
        <f t="shared" si="12"/>
        <v>1841.9596858519997</v>
      </c>
      <c r="AH150" s="85">
        <f t="shared" si="13"/>
        <v>1.2272068014319943</v>
      </c>
      <c r="AI150" s="116">
        <v>2</v>
      </c>
      <c r="AJ150" s="116">
        <v>3</v>
      </c>
      <c r="AK150" s="79">
        <v>6.38</v>
      </c>
      <c r="AL150" s="79">
        <v>23.35</v>
      </c>
      <c r="AM150" s="122">
        <v>6.6</v>
      </c>
      <c r="AN150" s="122">
        <v>5.6</v>
      </c>
      <c r="AO150" s="79">
        <v>0.18</v>
      </c>
      <c r="AP150" s="127">
        <v>0.28000000000000003</v>
      </c>
      <c r="AQ150" s="132">
        <f t="shared" si="14"/>
        <v>1669</v>
      </c>
      <c r="AR150" s="134">
        <f t="shared" si="15"/>
        <v>0.67225883762732175</v>
      </c>
      <c r="AS150" s="134">
        <f t="shared" si="16"/>
        <v>5.6920311563810666E-2</v>
      </c>
      <c r="AT150" s="134">
        <f t="shared" si="17"/>
        <v>0.27082085080886759</v>
      </c>
      <c r="AU150" s="43">
        <f>IF(AND(F150&lt;&gt;"",Y150&lt;&gt;""),AA150/(F150/2/Y150),"")</f>
        <v>6.3357103675260568E-2</v>
      </c>
      <c r="AV150" s="43">
        <f>IF(AND(F150&lt;&gt;"",AJ150&lt;&gt;""),AL150/(F150/2/AJ150),"")</f>
        <v>7.6851343938562813E-2</v>
      </c>
      <c r="AW150" s="41">
        <f>IF(AND(AP150&lt;&gt;"",1-(AP150/N150)&gt;0),1-(AP150/N150),"")</f>
        <v>0.92432432432432432</v>
      </c>
      <c r="AX150" s="41">
        <f>IF(AND(AE150&lt;&gt;"",1-(AE150/N150)&gt;0),1-(AE150/N150),"")</f>
        <v>0.9513513513513514</v>
      </c>
      <c r="AY150" s="136" t="str">
        <f>IF(P150="","",IF(P150&lt;2.5,"Alc. Bruta &lt; 2,5 mg/L",IF(P150&lt;5,"2,5 ≤ Alc. Bruta &lt; 5,0 mg/L",IF(P150&lt;7.5,"5,0 ≤ Alc. Bruta &lt; 7,5 mg/L",IF(P150&lt;10,"7,5 ≤ Alc. Bruta &lt; 10,0 mg/L",IF(P150&lt;15,"10,0 ≤ Alca. Bruta &lt; 15,0 mg/L","Alc. Bruta &gt; 15 mg/L"))))))</f>
        <v>5,0 ≤ Alc. Bruta &lt; 7,5 mg/L</v>
      </c>
      <c r="AZ150" s="136" t="str">
        <f>IF(O150="","",IF(O150&lt;5,"Cor &lt;5 uC",IF(O150&lt;10,"5 ≤ Cor &lt; 10 uC",IF(O150&lt;15,"10 ≤ Cor &lt;15 uC",IF(O150&lt;30,"15 ≤ Cor &lt; 30 uC",IF(O150&lt;50,"30 ≤ Cor &lt; 50 uC","Cor &gt; 50 uC"))))))</f>
        <v>15 ≤ Cor &lt; 30 uC</v>
      </c>
      <c r="BA150" s="137" t="str">
        <f>IF(N150="","",IF(N150&lt;2.5,"Turbidez &lt; 2,5 uT",IF(N150&lt;5,"2,5 ≤ Turb &lt; 5,0 uT",IF(N150&lt;7.5,"5,0 ≤ Turb &lt; 7,5 uT",IF(N150&lt;10,"7,5 ≤ Turb &lt; 10,0 uT",IF(N150&lt;15,"10,0 ≤ Turb &lt; 15,0 uT","Turb &gt; 15 uT"))))))</f>
        <v>2,5 ≤ Turb &lt; 5,0 uT</v>
      </c>
      <c r="BB150" s="138" t="str">
        <f>IF(AND(C150&gt;D150,D150&gt;E150),"TOR &gt; SM &gt; BNN",IF(AND(C150&gt;E150,E150&gt;D150),"TOR &gt; BNN &gt; SM",IF(AND(D150&gt;C150,C150&gt;E150),"SM &gt; TOR &gt; BNN",IF(AND(D150&gt;E150,E150&gt;C150),"SM &gt; BNN &gt; TOR",IF(AND(C150=D150,D150=E150),"TOR = SM = BNN","Comb. diferentes")))))</f>
        <v>TOR &gt; BNN &gt; SM</v>
      </c>
      <c r="BC150" s="137" t="str">
        <f>IF(OR(AD150="",AP150="-"),"",IF(AD150&lt;=0.25,"Tipo 1 (≤0,25) uT",IF(AD150&lt;=0.5,"Tipo 2 (0,25-0,50) uT",IF(AD150&lt;=0.75,"Tipo 3 (0,50-0,75) uT","Tipo 4 (&gt;0,75) uT"))))</f>
        <v>Tipo 1 (≤0,25) uT</v>
      </c>
      <c r="BD150" s="137" t="str">
        <f>IF(OR(AO150="",AY150="-"),"",IF(AO150&lt;=0.25,"Tipo 1 (≤0,25) uT",IF(AO150&lt;=0.5,"Tipo 2 (0,25-0,50) uT",IF(AO150&lt;=0.75,"Tipo 3 (0,50-0,75) uT","Tipo 4 (&gt;0,75) uT"))))</f>
        <v>Tipo 1 (≤0,25) uT</v>
      </c>
      <c r="BE150" s="137" t="str">
        <f>IF(OR(AE150="",AP150="-"),"",IF(AE150&lt;=0.25,"Tipo 1 (≤0,25) uT",IF(AE150&lt;=0.5,"Tipo 2 (0,25-0,50) uT",IF(AE150&lt;=0.75,"Tipo 3 (0,50-0,75) uT","Tipo 4 (&gt;0,75) uT"))))</f>
        <v>Tipo 1 (≤0,25) uT</v>
      </c>
      <c r="BF150" s="137" t="str">
        <f>IF(OR(AP150="",AP150="-"),"",IF(AP150&lt;=0.25,"Tipo 1 (≤0,25) uT",IF(AP150&lt;=0.5,"Tipo 2 (0,25-0,50) uT",IF(AP150&lt;=0.75,"Tipo 3 (0,50-0,75) uT","Tipo 4 (&gt;0,75) uT"))))</f>
        <v>Tipo 2 (0,25-0,50) uT</v>
      </c>
      <c r="BG150" s="137" t="str">
        <f>IF(OR(Q150="",Q150="-"),"",IF(Q150&lt;=0.25,"Tipo 1 (≤0,25) uT",IF(Q150&lt;=0.5,"Tipo 2 (0,25-0,50) uT",IF(Q150&lt;=0.75,"Tipo 3 (0,50-0,75) uT","Tipo 4 (&gt;0,75) uT"))))</f>
        <v>Tipo 1 (≤0,25) uT</v>
      </c>
    </row>
    <row r="151" spans="1:59" x14ac:dyDescent="0.3">
      <c r="A151" s="26">
        <v>46143</v>
      </c>
      <c r="B151" s="107">
        <v>0.97916666666666663</v>
      </c>
      <c r="C151" s="116">
        <v>1197</v>
      </c>
      <c r="D151" s="116">
        <v>84</v>
      </c>
      <c r="E151" s="116">
        <v>454</v>
      </c>
      <c r="F151" s="116">
        <v>1818</v>
      </c>
      <c r="G151" s="10" t="s">
        <v>100</v>
      </c>
      <c r="H151" s="122">
        <v>3.3</v>
      </c>
      <c r="I151" s="116">
        <v>90</v>
      </c>
      <c r="J151" s="116">
        <v>90</v>
      </c>
      <c r="K151" s="116">
        <v>90</v>
      </c>
      <c r="L151" s="122">
        <v>23.8</v>
      </c>
      <c r="M151" s="122">
        <v>6.7</v>
      </c>
      <c r="N151" s="79">
        <v>3.68</v>
      </c>
      <c r="O151" s="116">
        <v>17</v>
      </c>
      <c r="P151" s="122">
        <v>5.9</v>
      </c>
      <c r="Q151" s="79">
        <v>7.0000000000000007E-2</v>
      </c>
      <c r="R151" s="79">
        <v>22.36</v>
      </c>
      <c r="S151" s="79">
        <v>0.88</v>
      </c>
      <c r="T151" s="79">
        <v>0.7</v>
      </c>
      <c r="U151" s="85">
        <f t="shared" si="8"/>
        <v>1490.76</v>
      </c>
      <c r="V151" s="79">
        <f t="shared" si="9"/>
        <v>1521.5990462243997</v>
      </c>
      <c r="W151" s="79">
        <f t="shared" si="10"/>
        <v>1.0206867948056022</v>
      </c>
      <c r="X151" s="116">
        <v>2</v>
      </c>
      <c r="Y151" s="116">
        <v>3</v>
      </c>
      <c r="Z151" s="122">
        <v>6.51</v>
      </c>
      <c r="AA151" s="116">
        <v>18.809999999999999</v>
      </c>
      <c r="AB151" s="122">
        <v>6.6</v>
      </c>
      <c r="AC151" s="122">
        <v>6.1</v>
      </c>
      <c r="AD151" s="10">
        <v>0.17</v>
      </c>
      <c r="AE151" s="79">
        <v>0.22</v>
      </c>
      <c r="AF151" s="85">
        <f t="shared" si="11"/>
        <v>1490.76</v>
      </c>
      <c r="AG151" s="85">
        <f t="shared" si="12"/>
        <v>1814.8592527103997</v>
      </c>
      <c r="AH151" s="85">
        <f t="shared" si="13"/>
        <v>1.2174053856491989</v>
      </c>
      <c r="AI151" s="116">
        <v>2</v>
      </c>
      <c r="AJ151" s="116">
        <v>3</v>
      </c>
      <c r="AK151" s="79">
        <v>6.32</v>
      </c>
      <c r="AL151" s="79">
        <v>23.28</v>
      </c>
      <c r="AM151" s="122">
        <v>6.5</v>
      </c>
      <c r="AN151" s="122">
        <v>5.6</v>
      </c>
      <c r="AO151" s="79">
        <v>0.16</v>
      </c>
      <c r="AP151" s="127">
        <v>0.27</v>
      </c>
      <c r="AQ151" s="132">
        <f t="shared" si="14"/>
        <v>1735</v>
      </c>
      <c r="AR151" s="134">
        <f t="shared" si="15"/>
        <v>0.6899135446685879</v>
      </c>
      <c r="AS151" s="134">
        <f t="shared" si="16"/>
        <v>4.8414985590778101E-2</v>
      </c>
      <c r="AT151" s="134">
        <f t="shared" si="17"/>
        <v>0.26167146974063399</v>
      </c>
      <c r="AU151" s="43">
        <f>IF(AND(F151&lt;&gt;"",Y151&lt;&gt;""),AA151/(F151/2/Y151),"")</f>
        <v>6.2079207920792072E-2</v>
      </c>
      <c r="AV151" s="43">
        <f>IF(AND(F151&lt;&gt;"",AJ151&lt;&gt;""),AL151/(F151/2/AJ151),"")</f>
        <v>7.6831683168316831E-2</v>
      </c>
      <c r="AW151" s="41">
        <f>IF(AND(AP151&lt;&gt;"",1-(AP151/N151)&gt;0),1-(AP151/N151),"")</f>
        <v>0.92663043478260865</v>
      </c>
      <c r="AX151" s="41">
        <f>IF(AND(AE151&lt;&gt;"",1-(AE151/N151)&gt;0),1-(AE151/N151),"")</f>
        <v>0.94021739130434778</v>
      </c>
      <c r="AY151" s="136" t="str">
        <f>IF(P151="","",IF(P151&lt;2.5,"Alc. Bruta &lt; 2,5 mg/L",IF(P151&lt;5,"2,5 ≤ Alc. Bruta &lt; 5,0 mg/L",IF(P151&lt;7.5,"5,0 ≤ Alc. Bruta &lt; 7,5 mg/L",IF(P151&lt;10,"7,5 ≤ Alc. Bruta &lt; 10,0 mg/L",IF(P151&lt;15,"10,0 ≤ Alca. Bruta &lt; 15,0 mg/L","Alc. Bruta &gt; 15 mg/L"))))))</f>
        <v>5,0 ≤ Alc. Bruta &lt; 7,5 mg/L</v>
      </c>
      <c r="AZ151" s="136" t="str">
        <f>IF(O151="","",IF(O151&lt;5,"Cor &lt;5 uC",IF(O151&lt;10,"5 ≤ Cor &lt; 10 uC",IF(O151&lt;15,"10 ≤ Cor &lt;15 uC",IF(O151&lt;30,"15 ≤ Cor &lt; 30 uC",IF(O151&lt;50,"30 ≤ Cor &lt; 50 uC","Cor &gt; 50 uC"))))))</f>
        <v>15 ≤ Cor &lt; 30 uC</v>
      </c>
      <c r="BA151" s="137" t="str">
        <f>IF(N151="","",IF(N151&lt;2.5,"Turbidez &lt; 2,5 uT",IF(N151&lt;5,"2,5 ≤ Turb &lt; 5,0 uT",IF(N151&lt;7.5,"5,0 ≤ Turb &lt; 7,5 uT",IF(N151&lt;10,"7,5 ≤ Turb &lt; 10,0 uT",IF(N151&lt;15,"10,0 ≤ Turb &lt; 15,0 uT","Turb &gt; 15 uT"))))))</f>
        <v>2,5 ≤ Turb &lt; 5,0 uT</v>
      </c>
      <c r="BB151" s="138" t="str">
        <f>IF(AND(C151&gt;D151,D151&gt;E151),"TOR &gt; SM &gt; BNN",IF(AND(C151&gt;E151,E151&gt;D151),"TOR &gt; BNN &gt; SM",IF(AND(D151&gt;C151,C151&gt;E151),"SM &gt; TOR &gt; BNN",IF(AND(D151&gt;E151,E151&gt;C151),"SM &gt; BNN &gt; TOR",IF(AND(C151=D151,D151=E151),"TOR = SM = BNN","Comb. diferentes")))))</f>
        <v>TOR &gt; BNN &gt; SM</v>
      </c>
      <c r="BC151" s="137" t="str">
        <f>IF(OR(AD151="",AP151="-"),"",IF(AD151&lt;=0.25,"Tipo 1 (≤0,25) uT",IF(AD151&lt;=0.5,"Tipo 2 (0,25-0,50) uT",IF(AD151&lt;=0.75,"Tipo 3 (0,50-0,75) uT","Tipo 4 (&gt;0,75) uT"))))</f>
        <v>Tipo 1 (≤0,25) uT</v>
      </c>
      <c r="BD151" s="137" t="str">
        <f>IF(OR(AO151="",AY151="-"),"",IF(AO151&lt;=0.25,"Tipo 1 (≤0,25) uT",IF(AO151&lt;=0.5,"Tipo 2 (0,25-0,50) uT",IF(AO151&lt;=0.75,"Tipo 3 (0,50-0,75) uT","Tipo 4 (&gt;0,75) uT"))))</f>
        <v>Tipo 1 (≤0,25) uT</v>
      </c>
      <c r="BE151" s="137" t="str">
        <f>IF(OR(AE151="",AP151="-"),"",IF(AE151&lt;=0.25,"Tipo 1 (≤0,25) uT",IF(AE151&lt;=0.5,"Tipo 2 (0,25-0,50) uT",IF(AE151&lt;=0.75,"Tipo 3 (0,50-0,75) uT","Tipo 4 (&gt;0,75) uT"))))</f>
        <v>Tipo 1 (≤0,25) uT</v>
      </c>
      <c r="BF151" s="137" t="str">
        <f>IF(OR(AP151="",AP151="-"),"",IF(AP151&lt;=0.25,"Tipo 1 (≤0,25) uT",IF(AP151&lt;=0.5,"Tipo 2 (0,25-0,50) uT",IF(AP151&lt;=0.75,"Tipo 3 (0,50-0,75) uT","Tipo 4 (&gt;0,75) uT"))))</f>
        <v>Tipo 2 (0,25-0,50) uT</v>
      </c>
      <c r="BG151" s="137" t="str">
        <f>IF(OR(Q151="",Q151="-"),"",IF(Q151&lt;=0.25,"Tipo 1 (≤0,25) uT",IF(Q151&lt;=0.5,"Tipo 2 (0,25-0,50) uT",IF(Q151&lt;=0.75,"Tipo 3 (0,50-0,75) uT","Tipo 4 (&gt;0,75) uT"))))</f>
        <v>Tipo 1 (≤0,25) uT</v>
      </c>
    </row>
    <row r="152" spans="1:59" x14ac:dyDescent="0.3">
      <c r="A152" s="26">
        <v>46144</v>
      </c>
      <c r="B152" s="107">
        <v>6.25E-2</v>
      </c>
      <c r="C152" s="116">
        <v>1180</v>
      </c>
      <c r="D152" s="116">
        <v>91</v>
      </c>
      <c r="E152" s="116">
        <v>453</v>
      </c>
      <c r="F152" s="116">
        <v>1824</v>
      </c>
      <c r="G152" s="10" t="s">
        <v>100</v>
      </c>
      <c r="H152" s="122">
        <v>3.3</v>
      </c>
      <c r="I152" s="116">
        <v>90</v>
      </c>
      <c r="J152" s="116">
        <v>90</v>
      </c>
      <c r="K152" s="116">
        <v>90</v>
      </c>
      <c r="L152" s="122">
        <v>23.4</v>
      </c>
      <c r="M152" s="122">
        <v>6.7</v>
      </c>
      <c r="N152" s="79">
        <v>3.33</v>
      </c>
      <c r="O152" s="116">
        <v>16</v>
      </c>
      <c r="P152" s="122">
        <v>5.5</v>
      </c>
      <c r="Q152" s="79">
        <v>0.06</v>
      </c>
      <c r="R152" s="79">
        <v>22.36</v>
      </c>
      <c r="S152" s="79">
        <v>0.88</v>
      </c>
      <c r="T152" s="79">
        <v>0.7</v>
      </c>
      <c r="U152" s="85">
        <f t="shared" si="8"/>
        <v>1389.2800000000002</v>
      </c>
      <c r="V152" s="79">
        <f t="shared" si="9"/>
        <v>1418.0446135127997</v>
      </c>
      <c r="W152" s="79">
        <f t="shared" si="10"/>
        <v>1.020704691288149</v>
      </c>
      <c r="X152" s="116">
        <v>2</v>
      </c>
      <c r="Y152" s="116">
        <v>3</v>
      </c>
      <c r="Z152" s="122">
        <v>6.54</v>
      </c>
      <c r="AA152" s="116">
        <v>17.43</v>
      </c>
      <c r="AB152" s="122">
        <v>6.6</v>
      </c>
      <c r="AC152" s="122">
        <v>5.7</v>
      </c>
      <c r="AD152" s="10">
        <v>0.47</v>
      </c>
      <c r="AE152" s="79">
        <v>0.4</v>
      </c>
      <c r="AF152" s="85">
        <f t="shared" si="11"/>
        <v>1389.2800000000002</v>
      </c>
      <c r="AG152" s="85">
        <f t="shared" si="12"/>
        <v>1834.0781404816</v>
      </c>
      <c r="AH152" s="85">
        <f t="shared" si="13"/>
        <v>1.3201645028227569</v>
      </c>
      <c r="AI152" s="116">
        <v>2</v>
      </c>
      <c r="AJ152" s="116">
        <v>3</v>
      </c>
      <c r="AK152" s="79">
        <v>6.33</v>
      </c>
      <c r="AL152" s="79">
        <v>23.48</v>
      </c>
      <c r="AM152" s="122">
        <v>6.6</v>
      </c>
      <c r="AN152" s="122">
        <v>5.4</v>
      </c>
      <c r="AO152" s="79">
        <v>0.3</v>
      </c>
      <c r="AP152" s="127">
        <v>0.39</v>
      </c>
      <c r="AQ152" s="132">
        <f t="shared" si="14"/>
        <v>1724</v>
      </c>
      <c r="AR152" s="134">
        <f t="shared" si="15"/>
        <v>0.68445475638051045</v>
      </c>
      <c r="AS152" s="134">
        <f t="shared" si="16"/>
        <v>5.2784222737819027E-2</v>
      </c>
      <c r="AT152" s="134">
        <f t="shared" si="17"/>
        <v>0.26276102088167053</v>
      </c>
      <c r="AU152" s="43">
        <f>IF(AND(F152&lt;&gt;"",Y152&lt;&gt;""),AA152/(F152/2/Y152),"")</f>
        <v>5.7335526315789476E-2</v>
      </c>
      <c r="AV152" s="43">
        <f>IF(AND(F152&lt;&gt;"",AJ152&lt;&gt;""),AL152/(F152/2/AJ152),"")</f>
        <v>7.7236842105263159E-2</v>
      </c>
      <c r="AW152" s="41">
        <f>IF(AND(AP152&lt;&gt;"",1-(AP152/N152)&gt;0),1-(AP152/N152),"")</f>
        <v>0.88288288288288286</v>
      </c>
      <c r="AX152" s="41">
        <f>IF(AND(AE152&lt;&gt;"",1-(AE152/N152)&gt;0),1-(AE152/N152),"")</f>
        <v>0.87987987987987992</v>
      </c>
      <c r="AY152" s="136" t="str">
        <f>IF(P152="","",IF(P152&lt;2.5,"Alc. Bruta &lt; 2,5 mg/L",IF(P152&lt;5,"2,5 ≤ Alc. Bruta &lt; 5,0 mg/L",IF(P152&lt;7.5,"5,0 ≤ Alc. Bruta &lt; 7,5 mg/L",IF(P152&lt;10,"7,5 ≤ Alc. Bruta &lt; 10,0 mg/L",IF(P152&lt;15,"10,0 ≤ Alca. Bruta &lt; 15,0 mg/L","Alc. Bruta &gt; 15 mg/L"))))))</f>
        <v>5,0 ≤ Alc. Bruta &lt; 7,5 mg/L</v>
      </c>
      <c r="AZ152" s="136" t="str">
        <f>IF(O152="","",IF(O152&lt;5,"Cor &lt;5 uC",IF(O152&lt;10,"5 ≤ Cor &lt; 10 uC",IF(O152&lt;15,"10 ≤ Cor &lt;15 uC",IF(O152&lt;30,"15 ≤ Cor &lt; 30 uC",IF(O152&lt;50,"30 ≤ Cor &lt; 50 uC","Cor &gt; 50 uC"))))))</f>
        <v>15 ≤ Cor &lt; 30 uC</v>
      </c>
      <c r="BA152" s="137" t="str">
        <f>IF(N152="","",IF(N152&lt;2.5,"Turbidez &lt; 2,5 uT",IF(N152&lt;5,"2,5 ≤ Turb &lt; 5,0 uT",IF(N152&lt;7.5,"5,0 ≤ Turb &lt; 7,5 uT",IF(N152&lt;10,"7,5 ≤ Turb &lt; 10,0 uT",IF(N152&lt;15,"10,0 ≤ Turb &lt; 15,0 uT","Turb &gt; 15 uT"))))))</f>
        <v>2,5 ≤ Turb &lt; 5,0 uT</v>
      </c>
      <c r="BB152" s="138" t="str">
        <f>IF(AND(C152&gt;D152,D152&gt;E152),"TOR &gt; SM &gt; BNN",IF(AND(C152&gt;E152,E152&gt;D152),"TOR &gt; BNN &gt; SM",IF(AND(D152&gt;C152,C152&gt;E152),"SM &gt; TOR &gt; BNN",IF(AND(D152&gt;E152,E152&gt;C152),"SM &gt; BNN &gt; TOR",IF(AND(C152=D152,D152=E152),"TOR = SM = BNN","Comb. diferentes")))))</f>
        <v>TOR &gt; BNN &gt; SM</v>
      </c>
      <c r="BC152" s="137" t="str">
        <f>IF(OR(AD152="",AP152="-"),"",IF(AD152&lt;=0.25,"Tipo 1 (≤0,25) uT",IF(AD152&lt;=0.5,"Tipo 2 (0,25-0,50) uT",IF(AD152&lt;=0.75,"Tipo 3 (0,50-0,75) uT","Tipo 4 (&gt;0,75) uT"))))</f>
        <v>Tipo 2 (0,25-0,50) uT</v>
      </c>
      <c r="BD152" s="137" t="str">
        <f>IF(OR(AO152="",AY152="-"),"",IF(AO152&lt;=0.25,"Tipo 1 (≤0,25) uT",IF(AO152&lt;=0.5,"Tipo 2 (0,25-0,50) uT",IF(AO152&lt;=0.75,"Tipo 3 (0,50-0,75) uT","Tipo 4 (&gt;0,75) uT"))))</f>
        <v>Tipo 2 (0,25-0,50) uT</v>
      </c>
      <c r="BE152" s="137" t="str">
        <f>IF(OR(AE152="",AP152="-"),"",IF(AE152&lt;=0.25,"Tipo 1 (≤0,25) uT",IF(AE152&lt;=0.5,"Tipo 2 (0,25-0,50) uT",IF(AE152&lt;=0.75,"Tipo 3 (0,50-0,75) uT","Tipo 4 (&gt;0,75) uT"))))</f>
        <v>Tipo 2 (0,25-0,50) uT</v>
      </c>
      <c r="BF152" s="137" t="str">
        <f>IF(OR(AP152="",AP152="-"),"",IF(AP152&lt;=0.25,"Tipo 1 (≤0,25) uT",IF(AP152&lt;=0.5,"Tipo 2 (0,25-0,50) uT",IF(AP152&lt;=0.75,"Tipo 3 (0,50-0,75) uT","Tipo 4 (&gt;0,75) uT"))))</f>
        <v>Tipo 2 (0,25-0,50) uT</v>
      </c>
      <c r="BG152" s="137" t="str">
        <f>IF(OR(Q152="",Q152="-"),"",IF(Q152&lt;=0.25,"Tipo 1 (≤0,25) uT",IF(Q152&lt;=0.5,"Tipo 2 (0,25-0,50) uT",IF(Q152&lt;=0.75,"Tipo 3 (0,50-0,75) uT","Tipo 4 (&gt;0,75) uT"))))</f>
        <v>Tipo 1 (≤0,25) uT</v>
      </c>
    </row>
    <row r="153" spans="1:59" x14ac:dyDescent="0.3">
      <c r="A153" s="26">
        <v>46144</v>
      </c>
      <c r="B153" s="107">
        <v>0.14583333333333334</v>
      </c>
      <c r="C153" s="116">
        <v>618</v>
      </c>
      <c r="D153" s="116">
        <v>89</v>
      </c>
      <c r="E153" s="116">
        <v>515</v>
      </c>
      <c r="F153" s="116">
        <v>1294</v>
      </c>
      <c r="G153" s="10" t="s">
        <v>100</v>
      </c>
      <c r="H153" s="122">
        <v>3.3</v>
      </c>
      <c r="I153" s="116">
        <v>90</v>
      </c>
      <c r="J153" s="116">
        <v>90</v>
      </c>
      <c r="K153" s="116">
        <v>90</v>
      </c>
      <c r="L153" s="122">
        <v>22.9</v>
      </c>
      <c r="M153" s="122">
        <v>6.6</v>
      </c>
      <c r="N153" s="79">
        <v>3.23</v>
      </c>
      <c r="O153" s="116">
        <v>15</v>
      </c>
      <c r="P153" s="122">
        <v>5</v>
      </c>
      <c r="Q153" s="79">
        <v>0.06</v>
      </c>
      <c r="R153" s="79">
        <v>22.36</v>
      </c>
      <c r="S153" s="79">
        <v>0.88</v>
      </c>
      <c r="T153" s="79">
        <v>0.7</v>
      </c>
      <c r="U153" s="85">
        <f t="shared" si="8"/>
        <v>1446.0449999999998</v>
      </c>
      <c r="V153" s="79">
        <f t="shared" si="9"/>
        <v>1579.4487668959998</v>
      </c>
      <c r="W153" s="79">
        <f t="shared" si="10"/>
        <v>1.0922542292224655</v>
      </c>
      <c r="X153" s="116">
        <v>1</v>
      </c>
      <c r="Y153" s="116">
        <v>2</v>
      </c>
      <c r="Z153" s="122">
        <v>6.49</v>
      </c>
      <c r="AA153" s="116">
        <v>19.600000000000001</v>
      </c>
      <c r="AB153" s="122">
        <v>6.5</v>
      </c>
      <c r="AC153" s="122">
        <v>4.5999999999999996</v>
      </c>
      <c r="AD153" s="10">
        <v>0.24</v>
      </c>
      <c r="AE153" s="79">
        <v>0.35</v>
      </c>
      <c r="AF153" s="85">
        <f t="shared" si="11"/>
        <v>1446.0449999999998</v>
      </c>
      <c r="AG153" s="85">
        <f t="shared" si="12"/>
        <v>1836.0822040027999</v>
      </c>
      <c r="AH153" s="85">
        <f t="shared" si="13"/>
        <v>1.2697268784877374</v>
      </c>
      <c r="AI153" s="116">
        <v>1</v>
      </c>
      <c r="AJ153" s="116">
        <v>2</v>
      </c>
      <c r="AK153" s="79">
        <v>6.39</v>
      </c>
      <c r="AL153" s="79">
        <v>23.23</v>
      </c>
      <c r="AM153" s="122">
        <v>6.6</v>
      </c>
      <c r="AN153" s="122">
        <v>4.8</v>
      </c>
      <c r="AO153" s="79">
        <v>0.24</v>
      </c>
      <c r="AP153" s="127">
        <v>0.33</v>
      </c>
      <c r="AQ153" s="132">
        <f t="shared" si="14"/>
        <v>1222</v>
      </c>
      <c r="AR153" s="134">
        <f t="shared" si="15"/>
        <v>0.50572831423895259</v>
      </c>
      <c r="AS153" s="134">
        <f t="shared" si="16"/>
        <v>7.2831423895253683E-2</v>
      </c>
      <c r="AT153" s="134">
        <f t="shared" si="17"/>
        <v>0.42144026186579381</v>
      </c>
      <c r="AU153" s="43">
        <f>IF(AND(F153&lt;&gt;"",Y153&lt;&gt;""),AA153/(F153/2/Y153),"")</f>
        <v>6.0587326120556416E-2</v>
      </c>
      <c r="AV153" s="43">
        <f>IF(AND(F153&lt;&gt;"",AJ153&lt;&gt;""),AL153/(F153/2/AJ153),"")</f>
        <v>7.1808346213292115E-2</v>
      </c>
      <c r="AW153" s="41">
        <f>IF(AND(AP153&lt;&gt;"",1-(AP153/N153)&gt;0),1-(AP153/N153),"")</f>
        <v>0.89783281733746134</v>
      </c>
      <c r="AX153" s="41">
        <f>IF(AND(AE153&lt;&gt;"",1-(AE153/N153)&gt;0),1-(AE153/N153),"")</f>
        <v>0.89164086687306499</v>
      </c>
      <c r="AY153" s="136" t="str">
        <f>IF(P153="","",IF(P153&lt;2.5,"Alc. Bruta &lt; 2,5 mg/L",IF(P153&lt;5,"2,5 ≤ Alc. Bruta &lt; 5,0 mg/L",IF(P153&lt;7.5,"5,0 ≤ Alc. Bruta &lt; 7,5 mg/L",IF(P153&lt;10,"7,5 ≤ Alc. Bruta &lt; 10,0 mg/L",IF(P153&lt;15,"10,0 ≤ Alca. Bruta &lt; 15,0 mg/L","Alc. Bruta &gt; 15 mg/L"))))))</f>
        <v>5,0 ≤ Alc. Bruta &lt; 7,5 mg/L</v>
      </c>
      <c r="AZ153" s="136" t="str">
        <f>IF(O153="","",IF(O153&lt;5,"Cor &lt;5 uC",IF(O153&lt;10,"5 ≤ Cor &lt; 10 uC",IF(O153&lt;15,"10 ≤ Cor &lt;15 uC",IF(O153&lt;30,"15 ≤ Cor &lt; 30 uC",IF(O153&lt;50,"30 ≤ Cor &lt; 50 uC","Cor &gt; 50 uC"))))))</f>
        <v>15 ≤ Cor &lt; 30 uC</v>
      </c>
      <c r="BA153" s="137" t="str">
        <f>IF(N153="","",IF(N153&lt;2.5,"Turbidez &lt; 2,5 uT",IF(N153&lt;5,"2,5 ≤ Turb &lt; 5,0 uT",IF(N153&lt;7.5,"5,0 ≤ Turb &lt; 7,5 uT",IF(N153&lt;10,"7,5 ≤ Turb &lt; 10,0 uT",IF(N153&lt;15,"10,0 ≤ Turb &lt; 15,0 uT","Turb &gt; 15 uT"))))))</f>
        <v>2,5 ≤ Turb &lt; 5,0 uT</v>
      </c>
      <c r="BB153" s="138" t="str">
        <f>IF(AND(C153&gt;D153,D153&gt;E153),"TOR &gt; SM &gt; BNN",IF(AND(C153&gt;E153,E153&gt;D153),"TOR &gt; BNN &gt; SM",IF(AND(D153&gt;C153,C153&gt;E153),"SM &gt; TOR &gt; BNN",IF(AND(D153&gt;E153,E153&gt;C153),"SM &gt; BNN &gt; TOR",IF(AND(C153=D153,D153=E153),"TOR = SM = BNN","Comb. diferentes")))))</f>
        <v>TOR &gt; BNN &gt; SM</v>
      </c>
      <c r="BC153" s="137" t="str">
        <f>IF(OR(AD153="",AP153="-"),"",IF(AD153&lt;=0.25,"Tipo 1 (≤0,25) uT",IF(AD153&lt;=0.5,"Tipo 2 (0,25-0,50) uT",IF(AD153&lt;=0.75,"Tipo 3 (0,50-0,75) uT","Tipo 4 (&gt;0,75) uT"))))</f>
        <v>Tipo 1 (≤0,25) uT</v>
      </c>
      <c r="BD153" s="137" t="str">
        <f>IF(OR(AO153="",AY153="-"),"",IF(AO153&lt;=0.25,"Tipo 1 (≤0,25) uT",IF(AO153&lt;=0.5,"Tipo 2 (0,25-0,50) uT",IF(AO153&lt;=0.75,"Tipo 3 (0,50-0,75) uT","Tipo 4 (&gt;0,75) uT"))))</f>
        <v>Tipo 1 (≤0,25) uT</v>
      </c>
      <c r="BE153" s="137" t="str">
        <f>IF(OR(AE153="",AP153="-"),"",IF(AE153&lt;=0.25,"Tipo 1 (≤0,25) uT",IF(AE153&lt;=0.5,"Tipo 2 (0,25-0,50) uT",IF(AE153&lt;=0.75,"Tipo 3 (0,50-0,75) uT","Tipo 4 (&gt;0,75) uT"))))</f>
        <v>Tipo 2 (0,25-0,50) uT</v>
      </c>
      <c r="BF153" s="137" t="str">
        <f>IF(OR(AP153="",AP153="-"),"",IF(AP153&lt;=0.25,"Tipo 1 (≤0,25) uT",IF(AP153&lt;=0.5,"Tipo 2 (0,25-0,50) uT",IF(AP153&lt;=0.75,"Tipo 3 (0,50-0,75) uT","Tipo 4 (&gt;0,75) uT"))))</f>
        <v>Tipo 2 (0,25-0,50) uT</v>
      </c>
      <c r="BG153" s="137" t="str">
        <f>IF(OR(Q153="",Q153="-"),"",IF(Q153&lt;=0.25,"Tipo 1 (≤0,25) uT",IF(Q153&lt;=0.5,"Tipo 2 (0,25-0,50) uT",IF(Q153&lt;=0.75,"Tipo 3 (0,50-0,75) uT","Tipo 4 (&gt;0,75) uT"))))</f>
        <v>Tipo 1 (≤0,25) uT</v>
      </c>
    </row>
    <row r="154" spans="1:59" ht="15" thickBot="1" x14ac:dyDescent="0.35">
      <c r="A154" s="26">
        <v>46144</v>
      </c>
      <c r="B154" s="110">
        <v>0.22916666666666666</v>
      </c>
      <c r="C154" s="117">
        <v>533</v>
      </c>
      <c r="D154" s="117">
        <v>86</v>
      </c>
      <c r="E154" s="117">
        <v>513</v>
      </c>
      <c r="F154" s="117">
        <v>1296</v>
      </c>
      <c r="G154" s="11" t="s">
        <v>100</v>
      </c>
      <c r="H154" s="123">
        <v>3.3</v>
      </c>
      <c r="I154" s="117">
        <v>90</v>
      </c>
      <c r="J154" s="117">
        <v>90</v>
      </c>
      <c r="K154" s="117">
        <v>90</v>
      </c>
      <c r="L154" s="123">
        <v>22.7</v>
      </c>
      <c r="M154" s="123">
        <v>6.7</v>
      </c>
      <c r="N154" s="80">
        <v>3.29</v>
      </c>
      <c r="O154" s="117">
        <v>16</v>
      </c>
      <c r="P154" s="123">
        <v>6.3</v>
      </c>
      <c r="Q154" s="80">
        <v>7.0000000000000007E-2</v>
      </c>
      <c r="R154" s="79">
        <v>22.36</v>
      </c>
      <c r="S154" s="79">
        <v>0.88</v>
      </c>
      <c r="T154" s="79">
        <v>0.7</v>
      </c>
      <c r="U154" s="85">
        <f t="shared" si="8"/>
        <v>1467.72</v>
      </c>
      <c r="V154" s="79">
        <f t="shared" si="9"/>
        <v>1554.7048546015997</v>
      </c>
      <c r="W154" s="79">
        <f t="shared" si="10"/>
        <v>1.0592652921549066</v>
      </c>
      <c r="X154" s="117">
        <v>1</v>
      </c>
      <c r="Y154" s="117">
        <v>2</v>
      </c>
      <c r="Z154" s="123">
        <v>6.48</v>
      </c>
      <c r="AA154" s="117">
        <v>19.329999999999998</v>
      </c>
      <c r="AB154" s="123">
        <v>6.6</v>
      </c>
      <c r="AC154" s="123">
        <v>4.0999999999999996</v>
      </c>
      <c r="AD154" s="11">
        <v>0.36</v>
      </c>
      <c r="AE154" s="80">
        <v>0.18</v>
      </c>
      <c r="AF154" s="85">
        <f t="shared" si="11"/>
        <v>1467.72</v>
      </c>
      <c r="AG154" s="85">
        <f t="shared" si="12"/>
        <v>1813.8853027619996</v>
      </c>
      <c r="AH154" s="85">
        <f t="shared" si="13"/>
        <v>1.2358524124233501</v>
      </c>
      <c r="AI154" s="117">
        <v>1</v>
      </c>
      <c r="AJ154" s="117">
        <v>2</v>
      </c>
      <c r="AK154" s="80">
        <v>6.35</v>
      </c>
      <c r="AL154" s="80">
        <v>23.13</v>
      </c>
      <c r="AM154" s="123">
        <v>6.6</v>
      </c>
      <c r="AN154" s="123">
        <v>5.3</v>
      </c>
      <c r="AO154" s="80">
        <v>0.3</v>
      </c>
      <c r="AP154" s="128">
        <v>0.27</v>
      </c>
      <c r="AQ154" s="132">
        <f t="shared" si="14"/>
        <v>1132</v>
      </c>
      <c r="AR154" s="134">
        <f t="shared" si="15"/>
        <v>0.47084805653710249</v>
      </c>
      <c r="AS154" s="134">
        <f t="shared" si="16"/>
        <v>7.5971731448763249E-2</v>
      </c>
      <c r="AT154" s="134">
        <f t="shared" si="17"/>
        <v>0.45318021201413428</v>
      </c>
      <c r="AU154" s="43">
        <f>IF(AND(F154&lt;&gt;"",Y154&lt;&gt;""),AA154/(F154/2/Y154),"")</f>
        <v>5.9660493827160488E-2</v>
      </c>
      <c r="AV154" s="43">
        <f>IF(AND(F154&lt;&gt;"",AJ154&lt;&gt;""),AL154/(F154/2/AJ154),"")</f>
        <v>7.1388888888888891E-2</v>
      </c>
      <c r="AW154" s="41">
        <f>IF(AND(AP154&lt;&gt;"",1-(AP154/N154)&gt;0),1-(AP154/N154),"")</f>
        <v>0.91793313069908811</v>
      </c>
      <c r="AX154" s="41">
        <f>IF(AND(AE154&lt;&gt;"",1-(AE154/N154)&gt;0),1-(AE154/N154),"")</f>
        <v>0.94528875379939215</v>
      </c>
      <c r="AY154" s="136" t="str">
        <f>IF(P154="","",IF(P154&lt;2.5,"Alc. Bruta &lt; 2,5 mg/L",IF(P154&lt;5,"2,5 ≤ Alc. Bruta &lt; 5,0 mg/L",IF(P154&lt;7.5,"5,0 ≤ Alc. Bruta &lt; 7,5 mg/L",IF(P154&lt;10,"7,5 ≤ Alc. Bruta &lt; 10,0 mg/L",IF(P154&lt;15,"10,0 ≤ Alca. Bruta &lt; 15,0 mg/L","Alc. Bruta &gt; 15 mg/L"))))))</f>
        <v>5,0 ≤ Alc. Bruta &lt; 7,5 mg/L</v>
      </c>
      <c r="AZ154" s="136" t="str">
        <f>IF(O154="","",IF(O154&lt;5,"Cor &lt;5 uC",IF(O154&lt;10,"5 ≤ Cor &lt; 10 uC",IF(O154&lt;15,"10 ≤ Cor &lt;15 uC",IF(O154&lt;30,"15 ≤ Cor &lt; 30 uC",IF(O154&lt;50,"30 ≤ Cor &lt; 50 uC","Cor &gt; 50 uC"))))))</f>
        <v>15 ≤ Cor &lt; 30 uC</v>
      </c>
      <c r="BA154" s="137" t="str">
        <f>IF(N154="","",IF(N154&lt;2.5,"Turbidez &lt; 2,5 uT",IF(N154&lt;5,"2,5 ≤ Turb &lt; 5,0 uT",IF(N154&lt;7.5,"5,0 ≤ Turb &lt; 7,5 uT",IF(N154&lt;10,"7,5 ≤ Turb &lt; 10,0 uT",IF(N154&lt;15,"10,0 ≤ Turb &lt; 15,0 uT","Turb &gt; 15 uT"))))))</f>
        <v>2,5 ≤ Turb &lt; 5,0 uT</v>
      </c>
      <c r="BB154" s="138" t="str">
        <f>IF(AND(C154&gt;D154,D154&gt;E154),"TOR &gt; SM &gt; BNN",IF(AND(C154&gt;E154,E154&gt;D154),"TOR &gt; BNN &gt; SM",IF(AND(D154&gt;C154,C154&gt;E154),"SM &gt; TOR &gt; BNN",IF(AND(D154&gt;E154,E154&gt;C154),"SM &gt; BNN &gt; TOR",IF(AND(C154=D154,D154=E154),"TOR = SM = BNN","Comb. diferentes")))))</f>
        <v>TOR &gt; BNN &gt; SM</v>
      </c>
      <c r="BC154" s="137" t="str">
        <f>IF(OR(AD154="",AP154="-"),"",IF(AD154&lt;=0.25,"Tipo 1 (≤0,25) uT",IF(AD154&lt;=0.5,"Tipo 2 (0,25-0,50) uT",IF(AD154&lt;=0.75,"Tipo 3 (0,50-0,75) uT","Tipo 4 (&gt;0,75) uT"))))</f>
        <v>Tipo 2 (0,25-0,50) uT</v>
      </c>
      <c r="BD154" s="137" t="str">
        <f>IF(OR(AO154="",AY154="-"),"",IF(AO154&lt;=0.25,"Tipo 1 (≤0,25) uT",IF(AO154&lt;=0.5,"Tipo 2 (0,25-0,50) uT",IF(AO154&lt;=0.75,"Tipo 3 (0,50-0,75) uT","Tipo 4 (&gt;0,75) uT"))))</f>
        <v>Tipo 2 (0,25-0,50) uT</v>
      </c>
      <c r="BE154" s="137" t="str">
        <f>IF(OR(AE154="",AP154="-"),"",IF(AE154&lt;=0.25,"Tipo 1 (≤0,25) uT",IF(AE154&lt;=0.5,"Tipo 2 (0,25-0,50) uT",IF(AE154&lt;=0.75,"Tipo 3 (0,50-0,75) uT","Tipo 4 (&gt;0,75) uT"))))</f>
        <v>Tipo 1 (≤0,25) uT</v>
      </c>
      <c r="BF154" s="137" t="str">
        <f>IF(OR(AP154="",AP154="-"),"",IF(AP154&lt;=0.25,"Tipo 1 (≤0,25) uT",IF(AP154&lt;=0.5,"Tipo 2 (0,25-0,50) uT",IF(AP154&lt;=0.75,"Tipo 3 (0,50-0,75) uT","Tipo 4 (&gt;0,75) uT"))))</f>
        <v>Tipo 2 (0,25-0,50) uT</v>
      </c>
      <c r="BG154" s="137" t="str">
        <f>IF(OR(Q154="",Q154="-"),"",IF(Q154&lt;=0.25,"Tipo 1 (≤0,25) uT",IF(Q154&lt;=0.5,"Tipo 2 (0,25-0,50) uT",IF(Q154&lt;=0.75,"Tipo 3 (0,50-0,75) uT","Tipo 4 (&gt;0,75) uT"))))</f>
        <v>Tipo 1 (≤0,25) uT</v>
      </c>
    </row>
    <row r="155" spans="1:59" x14ac:dyDescent="0.3">
      <c r="A155" s="26">
        <v>46144</v>
      </c>
      <c r="B155" s="111">
        <v>0.3125</v>
      </c>
      <c r="C155" s="118">
        <v>592</v>
      </c>
      <c r="D155" s="116">
        <v>88.5</v>
      </c>
      <c r="E155" s="118">
        <v>512</v>
      </c>
      <c r="F155" s="118">
        <v>1304</v>
      </c>
      <c r="G155" s="9" t="s">
        <v>100</v>
      </c>
      <c r="H155" s="124">
        <v>3.3</v>
      </c>
      <c r="I155" s="118">
        <v>90</v>
      </c>
      <c r="J155" s="118">
        <v>90</v>
      </c>
      <c r="K155" s="118">
        <v>90</v>
      </c>
      <c r="L155" s="124">
        <v>23</v>
      </c>
      <c r="M155" s="124">
        <v>6.8</v>
      </c>
      <c r="N155" s="81">
        <v>3.26</v>
      </c>
      <c r="O155" s="118">
        <v>15</v>
      </c>
      <c r="P155" s="124">
        <v>7.1</v>
      </c>
      <c r="Q155" s="81">
        <v>0.1</v>
      </c>
      <c r="R155" s="79">
        <v>22.36</v>
      </c>
      <c r="S155" s="79">
        <v>0.88</v>
      </c>
      <c r="T155" s="79">
        <v>0.7</v>
      </c>
      <c r="U155" s="85">
        <f t="shared" si="8"/>
        <v>1467</v>
      </c>
      <c r="V155" s="79">
        <f t="shared" si="9"/>
        <v>1372.556302</v>
      </c>
      <c r="W155" s="79">
        <f t="shared" si="10"/>
        <v>0.93562120109066116</v>
      </c>
      <c r="X155" s="118">
        <v>1</v>
      </c>
      <c r="Y155" s="118">
        <v>2</v>
      </c>
      <c r="Z155" s="124">
        <v>6.5</v>
      </c>
      <c r="AA155" s="118">
        <v>17</v>
      </c>
      <c r="AB155" s="124">
        <v>6.6</v>
      </c>
      <c r="AC155" s="124">
        <v>5.6</v>
      </c>
      <c r="AD155" s="9">
        <v>0.23</v>
      </c>
      <c r="AE155" s="81">
        <v>0.24</v>
      </c>
      <c r="AF155" s="85">
        <f t="shared" si="11"/>
        <v>978</v>
      </c>
      <c r="AG155" s="85">
        <f t="shared" si="12"/>
        <v>1611.6824151999999</v>
      </c>
      <c r="AH155" s="85">
        <f t="shared" si="13"/>
        <v>1.6479370298568505</v>
      </c>
      <c r="AI155" s="118">
        <v>2</v>
      </c>
      <c r="AJ155" s="118">
        <v>3</v>
      </c>
      <c r="AK155" s="81">
        <v>6.49</v>
      </c>
      <c r="AL155" s="81">
        <v>20</v>
      </c>
      <c r="AM155" s="124">
        <v>6.7</v>
      </c>
      <c r="AN155" s="124">
        <v>6.4</v>
      </c>
      <c r="AO155" s="81">
        <v>0.36</v>
      </c>
      <c r="AP155" s="129">
        <v>0.34</v>
      </c>
      <c r="AQ155" s="132">
        <f t="shared" si="14"/>
        <v>1192.5</v>
      </c>
      <c r="AR155" s="134">
        <f t="shared" si="15"/>
        <v>0.49643605870020963</v>
      </c>
      <c r="AS155" s="134">
        <f t="shared" si="16"/>
        <v>7.4213836477987419E-2</v>
      </c>
      <c r="AT155" s="134">
        <f t="shared" si="17"/>
        <v>0.42935010482180291</v>
      </c>
      <c r="AU155" s="43">
        <f>IF(AND(F155&lt;&gt;"",Y155&lt;&gt;""),AA155/(F155/2/Y155),"")</f>
        <v>5.2147239263803678E-2</v>
      </c>
      <c r="AV155" s="43">
        <f>IF(AND(F155&lt;&gt;"",AJ155&lt;&gt;""),AL155/(F155/2/AJ155),"")</f>
        <v>9.202453987730061E-2</v>
      </c>
      <c r="AW155" s="41">
        <f>IF(AND(AP155&lt;&gt;"",1-(AP155/N155)&gt;0),1-(AP155/N155),"")</f>
        <v>0.89570552147239257</v>
      </c>
      <c r="AX155" s="41">
        <f>IF(AND(AE155&lt;&gt;"",1-(AE155/N155)&gt;0),1-(AE155/N155),"")</f>
        <v>0.92638036809815949</v>
      </c>
      <c r="AY155" s="136" t="str">
        <f>IF(P155="","",IF(P155&lt;2.5,"Alc. Bruta &lt; 2,5 mg/L",IF(P155&lt;5,"2,5 ≤ Alc. Bruta &lt; 5,0 mg/L",IF(P155&lt;7.5,"5,0 ≤ Alc. Bruta &lt; 7,5 mg/L",IF(P155&lt;10,"7,5 ≤ Alc. Bruta &lt; 10,0 mg/L",IF(P155&lt;15,"10,0 ≤ Alca. Bruta &lt; 15,0 mg/L","Alc. Bruta &gt; 15 mg/L"))))))</f>
        <v>5,0 ≤ Alc. Bruta &lt; 7,5 mg/L</v>
      </c>
      <c r="AZ155" s="136" t="str">
        <f>IF(O155="","",IF(O155&lt;5,"Cor &lt;5 uC",IF(O155&lt;10,"5 ≤ Cor &lt; 10 uC",IF(O155&lt;15,"10 ≤ Cor &lt;15 uC",IF(O155&lt;30,"15 ≤ Cor &lt; 30 uC",IF(O155&lt;50,"30 ≤ Cor &lt; 50 uC","Cor &gt; 50 uC"))))))</f>
        <v>15 ≤ Cor &lt; 30 uC</v>
      </c>
      <c r="BA155" s="137" t="str">
        <f>IF(N155="","",IF(N155&lt;2.5,"Turbidez &lt; 2,5 uT",IF(N155&lt;5,"2,5 ≤ Turb &lt; 5,0 uT",IF(N155&lt;7.5,"5,0 ≤ Turb &lt; 7,5 uT",IF(N155&lt;10,"7,5 ≤ Turb &lt; 10,0 uT",IF(N155&lt;15,"10,0 ≤ Turb &lt; 15,0 uT","Turb &gt; 15 uT"))))))</f>
        <v>2,5 ≤ Turb &lt; 5,0 uT</v>
      </c>
      <c r="BB155" s="138" t="str">
        <f>IF(AND(C155&gt;D155,D155&gt;E155),"TOR &gt; SM &gt; BNN",IF(AND(C155&gt;E155,E155&gt;D155),"TOR &gt; BNN &gt; SM",IF(AND(D155&gt;C155,C155&gt;E155),"SM &gt; TOR &gt; BNN",IF(AND(D155&gt;E155,E155&gt;C155),"SM &gt; BNN &gt; TOR",IF(AND(C155=D155,D155=E155),"TOR = SM = BNN","Comb. diferentes")))))</f>
        <v>TOR &gt; BNN &gt; SM</v>
      </c>
      <c r="BC155" s="137" t="str">
        <f>IF(OR(AD155="",AP155="-"),"",IF(AD155&lt;=0.25,"Tipo 1 (≤0,25) uT",IF(AD155&lt;=0.5,"Tipo 2 (0,25-0,50) uT",IF(AD155&lt;=0.75,"Tipo 3 (0,50-0,75) uT","Tipo 4 (&gt;0,75) uT"))))</f>
        <v>Tipo 1 (≤0,25) uT</v>
      </c>
      <c r="BD155" s="137" t="str">
        <f>IF(OR(AO155="",AY155="-"),"",IF(AO155&lt;=0.25,"Tipo 1 (≤0,25) uT",IF(AO155&lt;=0.5,"Tipo 2 (0,25-0,50) uT",IF(AO155&lt;=0.75,"Tipo 3 (0,50-0,75) uT","Tipo 4 (&gt;0,75) uT"))))</f>
        <v>Tipo 2 (0,25-0,50) uT</v>
      </c>
      <c r="BE155" s="137" t="str">
        <f>IF(OR(AE155="",AP155="-"),"",IF(AE155&lt;=0.25,"Tipo 1 (≤0,25) uT",IF(AE155&lt;=0.5,"Tipo 2 (0,25-0,50) uT",IF(AE155&lt;=0.75,"Tipo 3 (0,50-0,75) uT","Tipo 4 (&gt;0,75) uT"))))</f>
        <v>Tipo 1 (≤0,25) uT</v>
      </c>
      <c r="BF155" s="137" t="str">
        <f>IF(OR(AP155="",AP155="-"),"",IF(AP155&lt;=0.25,"Tipo 1 (≤0,25) uT",IF(AP155&lt;=0.5,"Tipo 2 (0,25-0,50) uT",IF(AP155&lt;=0.75,"Tipo 3 (0,50-0,75) uT","Tipo 4 (&gt;0,75) uT"))))</f>
        <v>Tipo 2 (0,25-0,50) uT</v>
      </c>
      <c r="BG155" s="137" t="str">
        <f>IF(OR(Q155="",Q155="-"),"",IF(Q155&lt;=0.25,"Tipo 1 (≤0,25) uT",IF(Q155&lt;=0.5,"Tipo 2 (0,25-0,50) uT",IF(Q155&lt;=0.75,"Tipo 3 (0,50-0,75) uT","Tipo 4 (&gt;0,75) uT"))))</f>
        <v>Tipo 1 (≤0,25) uT</v>
      </c>
    </row>
    <row r="156" spans="1:59" x14ac:dyDescent="0.3">
      <c r="A156" s="26">
        <v>46144</v>
      </c>
      <c r="B156" s="107">
        <v>0.39583333333333331</v>
      </c>
      <c r="C156" s="116">
        <v>591</v>
      </c>
      <c r="D156" s="116">
        <v>88</v>
      </c>
      <c r="E156" s="116">
        <v>516</v>
      </c>
      <c r="F156" s="116">
        <v>1255</v>
      </c>
      <c r="G156" s="10" t="s">
        <v>100</v>
      </c>
      <c r="H156" s="122">
        <v>3</v>
      </c>
      <c r="I156" s="116">
        <v>90</v>
      </c>
      <c r="J156" s="116">
        <v>90</v>
      </c>
      <c r="K156" s="116">
        <v>90</v>
      </c>
      <c r="L156" s="122">
        <v>23.5</v>
      </c>
      <c r="M156" s="122">
        <v>6.7</v>
      </c>
      <c r="N156" s="79">
        <v>3.3</v>
      </c>
      <c r="O156" s="116">
        <v>16</v>
      </c>
      <c r="P156" s="122">
        <v>7</v>
      </c>
      <c r="Q156" s="79">
        <v>0.14000000000000001</v>
      </c>
      <c r="R156" s="79">
        <v>22.36</v>
      </c>
      <c r="S156" s="79">
        <v>0.88</v>
      </c>
      <c r="T156" s="79">
        <v>0.7</v>
      </c>
      <c r="U156" s="85">
        <f t="shared" si="8"/>
        <v>1396.1874999999998</v>
      </c>
      <c r="V156" s="79">
        <f t="shared" si="9"/>
        <v>1380.4350492400001</v>
      </c>
      <c r="W156" s="79">
        <f t="shared" si="10"/>
        <v>0.98871752485966269</v>
      </c>
      <c r="X156" s="116">
        <v>1</v>
      </c>
      <c r="Y156" s="116">
        <v>2</v>
      </c>
      <c r="Z156" s="122">
        <v>6.53</v>
      </c>
      <c r="AA156" s="116">
        <v>17</v>
      </c>
      <c r="AB156" s="122">
        <v>6.4</v>
      </c>
      <c r="AC156" s="122">
        <v>5.8</v>
      </c>
      <c r="AD156" s="10">
        <v>0.28999999999999998</v>
      </c>
      <c r="AE156" s="79">
        <v>0.56999999999999995</v>
      </c>
      <c r="AF156" s="85">
        <f t="shared" si="11"/>
        <v>930.79166666666652</v>
      </c>
      <c r="AG156" s="85">
        <f t="shared" si="12"/>
        <v>1749.0599297599999</v>
      </c>
      <c r="AH156" s="85">
        <f t="shared" si="13"/>
        <v>1.8791100010850981</v>
      </c>
      <c r="AI156" s="116">
        <v>2</v>
      </c>
      <c r="AJ156" s="116">
        <v>3</v>
      </c>
      <c r="AK156" s="79">
        <v>6.42</v>
      </c>
      <c r="AL156" s="79">
        <v>22</v>
      </c>
      <c r="AM156" s="122">
        <v>6.6</v>
      </c>
      <c r="AN156" s="122">
        <v>6.3</v>
      </c>
      <c r="AO156" s="79">
        <v>0.38</v>
      </c>
      <c r="AP156" s="127">
        <v>0.42</v>
      </c>
      <c r="AQ156" s="132">
        <f t="shared" si="14"/>
        <v>1195</v>
      </c>
      <c r="AR156" s="134">
        <f t="shared" si="15"/>
        <v>0.49456066945606697</v>
      </c>
      <c r="AS156" s="134">
        <f t="shared" si="16"/>
        <v>7.364016736401674E-2</v>
      </c>
      <c r="AT156" s="134">
        <f t="shared" si="17"/>
        <v>0.43179916317991635</v>
      </c>
      <c r="AU156" s="43">
        <f>IF(AND(F156&lt;&gt;"",Y156&lt;&gt;""),AA156/(F156/2/Y156),"")</f>
        <v>5.4183266932270914E-2</v>
      </c>
      <c r="AV156" s="43">
        <f>IF(AND(F156&lt;&gt;"",AJ156&lt;&gt;""),AL156/(F156/2/AJ156),"")</f>
        <v>0.1051792828685259</v>
      </c>
      <c r="AW156" s="41">
        <f>IF(AND(AP156&lt;&gt;"",1-(AP156/N156)&gt;0),1-(AP156/N156),"")</f>
        <v>0.87272727272727268</v>
      </c>
      <c r="AX156" s="41">
        <f>IF(AND(AE156&lt;&gt;"",1-(AE156/N156)&gt;0),1-(AE156/N156),"")</f>
        <v>0.82727272727272727</v>
      </c>
      <c r="AY156" s="136" t="str">
        <f>IF(P156="","",IF(P156&lt;2.5,"Alc. Bruta &lt; 2,5 mg/L",IF(P156&lt;5,"2,5 ≤ Alc. Bruta &lt; 5,0 mg/L",IF(P156&lt;7.5,"5,0 ≤ Alc. Bruta &lt; 7,5 mg/L",IF(P156&lt;10,"7,5 ≤ Alc. Bruta &lt; 10,0 mg/L",IF(P156&lt;15,"10,0 ≤ Alca. Bruta &lt; 15,0 mg/L","Alc. Bruta &gt; 15 mg/L"))))))</f>
        <v>5,0 ≤ Alc. Bruta &lt; 7,5 mg/L</v>
      </c>
      <c r="AZ156" s="136" t="str">
        <f>IF(O156="","",IF(O156&lt;5,"Cor &lt;5 uC",IF(O156&lt;10,"5 ≤ Cor &lt; 10 uC",IF(O156&lt;15,"10 ≤ Cor &lt;15 uC",IF(O156&lt;30,"15 ≤ Cor &lt; 30 uC",IF(O156&lt;50,"30 ≤ Cor &lt; 50 uC","Cor &gt; 50 uC"))))))</f>
        <v>15 ≤ Cor &lt; 30 uC</v>
      </c>
      <c r="BA156" s="137" t="str">
        <f>IF(N156="","",IF(N156&lt;2.5,"Turbidez &lt; 2,5 uT",IF(N156&lt;5,"2,5 ≤ Turb &lt; 5,0 uT",IF(N156&lt;7.5,"5,0 ≤ Turb &lt; 7,5 uT",IF(N156&lt;10,"7,5 ≤ Turb &lt; 10,0 uT",IF(N156&lt;15,"10,0 ≤ Turb &lt; 15,0 uT","Turb &gt; 15 uT"))))))</f>
        <v>2,5 ≤ Turb &lt; 5,0 uT</v>
      </c>
      <c r="BB156" s="138" t="str">
        <f>IF(AND(C156&gt;D156,D156&gt;E156),"TOR &gt; SM &gt; BNN",IF(AND(C156&gt;E156,E156&gt;D156),"TOR &gt; BNN &gt; SM",IF(AND(D156&gt;C156,C156&gt;E156),"SM &gt; TOR &gt; BNN",IF(AND(D156&gt;E156,E156&gt;C156),"SM &gt; BNN &gt; TOR",IF(AND(C156=D156,D156=E156),"TOR = SM = BNN","Comb. diferentes")))))</f>
        <v>TOR &gt; BNN &gt; SM</v>
      </c>
      <c r="BC156" s="137" t="str">
        <f>IF(OR(AD156="",AP156="-"),"",IF(AD156&lt;=0.25,"Tipo 1 (≤0,25) uT",IF(AD156&lt;=0.5,"Tipo 2 (0,25-0,50) uT",IF(AD156&lt;=0.75,"Tipo 3 (0,50-0,75) uT","Tipo 4 (&gt;0,75) uT"))))</f>
        <v>Tipo 2 (0,25-0,50) uT</v>
      </c>
      <c r="BD156" s="137" t="str">
        <f>IF(OR(AO156="",AY156="-"),"",IF(AO156&lt;=0.25,"Tipo 1 (≤0,25) uT",IF(AO156&lt;=0.5,"Tipo 2 (0,25-0,50) uT",IF(AO156&lt;=0.75,"Tipo 3 (0,50-0,75) uT","Tipo 4 (&gt;0,75) uT"))))</f>
        <v>Tipo 2 (0,25-0,50) uT</v>
      </c>
      <c r="BE156" s="137" t="str">
        <f>IF(OR(AE156="",AP156="-"),"",IF(AE156&lt;=0.25,"Tipo 1 (≤0,25) uT",IF(AE156&lt;=0.5,"Tipo 2 (0,25-0,50) uT",IF(AE156&lt;=0.75,"Tipo 3 (0,50-0,75) uT","Tipo 4 (&gt;0,75) uT"))))</f>
        <v>Tipo 3 (0,50-0,75) uT</v>
      </c>
      <c r="BF156" s="137" t="str">
        <f>IF(OR(AP156="",AP156="-"),"",IF(AP156&lt;=0.25,"Tipo 1 (≤0,25) uT",IF(AP156&lt;=0.5,"Tipo 2 (0,25-0,50) uT",IF(AP156&lt;=0.75,"Tipo 3 (0,50-0,75) uT","Tipo 4 (&gt;0,75) uT"))))</f>
        <v>Tipo 2 (0,25-0,50) uT</v>
      </c>
      <c r="BG156" s="137" t="str">
        <f>IF(OR(Q156="",Q156="-"),"",IF(Q156&lt;=0.25,"Tipo 1 (≤0,25) uT",IF(Q156&lt;=0.5,"Tipo 2 (0,25-0,50) uT",IF(Q156&lt;=0.75,"Tipo 3 (0,50-0,75) uT","Tipo 4 (&gt;0,75) uT"))))</f>
        <v>Tipo 1 (≤0,25) uT</v>
      </c>
    </row>
    <row r="157" spans="1:59" x14ac:dyDescent="0.3">
      <c r="A157" s="26">
        <v>46144</v>
      </c>
      <c r="B157" s="107">
        <v>0.47916666666666669</v>
      </c>
      <c r="C157" s="116">
        <v>1112</v>
      </c>
      <c r="D157" s="116">
        <v>84</v>
      </c>
      <c r="E157" s="116">
        <v>450</v>
      </c>
      <c r="F157" s="116">
        <v>1721</v>
      </c>
      <c r="G157" s="10" t="s">
        <v>100</v>
      </c>
      <c r="H157" s="122">
        <v>3.3</v>
      </c>
      <c r="I157" s="116">
        <v>90</v>
      </c>
      <c r="J157" s="116">
        <v>90</v>
      </c>
      <c r="K157" s="116">
        <v>90</v>
      </c>
      <c r="L157" s="122">
        <v>23.8</v>
      </c>
      <c r="M157" s="122">
        <v>6.7</v>
      </c>
      <c r="N157" s="79">
        <v>3.27</v>
      </c>
      <c r="O157" s="116">
        <v>17</v>
      </c>
      <c r="P157" s="122">
        <v>5.5</v>
      </c>
      <c r="Q157" s="79">
        <v>0.16</v>
      </c>
      <c r="R157" s="79">
        <v>22.36</v>
      </c>
      <c r="S157" s="79">
        <v>0.88</v>
      </c>
      <c r="T157" s="79">
        <v>0.7</v>
      </c>
      <c r="U157" s="85">
        <f t="shared" si="8"/>
        <v>1293.6183333333331</v>
      </c>
      <c r="V157" s="79">
        <f t="shared" si="9"/>
        <v>1531.0982944399998</v>
      </c>
      <c r="W157" s="79">
        <f t="shared" si="10"/>
        <v>1.1835780732132481</v>
      </c>
      <c r="X157" s="116">
        <v>2</v>
      </c>
      <c r="Y157" s="116">
        <v>3</v>
      </c>
      <c r="Z157" s="122">
        <v>6.49</v>
      </c>
      <c r="AA157" s="116">
        <v>19</v>
      </c>
      <c r="AB157" s="122">
        <v>6.6</v>
      </c>
      <c r="AC157" s="122">
        <v>5.3</v>
      </c>
      <c r="AD157" s="10">
        <v>0.3</v>
      </c>
      <c r="AE157" s="79">
        <v>0.48</v>
      </c>
      <c r="AF157" s="85">
        <f t="shared" si="11"/>
        <v>970.21375</v>
      </c>
      <c r="AG157" s="85">
        <f t="shared" si="12"/>
        <v>1853.4347774799999</v>
      </c>
      <c r="AH157" s="85">
        <f t="shared" si="13"/>
        <v>1.9103365392213827</v>
      </c>
      <c r="AI157" s="116">
        <v>2</v>
      </c>
      <c r="AJ157" s="116">
        <v>4</v>
      </c>
      <c r="AK157" s="79">
        <v>6.49</v>
      </c>
      <c r="AL157" s="79">
        <v>23</v>
      </c>
      <c r="AM157" s="122">
        <v>6.5</v>
      </c>
      <c r="AN157" s="122">
        <v>5.7</v>
      </c>
      <c r="AO157" s="79">
        <v>0.27</v>
      </c>
      <c r="AP157" s="127">
        <v>0.43</v>
      </c>
      <c r="AQ157" s="132">
        <f t="shared" si="14"/>
        <v>1646</v>
      </c>
      <c r="AR157" s="134">
        <f t="shared" si="15"/>
        <v>0.67557715674362095</v>
      </c>
      <c r="AS157" s="134">
        <f t="shared" si="16"/>
        <v>5.1032806804374241E-2</v>
      </c>
      <c r="AT157" s="134">
        <f t="shared" si="17"/>
        <v>0.27339003645200488</v>
      </c>
      <c r="AU157" s="43">
        <f>IF(AND(F157&lt;&gt;"",Y157&lt;&gt;""),AA157/(F157/2/Y157),"")</f>
        <v>6.6240557815223713E-2</v>
      </c>
      <c r="AV157" s="43">
        <f>IF(AND(F157&lt;&gt;"",AJ157&lt;&gt;""),AL157/(F157/2/AJ157),"")</f>
        <v>0.10691458454386985</v>
      </c>
      <c r="AW157" s="41">
        <f>IF(AND(AP157&lt;&gt;"",1-(AP157/N157)&gt;0),1-(AP157/N157),"")</f>
        <v>0.86850152905198774</v>
      </c>
      <c r="AX157" s="41">
        <f>IF(AND(AE157&lt;&gt;"",1-(AE157/N157)&gt;0),1-(AE157/N157),"")</f>
        <v>0.85321100917431192</v>
      </c>
      <c r="AY157" s="136" t="str">
        <f>IF(P157="","",IF(P157&lt;2.5,"Alc. Bruta &lt; 2,5 mg/L",IF(P157&lt;5,"2,5 ≤ Alc. Bruta &lt; 5,0 mg/L",IF(P157&lt;7.5,"5,0 ≤ Alc. Bruta &lt; 7,5 mg/L",IF(P157&lt;10,"7,5 ≤ Alc. Bruta &lt; 10,0 mg/L",IF(P157&lt;15,"10,0 ≤ Alca. Bruta &lt; 15,0 mg/L","Alc. Bruta &gt; 15 mg/L"))))))</f>
        <v>5,0 ≤ Alc. Bruta &lt; 7,5 mg/L</v>
      </c>
      <c r="AZ157" s="136" t="str">
        <f>IF(O157="","",IF(O157&lt;5,"Cor &lt;5 uC",IF(O157&lt;10,"5 ≤ Cor &lt; 10 uC",IF(O157&lt;15,"10 ≤ Cor &lt;15 uC",IF(O157&lt;30,"15 ≤ Cor &lt; 30 uC",IF(O157&lt;50,"30 ≤ Cor &lt; 50 uC","Cor &gt; 50 uC"))))))</f>
        <v>15 ≤ Cor &lt; 30 uC</v>
      </c>
      <c r="BA157" s="137" t="str">
        <f>IF(N157="","",IF(N157&lt;2.5,"Turbidez &lt; 2,5 uT",IF(N157&lt;5,"2,5 ≤ Turb &lt; 5,0 uT",IF(N157&lt;7.5,"5,0 ≤ Turb &lt; 7,5 uT",IF(N157&lt;10,"7,5 ≤ Turb &lt; 10,0 uT",IF(N157&lt;15,"10,0 ≤ Turb &lt; 15,0 uT","Turb &gt; 15 uT"))))))</f>
        <v>2,5 ≤ Turb &lt; 5,0 uT</v>
      </c>
      <c r="BB157" s="138" t="str">
        <f>IF(AND(C157&gt;D157,D157&gt;E157),"TOR &gt; SM &gt; BNN",IF(AND(C157&gt;E157,E157&gt;D157),"TOR &gt; BNN &gt; SM",IF(AND(D157&gt;C157,C157&gt;E157),"SM &gt; TOR &gt; BNN",IF(AND(D157&gt;E157,E157&gt;C157),"SM &gt; BNN &gt; TOR",IF(AND(C157=D157,D157=E157),"TOR = SM = BNN","Comb. diferentes")))))</f>
        <v>TOR &gt; BNN &gt; SM</v>
      </c>
      <c r="BC157" s="137" t="str">
        <f>IF(OR(AD157="",AP157="-"),"",IF(AD157&lt;=0.25,"Tipo 1 (≤0,25) uT",IF(AD157&lt;=0.5,"Tipo 2 (0,25-0,50) uT",IF(AD157&lt;=0.75,"Tipo 3 (0,50-0,75) uT","Tipo 4 (&gt;0,75) uT"))))</f>
        <v>Tipo 2 (0,25-0,50) uT</v>
      </c>
      <c r="BD157" s="137" t="str">
        <f>IF(OR(AO157="",AY157="-"),"",IF(AO157&lt;=0.25,"Tipo 1 (≤0,25) uT",IF(AO157&lt;=0.5,"Tipo 2 (0,25-0,50) uT",IF(AO157&lt;=0.75,"Tipo 3 (0,50-0,75) uT","Tipo 4 (&gt;0,75) uT"))))</f>
        <v>Tipo 2 (0,25-0,50) uT</v>
      </c>
      <c r="BE157" s="137" t="str">
        <f>IF(OR(AE157="",AP157="-"),"",IF(AE157&lt;=0.25,"Tipo 1 (≤0,25) uT",IF(AE157&lt;=0.5,"Tipo 2 (0,25-0,50) uT",IF(AE157&lt;=0.75,"Tipo 3 (0,50-0,75) uT","Tipo 4 (&gt;0,75) uT"))))</f>
        <v>Tipo 2 (0,25-0,50) uT</v>
      </c>
      <c r="BF157" s="137" t="str">
        <f>IF(OR(AP157="",AP157="-"),"",IF(AP157&lt;=0.25,"Tipo 1 (≤0,25) uT",IF(AP157&lt;=0.5,"Tipo 2 (0,25-0,50) uT",IF(AP157&lt;=0.75,"Tipo 3 (0,50-0,75) uT","Tipo 4 (&gt;0,75) uT"))))</f>
        <v>Tipo 2 (0,25-0,50) uT</v>
      </c>
      <c r="BG157" s="137" t="str">
        <f>IF(OR(Q157="",Q157="-"),"",IF(Q157&lt;=0.25,"Tipo 1 (≤0,25) uT",IF(Q157&lt;=0.5,"Tipo 2 (0,25-0,50) uT",IF(Q157&lt;=0.75,"Tipo 3 (0,50-0,75) uT","Tipo 4 (&gt;0,75) uT"))))</f>
        <v>Tipo 1 (≤0,25) uT</v>
      </c>
    </row>
    <row r="158" spans="1:59" x14ac:dyDescent="0.3">
      <c r="A158" s="26">
        <v>46144</v>
      </c>
      <c r="B158" s="107">
        <v>0.64583333333333337</v>
      </c>
      <c r="C158" s="116">
        <v>1080</v>
      </c>
      <c r="D158" s="116">
        <v>81</v>
      </c>
      <c r="E158" s="116">
        <v>451</v>
      </c>
      <c r="F158" s="116">
        <v>1730</v>
      </c>
      <c r="G158" s="10" t="s">
        <v>100</v>
      </c>
      <c r="H158" s="122">
        <v>3.3</v>
      </c>
      <c r="I158" s="116">
        <v>90</v>
      </c>
      <c r="J158" s="116">
        <v>90</v>
      </c>
      <c r="K158" s="116">
        <v>90</v>
      </c>
      <c r="L158" s="122">
        <v>24.9</v>
      </c>
      <c r="M158" s="122">
        <v>6.7</v>
      </c>
      <c r="N158" s="79">
        <v>3.17</v>
      </c>
      <c r="O158" s="116">
        <v>13</v>
      </c>
      <c r="P158" s="122">
        <v>6</v>
      </c>
      <c r="Q158" s="79">
        <v>0.1</v>
      </c>
      <c r="R158" s="79">
        <v>22.36</v>
      </c>
      <c r="S158" s="79">
        <v>0.88</v>
      </c>
      <c r="T158" s="79">
        <v>0.7</v>
      </c>
      <c r="U158" s="85">
        <f t="shared" si="8"/>
        <v>1271.55</v>
      </c>
      <c r="V158" s="79">
        <f t="shared" si="9"/>
        <v>1447.7334393599999</v>
      </c>
      <c r="W158" s="79">
        <f t="shared" si="10"/>
        <v>1.1385580113719476</v>
      </c>
      <c r="X158" s="116">
        <v>2</v>
      </c>
      <c r="Y158" s="116">
        <v>3</v>
      </c>
      <c r="Z158" s="122">
        <v>6.48</v>
      </c>
      <c r="AA158" s="116">
        <v>18</v>
      </c>
      <c r="AB158" s="122">
        <v>6.6</v>
      </c>
      <c r="AC158" s="122">
        <v>5.4</v>
      </c>
      <c r="AD158" s="10">
        <v>0.19</v>
      </c>
      <c r="AE158" s="79">
        <v>0.52</v>
      </c>
      <c r="AF158" s="85">
        <f t="shared" si="11"/>
        <v>953.66250000000002</v>
      </c>
      <c r="AG158" s="85">
        <f t="shared" si="12"/>
        <v>1839.2221353999998</v>
      </c>
      <c r="AH158" s="85">
        <f t="shared" si="13"/>
        <v>1.9285880858270088</v>
      </c>
      <c r="AI158" s="116">
        <v>2</v>
      </c>
      <c r="AJ158" s="116">
        <v>4</v>
      </c>
      <c r="AK158" s="79">
        <v>6.45</v>
      </c>
      <c r="AL158" s="79">
        <v>23</v>
      </c>
      <c r="AM158" s="122">
        <v>6.6</v>
      </c>
      <c r="AN158" s="122">
        <v>5.2</v>
      </c>
      <c r="AO158" s="79">
        <v>0.27</v>
      </c>
      <c r="AP158" s="127">
        <v>0.28000000000000003</v>
      </c>
      <c r="AQ158" s="132">
        <f t="shared" si="14"/>
        <v>1612</v>
      </c>
      <c r="AR158" s="134">
        <f t="shared" si="15"/>
        <v>0.66997518610421836</v>
      </c>
      <c r="AS158" s="134">
        <f t="shared" si="16"/>
        <v>5.024813895781638E-2</v>
      </c>
      <c r="AT158" s="134">
        <f t="shared" si="17"/>
        <v>0.27977667493796526</v>
      </c>
      <c r="AU158" s="43">
        <f>IF(AND(F158&lt;&gt;"",Y158&lt;&gt;""),AA158/(F158/2/Y158),"")</f>
        <v>6.2427745664739888E-2</v>
      </c>
      <c r="AV158" s="43">
        <f>IF(AND(F158&lt;&gt;"",AJ158&lt;&gt;""),AL158/(F158/2/AJ158),"")</f>
        <v>0.10635838150289018</v>
      </c>
      <c r="AW158" s="41">
        <f>IF(AND(AP158&lt;&gt;"",1-(AP158/N158)&gt;0),1-(AP158/N158),"")</f>
        <v>0.91167192429022081</v>
      </c>
      <c r="AX158" s="41">
        <f>IF(AND(AE158&lt;&gt;"",1-(AE158/N158)&gt;0),1-(AE158/N158),"")</f>
        <v>0.83596214511041012</v>
      </c>
      <c r="AY158" s="136" t="str">
        <f>IF(P158="","",IF(P158&lt;2.5,"Alc. Bruta &lt; 2,5 mg/L",IF(P158&lt;5,"2,5 ≤ Alc. Bruta &lt; 5,0 mg/L",IF(P158&lt;7.5,"5,0 ≤ Alc. Bruta &lt; 7,5 mg/L",IF(P158&lt;10,"7,5 ≤ Alc. Bruta &lt; 10,0 mg/L",IF(P158&lt;15,"10,0 ≤ Alca. Bruta &lt; 15,0 mg/L","Alc. Bruta &gt; 15 mg/L"))))))</f>
        <v>5,0 ≤ Alc. Bruta &lt; 7,5 mg/L</v>
      </c>
      <c r="AZ158" s="136" t="str">
        <f>IF(O158="","",IF(O158&lt;5,"Cor &lt;5 uC",IF(O158&lt;10,"5 ≤ Cor &lt; 10 uC",IF(O158&lt;15,"10 ≤ Cor &lt;15 uC",IF(O158&lt;30,"15 ≤ Cor &lt; 30 uC",IF(O158&lt;50,"30 ≤ Cor &lt; 50 uC","Cor &gt; 50 uC"))))))</f>
        <v>10 ≤ Cor &lt;15 uC</v>
      </c>
      <c r="BA158" s="137" t="str">
        <f>IF(N158="","",IF(N158&lt;2.5,"Turbidez &lt; 2,5 uT",IF(N158&lt;5,"2,5 ≤ Turb &lt; 5,0 uT",IF(N158&lt;7.5,"5,0 ≤ Turb &lt; 7,5 uT",IF(N158&lt;10,"7,5 ≤ Turb &lt; 10,0 uT",IF(N158&lt;15,"10,0 ≤ Turb &lt; 15,0 uT","Turb &gt; 15 uT"))))))</f>
        <v>2,5 ≤ Turb &lt; 5,0 uT</v>
      </c>
      <c r="BB158" s="138" t="str">
        <f>IF(AND(C158&gt;D158,D158&gt;E158),"TOR &gt; SM &gt; BNN",IF(AND(C158&gt;E158,E158&gt;D158),"TOR &gt; BNN &gt; SM",IF(AND(D158&gt;C158,C158&gt;E158),"SM &gt; TOR &gt; BNN",IF(AND(D158&gt;E158,E158&gt;C158),"SM &gt; BNN &gt; TOR",IF(AND(C158=D158,D158=E158),"TOR = SM = BNN","Comb. diferentes")))))</f>
        <v>TOR &gt; BNN &gt; SM</v>
      </c>
      <c r="BC158" s="137" t="str">
        <f>IF(OR(AD158="",AP158="-"),"",IF(AD158&lt;=0.25,"Tipo 1 (≤0,25) uT",IF(AD158&lt;=0.5,"Tipo 2 (0,25-0,50) uT",IF(AD158&lt;=0.75,"Tipo 3 (0,50-0,75) uT","Tipo 4 (&gt;0,75) uT"))))</f>
        <v>Tipo 1 (≤0,25) uT</v>
      </c>
      <c r="BD158" s="137" t="str">
        <f>IF(OR(AO158="",AY158="-"),"",IF(AO158&lt;=0.25,"Tipo 1 (≤0,25) uT",IF(AO158&lt;=0.5,"Tipo 2 (0,25-0,50) uT",IF(AO158&lt;=0.75,"Tipo 3 (0,50-0,75) uT","Tipo 4 (&gt;0,75) uT"))))</f>
        <v>Tipo 2 (0,25-0,50) uT</v>
      </c>
      <c r="BE158" s="137" t="str">
        <f>IF(OR(AE158="",AP158="-"),"",IF(AE158&lt;=0.25,"Tipo 1 (≤0,25) uT",IF(AE158&lt;=0.5,"Tipo 2 (0,25-0,50) uT",IF(AE158&lt;=0.75,"Tipo 3 (0,50-0,75) uT","Tipo 4 (&gt;0,75) uT"))))</f>
        <v>Tipo 3 (0,50-0,75) uT</v>
      </c>
      <c r="BF158" s="137" t="str">
        <f>IF(OR(AP158="",AP158="-"),"",IF(AP158&lt;=0.25,"Tipo 1 (≤0,25) uT",IF(AP158&lt;=0.5,"Tipo 2 (0,25-0,50) uT",IF(AP158&lt;=0.75,"Tipo 3 (0,50-0,75) uT","Tipo 4 (&gt;0,75) uT"))))</f>
        <v>Tipo 2 (0,25-0,50) uT</v>
      </c>
      <c r="BG158" s="137" t="str">
        <f>IF(OR(Q158="",Q158="-"),"",IF(Q158&lt;=0.25,"Tipo 1 (≤0,25) uT",IF(Q158&lt;=0.5,"Tipo 2 (0,25-0,50) uT",IF(Q158&lt;=0.75,"Tipo 3 (0,50-0,75) uT","Tipo 4 (&gt;0,75) uT"))))</f>
        <v>Tipo 1 (≤0,25) uT</v>
      </c>
    </row>
    <row r="159" spans="1:59" x14ac:dyDescent="0.3">
      <c r="A159" s="26">
        <v>46144</v>
      </c>
      <c r="B159" s="107">
        <v>0.72916666666666663</v>
      </c>
      <c r="C159" s="116">
        <v>1144</v>
      </c>
      <c r="D159" s="116">
        <v>82</v>
      </c>
      <c r="E159" s="116">
        <v>454</v>
      </c>
      <c r="F159" s="116">
        <v>1780</v>
      </c>
      <c r="G159" s="10" t="s">
        <v>100</v>
      </c>
      <c r="H159" s="122">
        <v>3.3</v>
      </c>
      <c r="I159" s="116">
        <v>90</v>
      </c>
      <c r="J159" s="116">
        <v>90</v>
      </c>
      <c r="K159" s="116">
        <v>90</v>
      </c>
      <c r="L159" s="122">
        <v>25</v>
      </c>
      <c r="M159" s="122">
        <v>6.7</v>
      </c>
      <c r="N159" s="79">
        <v>3.28</v>
      </c>
      <c r="O159" s="116">
        <v>14</v>
      </c>
      <c r="P159" s="122">
        <v>6.2</v>
      </c>
      <c r="Q159" s="79">
        <v>0.09</v>
      </c>
      <c r="R159" s="79">
        <v>22.36</v>
      </c>
      <c r="S159" s="79">
        <v>0.88</v>
      </c>
      <c r="T159" s="79">
        <v>0.7</v>
      </c>
      <c r="U159" s="85">
        <f t="shared" si="8"/>
        <v>1340.9333333333334</v>
      </c>
      <c r="V159" s="79">
        <f t="shared" si="9"/>
        <v>1531.0982944399998</v>
      </c>
      <c r="W159" s="79">
        <f t="shared" si="10"/>
        <v>1.1418153732027441</v>
      </c>
      <c r="X159" s="116">
        <v>2</v>
      </c>
      <c r="Y159" s="116">
        <v>3</v>
      </c>
      <c r="Z159" s="122">
        <v>6.49</v>
      </c>
      <c r="AA159" s="116">
        <v>19</v>
      </c>
      <c r="AB159" s="122">
        <v>6.6</v>
      </c>
      <c r="AC159" s="122">
        <v>5.6</v>
      </c>
      <c r="AD159" s="10">
        <v>0.21</v>
      </c>
      <c r="AE159" s="79">
        <v>0.28000000000000003</v>
      </c>
      <c r="AF159" s="85">
        <f t="shared" si="11"/>
        <v>1005.6999999999999</v>
      </c>
      <c r="AG159" s="85">
        <f t="shared" si="12"/>
        <v>1742.2625791999999</v>
      </c>
      <c r="AH159" s="85">
        <f t="shared" si="13"/>
        <v>1.7323879677836334</v>
      </c>
      <c r="AI159" s="116">
        <v>2</v>
      </c>
      <c r="AJ159" s="116">
        <v>4</v>
      </c>
      <c r="AK159" s="79">
        <v>6.4</v>
      </c>
      <c r="AL159" s="79">
        <v>22</v>
      </c>
      <c r="AM159" s="122">
        <v>6.6</v>
      </c>
      <c r="AN159" s="122">
        <v>5.5</v>
      </c>
      <c r="AO159" s="79">
        <v>0.28000000000000003</v>
      </c>
      <c r="AP159" s="127">
        <v>0.31</v>
      </c>
      <c r="AQ159" s="132">
        <f t="shared" si="14"/>
        <v>1680</v>
      </c>
      <c r="AR159" s="134">
        <f t="shared" si="15"/>
        <v>0.68095238095238098</v>
      </c>
      <c r="AS159" s="134">
        <f t="shared" si="16"/>
        <v>4.880952380952381E-2</v>
      </c>
      <c r="AT159" s="134">
        <f t="shared" si="17"/>
        <v>0.27023809523809522</v>
      </c>
      <c r="AU159" s="43">
        <f>IF(AND(F159&lt;&gt;"",Y159&lt;&gt;""),AA159/(F159/2/Y159),"")</f>
        <v>6.4044943820224715E-2</v>
      </c>
      <c r="AV159" s="43">
        <f>IF(AND(F159&lt;&gt;"",AJ159&lt;&gt;""),AL159/(F159/2/AJ159),"")</f>
        <v>9.8876404494382023E-2</v>
      </c>
      <c r="AW159" s="41">
        <f>IF(AND(AP159&lt;&gt;"",1-(AP159/N159)&gt;0),1-(AP159/N159),"")</f>
        <v>0.90548780487804881</v>
      </c>
      <c r="AX159" s="41">
        <f>IF(AND(AE159&lt;&gt;"",1-(AE159/N159)&gt;0),1-(AE159/N159),"")</f>
        <v>0.91463414634146345</v>
      </c>
      <c r="AY159" s="136" t="str">
        <f>IF(P159="","",IF(P159&lt;2.5,"Alc. Bruta &lt; 2,5 mg/L",IF(P159&lt;5,"2,5 ≤ Alc. Bruta &lt; 5,0 mg/L",IF(P159&lt;7.5,"5,0 ≤ Alc. Bruta &lt; 7,5 mg/L",IF(P159&lt;10,"7,5 ≤ Alc. Bruta &lt; 10,0 mg/L",IF(P159&lt;15,"10,0 ≤ Alca. Bruta &lt; 15,0 mg/L","Alc. Bruta &gt; 15 mg/L"))))))</f>
        <v>5,0 ≤ Alc. Bruta &lt; 7,5 mg/L</v>
      </c>
      <c r="AZ159" s="136" t="str">
        <f>IF(O159="","",IF(O159&lt;5,"Cor &lt;5 uC",IF(O159&lt;10,"5 ≤ Cor &lt; 10 uC",IF(O159&lt;15,"10 ≤ Cor &lt;15 uC",IF(O159&lt;30,"15 ≤ Cor &lt; 30 uC",IF(O159&lt;50,"30 ≤ Cor &lt; 50 uC","Cor &gt; 50 uC"))))))</f>
        <v>10 ≤ Cor &lt;15 uC</v>
      </c>
      <c r="BA159" s="137" t="str">
        <f>IF(N159="","",IF(N159&lt;2.5,"Turbidez &lt; 2,5 uT",IF(N159&lt;5,"2,5 ≤ Turb &lt; 5,0 uT",IF(N159&lt;7.5,"5,0 ≤ Turb &lt; 7,5 uT",IF(N159&lt;10,"7,5 ≤ Turb &lt; 10,0 uT",IF(N159&lt;15,"10,0 ≤ Turb &lt; 15,0 uT","Turb &gt; 15 uT"))))))</f>
        <v>2,5 ≤ Turb &lt; 5,0 uT</v>
      </c>
      <c r="BB159" s="138" t="str">
        <f>IF(AND(C159&gt;D159,D159&gt;E159),"TOR &gt; SM &gt; BNN",IF(AND(C159&gt;E159,E159&gt;D159),"TOR &gt; BNN &gt; SM",IF(AND(D159&gt;C159,C159&gt;E159),"SM &gt; TOR &gt; BNN",IF(AND(D159&gt;E159,E159&gt;C159),"SM &gt; BNN &gt; TOR",IF(AND(C159=D159,D159=E159),"TOR = SM = BNN","Comb. diferentes")))))</f>
        <v>TOR &gt; BNN &gt; SM</v>
      </c>
      <c r="BC159" s="137" t="str">
        <f>IF(OR(AD159="",AP159="-"),"",IF(AD159&lt;=0.25,"Tipo 1 (≤0,25) uT",IF(AD159&lt;=0.5,"Tipo 2 (0,25-0,50) uT",IF(AD159&lt;=0.75,"Tipo 3 (0,50-0,75) uT","Tipo 4 (&gt;0,75) uT"))))</f>
        <v>Tipo 1 (≤0,25) uT</v>
      </c>
      <c r="BD159" s="137" t="str">
        <f>IF(OR(AO159="",AY159="-"),"",IF(AO159&lt;=0.25,"Tipo 1 (≤0,25) uT",IF(AO159&lt;=0.5,"Tipo 2 (0,25-0,50) uT",IF(AO159&lt;=0.75,"Tipo 3 (0,50-0,75) uT","Tipo 4 (&gt;0,75) uT"))))</f>
        <v>Tipo 2 (0,25-0,50) uT</v>
      </c>
      <c r="BE159" s="137" t="str">
        <f>IF(OR(AE159="",AP159="-"),"",IF(AE159&lt;=0.25,"Tipo 1 (≤0,25) uT",IF(AE159&lt;=0.5,"Tipo 2 (0,25-0,50) uT",IF(AE159&lt;=0.75,"Tipo 3 (0,50-0,75) uT","Tipo 4 (&gt;0,75) uT"))))</f>
        <v>Tipo 2 (0,25-0,50) uT</v>
      </c>
      <c r="BF159" s="137" t="str">
        <f>IF(OR(AP159="",AP159="-"),"",IF(AP159&lt;=0.25,"Tipo 1 (≤0,25) uT",IF(AP159&lt;=0.5,"Tipo 2 (0,25-0,50) uT",IF(AP159&lt;=0.75,"Tipo 3 (0,50-0,75) uT","Tipo 4 (&gt;0,75) uT"))))</f>
        <v>Tipo 2 (0,25-0,50) uT</v>
      </c>
      <c r="BG159" s="137" t="str">
        <f>IF(OR(Q159="",Q159="-"),"",IF(Q159&lt;=0.25,"Tipo 1 (≤0,25) uT",IF(Q159&lt;=0.5,"Tipo 2 (0,25-0,50) uT",IF(Q159&lt;=0.75,"Tipo 3 (0,50-0,75) uT","Tipo 4 (&gt;0,75) uT"))))</f>
        <v>Tipo 1 (≤0,25) uT</v>
      </c>
    </row>
    <row r="160" spans="1:59" x14ac:dyDescent="0.3">
      <c r="A160" s="26">
        <v>46144</v>
      </c>
      <c r="B160" s="107">
        <v>0.8125</v>
      </c>
      <c r="C160" s="116">
        <v>1120</v>
      </c>
      <c r="D160" s="116">
        <v>82</v>
      </c>
      <c r="E160" s="116">
        <v>453</v>
      </c>
      <c r="F160" s="116">
        <v>1827</v>
      </c>
      <c r="G160" s="10" t="s">
        <v>100</v>
      </c>
      <c r="H160" s="122">
        <v>3.3</v>
      </c>
      <c r="I160" s="116">
        <v>90</v>
      </c>
      <c r="J160" s="116">
        <v>90</v>
      </c>
      <c r="K160" s="116">
        <v>90</v>
      </c>
      <c r="L160" s="122">
        <v>24.7</v>
      </c>
      <c r="M160" s="122">
        <v>6.7</v>
      </c>
      <c r="N160" s="79">
        <v>3.32</v>
      </c>
      <c r="O160" s="116">
        <v>18</v>
      </c>
      <c r="P160" s="122">
        <v>5.3</v>
      </c>
      <c r="Q160" s="79">
        <v>0.08</v>
      </c>
      <c r="R160" s="79">
        <v>22.36</v>
      </c>
      <c r="S160" s="79">
        <v>0.88</v>
      </c>
      <c r="T160" s="79">
        <v>0.7</v>
      </c>
      <c r="U160" s="85">
        <f t="shared" si="8"/>
        <v>1388.52</v>
      </c>
      <c r="V160" s="79">
        <f t="shared" si="9"/>
        <v>1577.7777969408</v>
      </c>
      <c r="W160" s="79">
        <f t="shared" si="10"/>
        <v>1.1363018155595888</v>
      </c>
      <c r="X160" s="116">
        <v>2</v>
      </c>
      <c r="Y160" s="116">
        <v>3</v>
      </c>
      <c r="Z160" s="122">
        <v>6.56</v>
      </c>
      <c r="AA160" s="116">
        <v>19.32</v>
      </c>
      <c r="AB160" s="122">
        <v>6.6</v>
      </c>
      <c r="AC160" s="122">
        <v>5.3</v>
      </c>
      <c r="AD160" s="10">
        <v>0.17</v>
      </c>
      <c r="AE160" s="79">
        <v>0.28999999999999998</v>
      </c>
      <c r="AF160" s="85">
        <f t="shared" si="11"/>
        <v>1041.3899999999999</v>
      </c>
      <c r="AG160" s="85">
        <f t="shared" si="12"/>
        <v>1841.6746794783996</v>
      </c>
      <c r="AH160" s="85">
        <f t="shared" si="13"/>
        <v>1.7684773998966765</v>
      </c>
      <c r="AI160" s="116">
        <v>2</v>
      </c>
      <c r="AJ160" s="116">
        <v>4</v>
      </c>
      <c r="AK160" s="79">
        <v>6.43</v>
      </c>
      <c r="AL160" s="79">
        <v>23.12</v>
      </c>
      <c r="AM160" s="122">
        <v>6.6</v>
      </c>
      <c r="AN160" s="122">
        <v>5.0999999999999996</v>
      </c>
      <c r="AO160" s="79">
        <v>0.17</v>
      </c>
      <c r="AP160" s="127">
        <v>0.28999999999999998</v>
      </c>
      <c r="AQ160" s="132">
        <f t="shared" si="14"/>
        <v>1655</v>
      </c>
      <c r="AR160" s="134">
        <f t="shared" si="15"/>
        <v>0.67673716012084595</v>
      </c>
      <c r="AS160" s="134">
        <f t="shared" si="16"/>
        <v>4.9546827794561932E-2</v>
      </c>
      <c r="AT160" s="134">
        <f t="shared" si="17"/>
        <v>0.27371601208459212</v>
      </c>
      <c r="AU160" s="43">
        <f>IF(AND(F160&lt;&gt;"",Y160&lt;&gt;""),AA160/(F160/2/Y160),"")</f>
        <v>6.344827586206897E-2</v>
      </c>
      <c r="AV160" s="43">
        <f>IF(AND(F160&lt;&gt;"",AJ160&lt;&gt;""),AL160/(F160/2/AJ160),"")</f>
        <v>0.10123700054734538</v>
      </c>
      <c r="AW160" s="41">
        <f>IF(AND(AP160&lt;&gt;"",1-(AP160/N160)&gt;0),1-(AP160/N160),"")</f>
        <v>0.91265060240963858</v>
      </c>
      <c r="AX160" s="41">
        <f>IF(AND(AE160&lt;&gt;"",1-(AE160/N160)&gt;0),1-(AE160/N160),"")</f>
        <v>0.91265060240963858</v>
      </c>
      <c r="AY160" s="136" t="str">
        <f>IF(P160="","",IF(P160&lt;2.5,"Alc. Bruta &lt; 2,5 mg/L",IF(P160&lt;5,"2,5 ≤ Alc. Bruta &lt; 5,0 mg/L",IF(P160&lt;7.5,"5,0 ≤ Alc. Bruta &lt; 7,5 mg/L",IF(P160&lt;10,"7,5 ≤ Alc. Bruta &lt; 10,0 mg/L",IF(P160&lt;15,"10,0 ≤ Alca. Bruta &lt; 15,0 mg/L","Alc. Bruta &gt; 15 mg/L"))))))</f>
        <v>5,0 ≤ Alc. Bruta &lt; 7,5 mg/L</v>
      </c>
      <c r="AZ160" s="136" t="str">
        <f>IF(O160="","",IF(O160&lt;5,"Cor &lt;5 uC",IF(O160&lt;10,"5 ≤ Cor &lt; 10 uC",IF(O160&lt;15,"10 ≤ Cor &lt;15 uC",IF(O160&lt;30,"15 ≤ Cor &lt; 30 uC",IF(O160&lt;50,"30 ≤ Cor &lt; 50 uC","Cor &gt; 50 uC"))))))</f>
        <v>15 ≤ Cor &lt; 30 uC</v>
      </c>
      <c r="BA160" s="137" t="str">
        <f>IF(N160="","",IF(N160&lt;2.5,"Turbidez &lt; 2,5 uT",IF(N160&lt;5,"2,5 ≤ Turb &lt; 5,0 uT",IF(N160&lt;7.5,"5,0 ≤ Turb &lt; 7,5 uT",IF(N160&lt;10,"7,5 ≤ Turb &lt; 10,0 uT",IF(N160&lt;15,"10,0 ≤ Turb &lt; 15,0 uT","Turb &gt; 15 uT"))))))</f>
        <v>2,5 ≤ Turb &lt; 5,0 uT</v>
      </c>
      <c r="BB160" s="138" t="str">
        <f>IF(AND(C160&gt;D160,D160&gt;E160),"TOR &gt; SM &gt; BNN",IF(AND(C160&gt;E160,E160&gt;D160),"TOR &gt; BNN &gt; SM",IF(AND(D160&gt;C160,C160&gt;E160),"SM &gt; TOR &gt; BNN",IF(AND(D160&gt;E160,E160&gt;C160),"SM &gt; BNN &gt; TOR",IF(AND(C160=D160,D160=E160),"TOR = SM = BNN","Comb. diferentes")))))</f>
        <v>TOR &gt; BNN &gt; SM</v>
      </c>
      <c r="BC160" s="137" t="str">
        <f>IF(OR(AD160="",AP160="-"),"",IF(AD160&lt;=0.25,"Tipo 1 (≤0,25) uT",IF(AD160&lt;=0.5,"Tipo 2 (0,25-0,50) uT",IF(AD160&lt;=0.75,"Tipo 3 (0,50-0,75) uT","Tipo 4 (&gt;0,75) uT"))))</f>
        <v>Tipo 1 (≤0,25) uT</v>
      </c>
      <c r="BD160" s="137" t="str">
        <f>IF(OR(AO160="",AY160="-"),"",IF(AO160&lt;=0.25,"Tipo 1 (≤0,25) uT",IF(AO160&lt;=0.5,"Tipo 2 (0,25-0,50) uT",IF(AO160&lt;=0.75,"Tipo 3 (0,50-0,75) uT","Tipo 4 (&gt;0,75) uT"))))</f>
        <v>Tipo 1 (≤0,25) uT</v>
      </c>
      <c r="BE160" s="137" t="str">
        <f>IF(OR(AE160="",AP160="-"),"",IF(AE160&lt;=0.25,"Tipo 1 (≤0,25) uT",IF(AE160&lt;=0.5,"Tipo 2 (0,25-0,50) uT",IF(AE160&lt;=0.75,"Tipo 3 (0,50-0,75) uT","Tipo 4 (&gt;0,75) uT"))))</f>
        <v>Tipo 2 (0,25-0,50) uT</v>
      </c>
      <c r="BF160" s="137" t="str">
        <f>IF(OR(AP160="",AP160="-"),"",IF(AP160&lt;=0.25,"Tipo 1 (≤0,25) uT",IF(AP160&lt;=0.5,"Tipo 2 (0,25-0,50) uT",IF(AP160&lt;=0.75,"Tipo 3 (0,50-0,75) uT","Tipo 4 (&gt;0,75) uT"))))</f>
        <v>Tipo 2 (0,25-0,50) uT</v>
      </c>
      <c r="BG160" s="137" t="str">
        <f>IF(OR(Q160="",Q160="-"),"",IF(Q160&lt;=0.25,"Tipo 1 (≤0,25) uT",IF(Q160&lt;=0.5,"Tipo 2 (0,25-0,50) uT",IF(Q160&lt;=0.75,"Tipo 3 (0,50-0,75) uT","Tipo 4 (&gt;0,75) uT"))))</f>
        <v>Tipo 1 (≤0,25) uT</v>
      </c>
    </row>
    <row r="161" spans="1:59" x14ac:dyDescent="0.3">
      <c r="A161" s="26">
        <v>46144</v>
      </c>
      <c r="B161" s="107">
        <v>0.89583333333333337</v>
      </c>
      <c r="C161" s="116">
        <v>1266</v>
      </c>
      <c r="D161" s="116">
        <v>83</v>
      </c>
      <c r="E161" s="116">
        <v>450.7</v>
      </c>
      <c r="F161" s="116">
        <v>1838</v>
      </c>
      <c r="G161" s="10" t="s">
        <v>100</v>
      </c>
      <c r="H161" s="122">
        <v>3.3</v>
      </c>
      <c r="I161" s="116">
        <v>90</v>
      </c>
      <c r="J161" s="116">
        <v>90</v>
      </c>
      <c r="K161" s="116">
        <v>90</v>
      </c>
      <c r="L161" s="122">
        <v>24.4</v>
      </c>
      <c r="M161" s="122">
        <v>6.6</v>
      </c>
      <c r="N161" s="79">
        <v>3.71</v>
      </c>
      <c r="O161" s="116">
        <v>16</v>
      </c>
      <c r="P161" s="122">
        <v>5.3</v>
      </c>
      <c r="Q161" s="79">
        <v>0.1</v>
      </c>
      <c r="R161" s="79">
        <v>22.36</v>
      </c>
      <c r="S161" s="79">
        <v>0.88</v>
      </c>
      <c r="T161" s="79">
        <v>0.7</v>
      </c>
      <c r="U161" s="85">
        <f t="shared" si="8"/>
        <v>1516.35</v>
      </c>
      <c r="V161" s="79">
        <f t="shared" si="9"/>
        <v>1553.9562827203999</v>
      </c>
      <c r="W161" s="79">
        <f t="shared" si="10"/>
        <v>1.0248005293767271</v>
      </c>
      <c r="X161" s="116">
        <v>2</v>
      </c>
      <c r="Y161" s="116">
        <v>3</v>
      </c>
      <c r="Z161" s="122">
        <v>6.51</v>
      </c>
      <c r="AA161" s="116">
        <v>19.21</v>
      </c>
      <c r="AB161" s="122">
        <v>6.6</v>
      </c>
      <c r="AC161" s="122">
        <v>6</v>
      </c>
      <c r="AD161" s="10">
        <v>0.25</v>
      </c>
      <c r="AE161" s="79">
        <v>0.37</v>
      </c>
      <c r="AF161" s="85">
        <f t="shared" si="11"/>
        <v>1137.2625</v>
      </c>
      <c r="AG161" s="85">
        <f t="shared" si="12"/>
        <v>1843.2678236647996</v>
      </c>
      <c r="AH161" s="85">
        <f t="shared" si="13"/>
        <v>1.6207936370581106</v>
      </c>
      <c r="AI161" s="116">
        <v>2</v>
      </c>
      <c r="AJ161" s="116">
        <v>4</v>
      </c>
      <c r="AK161" s="79">
        <v>6.43</v>
      </c>
      <c r="AL161" s="79">
        <v>23.14</v>
      </c>
      <c r="AM161" s="122">
        <v>6.6</v>
      </c>
      <c r="AN161" s="122">
        <v>5.5</v>
      </c>
      <c r="AO161" s="79">
        <v>0.32</v>
      </c>
      <c r="AP161" s="127">
        <v>0.37</v>
      </c>
      <c r="AQ161" s="132">
        <f t="shared" si="14"/>
        <v>1799.7</v>
      </c>
      <c r="AR161" s="134">
        <f t="shared" si="15"/>
        <v>0.7034505750958493</v>
      </c>
      <c r="AS161" s="134">
        <f t="shared" si="16"/>
        <v>4.6118797577374006E-2</v>
      </c>
      <c r="AT161" s="134">
        <f t="shared" si="17"/>
        <v>0.25043062732677668</v>
      </c>
      <c r="AU161" s="43">
        <f>IF(AND(F161&lt;&gt;"",Y161&lt;&gt;""),AA161/(F161/2/Y161),"")</f>
        <v>6.2709466811751907E-2</v>
      </c>
      <c r="AV161" s="43">
        <f>IF(AND(F161&lt;&gt;"",AJ161&lt;&gt;""),AL161/(F161/2/AJ161),"")</f>
        <v>0.10071817192600653</v>
      </c>
      <c r="AW161" s="41">
        <f>IF(AND(AP161&lt;&gt;"",1-(AP161/N161)&gt;0),1-(AP161/N161),"")</f>
        <v>0.90026954177897578</v>
      </c>
      <c r="AX161" s="41">
        <f>IF(AND(AE161&lt;&gt;"",1-(AE161/N161)&gt;0),1-(AE161/N161),"")</f>
        <v>0.90026954177897578</v>
      </c>
      <c r="AY161" s="136" t="str">
        <f>IF(P161="","",IF(P161&lt;2.5,"Alc. Bruta &lt; 2,5 mg/L",IF(P161&lt;5,"2,5 ≤ Alc. Bruta &lt; 5,0 mg/L",IF(P161&lt;7.5,"5,0 ≤ Alc. Bruta &lt; 7,5 mg/L",IF(P161&lt;10,"7,5 ≤ Alc. Bruta &lt; 10,0 mg/L",IF(P161&lt;15,"10,0 ≤ Alca. Bruta &lt; 15,0 mg/L","Alc. Bruta &gt; 15 mg/L"))))))</f>
        <v>5,0 ≤ Alc. Bruta &lt; 7,5 mg/L</v>
      </c>
      <c r="AZ161" s="136" t="str">
        <f>IF(O161="","",IF(O161&lt;5,"Cor &lt;5 uC",IF(O161&lt;10,"5 ≤ Cor &lt; 10 uC",IF(O161&lt;15,"10 ≤ Cor &lt;15 uC",IF(O161&lt;30,"15 ≤ Cor &lt; 30 uC",IF(O161&lt;50,"30 ≤ Cor &lt; 50 uC","Cor &gt; 50 uC"))))))</f>
        <v>15 ≤ Cor &lt; 30 uC</v>
      </c>
      <c r="BA161" s="137" t="str">
        <f>IF(N161="","",IF(N161&lt;2.5,"Turbidez &lt; 2,5 uT",IF(N161&lt;5,"2,5 ≤ Turb &lt; 5,0 uT",IF(N161&lt;7.5,"5,0 ≤ Turb &lt; 7,5 uT",IF(N161&lt;10,"7,5 ≤ Turb &lt; 10,0 uT",IF(N161&lt;15,"10,0 ≤ Turb &lt; 15,0 uT","Turb &gt; 15 uT"))))))</f>
        <v>2,5 ≤ Turb &lt; 5,0 uT</v>
      </c>
      <c r="BB161" s="138" t="str">
        <f>IF(AND(C161&gt;D161,D161&gt;E161),"TOR &gt; SM &gt; BNN",IF(AND(C161&gt;E161,E161&gt;D161),"TOR &gt; BNN &gt; SM",IF(AND(D161&gt;C161,C161&gt;E161),"SM &gt; TOR &gt; BNN",IF(AND(D161&gt;E161,E161&gt;C161),"SM &gt; BNN &gt; TOR",IF(AND(C161=D161,D161=E161),"TOR = SM = BNN","Comb. diferentes")))))</f>
        <v>TOR &gt; BNN &gt; SM</v>
      </c>
      <c r="BC161" s="137" t="str">
        <f>IF(OR(AD161="",AP161="-"),"",IF(AD161&lt;=0.25,"Tipo 1 (≤0,25) uT",IF(AD161&lt;=0.5,"Tipo 2 (0,25-0,50) uT",IF(AD161&lt;=0.75,"Tipo 3 (0,50-0,75) uT","Tipo 4 (&gt;0,75) uT"))))</f>
        <v>Tipo 1 (≤0,25) uT</v>
      </c>
      <c r="BD161" s="137" t="str">
        <f>IF(OR(AO161="",AY161="-"),"",IF(AO161&lt;=0.25,"Tipo 1 (≤0,25) uT",IF(AO161&lt;=0.5,"Tipo 2 (0,25-0,50) uT",IF(AO161&lt;=0.75,"Tipo 3 (0,50-0,75) uT","Tipo 4 (&gt;0,75) uT"))))</f>
        <v>Tipo 2 (0,25-0,50) uT</v>
      </c>
      <c r="BE161" s="137" t="str">
        <f>IF(OR(AE161="",AP161="-"),"",IF(AE161&lt;=0.25,"Tipo 1 (≤0,25) uT",IF(AE161&lt;=0.5,"Tipo 2 (0,25-0,50) uT",IF(AE161&lt;=0.75,"Tipo 3 (0,50-0,75) uT","Tipo 4 (&gt;0,75) uT"))))</f>
        <v>Tipo 2 (0,25-0,50) uT</v>
      </c>
      <c r="BF161" s="137" t="str">
        <f>IF(OR(AP161="",AP161="-"),"",IF(AP161&lt;=0.25,"Tipo 1 (≤0,25) uT",IF(AP161&lt;=0.5,"Tipo 2 (0,25-0,50) uT",IF(AP161&lt;=0.75,"Tipo 3 (0,50-0,75) uT","Tipo 4 (&gt;0,75) uT"))))</f>
        <v>Tipo 2 (0,25-0,50) uT</v>
      </c>
      <c r="BG161" s="137" t="str">
        <f>IF(OR(Q161="",Q161="-"),"",IF(Q161&lt;=0.25,"Tipo 1 (≤0,25) uT",IF(Q161&lt;=0.5,"Tipo 2 (0,25-0,50) uT",IF(Q161&lt;=0.75,"Tipo 3 (0,50-0,75) uT","Tipo 4 (&gt;0,75) uT"))))</f>
        <v>Tipo 1 (≤0,25) uT</v>
      </c>
    </row>
    <row r="162" spans="1:59" x14ac:dyDescent="0.3">
      <c r="A162" s="26">
        <v>46145</v>
      </c>
      <c r="B162" s="107">
        <v>6.25E-2</v>
      </c>
      <c r="C162" s="116">
        <v>1270</v>
      </c>
      <c r="D162" s="116">
        <v>90</v>
      </c>
      <c r="E162" s="116">
        <v>451</v>
      </c>
      <c r="F162" s="116">
        <v>1838</v>
      </c>
      <c r="G162" s="10" t="s">
        <v>100</v>
      </c>
      <c r="H162" s="122">
        <v>3.3</v>
      </c>
      <c r="I162" s="116">
        <v>90</v>
      </c>
      <c r="J162" s="116">
        <v>90</v>
      </c>
      <c r="K162" s="116">
        <v>90</v>
      </c>
      <c r="L162" s="122">
        <v>24</v>
      </c>
      <c r="M162" s="122">
        <v>6.7</v>
      </c>
      <c r="N162" s="79">
        <v>3.5</v>
      </c>
      <c r="O162" s="116">
        <v>16</v>
      </c>
      <c r="P162" s="122">
        <v>5.3</v>
      </c>
      <c r="Q162" s="79">
        <v>0.14000000000000001</v>
      </c>
      <c r="R162" s="79">
        <v>22.36</v>
      </c>
      <c r="S162" s="79">
        <v>0.88</v>
      </c>
      <c r="T162" s="79">
        <v>0.7</v>
      </c>
      <c r="U162" s="85">
        <f t="shared" si="8"/>
        <v>1452.02</v>
      </c>
      <c r="V162" s="79">
        <f t="shared" si="9"/>
        <v>1555.2735306679999</v>
      </c>
      <c r="W162" s="79">
        <f t="shared" si="10"/>
        <v>1.0711102675362598</v>
      </c>
      <c r="X162" s="116">
        <v>2</v>
      </c>
      <c r="Y162" s="116">
        <v>3</v>
      </c>
      <c r="Z162" s="122">
        <v>6.49</v>
      </c>
      <c r="AA162" s="116">
        <v>19.3</v>
      </c>
      <c r="AB162" s="122">
        <v>6.6</v>
      </c>
      <c r="AC162" s="122">
        <v>5</v>
      </c>
      <c r="AD162" s="10">
        <v>0.11</v>
      </c>
      <c r="AE162" s="79">
        <v>0.34</v>
      </c>
      <c r="AF162" s="85">
        <f t="shared" si="11"/>
        <v>1089.0150000000001</v>
      </c>
      <c r="AG162" s="85">
        <f t="shared" si="12"/>
        <v>1836.911729146</v>
      </c>
      <c r="AH162" s="85">
        <f t="shared" si="13"/>
        <v>1.6867643964004166</v>
      </c>
      <c r="AI162" s="116">
        <v>2</v>
      </c>
      <c r="AJ162" s="116">
        <v>4</v>
      </c>
      <c r="AK162" s="79">
        <v>6.41</v>
      </c>
      <c r="AL162" s="79">
        <v>23.15</v>
      </c>
      <c r="AM162" s="122">
        <v>6.7</v>
      </c>
      <c r="AN162" s="122">
        <v>5.9</v>
      </c>
      <c r="AO162" s="79">
        <v>0.15</v>
      </c>
      <c r="AP162" s="127">
        <v>0.38</v>
      </c>
      <c r="AQ162" s="132">
        <f t="shared" si="14"/>
        <v>1811</v>
      </c>
      <c r="AR162" s="134">
        <f t="shared" si="15"/>
        <v>0.70127001656543342</v>
      </c>
      <c r="AS162" s="134">
        <f t="shared" si="16"/>
        <v>4.9696300386526782E-2</v>
      </c>
      <c r="AT162" s="134">
        <f t="shared" si="17"/>
        <v>0.24903368304803974</v>
      </c>
      <c r="AU162" s="43">
        <f>IF(AND(F162&lt;&gt;"",Y162&lt;&gt;""),AA162/(F162/2/Y162),"")</f>
        <v>6.3003264417845484E-2</v>
      </c>
      <c r="AV162" s="43">
        <f>IF(AND(F162&lt;&gt;"",AJ162&lt;&gt;""),AL162/(F162/2/AJ162),"")</f>
        <v>0.10076169749727965</v>
      </c>
      <c r="AW162" s="41">
        <f>IF(AND(AP162&lt;&gt;"",1-(AP162/N162)&gt;0),1-(AP162/N162),"")</f>
        <v>0.89142857142857146</v>
      </c>
      <c r="AX162" s="41">
        <f>IF(AND(AE162&lt;&gt;"",1-(AE162/N162)&gt;0),1-(AE162/N162),"")</f>
        <v>0.9028571428571428</v>
      </c>
      <c r="AY162" s="136" t="str">
        <f>IF(P162="","",IF(P162&lt;2.5,"Alc. Bruta &lt; 2,5 mg/L",IF(P162&lt;5,"2,5 ≤ Alc. Bruta &lt; 5,0 mg/L",IF(P162&lt;7.5,"5,0 ≤ Alc. Bruta &lt; 7,5 mg/L",IF(P162&lt;10,"7,5 ≤ Alc. Bruta &lt; 10,0 mg/L",IF(P162&lt;15,"10,0 ≤ Alca. Bruta &lt; 15,0 mg/L","Alc. Bruta &gt; 15 mg/L"))))))</f>
        <v>5,0 ≤ Alc. Bruta &lt; 7,5 mg/L</v>
      </c>
      <c r="AZ162" s="136" t="str">
        <f>IF(O162="","",IF(O162&lt;5,"Cor &lt;5 uC",IF(O162&lt;10,"5 ≤ Cor &lt; 10 uC",IF(O162&lt;15,"10 ≤ Cor &lt;15 uC",IF(O162&lt;30,"15 ≤ Cor &lt; 30 uC",IF(O162&lt;50,"30 ≤ Cor &lt; 50 uC","Cor &gt; 50 uC"))))))</f>
        <v>15 ≤ Cor &lt; 30 uC</v>
      </c>
      <c r="BA162" s="137" t="str">
        <f>IF(N162="","",IF(N162&lt;2.5,"Turbidez &lt; 2,5 uT",IF(N162&lt;5,"2,5 ≤ Turb &lt; 5,0 uT",IF(N162&lt;7.5,"5,0 ≤ Turb &lt; 7,5 uT",IF(N162&lt;10,"7,5 ≤ Turb &lt; 10,0 uT",IF(N162&lt;15,"10,0 ≤ Turb &lt; 15,0 uT","Turb &gt; 15 uT"))))))</f>
        <v>2,5 ≤ Turb &lt; 5,0 uT</v>
      </c>
      <c r="BB162" s="138" t="str">
        <f>IF(AND(C162&gt;D162,D162&gt;E162),"TOR &gt; SM &gt; BNN",IF(AND(C162&gt;E162,E162&gt;D162),"TOR &gt; BNN &gt; SM",IF(AND(D162&gt;C162,C162&gt;E162),"SM &gt; TOR &gt; BNN",IF(AND(D162&gt;E162,E162&gt;C162),"SM &gt; BNN &gt; TOR",IF(AND(C162=D162,D162=E162),"TOR = SM = BNN","Comb. diferentes")))))</f>
        <v>TOR &gt; BNN &gt; SM</v>
      </c>
      <c r="BC162" s="137" t="str">
        <f>IF(OR(AD162="",AP162="-"),"",IF(AD162&lt;=0.25,"Tipo 1 (≤0,25) uT",IF(AD162&lt;=0.5,"Tipo 2 (0,25-0,50) uT",IF(AD162&lt;=0.75,"Tipo 3 (0,50-0,75) uT","Tipo 4 (&gt;0,75) uT"))))</f>
        <v>Tipo 1 (≤0,25) uT</v>
      </c>
      <c r="BD162" s="137" t="str">
        <f>IF(OR(AO162="",AY162="-"),"",IF(AO162&lt;=0.25,"Tipo 1 (≤0,25) uT",IF(AO162&lt;=0.5,"Tipo 2 (0,25-0,50) uT",IF(AO162&lt;=0.75,"Tipo 3 (0,50-0,75) uT","Tipo 4 (&gt;0,75) uT"))))</f>
        <v>Tipo 1 (≤0,25) uT</v>
      </c>
      <c r="BE162" s="137" t="str">
        <f>IF(OR(AE162="",AP162="-"),"",IF(AE162&lt;=0.25,"Tipo 1 (≤0,25) uT",IF(AE162&lt;=0.5,"Tipo 2 (0,25-0,50) uT",IF(AE162&lt;=0.75,"Tipo 3 (0,50-0,75) uT","Tipo 4 (&gt;0,75) uT"))))</f>
        <v>Tipo 2 (0,25-0,50) uT</v>
      </c>
      <c r="BF162" s="137" t="str">
        <f>IF(OR(AP162="",AP162="-"),"",IF(AP162&lt;=0.25,"Tipo 1 (≤0,25) uT",IF(AP162&lt;=0.5,"Tipo 2 (0,25-0,50) uT",IF(AP162&lt;=0.75,"Tipo 3 (0,50-0,75) uT","Tipo 4 (&gt;0,75) uT"))))</f>
        <v>Tipo 2 (0,25-0,50) uT</v>
      </c>
      <c r="BG162" s="137" t="str">
        <f>IF(OR(Q162="",Q162="-"),"",IF(Q162&lt;=0.25,"Tipo 1 (≤0,25) uT",IF(Q162&lt;=0.5,"Tipo 2 (0,25-0,50) uT",IF(Q162&lt;=0.75,"Tipo 3 (0,50-0,75) uT","Tipo 4 (&gt;0,75) uT"))))</f>
        <v>Tipo 1 (≤0,25) uT</v>
      </c>
    </row>
    <row r="163" spans="1:59" x14ac:dyDescent="0.3">
      <c r="A163" s="26">
        <v>46145</v>
      </c>
      <c r="B163" s="107">
        <v>0.14583333333333334</v>
      </c>
      <c r="C163" s="116">
        <v>1135</v>
      </c>
      <c r="D163" s="116">
        <v>87</v>
      </c>
      <c r="E163" s="116">
        <v>451</v>
      </c>
      <c r="F163" s="116">
        <v>1838</v>
      </c>
      <c r="G163" s="10" t="s">
        <v>100</v>
      </c>
      <c r="H163" s="122">
        <v>3.3</v>
      </c>
      <c r="I163" s="116">
        <v>90</v>
      </c>
      <c r="J163" s="116">
        <v>90</v>
      </c>
      <c r="K163" s="116">
        <v>90</v>
      </c>
      <c r="L163" s="122">
        <v>23.9</v>
      </c>
      <c r="M163" s="122">
        <v>6.7</v>
      </c>
      <c r="N163" s="79">
        <v>3.54</v>
      </c>
      <c r="O163" s="116">
        <v>14</v>
      </c>
      <c r="P163" s="122">
        <v>5.9</v>
      </c>
      <c r="Q163" s="79">
        <v>0.12</v>
      </c>
      <c r="R163" s="79">
        <v>22.36</v>
      </c>
      <c r="S163" s="79">
        <v>0.88</v>
      </c>
      <c r="T163" s="79">
        <v>0.7</v>
      </c>
      <c r="U163" s="85">
        <f t="shared" si="8"/>
        <v>1464.2733333333333</v>
      </c>
      <c r="V163" s="79">
        <f t="shared" si="9"/>
        <v>1532.7099768551998</v>
      </c>
      <c r="W163" s="79">
        <f t="shared" si="10"/>
        <v>1.0467376151459882</v>
      </c>
      <c r="X163" s="116">
        <v>2</v>
      </c>
      <c r="Y163" s="116">
        <v>3</v>
      </c>
      <c r="Z163" s="122">
        <v>6.49</v>
      </c>
      <c r="AA163" s="116">
        <v>19.02</v>
      </c>
      <c r="AB163" s="122">
        <v>6.5</v>
      </c>
      <c r="AC163" s="122">
        <v>5.0999999999999996</v>
      </c>
      <c r="AD163" s="10">
        <v>0.26</v>
      </c>
      <c r="AE163" s="79">
        <v>0.3</v>
      </c>
      <c r="AF163" s="85">
        <f t="shared" si="11"/>
        <v>1098.2050000000002</v>
      </c>
      <c r="AG163" s="85">
        <f t="shared" si="12"/>
        <v>1795.2425957439998</v>
      </c>
      <c r="AH163" s="85">
        <f t="shared" si="13"/>
        <v>1.6347062668117516</v>
      </c>
      <c r="AI163" s="116">
        <v>2</v>
      </c>
      <c r="AJ163" s="116">
        <v>4</v>
      </c>
      <c r="AK163" s="79">
        <v>6.3</v>
      </c>
      <c r="AL163" s="79">
        <v>23.12</v>
      </c>
      <c r="AM163" s="122">
        <v>6.5</v>
      </c>
      <c r="AN163" s="122">
        <v>5.0999999999999996</v>
      </c>
      <c r="AO163" s="79">
        <v>0.27</v>
      </c>
      <c r="AP163" s="127">
        <v>0.35</v>
      </c>
      <c r="AQ163" s="132">
        <f t="shared" si="14"/>
        <v>1673</v>
      </c>
      <c r="AR163" s="134">
        <f t="shared" si="15"/>
        <v>0.67842199641362821</v>
      </c>
      <c r="AS163" s="134">
        <f t="shared" si="16"/>
        <v>5.2002390914524806E-2</v>
      </c>
      <c r="AT163" s="134">
        <f t="shared" si="17"/>
        <v>0.26957561267184699</v>
      </c>
      <c r="AU163" s="43">
        <f>IF(AND(F163&lt;&gt;"",Y163&lt;&gt;""),AA163/(F163/2/Y163),"")</f>
        <v>6.2089227421109908E-2</v>
      </c>
      <c r="AV163" s="43">
        <f>IF(AND(F163&lt;&gt;"",AJ163&lt;&gt;""),AL163/(F163/2/AJ163),"")</f>
        <v>0.10063112078346029</v>
      </c>
      <c r="AW163" s="41">
        <f>IF(AND(AP163&lt;&gt;"",1-(AP163/N163)&gt;0),1-(AP163/N163),"")</f>
        <v>0.90112994350282483</v>
      </c>
      <c r="AX163" s="41">
        <f>IF(AND(AE163&lt;&gt;"",1-(AE163/N163)&gt;0),1-(AE163/N163),"")</f>
        <v>0.9152542372881356</v>
      </c>
      <c r="AY163" s="136" t="str">
        <f>IF(P163="","",IF(P163&lt;2.5,"Alc. Bruta &lt; 2,5 mg/L",IF(P163&lt;5,"2,5 ≤ Alc. Bruta &lt; 5,0 mg/L",IF(P163&lt;7.5,"5,0 ≤ Alc. Bruta &lt; 7,5 mg/L",IF(P163&lt;10,"7,5 ≤ Alc. Bruta &lt; 10,0 mg/L",IF(P163&lt;15,"10,0 ≤ Alca. Bruta &lt; 15,0 mg/L","Alc. Bruta &gt; 15 mg/L"))))))</f>
        <v>5,0 ≤ Alc. Bruta &lt; 7,5 mg/L</v>
      </c>
      <c r="AZ163" s="136" t="str">
        <f>IF(O163="","",IF(O163&lt;5,"Cor &lt;5 uC",IF(O163&lt;10,"5 ≤ Cor &lt; 10 uC",IF(O163&lt;15,"10 ≤ Cor &lt;15 uC",IF(O163&lt;30,"15 ≤ Cor &lt; 30 uC",IF(O163&lt;50,"30 ≤ Cor &lt; 50 uC","Cor &gt; 50 uC"))))))</f>
        <v>10 ≤ Cor &lt;15 uC</v>
      </c>
      <c r="BA163" s="137" t="str">
        <f>IF(N163="","",IF(N163&lt;2.5,"Turbidez &lt; 2,5 uT",IF(N163&lt;5,"2,5 ≤ Turb &lt; 5,0 uT",IF(N163&lt;7.5,"5,0 ≤ Turb &lt; 7,5 uT",IF(N163&lt;10,"7,5 ≤ Turb &lt; 10,0 uT",IF(N163&lt;15,"10,0 ≤ Turb &lt; 15,0 uT","Turb &gt; 15 uT"))))))</f>
        <v>2,5 ≤ Turb &lt; 5,0 uT</v>
      </c>
      <c r="BB163" s="138" t="str">
        <f>IF(AND(C163&gt;D163,D163&gt;E163),"TOR &gt; SM &gt; BNN",IF(AND(C163&gt;E163,E163&gt;D163),"TOR &gt; BNN &gt; SM",IF(AND(D163&gt;C163,C163&gt;E163),"SM &gt; TOR &gt; BNN",IF(AND(D163&gt;E163,E163&gt;C163),"SM &gt; BNN &gt; TOR",IF(AND(C163=D163,D163=E163),"TOR = SM = BNN","Comb. diferentes")))))</f>
        <v>TOR &gt; BNN &gt; SM</v>
      </c>
      <c r="BC163" s="137" t="str">
        <f>IF(OR(AD163="",AP163="-"),"",IF(AD163&lt;=0.25,"Tipo 1 (≤0,25) uT",IF(AD163&lt;=0.5,"Tipo 2 (0,25-0,50) uT",IF(AD163&lt;=0.75,"Tipo 3 (0,50-0,75) uT","Tipo 4 (&gt;0,75) uT"))))</f>
        <v>Tipo 2 (0,25-0,50) uT</v>
      </c>
      <c r="BD163" s="137" t="str">
        <f>IF(OR(AO163="",AY163="-"),"",IF(AO163&lt;=0.25,"Tipo 1 (≤0,25) uT",IF(AO163&lt;=0.5,"Tipo 2 (0,25-0,50) uT",IF(AO163&lt;=0.75,"Tipo 3 (0,50-0,75) uT","Tipo 4 (&gt;0,75) uT"))))</f>
        <v>Tipo 2 (0,25-0,50) uT</v>
      </c>
      <c r="BE163" s="137" t="str">
        <f>IF(OR(AE163="",AP163="-"),"",IF(AE163&lt;=0.25,"Tipo 1 (≤0,25) uT",IF(AE163&lt;=0.5,"Tipo 2 (0,25-0,50) uT",IF(AE163&lt;=0.75,"Tipo 3 (0,50-0,75) uT","Tipo 4 (&gt;0,75) uT"))))</f>
        <v>Tipo 2 (0,25-0,50) uT</v>
      </c>
      <c r="BF163" s="137" t="str">
        <f>IF(OR(AP163="",AP163="-"),"",IF(AP163&lt;=0.25,"Tipo 1 (≤0,25) uT",IF(AP163&lt;=0.5,"Tipo 2 (0,25-0,50) uT",IF(AP163&lt;=0.75,"Tipo 3 (0,50-0,75) uT","Tipo 4 (&gt;0,75) uT"))))</f>
        <v>Tipo 2 (0,25-0,50) uT</v>
      </c>
      <c r="BG163" s="137" t="str">
        <f>IF(OR(Q163="",Q163="-"),"",IF(Q163&lt;=0.25,"Tipo 1 (≤0,25) uT",IF(Q163&lt;=0.5,"Tipo 2 (0,25-0,50) uT",IF(Q163&lt;=0.75,"Tipo 3 (0,50-0,75) uT","Tipo 4 (&gt;0,75) uT"))))</f>
        <v>Tipo 1 (≤0,25) uT</v>
      </c>
    </row>
    <row r="164" spans="1:59" ht="15" thickBot="1" x14ac:dyDescent="0.35">
      <c r="A164" s="26">
        <v>46145</v>
      </c>
      <c r="B164" s="110">
        <v>0.22916666666666666</v>
      </c>
      <c r="C164" s="117">
        <v>1182</v>
      </c>
      <c r="D164" s="117">
        <v>90</v>
      </c>
      <c r="E164" s="117">
        <v>450</v>
      </c>
      <c r="F164" s="117">
        <v>1843</v>
      </c>
      <c r="G164" s="11" t="s">
        <v>100</v>
      </c>
      <c r="H164" s="123">
        <v>3.3</v>
      </c>
      <c r="I164" s="117">
        <v>90</v>
      </c>
      <c r="J164" s="117">
        <v>90</v>
      </c>
      <c r="K164" s="117">
        <v>90</v>
      </c>
      <c r="L164" s="123">
        <v>23.6</v>
      </c>
      <c r="M164" s="123">
        <v>6.6</v>
      </c>
      <c r="N164" s="80">
        <v>3.29</v>
      </c>
      <c r="O164" s="117">
        <v>13</v>
      </c>
      <c r="P164" s="123">
        <v>5.5</v>
      </c>
      <c r="Q164" s="80">
        <v>0.11</v>
      </c>
      <c r="R164" s="79">
        <v>22.36</v>
      </c>
      <c r="S164" s="79">
        <v>0.88</v>
      </c>
      <c r="T164" s="79">
        <v>0.7</v>
      </c>
      <c r="U164" s="85">
        <f t="shared" ref="U164:U227" si="18">(N164+0.3*H164+0.25)*(F164/2/Y164)</f>
        <v>1391.4650000000001</v>
      </c>
      <c r="V164" s="79">
        <f t="shared" ref="V164:V227" si="19">R164*(T164*Z164*0.987-S164)*AA164</f>
        <v>1566.3289563999999</v>
      </c>
      <c r="W164" s="79">
        <f t="shared" ref="W164:W227" si="20">V164/U164</f>
        <v>1.1256689578250261</v>
      </c>
      <c r="X164" s="117">
        <v>2</v>
      </c>
      <c r="Y164" s="117">
        <v>3</v>
      </c>
      <c r="Z164" s="123">
        <v>6.5</v>
      </c>
      <c r="AA164" s="117">
        <v>19.399999999999999</v>
      </c>
      <c r="AB164" s="123">
        <v>6.6</v>
      </c>
      <c r="AC164" s="123">
        <v>5.2</v>
      </c>
      <c r="AD164" s="11">
        <v>0.17</v>
      </c>
      <c r="AE164" s="80">
        <v>0.28999999999999998</v>
      </c>
      <c r="AF164" s="85">
        <f t="shared" si="11"/>
        <v>1043.5987500000001</v>
      </c>
      <c r="AG164" s="85">
        <f t="shared" si="12"/>
        <v>1823.8161857343996</v>
      </c>
      <c r="AH164" s="85">
        <f t="shared" si="13"/>
        <v>1.7476220489286705</v>
      </c>
      <c r="AI164" s="117">
        <v>2</v>
      </c>
      <c r="AJ164" s="117">
        <v>4</v>
      </c>
      <c r="AK164" s="80">
        <v>6.38</v>
      </c>
      <c r="AL164" s="80">
        <v>23.12</v>
      </c>
      <c r="AM164" s="123">
        <v>6.5</v>
      </c>
      <c r="AN164" s="123">
        <v>5</v>
      </c>
      <c r="AO164" s="80">
        <v>0.18</v>
      </c>
      <c r="AP164" s="128">
        <v>0.3</v>
      </c>
      <c r="AQ164" s="132">
        <f t="shared" si="14"/>
        <v>1722</v>
      </c>
      <c r="AR164" s="134">
        <f t="shared" si="15"/>
        <v>0.68641114982578399</v>
      </c>
      <c r="AS164" s="134">
        <f t="shared" si="16"/>
        <v>5.2264808362369339E-2</v>
      </c>
      <c r="AT164" s="134">
        <f t="shared" si="17"/>
        <v>0.26132404181184671</v>
      </c>
      <c r="AU164" s="43">
        <f>IF(AND(F164&lt;&gt;"",Y164&lt;&gt;""),AA164/(F164/2/Y164),"")</f>
        <v>6.3157894736842093E-2</v>
      </c>
      <c r="AV164" s="43">
        <f>IF(AND(F164&lt;&gt;"",AJ164&lt;&gt;""),AL164/(F164/2/AJ164),"")</f>
        <v>0.10035811177428107</v>
      </c>
      <c r="AW164" s="41">
        <f>IF(AND(AP164&lt;&gt;"",1-(AP164/N164)&gt;0),1-(AP164/N164),"")</f>
        <v>0.90881458966565354</v>
      </c>
      <c r="AX164" s="41">
        <f>IF(AND(AE164&lt;&gt;"",1-(AE164/N164)&gt;0),1-(AE164/N164),"")</f>
        <v>0.91185410334346506</v>
      </c>
      <c r="AY164" s="136" t="str">
        <f>IF(P164="","",IF(P164&lt;2.5,"Alc. Bruta &lt; 2,5 mg/L",IF(P164&lt;5,"2,5 ≤ Alc. Bruta &lt; 5,0 mg/L",IF(P164&lt;7.5,"5,0 ≤ Alc. Bruta &lt; 7,5 mg/L",IF(P164&lt;10,"7,5 ≤ Alc. Bruta &lt; 10,0 mg/L",IF(P164&lt;15,"10,0 ≤ Alca. Bruta &lt; 15,0 mg/L","Alc. Bruta &gt; 15 mg/L"))))))</f>
        <v>5,0 ≤ Alc. Bruta &lt; 7,5 mg/L</v>
      </c>
      <c r="AZ164" s="136" t="str">
        <f>IF(O164="","",IF(O164&lt;5,"Cor &lt;5 uC",IF(O164&lt;10,"5 ≤ Cor &lt; 10 uC",IF(O164&lt;15,"10 ≤ Cor &lt;15 uC",IF(O164&lt;30,"15 ≤ Cor &lt; 30 uC",IF(O164&lt;50,"30 ≤ Cor &lt; 50 uC","Cor &gt; 50 uC"))))))</f>
        <v>10 ≤ Cor &lt;15 uC</v>
      </c>
      <c r="BA164" s="137" t="str">
        <f>IF(N164="","",IF(N164&lt;2.5,"Turbidez &lt; 2,5 uT",IF(N164&lt;5,"2,5 ≤ Turb &lt; 5,0 uT",IF(N164&lt;7.5,"5,0 ≤ Turb &lt; 7,5 uT",IF(N164&lt;10,"7,5 ≤ Turb &lt; 10,0 uT",IF(N164&lt;15,"10,0 ≤ Turb &lt; 15,0 uT","Turb &gt; 15 uT"))))))</f>
        <v>2,5 ≤ Turb &lt; 5,0 uT</v>
      </c>
      <c r="BB164" s="138" t="str">
        <f>IF(AND(C164&gt;D164,D164&gt;E164),"TOR &gt; SM &gt; BNN",IF(AND(C164&gt;E164,E164&gt;D164),"TOR &gt; BNN &gt; SM",IF(AND(D164&gt;C164,C164&gt;E164),"SM &gt; TOR &gt; BNN",IF(AND(D164&gt;E164,E164&gt;C164),"SM &gt; BNN &gt; TOR",IF(AND(C164=D164,D164=E164),"TOR = SM = BNN","Comb. diferentes")))))</f>
        <v>TOR &gt; BNN &gt; SM</v>
      </c>
      <c r="BC164" s="137" t="str">
        <f>IF(OR(AD164="",AP164="-"),"",IF(AD164&lt;=0.25,"Tipo 1 (≤0,25) uT",IF(AD164&lt;=0.5,"Tipo 2 (0,25-0,50) uT",IF(AD164&lt;=0.75,"Tipo 3 (0,50-0,75) uT","Tipo 4 (&gt;0,75) uT"))))</f>
        <v>Tipo 1 (≤0,25) uT</v>
      </c>
      <c r="BD164" s="137" t="str">
        <f>IF(OR(AO164="",AY164="-"),"",IF(AO164&lt;=0.25,"Tipo 1 (≤0,25) uT",IF(AO164&lt;=0.5,"Tipo 2 (0,25-0,50) uT",IF(AO164&lt;=0.75,"Tipo 3 (0,50-0,75) uT","Tipo 4 (&gt;0,75) uT"))))</f>
        <v>Tipo 1 (≤0,25) uT</v>
      </c>
      <c r="BE164" s="137" t="str">
        <f>IF(OR(AE164="",AP164="-"),"",IF(AE164&lt;=0.25,"Tipo 1 (≤0,25) uT",IF(AE164&lt;=0.5,"Tipo 2 (0,25-0,50) uT",IF(AE164&lt;=0.75,"Tipo 3 (0,50-0,75) uT","Tipo 4 (&gt;0,75) uT"))))</f>
        <v>Tipo 2 (0,25-0,50) uT</v>
      </c>
      <c r="BF164" s="137" t="str">
        <f>IF(OR(AP164="",AP164="-"),"",IF(AP164&lt;=0.25,"Tipo 1 (≤0,25) uT",IF(AP164&lt;=0.5,"Tipo 2 (0,25-0,50) uT",IF(AP164&lt;=0.75,"Tipo 3 (0,50-0,75) uT","Tipo 4 (&gt;0,75) uT"))))</f>
        <v>Tipo 2 (0,25-0,50) uT</v>
      </c>
      <c r="BG164" s="137" t="str">
        <f>IF(OR(Q164="",Q164="-"),"",IF(Q164&lt;=0.25,"Tipo 1 (≤0,25) uT",IF(Q164&lt;=0.5,"Tipo 2 (0,25-0,50) uT",IF(Q164&lt;=0.75,"Tipo 3 (0,50-0,75) uT","Tipo 4 (&gt;0,75) uT"))))</f>
        <v>Tipo 1 (≤0,25) uT</v>
      </c>
    </row>
    <row r="165" spans="1:59" x14ac:dyDescent="0.3">
      <c r="A165" s="26">
        <v>46145</v>
      </c>
      <c r="B165" s="111">
        <v>0.3125</v>
      </c>
      <c r="C165" s="118">
        <v>1076</v>
      </c>
      <c r="D165" s="116">
        <v>84</v>
      </c>
      <c r="E165" s="118">
        <v>451</v>
      </c>
      <c r="F165" s="118">
        <v>1759</v>
      </c>
      <c r="G165" s="9" t="s">
        <v>100</v>
      </c>
      <c r="H165" s="124">
        <v>3.3</v>
      </c>
      <c r="I165" s="118">
        <v>90</v>
      </c>
      <c r="J165" s="118">
        <v>90</v>
      </c>
      <c r="K165" s="118">
        <v>90</v>
      </c>
      <c r="L165" s="124">
        <v>23.3</v>
      </c>
      <c r="M165" s="124">
        <v>6.6</v>
      </c>
      <c r="N165" s="81">
        <v>3.38</v>
      </c>
      <c r="O165" s="118">
        <v>15</v>
      </c>
      <c r="P165" s="124">
        <v>6.3</v>
      </c>
      <c r="Q165" s="81">
        <v>0.11</v>
      </c>
      <c r="R165" s="79">
        <v>22.36</v>
      </c>
      <c r="S165" s="79">
        <v>0.88</v>
      </c>
      <c r="T165" s="79">
        <v>0.7</v>
      </c>
      <c r="U165" s="85">
        <f t="shared" si="18"/>
        <v>1354.43</v>
      </c>
      <c r="V165" s="79">
        <f t="shared" si="19"/>
        <v>1586.3135192163998</v>
      </c>
      <c r="W165" s="79">
        <f t="shared" si="20"/>
        <v>1.1712037677963421</v>
      </c>
      <c r="X165" s="118">
        <v>2</v>
      </c>
      <c r="Y165" s="118">
        <v>3</v>
      </c>
      <c r="Z165" s="124">
        <v>6.51</v>
      </c>
      <c r="AA165" s="118">
        <v>19.61</v>
      </c>
      <c r="AB165" s="124">
        <v>6.6</v>
      </c>
      <c r="AC165" s="124">
        <v>5.8</v>
      </c>
      <c r="AD165" s="9">
        <v>0.16</v>
      </c>
      <c r="AE165" s="81">
        <v>0.28000000000000003</v>
      </c>
      <c r="AF165" s="85">
        <f t="shared" ref="AF165:AF228" si="21">(N165+0.3*H165+0.25)*(F165/2/AJ165)</f>
        <v>1015.8225</v>
      </c>
      <c r="AG165" s="85">
        <f t="shared" ref="AG165:AG228" si="22">R165*(T165*AK165*0.987-S165)*AL165</f>
        <v>1832.1302405847998</v>
      </c>
      <c r="AH165" s="85">
        <f t="shared" ref="AH165:AH228" si="23">AG165/AF165</f>
        <v>1.8035928920503335</v>
      </c>
      <c r="AI165" s="118">
        <v>2</v>
      </c>
      <c r="AJ165" s="118">
        <v>4</v>
      </c>
      <c r="AK165" s="81">
        <v>6.39</v>
      </c>
      <c r="AL165" s="81">
        <v>23.18</v>
      </c>
      <c r="AM165" s="124">
        <v>6.5</v>
      </c>
      <c r="AN165" s="124">
        <v>6.5</v>
      </c>
      <c r="AO165" s="81">
        <v>0.2</v>
      </c>
      <c r="AP165" s="129">
        <v>0.33</v>
      </c>
      <c r="AQ165" s="132">
        <f t="shared" si="14"/>
        <v>1611</v>
      </c>
      <c r="AR165" s="134">
        <f t="shared" si="15"/>
        <v>0.66790813159528239</v>
      </c>
      <c r="AS165" s="134">
        <f t="shared" si="16"/>
        <v>5.2141527001862198E-2</v>
      </c>
      <c r="AT165" s="134">
        <f t="shared" si="17"/>
        <v>0.27995034140285535</v>
      </c>
      <c r="AU165" s="43">
        <f>IF(AND(F165&lt;&gt;"",Y165&lt;&gt;""),AA165/(F165/2/Y165),"")</f>
        <v>6.6890278567367817E-2</v>
      </c>
      <c r="AV165" s="43">
        <f>IF(AND(F165&lt;&gt;"",AJ165&lt;&gt;""),AL165/(F165/2/AJ165),"")</f>
        <v>0.10542353610005685</v>
      </c>
      <c r="AW165" s="41">
        <f>IF(AND(AP165&lt;&gt;"",1-(AP165/N165)&gt;0),1-(AP165/N165),"")</f>
        <v>0.90236686390532539</v>
      </c>
      <c r="AX165" s="41">
        <f>IF(AND(AE165&lt;&gt;"",1-(AE165/N165)&gt;0),1-(AE165/N165),"")</f>
        <v>0.91715976331360949</v>
      </c>
      <c r="AY165" s="136" t="str">
        <f>IF(P165="","",IF(P165&lt;2.5,"Alc. Bruta &lt; 2,5 mg/L",IF(P165&lt;5,"2,5 ≤ Alc. Bruta &lt; 5,0 mg/L",IF(P165&lt;7.5,"5,0 ≤ Alc. Bruta &lt; 7,5 mg/L",IF(P165&lt;10,"7,5 ≤ Alc. Bruta &lt; 10,0 mg/L",IF(P165&lt;15,"10,0 ≤ Alca. Bruta &lt; 15,0 mg/L","Alc. Bruta &gt; 15 mg/L"))))))</f>
        <v>5,0 ≤ Alc. Bruta &lt; 7,5 mg/L</v>
      </c>
      <c r="AZ165" s="136" t="str">
        <f>IF(O165="","",IF(O165&lt;5,"Cor &lt;5 uC",IF(O165&lt;10,"5 ≤ Cor &lt; 10 uC",IF(O165&lt;15,"10 ≤ Cor &lt;15 uC",IF(O165&lt;30,"15 ≤ Cor &lt; 30 uC",IF(O165&lt;50,"30 ≤ Cor &lt; 50 uC","Cor &gt; 50 uC"))))))</f>
        <v>15 ≤ Cor &lt; 30 uC</v>
      </c>
      <c r="BA165" s="137" t="str">
        <f>IF(N165="","",IF(N165&lt;2.5,"Turbidez &lt; 2,5 uT",IF(N165&lt;5,"2,5 ≤ Turb &lt; 5,0 uT",IF(N165&lt;7.5,"5,0 ≤ Turb &lt; 7,5 uT",IF(N165&lt;10,"7,5 ≤ Turb &lt; 10,0 uT",IF(N165&lt;15,"10,0 ≤ Turb &lt; 15,0 uT","Turb &gt; 15 uT"))))))</f>
        <v>2,5 ≤ Turb &lt; 5,0 uT</v>
      </c>
      <c r="BB165" s="138" t="str">
        <f>IF(AND(C165&gt;D165,D165&gt;E165),"TOR &gt; SM &gt; BNN",IF(AND(C165&gt;E165,E165&gt;D165),"TOR &gt; BNN &gt; SM",IF(AND(D165&gt;C165,C165&gt;E165),"SM &gt; TOR &gt; BNN",IF(AND(D165&gt;E165,E165&gt;C165),"SM &gt; BNN &gt; TOR",IF(AND(C165=D165,D165=E165),"TOR = SM = BNN","Comb. diferentes")))))</f>
        <v>TOR &gt; BNN &gt; SM</v>
      </c>
      <c r="BC165" s="137" t="str">
        <f>IF(OR(AD165="",AP165="-"),"",IF(AD165&lt;=0.25,"Tipo 1 (≤0,25) uT",IF(AD165&lt;=0.5,"Tipo 2 (0,25-0,50) uT",IF(AD165&lt;=0.75,"Tipo 3 (0,50-0,75) uT","Tipo 4 (&gt;0,75) uT"))))</f>
        <v>Tipo 1 (≤0,25) uT</v>
      </c>
      <c r="BD165" s="137" t="str">
        <f>IF(OR(AO165="",AY165="-"),"",IF(AO165&lt;=0.25,"Tipo 1 (≤0,25) uT",IF(AO165&lt;=0.5,"Tipo 2 (0,25-0,50) uT",IF(AO165&lt;=0.75,"Tipo 3 (0,50-0,75) uT","Tipo 4 (&gt;0,75) uT"))))</f>
        <v>Tipo 1 (≤0,25) uT</v>
      </c>
      <c r="BE165" s="137" t="str">
        <f>IF(OR(AE165="",AP165="-"),"",IF(AE165&lt;=0.25,"Tipo 1 (≤0,25) uT",IF(AE165&lt;=0.5,"Tipo 2 (0,25-0,50) uT",IF(AE165&lt;=0.75,"Tipo 3 (0,50-0,75) uT","Tipo 4 (&gt;0,75) uT"))))</f>
        <v>Tipo 2 (0,25-0,50) uT</v>
      </c>
      <c r="BF165" s="137" t="str">
        <f>IF(OR(AP165="",AP165="-"),"",IF(AP165&lt;=0.25,"Tipo 1 (≤0,25) uT",IF(AP165&lt;=0.5,"Tipo 2 (0,25-0,50) uT",IF(AP165&lt;=0.75,"Tipo 3 (0,50-0,75) uT","Tipo 4 (&gt;0,75) uT"))))</f>
        <v>Tipo 2 (0,25-0,50) uT</v>
      </c>
      <c r="BG165" s="137" t="str">
        <f>IF(OR(Q165="",Q165="-"),"",IF(Q165&lt;=0.25,"Tipo 1 (≤0,25) uT",IF(Q165&lt;=0.5,"Tipo 2 (0,25-0,50) uT",IF(Q165&lt;=0.75,"Tipo 3 (0,50-0,75) uT","Tipo 4 (&gt;0,75) uT"))))</f>
        <v>Tipo 1 (≤0,25) uT</v>
      </c>
    </row>
    <row r="166" spans="1:59" x14ac:dyDescent="0.3">
      <c r="A166" s="26">
        <v>46145</v>
      </c>
      <c r="B166" s="107">
        <v>0.39583333333333331</v>
      </c>
      <c r="C166" s="116">
        <v>1231</v>
      </c>
      <c r="D166" s="116">
        <v>76</v>
      </c>
      <c r="E166" s="116">
        <v>452</v>
      </c>
      <c r="F166" s="116">
        <v>1735</v>
      </c>
      <c r="G166" s="10" t="s">
        <v>100</v>
      </c>
      <c r="H166" s="122">
        <v>3.3</v>
      </c>
      <c r="I166" s="116">
        <v>90</v>
      </c>
      <c r="J166" s="116">
        <v>90</v>
      </c>
      <c r="K166" s="116">
        <v>90</v>
      </c>
      <c r="L166" s="122">
        <v>23.2</v>
      </c>
      <c r="M166" s="122">
        <v>6.6</v>
      </c>
      <c r="N166" s="79">
        <v>3.19</v>
      </c>
      <c r="O166" s="116">
        <v>14</v>
      </c>
      <c r="P166" s="122">
        <v>6.7</v>
      </c>
      <c r="Q166" s="79">
        <v>0.14000000000000001</v>
      </c>
      <c r="R166" s="79">
        <v>22.36</v>
      </c>
      <c r="S166" s="79">
        <v>0.88</v>
      </c>
      <c r="T166" s="79">
        <v>0.7</v>
      </c>
      <c r="U166" s="85">
        <f t="shared" si="18"/>
        <v>1281.0083333333334</v>
      </c>
      <c r="V166" s="79">
        <f t="shared" si="19"/>
        <v>1585.7062218400001</v>
      </c>
      <c r="W166" s="79">
        <f t="shared" si="20"/>
        <v>1.2378578503964976</v>
      </c>
      <c r="X166" s="116">
        <v>2</v>
      </c>
      <c r="Y166" s="116">
        <v>3</v>
      </c>
      <c r="Z166" s="122">
        <v>6.5</v>
      </c>
      <c r="AA166" s="116">
        <v>19.64</v>
      </c>
      <c r="AB166" s="122">
        <v>6.6</v>
      </c>
      <c r="AC166" s="122">
        <v>6.1</v>
      </c>
      <c r="AD166" s="10">
        <v>0.3</v>
      </c>
      <c r="AE166" s="79">
        <v>0.53</v>
      </c>
      <c r="AF166" s="85">
        <f t="shared" si="21"/>
        <v>960.75624999999991</v>
      </c>
      <c r="AG166" s="85">
        <f t="shared" si="22"/>
        <v>1838.0870210559999</v>
      </c>
      <c r="AH166" s="85">
        <f t="shared" si="23"/>
        <v>1.9131668631414056</v>
      </c>
      <c r="AI166" s="116">
        <v>2</v>
      </c>
      <c r="AJ166" s="116">
        <v>4</v>
      </c>
      <c r="AK166" s="79">
        <v>6.4</v>
      </c>
      <c r="AL166" s="79">
        <v>23.21</v>
      </c>
      <c r="AM166" s="122">
        <v>6.5</v>
      </c>
      <c r="AN166" s="122">
        <v>6.5</v>
      </c>
      <c r="AO166" s="79">
        <v>0.16</v>
      </c>
      <c r="AP166" s="127">
        <v>0.36</v>
      </c>
      <c r="AQ166" s="132">
        <f t="shared" si="14"/>
        <v>1759</v>
      </c>
      <c r="AR166" s="134">
        <f t="shared" si="15"/>
        <v>0.6998294485503127</v>
      </c>
      <c r="AS166" s="134">
        <f t="shared" si="16"/>
        <v>4.3206367254121657E-2</v>
      </c>
      <c r="AT166" s="134">
        <f t="shared" si="17"/>
        <v>0.25696418419556566</v>
      </c>
      <c r="AU166" s="43">
        <f>IF(AND(F166&lt;&gt;"",Y166&lt;&gt;""),AA166/(F166/2/Y166),"")</f>
        <v>6.7919308357348704E-2</v>
      </c>
      <c r="AV166" s="43">
        <f>IF(AND(F166&lt;&gt;"",AJ166&lt;&gt;""),AL166/(F166/2/AJ166),"")</f>
        <v>0.10702017291066283</v>
      </c>
      <c r="AW166" s="41">
        <f>IF(AND(AP166&lt;&gt;"",1-(AP166/N166)&gt;0),1-(AP166/N166),"")</f>
        <v>0.88714733542319746</v>
      </c>
      <c r="AX166" s="41">
        <f>IF(AND(AE166&lt;&gt;"",1-(AE166/N166)&gt;0),1-(AE166/N166),"")</f>
        <v>0.83385579937304077</v>
      </c>
      <c r="AY166" s="136" t="str">
        <f>IF(P166="","",IF(P166&lt;2.5,"Alc. Bruta &lt; 2,5 mg/L",IF(P166&lt;5,"2,5 ≤ Alc. Bruta &lt; 5,0 mg/L",IF(P166&lt;7.5,"5,0 ≤ Alc. Bruta &lt; 7,5 mg/L",IF(P166&lt;10,"7,5 ≤ Alc. Bruta &lt; 10,0 mg/L",IF(P166&lt;15,"10,0 ≤ Alca. Bruta &lt; 15,0 mg/L","Alc. Bruta &gt; 15 mg/L"))))))</f>
        <v>5,0 ≤ Alc. Bruta &lt; 7,5 mg/L</v>
      </c>
      <c r="AZ166" s="136" t="str">
        <f>IF(O166="","",IF(O166&lt;5,"Cor &lt;5 uC",IF(O166&lt;10,"5 ≤ Cor &lt; 10 uC",IF(O166&lt;15,"10 ≤ Cor &lt;15 uC",IF(O166&lt;30,"15 ≤ Cor &lt; 30 uC",IF(O166&lt;50,"30 ≤ Cor &lt; 50 uC","Cor &gt; 50 uC"))))))</f>
        <v>10 ≤ Cor &lt;15 uC</v>
      </c>
      <c r="BA166" s="137" t="str">
        <f>IF(N166="","",IF(N166&lt;2.5,"Turbidez &lt; 2,5 uT",IF(N166&lt;5,"2,5 ≤ Turb &lt; 5,0 uT",IF(N166&lt;7.5,"5,0 ≤ Turb &lt; 7,5 uT",IF(N166&lt;10,"7,5 ≤ Turb &lt; 10,0 uT",IF(N166&lt;15,"10,0 ≤ Turb &lt; 15,0 uT","Turb &gt; 15 uT"))))))</f>
        <v>2,5 ≤ Turb &lt; 5,0 uT</v>
      </c>
      <c r="BB166" s="138" t="str">
        <f>IF(AND(C166&gt;D166,D166&gt;E166),"TOR &gt; SM &gt; BNN",IF(AND(C166&gt;E166,E166&gt;D166),"TOR &gt; BNN &gt; SM",IF(AND(D166&gt;C166,C166&gt;E166),"SM &gt; TOR &gt; BNN",IF(AND(D166&gt;E166,E166&gt;C166),"SM &gt; BNN &gt; TOR",IF(AND(C166=D166,D166=E166),"TOR = SM = BNN","Comb. diferentes")))))</f>
        <v>TOR &gt; BNN &gt; SM</v>
      </c>
      <c r="BC166" s="137" t="str">
        <f>IF(OR(AD166="",AP166="-"),"",IF(AD166&lt;=0.25,"Tipo 1 (≤0,25) uT",IF(AD166&lt;=0.5,"Tipo 2 (0,25-0,50) uT",IF(AD166&lt;=0.75,"Tipo 3 (0,50-0,75) uT","Tipo 4 (&gt;0,75) uT"))))</f>
        <v>Tipo 2 (0,25-0,50) uT</v>
      </c>
      <c r="BD166" s="137" t="str">
        <f>IF(OR(AO166="",AY166="-"),"",IF(AO166&lt;=0.25,"Tipo 1 (≤0,25) uT",IF(AO166&lt;=0.5,"Tipo 2 (0,25-0,50) uT",IF(AO166&lt;=0.75,"Tipo 3 (0,50-0,75) uT","Tipo 4 (&gt;0,75) uT"))))</f>
        <v>Tipo 1 (≤0,25) uT</v>
      </c>
      <c r="BE166" s="137" t="str">
        <f>IF(OR(AE166="",AP166="-"),"",IF(AE166&lt;=0.25,"Tipo 1 (≤0,25) uT",IF(AE166&lt;=0.5,"Tipo 2 (0,25-0,50) uT",IF(AE166&lt;=0.75,"Tipo 3 (0,50-0,75) uT","Tipo 4 (&gt;0,75) uT"))))</f>
        <v>Tipo 3 (0,50-0,75) uT</v>
      </c>
      <c r="BF166" s="137" t="str">
        <f>IF(OR(AP166="",AP166="-"),"",IF(AP166&lt;=0.25,"Tipo 1 (≤0,25) uT",IF(AP166&lt;=0.5,"Tipo 2 (0,25-0,50) uT",IF(AP166&lt;=0.75,"Tipo 3 (0,50-0,75) uT","Tipo 4 (&gt;0,75) uT"))))</f>
        <v>Tipo 2 (0,25-0,50) uT</v>
      </c>
      <c r="BG166" s="137" t="str">
        <f>IF(OR(Q166="",Q166="-"),"",IF(Q166&lt;=0.25,"Tipo 1 (≤0,25) uT",IF(Q166&lt;=0.5,"Tipo 2 (0,25-0,50) uT",IF(Q166&lt;=0.75,"Tipo 3 (0,50-0,75) uT","Tipo 4 (&gt;0,75) uT"))))</f>
        <v>Tipo 1 (≤0,25) uT</v>
      </c>
    </row>
    <row r="167" spans="1:59" x14ac:dyDescent="0.3">
      <c r="A167" s="26">
        <v>46145</v>
      </c>
      <c r="B167" s="107">
        <v>0.47916666666666669</v>
      </c>
      <c r="C167" s="116">
        <v>594</v>
      </c>
      <c r="D167" s="116">
        <v>85</v>
      </c>
      <c r="E167" s="116">
        <v>516</v>
      </c>
      <c r="F167" s="116">
        <v>1190</v>
      </c>
      <c r="G167" s="10" t="s">
        <v>100</v>
      </c>
      <c r="H167" s="122">
        <v>3.3</v>
      </c>
      <c r="I167" s="116">
        <v>90</v>
      </c>
      <c r="J167" s="116">
        <v>90</v>
      </c>
      <c r="K167" s="116">
        <v>90</v>
      </c>
      <c r="L167" s="122">
        <v>23.2</v>
      </c>
      <c r="M167" s="122">
        <v>6.6</v>
      </c>
      <c r="N167" s="79">
        <v>3.21</v>
      </c>
      <c r="O167" s="116">
        <v>14</v>
      </c>
      <c r="P167" s="122">
        <v>6.7</v>
      </c>
      <c r="Q167" s="79">
        <v>0.19</v>
      </c>
      <c r="R167" s="79">
        <v>22.36</v>
      </c>
      <c r="S167" s="79">
        <v>0.88</v>
      </c>
      <c r="T167" s="79">
        <v>0.7</v>
      </c>
      <c r="U167" s="85">
        <f t="shared" si="18"/>
        <v>1323.875</v>
      </c>
      <c r="V167" s="79">
        <f t="shared" si="19"/>
        <v>1855.9614744736002</v>
      </c>
      <c r="W167" s="79">
        <f t="shared" si="20"/>
        <v>1.401915947104976</v>
      </c>
      <c r="X167" s="116">
        <v>1</v>
      </c>
      <c r="Y167" s="116">
        <v>2</v>
      </c>
      <c r="Z167" s="122">
        <v>6.47</v>
      </c>
      <c r="AA167" s="116">
        <v>23.12</v>
      </c>
      <c r="AB167" s="122">
        <v>6.5</v>
      </c>
      <c r="AC167" s="122">
        <v>5.7</v>
      </c>
      <c r="AD167" s="10">
        <v>0.3</v>
      </c>
      <c r="AE167" s="79">
        <v>0.28999999999999998</v>
      </c>
      <c r="AF167" s="85">
        <f t="shared" si="21"/>
        <v>882.58333333333337</v>
      </c>
      <c r="AG167" s="85">
        <f t="shared" si="22"/>
        <v>1897.3491495867997</v>
      </c>
      <c r="AH167" s="85">
        <f t="shared" si="23"/>
        <v>2.149767707963516</v>
      </c>
      <c r="AI167" s="116">
        <v>2</v>
      </c>
      <c r="AJ167" s="116">
        <v>3</v>
      </c>
      <c r="AK167" s="79">
        <v>6.33</v>
      </c>
      <c r="AL167" s="79">
        <v>24.29</v>
      </c>
      <c r="AM167" s="122">
        <v>6.5</v>
      </c>
      <c r="AN167" s="122">
        <v>6</v>
      </c>
      <c r="AO167" s="79">
        <v>0.15</v>
      </c>
      <c r="AP167" s="127">
        <v>0.76</v>
      </c>
      <c r="AQ167" s="132">
        <f t="shared" si="14"/>
        <v>1195</v>
      </c>
      <c r="AR167" s="134">
        <f t="shared" si="15"/>
        <v>0.49707112970711298</v>
      </c>
      <c r="AS167" s="134">
        <f t="shared" si="16"/>
        <v>7.1129707112970716E-2</v>
      </c>
      <c r="AT167" s="134">
        <f t="shared" si="17"/>
        <v>0.43179916317991635</v>
      </c>
      <c r="AU167" s="43">
        <f>IF(AND(F167&lt;&gt;"",Y167&lt;&gt;""),AA167/(F167/2/Y167),"")</f>
        <v>7.7714285714285722E-2</v>
      </c>
      <c r="AV167" s="43">
        <f>IF(AND(F167&lt;&gt;"",AJ167&lt;&gt;""),AL167/(F167/2/AJ167),"")</f>
        <v>0.12247058823529411</v>
      </c>
      <c r="AW167" s="41">
        <f>IF(AND(AP167&lt;&gt;"",1-(AP167/N167)&gt;0),1-(AP167/N167),"")</f>
        <v>0.76323987538940807</v>
      </c>
      <c r="AX167" s="41">
        <f>IF(AND(AE167&lt;&gt;"",1-(AE167/N167)&gt;0),1-(AE167/N167),"")</f>
        <v>0.90965732087227413</v>
      </c>
      <c r="AY167" s="136" t="str">
        <f>IF(P167="","",IF(P167&lt;2.5,"Alc. Bruta &lt; 2,5 mg/L",IF(P167&lt;5,"2,5 ≤ Alc. Bruta &lt; 5,0 mg/L",IF(P167&lt;7.5,"5,0 ≤ Alc. Bruta &lt; 7,5 mg/L",IF(P167&lt;10,"7,5 ≤ Alc. Bruta &lt; 10,0 mg/L",IF(P167&lt;15,"10,0 ≤ Alca. Bruta &lt; 15,0 mg/L","Alc. Bruta &gt; 15 mg/L"))))))</f>
        <v>5,0 ≤ Alc. Bruta &lt; 7,5 mg/L</v>
      </c>
      <c r="AZ167" s="136" t="str">
        <f>IF(O167="","",IF(O167&lt;5,"Cor &lt;5 uC",IF(O167&lt;10,"5 ≤ Cor &lt; 10 uC",IF(O167&lt;15,"10 ≤ Cor &lt;15 uC",IF(O167&lt;30,"15 ≤ Cor &lt; 30 uC",IF(O167&lt;50,"30 ≤ Cor &lt; 50 uC","Cor &gt; 50 uC"))))))</f>
        <v>10 ≤ Cor &lt;15 uC</v>
      </c>
      <c r="BA167" s="137" t="str">
        <f>IF(N167="","",IF(N167&lt;2.5,"Turbidez &lt; 2,5 uT",IF(N167&lt;5,"2,5 ≤ Turb &lt; 5,0 uT",IF(N167&lt;7.5,"5,0 ≤ Turb &lt; 7,5 uT",IF(N167&lt;10,"7,5 ≤ Turb &lt; 10,0 uT",IF(N167&lt;15,"10,0 ≤ Turb &lt; 15,0 uT","Turb &gt; 15 uT"))))))</f>
        <v>2,5 ≤ Turb &lt; 5,0 uT</v>
      </c>
      <c r="BB167" s="138" t="str">
        <f>IF(AND(C167&gt;D167,D167&gt;E167),"TOR &gt; SM &gt; BNN",IF(AND(C167&gt;E167,E167&gt;D167),"TOR &gt; BNN &gt; SM",IF(AND(D167&gt;C167,C167&gt;E167),"SM &gt; TOR &gt; BNN",IF(AND(D167&gt;E167,E167&gt;C167),"SM &gt; BNN &gt; TOR",IF(AND(C167=D167,D167=E167),"TOR = SM = BNN","Comb. diferentes")))))</f>
        <v>TOR &gt; BNN &gt; SM</v>
      </c>
      <c r="BC167" s="137" t="str">
        <f>IF(OR(AD167="",AP167="-"),"",IF(AD167&lt;=0.25,"Tipo 1 (≤0,25) uT",IF(AD167&lt;=0.5,"Tipo 2 (0,25-0,50) uT",IF(AD167&lt;=0.75,"Tipo 3 (0,50-0,75) uT","Tipo 4 (&gt;0,75) uT"))))</f>
        <v>Tipo 2 (0,25-0,50) uT</v>
      </c>
      <c r="BD167" s="137" t="str">
        <f>IF(OR(AO167="",AY167="-"),"",IF(AO167&lt;=0.25,"Tipo 1 (≤0,25) uT",IF(AO167&lt;=0.5,"Tipo 2 (0,25-0,50) uT",IF(AO167&lt;=0.75,"Tipo 3 (0,50-0,75) uT","Tipo 4 (&gt;0,75) uT"))))</f>
        <v>Tipo 1 (≤0,25) uT</v>
      </c>
      <c r="BE167" s="137" t="str">
        <f>IF(OR(AE167="",AP167="-"),"",IF(AE167&lt;=0.25,"Tipo 1 (≤0,25) uT",IF(AE167&lt;=0.5,"Tipo 2 (0,25-0,50) uT",IF(AE167&lt;=0.75,"Tipo 3 (0,50-0,75) uT","Tipo 4 (&gt;0,75) uT"))))</f>
        <v>Tipo 2 (0,25-0,50) uT</v>
      </c>
      <c r="BF167" s="137" t="str">
        <f>IF(OR(AP167="",AP167="-"),"",IF(AP167&lt;=0.25,"Tipo 1 (≤0,25) uT",IF(AP167&lt;=0.5,"Tipo 2 (0,25-0,50) uT",IF(AP167&lt;=0.75,"Tipo 3 (0,50-0,75) uT","Tipo 4 (&gt;0,75) uT"))))</f>
        <v>Tipo 4 (&gt;0,75) uT</v>
      </c>
      <c r="BG167" s="137" t="str">
        <f>IF(OR(Q167="",Q167="-"),"",IF(Q167&lt;=0.25,"Tipo 1 (≤0,25) uT",IF(Q167&lt;=0.5,"Tipo 2 (0,25-0,50) uT",IF(Q167&lt;=0.75,"Tipo 3 (0,50-0,75) uT","Tipo 4 (&gt;0,75) uT"))))</f>
        <v>Tipo 1 (≤0,25) uT</v>
      </c>
    </row>
    <row r="168" spans="1:59" x14ac:dyDescent="0.3">
      <c r="A168" s="26">
        <v>46145</v>
      </c>
      <c r="B168" s="107">
        <v>0.64583333333333337</v>
      </c>
      <c r="C168" s="116">
        <v>1139</v>
      </c>
      <c r="D168" s="116">
        <v>91</v>
      </c>
      <c r="E168" s="116">
        <v>450</v>
      </c>
      <c r="F168" s="116">
        <v>1787</v>
      </c>
      <c r="G168" s="10" t="s">
        <v>100</v>
      </c>
      <c r="H168" s="122">
        <v>3.3</v>
      </c>
      <c r="I168" s="116">
        <v>90</v>
      </c>
      <c r="J168" s="116">
        <v>90</v>
      </c>
      <c r="K168" s="116">
        <v>90</v>
      </c>
      <c r="L168" s="122">
        <v>24.5</v>
      </c>
      <c r="M168" s="122">
        <v>6.7</v>
      </c>
      <c r="N168" s="79">
        <v>3.4</v>
      </c>
      <c r="O168" s="116">
        <v>14</v>
      </c>
      <c r="P168" s="122">
        <v>9.6999999999999993</v>
      </c>
      <c r="Q168" s="79">
        <v>0.16</v>
      </c>
      <c r="R168" s="79">
        <v>22.36</v>
      </c>
      <c r="S168" s="79">
        <v>0.88</v>
      </c>
      <c r="T168" s="79">
        <v>0.7</v>
      </c>
      <c r="U168" s="85">
        <f t="shared" si="18"/>
        <v>1381.9466666666665</v>
      </c>
      <c r="V168" s="79">
        <f t="shared" si="19"/>
        <v>1599.4697132335998</v>
      </c>
      <c r="W168" s="79">
        <f t="shared" si="20"/>
        <v>1.1574033584751944</v>
      </c>
      <c r="X168" s="116">
        <v>2</v>
      </c>
      <c r="Y168" s="116">
        <v>3</v>
      </c>
      <c r="Z168" s="122">
        <v>6.54</v>
      </c>
      <c r="AA168" s="116">
        <v>19.66</v>
      </c>
      <c r="AB168" s="122">
        <v>6.7</v>
      </c>
      <c r="AC168" s="122">
        <v>8.5</v>
      </c>
      <c r="AD168" s="10">
        <v>0.73</v>
      </c>
      <c r="AE168" s="79">
        <v>0.66</v>
      </c>
      <c r="AF168" s="85">
        <f t="shared" si="21"/>
        <v>1036.46</v>
      </c>
      <c r="AG168" s="85">
        <f t="shared" si="22"/>
        <v>1811.5841542188</v>
      </c>
      <c r="AH168" s="85">
        <f t="shared" si="23"/>
        <v>1.7478572778677421</v>
      </c>
      <c r="AI168" s="116">
        <v>2</v>
      </c>
      <c r="AJ168" s="116">
        <v>4</v>
      </c>
      <c r="AK168" s="79">
        <v>6.37</v>
      </c>
      <c r="AL168" s="79">
        <v>23.01</v>
      </c>
      <c r="AM168" s="122">
        <v>6.7</v>
      </c>
      <c r="AN168" s="122">
        <v>8.3000000000000007</v>
      </c>
      <c r="AO168" s="79">
        <v>0.21</v>
      </c>
      <c r="AP168" s="127">
        <v>0.44</v>
      </c>
      <c r="AQ168" s="132">
        <f t="shared" si="14"/>
        <v>1680</v>
      </c>
      <c r="AR168" s="134">
        <f t="shared" si="15"/>
        <v>0.67797619047619051</v>
      </c>
      <c r="AS168" s="134">
        <f t="shared" si="16"/>
        <v>5.4166666666666669E-2</v>
      </c>
      <c r="AT168" s="134">
        <f t="shared" si="17"/>
        <v>0.26785714285714285</v>
      </c>
      <c r="AU168" s="43">
        <f>IF(AND(F168&lt;&gt;"",Y168&lt;&gt;""),AA168/(F168/2/Y168),"")</f>
        <v>6.6010072747621718E-2</v>
      </c>
      <c r="AV168" s="43">
        <f>IF(AND(F168&lt;&gt;"",AJ168&lt;&gt;""),AL168/(F168/2/AJ168),"")</f>
        <v>0.10301063234471182</v>
      </c>
      <c r="AW168" s="41">
        <f>IF(AND(AP168&lt;&gt;"",1-(AP168/N168)&gt;0),1-(AP168/N168),"")</f>
        <v>0.87058823529411766</v>
      </c>
      <c r="AX168" s="41">
        <f>IF(AND(AE168&lt;&gt;"",1-(AE168/N168)&gt;0),1-(AE168/N168),"")</f>
        <v>0.80588235294117649</v>
      </c>
      <c r="AY168" s="136" t="str">
        <f>IF(P168="","",IF(P168&lt;2.5,"Alc. Bruta &lt; 2,5 mg/L",IF(P168&lt;5,"2,5 ≤ Alc. Bruta &lt; 5,0 mg/L",IF(P168&lt;7.5,"5,0 ≤ Alc. Bruta &lt; 7,5 mg/L",IF(P168&lt;10,"7,5 ≤ Alc. Bruta &lt; 10,0 mg/L",IF(P168&lt;15,"10,0 ≤ Alca. Bruta &lt; 15,0 mg/L","Alc. Bruta &gt; 15 mg/L"))))))</f>
        <v>7,5 ≤ Alc. Bruta &lt; 10,0 mg/L</v>
      </c>
      <c r="AZ168" s="136" t="str">
        <f>IF(O168="","",IF(O168&lt;5,"Cor &lt;5 uC",IF(O168&lt;10,"5 ≤ Cor &lt; 10 uC",IF(O168&lt;15,"10 ≤ Cor &lt;15 uC",IF(O168&lt;30,"15 ≤ Cor &lt; 30 uC",IF(O168&lt;50,"30 ≤ Cor &lt; 50 uC","Cor &gt; 50 uC"))))))</f>
        <v>10 ≤ Cor &lt;15 uC</v>
      </c>
      <c r="BA168" s="137" t="str">
        <f>IF(N168="","",IF(N168&lt;2.5,"Turbidez &lt; 2,5 uT",IF(N168&lt;5,"2,5 ≤ Turb &lt; 5,0 uT",IF(N168&lt;7.5,"5,0 ≤ Turb &lt; 7,5 uT",IF(N168&lt;10,"7,5 ≤ Turb &lt; 10,0 uT",IF(N168&lt;15,"10,0 ≤ Turb &lt; 15,0 uT","Turb &gt; 15 uT"))))))</f>
        <v>2,5 ≤ Turb &lt; 5,0 uT</v>
      </c>
      <c r="BB168" s="138" t="str">
        <f>IF(AND(C168&gt;D168,D168&gt;E168),"TOR &gt; SM &gt; BNN",IF(AND(C168&gt;E168,E168&gt;D168),"TOR &gt; BNN &gt; SM",IF(AND(D168&gt;C168,C168&gt;E168),"SM &gt; TOR &gt; BNN",IF(AND(D168&gt;E168,E168&gt;C168),"SM &gt; BNN &gt; TOR",IF(AND(C168=D168,D168=E168),"TOR = SM = BNN","Comb. diferentes")))))</f>
        <v>TOR &gt; BNN &gt; SM</v>
      </c>
      <c r="BC168" s="137" t="str">
        <f>IF(OR(AD168="",AP168="-"),"",IF(AD168&lt;=0.25,"Tipo 1 (≤0,25) uT",IF(AD168&lt;=0.5,"Tipo 2 (0,25-0,50) uT",IF(AD168&lt;=0.75,"Tipo 3 (0,50-0,75) uT","Tipo 4 (&gt;0,75) uT"))))</f>
        <v>Tipo 3 (0,50-0,75) uT</v>
      </c>
      <c r="BD168" s="137" t="str">
        <f>IF(OR(AO168="",AY168="-"),"",IF(AO168&lt;=0.25,"Tipo 1 (≤0,25) uT",IF(AO168&lt;=0.5,"Tipo 2 (0,25-0,50) uT",IF(AO168&lt;=0.75,"Tipo 3 (0,50-0,75) uT","Tipo 4 (&gt;0,75) uT"))))</f>
        <v>Tipo 1 (≤0,25) uT</v>
      </c>
      <c r="BE168" s="137" t="str">
        <f>IF(OR(AE168="",AP168="-"),"",IF(AE168&lt;=0.25,"Tipo 1 (≤0,25) uT",IF(AE168&lt;=0.5,"Tipo 2 (0,25-0,50) uT",IF(AE168&lt;=0.75,"Tipo 3 (0,50-0,75) uT","Tipo 4 (&gt;0,75) uT"))))</f>
        <v>Tipo 3 (0,50-0,75) uT</v>
      </c>
      <c r="BF168" s="137" t="str">
        <f>IF(OR(AP168="",AP168="-"),"",IF(AP168&lt;=0.25,"Tipo 1 (≤0,25) uT",IF(AP168&lt;=0.5,"Tipo 2 (0,25-0,50) uT",IF(AP168&lt;=0.75,"Tipo 3 (0,50-0,75) uT","Tipo 4 (&gt;0,75) uT"))))</f>
        <v>Tipo 2 (0,25-0,50) uT</v>
      </c>
      <c r="BG168" s="137" t="str">
        <f>IF(OR(Q168="",Q168="-"),"",IF(Q168&lt;=0.25,"Tipo 1 (≤0,25) uT",IF(Q168&lt;=0.5,"Tipo 2 (0,25-0,50) uT",IF(Q168&lt;=0.75,"Tipo 3 (0,50-0,75) uT","Tipo 4 (&gt;0,75) uT"))))</f>
        <v>Tipo 1 (≤0,25) uT</v>
      </c>
    </row>
    <row r="169" spans="1:59" x14ac:dyDescent="0.3">
      <c r="A169" s="26">
        <v>46145</v>
      </c>
      <c r="B169" s="107">
        <v>0.72916666666666663</v>
      </c>
      <c r="C169" s="116">
        <v>1188</v>
      </c>
      <c r="D169" s="116">
        <v>88</v>
      </c>
      <c r="E169" s="116">
        <v>450</v>
      </c>
      <c r="F169" s="116">
        <v>1816</v>
      </c>
      <c r="G169" s="10" t="s">
        <v>100</v>
      </c>
      <c r="H169" s="122">
        <v>3.6</v>
      </c>
      <c r="I169" s="116">
        <v>90</v>
      </c>
      <c r="J169" s="116">
        <v>90</v>
      </c>
      <c r="K169" s="116">
        <v>90</v>
      </c>
      <c r="L169" s="122">
        <v>24.5</v>
      </c>
      <c r="M169" s="122">
        <v>6.7</v>
      </c>
      <c r="N169" s="79">
        <v>3.28</v>
      </c>
      <c r="O169" s="116">
        <v>15</v>
      </c>
      <c r="P169" s="122">
        <v>7.1</v>
      </c>
      <c r="Q169" s="79">
        <v>0.61</v>
      </c>
      <c r="R169" s="79">
        <v>22.36</v>
      </c>
      <c r="S169" s="79">
        <v>0.88</v>
      </c>
      <c r="T169" s="79">
        <v>0.7</v>
      </c>
      <c r="U169" s="85">
        <f t="shared" si="18"/>
        <v>1395.2933333333333</v>
      </c>
      <c r="V169" s="79">
        <f t="shared" si="19"/>
        <v>1614.7721200000001</v>
      </c>
      <c r="W169" s="79">
        <f t="shared" si="20"/>
        <v>1.1572993874645237</v>
      </c>
      <c r="X169" s="116">
        <v>2</v>
      </c>
      <c r="Y169" s="116">
        <v>3</v>
      </c>
      <c r="Z169" s="122">
        <v>6.5</v>
      </c>
      <c r="AA169" s="116">
        <v>20</v>
      </c>
      <c r="AB169" s="122">
        <v>6.6</v>
      </c>
      <c r="AC169" s="122">
        <v>7.4</v>
      </c>
      <c r="AD169" s="10">
        <v>1.24</v>
      </c>
      <c r="AE169" s="79">
        <v>1.61</v>
      </c>
      <c r="AF169" s="85">
        <f t="shared" si="21"/>
        <v>1046.4699999999998</v>
      </c>
      <c r="AG169" s="85">
        <f t="shared" si="22"/>
        <v>1861.0532095999999</v>
      </c>
      <c r="AH169" s="85">
        <f t="shared" si="23"/>
        <v>1.7784104748344438</v>
      </c>
      <c r="AI169" s="116">
        <v>2</v>
      </c>
      <c r="AJ169" s="116">
        <v>4</v>
      </c>
      <c r="AK169" s="79">
        <v>6.4</v>
      </c>
      <c r="AL169" s="79">
        <v>23.5</v>
      </c>
      <c r="AM169" s="122">
        <v>6.6</v>
      </c>
      <c r="AN169" s="122">
        <v>6.7</v>
      </c>
      <c r="AO169" s="79">
        <v>0.36</v>
      </c>
      <c r="AP169" s="127">
        <v>0.44</v>
      </c>
      <c r="AQ169" s="132">
        <f t="shared" si="14"/>
        <v>1726</v>
      </c>
      <c r="AR169" s="134">
        <f t="shared" si="15"/>
        <v>0.68829663962920051</v>
      </c>
      <c r="AS169" s="134">
        <f t="shared" si="16"/>
        <v>5.0984936268829661E-2</v>
      </c>
      <c r="AT169" s="134">
        <f t="shared" si="17"/>
        <v>0.26071842410196988</v>
      </c>
      <c r="AU169" s="43">
        <f>IF(AND(F169&lt;&gt;"",Y169&lt;&gt;""),AA169/(F169/2/Y169),"")</f>
        <v>6.6079295154185022E-2</v>
      </c>
      <c r="AV169" s="43">
        <f>IF(AND(F169&lt;&gt;"",AJ169&lt;&gt;""),AL169/(F169/2/AJ169),"")</f>
        <v>0.10352422907488987</v>
      </c>
      <c r="AW169" s="41">
        <f>IF(AND(AP169&lt;&gt;"",1-(AP169/N169)&gt;0),1-(AP169/N169),"")</f>
        <v>0.86585365853658536</v>
      </c>
      <c r="AX169" s="41">
        <f>IF(AND(AE169&lt;&gt;"",1-(AE169/N169)&gt;0),1-(AE169/N169),"")</f>
        <v>0.50914634146341453</v>
      </c>
      <c r="AY169" s="136" t="str">
        <f>IF(P169="","",IF(P169&lt;2.5,"Alc. Bruta &lt; 2,5 mg/L",IF(P169&lt;5,"2,5 ≤ Alc. Bruta &lt; 5,0 mg/L",IF(P169&lt;7.5,"5,0 ≤ Alc. Bruta &lt; 7,5 mg/L",IF(P169&lt;10,"7,5 ≤ Alc. Bruta &lt; 10,0 mg/L",IF(P169&lt;15,"10,0 ≤ Alca. Bruta &lt; 15,0 mg/L","Alc. Bruta &gt; 15 mg/L"))))))</f>
        <v>5,0 ≤ Alc. Bruta &lt; 7,5 mg/L</v>
      </c>
      <c r="AZ169" s="136" t="str">
        <f>IF(O169="","",IF(O169&lt;5,"Cor &lt;5 uC",IF(O169&lt;10,"5 ≤ Cor &lt; 10 uC",IF(O169&lt;15,"10 ≤ Cor &lt;15 uC",IF(O169&lt;30,"15 ≤ Cor &lt; 30 uC",IF(O169&lt;50,"30 ≤ Cor &lt; 50 uC","Cor &gt; 50 uC"))))))</f>
        <v>15 ≤ Cor &lt; 30 uC</v>
      </c>
      <c r="BA169" s="137" t="str">
        <f>IF(N169="","",IF(N169&lt;2.5,"Turbidez &lt; 2,5 uT",IF(N169&lt;5,"2,5 ≤ Turb &lt; 5,0 uT",IF(N169&lt;7.5,"5,0 ≤ Turb &lt; 7,5 uT",IF(N169&lt;10,"7,5 ≤ Turb &lt; 10,0 uT",IF(N169&lt;15,"10,0 ≤ Turb &lt; 15,0 uT","Turb &gt; 15 uT"))))))</f>
        <v>2,5 ≤ Turb &lt; 5,0 uT</v>
      </c>
      <c r="BB169" s="138" t="str">
        <f>IF(AND(C169&gt;D169,D169&gt;E169),"TOR &gt; SM &gt; BNN",IF(AND(C169&gt;E169,E169&gt;D169),"TOR &gt; BNN &gt; SM",IF(AND(D169&gt;C169,C169&gt;E169),"SM &gt; TOR &gt; BNN",IF(AND(D169&gt;E169,E169&gt;C169),"SM &gt; BNN &gt; TOR",IF(AND(C169=D169,D169=E169),"TOR = SM = BNN","Comb. diferentes")))))</f>
        <v>TOR &gt; BNN &gt; SM</v>
      </c>
      <c r="BC169" s="137" t="str">
        <f>IF(OR(AD169="",AP169="-"),"",IF(AD169&lt;=0.25,"Tipo 1 (≤0,25) uT",IF(AD169&lt;=0.5,"Tipo 2 (0,25-0,50) uT",IF(AD169&lt;=0.75,"Tipo 3 (0,50-0,75) uT","Tipo 4 (&gt;0,75) uT"))))</f>
        <v>Tipo 4 (&gt;0,75) uT</v>
      </c>
      <c r="BD169" s="137" t="str">
        <f>IF(OR(AO169="",AY169="-"),"",IF(AO169&lt;=0.25,"Tipo 1 (≤0,25) uT",IF(AO169&lt;=0.5,"Tipo 2 (0,25-0,50) uT",IF(AO169&lt;=0.75,"Tipo 3 (0,50-0,75) uT","Tipo 4 (&gt;0,75) uT"))))</f>
        <v>Tipo 2 (0,25-0,50) uT</v>
      </c>
      <c r="BE169" s="137" t="str">
        <f>IF(OR(AE169="",AP169="-"),"",IF(AE169&lt;=0.25,"Tipo 1 (≤0,25) uT",IF(AE169&lt;=0.5,"Tipo 2 (0,25-0,50) uT",IF(AE169&lt;=0.75,"Tipo 3 (0,50-0,75) uT","Tipo 4 (&gt;0,75) uT"))))</f>
        <v>Tipo 4 (&gt;0,75) uT</v>
      </c>
      <c r="BF169" s="137" t="str">
        <f>IF(OR(AP169="",AP169="-"),"",IF(AP169&lt;=0.25,"Tipo 1 (≤0,25) uT",IF(AP169&lt;=0.5,"Tipo 2 (0,25-0,50) uT",IF(AP169&lt;=0.75,"Tipo 3 (0,50-0,75) uT","Tipo 4 (&gt;0,75) uT"))))</f>
        <v>Tipo 2 (0,25-0,50) uT</v>
      </c>
      <c r="BG169" s="137" t="str">
        <f>IF(OR(Q169="",Q169="-"),"",IF(Q169&lt;=0.25,"Tipo 1 (≤0,25) uT",IF(Q169&lt;=0.5,"Tipo 2 (0,25-0,50) uT",IF(Q169&lt;=0.75,"Tipo 3 (0,50-0,75) uT","Tipo 4 (&gt;0,75) uT"))))</f>
        <v>Tipo 3 (0,50-0,75) uT</v>
      </c>
    </row>
    <row r="170" spans="1:59" x14ac:dyDescent="0.3">
      <c r="A170" s="26">
        <v>46145</v>
      </c>
      <c r="B170" s="107">
        <v>0.8125</v>
      </c>
      <c r="C170" s="116">
        <v>1165</v>
      </c>
      <c r="D170" s="116">
        <v>82</v>
      </c>
      <c r="E170" s="116">
        <v>451</v>
      </c>
      <c r="F170" s="116">
        <v>1832</v>
      </c>
      <c r="G170" s="10" t="s">
        <v>100</v>
      </c>
      <c r="H170" s="122">
        <v>3.6</v>
      </c>
      <c r="I170" s="116">
        <v>90</v>
      </c>
      <c r="J170" s="116">
        <v>90</v>
      </c>
      <c r="K170" s="116">
        <v>90</v>
      </c>
      <c r="L170" s="122">
        <v>24</v>
      </c>
      <c r="M170" s="122">
        <v>6.7</v>
      </c>
      <c r="N170" s="79">
        <v>4.3099999999999996</v>
      </c>
      <c r="O170" s="116">
        <v>14</v>
      </c>
      <c r="P170" s="122">
        <v>6.4</v>
      </c>
      <c r="Q170" s="79">
        <v>0.43</v>
      </c>
      <c r="R170" s="79">
        <v>22.36</v>
      </c>
      <c r="S170" s="79">
        <v>0.88</v>
      </c>
      <c r="T170" s="79">
        <v>0.7</v>
      </c>
      <c r="U170" s="85">
        <f t="shared" si="18"/>
        <v>1722.0799999999997</v>
      </c>
      <c r="V170" s="79">
        <f t="shared" si="19"/>
        <v>1599.3235959999997</v>
      </c>
      <c r="W170" s="79">
        <f t="shared" si="20"/>
        <v>0.92871620133791699</v>
      </c>
      <c r="X170" s="116">
        <v>2</v>
      </c>
      <c r="Y170" s="116">
        <v>3</v>
      </c>
      <c r="Z170" s="122">
        <v>6.45</v>
      </c>
      <c r="AA170" s="116">
        <v>20</v>
      </c>
      <c r="AB170" s="122">
        <v>6.6</v>
      </c>
      <c r="AC170" s="122">
        <v>6.1</v>
      </c>
      <c r="AD170" s="10">
        <v>0.51</v>
      </c>
      <c r="AE170" s="79">
        <v>1.27</v>
      </c>
      <c r="AF170" s="85">
        <f t="shared" si="21"/>
        <v>1291.56</v>
      </c>
      <c r="AG170" s="85">
        <f t="shared" si="22"/>
        <v>1937.7265440000001</v>
      </c>
      <c r="AH170" s="85">
        <f t="shared" si="23"/>
        <v>1.5002992845860821</v>
      </c>
      <c r="AI170" s="116">
        <v>2</v>
      </c>
      <c r="AJ170" s="116">
        <v>4</v>
      </c>
      <c r="AK170" s="79">
        <v>6.5</v>
      </c>
      <c r="AL170" s="79">
        <v>24</v>
      </c>
      <c r="AM170" s="122">
        <v>6.6</v>
      </c>
      <c r="AN170" s="122">
        <v>6.2</v>
      </c>
      <c r="AO170" s="79">
        <v>0.16</v>
      </c>
      <c r="AP170" s="127">
        <v>0.37</v>
      </c>
      <c r="AQ170" s="132">
        <f t="shared" si="14"/>
        <v>1698</v>
      </c>
      <c r="AR170" s="134">
        <f t="shared" si="15"/>
        <v>0.68610129564193167</v>
      </c>
      <c r="AS170" s="134">
        <f t="shared" si="16"/>
        <v>4.8292108362779744E-2</v>
      </c>
      <c r="AT170" s="134">
        <f t="shared" si="17"/>
        <v>0.26560659599528857</v>
      </c>
      <c r="AU170" s="43">
        <f>IF(AND(F170&lt;&gt;"",Y170&lt;&gt;""),AA170/(F170/2/Y170),"")</f>
        <v>6.5502183406113537E-2</v>
      </c>
      <c r="AV170" s="43">
        <f>IF(AND(F170&lt;&gt;"",AJ170&lt;&gt;""),AL170/(F170/2/AJ170),"")</f>
        <v>0.10480349344978165</v>
      </c>
      <c r="AW170" s="41">
        <f>IF(AND(AP170&lt;&gt;"",1-(AP170/N170)&gt;0),1-(AP170/N170),"")</f>
        <v>0.91415313225058004</v>
      </c>
      <c r="AX170" s="41">
        <f>IF(AND(AE170&lt;&gt;"",1-(AE170/N170)&gt;0),1-(AE170/N170),"")</f>
        <v>0.7053364269141531</v>
      </c>
      <c r="AY170" s="136" t="str">
        <f>IF(P170="","",IF(P170&lt;2.5,"Alc. Bruta &lt; 2,5 mg/L",IF(P170&lt;5,"2,5 ≤ Alc. Bruta &lt; 5,0 mg/L",IF(P170&lt;7.5,"5,0 ≤ Alc. Bruta &lt; 7,5 mg/L",IF(P170&lt;10,"7,5 ≤ Alc. Bruta &lt; 10,0 mg/L",IF(P170&lt;15,"10,0 ≤ Alca. Bruta &lt; 15,0 mg/L","Alc. Bruta &gt; 15 mg/L"))))))</f>
        <v>5,0 ≤ Alc. Bruta &lt; 7,5 mg/L</v>
      </c>
      <c r="AZ170" s="136" t="str">
        <f>IF(O170="","",IF(O170&lt;5,"Cor &lt;5 uC",IF(O170&lt;10,"5 ≤ Cor &lt; 10 uC",IF(O170&lt;15,"10 ≤ Cor &lt;15 uC",IF(O170&lt;30,"15 ≤ Cor &lt; 30 uC",IF(O170&lt;50,"30 ≤ Cor &lt; 50 uC","Cor &gt; 50 uC"))))))</f>
        <v>10 ≤ Cor &lt;15 uC</v>
      </c>
      <c r="BA170" s="137" t="str">
        <f>IF(N170="","",IF(N170&lt;2.5,"Turbidez &lt; 2,5 uT",IF(N170&lt;5,"2,5 ≤ Turb &lt; 5,0 uT",IF(N170&lt;7.5,"5,0 ≤ Turb &lt; 7,5 uT",IF(N170&lt;10,"7,5 ≤ Turb &lt; 10,0 uT",IF(N170&lt;15,"10,0 ≤ Turb &lt; 15,0 uT","Turb &gt; 15 uT"))))))</f>
        <v>2,5 ≤ Turb &lt; 5,0 uT</v>
      </c>
      <c r="BB170" s="138" t="str">
        <f>IF(AND(C170&gt;D170,D170&gt;E170),"TOR &gt; SM &gt; BNN",IF(AND(C170&gt;E170,E170&gt;D170),"TOR &gt; BNN &gt; SM",IF(AND(D170&gt;C170,C170&gt;E170),"SM &gt; TOR &gt; BNN",IF(AND(D170&gt;E170,E170&gt;C170),"SM &gt; BNN &gt; TOR",IF(AND(C170=D170,D170=E170),"TOR = SM = BNN","Comb. diferentes")))))</f>
        <v>TOR &gt; BNN &gt; SM</v>
      </c>
      <c r="BC170" s="137" t="str">
        <f>IF(OR(AD170="",AP170="-"),"",IF(AD170&lt;=0.25,"Tipo 1 (≤0,25) uT",IF(AD170&lt;=0.5,"Tipo 2 (0,25-0,50) uT",IF(AD170&lt;=0.75,"Tipo 3 (0,50-0,75) uT","Tipo 4 (&gt;0,75) uT"))))</f>
        <v>Tipo 3 (0,50-0,75) uT</v>
      </c>
      <c r="BD170" s="137" t="str">
        <f>IF(OR(AO170="",AY170="-"),"",IF(AO170&lt;=0.25,"Tipo 1 (≤0,25) uT",IF(AO170&lt;=0.5,"Tipo 2 (0,25-0,50) uT",IF(AO170&lt;=0.75,"Tipo 3 (0,50-0,75) uT","Tipo 4 (&gt;0,75) uT"))))</f>
        <v>Tipo 1 (≤0,25) uT</v>
      </c>
      <c r="BE170" s="137" t="str">
        <f>IF(OR(AE170="",AP170="-"),"",IF(AE170&lt;=0.25,"Tipo 1 (≤0,25) uT",IF(AE170&lt;=0.5,"Tipo 2 (0,25-0,50) uT",IF(AE170&lt;=0.75,"Tipo 3 (0,50-0,75) uT","Tipo 4 (&gt;0,75) uT"))))</f>
        <v>Tipo 4 (&gt;0,75) uT</v>
      </c>
      <c r="BF170" s="137" t="str">
        <f>IF(OR(AP170="",AP170="-"),"",IF(AP170&lt;=0.25,"Tipo 1 (≤0,25) uT",IF(AP170&lt;=0.5,"Tipo 2 (0,25-0,50) uT",IF(AP170&lt;=0.75,"Tipo 3 (0,50-0,75) uT","Tipo 4 (&gt;0,75) uT"))))</f>
        <v>Tipo 2 (0,25-0,50) uT</v>
      </c>
      <c r="BG170" s="137" t="str">
        <f>IF(OR(Q170="",Q170="-"),"",IF(Q170&lt;=0.25,"Tipo 1 (≤0,25) uT",IF(Q170&lt;=0.5,"Tipo 2 (0,25-0,50) uT",IF(Q170&lt;=0.75,"Tipo 3 (0,50-0,75) uT","Tipo 4 (&gt;0,75) uT"))))</f>
        <v>Tipo 2 (0,25-0,50) uT</v>
      </c>
    </row>
    <row r="171" spans="1:59" x14ac:dyDescent="0.3">
      <c r="A171" s="26">
        <v>46145</v>
      </c>
      <c r="B171" s="107">
        <v>0.89583333333333337</v>
      </c>
      <c r="C171" s="116">
        <v>1553</v>
      </c>
      <c r="D171" s="116">
        <v>81</v>
      </c>
      <c r="E171" s="116">
        <v>449</v>
      </c>
      <c r="F171" s="116">
        <v>2268</v>
      </c>
      <c r="G171" s="10" t="s">
        <v>100</v>
      </c>
      <c r="H171" s="122">
        <v>3.6</v>
      </c>
      <c r="I171" s="116">
        <v>90</v>
      </c>
      <c r="J171" s="116">
        <v>90</v>
      </c>
      <c r="K171" s="116">
        <v>90</v>
      </c>
      <c r="L171" s="122">
        <v>24.3</v>
      </c>
      <c r="M171" s="122">
        <v>6.7</v>
      </c>
      <c r="N171" s="79">
        <v>3.89</v>
      </c>
      <c r="O171" s="116">
        <v>16</v>
      </c>
      <c r="P171" s="122">
        <v>5.5</v>
      </c>
      <c r="Q171" s="79">
        <v>0.55000000000000004</v>
      </c>
      <c r="R171" s="79">
        <v>22.36</v>
      </c>
      <c r="S171" s="79">
        <v>0.88</v>
      </c>
      <c r="T171" s="79">
        <v>0.7</v>
      </c>
      <c r="U171" s="85">
        <f t="shared" si="18"/>
        <v>1479.8700000000001</v>
      </c>
      <c r="V171" s="79">
        <f t="shared" si="19"/>
        <v>1528.1630748799998</v>
      </c>
      <c r="W171" s="79">
        <f t="shared" si="20"/>
        <v>1.0326333224404844</v>
      </c>
      <c r="X171" s="116">
        <v>3</v>
      </c>
      <c r="Y171" s="116">
        <v>4</v>
      </c>
      <c r="Z171" s="122">
        <v>6.48</v>
      </c>
      <c r="AA171" s="116">
        <v>19</v>
      </c>
      <c r="AB171" s="122">
        <v>6.6</v>
      </c>
      <c r="AC171" s="122">
        <v>5.2</v>
      </c>
      <c r="AD171" s="10">
        <v>0.66</v>
      </c>
      <c r="AE171" s="79">
        <v>1.3</v>
      </c>
      <c r="AF171" s="85">
        <f t="shared" si="21"/>
        <v>1479.8700000000001</v>
      </c>
      <c r="AG171" s="85">
        <f t="shared" si="22"/>
        <v>1745.6612544800003</v>
      </c>
      <c r="AH171" s="85">
        <f t="shared" si="23"/>
        <v>1.179604461527026</v>
      </c>
      <c r="AI171" s="116">
        <v>3</v>
      </c>
      <c r="AJ171" s="116">
        <v>4</v>
      </c>
      <c r="AK171" s="79">
        <v>6.41</v>
      </c>
      <c r="AL171" s="79">
        <v>22</v>
      </c>
      <c r="AM171" s="122">
        <v>6.5</v>
      </c>
      <c r="AN171" s="122">
        <v>4.5999999999999996</v>
      </c>
      <c r="AO171" s="79">
        <v>0.23</v>
      </c>
      <c r="AP171" s="127">
        <v>0.34</v>
      </c>
      <c r="AQ171" s="132">
        <f t="shared" si="14"/>
        <v>2083</v>
      </c>
      <c r="AR171" s="134">
        <f t="shared" si="15"/>
        <v>0.74555928948631778</v>
      </c>
      <c r="AS171" s="134">
        <f t="shared" si="16"/>
        <v>3.8886221795487279E-2</v>
      </c>
      <c r="AT171" s="134">
        <f t="shared" si="17"/>
        <v>0.21555448871819491</v>
      </c>
      <c r="AU171" s="43">
        <f>IF(AND(F171&lt;&gt;"",Y171&lt;&gt;""),AA171/(F171/2/Y171),"")</f>
        <v>6.7019400352733682E-2</v>
      </c>
      <c r="AV171" s="43">
        <f>IF(AND(F171&lt;&gt;"",AJ171&lt;&gt;""),AL171/(F171/2/AJ171),"")</f>
        <v>7.7601410934744264E-2</v>
      </c>
      <c r="AW171" s="41">
        <f>IF(AND(AP171&lt;&gt;"",1-(AP171/N171)&gt;0),1-(AP171/N171),"")</f>
        <v>0.91259640102827766</v>
      </c>
      <c r="AX171" s="41">
        <f>IF(AND(AE171&lt;&gt;"",1-(AE171/N171)&gt;0),1-(AE171/N171),"")</f>
        <v>0.66580976863753216</v>
      </c>
      <c r="AY171" s="136" t="str">
        <f>IF(P171="","",IF(P171&lt;2.5,"Alc. Bruta &lt; 2,5 mg/L",IF(P171&lt;5,"2,5 ≤ Alc. Bruta &lt; 5,0 mg/L",IF(P171&lt;7.5,"5,0 ≤ Alc. Bruta &lt; 7,5 mg/L",IF(P171&lt;10,"7,5 ≤ Alc. Bruta &lt; 10,0 mg/L",IF(P171&lt;15,"10,0 ≤ Alca. Bruta &lt; 15,0 mg/L","Alc. Bruta &gt; 15 mg/L"))))))</f>
        <v>5,0 ≤ Alc. Bruta &lt; 7,5 mg/L</v>
      </c>
      <c r="AZ171" s="136" t="str">
        <f>IF(O171="","",IF(O171&lt;5,"Cor &lt;5 uC",IF(O171&lt;10,"5 ≤ Cor &lt; 10 uC",IF(O171&lt;15,"10 ≤ Cor &lt;15 uC",IF(O171&lt;30,"15 ≤ Cor &lt; 30 uC",IF(O171&lt;50,"30 ≤ Cor &lt; 50 uC","Cor &gt; 50 uC"))))))</f>
        <v>15 ≤ Cor &lt; 30 uC</v>
      </c>
      <c r="BA171" s="137" t="str">
        <f>IF(N171="","",IF(N171&lt;2.5,"Turbidez &lt; 2,5 uT",IF(N171&lt;5,"2,5 ≤ Turb &lt; 5,0 uT",IF(N171&lt;7.5,"5,0 ≤ Turb &lt; 7,5 uT",IF(N171&lt;10,"7,5 ≤ Turb &lt; 10,0 uT",IF(N171&lt;15,"10,0 ≤ Turb &lt; 15,0 uT","Turb &gt; 15 uT"))))))</f>
        <v>2,5 ≤ Turb &lt; 5,0 uT</v>
      </c>
      <c r="BB171" s="138" t="str">
        <f>IF(AND(C171&gt;D171,D171&gt;E171),"TOR &gt; SM &gt; BNN",IF(AND(C171&gt;E171,E171&gt;D171),"TOR &gt; BNN &gt; SM",IF(AND(D171&gt;C171,C171&gt;E171),"SM &gt; TOR &gt; BNN",IF(AND(D171&gt;E171,E171&gt;C171),"SM &gt; BNN &gt; TOR",IF(AND(C171=D171,D171=E171),"TOR = SM = BNN","Comb. diferentes")))))</f>
        <v>TOR &gt; BNN &gt; SM</v>
      </c>
      <c r="BC171" s="137" t="str">
        <f>IF(OR(AD171="",AP171="-"),"",IF(AD171&lt;=0.25,"Tipo 1 (≤0,25) uT",IF(AD171&lt;=0.5,"Tipo 2 (0,25-0,50) uT",IF(AD171&lt;=0.75,"Tipo 3 (0,50-0,75) uT","Tipo 4 (&gt;0,75) uT"))))</f>
        <v>Tipo 3 (0,50-0,75) uT</v>
      </c>
      <c r="BD171" s="137" t="str">
        <f>IF(OR(AO171="",AY171="-"),"",IF(AO171&lt;=0.25,"Tipo 1 (≤0,25) uT",IF(AO171&lt;=0.5,"Tipo 2 (0,25-0,50) uT",IF(AO171&lt;=0.75,"Tipo 3 (0,50-0,75) uT","Tipo 4 (&gt;0,75) uT"))))</f>
        <v>Tipo 1 (≤0,25) uT</v>
      </c>
      <c r="BE171" s="137" t="str">
        <f>IF(OR(AE171="",AP171="-"),"",IF(AE171&lt;=0.25,"Tipo 1 (≤0,25) uT",IF(AE171&lt;=0.5,"Tipo 2 (0,25-0,50) uT",IF(AE171&lt;=0.75,"Tipo 3 (0,50-0,75) uT","Tipo 4 (&gt;0,75) uT"))))</f>
        <v>Tipo 4 (&gt;0,75) uT</v>
      </c>
      <c r="BF171" s="137" t="str">
        <f>IF(OR(AP171="",AP171="-"),"",IF(AP171&lt;=0.25,"Tipo 1 (≤0,25) uT",IF(AP171&lt;=0.5,"Tipo 2 (0,25-0,50) uT",IF(AP171&lt;=0.75,"Tipo 3 (0,50-0,75) uT","Tipo 4 (&gt;0,75) uT"))))</f>
        <v>Tipo 2 (0,25-0,50) uT</v>
      </c>
      <c r="BG171" s="137" t="str">
        <f>IF(OR(Q171="",Q171="-"),"",IF(Q171&lt;=0.25,"Tipo 1 (≤0,25) uT",IF(Q171&lt;=0.5,"Tipo 2 (0,25-0,50) uT",IF(Q171&lt;=0.75,"Tipo 3 (0,50-0,75) uT","Tipo 4 (&gt;0,75) uT"))))</f>
        <v>Tipo 3 (0,50-0,75) uT</v>
      </c>
    </row>
    <row r="172" spans="1:59" x14ac:dyDescent="0.3">
      <c r="A172" s="26">
        <v>46145</v>
      </c>
      <c r="B172" s="107">
        <v>0.97916666666666663</v>
      </c>
      <c r="C172" s="116">
        <v>1542</v>
      </c>
      <c r="D172" s="116">
        <v>80</v>
      </c>
      <c r="E172" s="116">
        <v>450</v>
      </c>
      <c r="F172" s="116">
        <v>2256</v>
      </c>
      <c r="G172" s="10" t="s">
        <v>100</v>
      </c>
      <c r="H172" s="122">
        <v>3.6</v>
      </c>
      <c r="I172" s="116">
        <v>90</v>
      </c>
      <c r="J172" s="116">
        <v>90</v>
      </c>
      <c r="K172" s="116">
        <v>90</v>
      </c>
      <c r="L172" s="122">
        <v>24.1</v>
      </c>
      <c r="M172" s="122">
        <v>6.7</v>
      </c>
      <c r="N172" s="79">
        <v>3.8</v>
      </c>
      <c r="O172" s="116">
        <v>16</v>
      </c>
      <c r="P172" s="122">
        <v>5.8</v>
      </c>
      <c r="Q172" s="79">
        <v>0.61</v>
      </c>
      <c r="R172" s="79">
        <v>22.36</v>
      </c>
      <c r="S172" s="79">
        <v>0.88</v>
      </c>
      <c r="T172" s="79">
        <v>0.7</v>
      </c>
      <c r="U172" s="85">
        <f t="shared" si="18"/>
        <v>1446.66</v>
      </c>
      <c r="V172" s="79">
        <f t="shared" si="19"/>
        <v>1534.0335140000002</v>
      </c>
      <c r="W172" s="79">
        <f t="shared" si="20"/>
        <v>1.0603967165747308</v>
      </c>
      <c r="X172" s="116">
        <v>3</v>
      </c>
      <c r="Y172" s="116">
        <v>4</v>
      </c>
      <c r="Z172" s="122">
        <v>6.5</v>
      </c>
      <c r="AA172" s="116">
        <v>19</v>
      </c>
      <c r="AB172" s="122">
        <v>6.6</v>
      </c>
      <c r="AC172" s="122">
        <v>5.5</v>
      </c>
      <c r="AD172" s="10">
        <v>0.68</v>
      </c>
      <c r="AE172" s="79">
        <v>1.45</v>
      </c>
      <c r="AF172" s="85">
        <f t="shared" si="21"/>
        <v>1446.66</v>
      </c>
      <c r="AG172" s="85">
        <f t="shared" si="22"/>
        <v>1839.2221353999998</v>
      </c>
      <c r="AH172" s="85">
        <f t="shared" si="23"/>
        <v>1.2713575652883191</v>
      </c>
      <c r="AI172" s="116">
        <v>3</v>
      </c>
      <c r="AJ172" s="116">
        <v>4</v>
      </c>
      <c r="AK172" s="79">
        <v>6.45</v>
      </c>
      <c r="AL172" s="79">
        <v>23</v>
      </c>
      <c r="AM172" s="122">
        <v>6.5</v>
      </c>
      <c r="AN172" s="122">
        <v>5.4</v>
      </c>
      <c r="AO172" s="79">
        <v>0.2</v>
      </c>
      <c r="AP172" s="127">
        <v>0.33</v>
      </c>
      <c r="AQ172" s="132">
        <f t="shared" si="14"/>
        <v>2072</v>
      </c>
      <c r="AR172" s="134">
        <f t="shared" si="15"/>
        <v>0.74420849420849422</v>
      </c>
      <c r="AS172" s="134">
        <f t="shared" si="16"/>
        <v>3.8610038610038609E-2</v>
      </c>
      <c r="AT172" s="134">
        <f t="shared" si="17"/>
        <v>0.21718146718146719</v>
      </c>
      <c r="AU172" s="43">
        <f>IF(AND(F172&lt;&gt;"",Y172&lt;&gt;""),AA172/(F172/2/Y172),"")</f>
        <v>6.7375886524822695E-2</v>
      </c>
      <c r="AV172" s="43">
        <f>IF(AND(F172&lt;&gt;"",AJ172&lt;&gt;""),AL172/(F172/2/AJ172),"")</f>
        <v>8.1560283687943269E-2</v>
      </c>
      <c r="AW172" s="41">
        <f>IF(AND(AP172&lt;&gt;"",1-(AP172/N172)&gt;0),1-(AP172/N172),"")</f>
        <v>0.91315789473684206</v>
      </c>
      <c r="AX172" s="41">
        <f>IF(AND(AE172&lt;&gt;"",1-(AE172/N172)&gt;0),1-(AE172/N172),"")</f>
        <v>0.61842105263157898</v>
      </c>
      <c r="AY172" s="136" t="str">
        <f>IF(P172="","",IF(P172&lt;2.5,"Alc. Bruta &lt; 2,5 mg/L",IF(P172&lt;5,"2,5 ≤ Alc. Bruta &lt; 5,0 mg/L",IF(P172&lt;7.5,"5,0 ≤ Alc. Bruta &lt; 7,5 mg/L",IF(P172&lt;10,"7,5 ≤ Alc. Bruta &lt; 10,0 mg/L",IF(P172&lt;15,"10,0 ≤ Alca. Bruta &lt; 15,0 mg/L","Alc. Bruta &gt; 15 mg/L"))))))</f>
        <v>5,0 ≤ Alc. Bruta &lt; 7,5 mg/L</v>
      </c>
      <c r="AZ172" s="136" t="str">
        <f>IF(O172="","",IF(O172&lt;5,"Cor &lt;5 uC",IF(O172&lt;10,"5 ≤ Cor &lt; 10 uC",IF(O172&lt;15,"10 ≤ Cor &lt;15 uC",IF(O172&lt;30,"15 ≤ Cor &lt; 30 uC",IF(O172&lt;50,"30 ≤ Cor &lt; 50 uC","Cor &gt; 50 uC"))))))</f>
        <v>15 ≤ Cor &lt; 30 uC</v>
      </c>
      <c r="BA172" s="137" t="str">
        <f>IF(N172="","",IF(N172&lt;2.5,"Turbidez &lt; 2,5 uT",IF(N172&lt;5,"2,5 ≤ Turb &lt; 5,0 uT",IF(N172&lt;7.5,"5,0 ≤ Turb &lt; 7,5 uT",IF(N172&lt;10,"7,5 ≤ Turb &lt; 10,0 uT",IF(N172&lt;15,"10,0 ≤ Turb &lt; 15,0 uT","Turb &gt; 15 uT"))))))</f>
        <v>2,5 ≤ Turb &lt; 5,0 uT</v>
      </c>
      <c r="BB172" s="138" t="str">
        <f>IF(AND(C172&gt;D172,D172&gt;E172),"TOR &gt; SM &gt; BNN",IF(AND(C172&gt;E172,E172&gt;D172),"TOR &gt; BNN &gt; SM",IF(AND(D172&gt;C172,C172&gt;E172),"SM &gt; TOR &gt; BNN",IF(AND(D172&gt;E172,E172&gt;C172),"SM &gt; BNN &gt; TOR",IF(AND(C172=D172,D172=E172),"TOR = SM = BNN","Comb. diferentes")))))</f>
        <v>TOR &gt; BNN &gt; SM</v>
      </c>
      <c r="BC172" s="137" t="str">
        <f>IF(OR(AD172="",AP172="-"),"",IF(AD172&lt;=0.25,"Tipo 1 (≤0,25) uT",IF(AD172&lt;=0.5,"Tipo 2 (0,25-0,50) uT",IF(AD172&lt;=0.75,"Tipo 3 (0,50-0,75) uT","Tipo 4 (&gt;0,75) uT"))))</f>
        <v>Tipo 3 (0,50-0,75) uT</v>
      </c>
      <c r="BD172" s="137" t="str">
        <f>IF(OR(AO172="",AY172="-"),"",IF(AO172&lt;=0.25,"Tipo 1 (≤0,25) uT",IF(AO172&lt;=0.5,"Tipo 2 (0,25-0,50) uT",IF(AO172&lt;=0.75,"Tipo 3 (0,50-0,75) uT","Tipo 4 (&gt;0,75) uT"))))</f>
        <v>Tipo 1 (≤0,25) uT</v>
      </c>
      <c r="BE172" s="137" t="str">
        <f>IF(OR(AE172="",AP172="-"),"",IF(AE172&lt;=0.25,"Tipo 1 (≤0,25) uT",IF(AE172&lt;=0.5,"Tipo 2 (0,25-0,50) uT",IF(AE172&lt;=0.75,"Tipo 3 (0,50-0,75) uT","Tipo 4 (&gt;0,75) uT"))))</f>
        <v>Tipo 4 (&gt;0,75) uT</v>
      </c>
      <c r="BF172" s="137" t="str">
        <f>IF(OR(AP172="",AP172="-"),"",IF(AP172&lt;=0.25,"Tipo 1 (≤0,25) uT",IF(AP172&lt;=0.5,"Tipo 2 (0,25-0,50) uT",IF(AP172&lt;=0.75,"Tipo 3 (0,50-0,75) uT","Tipo 4 (&gt;0,75) uT"))))</f>
        <v>Tipo 2 (0,25-0,50) uT</v>
      </c>
      <c r="BG172" s="137" t="str">
        <f>IF(OR(Q172="",Q172="-"),"",IF(Q172&lt;=0.25,"Tipo 1 (≤0,25) uT",IF(Q172&lt;=0.5,"Tipo 2 (0,25-0,50) uT",IF(Q172&lt;=0.75,"Tipo 3 (0,50-0,75) uT","Tipo 4 (&gt;0,75) uT"))))</f>
        <v>Tipo 3 (0,50-0,75) uT</v>
      </c>
    </row>
    <row r="173" spans="1:59" x14ac:dyDescent="0.3">
      <c r="A173" s="26">
        <v>46146</v>
      </c>
      <c r="B173" s="107">
        <v>6.25E-2</v>
      </c>
      <c r="C173" s="116">
        <v>1680</v>
      </c>
      <c r="D173" s="116">
        <v>88</v>
      </c>
      <c r="E173" s="116">
        <v>449</v>
      </c>
      <c r="F173" s="116">
        <v>2259</v>
      </c>
      <c r="G173" s="10" t="s">
        <v>34</v>
      </c>
      <c r="H173" s="122">
        <v>3.6</v>
      </c>
      <c r="I173" s="116">
        <v>90</v>
      </c>
      <c r="J173" s="116">
        <v>90</v>
      </c>
      <c r="K173" s="116">
        <v>90</v>
      </c>
      <c r="L173" s="122">
        <v>23.8</v>
      </c>
      <c r="M173" s="122">
        <v>6.7</v>
      </c>
      <c r="N173" s="79">
        <v>4.4400000000000004</v>
      </c>
      <c r="O173" s="116">
        <v>16</v>
      </c>
      <c r="P173" s="122">
        <v>5.3</v>
      </c>
      <c r="Q173" s="79">
        <v>0.64</v>
      </c>
      <c r="R173" s="79">
        <v>22.36</v>
      </c>
      <c r="S173" s="79">
        <v>0.88</v>
      </c>
      <c r="T173" s="79">
        <v>0.7</v>
      </c>
      <c r="U173" s="85">
        <f t="shared" si="18"/>
        <v>1629.30375</v>
      </c>
      <c r="V173" s="79">
        <f t="shared" si="19"/>
        <v>1611.6824151999999</v>
      </c>
      <c r="W173" s="79">
        <f t="shared" si="20"/>
        <v>0.98918474544724999</v>
      </c>
      <c r="X173" s="116">
        <v>3</v>
      </c>
      <c r="Y173" s="116">
        <v>4</v>
      </c>
      <c r="Z173" s="122">
        <v>6.49</v>
      </c>
      <c r="AA173" s="116">
        <v>20</v>
      </c>
      <c r="AB173" s="122">
        <v>6.5</v>
      </c>
      <c r="AC173" s="122">
        <v>5.2</v>
      </c>
      <c r="AD173" s="10">
        <v>0.84</v>
      </c>
      <c r="AE173" s="79">
        <v>1.56</v>
      </c>
      <c r="AF173" s="85">
        <f t="shared" si="21"/>
        <v>1629.30375</v>
      </c>
      <c r="AG173" s="85">
        <f t="shared" si="22"/>
        <v>1752.4586050399996</v>
      </c>
      <c r="AH173" s="85">
        <f t="shared" si="23"/>
        <v>1.0755874127460883</v>
      </c>
      <c r="AI173" s="116">
        <v>3</v>
      </c>
      <c r="AJ173" s="116">
        <v>4</v>
      </c>
      <c r="AK173" s="79">
        <v>6.43</v>
      </c>
      <c r="AL173" s="79">
        <v>22</v>
      </c>
      <c r="AM173" s="122">
        <v>6.5</v>
      </c>
      <c r="AN173" s="122">
        <v>4.9000000000000004</v>
      </c>
      <c r="AO173" s="79">
        <v>0.24</v>
      </c>
      <c r="AP173" s="127">
        <v>0.26</v>
      </c>
      <c r="AQ173" s="132">
        <f t="shared" si="14"/>
        <v>2217</v>
      </c>
      <c r="AR173" s="134">
        <f t="shared" si="15"/>
        <v>0.75778078484438427</v>
      </c>
      <c r="AS173" s="134">
        <f t="shared" si="16"/>
        <v>3.9693279206134413E-2</v>
      </c>
      <c r="AT173" s="134">
        <f t="shared" si="17"/>
        <v>0.20252593594948129</v>
      </c>
      <c r="AU173" s="43">
        <f>IF(AND(F173&lt;&gt;"",Y173&lt;&gt;""),AA173/(F173/2/Y173),"")</f>
        <v>7.0827799911465247E-2</v>
      </c>
      <c r="AV173" s="43">
        <f>IF(AND(F173&lt;&gt;"",AJ173&lt;&gt;""),AL173/(F173/2/AJ173),"")</f>
        <v>7.7910579902611771E-2</v>
      </c>
      <c r="AW173" s="41">
        <f>IF(AND(AP173&lt;&gt;"",1-(AP173/N173)&gt;0),1-(AP173/N173),"")</f>
        <v>0.94144144144144148</v>
      </c>
      <c r="AX173" s="41">
        <f>IF(AND(AE173&lt;&gt;"",1-(AE173/N173)&gt;0),1-(AE173/N173),"")</f>
        <v>0.64864864864864868</v>
      </c>
      <c r="AY173" s="136" t="str">
        <f>IF(P173="","",IF(P173&lt;2.5,"Alc. Bruta &lt; 2,5 mg/L",IF(P173&lt;5,"2,5 ≤ Alc. Bruta &lt; 5,0 mg/L",IF(P173&lt;7.5,"5,0 ≤ Alc. Bruta &lt; 7,5 mg/L",IF(P173&lt;10,"7,5 ≤ Alc. Bruta &lt; 10,0 mg/L",IF(P173&lt;15,"10,0 ≤ Alca. Bruta &lt; 15,0 mg/L","Alc. Bruta &gt; 15 mg/L"))))))</f>
        <v>5,0 ≤ Alc. Bruta &lt; 7,5 mg/L</v>
      </c>
      <c r="AZ173" s="136" t="str">
        <f>IF(O173="","",IF(O173&lt;5,"Cor &lt;5 uC",IF(O173&lt;10,"5 ≤ Cor &lt; 10 uC",IF(O173&lt;15,"10 ≤ Cor &lt;15 uC",IF(O173&lt;30,"15 ≤ Cor &lt; 30 uC",IF(O173&lt;50,"30 ≤ Cor &lt; 50 uC","Cor &gt; 50 uC"))))))</f>
        <v>15 ≤ Cor &lt; 30 uC</v>
      </c>
      <c r="BA173" s="137" t="str">
        <f>IF(N173="","",IF(N173&lt;2.5,"Turbidez &lt; 2,5 uT",IF(N173&lt;5,"2,5 ≤ Turb &lt; 5,0 uT",IF(N173&lt;7.5,"5,0 ≤ Turb &lt; 7,5 uT",IF(N173&lt;10,"7,5 ≤ Turb &lt; 10,0 uT",IF(N173&lt;15,"10,0 ≤ Turb &lt; 15,0 uT","Turb &gt; 15 uT"))))))</f>
        <v>2,5 ≤ Turb &lt; 5,0 uT</v>
      </c>
      <c r="BB173" s="138" t="str">
        <f>IF(AND(C173&gt;D173,D173&gt;E173),"TOR &gt; SM &gt; BNN",IF(AND(C173&gt;E173,E173&gt;D173),"TOR &gt; BNN &gt; SM",IF(AND(D173&gt;C173,C173&gt;E173),"SM &gt; TOR &gt; BNN",IF(AND(D173&gt;E173,E173&gt;C173),"SM &gt; BNN &gt; TOR",IF(AND(C173=D173,D173=E173),"TOR = SM = BNN","Comb. diferentes")))))</f>
        <v>TOR &gt; BNN &gt; SM</v>
      </c>
      <c r="BC173" s="137" t="str">
        <f>IF(OR(AD173="",AP173="-"),"",IF(AD173&lt;=0.25,"Tipo 1 (≤0,25) uT",IF(AD173&lt;=0.5,"Tipo 2 (0,25-0,50) uT",IF(AD173&lt;=0.75,"Tipo 3 (0,50-0,75) uT","Tipo 4 (&gt;0,75) uT"))))</f>
        <v>Tipo 4 (&gt;0,75) uT</v>
      </c>
      <c r="BD173" s="137" t="str">
        <f>IF(OR(AO173="",AY173="-"),"",IF(AO173&lt;=0.25,"Tipo 1 (≤0,25) uT",IF(AO173&lt;=0.5,"Tipo 2 (0,25-0,50) uT",IF(AO173&lt;=0.75,"Tipo 3 (0,50-0,75) uT","Tipo 4 (&gt;0,75) uT"))))</f>
        <v>Tipo 1 (≤0,25) uT</v>
      </c>
      <c r="BE173" s="137" t="str">
        <f>IF(OR(AE173="",AP173="-"),"",IF(AE173&lt;=0.25,"Tipo 1 (≤0,25) uT",IF(AE173&lt;=0.5,"Tipo 2 (0,25-0,50) uT",IF(AE173&lt;=0.75,"Tipo 3 (0,50-0,75) uT","Tipo 4 (&gt;0,75) uT"))))</f>
        <v>Tipo 4 (&gt;0,75) uT</v>
      </c>
      <c r="BF173" s="137" t="str">
        <f>IF(OR(AP173="",AP173="-"),"",IF(AP173&lt;=0.25,"Tipo 1 (≤0,25) uT",IF(AP173&lt;=0.5,"Tipo 2 (0,25-0,50) uT",IF(AP173&lt;=0.75,"Tipo 3 (0,50-0,75) uT","Tipo 4 (&gt;0,75) uT"))))</f>
        <v>Tipo 2 (0,25-0,50) uT</v>
      </c>
      <c r="BG173" s="137" t="str">
        <f>IF(OR(Q173="",Q173="-"),"",IF(Q173&lt;=0.25,"Tipo 1 (≤0,25) uT",IF(Q173&lt;=0.5,"Tipo 2 (0,25-0,50) uT",IF(Q173&lt;=0.75,"Tipo 3 (0,50-0,75) uT","Tipo 4 (&gt;0,75) uT"))))</f>
        <v>Tipo 3 (0,50-0,75) uT</v>
      </c>
    </row>
    <row r="174" spans="1:59" x14ac:dyDescent="0.3">
      <c r="A174" s="26">
        <v>46146</v>
      </c>
      <c r="B174" s="107">
        <v>0.14583333333333334</v>
      </c>
      <c r="C174" s="116">
        <v>1707</v>
      </c>
      <c r="D174" s="116">
        <v>90</v>
      </c>
      <c r="E174" s="116">
        <v>449</v>
      </c>
      <c r="F174" s="116">
        <v>2266</v>
      </c>
      <c r="G174" s="10" t="s">
        <v>100</v>
      </c>
      <c r="H174" s="122">
        <v>3.6</v>
      </c>
      <c r="I174" s="116">
        <v>90</v>
      </c>
      <c r="J174" s="116">
        <v>90</v>
      </c>
      <c r="K174" s="116">
        <v>90</v>
      </c>
      <c r="L174" s="122">
        <v>23.1</v>
      </c>
      <c r="M174" s="122">
        <v>6.6</v>
      </c>
      <c r="N174" s="79">
        <v>4.32</v>
      </c>
      <c r="O174" s="116">
        <v>18</v>
      </c>
      <c r="P174" s="122">
        <v>4.5999999999999996</v>
      </c>
      <c r="Q174" s="79">
        <v>0.99</v>
      </c>
      <c r="R174" s="79">
        <v>22.36</v>
      </c>
      <c r="S174" s="79">
        <v>0.88</v>
      </c>
      <c r="T174" s="79">
        <v>0.7</v>
      </c>
      <c r="U174" s="85">
        <f t="shared" si="18"/>
        <v>1600.3625000000002</v>
      </c>
      <c r="V174" s="79">
        <f t="shared" si="19"/>
        <v>1545.7743922399998</v>
      </c>
      <c r="W174" s="79">
        <f t="shared" si="20"/>
        <v>0.96589016066047506</v>
      </c>
      <c r="X174" s="116">
        <v>3</v>
      </c>
      <c r="Y174" s="116">
        <v>4</v>
      </c>
      <c r="Z174" s="122">
        <v>6.54</v>
      </c>
      <c r="AA174" s="116">
        <v>19</v>
      </c>
      <c r="AB174" s="122">
        <v>6.5</v>
      </c>
      <c r="AC174" s="122">
        <v>5</v>
      </c>
      <c r="AD174" s="10">
        <v>0.56999999999999995</v>
      </c>
      <c r="AE174" s="79">
        <v>2.15</v>
      </c>
      <c r="AF174" s="85">
        <f t="shared" si="21"/>
        <v>1600.3625000000002</v>
      </c>
      <c r="AG174" s="85">
        <f t="shared" si="22"/>
        <v>1793.0310486399997</v>
      </c>
      <c r="AH174" s="85">
        <f t="shared" si="23"/>
        <v>1.1203905669121836</v>
      </c>
      <c r="AI174" s="116">
        <v>3</v>
      </c>
      <c r="AJ174" s="116">
        <v>4</v>
      </c>
      <c r="AK174" s="79">
        <v>6.32</v>
      </c>
      <c r="AL174" s="79">
        <v>23</v>
      </c>
      <c r="AM174" s="122">
        <v>6.5</v>
      </c>
      <c r="AN174" s="122">
        <v>4.9000000000000004</v>
      </c>
      <c r="AO174" s="79">
        <v>0.36</v>
      </c>
      <c r="AP174" s="127">
        <v>0.33</v>
      </c>
      <c r="AQ174" s="132">
        <f t="shared" si="14"/>
        <v>2246</v>
      </c>
      <c r="AR174" s="134">
        <f t="shared" si="15"/>
        <v>0.76001780943900266</v>
      </c>
      <c r="AS174" s="134">
        <f t="shared" si="16"/>
        <v>4.0071237756010687E-2</v>
      </c>
      <c r="AT174" s="134">
        <f t="shared" si="17"/>
        <v>0.19991095280498664</v>
      </c>
      <c r="AU174" s="43">
        <f>IF(AND(F174&lt;&gt;"",Y174&lt;&gt;""),AA174/(F174/2/Y174),"")</f>
        <v>6.7078552515445714E-2</v>
      </c>
      <c r="AV174" s="43">
        <f>IF(AND(F174&lt;&gt;"",AJ174&lt;&gt;""),AL174/(F174/2/AJ174),"")</f>
        <v>8.1200353045013246E-2</v>
      </c>
      <c r="AW174" s="41">
        <f>IF(AND(AP174&lt;&gt;"",1-(AP174/N174)&gt;0),1-(AP174/N174),"")</f>
        <v>0.92361111111111116</v>
      </c>
      <c r="AX174" s="41">
        <f>IF(AND(AE174&lt;&gt;"",1-(AE174/N174)&gt;0),1-(AE174/N174),"")</f>
        <v>0.50231481481481488</v>
      </c>
      <c r="AY174" s="136" t="str">
        <f>IF(P174="","",IF(P174&lt;2.5,"Alc. Bruta &lt; 2,5 mg/L",IF(P174&lt;5,"2,5 ≤ Alc. Bruta &lt; 5,0 mg/L",IF(P174&lt;7.5,"5,0 ≤ Alc. Bruta &lt; 7,5 mg/L",IF(P174&lt;10,"7,5 ≤ Alc. Bruta &lt; 10,0 mg/L",IF(P174&lt;15,"10,0 ≤ Alca. Bruta &lt; 15,0 mg/L","Alc. Bruta &gt; 15 mg/L"))))))</f>
        <v>2,5 ≤ Alc. Bruta &lt; 5,0 mg/L</v>
      </c>
      <c r="AZ174" s="136" t="str">
        <f>IF(O174="","",IF(O174&lt;5,"Cor &lt;5 uC",IF(O174&lt;10,"5 ≤ Cor &lt; 10 uC",IF(O174&lt;15,"10 ≤ Cor &lt;15 uC",IF(O174&lt;30,"15 ≤ Cor &lt; 30 uC",IF(O174&lt;50,"30 ≤ Cor &lt; 50 uC","Cor &gt; 50 uC"))))))</f>
        <v>15 ≤ Cor &lt; 30 uC</v>
      </c>
      <c r="BA174" s="137" t="str">
        <f>IF(N174="","",IF(N174&lt;2.5,"Turbidez &lt; 2,5 uT",IF(N174&lt;5,"2,5 ≤ Turb &lt; 5,0 uT",IF(N174&lt;7.5,"5,0 ≤ Turb &lt; 7,5 uT",IF(N174&lt;10,"7,5 ≤ Turb &lt; 10,0 uT",IF(N174&lt;15,"10,0 ≤ Turb &lt; 15,0 uT","Turb &gt; 15 uT"))))))</f>
        <v>2,5 ≤ Turb &lt; 5,0 uT</v>
      </c>
      <c r="BB174" s="138" t="str">
        <f>IF(AND(C174&gt;D174,D174&gt;E174),"TOR &gt; SM &gt; BNN",IF(AND(C174&gt;E174,E174&gt;D174),"TOR &gt; BNN &gt; SM",IF(AND(D174&gt;C174,C174&gt;E174),"SM &gt; TOR &gt; BNN",IF(AND(D174&gt;E174,E174&gt;C174),"SM &gt; BNN &gt; TOR",IF(AND(C174=D174,D174=E174),"TOR = SM = BNN","Comb. diferentes")))))</f>
        <v>TOR &gt; BNN &gt; SM</v>
      </c>
      <c r="BC174" s="137" t="str">
        <f>IF(OR(AD174="",AP174="-"),"",IF(AD174&lt;=0.25,"Tipo 1 (≤0,25) uT",IF(AD174&lt;=0.5,"Tipo 2 (0,25-0,50) uT",IF(AD174&lt;=0.75,"Tipo 3 (0,50-0,75) uT","Tipo 4 (&gt;0,75) uT"))))</f>
        <v>Tipo 3 (0,50-0,75) uT</v>
      </c>
      <c r="BD174" s="137" t="str">
        <f>IF(OR(AO174="",AY174="-"),"",IF(AO174&lt;=0.25,"Tipo 1 (≤0,25) uT",IF(AO174&lt;=0.5,"Tipo 2 (0,25-0,50) uT",IF(AO174&lt;=0.75,"Tipo 3 (0,50-0,75) uT","Tipo 4 (&gt;0,75) uT"))))</f>
        <v>Tipo 2 (0,25-0,50) uT</v>
      </c>
      <c r="BE174" s="137" t="str">
        <f>IF(OR(AE174="",AP174="-"),"",IF(AE174&lt;=0.25,"Tipo 1 (≤0,25) uT",IF(AE174&lt;=0.5,"Tipo 2 (0,25-0,50) uT",IF(AE174&lt;=0.75,"Tipo 3 (0,50-0,75) uT","Tipo 4 (&gt;0,75) uT"))))</f>
        <v>Tipo 4 (&gt;0,75) uT</v>
      </c>
      <c r="BF174" s="137" t="str">
        <f>IF(OR(AP174="",AP174="-"),"",IF(AP174&lt;=0.25,"Tipo 1 (≤0,25) uT",IF(AP174&lt;=0.5,"Tipo 2 (0,25-0,50) uT",IF(AP174&lt;=0.75,"Tipo 3 (0,50-0,75) uT","Tipo 4 (&gt;0,75) uT"))))</f>
        <v>Tipo 2 (0,25-0,50) uT</v>
      </c>
      <c r="BG174" s="137" t="str">
        <f>IF(OR(Q174="",Q174="-"),"",IF(Q174&lt;=0.25,"Tipo 1 (≤0,25) uT",IF(Q174&lt;=0.5,"Tipo 2 (0,25-0,50) uT",IF(Q174&lt;=0.75,"Tipo 3 (0,50-0,75) uT","Tipo 4 (&gt;0,75) uT"))))</f>
        <v>Tipo 4 (&gt;0,75) uT</v>
      </c>
    </row>
    <row r="175" spans="1:59" ht="15" thickBot="1" x14ac:dyDescent="0.35">
      <c r="A175" s="26">
        <v>46146</v>
      </c>
      <c r="B175" s="110">
        <v>0.22916666666666666</v>
      </c>
      <c r="C175" s="117">
        <v>1695</v>
      </c>
      <c r="D175" s="117">
        <v>90</v>
      </c>
      <c r="E175" s="117">
        <v>449</v>
      </c>
      <c r="F175" s="117">
        <v>2250</v>
      </c>
      <c r="G175" s="11" t="s">
        <v>100</v>
      </c>
      <c r="H175" s="123">
        <v>3.9</v>
      </c>
      <c r="I175" s="117">
        <v>90</v>
      </c>
      <c r="J175" s="117">
        <v>90</v>
      </c>
      <c r="K175" s="117">
        <v>90</v>
      </c>
      <c r="L175" s="123">
        <v>23</v>
      </c>
      <c r="M175" s="123">
        <v>6.6</v>
      </c>
      <c r="N175" s="80">
        <v>3.66</v>
      </c>
      <c r="O175" s="117">
        <v>14</v>
      </c>
      <c r="P175" s="123">
        <v>4.7</v>
      </c>
      <c r="Q175" s="80">
        <v>0.43</v>
      </c>
      <c r="R175" s="79">
        <v>22.36</v>
      </c>
      <c r="S175" s="79">
        <v>0.88</v>
      </c>
      <c r="T175" s="79">
        <v>0.7</v>
      </c>
      <c r="U175" s="85">
        <f t="shared" si="18"/>
        <v>1428.75</v>
      </c>
      <c r="V175" s="79">
        <f t="shared" si="19"/>
        <v>1548.7096117999997</v>
      </c>
      <c r="W175" s="79">
        <f t="shared" si="20"/>
        <v>1.0839612331058617</v>
      </c>
      <c r="X175" s="117">
        <v>3</v>
      </c>
      <c r="Y175" s="117">
        <v>4</v>
      </c>
      <c r="Z175" s="123">
        <v>6.55</v>
      </c>
      <c r="AA175" s="117">
        <v>19</v>
      </c>
      <c r="AB175" s="123">
        <v>6.3</v>
      </c>
      <c r="AC175" s="123">
        <v>4</v>
      </c>
      <c r="AD175" s="11">
        <v>0.37</v>
      </c>
      <c r="AE175" s="80">
        <v>1.1100000000000001</v>
      </c>
      <c r="AF175" s="85">
        <f t="shared" si="21"/>
        <v>1428.75</v>
      </c>
      <c r="AG175" s="85">
        <f t="shared" si="22"/>
        <v>1803.6905301999996</v>
      </c>
      <c r="AH175" s="85">
        <f t="shared" si="23"/>
        <v>1.2624255679440066</v>
      </c>
      <c r="AI175" s="117">
        <v>3</v>
      </c>
      <c r="AJ175" s="117">
        <v>4</v>
      </c>
      <c r="AK175" s="80">
        <v>6.35</v>
      </c>
      <c r="AL175" s="80">
        <v>23</v>
      </c>
      <c r="AM175" s="123">
        <v>6.4</v>
      </c>
      <c r="AN175" s="123">
        <v>4.9000000000000004</v>
      </c>
      <c r="AO175" s="80">
        <v>0.21</v>
      </c>
      <c r="AP175" s="128">
        <v>0.21</v>
      </c>
      <c r="AQ175" s="132">
        <f t="shared" si="14"/>
        <v>2234</v>
      </c>
      <c r="AR175" s="134">
        <f t="shared" si="15"/>
        <v>0.75872873769024174</v>
      </c>
      <c r="AS175" s="134">
        <f t="shared" si="16"/>
        <v>4.0286481647269473E-2</v>
      </c>
      <c r="AT175" s="134">
        <f t="shared" si="17"/>
        <v>0.20098478066248882</v>
      </c>
      <c r="AU175" s="43">
        <f>IF(AND(F175&lt;&gt;"",Y175&lt;&gt;""),AA175/(F175/2/Y175),"")</f>
        <v>6.7555555555555549E-2</v>
      </c>
      <c r="AV175" s="43">
        <f>IF(AND(F175&lt;&gt;"",AJ175&lt;&gt;""),AL175/(F175/2/AJ175),"")</f>
        <v>8.1777777777777783E-2</v>
      </c>
      <c r="AW175" s="41">
        <f>IF(AND(AP175&lt;&gt;"",1-(AP175/N175)&gt;0),1-(AP175/N175),"")</f>
        <v>0.94262295081967218</v>
      </c>
      <c r="AX175" s="41">
        <f>IF(AND(AE175&lt;&gt;"",1-(AE175/N175)&gt;0),1-(AE175/N175),"")</f>
        <v>0.69672131147540983</v>
      </c>
      <c r="AY175" s="136" t="str">
        <f>IF(P175="","",IF(P175&lt;2.5,"Alc. Bruta &lt; 2,5 mg/L",IF(P175&lt;5,"2,5 ≤ Alc. Bruta &lt; 5,0 mg/L",IF(P175&lt;7.5,"5,0 ≤ Alc. Bruta &lt; 7,5 mg/L",IF(P175&lt;10,"7,5 ≤ Alc. Bruta &lt; 10,0 mg/L",IF(P175&lt;15,"10,0 ≤ Alca. Bruta &lt; 15,0 mg/L","Alc. Bruta &gt; 15 mg/L"))))))</f>
        <v>2,5 ≤ Alc. Bruta &lt; 5,0 mg/L</v>
      </c>
      <c r="AZ175" s="136" t="str">
        <f>IF(O175="","",IF(O175&lt;5,"Cor &lt;5 uC",IF(O175&lt;10,"5 ≤ Cor &lt; 10 uC",IF(O175&lt;15,"10 ≤ Cor &lt;15 uC",IF(O175&lt;30,"15 ≤ Cor &lt; 30 uC",IF(O175&lt;50,"30 ≤ Cor &lt; 50 uC","Cor &gt; 50 uC"))))))</f>
        <v>10 ≤ Cor &lt;15 uC</v>
      </c>
      <c r="BA175" s="137" t="str">
        <f>IF(N175="","",IF(N175&lt;2.5,"Turbidez &lt; 2,5 uT",IF(N175&lt;5,"2,5 ≤ Turb &lt; 5,0 uT",IF(N175&lt;7.5,"5,0 ≤ Turb &lt; 7,5 uT",IF(N175&lt;10,"7,5 ≤ Turb &lt; 10,0 uT",IF(N175&lt;15,"10,0 ≤ Turb &lt; 15,0 uT","Turb &gt; 15 uT"))))))</f>
        <v>2,5 ≤ Turb &lt; 5,0 uT</v>
      </c>
      <c r="BB175" s="138" t="str">
        <f>IF(AND(C175&gt;D175,D175&gt;E175),"TOR &gt; SM &gt; BNN",IF(AND(C175&gt;E175,E175&gt;D175),"TOR &gt; BNN &gt; SM",IF(AND(D175&gt;C175,C175&gt;E175),"SM &gt; TOR &gt; BNN",IF(AND(D175&gt;E175,E175&gt;C175),"SM &gt; BNN &gt; TOR",IF(AND(C175=D175,D175=E175),"TOR = SM = BNN","Comb. diferentes")))))</f>
        <v>TOR &gt; BNN &gt; SM</v>
      </c>
      <c r="BC175" s="137" t="str">
        <f>IF(OR(AD175="",AP175="-"),"",IF(AD175&lt;=0.25,"Tipo 1 (≤0,25) uT",IF(AD175&lt;=0.5,"Tipo 2 (0,25-0,50) uT",IF(AD175&lt;=0.75,"Tipo 3 (0,50-0,75) uT","Tipo 4 (&gt;0,75) uT"))))</f>
        <v>Tipo 2 (0,25-0,50) uT</v>
      </c>
      <c r="BD175" s="137" t="str">
        <f>IF(OR(AO175="",AY175="-"),"",IF(AO175&lt;=0.25,"Tipo 1 (≤0,25) uT",IF(AO175&lt;=0.5,"Tipo 2 (0,25-0,50) uT",IF(AO175&lt;=0.75,"Tipo 3 (0,50-0,75) uT","Tipo 4 (&gt;0,75) uT"))))</f>
        <v>Tipo 1 (≤0,25) uT</v>
      </c>
      <c r="BE175" s="137" t="str">
        <f>IF(OR(AE175="",AP175="-"),"",IF(AE175&lt;=0.25,"Tipo 1 (≤0,25) uT",IF(AE175&lt;=0.5,"Tipo 2 (0,25-0,50) uT",IF(AE175&lt;=0.75,"Tipo 3 (0,50-0,75) uT","Tipo 4 (&gt;0,75) uT"))))</f>
        <v>Tipo 4 (&gt;0,75) uT</v>
      </c>
      <c r="BF175" s="137" t="str">
        <f>IF(OR(AP175="",AP175="-"),"",IF(AP175&lt;=0.25,"Tipo 1 (≤0,25) uT",IF(AP175&lt;=0.5,"Tipo 2 (0,25-0,50) uT",IF(AP175&lt;=0.75,"Tipo 3 (0,50-0,75) uT","Tipo 4 (&gt;0,75) uT"))))</f>
        <v>Tipo 1 (≤0,25) uT</v>
      </c>
      <c r="BG175" s="137" t="str">
        <f>IF(OR(Q175="",Q175="-"),"",IF(Q175&lt;=0.25,"Tipo 1 (≤0,25) uT",IF(Q175&lt;=0.5,"Tipo 2 (0,25-0,50) uT",IF(Q175&lt;=0.75,"Tipo 3 (0,50-0,75) uT","Tipo 4 (&gt;0,75) uT"))))</f>
        <v>Tipo 2 (0,25-0,50) uT</v>
      </c>
    </row>
    <row r="176" spans="1:59" x14ac:dyDescent="0.3">
      <c r="A176" s="26">
        <v>46146</v>
      </c>
      <c r="B176" s="111">
        <v>0.3125</v>
      </c>
      <c r="C176" s="118">
        <v>570</v>
      </c>
      <c r="D176" s="116">
        <v>87</v>
      </c>
      <c r="E176" s="118">
        <v>516</v>
      </c>
      <c r="F176" s="118">
        <v>1307</v>
      </c>
      <c r="G176" s="9" t="s">
        <v>100</v>
      </c>
      <c r="H176" s="124">
        <v>3.9</v>
      </c>
      <c r="I176" s="118">
        <v>90</v>
      </c>
      <c r="J176" s="118">
        <v>90</v>
      </c>
      <c r="K176" s="118">
        <v>90</v>
      </c>
      <c r="L176" s="124">
        <v>23.1</v>
      </c>
      <c r="M176" s="124">
        <v>6.8</v>
      </c>
      <c r="N176" s="81">
        <v>3.61</v>
      </c>
      <c r="O176" s="118">
        <v>16</v>
      </c>
      <c r="P176" s="124">
        <v>5.8</v>
      </c>
      <c r="Q176" s="81">
        <v>0.17</v>
      </c>
      <c r="R176" s="79">
        <v>22.36</v>
      </c>
      <c r="S176" s="79">
        <v>0.88</v>
      </c>
      <c r="T176" s="79">
        <v>0.7</v>
      </c>
      <c r="U176" s="85">
        <f t="shared" si="18"/>
        <v>1095.7016666666666</v>
      </c>
      <c r="V176" s="79">
        <f t="shared" si="19"/>
        <v>1547.2151185919997</v>
      </c>
      <c r="W176" s="79">
        <f t="shared" si="20"/>
        <v>1.4120769965595865</v>
      </c>
      <c r="X176" s="118">
        <v>1</v>
      </c>
      <c r="Y176" s="118">
        <v>3</v>
      </c>
      <c r="Z176" s="124">
        <v>6.49</v>
      </c>
      <c r="AA176" s="118">
        <v>19.2</v>
      </c>
      <c r="AB176" s="124">
        <v>6.5</v>
      </c>
      <c r="AC176" s="124">
        <v>6</v>
      </c>
      <c r="AD176" s="9">
        <v>1.18</v>
      </c>
      <c r="AE176" s="81">
        <v>1.01</v>
      </c>
      <c r="AF176" s="85">
        <f t="shared" si="21"/>
        <v>1095.7016666666666</v>
      </c>
      <c r="AG176" s="85">
        <f t="shared" si="22"/>
        <v>1868.6304076439999</v>
      </c>
      <c r="AH176" s="85">
        <f t="shared" si="23"/>
        <v>1.705418969863147</v>
      </c>
      <c r="AI176" s="118">
        <v>1</v>
      </c>
      <c r="AJ176" s="118">
        <v>3</v>
      </c>
      <c r="AK176" s="81">
        <v>6.51</v>
      </c>
      <c r="AL176" s="81">
        <v>23.1</v>
      </c>
      <c r="AM176" s="124">
        <v>6.4</v>
      </c>
      <c r="AN176" s="124">
        <v>5.9</v>
      </c>
      <c r="AO176" s="81">
        <v>0.21</v>
      </c>
      <c r="AP176" s="129">
        <v>0.4</v>
      </c>
      <c r="AQ176" s="132">
        <f t="shared" si="14"/>
        <v>1173</v>
      </c>
      <c r="AR176" s="134">
        <f t="shared" si="15"/>
        <v>0.48593350383631712</v>
      </c>
      <c r="AS176" s="134">
        <f t="shared" si="16"/>
        <v>7.4168797953964194E-2</v>
      </c>
      <c r="AT176" s="134">
        <f t="shared" si="17"/>
        <v>0.43989769820971869</v>
      </c>
      <c r="AU176" s="43">
        <f>IF(AND(F176&lt;&gt;"",Y176&lt;&gt;""),AA176/(F176/2/Y176),"")</f>
        <v>8.8140780413159897E-2</v>
      </c>
      <c r="AV176" s="43">
        <f>IF(AND(F176&lt;&gt;"",AJ176&lt;&gt;""),AL176/(F176/2/AJ176),"")</f>
        <v>0.10604437643458302</v>
      </c>
      <c r="AW176" s="41">
        <f>IF(AND(AP176&lt;&gt;"",1-(AP176/N176)&gt;0),1-(AP176/N176),"")</f>
        <v>0.88919667590027696</v>
      </c>
      <c r="AX176" s="41">
        <f>IF(AND(AE176&lt;&gt;"",1-(AE176/N176)&gt;0),1-(AE176/N176),"")</f>
        <v>0.72022160664819945</v>
      </c>
      <c r="AY176" s="136" t="str">
        <f>IF(P176="","",IF(P176&lt;2.5,"Alc. Bruta &lt; 2,5 mg/L",IF(P176&lt;5,"2,5 ≤ Alc. Bruta &lt; 5,0 mg/L",IF(P176&lt;7.5,"5,0 ≤ Alc. Bruta &lt; 7,5 mg/L",IF(P176&lt;10,"7,5 ≤ Alc. Bruta &lt; 10,0 mg/L",IF(P176&lt;15,"10,0 ≤ Alca. Bruta &lt; 15,0 mg/L","Alc. Bruta &gt; 15 mg/L"))))))</f>
        <v>5,0 ≤ Alc. Bruta &lt; 7,5 mg/L</v>
      </c>
      <c r="AZ176" s="136" t="str">
        <f>IF(O176="","",IF(O176&lt;5,"Cor &lt;5 uC",IF(O176&lt;10,"5 ≤ Cor &lt; 10 uC",IF(O176&lt;15,"10 ≤ Cor &lt;15 uC",IF(O176&lt;30,"15 ≤ Cor &lt; 30 uC",IF(O176&lt;50,"30 ≤ Cor &lt; 50 uC","Cor &gt; 50 uC"))))))</f>
        <v>15 ≤ Cor &lt; 30 uC</v>
      </c>
      <c r="BA176" s="137" t="str">
        <f>IF(N176="","",IF(N176&lt;2.5,"Turbidez &lt; 2,5 uT",IF(N176&lt;5,"2,5 ≤ Turb &lt; 5,0 uT",IF(N176&lt;7.5,"5,0 ≤ Turb &lt; 7,5 uT",IF(N176&lt;10,"7,5 ≤ Turb &lt; 10,0 uT",IF(N176&lt;15,"10,0 ≤ Turb &lt; 15,0 uT","Turb &gt; 15 uT"))))))</f>
        <v>2,5 ≤ Turb &lt; 5,0 uT</v>
      </c>
      <c r="BB176" s="138" t="str">
        <f>IF(AND(C176&gt;D176,D176&gt;E176),"TOR &gt; SM &gt; BNN",IF(AND(C176&gt;E176,E176&gt;D176),"TOR &gt; BNN &gt; SM",IF(AND(D176&gt;C176,C176&gt;E176),"SM &gt; TOR &gt; BNN",IF(AND(D176&gt;E176,E176&gt;C176),"SM &gt; BNN &gt; TOR",IF(AND(C176=D176,D176=E176),"TOR = SM = BNN","Comb. diferentes")))))</f>
        <v>TOR &gt; BNN &gt; SM</v>
      </c>
      <c r="BC176" s="137" t="str">
        <f>IF(OR(AD176="",AP176="-"),"",IF(AD176&lt;=0.25,"Tipo 1 (≤0,25) uT",IF(AD176&lt;=0.5,"Tipo 2 (0,25-0,50) uT",IF(AD176&lt;=0.75,"Tipo 3 (0,50-0,75) uT","Tipo 4 (&gt;0,75) uT"))))</f>
        <v>Tipo 4 (&gt;0,75) uT</v>
      </c>
      <c r="BD176" s="137" t="str">
        <f>IF(OR(AO176="",AY176="-"),"",IF(AO176&lt;=0.25,"Tipo 1 (≤0,25) uT",IF(AO176&lt;=0.5,"Tipo 2 (0,25-0,50) uT",IF(AO176&lt;=0.75,"Tipo 3 (0,50-0,75) uT","Tipo 4 (&gt;0,75) uT"))))</f>
        <v>Tipo 1 (≤0,25) uT</v>
      </c>
      <c r="BE176" s="137" t="str">
        <f>IF(OR(AE176="",AP176="-"),"",IF(AE176&lt;=0.25,"Tipo 1 (≤0,25) uT",IF(AE176&lt;=0.5,"Tipo 2 (0,25-0,50) uT",IF(AE176&lt;=0.75,"Tipo 3 (0,50-0,75) uT","Tipo 4 (&gt;0,75) uT"))))</f>
        <v>Tipo 4 (&gt;0,75) uT</v>
      </c>
      <c r="BF176" s="137" t="str">
        <f>IF(OR(AP176="",AP176="-"),"",IF(AP176&lt;=0.25,"Tipo 1 (≤0,25) uT",IF(AP176&lt;=0.5,"Tipo 2 (0,25-0,50) uT",IF(AP176&lt;=0.75,"Tipo 3 (0,50-0,75) uT","Tipo 4 (&gt;0,75) uT"))))</f>
        <v>Tipo 2 (0,25-0,50) uT</v>
      </c>
      <c r="BG176" s="137" t="str">
        <f>IF(OR(Q176="",Q176="-"),"",IF(Q176&lt;=0.25,"Tipo 1 (≤0,25) uT",IF(Q176&lt;=0.5,"Tipo 2 (0,25-0,50) uT",IF(Q176&lt;=0.75,"Tipo 3 (0,50-0,75) uT","Tipo 4 (&gt;0,75) uT"))))</f>
        <v>Tipo 1 (≤0,25) uT</v>
      </c>
    </row>
    <row r="177" spans="1:59" x14ac:dyDescent="0.3">
      <c r="A177" s="26">
        <v>46146</v>
      </c>
      <c r="B177" s="107">
        <v>0.39583333333333331</v>
      </c>
      <c r="C177" s="116">
        <v>1100</v>
      </c>
      <c r="D177" s="116">
        <v>89</v>
      </c>
      <c r="E177" s="116">
        <v>456</v>
      </c>
      <c r="F177" s="116">
        <v>1881</v>
      </c>
      <c r="G177" s="10" t="s">
        <v>100</v>
      </c>
      <c r="H177" s="122">
        <v>3.9</v>
      </c>
      <c r="I177" s="116">
        <v>90</v>
      </c>
      <c r="J177" s="116">
        <v>90</v>
      </c>
      <c r="K177" s="116">
        <v>90</v>
      </c>
      <c r="L177" s="122">
        <v>23.4</v>
      </c>
      <c r="M177" s="122">
        <v>6.8</v>
      </c>
      <c r="N177" s="79">
        <v>4.0999999999999996</v>
      </c>
      <c r="O177" s="116">
        <v>17</v>
      </c>
      <c r="P177" s="122">
        <v>6.9</v>
      </c>
      <c r="Q177" s="79">
        <v>0.38</v>
      </c>
      <c r="R177" s="79">
        <v>22.36</v>
      </c>
      <c r="S177" s="79">
        <v>0.88</v>
      </c>
      <c r="T177" s="79">
        <v>0.7</v>
      </c>
      <c r="U177" s="85">
        <f t="shared" si="18"/>
        <v>2595.7799999999997</v>
      </c>
      <c r="V177" s="79">
        <f t="shared" si="19"/>
        <v>1566.8364479039997</v>
      </c>
      <c r="W177" s="79">
        <f t="shared" si="20"/>
        <v>0.60360910705221549</v>
      </c>
      <c r="X177" s="116">
        <v>2</v>
      </c>
      <c r="Y177" s="116">
        <v>2</v>
      </c>
      <c r="Z177" s="122">
        <v>6.64</v>
      </c>
      <c r="AA177" s="116">
        <v>18.899999999999999</v>
      </c>
      <c r="AB177" s="122">
        <v>6.6</v>
      </c>
      <c r="AC177" s="122">
        <v>6.3</v>
      </c>
      <c r="AD177" s="10">
        <v>0.35</v>
      </c>
      <c r="AE177" s="79">
        <v>1.26</v>
      </c>
      <c r="AF177" s="85">
        <f t="shared" si="21"/>
        <v>2595.7799999999997</v>
      </c>
      <c r="AG177" s="85">
        <f t="shared" si="22"/>
        <v>1815.101271984</v>
      </c>
      <c r="AH177" s="85">
        <f t="shared" si="23"/>
        <v>0.69925081169590653</v>
      </c>
      <c r="AI177" s="116">
        <v>2</v>
      </c>
      <c r="AJ177" s="116">
        <v>2</v>
      </c>
      <c r="AK177" s="79">
        <v>6.36</v>
      </c>
      <c r="AL177" s="79">
        <v>23.1</v>
      </c>
      <c r="AM177" s="122">
        <v>6.6</v>
      </c>
      <c r="AN177" s="122">
        <v>6.8</v>
      </c>
      <c r="AO177" s="79">
        <v>0.31</v>
      </c>
      <c r="AP177" s="127">
        <v>0.42</v>
      </c>
      <c r="AQ177" s="132">
        <f t="shared" si="14"/>
        <v>1645</v>
      </c>
      <c r="AR177" s="134">
        <f t="shared" si="15"/>
        <v>0.66869300911854102</v>
      </c>
      <c r="AS177" s="134">
        <f t="shared" si="16"/>
        <v>5.410334346504559E-2</v>
      </c>
      <c r="AT177" s="134">
        <f t="shared" si="17"/>
        <v>0.2772036474164134</v>
      </c>
      <c r="AU177" s="43">
        <f>IF(AND(F177&lt;&gt;"",Y177&lt;&gt;""),AA177/(F177/2/Y177),"")</f>
        <v>4.0191387559808611E-2</v>
      </c>
      <c r="AV177" s="43">
        <f>IF(AND(F177&lt;&gt;"",AJ177&lt;&gt;""),AL177/(F177/2/AJ177),"")</f>
        <v>4.912280701754386E-2</v>
      </c>
      <c r="AW177" s="41">
        <f>IF(AND(AP177&lt;&gt;"",1-(AP177/N177)&gt;0),1-(AP177/N177),"")</f>
        <v>0.89756097560975612</v>
      </c>
      <c r="AX177" s="41">
        <f>IF(AND(AE177&lt;&gt;"",1-(AE177/N177)&gt;0),1-(AE177/N177),"")</f>
        <v>0.69268292682926824</v>
      </c>
      <c r="AY177" s="136" t="str">
        <f>IF(P177="","",IF(P177&lt;2.5,"Alc. Bruta &lt; 2,5 mg/L",IF(P177&lt;5,"2,5 ≤ Alc. Bruta &lt; 5,0 mg/L",IF(P177&lt;7.5,"5,0 ≤ Alc. Bruta &lt; 7,5 mg/L",IF(P177&lt;10,"7,5 ≤ Alc. Bruta &lt; 10,0 mg/L",IF(P177&lt;15,"10,0 ≤ Alca. Bruta &lt; 15,0 mg/L","Alc. Bruta &gt; 15 mg/L"))))))</f>
        <v>5,0 ≤ Alc. Bruta &lt; 7,5 mg/L</v>
      </c>
      <c r="AZ177" s="136" t="str">
        <f>IF(O177="","",IF(O177&lt;5,"Cor &lt;5 uC",IF(O177&lt;10,"5 ≤ Cor &lt; 10 uC",IF(O177&lt;15,"10 ≤ Cor &lt;15 uC",IF(O177&lt;30,"15 ≤ Cor &lt; 30 uC",IF(O177&lt;50,"30 ≤ Cor &lt; 50 uC","Cor &gt; 50 uC"))))))</f>
        <v>15 ≤ Cor &lt; 30 uC</v>
      </c>
      <c r="BA177" s="137" t="str">
        <f>IF(N177="","",IF(N177&lt;2.5,"Turbidez &lt; 2,5 uT",IF(N177&lt;5,"2,5 ≤ Turb &lt; 5,0 uT",IF(N177&lt;7.5,"5,0 ≤ Turb &lt; 7,5 uT",IF(N177&lt;10,"7,5 ≤ Turb &lt; 10,0 uT",IF(N177&lt;15,"10,0 ≤ Turb &lt; 15,0 uT","Turb &gt; 15 uT"))))))</f>
        <v>2,5 ≤ Turb &lt; 5,0 uT</v>
      </c>
      <c r="BB177" s="138" t="str">
        <f>IF(AND(C177&gt;D177,D177&gt;E177),"TOR &gt; SM &gt; BNN",IF(AND(C177&gt;E177,E177&gt;D177),"TOR &gt; BNN &gt; SM",IF(AND(D177&gt;C177,C177&gt;E177),"SM &gt; TOR &gt; BNN",IF(AND(D177&gt;E177,E177&gt;C177),"SM &gt; BNN &gt; TOR",IF(AND(C177=D177,D177=E177),"TOR = SM = BNN","Comb. diferentes")))))</f>
        <v>TOR &gt; BNN &gt; SM</v>
      </c>
      <c r="BC177" s="137" t="str">
        <f>IF(OR(AD177="",AP177="-"),"",IF(AD177&lt;=0.25,"Tipo 1 (≤0,25) uT",IF(AD177&lt;=0.5,"Tipo 2 (0,25-0,50) uT",IF(AD177&lt;=0.75,"Tipo 3 (0,50-0,75) uT","Tipo 4 (&gt;0,75) uT"))))</f>
        <v>Tipo 2 (0,25-0,50) uT</v>
      </c>
      <c r="BD177" s="137" t="str">
        <f>IF(OR(AO177="",AY177="-"),"",IF(AO177&lt;=0.25,"Tipo 1 (≤0,25) uT",IF(AO177&lt;=0.5,"Tipo 2 (0,25-0,50) uT",IF(AO177&lt;=0.75,"Tipo 3 (0,50-0,75) uT","Tipo 4 (&gt;0,75) uT"))))</f>
        <v>Tipo 2 (0,25-0,50) uT</v>
      </c>
      <c r="BE177" s="137" t="str">
        <f>IF(OR(AE177="",AP177="-"),"",IF(AE177&lt;=0.25,"Tipo 1 (≤0,25) uT",IF(AE177&lt;=0.5,"Tipo 2 (0,25-0,50) uT",IF(AE177&lt;=0.75,"Tipo 3 (0,50-0,75) uT","Tipo 4 (&gt;0,75) uT"))))</f>
        <v>Tipo 4 (&gt;0,75) uT</v>
      </c>
      <c r="BF177" s="137" t="str">
        <f>IF(OR(AP177="",AP177="-"),"",IF(AP177&lt;=0.25,"Tipo 1 (≤0,25) uT",IF(AP177&lt;=0.5,"Tipo 2 (0,25-0,50) uT",IF(AP177&lt;=0.75,"Tipo 3 (0,50-0,75) uT","Tipo 4 (&gt;0,75) uT"))))</f>
        <v>Tipo 2 (0,25-0,50) uT</v>
      </c>
      <c r="BG177" s="137" t="str">
        <f>IF(OR(Q177="",Q177="-"),"",IF(Q177&lt;=0.25,"Tipo 1 (≤0,25) uT",IF(Q177&lt;=0.5,"Tipo 2 (0,25-0,50) uT",IF(Q177&lt;=0.75,"Tipo 3 (0,50-0,75) uT","Tipo 4 (&gt;0,75) uT"))))</f>
        <v>Tipo 2 (0,25-0,50) uT</v>
      </c>
    </row>
    <row r="178" spans="1:59" x14ac:dyDescent="0.3">
      <c r="A178" s="26">
        <v>46146</v>
      </c>
      <c r="B178" s="107">
        <v>0.47916666666666669</v>
      </c>
      <c r="C178" s="116">
        <v>1200</v>
      </c>
      <c r="D178" s="116">
        <v>85</v>
      </c>
      <c r="E178" s="116">
        <v>453</v>
      </c>
      <c r="F178" s="116">
        <v>1870</v>
      </c>
      <c r="G178" s="10" t="s">
        <v>100</v>
      </c>
      <c r="H178" s="122">
        <v>3.9</v>
      </c>
      <c r="I178" s="116">
        <v>90</v>
      </c>
      <c r="J178" s="116">
        <v>90</v>
      </c>
      <c r="K178" s="116">
        <v>90</v>
      </c>
      <c r="L178" s="122">
        <v>23.7</v>
      </c>
      <c r="M178" s="122">
        <v>6.7</v>
      </c>
      <c r="N178" s="79">
        <v>4.74</v>
      </c>
      <c r="O178" s="116">
        <v>16</v>
      </c>
      <c r="P178" s="122">
        <v>6.1</v>
      </c>
      <c r="Q178" s="79">
        <v>0.37</v>
      </c>
      <c r="R178" s="79">
        <v>22.36</v>
      </c>
      <c r="S178" s="79">
        <v>0.88</v>
      </c>
      <c r="T178" s="79">
        <v>0.7</v>
      </c>
      <c r="U178" s="85">
        <f t="shared" si="18"/>
        <v>2879.8</v>
      </c>
      <c r="V178" s="79">
        <f t="shared" si="19"/>
        <v>1542.83917268</v>
      </c>
      <c r="W178" s="79">
        <f t="shared" si="20"/>
        <v>0.53574525060073619</v>
      </c>
      <c r="X178" s="116">
        <v>2</v>
      </c>
      <c r="Y178" s="116">
        <v>2</v>
      </c>
      <c r="Z178" s="122">
        <v>6.53</v>
      </c>
      <c r="AA178" s="116">
        <v>19</v>
      </c>
      <c r="AB178" s="122">
        <v>6.6</v>
      </c>
      <c r="AC178" s="122">
        <v>6.1</v>
      </c>
      <c r="AD178" s="10">
        <v>0.81</v>
      </c>
      <c r="AE178" s="79">
        <v>1.47</v>
      </c>
      <c r="AF178" s="85">
        <f t="shared" si="21"/>
        <v>1439.9</v>
      </c>
      <c r="AG178" s="85">
        <f t="shared" si="22"/>
        <v>1899.5183305280002</v>
      </c>
      <c r="AH178" s="85">
        <f t="shared" si="23"/>
        <v>1.3192015629752067</v>
      </c>
      <c r="AI178" s="116">
        <v>2</v>
      </c>
      <c r="AJ178" s="116">
        <v>4</v>
      </c>
      <c r="AK178" s="79">
        <v>6.44</v>
      </c>
      <c r="AL178" s="79">
        <v>23.8</v>
      </c>
      <c r="AM178" s="122">
        <v>6.6</v>
      </c>
      <c r="AN178" s="122">
        <v>5.3</v>
      </c>
      <c r="AO178" s="79">
        <v>0.37</v>
      </c>
      <c r="AP178" s="127">
        <v>0.39</v>
      </c>
      <c r="AQ178" s="132">
        <f t="shared" si="14"/>
        <v>1738</v>
      </c>
      <c r="AR178" s="134">
        <f t="shared" si="15"/>
        <v>0.69044879171461448</v>
      </c>
      <c r="AS178" s="134">
        <f t="shared" si="16"/>
        <v>4.8906789413118525E-2</v>
      </c>
      <c r="AT178" s="134">
        <f t="shared" si="17"/>
        <v>0.26064441887226697</v>
      </c>
      <c r="AU178" s="43">
        <f>IF(AND(F178&lt;&gt;"",Y178&lt;&gt;""),AA178/(F178/2/Y178),"")</f>
        <v>4.0641711229946524E-2</v>
      </c>
      <c r="AV178" s="43">
        <f>IF(AND(F178&lt;&gt;"",AJ178&lt;&gt;""),AL178/(F178/2/AJ178),"")</f>
        <v>0.10181818181818182</v>
      </c>
      <c r="AW178" s="41">
        <f>IF(AND(AP178&lt;&gt;"",1-(AP178/N178)&gt;0),1-(AP178/N178),"")</f>
        <v>0.91772151898734178</v>
      </c>
      <c r="AX178" s="41">
        <f>IF(AND(AE178&lt;&gt;"",1-(AE178/N178)&gt;0),1-(AE178/N178),"")</f>
        <v>0.689873417721519</v>
      </c>
      <c r="AY178" s="136" t="str">
        <f>IF(P178="","",IF(P178&lt;2.5,"Alc. Bruta &lt; 2,5 mg/L",IF(P178&lt;5,"2,5 ≤ Alc. Bruta &lt; 5,0 mg/L",IF(P178&lt;7.5,"5,0 ≤ Alc. Bruta &lt; 7,5 mg/L",IF(P178&lt;10,"7,5 ≤ Alc. Bruta &lt; 10,0 mg/L",IF(P178&lt;15,"10,0 ≤ Alca. Bruta &lt; 15,0 mg/L","Alc. Bruta &gt; 15 mg/L"))))))</f>
        <v>5,0 ≤ Alc. Bruta &lt; 7,5 mg/L</v>
      </c>
      <c r="AZ178" s="136" t="str">
        <f>IF(O178="","",IF(O178&lt;5,"Cor &lt;5 uC",IF(O178&lt;10,"5 ≤ Cor &lt; 10 uC",IF(O178&lt;15,"10 ≤ Cor &lt;15 uC",IF(O178&lt;30,"15 ≤ Cor &lt; 30 uC",IF(O178&lt;50,"30 ≤ Cor &lt; 50 uC","Cor &gt; 50 uC"))))))</f>
        <v>15 ≤ Cor &lt; 30 uC</v>
      </c>
      <c r="BA178" s="137" t="str">
        <f>IF(N178="","",IF(N178&lt;2.5,"Turbidez &lt; 2,5 uT",IF(N178&lt;5,"2,5 ≤ Turb &lt; 5,0 uT",IF(N178&lt;7.5,"5,0 ≤ Turb &lt; 7,5 uT",IF(N178&lt;10,"7,5 ≤ Turb &lt; 10,0 uT",IF(N178&lt;15,"10,0 ≤ Turb &lt; 15,0 uT","Turb &gt; 15 uT"))))))</f>
        <v>2,5 ≤ Turb &lt; 5,0 uT</v>
      </c>
      <c r="BB178" s="138" t="str">
        <f>IF(AND(C178&gt;D178,D178&gt;E178),"TOR &gt; SM &gt; BNN",IF(AND(C178&gt;E178,E178&gt;D178),"TOR &gt; BNN &gt; SM",IF(AND(D178&gt;C178,C178&gt;E178),"SM &gt; TOR &gt; BNN",IF(AND(D178&gt;E178,E178&gt;C178),"SM &gt; BNN &gt; TOR",IF(AND(C178=D178,D178=E178),"TOR = SM = BNN","Comb. diferentes")))))</f>
        <v>TOR &gt; BNN &gt; SM</v>
      </c>
      <c r="BC178" s="137" t="str">
        <f>IF(OR(AD178="",AP178="-"),"",IF(AD178&lt;=0.25,"Tipo 1 (≤0,25) uT",IF(AD178&lt;=0.5,"Tipo 2 (0,25-0,50) uT",IF(AD178&lt;=0.75,"Tipo 3 (0,50-0,75) uT","Tipo 4 (&gt;0,75) uT"))))</f>
        <v>Tipo 4 (&gt;0,75) uT</v>
      </c>
      <c r="BD178" s="137" t="str">
        <f>IF(OR(AO178="",AY178="-"),"",IF(AO178&lt;=0.25,"Tipo 1 (≤0,25) uT",IF(AO178&lt;=0.5,"Tipo 2 (0,25-0,50) uT",IF(AO178&lt;=0.75,"Tipo 3 (0,50-0,75) uT","Tipo 4 (&gt;0,75) uT"))))</f>
        <v>Tipo 2 (0,25-0,50) uT</v>
      </c>
      <c r="BE178" s="137" t="str">
        <f>IF(OR(AE178="",AP178="-"),"",IF(AE178&lt;=0.25,"Tipo 1 (≤0,25) uT",IF(AE178&lt;=0.5,"Tipo 2 (0,25-0,50) uT",IF(AE178&lt;=0.75,"Tipo 3 (0,50-0,75) uT","Tipo 4 (&gt;0,75) uT"))))</f>
        <v>Tipo 4 (&gt;0,75) uT</v>
      </c>
      <c r="BF178" s="137" t="str">
        <f>IF(OR(AP178="",AP178="-"),"",IF(AP178&lt;=0.25,"Tipo 1 (≤0,25) uT",IF(AP178&lt;=0.5,"Tipo 2 (0,25-0,50) uT",IF(AP178&lt;=0.75,"Tipo 3 (0,50-0,75) uT","Tipo 4 (&gt;0,75) uT"))))</f>
        <v>Tipo 2 (0,25-0,50) uT</v>
      </c>
      <c r="BG178" s="137" t="str">
        <f>IF(OR(Q178="",Q178="-"),"",IF(Q178&lt;=0.25,"Tipo 1 (≤0,25) uT",IF(Q178&lt;=0.5,"Tipo 2 (0,25-0,50) uT",IF(Q178&lt;=0.75,"Tipo 3 (0,50-0,75) uT","Tipo 4 (&gt;0,75) uT"))))</f>
        <v>Tipo 2 (0,25-0,50) uT</v>
      </c>
    </row>
    <row r="179" spans="1:59" x14ac:dyDescent="0.3">
      <c r="A179" s="26">
        <v>46146</v>
      </c>
      <c r="B179" s="107">
        <v>0.64583333333333337</v>
      </c>
      <c r="C179" s="116">
        <v>1120</v>
      </c>
      <c r="D179" s="116">
        <v>87</v>
      </c>
      <c r="E179" s="116">
        <v>450</v>
      </c>
      <c r="F179" s="116">
        <v>1900</v>
      </c>
      <c r="G179" s="10" t="s">
        <v>100</v>
      </c>
      <c r="H179" s="122">
        <v>3.9</v>
      </c>
      <c r="I179" s="116">
        <v>90</v>
      </c>
      <c r="J179" s="116">
        <v>90</v>
      </c>
      <c r="K179" s="116">
        <v>90</v>
      </c>
      <c r="L179" s="122">
        <v>24.7</v>
      </c>
      <c r="M179" s="122">
        <v>6.8</v>
      </c>
      <c r="N179" s="79">
        <v>3.39</v>
      </c>
      <c r="O179" s="116">
        <v>16</v>
      </c>
      <c r="P179" s="122">
        <v>6.6</v>
      </c>
      <c r="Q179" s="79">
        <v>0.81</v>
      </c>
      <c r="R179" s="79">
        <v>22.36</v>
      </c>
      <c r="S179" s="79">
        <v>0.88</v>
      </c>
      <c r="T179" s="79">
        <v>0.7</v>
      </c>
      <c r="U179" s="85">
        <f t="shared" si="18"/>
        <v>2284.7500000000005</v>
      </c>
      <c r="V179" s="79">
        <f t="shared" si="19"/>
        <v>1477.5164898</v>
      </c>
      <c r="W179" s="79">
        <f t="shared" si="20"/>
        <v>0.64668628506401127</v>
      </c>
      <c r="X179" s="116">
        <v>2</v>
      </c>
      <c r="Y179" s="116">
        <v>2</v>
      </c>
      <c r="Z179" s="122">
        <v>6.5</v>
      </c>
      <c r="AA179" s="116">
        <v>18.3</v>
      </c>
      <c r="AB179" s="122">
        <v>6.8</v>
      </c>
      <c r="AC179" s="122">
        <v>5.2</v>
      </c>
      <c r="AD179" s="10">
        <v>0.98</v>
      </c>
      <c r="AE179" s="79">
        <v>1.83</v>
      </c>
      <c r="AF179" s="85">
        <f t="shared" si="21"/>
        <v>1142.3750000000002</v>
      </c>
      <c r="AG179" s="85">
        <f t="shared" si="22"/>
        <v>1784.4840012479999</v>
      </c>
      <c r="AH179" s="85">
        <f t="shared" si="23"/>
        <v>1.5620825046486482</v>
      </c>
      <c r="AI179" s="116">
        <v>2</v>
      </c>
      <c r="AJ179" s="116">
        <v>4</v>
      </c>
      <c r="AK179" s="79">
        <v>6.34</v>
      </c>
      <c r="AL179" s="79">
        <v>22.8</v>
      </c>
      <c r="AM179" s="122">
        <v>6.5</v>
      </c>
      <c r="AN179" s="122">
        <v>5.0999999999999996</v>
      </c>
      <c r="AO179" s="79">
        <v>0.28999999999999998</v>
      </c>
      <c r="AP179" s="127">
        <v>0.5</v>
      </c>
      <c r="AQ179" s="132">
        <f t="shared" si="14"/>
        <v>1657</v>
      </c>
      <c r="AR179" s="134">
        <f t="shared" si="15"/>
        <v>0.67592033796016893</v>
      </c>
      <c r="AS179" s="134">
        <f t="shared" si="16"/>
        <v>5.2504526252263123E-2</v>
      </c>
      <c r="AT179" s="134">
        <f t="shared" si="17"/>
        <v>0.27157513578756787</v>
      </c>
      <c r="AU179" s="43">
        <f>IF(AND(F179&lt;&gt;"",Y179&lt;&gt;""),AA179/(F179/2/Y179),"")</f>
        <v>3.8526315789473686E-2</v>
      </c>
      <c r="AV179" s="43">
        <f>IF(AND(F179&lt;&gt;"",AJ179&lt;&gt;""),AL179/(F179/2/AJ179),"")</f>
        <v>9.6000000000000002E-2</v>
      </c>
      <c r="AW179" s="41">
        <f>IF(AND(AP179&lt;&gt;"",1-(AP179/N179)&gt;0),1-(AP179/N179),"")</f>
        <v>0.85250737463126847</v>
      </c>
      <c r="AX179" s="41">
        <f>IF(AND(AE179&lt;&gt;"",1-(AE179/N179)&gt;0),1-(AE179/N179),"")</f>
        <v>0.46017699115044253</v>
      </c>
      <c r="AY179" s="136" t="str">
        <f>IF(P179="","",IF(P179&lt;2.5,"Alc. Bruta &lt; 2,5 mg/L",IF(P179&lt;5,"2,5 ≤ Alc. Bruta &lt; 5,0 mg/L",IF(P179&lt;7.5,"5,0 ≤ Alc. Bruta &lt; 7,5 mg/L",IF(P179&lt;10,"7,5 ≤ Alc. Bruta &lt; 10,0 mg/L",IF(P179&lt;15,"10,0 ≤ Alca. Bruta &lt; 15,0 mg/L","Alc. Bruta &gt; 15 mg/L"))))))</f>
        <v>5,0 ≤ Alc. Bruta &lt; 7,5 mg/L</v>
      </c>
      <c r="AZ179" s="136" t="str">
        <f>IF(O179="","",IF(O179&lt;5,"Cor &lt;5 uC",IF(O179&lt;10,"5 ≤ Cor &lt; 10 uC",IF(O179&lt;15,"10 ≤ Cor &lt;15 uC",IF(O179&lt;30,"15 ≤ Cor &lt; 30 uC",IF(O179&lt;50,"30 ≤ Cor &lt; 50 uC","Cor &gt; 50 uC"))))))</f>
        <v>15 ≤ Cor &lt; 30 uC</v>
      </c>
      <c r="BA179" s="137" t="str">
        <f>IF(N179="","",IF(N179&lt;2.5,"Turbidez &lt; 2,5 uT",IF(N179&lt;5,"2,5 ≤ Turb &lt; 5,0 uT",IF(N179&lt;7.5,"5,0 ≤ Turb &lt; 7,5 uT",IF(N179&lt;10,"7,5 ≤ Turb &lt; 10,0 uT",IF(N179&lt;15,"10,0 ≤ Turb &lt; 15,0 uT","Turb &gt; 15 uT"))))))</f>
        <v>2,5 ≤ Turb &lt; 5,0 uT</v>
      </c>
      <c r="BB179" s="138" t="str">
        <f>IF(AND(C179&gt;D179,D179&gt;E179),"TOR &gt; SM &gt; BNN",IF(AND(C179&gt;E179,E179&gt;D179),"TOR &gt; BNN &gt; SM",IF(AND(D179&gt;C179,C179&gt;E179),"SM &gt; TOR &gt; BNN",IF(AND(D179&gt;E179,E179&gt;C179),"SM &gt; BNN &gt; TOR",IF(AND(C179=D179,D179=E179),"TOR = SM = BNN","Comb. diferentes")))))</f>
        <v>TOR &gt; BNN &gt; SM</v>
      </c>
      <c r="BC179" s="137" t="str">
        <f>IF(OR(AD179="",AP179="-"),"",IF(AD179&lt;=0.25,"Tipo 1 (≤0,25) uT",IF(AD179&lt;=0.5,"Tipo 2 (0,25-0,50) uT",IF(AD179&lt;=0.75,"Tipo 3 (0,50-0,75) uT","Tipo 4 (&gt;0,75) uT"))))</f>
        <v>Tipo 4 (&gt;0,75) uT</v>
      </c>
      <c r="BD179" s="137" t="str">
        <f>IF(OR(AO179="",AY179="-"),"",IF(AO179&lt;=0.25,"Tipo 1 (≤0,25) uT",IF(AO179&lt;=0.5,"Tipo 2 (0,25-0,50) uT",IF(AO179&lt;=0.75,"Tipo 3 (0,50-0,75) uT","Tipo 4 (&gt;0,75) uT"))))</f>
        <v>Tipo 2 (0,25-0,50) uT</v>
      </c>
      <c r="BE179" s="137" t="str">
        <f>IF(OR(AE179="",AP179="-"),"",IF(AE179&lt;=0.25,"Tipo 1 (≤0,25) uT",IF(AE179&lt;=0.5,"Tipo 2 (0,25-0,50) uT",IF(AE179&lt;=0.75,"Tipo 3 (0,50-0,75) uT","Tipo 4 (&gt;0,75) uT"))))</f>
        <v>Tipo 4 (&gt;0,75) uT</v>
      </c>
      <c r="BF179" s="137" t="str">
        <f>IF(OR(AP179="",AP179="-"),"",IF(AP179&lt;=0.25,"Tipo 1 (≤0,25) uT",IF(AP179&lt;=0.5,"Tipo 2 (0,25-0,50) uT",IF(AP179&lt;=0.75,"Tipo 3 (0,50-0,75) uT","Tipo 4 (&gt;0,75) uT"))))</f>
        <v>Tipo 2 (0,25-0,50) uT</v>
      </c>
      <c r="BG179" s="137" t="str">
        <f>IF(OR(Q179="",Q179="-"),"",IF(Q179&lt;=0.25,"Tipo 1 (≤0,25) uT",IF(Q179&lt;=0.5,"Tipo 2 (0,25-0,50) uT",IF(Q179&lt;=0.75,"Tipo 3 (0,50-0,75) uT","Tipo 4 (&gt;0,75) uT"))))</f>
        <v>Tipo 4 (&gt;0,75) uT</v>
      </c>
    </row>
    <row r="180" spans="1:59" x14ac:dyDescent="0.3">
      <c r="A180" s="26">
        <v>46146</v>
      </c>
      <c r="B180" s="107">
        <v>0.72916666666666663</v>
      </c>
      <c r="C180" s="116">
        <v>1145</v>
      </c>
      <c r="D180" s="116">
        <v>84</v>
      </c>
      <c r="E180" s="116">
        <v>453</v>
      </c>
      <c r="F180" s="116">
        <v>1802</v>
      </c>
      <c r="G180" s="10" t="s">
        <v>100</v>
      </c>
      <c r="H180" s="122">
        <v>3.9</v>
      </c>
      <c r="I180" s="116">
        <v>90</v>
      </c>
      <c r="J180" s="116">
        <v>90</v>
      </c>
      <c r="K180" s="116">
        <v>90</v>
      </c>
      <c r="L180" s="122">
        <v>24.7</v>
      </c>
      <c r="M180" s="122">
        <v>6.6</v>
      </c>
      <c r="N180" s="79">
        <v>3.61</v>
      </c>
      <c r="O180" s="116">
        <v>14</v>
      </c>
      <c r="P180" s="122">
        <v>6.9</v>
      </c>
      <c r="Q180" s="79">
        <v>0.74</v>
      </c>
      <c r="R180" s="79">
        <v>22.36</v>
      </c>
      <c r="S180" s="79">
        <v>0.88</v>
      </c>
      <c r="T180" s="79">
        <v>0.7</v>
      </c>
      <c r="U180" s="85">
        <f t="shared" si="18"/>
        <v>2266.0149999999999</v>
      </c>
      <c r="V180" s="79">
        <f t="shared" si="19"/>
        <v>1444.9527050400002</v>
      </c>
      <c r="W180" s="79">
        <f t="shared" si="20"/>
        <v>0.63766246253444936</v>
      </c>
      <c r="X180" s="116">
        <v>2</v>
      </c>
      <c r="Y180" s="116">
        <v>2</v>
      </c>
      <c r="Z180" s="122">
        <v>6.47</v>
      </c>
      <c r="AA180" s="116">
        <v>18</v>
      </c>
      <c r="AB180" s="122">
        <v>6.6</v>
      </c>
      <c r="AC180" s="122">
        <v>5.0999999999999996</v>
      </c>
      <c r="AD180" s="10">
        <v>0.77</v>
      </c>
      <c r="AE180" s="79">
        <v>1.82</v>
      </c>
      <c r="AF180" s="85">
        <f t="shared" si="21"/>
        <v>1133.0074999999999</v>
      </c>
      <c r="AG180" s="85">
        <f t="shared" si="22"/>
        <v>1796.58420916</v>
      </c>
      <c r="AH180" s="85">
        <f t="shared" si="23"/>
        <v>1.5856772432309585</v>
      </c>
      <c r="AI180" s="116">
        <v>2</v>
      </c>
      <c r="AJ180" s="116">
        <v>4</v>
      </c>
      <c r="AK180" s="79">
        <v>6.33</v>
      </c>
      <c r="AL180" s="79">
        <v>23</v>
      </c>
      <c r="AM180" s="122">
        <v>6.6</v>
      </c>
      <c r="AN180" s="122">
        <v>5.2</v>
      </c>
      <c r="AO180" s="79">
        <v>0.23</v>
      </c>
      <c r="AP180" s="127">
        <v>0.67</v>
      </c>
      <c r="AQ180" s="132">
        <f t="shared" si="14"/>
        <v>1682</v>
      </c>
      <c r="AR180" s="134">
        <f t="shared" si="15"/>
        <v>0.68073721759809747</v>
      </c>
      <c r="AS180" s="134">
        <f t="shared" si="16"/>
        <v>4.9940546967895363E-2</v>
      </c>
      <c r="AT180" s="134">
        <f t="shared" si="17"/>
        <v>0.26932223543400713</v>
      </c>
      <c r="AU180" s="43">
        <f>IF(AND(F180&lt;&gt;"",Y180&lt;&gt;""),AA180/(F180/2/Y180),"")</f>
        <v>3.9955604883462822E-2</v>
      </c>
      <c r="AV180" s="43">
        <f>IF(AND(F180&lt;&gt;"",AJ180&lt;&gt;""),AL180/(F180/2/AJ180),"")</f>
        <v>0.10210876803551609</v>
      </c>
      <c r="AW180" s="41">
        <f>IF(AND(AP180&lt;&gt;"",1-(AP180/N180)&gt;0),1-(AP180/N180),"")</f>
        <v>0.81440443213296398</v>
      </c>
      <c r="AX180" s="41">
        <f>IF(AND(AE180&lt;&gt;"",1-(AE180/N180)&gt;0),1-(AE180/N180),"")</f>
        <v>0.49584487534626032</v>
      </c>
      <c r="AY180" s="136" t="str">
        <f>IF(P180="","",IF(P180&lt;2.5,"Alc. Bruta &lt; 2,5 mg/L",IF(P180&lt;5,"2,5 ≤ Alc. Bruta &lt; 5,0 mg/L",IF(P180&lt;7.5,"5,0 ≤ Alc. Bruta &lt; 7,5 mg/L",IF(P180&lt;10,"7,5 ≤ Alc. Bruta &lt; 10,0 mg/L",IF(P180&lt;15,"10,0 ≤ Alca. Bruta &lt; 15,0 mg/L","Alc. Bruta &gt; 15 mg/L"))))))</f>
        <v>5,0 ≤ Alc. Bruta &lt; 7,5 mg/L</v>
      </c>
      <c r="AZ180" s="136" t="str">
        <f>IF(O180="","",IF(O180&lt;5,"Cor &lt;5 uC",IF(O180&lt;10,"5 ≤ Cor &lt; 10 uC",IF(O180&lt;15,"10 ≤ Cor &lt;15 uC",IF(O180&lt;30,"15 ≤ Cor &lt; 30 uC",IF(O180&lt;50,"30 ≤ Cor &lt; 50 uC","Cor &gt; 50 uC"))))))</f>
        <v>10 ≤ Cor &lt;15 uC</v>
      </c>
      <c r="BA180" s="137" t="str">
        <f>IF(N180="","",IF(N180&lt;2.5,"Turbidez &lt; 2,5 uT",IF(N180&lt;5,"2,5 ≤ Turb &lt; 5,0 uT",IF(N180&lt;7.5,"5,0 ≤ Turb &lt; 7,5 uT",IF(N180&lt;10,"7,5 ≤ Turb &lt; 10,0 uT",IF(N180&lt;15,"10,0 ≤ Turb &lt; 15,0 uT","Turb &gt; 15 uT"))))))</f>
        <v>2,5 ≤ Turb &lt; 5,0 uT</v>
      </c>
      <c r="BB180" s="138" t="str">
        <f>IF(AND(C180&gt;D180,D180&gt;E180),"TOR &gt; SM &gt; BNN",IF(AND(C180&gt;E180,E180&gt;D180),"TOR &gt; BNN &gt; SM",IF(AND(D180&gt;C180,C180&gt;E180),"SM &gt; TOR &gt; BNN",IF(AND(D180&gt;E180,E180&gt;C180),"SM &gt; BNN &gt; TOR",IF(AND(C180=D180,D180=E180),"TOR = SM = BNN","Comb. diferentes")))))</f>
        <v>TOR &gt; BNN &gt; SM</v>
      </c>
      <c r="BC180" s="137" t="str">
        <f>IF(OR(AD180="",AP180="-"),"",IF(AD180&lt;=0.25,"Tipo 1 (≤0,25) uT",IF(AD180&lt;=0.5,"Tipo 2 (0,25-0,50) uT",IF(AD180&lt;=0.75,"Tipo 3 (0,50-0,75) uT","Tipo 4 (&gt;0,75) uT"))))</f>
        <v>Tipo 4 (&gt;0,75) uT</v>
      </c>
      <c r="BD180" s="137" t="str">
        <f>IF(OR(AO180="",AY180="-"),"",IF(AO180&lt;=0.25,"Tipo 1 (≤0,25) uT",IF(AO180&lt;=0.5,"Tipo 2 (0,25-0,50) uT",IF(AO180&lt;=0.75,"Tipo 3 (0,50-0,75) uT","Tipo 4 (&gt;0,75) uT"))))</f>
        <v>Tipo 1 (≤0,25) uT</v>
      </c>
      <c r="BE180" s="137" t="str">
        <f>IF(OR(AE180="",AP180="-"),"",IF(AE180&lt;=0.25,"Tipo 1 (≤0,25) uT",IF(AE180&lt;=0.5,"Tipo 2 (0,25-0,50) uT",IF(AE180&lt;=0.75,"Tipo 3 (0,50-0,75) uT","Tipo 4 (&gt;0,75) uT"))))</f>
        <v>Tipo 4 (&gt;0,75) uT</v>
      </c>
      <c r="BF180" s="137" t="str">
        <f>IF(OR(AP180="",AP180="-"),"",IF(AP180&lt;=0.25,"Tipo 1 (≤0,25) uT",IF(AP180&lt;=0.5,"Tipo 2 (0,25-0,50) uT",IF(AP180&lt;=0.75,"Tipo 3 (0,50-0,75) uT","Tipo 4 (&gt;0,75) uT"))))</f>
        <v>Tipo 3 (0,50-0,75) uT</v>
      </c>
      <c r="BG180" s="137" t="str">
        <f>IF(OR(Q180="",Q180="-"),"",IF(Q180&lt;=0.25,"Tipo 1 (≤0,25) uT",IF(Q180&lt;=0.5,"Tipo 2 (0,25-0,50) uT",IF(Q180&lt;=0.75,"Tipo 3 (0,50-0,75) uT","Tipo 4 (&gt;0,75) uT"))))</f>
        <v>Tipo 3 (0,50-0,75) uT</v>
      </c>
    </row>
    <row r="181" spans="1:59" x14ac:dyDescent="0.3">
      <c r="A181" s="26">
        <v>46146</v>
      </c>
      <c r="B181" s="107">
        <v>0.8125</v>
      </c>
      <c r="C181" s="116">
        <v>1093</v>
      </c>
      <c r="D181" s="116">
        <v>88</v>
      </c>
      <c r="E181" s="116">
        <v>454</v>
      </c>
      <c r="F181" s="116">
        <v>1814</v>
      </c>
      <c r="G181" s="10" t="s">
        <v>100</v>
      </c>
      <c r="H181" s="122">
        <v>3.9</v>
      </c>
      <c r="I181" s="116">
        <v>90</v>
      </c>
      <c r="J181" s="116">
        <v>90</v>
      </c>
      <c r="K181" s="116">
        <v>90</v>
      </c>
      <c r="L181" s="122">
        <v>24</v>
      </c>
      <c r="M181" s="122">
        <v>6.8</v>
      </c>
      <c r="N181" s="79">
        <v>3.95</v>
      </c>
      <c r="O181" s="116">
        <v>16</v>
      </c>
      <c r="P181" s="122">
        <v>5.4</v>
      </c>
      <c r="Q181" s="79">
        <v>0.82</v>
      </c>
      <c r="R181" s="79">
        <v>22.36</v>
      </c>
      <c r="S181" s="79">
        <v>0.88</v>
      </c>
      <c r="T181" s="79">
        <v>0.7</v>
      </c>
      <c r="U181" s="85">
        <f t="shared" si="18"/>
        <v>2435.2950000000001</v>
      </c>
      <c r="V181" s="79">
        <f t="shared" si="19"/>
        <v>1497.306049044</v>
      </c>
      <c r="W181" s="79">
        <f t="shared" si="20"/>
        <v>0.61483559447377012</v>
      </c>
      <c r="X181" s="116">
        <v>2</v>
      </c>
      <c r="Y181" s="116">
        <v>2</v>
      </c>
      <c r="Z181" s="122">
        <v>6.57</v>
      </c>
      <c r="AA181" s="116">
        <v>18.3</v>
      </c>
      <c r="AB181" s="122">
        <v>6.6</v>
      </c>
      <c r="AC181" s="122">
        <v>5.0999999999999996</v>
      </c>
      <c r="AD181" s="10">
        <v>0.68</v>
      </c>
      <c r="AE181" s="79">
        <v>1.22</v>
      </c>
      <c r="AF181" s="85">
        <f t="shared" si="21"/>
        <v>1217.6475</v>
      </c>
      <c r="AG181" s="85">
        <f t="shared" si="22"/>
        <v>1844.4631986559998</v>
      </c>
      <c r="AH181" s="85">
        <f t="shared" si="23"/>
        <v>1.5147759911271528</v>
      </c>
      <c r="AI181" s="116">
        <v>2</v>
      </c>
      <c r="AJ181" s="116">
        <v>4</v>
      </c>
      <c r="AK181" s="79">
        <v>6.42</v>
      </c>
      <c r="AL181" s="79">
        <v>23.2</v>
      </c>
      <c r="AM181" s="122">
        <v>6.5</v>
      </c>
      <c r="AN181" s="122">
        <v>5.5</v>
      </c>
      <c r="AO181" s="79">
        <v>0.1</v>
      </c>
      <c r="AP181" s="127">
        <v>0.85</v>
      </c>
      <c r="AQ181" s="132">
        <f t="shared" si="14"/>
        <v>1635</v>
      </c>
      <c r="AR181" s="134">
        <f t="shared" si="15"/>
        <v>0.66850152905198779</v>
      </c>
      <c r="AS181" s="134">
        <f t="shared" si="16"/>
        <v>5.3822629969418959E-2</v>
      </c>
      <c r="AT181" s="134">
        <f t="shared" si="17"/>
        <v>0.27767584097859327</v>
      </c>
      <c r="AU181" s="43">
        <f>IF(AND(F181&lt;&gt;"",Y181&lt;&gt;""),AA181/(F181/2/Y181),"")</f>
        <v>4.0352811466372658E-2</v>
      </c>
      <c r="AV181" s="43">
        <f>IF(AND(F181&lt;&gt;"",AJ181&lt;&gt;""),AL181/(F181/2/AJ181),"")</f>
        <v>0.10231532524807056</v>
      </c>
      <c r="AW181" s="41">
        <f>IF(AND(AP181&lt;&gt;"",1-(AP181/N181)&gt;0),1-(AP181/N181),"")</f>
        <v>0.78481012658227844</v>
      </c>
      <c r="AX181" s="41">
        <f>IF(AND(AE181&lt;&gt;"",1-(AE181/N181)&gt;0),1-(AE181/N181),"")</f>
        <v>0.69113924050632913</v>
      </c>
      <c r="AY181" s="136" t="str">
        <f>IF(P181="","",IF(P181&lt;2.5,"Alc. Bruta &lt; 2,5 mg/L",IF(P181&lt;5,"2,5 ≤ Alc. Bruta &lt; 5,0 mg/L",IF(P181&lt;7.5,"5,0 ≤ Alc. Bruta &lt; 7,5 mg/L",IF(P181&lt;10,"7,5 ≤ Alc. Bruta &lt; 10,0 mg/L",IF(P181&lt;15,"10,0 ≤ Alca. Bruta &lt; 15,0 mg/L","Alc. Bruta &gt; 15 mg/L"))))))</f>
        <v>5,0 ≤ Alc. Bruta &lt; 7,5 mg/L</v>
      </c>
      <c r="AZ181" s="136" t="str">
        <f>IF(O181="","",IF(O181&lt;5,"Cor &lt;5 uC",IF(O181&lt;10,"5 ≤ Cor &lt; 10 uC",IF(O181&lt;15,"10 ≤ Cor &lt;15 uC",IF(O181&lt;30,"15 ≤ Cor &lt; 30 uC",IF(O181&lt;50,"30 ≤ Cor &lt; 50 uC","Cor &gt; 50 uC"))))))</f>
        <v>15 ≤ Cor &lt; 30 uC</v>
      </c>
      <c r="BA181" s="137" t="str">
        <f>IF(N181="","",IF(N181&lt;2.5,"Turbidez &lt; 2,5 uT",IF(N181&lt;5,"2,5 ≤ Turb &lt; 5,0 uT",IF(N181&lt;7.5,"5,0 ≤ Turb &lt; 7,5 uT",IF(N181&lt;10,"7,5 ≤ Turb &lt; 10,0 uT",IF(N181&lt;15,"10,0 ≤ Turb &lt; 15,0 uT","Turb &gt; 15 uT"))))))</f>
        <v>2,5 ≤ Turb &lt; 5,0 uT</v>
      </c>
      <c r="BB181" s="138" t="str">
        <f>IF(AND(C181&gt;D181,D181&gt;E181),"TOR &gt; SM &gt; BNN",IF(AND(C181&gt;E181,E181&gt;D181),"TOR &gt; BNN &gt; SM",IF(AND(D181&gt;C181,C181&gt;E181),"SM &gt; TOR &gt; BNN",IF(AND(D181&gt;E181,E181&gt;C181),"SM &gt; BNN &gt; TOR",IF(AND(C181=D181,D181=E181),"TOR = SM = BNN","Comb. diferentes")))))</f>
        <v>TOR &gt; BNN &gt; SM</v>
      </c>
      <c r="BC181" s="137" t="str">
        <f>IF(OR(AD181="",AP181="-"),"",IF(AD181&lt;=0.25,"Tipo 1 (≤0,25) uT",IF(AD181&lt;=0.5,"Tipo 2 (0,25-0,50) uT",IF(AD181&lt;=0.75,"Tipo 3 (0,50-0,75) uT","Tipo 4 (&gt;0,75) uT"))))</f>
        <v>Tipo 3 (0,50-0,75) uT</v>
      </c>
      <c r="BD181" s="137" t="str">
        <f>IF(OR(AO181="",AY181="-"),"",IF(AO181&lt;=0.25,"Tipo 1 (≤0,25) uT",IF(AO181&lt;=0.5,"Tipo 2 (0,25-0,50) uT",IF(AO181&lt;=0.75,"Tipo 3 (0,50-0,75) uT","Tipo 4 (&gt;0,75) uT"))))</f>
        <v>Tipo 1 (≤0,25) uT</v>
      </c>
      <c r="BE181" s="137" t="str">
        <f>IF(OR(AE181="",AP181="-"),"",IF(AE181&lt;=0.25,"Tipo 1 (≤0,25) uT",IF(AE181&lt;=0.5,"Tipo 2 (0,25-0,50) uT",IF(AE181&lt;=0.75,"Tipo 3 (0,50-0,75) uT","Tipo 4 (&gt;0,75) uT"))))</f>
        <v>Tipo 4 (&gt;0,75) uT</v>
      </c>
      <c r="BF181" s="137" t="str">
        <f>IF(OR(AP181="",AP181="-"),"",IF(AP181&lt;=0.25,"Tipo 1 (≤0,25) uT",IF(AP181&lt;=0.5,"Tipo 2 (0,25-0,50) uT",IF(AP181&lt;=0.75,"Tipo 3 (0,50-0,75) uT","Tipo 4 (&gt;0,75) uT"))))</f>
        <v>Tipo 4 (&gt;0,75) uT</v>
      </c>
      <c r="BG181" s="137" t="str">
        <f>IF(OR(Q181="",Q181="-"),"",IF(Q181&lt;=0.25,"Tipo 1 (≤0,25) uT",IF(Q181&lt;=0.5,"Tipo 2 (0,25-0,50) uT",IF(Q181&lt;=0.75,"Tipo 3 (0,50-0,75) uT","Tipo 4 (&gt;0,75) uT"))))</f>
        <v>Tipo 4 (&gt;0,75) uT</v>
      </c>
    </row>
    <row r="182" spans="1:59" x14ac:dyDescent="0.3">
      <c r="A182" s="26">
        <v>46146</v>
      </c>
      <c r="B182" s="107">
        <v>0.89583333333333337</v>
      </c>
      <c r="C182" s="116">
        <v>1122</v>
      </c>
      <c r="D182" s="116">
        <v>81</v>
      </c>
      <c r="E182" s="116">
        <v>549</v>
      </c>
      <c r="F182" s="116">
        <v>1835</v>
      </c>
      <c r="G182" s="10" t="s">
        <v>100</v>
      </c>
      <c r="H182" s="122">
        <v>3.9</v>
      </c>
      <c r="I182" s="116">
        <v>90</v>
      </c>
      <c r="J182" s="116">
        <v>90</v>
      </c>
      <c r="K182" s="116">
        <v>90</v>
      </c>
      <c r="L182" s="122">
        <v>23.1</v>
      </c>
      <c r="M182" s="122">
        <v>6.7</v>
      </c>
      <c r="N182" s="79">
        <v>4.1100000000000003</v>
      </c>
      <c r="O182" s="116">
        <v>18</v>
      </c>
      <c r="P182" s="122">
        <v>6.9</v>
      </c>
      <c r="Q182" s="79">
        <v>0.86</v>
      </c>
      <c r="R182" s="79">
        <v>22.36</v>
      </c>
      <c r="S182" s="79">
        <v>0.88</v>
      </c>
      <c r="T182" s="79">
        <v>0.7</v>
      </c>
      <c r="U182" s="85">
        <f t="shared" si="18"/>
        <v>1691.2583333333332</v>
      </c>
      <c r="V182" s="79">
        <f t="shared" si="19"/>
        <v>1539.156706516</v>
      </c>
      <c r="W182" s="79">
        <f t="shared" si="20"/>
        <v>0.91006600007844263</v>
      </c>
      <c r="X182" s="116">
        <v>2</v>
      </c>
      <c r="Y182" s="116">
        <v>3</v>
      </c>
      <c r="Z182" s="122">
        <v>6.49</v>
      </c>
      <c r="AA182" s="116">
        <v>19.100000000000001</v>
      </c>
      <c r="AB182" s="122">
        <v>6.5</v>
      </c>
      <c r="AC182" s="122">
        <v>6.1</v>
      </c>
      <c r="AD182" s="10">
        <v>0.85</v>
      </c>
      <c r="AE182" s="79">
        <v>1.83</v>
      </c>
      <c r="AF182" s="85">
        <f t="shared" si="21"/>
        <v>1268.4437500000001</v>
      </c>
      <c r="AG182" s="85">
        <f t="shared" si="22"/>
        <v>1866.8114954319994</v>
      </c>
      <c r="AH182" s="85">
        <f t="shared" si="23"/>
        <v>1.4717337646482149</v>
      </c>
      <c r="AI182" s="116">
        <v>2</v>
      </c>
      <c r="AJ182" s="116">
        <v>4</v>
      </c>
      <c r="AK182" s="79">
        <v>6.46</v>
      </c>
      <c r="AL182" s="79">
        <v>23.3</v>
      </c>
      <c r="AM182" s="122">
        <v>6.5</v>
      </c>
      <c r="AN182" s="122">
        <v>6.3</v>
      </c>
      <c r="AO182" s="79">
        <v>0.18</v>
      </c>
      <c r="AP182" s="127">
        <v>0.83</v>
      </c>
      <c r="AQ182" s="132">
        <f t="shared" si="14"/>
        <v>1752</v>
      </c>
      <c r="AR182" s="134">
        <f t="shared" si="15"/>
        <v>0.6404109589041096</v>
      </c>
      <c r="AS182" s="134">
        <f t="shared" si="16"/>
        <v>4.6232876712328765E-2</v>
      </c>
      <c r="AT182" s="134">
        <f t="shared" si="17"/>
        <v>0.31335616438356162</v>
      </c>
      <c r="AU182" s="43">
        <f>IF(AND(F182&lt;&gt;"",Y182&lt;&gt;""),AA182/(F182/2/Y182),"")</f>
        <v>6.2452316076294284E-2</v>
      </c>
      <c r="AV182" s="43">
        <f>IF(AND(F182&lt;&gt;"",AJ182&lt;&gt;""),AL182/(F182/2/AJ182),"")</f>
        <v>0.10158038147138965</v>
      </c>
      <c r="AW182" s="41">
        <f>IF(AND(AP182&lt;&gt;"",1-(AP182/N182)&gt;0),1-(AP182/N182),"")</f>
        <v>0.7980535279805353</v>
      </c>
      <c r="AX182" s="41">
        <f>IF(AND(AE182&lt;&gt;"",1-(AE182/N182)&gt;0),1-(AE182/N182),"")</f>
        <v>0.55474452554744524</v>
      </c>
      <c r="AY182" s="136" t="str">
        <f>IF(P182="","",IF(P182&lt;2.5,"Alc. Bruta &lt; 2,5 mg/L",IF(P182&lt;5,"2,5 ≤ Alc. Bruta &lt; 5,0 mg/L",IF(P182&lt;7.5,"5,0 ≤ Alc. Bruta &lt; 7,5 mg/L",IF(P182&lt;10,"7,5 ≤ Alc. Bruta &lt; 10,0 mg/L",IF(P182&lt;15,"10,0 ≤ Alca. Bruta &lt; 15,0 mg/L","Alc. Bruta &gt; 15 mg/L"))))))</f>
        <v>5,0 ≤ Alc. Bruta &lt; 7,5 mg/L</v>
      </c>
      <c r="AZ182" s="136" t="str">
        <f>IF(O182="","",IF(O182&lt;5,"Cor &lt;5 uC",IF(O182&lt;10,"5 ≤ Cor &lt; 10 uC",IF(O182&lt;15,"10 ≤ Cor &lt;15 uC",IF(O182&lt;30,"15 ≤ Cor &lt; 30 uC",IF(O182&lt;50,"30 ≤ Cor &lt; 50 uC","Cor &gt; 50 uC"))))))</f>
        <v>15 ≤ Cor &lt; 30 uC</v>
      </c>
      <c r="BA182" s="137" t="str">
        <f>IF(N182="","",IF(N182&lt;2.5,"Turbidez &lt; 2,5 uT",IF(N182&lt;5,"2,5 ≤ Turb &lt; 5,0 uT",IF(N182&lt;7.5,"5,0 ≤ Turb &lt; 7,5 uT",IF(N182&lt;10,"7,5 ≤ Turb &lt; 10,0 uT",IF(N182&lt;15,"10,0 ≤ Turb &lt; 15,0 uT","Turb &gt; 15 uT"))))))</f>
        <v>2,5 ≤ Turb &lt; 5,0 uT</v>
      </c>
      <c r="BB182" s="138" t="str">
        <f>IF(AND(C182&gt;D182,D182&gt;E182),"TOR &gt; SM &gt; BNN",IF(AND(C182&gt;E182,E182&gt;D182),"TOR &gt; BNN &gt; SM",IF(AND(D182&gt;C182,C182&gt;E182),"SM &gt; TOR &gt; BNN",IF(AND(D182&gt;E182,E182&gt;C182),"SM &gt; BNN &gt; TOR",IF(AND(C182=D182,D182=E182),"TOR = SM = BNN","Comb. diferentes")))))</f>
        <v>TOR &gt; BNN &gt; SM</v>
      </c>
      <c r="BC182" s="137" t="str">
        <f>IF(OR(AD182="",AP182="-"),"",IF(AD182&lt;=0.25,"Tipo 1 (≤0,25) uT",IF(AD182&lt;=0.5,"Tipo 2 (0,25-0,50) uT",IF(AD182&lt;=0.75,"Tipo 3 (0,50-0,75) uT","Tipo 4 (&gt;0,75) uT"))))</f>
        <v>Tipo 4 (&gt;0,75) uT</v>
      </c>
      <c r="BD182" s="137" t="str">
        <f>IF(OR(AO182="",AY182="-"),"",IF(AO182&lt;=0.25,"Tipo 1 (≤0,25) uT",IF(AO182&lt;=0.5,"Tipo 2 (0,25-0,50) uT",IF(AO182&lt;=0.75,"Tipo 3 (0,50-0,75) uT","Tipo 4 (&gt;0,75) uT"))))</f>
        <v>Tipo 1 (≤0,25) uT</v>
      </c>
      <c r="BE182" s="137" t="str">
        <f>IF(OR(AE182="",AP182="-"),"",IF(AE182&lt;=0.25,"Tipo 1 (≤0,25) uT",IF(AE182&lt;=0.5,"Tipo 2 (0,25-0,50) uT",IF(AE182&lt;=0.75,"Tipo 3 (0,50-0,75) uT","Tipo 4 (&gt;0,75) uT"))))</f>
        <v>Tipo 4 (&gt;0,75) uT</v>
      </c>
      <c r="BF182" s="137" t="str">
        <f>IF(OR(AP182="",AP182="-"),"",IF(AP182&lt;=0.25,"Tipo 1 (≤0,25) uT",IF(AP182&lt;=0.5,"Tipo 2 (0,25-0,50) uT",IF(AP182&lt;=0.75,"Tipo 3 (0,50-0,75) uT","Tipo 4 (&gt;0,75) uT"))))</f>
        <v>Tipo 4 (&gt;0,75) uT</v>
      </c>
      <c r="BG182" s="137" t="str">
        <f>IF(OR(Q182="",Q182="-"),"",IF(Q182&lt;=0.25,"Tipo 1 (≤0,25) uT",IF(Q182&lt;=0.5,"Tipo 2 (0,25-0,50) uT",IF(Q182&lt;=0.75,"Tipo 3 (0,50-0,75) uT","Tipo 4 (&gt;0,75) uT"))))</f>
        <v>Tipo 4 (&gt;0,75) uT</v>
      </c>
    </row>
    <row r="183" spans="1:59" x14ac:dyDescent="0.3">
      <c r="A183" s="26">
        <v>46146</v>
      </c>
      <c r="B183" s="107">
        <v>0.97916666666666663</v>
      </c>
      <c r="C183" s="116">
        <v>1108</v>
      </c>
      <c r="D183" s="116">
        <v>91</v>
      </c>
      <c r="E183" s="116">
        <v>550</v>
      </c>
      <c r="F183" s="116">
        <v>1891</v>
      </c>
      <c r="G183" s="10" t="s">
        <v>100</v>
      </c>
      <c r="H183" s="122">
        <v>4.2</v>
      </c>
      <c r="I183" s="116">
        <v>90</v>
      </c>
      <c r="J183" s="116">
        <v>90</v>
      </c>
      <c r="K183" s="116">
        <v>90</v>
      </c>
      <c r="L183" s="122">
        <v>22.7</v>
      </c>
      <c r="M183" s="122">
        <v>6.7</v>
      </c>
      <c r="N183" s="79">
        <v>3.84</v>
      </c>
      <c r="O183" s="116">
        <v>15</v>
      </c>
      <c r="P183" s="122">
        <v>5.4</v>
      </c>
      <c r="Q183" s="79">
        <v>1.17</v>
      </c>
      <c r="R183" s="79">
        <v>22.36</v>
      </c>
      <c r="S183" s="79">
        <v>0.88</v>
      </c>
      <c r="T183" s="79">
        <v>0.7</v>
      </c>
      <c r="U183" s="85">
        <f t="shared" si="18"/>
        <v>1686.1416666666667</v>
      </c>
      <c r="V183" s="79">
        <f t="shared" si="19"/>
        <v>1579.126051724</v>
      </c>
      <c r="W183" s="79">
        <f t="shared" si="20"/>
        <v>0.93653225167359411</v>
      </c>
      <c r="X183" s="116">
        <v>2</v>
      </c>
      <c r="Y183" s="116">
        <v>3</v>
      </c>
      <c r="Z183" s="122">
        <v>6.57</v>
      </c>
      <c r="AA183" s="116">
        <v>19.3</v>
      </c>
      <c r="AB183" s="122">
        <v>6.5</v>
      </c>
      <c r="AC183" s="122">
        <v>5.9</v>
      </c>
      <c r="AD183" s="10">
        <v>0.76</v>
      </c>
      <c r="AE183" s="79">
        <v>2.08</v>
      </c>
      <c r="AF183" s="85">
        <f t="shared" si="21"/>
        <v>1264.6062499999998</v>
      </c>
      <c r="AG183" s="85">
        <f t="shared" si="22"/>
        <v>1833.7110259519998</v>
      </c>
      <c r="AH183" s="85">
        <f t="shared" si="23"/>
        <v>1.4500252754183367</v>
      </c>
      <c r="AI183" s="116">
        <v>2</v>
      </c>
      <c r="AJ183" s="116">
        <v>4</v>
      </c>
      <c r="AK183" s="79">
        <v>6.39</v>
      </c>
      <c r="AL183" s="79">
        <v>23.2</v>
      </c>
      <c r="AM183" s="122">
        <v>6.5</v>
      </c>
      <c r="AN183" s="122">
        <v>5.2</v>
      </c>
      <c r="AO183" s="79">
        <v>0.13</v>
      </c>
      <c r="AP183" s="127">
        <v>1.05</v>
      </c>
      <c r="AQ183" s="132">
        <f t="shared" si="14"/>
        <v>1749</v>
      </c>
      <c r="AR183" s="134">
        <f t="shared" si="15"/>
        <v>0.63350485991995431</v>
      </c>
      <c r="AS183" s="134">
        <f t="shared" si="16"/>
        <v>5.2029731275014292E-2</v>
      </c>
      <c r="AT183" s="134">
        <f t="shared" si="17"/>
        <v>0.31446540880503143</v>
      </c>
      <c r="AU183" s="43">
        <f>IF(AND(F183&lt;&gt;"",Y183&lt;&gt;""),AA183/(F183/2/Y183),"")</f>
        <v>6.1237440507667898E-2</v>
      </c>
      <c r="AV183" s="43">
        <f>IF(AND(F183&lt;&gt;"",AJ183&lt;&gt;""),AL183/(F183/2/AJ183),"")</f>
        <v>9.8149127445795875E-2</v>
      </c>
      <c r="AW183" s="41">
        <f>IF(AND(AP183&lt;&gt;"",1-(AP183/N183)&gt;0),1-(AP183/N183),"")</f>
        <v>0.7265625</v>
      </c>
      <c r="AX183" s="41">
        <f>IF(AND(AE183&lt;&gt;"",1-(AE183/N183)&gt;0),1-(AE183/N183),"")</f>
        <v>0.45833333333333326</v>
      </c>
      <c r="AY183" s="136" t="str">
        <f>IF(P183="","",IF(P183&lt;2.5,"Alc. Bruta &lt; 2,5 mg/L",IF(P183&lt;5,"2,5 ≤ Alc. Bruta &lt; 5,0 mg/L",IF(P183&lt;7.5,"5,0 ≤ Alc. Bruta &lt; 7,5 mg/L",IF(P183&lt;10,"7,5 ≤ Alc. Bruta &lt; 10,0 mg/L",IF(P183&lt;15,"10,0 ≤ Alca. Bruta &lt; 15,0 mg/L","Alc. Bruta &gt; 15 mg/L"))))))</f>
        <v>5,0 ≤ Alc. Bruta &lt; 7,5 mg/L</v>
      </c>
      <c r="AZ183" s="136" t="str">
        <f>IF(O183="","",IF(O183&lt;5,"Cor &lt;5 uC",IF(O183&lt;10,"5 ≤ Cor &lt; 10 uC",IF(O183&lt;15,"10 ≤ Cor &lt;15 uC",IF(O183&lt;30,"15 ≤ Cor &lt; 30 uC",IF(O183&lt;50,"30 ≤ Cor &lt; 50 uC","Cor &gt; 50 uC"))))))</f>
        <v>15 ≤ Cor &lt; 30 uC</v>
      </c>
      <c r="BA183" s="137" t="str">
        <f>IF(N183="","",IF(N183&lt;2.5,"Turbidez &lt; 2,5 uT",IF(N183&lt;5,"2,5 ≤ Turb &lt; 5,0 uT",IF(N183&lt;7.5,"5,0 ≤ Turb &lt; 7,5 uT",IF(N183&lt;10,"7,5 ≤ Turb &lt; 10,0 uT",IF(N183&lt;15,"10,0 ≤ Turb &lt; 15,0 uT","Turb &gt; 15 uT"))))))</f>
        <v>2,5 ≤ Turb &lt; 5,0 uT</v>
      </c>
      <c r="BB183" s="138" t="str">
        <f>IF(AND(C183&gt;D183,D183&gt;E183),"TOR &gt; SM &gt; BNN",IF(AND(C183&gt;E183,E183&gt;D183),"TOR &gt; BNN &gt; SM",IF(AND(D183&gt;C183,C183&gt;E183),"SM &gt; TOR &gt; BNN",IF(AND(D183&gt;E183,E183&gt;C183),"SM &gt; BNN &gt; TOR",IF(AND(C183=D183,D183=E183),"TOR = SM = BNN","Comb. diferentes")))))</f>
        <v>TOR &gt; BNN &gt; SM</v>
      </c>
      <c r="BC183" s="137" t="str">
        <f>IF(OR(AD183="",AP183="-"),"",IF(AD183&lt;=0.25,"Tipo 1 (≤0,25) uT",IF(AD183&lt;=0.5,"Tipo 2 (0,25-0,50) uT",IF(AD183&lt;=0.75,"Tipo 3 (0,50-0,75) uT","Tipo 4 (&gt;0,75) uT"))))</f>
        <v>Tipo 4 (&gt;0,75) uT</v>
      </c>
      <c r="BD183" s="137" t="str">
        <f>IF(OR(AO183="",AY183="-"),"",IF(AO183&lt;=0.25,"Tipo 1 (≤0,25) uT",IF(AO183&lt;=0.5,"Tipo 2 (0,25-0,50) uT",IF(AO183&lt;=0.75,"Tipo 3 (0,50-0,75) uT","Tipo 4 (&gt;0,75) uT"))))</f>
        <v>Tipo 1 (≤0,25) uT</v>
      </c>
      <c r="BE183" s="137" t="str">
        <f>IF(OR(AE183="",AP183="-"),"",IF(AE183&lt;=0.25,"Tipo 1 (≤0,25) uT",IF(AE183&lt;=0.5,"Tipo 2 (0,25-0,50) uT",IF(AE183&lt;=0.75,"Tipo 3 (0,50-0,75) uT","Tipo 4 (&gt;0,75) uT"))))</f>
        <v>Tipo 4 (&gt;0,75) uT</v>
      </c>
      <c r="BF183" s="137" t="str">
        <f>IF(OR(AP183="",AP183="-"),"",IF(AP183&lt;=0.25,"Tipo 1 (≤0,25) uT",IF(AP183&lt;=0.5,"Tipo 2 (0,25-0,50) uT",IF(AP183&lt;=0.75,"Tipo 3 (0,50-0,75) uT","Tipo 4 (&gt;0,75) uT"))))</f>
        <v>Tipo 4 (&gt;0,75) uT</v>
      </c>
      <c r="BG183" s="137" t="str">
        <f>IF(OR(Q183="",Q183="-"),"",IF(Q183&lt;=0.25,"Tipo 1 (≤0,25) uT",IF(Q183&lt;=0.5,"Tipo 2 (0,25-0,50) uT",IF(Q183&lt;=0.75,"Tipo 3 (0,50-0,75) uT","Tipo 4 (&gt;0,75) uT"))))</f>
        <v>Tipo 4 (&gt;0,75) uT</v>
      </c>
    </row>
    <row r="184" spans="1:59" x14ac:dyDescent="0.3">
      <c r="A184" s="26">
        <v>46147</v>
      </c>
      <c r="B184" s="107">
        <v>6.25E-2</v>
      </c>
      <c r="C184" s="116">
        <v>1113</v>
      </c>
      <c r="D184" s="116">
        <v>91</v>
      </c>
      <c r="E184" s="116">
        <v>551</v>
      </c>
      <c r="F184" s="116">
        <v>1894</v>
      </c>
      <c r="G184" s="10" t="s">
        <v>100</v>
      </c>
      <c r="H184" s="122">
        <v>4.5</v>
      </c>
      <c r="I184" s="116">
        <v>90</v>
      </c>
      <c r="J184" s="116">
        <v>90</v>
      </c>
      <c r="K184" s="116">
        <v>90</v>
      </c>
      <c r="L184" s="122">
        <v>23.3</v>
      </c>
      <c r="M184" s="122">
        <v>6.7</v>
      </c>
      <c r="N184" s="79">
        <v>3.85</v>
      </c>
      <c r="O184" s="116">
        <v>15</v>
      </c>
      <c r="P184" s="122">
        <v>6</v>
      </c>
      <c r="Q184" s="79">
        <v>0.32</v>
      </c>
      <c r="R184" s="79">
        <v>22.36</v>
      </c>
      <c r="S184" s="79">
        <v>0.88</v>
      </c>
      <c r="T184" s="79">
        <v>0.7</v>
      </c>
      <c r="U184" s="85">
        <f t="shared" si="18"/>
        <v>1720.3833333333334</v>
      </c>
      <c r="V184" s="79">
        <f t="shared" si="19"/>
        <v>1591.5604097120001</v>
      </c>
      <c r="W184" s="79">
        <f t="shared" si="20"/>
        <v>0.92511963983530809</v>
      </c>
      <c r="X184" s="116">
        <v>2</v>
      </c>
      <c r="Y184" s="116">
        <v>3</v>
      </c>
      <c r="Z184" s="122">
        <v>6.53</v>
      </c>
      <c r="AA184" s="116">
        <v>19.600000000000001</v>
      </c>
      <c r="AB184" s="122">
        <v>6.6</v>
      </c>
      <c r="AC184" s="122">
        <v>6</v>
      </c>
      <c r="AD184" s="10">
        <v>0.51</v>
      </c>
      <c r="AE184" s="79">
        <v>1.59</v>
      </c>
      <c r="AF184" s="85">
        <f t="shared" si="21"/>
        <v>1290.2875000000001</v>
      </c>
      <c r="AG184" s="85">
        <f t="shared" si="22"/>
        <v>1836.512926248</v>
      </c>
      <c r="AH184" s="85">
        <f t="shared" si="23"/>
        <v>1.4233362147955395</v>
      </c>
      <c r="AI184" s="116">
        <v>2</v>
      </c>
      <c r="AJ184" s="116">
        <v>4</v>
      </c>
      <c r="AK184" s="79">
        <v>6.42</v>
      </c>
      <c r="AL184" s="79">
        <v>23.1</v>
      </c>
      <c r="AM184" s="122">
        <v>6.5</v>
      </c>
      <c r="AN184" s="122">
        <v>6.3</v>
      </c>
      <c r="AO184" s="79">
        <v>0.2</v>
      </c>
      <c r="AP184" s="127">
        <v>0.63</v>
      </c>
      <c r="AQ184" s="132">
        <f t="shared" si="14"/>
        <v>1755</v>
      </c>
      <c r="AR184" s="134">
        <f t="shared" si="15"/>
        <v>0.63418803418803416</v>
      </c>
      <c r="AS184" s="134">
        <f t="shared" si="16"/>
        <v>5.185185185185185E-2</v>
      </c>
      <c r="AT184" s="134">
        <f t="shared" si="17"/>
        <v>0.31396011396011397</v>
      </c>
      <c r="AU184" s="43">
        <f>IF(AND(F184&lt;&gt;"",Y184&lt;&gt;""),AA184/(F184/2/Y184),"")</f>
        <v>6.2090813093980991E-2</v>
      </c>
      <c r="AV184" s="43">
        <f>IF(AND(F184&lt;&gt;"",AJ184&lt;&gt;""),AL184/(F184/2/AJ184),"")</f>
        <v>9.7571277719112989E-2</v>
      </c>
      <c r="AW184" s="41">
        <f>IF(AND(AP184&lt;&gt;"",1-(AP184/N184)&gt;0),1-(AP184/N184),"")</f>
        <v>0.83636363636363642</v>
      </c>
      <c r="AX184" s="41">
        <f>IF(AND(AE184&lt;&gt;"",1-(AE184/N184)&gt;0),1-(AE184/N184),"")</f>
        <v>0.58701298701298699</v>
      </c>
      <c r="AY184" s="136" t="str">
        <f>IF(P184="","",IF(P184&lt;2.5,"Alc. Bruta &lt; 2,5 mg/L",IF(P184&lt;5,"2,5 ≤ Alc. Bruta &lt; 5,0 mg/L",IF(P184&lt;7.5,"5,0 ≤ Alc. Bruta &lt; 7,5 mg/L",IF(P184&lt;10,"7,5 ≤ Alc. Bruta &lt; 10,0 mg/L",IF(P184&lt;15,"10,0 ≤ Alca. Bruta &lt; 15,0 mg/L","Alc. Bruta &gt; 15 mg/L"))))))</f>
        <v>5,0 ≤ Alc. Bruta &lt; 7,5 mg/L</v>
      </c>
      <c r="AZ184" s="136" t="str">
        <f>IF(O184="","",IF(O184&lt;5,"Cor &lt;5 uC",IF(O184&lt;10,"5 ≤ Cor &lt; 10 uC",IF(O184&lt;15,"10 ≤ Cor &lt;15 uC",IF(O184&lt;30,"15 ≤ Cor &lt; 30 uC",IF(O184&lt;50,"30 ≤ Cor &lt; 50 uC","Cor &gt; 50 uC"))))))</f>
        <v>15 ≤ Cor &lt; 30 uC</v>
      </c>
      <c r="BA184" s="137" t="str">
        <f>IF(N184="","",IF(N184&lt;2.5,"Turbidez &lt; 2,5 uT",IF(N184&lt;5,"2,5 ≤ Turb &lt; 5,0 uT",IF(N184&lt;7.5,"5,0 ≤ Turb &lt; 7,5 uT",IF(N184&lt;10,"7,5 ≤ Turb &lt; 10,0 uT",IF(N184&lt;15,"10,0 ≤ Turb &lt; 15,0 uT","Turb &gt; 15 uT"))))))</f>
        <v>2,5 ≤ Turb &lt; 5,0 uT</v>
      </c>
      <c r="BB184" s="138" t="str">
        <f>IF(AND(C184&gt;D184,D184&gt;E184),"TOR &gt; SM &gt; BNN",IF(AND(C184&gt;E184,E184&gt;D184),"TOR &gt; BNN &gt; SM",IF(AND(D184&gt;C184,C184&gt;E184),"SM &gt; TOR &gt; BNN",IF(AND(D184&gt;E184,E184&gt;C184),"SM &gt; BNN &gt; TOR",IF(AND(C184=D184,D184=E184),"TOR = SM = BNN","Comb. diferentes")))))</f>
        <v>TOR &gt; BNN &gt; SM</v>
      </c>
      <c r="BC184" s="137" t="str">
        <f>IF(OR(AD184="",AP184="-"),"",IF(AD184&lt;=0.25,"Tipo 1 (≤0,25) uT",IF(AD184&lt;=0.5,"Tipo 2 (0,25-0,50) uT",IF(AD184&lt;=0.75,"Tipo 3 (0,50-0,75) uT","Tipo 4 (&gt;0,75) uT"))))</f>
        <v>Tipo 3 (0,50-0,75) uT</v>
      </c>
      <c r="BD184" s="137" t="str">
        <f>IF(OR(AO184="",AY184="-"),"",IF(AO184&lt;=0.25,"Tipo 1 (≤0,25) uT",IF(AO184&lt;=0.5,"Tipo 2 (0,25-0,50) uT",IF(AO184&lt;=0.75,"Tipo 3 (0,50-0,75) uT","Tipo 4 (&gt;0,75) uT"))))</f>
        <v>Tipo 1 (≤0,25) uT</v>
      </c>
      <c r="BE184" s="137" t="str">
        <f>IF(OR(AE184="",AP184="-"),"",IF(AE184&lt;=0.25,"Tipo 1 (≤0,25) uT",IF(AE184&lt;=0.5,"Tipo 2 (0,25-0,50) uT",IF(AE184&lt;=0.75,"Tipo 3 (0,50-0,75) uT","Tipo 4 (&gt;0,75) uT"))))</f>
        <v>Tipo 4 (&gt;0,75) uT</v>
      </c>
      <c r="BF184" s="137" t="str">
        <f>IF(OR(AP184="",AP184="-"),"",IF(AP184&lt;=0.25,"Tipo 1 (≤0,25) uT",IF(AP184&lt;=0.5,"Tipo 2 (0,25-0,50) uT",IF(AP184&lt;=0.75,"Tipo 3 (0,50-0,75) uT","Tipo 4 (&gt;0,75) uT"))))</f>
        <v>Tipo 3 (0,50-0,75) uT</v>
      </c>
      <c r="BG184" s="137" t="str">
        <f>IF(OR(Q184="",Q184="-"),"",IF(Q184&lt;=0.25,"Tipo 1 (≤0,25) uT",IF(Q184&lt;=0.5,"Tipo 2 (0,25-0,50) uT",IF(Q184&lt;=0.75,"Tipo 3 (0,50-0,75) uT","Tipo 4 (&gt;0,75) uT"))))</f>
        <v>Tipo 2 (0,25-0,50) uT</v>
      </c>
    </row>
    <row r="185" spans="1:59" x14ac:dyDescent="0.3">
      <c r="A185" s="26">
        <v>46147</v>
      </c>
      <c r="B185" s="107">
        <v>0.14583333333333334</v>
      </c>
      <c r="C185" s="116">
        <v>1166</v>
      </c>
      <c r="D185" s="116">
        <v>90</v>
      </c>
      <c r="E185" s="116">
        <v>540</v>
      </c>
      <c r="F185" s="116">
        <v>1921</v>
      </c>
      <c r="G185" s="10" t="s">
        <v>100</v>
      </c>
      <c r="H185" s="122">
        <v>4.5</v>
      </c>
      <c r="I185" s="116">
        <v>90</v>
      </c>
      <c r="J185" s="116">
        <v>90</v>
      </c>
      <c r="K185" s="116">
        <v>90</v>
      </c>
      <c r="L185" s="122">
        <v>22.2</v>
      </c>
      <c r="M185" s="122">
        <v>6.7</v>
      </c>
      <c r="N185" s="79">
        <v>4.01</v>
      </c>
      <c r="O185" s="116">
        <v>16</v>
      </c>
      <c r="P185" s="122">
        <v>6.3</v>
      </c>
      <c r="Q185" s="79">
        <v>0.26</v>
      </c>
      <c r="R185" s="79">
        <v>22.36</v>
      </c>
      <c r="S185" s="79">
        <v>0.88</v>
      </c>
      <c r="T185" s="79">
        <v>0.7</v>
      </c>
      <c r="U185" s="85">
        <f t="shared" si="18"/>
        <v>1796.135</v>
      </c>
      <c r="V185" s="79">
        <f t="shared" si="19"/>
        <v>1553.1473518079997</v>
      </c>
      <c r="W185" s="79">
        <f t="shared" si="20"/>
        <v>0.86471637811634405</v>
      </c>
      <c r="X185" s="116">
        <v>2</v>
      </c>
      <c r="Y185" s="116">
        <v>3</v>
      </c>
      <c r="Z185" s="122">
        <v>6.51</v>
      </c>
      <c r="AA185" s="116">
        <v>19.2</v>
      </c>
      <c r="AB185" s="122">
        <v>6.6</v>
      </c>
      <c r="AC185" s="122">
        <v>6.2</v>
      </c>
      <c r="AD185" s="10">
        <v>0.48</v>
      </c>
      <c r="AE185" s="79">
        <v>0.83</v>
      </c>
      <c r="AF185" s="85">
        <f t="shared" si="21"/>
        <v>1347.1012499999999</v>
      </c>
      <c r="AG185" s="85">
        <f t="shared" si="22"/>
        <v>1832.9443172040003</v>
      </c>
      <c r="AH185" s="85">
        <f t="shared" si="23"/>
        <v>1.3606581667146402</v>
      </c>
      <c r="AI185" s="116">
        <v>2</v>
      </c>
      <c r="AJ185" s="116">
        <v>4</v>
      </c>
      <c r="AK185" s="79">
        <v>6.41</v>
      </c>
      <c r="AL185" s="79">
        <v>23.1</v>
      </c>
      <c r="AM185" s="122">
        <v>6.4</v>
      </c>
      <c r="AN185" s="122">
        <v>6.5</v>
      </c>
      <c r="AO185" s="79">
        <v>0.17</v>
      </c>
      <c r="AP185" s="127">
        <v>0.6</v>
      </c>
      <c r="AQ185" s="132">
        <f t="shared" si="14"/>
        <v>1796</v>
      </c>
      <c r="AR185" s="134">
        <f t="shared" si="15"/>
        <v>0.6492204899777283</v>
      </c>
      <c r="AS185" s="134">
        <f t="shared" si="16"/>
        <v>5.0111358574610243E-2</v>
      </c>
      <c r="AT185" s="134">
        <f t="shared" si="17"/>
        <v>0.30066815144766146</v>
      </c>
      <c r="AU185" s="43">
        <f>IF(AND(F185&lt;&gt;"",Y185&lt;&gt;""),AA185/(F185/2/Y185),"")</f>
        <v>5.9968766267568967E-2</v>
      </c>
      <c r="AV185" s="43">
        <f>IF(AND(F185&lt;&gt;"",AJ185&lt;&gt;""),AL185/(F185/2/AJ185),"")</f>
        <v>9.6199895887558576E-2</v>
      </c>
      <c r="AW185" s="41">
        <f>IF(AND(AP185&lt;&gt;"",1-(AP185/N185)&gt;0),1-(AP185/N185),"")</f>
        <v>0.85037406483790523</v>
      </c>
      <c r="AX185" s="41">
        <f>IF(AND(AE185&lt;&gt;"",1-(AE185/N185)&gt;0),1-(AE185/N185),"")</f>
        <v>0.79301745635910226</v>
      </c>
      <c r="AY185" s="136" t="str">
        <f>IF(P185="","",IF(P185&lt;2.5,"Alc. Bruta &lt; 2,5 mg/L",IF(P185&lt;5,"2,5 ≤ Alc. Bruta &lt; 5,0 mg/L",IF(P185&lt;7.5,"5,0 ≤ Alc. Bruta &lt; 7,5 mg/L",IF(P185&lt;10,"7,5 ≤ Alc. Bruta &lt; 10,0 mg/L",IF(P185&lt;15,"10,0 ≤ Alca. Bruta &lt; 15,0 mg/L","Alc. Bruta &gt; 15 mg/L"))))))</f>
        <v>5,0 ≤ Alc. Bruta &lt; 7,5 mg/L</v>
      </c>
      <c r="AZ185" s="136" t="str">
        <f>IF(O185="","",IF(O185&lt;5,"Cor &lt;5 uC",IF(O185&lt;10,"5 ≤ Cor &lt; 10 uC",IF(O185&lt;15,"10 ≤ Cor &lt;15 uC",IF(O185&lt;30,"15 ≤ Cor &lt; 30 uC",IF(O185&lt;50,"30 ≤ Cor &lt; 50 uC","Cor &gt; 50 uC"))))))</f>
        <v>15 ≤ Cor &lt; 30 uC</v>
      </c>
      <c r="BA185" s="137" t="str">
        <f>IF(N185="","",IF(N185&lt;2.5,"Turbidez &lt; 2,5 uT",IF(N185&lt;5,"2,5 ≤ Turb &lt; 5,0 uT",IF(N185&lt;7.5,"5,0 ≤ Turb &lt; 7,5 uT",IF(N185&lt;10,"7,5 ≤ Turb &lt; 10,0 uT",IF(N185&lt;15,"10,0 ≤ Turb &lt; 15,0 uT","Turb &gt; 15 uT"))))))</f>
        <v>2,5 ≤ Turb &lt; 5,0 uT</v>
      </c>
      <c r="BB185" s="138" t="str">
        <f>IF(AND(C185&gt;D185,D185&gt;E185),"TOR &gt; SM &gt; BNN",IF(AND(C185&gt;E185,E185&gt;D185),"TOR &gt; BNN &gt; SM",IF(AND(D185&gt;C185,C185&gt;E185),"SM &gt; TOR &gt; BNN",IF(AND(D185&gt;E185,E185&gt;C185),"SM &gt; BNN &gt; TOR",IF(AND(C185=D185,D185=E185),"TOR = SM = BNN","Comb. diferentes")))))</f>
        <v>TOR &gt; BNN &gt; SM</v>
      </c>
      <c r="BC185" s="137" t="str">
        <f>IF(OR(AD185="",AP185="-"),"",IF(AD185&lt;=0.25,"Tipo 1 (≤0,25) uT",IF(AD185&lt;=0.5,"Tipo 2 (0,25-0,50) uT",IF(AD185&lt;=0.75,"Tipo 3 (0,50-0,75) uT","Tipo 4 (&gt;0,75) uT"))))</f>
        <v>Tipo 2 (0,25-0,50) uT</v>
      </c>
      <c r="BD185" s="137" t="str">
        <f>IF(OR(AO185="",AY185="-"),"",IF(AO185&lt;=0.25,"Tipo 1 (≤0,25) uT",IF(AO185&lt;=0.5,"Tipo 2 (0,25-0,50) uT",IF(AO185&lt;=0.75,"Tipo 3 (0,50-0,75) uT","Tipo 4 (&gt;0,75) uT"))))</f>
        <v>Tipo 1 (≤0,25) uT</v>
      </c>
      <c r="BE185" s="137" t="str">
        <f>IF(OR(AE185="",AP185="-"),"",IF(AE185&lt;=0.25,"Tipo 1 (≤0,25) uT",IF(AE185&lt;=0.5,"Tipo 2 (0,25-0,50) uT",IF(AE185&lt;=0.75,"Tipo 3 (0,50-0,75) uT","Tipo 4 (&gt;0,75) uT"))))</f>
        <v>Tipo 4 (&gt;0,75) uT</v>
      </c>
      <c r="BF185" s="137" t="str">
        <f>IF(OR(AP185="",AP185="-"),"",IF(AP185&lt;=0.25,"Tipo 1 (≤0,25) uT",IF(AP185&lt;=0.5,"Tipo 2 (0,25-0,50) uT",IF(AP185&lt;=0.75,"Tipo 3 (0,50-0,75) uT","Tipo 4 (&gt;0,75) uT"))))</f>
        <v>Tipo 3 (0,50-0,75) uT</v>
      </c>
      <c r="BG185" s="137" t="str">
        <f>IF(OR(Q185="",Q185="-"),"",IF(Q185&lt;=0.25,"Tipo 1 (≤0,25) uT",IF(Q185&lt;=0.5,"Tipo 2 (0,25-0,50) uT",IF(Q185&lt;=0.75,"Tipo 3 (0,50-0,75) uT","Tipo 4 (&gt;0,75) uT"))))</f>
        <v>Tipo 2 (0,25-0,50) uT</v>
      </c>
    </row>
    <row r="186" spans="1:59" ht="15" thickBot="1" x14ac:dyDescent="0.35">
      <c r="A186" s="26">
        <v>46147</v>
      </c>
      <c r="B186" s="110">
        <v>0.22916666666666666</v>
      </c>
      <c r="C186" s="117">
        <v>1116</v>
      </c>
      <c r="D186" s="117">
        <v>80</v>
      </c>
      <c r="E186" s="117">
        <v>549</v>
      </c>
      <c r="F186" s="117">
        <v>1834</v>
      </c>
      <c r="G186" s="11" t="s">
        <v>100</v>
      </c>
      <c r="H186" s="123">
        <v>4.5</v>
      </c>
      <c r="I186" s="117">
        <v>90</v>
      </c>
      <c r="J186" s="117">
        <v>90</v>
      </c>
      <c r="K186" s="117">
        <v>90</v>
      </c>
      <c r="L186" s="123">
        <v>22.4</v>
      </c>
      <c r="M186" s="123">
        <v>6.7</v>
      </c>
      <c r="N186" s="80">
        <v>3.83</v>
      </c>
      <c r="O186" s="117">
        <v>15</v>
      </c>
      <c r="P186" s="123">
        <v>6.1</v>
      </c>
      <c r="Q186" s="80">
        <v>0.24</v>
      </c>
      <c r="R186" s="79">
        <v>22.36</v>
      </c>
      <c r="S186" s="79">
        <v>0.88</v>
      </c>
      <c r="T186" s="79">
        <v>0.7</v>
      </c>
      <c r="U186" s="85">
        <f t="shared" si="18"/>
        <v>1659.77</v>
      </c>
      <c r="V186" s="79">
        <f t="shared" si="19"/>
        <v>1572.3229837119993</v>
      </c>
      <c r="W186" s="79">
        <f t="shared" si="20"/>
        <v>0.94731377462660449</v>
      </c>
      <c r="X186" s="117">
        <v>2</v>
      </c>
      <c r="Y186" s="117">
        <v>3</v>
      </c>
      <c r="Z186" s="123">
        <v>6.52</v>
      </c>
      <c r="AA186" s="117">
        <v>19.399999999999999</v>
      </c>
      <c r="AB186" s="123">
        <v>6.6</v>
      </c>
      <c r="AC186" s="123">
        <v>6.2</v>
      </c>
      <c r="AD186" s="11">
        <v>0.53</v>
      </c>
      <c r="AE186" s="80">
        <v>0.76</v>
      </c>
      <c r="AF186" s="85">
        <f t="shared" si="21"/>
        <v>1244.8274999999999</v>
      </c>
      <c r="AG186" s="85">
        <f t="shared" si="22"/>
        <v>1883.5559916160003</v>
      </c>
      <c r="AH186" s="85">
        <f t="shared" si="23"/>
        <v>1.5131060260285063</v>
      </c>
      <c r="AI186" s="117">
        <v>2</v>
      </c>
      <c r="AJ186" s="117">
        <v>4</v>
      </c>
      <c r="AK186" s="80">
        <v>6.44</v>
      </c>
      <c r="AL186" s="80">
        <v>23.6</v>
      </c>
      <c r="AM186" s="123">
        <v>6.5</v>
      </c>
      <c r="AN186" s="123">
        <v>5.9</v>
      </c>
      <c r="AO186" s="80">
        <v>0.12</v>
      </c>
      <c r="AP186" s="128">
        <v>0.56999999999999995</v>
      </c>
      <c r="AQ186" s="132">
        <f t="shared" si="14"/>
        <v>1745</v>
      </c>
      <c r="AR186" s="134">
        <f t="shared" si="15"/>
        <v>0.63954154727793699</v>
      </c>
      <c r="AS186" s="134">
        <f t="shared" si="16"/>
        <v>4.5845272206303724E-2</v>
      </c>
      <c r="AT186" s="134">
        <f t="shared" si="17"/>
        <v>0.31461318051575932</v>
      </c>
      <c r="AU186" s="43">
        <f>IF(AND(F186&lt;&gt;"",Y186&lt;&gt;""),AA186/(F186/2/Y186),"")</f>
        <v>6.3467829880043611E-2</v>
      </c>
      <c r="AV186" s="43">
        <f>IF(AND(F186&lt;&gt;"",AJ186&lt;&gt;""),AL186/(F186/2/AJ186),"")</f>
        <v>0.10294438386041441</v>
      </c>
      <c r="AW186" s="41">
        <f>IF(AND(AP186&lt;&gt;"",1-(AP186/N186)&gt;0),1-(AP186/N186),"")</f>
        <v>0.8511749347258486</v>
      </c>
      <c r="AX186" s="41">
        <f>IF(AND(AE186&lt;&gt;"",1-(AE186/N186)&gt;0),1-(AE186/N186),"")</f>
        <v>0.80156657963446476</v>
      </c>
      <c r="AY186" s="136" t="str">
        <f>IF(P186="","",IF(P186&lt;2.5,"Alc. Bruta &lt; 2,5 mg/L",IF(P186&lt;5,"2,5 ≤ Alc. Bruta &lt; 5,0 mg/L",IF(P186&lt;7.5,"5,0 ≤ Alc. Bruta &lt; 7,5 mg/L",IF(P186&lt;10,"7,5 ≤ Alc. Bruta &lt; 10,0 mg/L",IF(P186&lt;15,"10,0 ≤ Alca. Bruta &lt; 15,0 mg/L","Alc. Bruta &gt; 15 mg/L"))))))</f>
        <v>5,0 ≤ Alc. Bruta &lt; 7,5 mg/L</v>
      </c>
      <c r="AZ186" s="136" t="str">
        <f>IF(O186="","",IF(O186&lt;5,"Cor &lt;5 uC",IF(O186&lt;10,"5 ≤ Cor &lt; 10 uC",IF(O186&lt;15,"10 ≤ Cor &lt;15 uC",IF(O186&lt;30,"15 ≤ Cor &lt; 30 uC",IF(O186&lt;50,"30 ≤ Cor &lt; 50 uC","Cor &gt; 50 uC"))))))</f>
        <v>15 ≤ Cor &lt; 30 uC</v>
      </c>
      <c r="BA186" s="137" t="str">
        <f>IF(N186="","",IF(N186&lt;2.5,"Turbidez &lt; 2,5 uT",IF(N186&lt;5,"2,5 ≤ Turb &lt; 5,0 uT",IF(N186&lt;7.5,"5,0 ≤ Turb &lt; 7,5 uT",IF(N186&lt;10,"7,5 ≤ Turb &lt; 10,0 uT",IF(N186&lt;15,"10,0 ≤ Turb &lt; 15,0 uT","Turb &gt; 15 uT"))))))</f>
        <v>2,5 ≤ Turb &lt; 5,0 uT</v>
      </c>
      <c r="BB186" s="138" t="str">
        <f>IF(AND(C186&gt;D186,D186&gt;E186),"TOR &gt; SM &gt; BNN",IF(AND(C186&gt;E186,E186&gt;D186),"TOR &gt; BNN &gt; SM",IF(AND(D186&gt;C186,C186&gt;E186),"SM &gt; TOR &gt; BNN",IF(AND(D186&gt;E186,E186&gt;C186),"SM &gt; BNN &gt; TOR",IF(AND(C186=D186,D186=E186),"TOR = SM = BNN","Comb. diferentes")))))</f>
        <v>TOR &gt; BNN &gt; SM</v>
      </c>
      <c r="BC186" s="137" t="str">
        <f>IF(OR(AD186="",AP186="-"),"",IF(AD186&lt;=0.25,"Tipo 1 (≤0,25) uT",IF(AD186&lt;=0.5,"Tipo 2 (0,25-0,50) uT",IF(AD186&lt;=0.75,"Tipo 3 (0,50-0,75) uT","Tipo 4 (&gt;0,75) uT"))))</f>
        <v>Tipo 3 (0,50-0,75) uT</v>
      </c>
      <c r="BD186" s="137" t="str">
        <f>IF(OR(AO186="",AY186="-"),"",IF(AO186&lt;=0.25,"Tipo 1 (≤0,25) uT",IF(AO186&lt;=0.5,"Tipo 2 (0,25-0,50) uT",IF(AO186&lt;=0.75,"Tipo 3 (0,50-0,75) uT","Tipo 4 (&gt;0,75) uT"))))</f>
        <v>Tipo 1 (≤0,25) uT</v>
      </c>
      <c r="BE186" s="137" t="str">
        <f>IF(OR(AE186="",AP186="-"),"",IF(AE186&lt;=0.25,"Tipo 1 (≤0,25) uT",IF(AE186&lt;=0.5,"Tipo 2 (0,25-0,50) uT",IF(AE186&lt;=0.75,"Tipo 3 (0,50-0,75) uT","Tipo 4 (&gt;0,75) uT"))))</f>
        <v>Tipo 4 (&gt;0,75) uT</v>
      </c>
      <c r="BF186" s="137" t="str">
        <f>IF(OR(AP186="",AP186="-"),"",IF(AP186&lt;=0.25,"Tipo 1 (≤0,25) uT",IF(AP186&lt;=0.5,"Tipo 2 (0,25-0,50) uT",IF(AP186&lt;=0.75,"Tipo 3 (0,50-0,75) uT","Tipo 4 (&gt;0,75) uT"))))</f>
        <v>Tipo 3 (0,50-0,75) uT</v>
      </c>
      <c r="BG186" s="137" t="str">
        <f>IF(OR(Q186="",Q186="-"),"",IF(Q186&lt;=0.25,"Tipo 1 (≤0,25) uT",IF(Q186&lt;=0.5,"Tipo 2 (0,25-0,50) uT",IF(Q186&lt;=0.75,"Tipo 3 (0,50-0,75) uT","Tipo 4 (&gt;0,75) uT"))))</f>
        <v>Tipo 1 (≤0,25) uT</v>
      </c>
    </row>
    <row r="187" spans="1:59" x14ac:dyDescent="0.3">
      <c r="A187" s="26">
        <v>46147</v>
      </c>
      <c r="B187" s="111">
        <v>0.3125</v>
      </c>
      <c r="C187" s="118">
        <v>1138</v>
      </c>
      <c r="D187" s="116">
        <v>85</v>
      </c>
      <c r="E187" s="118">
        <v>550</v>
      </c>
      <c r="F187" s="118">
        <v>1890</v>
      </c>
      <c r="G187" s="9" t="s">
        <v>100</v>
      </c>
      <c r="H187" s="124">
        <v>4.5</v>
      </c>
      <c r="I187" s="118">
        <v>90</v>
      </c>
      <c r="J187" s="118">
        <v>90</v>
      </c>
      <c r="K187" s="118">
        <v>90</v>
      </c>
      <c r="L187" s="124">
        <v>22.8</v>
      </c>
      <c r="M187" s="124">
        <v>6.7</v>
      </c>
      <c r="N187" s="81">
        <v>3.73</v>
      </c>
      <c r="O187" s="118">
        <v>17</v>
      </c>
      <c r="P187" s="124">
        <v>6</v>
      </c>
      <c r="Q187" s="81">
        <v>0.21</v>
      </c>
      <c r="R187" s="79">
        <v>22.36</v>
      </c>
      <c r="S187" s="79">
        <v>0.88</v>
      </c>
      <c r="T187" s="79">
        <v>0.7</v>
      </c>
      <c r="U187" s="85">
        <f t="shared" si="18"/>
        <v>1678.95</v>
      </c>
      <c r="V187" s="79">
        <f t="shared" si="19"/>
        <v>1460.6530250000001</v>
      </c>
      <c r="W187" s="79">
        <f t="shared" si="20"/>
        <v>0.86998006194347655</v>
      </c>
      <c r="X187" s="118">
        <v>2</v>
      </c>
      <c r="Y187" s="118">
        <v>3</v>
      </c>
      <c r="Z187" s="124">
        <v>6.25</v>
      </c>
      <c r="AA187" s="118">
        <v>19</v>
      </c>
      <c r="AB187" s="124">
        <v>6.6</v>
      </c>
      <c r="AC187" s="124">
        <v>6.2</v>
      </c>
      <c r="AD187" s="9">
        <v>0.39</v>
      </c>
      <c r="AE187" s="81">
        <v>0.7</v>
      </c>
      <c r="AF187" s="85">
        <f t="shared" si="21"/>
        <v>1259.2125000000001</v>
      </c>
      <c r="AG187" s="85">
        <f t="shared" si="22"/>
        <v>1814.3500117599995</v>
      </c>
      <c r="AH187" s="85">
        <f t="shared" si="23"/>
        <v>1.4408608648341716</v>
      </c>
      <c r="AI187" s="118">
        <v>2</v>
      </c>
      <c r="AJ187" s="118">
        <v>4</v>
      </c>
      <c r="AK187" s="81">
        <v>6.38</v>
      </c>
      <c r="AL187" s="81">
        <v>23</v>
      </c>
      <c r="AM187" s="124">
        <v>6.5</v>
      </c>
      <c r="AN187" s="124">
        <v>5.6</v>
      </c>
      <c r="AO187" s="81">
        <v>0.22</v>
      </c>
      <c r="AP187" s="129">
        <v>0.52</v>
      </c>
      <c r="AQ187" s="132">
        <f t="shared" si="14"/>
        <v>1773</v>
      </c>
      <c r="AR187" s="134">
        <f t="shared" si="15"/>
        <v>0.64184997179921033</v>
      </c>
      <c r="AS187" s="134">
        <f t="shared" si="16"/>
        <v>4.7941342357586014E-2</v>
      </c>
      <c r="AT187" s="134">
        <f t="shared" si="17"/>
        <v>0.3102086858432036</v>
      </c>
      <c r="AU187" s="43">
        <f>IF(AND(F187&lt;&gt;"",Y187&lt;&gt;""),AA187/(F187/2/Y187),"")</f>
        <v>6.0317460317460318E-2</v>
      </c>
      <c r="AV187" s="43">
        <f>IF(AND(F187&lt;&gt;"",AJ187&lt;&gt;""),AL187/(F187/2/AJ187),"")</f>
        <v>9.735449735449736E-2</v>
      </c>
      <c r="AW187" s="41">
        <f>IF(AND(AP187&lt;&gt;"",1-(AP187/N187)&gt;0),1-(AP187/N187),"")</f>
        <v>0.8605898123324397</v>
      </c>
      <c r="AX187" s="41">
        <f>IF(AND(AE187&lt;&gt;"",1-(AE187/N187)&gt;0),1-(AE187/N187),"")</f>
        <v>0.81233243967828417</v>
      </c>
      <c r="AY187" s="136" t="str">
        <f>IF(P187="","",IF(P187&lt;2.5,"Alc. Bruta &lt; 2,5 mg/L",IF(P187&lt;5,"2,5 ≤ Alc. Bruta &lt; 5,0 mg/L",IF(P187&lt;7.5,"5,0 ≤ Alc. Bruta &lt; 7,5 mg/L",IF(P187&lt;10,"7,5 ≤ Alc. Bruta &lt; 10,0 mg/L",IF(P187&lt;15,"10,0 ≤ Alca. Bruta &lt; 15,0 mg/L","Alc. Bruta &gt; 15 mg/L"))))))</f>
        <v>5,0 ≤ Alc. Bruta &lt; 7,5 mg/L</v>
      </c>
      <c r="AZ187" s="136" t="str">
        <f>IF(O187="","",IF(O187&lt;5,"Cor &lt;5 uC",IF(O187&lt;10,"5 ≤ Cor &lt; 10 uC",IF(O187&lt;15,"10 ≤ Cor &lt;15 uC",IF(O187&lt;30,"15 ≤ Cor &lt; 30 uC",IF(O187&lt;50,"30 ≤ Cor &lt; 50 uC","Cor &gt; 50 uC"))))))</f>
        <v>15 ≤ Cor &lt; 30 uC</v>
      </c>
      <c r="BA187" s="137" t="str">
        <f>IF(N187="","",IF(N187&lt;2.5,"Turbidez &lt; 2,5 uT",IF(N187&lt;5,"2,5 ≤ Turb &lt; 5,0 uT",IF(N187&lt;7.5,"5,0 ≤ Turb &lt; 7,5 uT",IF(N187&lt;10,"7,5 ≤ Turb &lt; 10,0 uT",IF(N187&lt;15,"10,0 ≤ Turb &lt; 15,0 uT","Turb &gt; 15 uT"))))))</f>
        <v>2,5 ≤ Turb &lt; 5,0 uT</v>
      </c>
      <c r="BB187" s="138" t="str">
        <f>IF(AND(C187&gt;D187,D187&gt;E187),"TOR &gt; SM &gt; BNN",IF(AND(C187&gt;E187,E187&gt;D187),"TOR &gt; BNN &gt; SM",IF(AND(D187&gt;C187,C187&gt;E187),"SM &gt; TOR &gt; BNN",IF(AND(D187&gt;E187,E187&gt;C187),"SM &gt; BNN &gt; TOR",IF(AND(C187=D187,D187=E187),"TOR = SM = BNN","Comb. diferentes")))))</f>
        <v>TOR &gt; BNN &gt; SM</v>
      </c>
      <c r="BC187" s="137" t="str">
        <f>IF(OR(AD187="",AP187="-"),"",IF(AD187&lt;=0.25,"Tipo 1 (≤0,25) uT",IF(AD187&lt;=0.5,"Tipo 2 (0,25-0,50) uT",IF(AD187&lt;=0.75,"Tipo 3 (0,50-0,75) uT","Tipo 4 (&gt;0,75) uT"))))</f>
        <v>Tipo 2 (0,25-0,50) uT</v>
      </c>
      <c r="BD187" s="137" t="str">
        <f>IF(OR(AO187="",AY187="-"),"",IF(AO187&lt;=0.25,"Tipo 1 (≤0,25) uT",IF(AO187&lt;=0.5,"Tipo 2 (0,25-0,50) uT",IF(AO187&lt;=0.75,"Tipo 3 (0,50-0,75) uT","Tipo 4 (&gt;0,75) uT"))))</f>
        <v>Tipo 1 (≤0,25) uT</v>
      </c>
      <c r="BE187" s="137" t="str">
        <f>IF(OR(AE187="",AP187="-"),"",IF(AE187&lt;=0.25,"Tipo 1 (≤0,25) uT",IF(AE187&lt;=0.5,"Tipo 2 (0,25-0,50) uT",IF(AE187&lt;=0.75,"Tipo 3 (0,50-0,75) uT","Tipo 4 (&gt;0,75) uT"))))</f>
        <v>Tipo 3 (0,50-0,75) uT</v>
      </c>
      <c r="BF187" s="137" t="str">
        <f>IF(OR(AP187="",AP187="-"),"",IF(AP187&lt;=0.25,"Tipo 1 (≤0,25) uT",IF(AP187&lt;=0.5,"Tipo 2 (0,25-0,50) uT",IF(AP187&lt;=0.75,"Tipo 3 (0,50-0,75) uT","Tipo 4 (&gt;0,75) uT"))))</f>
        <v>Tipo 3 (0,50-0,75) uT</v>
      </c>
      <c r="BG187" s="137" t="str">
        <f>IF(OR(Q187="",Q187="-"),"",IF(Q187&lt;=0.25,"Tipo 1 (≤0,25) uT",IF(Q187&lt;=0.5,"Tipo 2 (0,25-0,50) uT",IF(Q187&lt;=0.75,"Tipo 3 (0,50-0,75) uT","Tipo 4 (&gt;0,75) uT"))))</f>
        <v>Tipo 1 (≤0,25) uT</v>
      </c>
    </row>
    <row r="188" spans="1:59" x14ac:dyDescent="0.3">
      <c r="A188" s="26">
        <v>46147</v>
      </c>
      <c r="B188" s="107">
        <v>0.39583333333333331</v>
      </c>
      <c r="C188" s="116">
        <v>1128</v>
      </c>
      <c r="D188" s="116">
        <v>79</v>
      </c>
      <c r="E188" s="116">
        <v>550</v>
      </c>
      <c r="F188" s="116">
        <v>1885</v>
      </c>
      <c r="G188" s="10" t="s">
        <v>100</v>
      </c>
      <c r="H188" s="122">
        <v>4.5</v>
      </c>
      <c r="I188" s="116">
        <v>90</v>
      </c>
      <c r="J188" s="116">
        <v>90</v>
      </c>
      <c r="K188" s="116">
        <v>90</v>
      </c>
      <c r="L188" s="122">
        <v>23.1</v>
      </c>
      <c r="M188" s="122">
        <v>6.8</v>
      </c>
      <c r="N188" s="79">
        <v>4.13</v>
      </c>
      <c r="O188" s="116">
        <v>19.5</v>
      </c>
      <c r="P188" s="122">
        <v>6.1</v>
      </c>
      <c r="Q188" s="79">
        <v>0.54</v>
      </c>
      <c r="R188" s="79">
        <v>22.36</v>
      </c>
      <c r="S188" s="79">
        <v>0.88</v>
      </c>
      <c r="T188" s="79">
        <v>0.7</v>
      </c>
      <c r="U188" s="85">
        <f t="shared" si="18"/>
        <v>1800.175</v>
      </c>
      <c r="V188" s="79">
        <f t="shared" si="19"/>
        <v>1444.9527050400002</v>
      </c>
      <c r="W188" s="79">
        <f t="shared" si="20"/>
        <v>0.8026734651020041</v>
      </c>
      <c r="X188" s="116">
        <v>2</v>
      </c>
      <c r="Y188" s="116">
        <v>3</v>
      </c>
      <c r="Z188" s="122">
        <v>6.47</v>
      </c>
      <c r="AA188" s="116">
        <v>18</v>
      </c>
      <c r="AB188" s="122">
        <v>6.7</v>
      </c>
      <c r="AC188" s="122">
        <v>6.4</v>
      </c>
      <c r="AD188" s="10">
        <v>0.98</v>
      </c>
      <c r="AE188" s="79">
        <v>1.03</v>
      </c>
      <c r="AF188" s="85">
        <f t="shared" si="21"/>
        <v>1350.1312499999999</v>
      </c>
      <c r="AG188" s="85">
        <f t="shared" si="22"/>
        <v>1749.0599297599999</v>
      </c>
      <c r="AH188" s="85">
        <f t="shared" si="23"/>
        <v>1.2954739991093458</v>
      </c>
      <c r="AI188" s="116">
        <v>2</v>
      </c>
      <c r="AJ188" s="116">
        <v>4</v>
      </c>
      <c r="AK188" s="79">
        <v>6.42</v>
      </c>
      <c r="AL188" s="79">
        <v>22</v>
      </c>
      <c r="AM188" s="122">
        <v>6.5</v>
      </c>
      <c r="AN188" s="122">
        <v>5.2</v>
      </c>
      <c r="AO188" s="79">
        <v>0.2</v>
      </c>
      <c r="AP188" s="127">
        <v>0.64</v>
      </c>
      <c r="AQ188" s="132">
        <f t="shared" si="14"/>
        <v>1757</v>
      </c>
      <c r="AR188" s="134">
        <f t="shared" si="15"/>
        <v>0.64200341491178148</v>
      </c>
      <c r="AS188" s="134">
        <f t="shared" si="16"/>
        <v>4.4963005122367672E-2</v>
      </c>
      <c r="AT188" s="134">
        <f t="shared" si="17"/>
        <v>0.31303357996585091</v>
      </c>
      <c r="AU188" s="43">
        <f>IF(AND(F188&lt;&gt;"",Y188&lt;&gt;""),AA188/(F188/2/Y188),"")</f>
        <v>5.7294429708222808E-2</v>
      </c>
      <c r="AV188" s="43">
        <f>IF(AND(F188&lt;&gt;"",AJ188&lt;&gt;""),AL188/(F188/2/AJ188),"")</f>
        <v>9.3368700265251986E-2</v>
      </c>
      <c r="AW188" s="41">
        <f>IF(AND(AP188&lt;&gt;"",1-(AP188/N188)&gt;0),1-(AP188/N188),"")</f>
        <v>0.84503631961259074</v>
      </c>
      <c r="AX188" s="41">
        <f>IF(AND(AE188&lt;&gt;"",1-(AE188/N188)&gt;0),1-(AE188/N188),"")</f>
        <v>0.75060532687651327</v>
      </c>
      <c r="AY188" s="136" t="str">
        <f>IF(P188="","",IF(P188&lt;2.5,"Alc. Bruta &lt; 2,5 mg/L",IF(P188&lt;5,"2,5 ≤ Alc. Bruta &lt; 5,0 mg/L",IF(P188&lt;7.5,"5,0 ≤ Alc. Bruta &lt; 7,5 mg/L",IF(P188&lt;10,"7,5 ≤ Alc. Bruta &lt; 10,0 mg/L",IF(P188&lt;15,"10,0 ≤ Alca. Bruta &lt; 15,0 mg/L","Alc. Bruta &gt; 15 mg/L"))))))</f>
        <v>5,0 ≤ Alc. Bruta &lt; 7,5 mg/L</v>
      </c>
      <c r="AZ188" s="136" t="str">
        <f>IF(O188="","",IF(O188&lt;5,"Cor &lt;5 uC",IF(O188&lt;10,"5 ≤ Cor &lt; 10 uC",IF(O188&lt;15,"10 ≤ Cor &lt;15 uC",IF(O188&lt;30,"15 ≤ Cor &lt; 30 uC",IF(O188&lt;50,"30 ≤ Cor &lt; 50 uC","Cor &gt; 50 uC"))))))</f>
        <v>15 ≤ Cor &lt; 30 uC</v>
      </c>
      <c r="BA188" s="137" t="str">
        <f>IF(N188="","",IF(N188&lt;2.5,"Turbidez &lt; 2,5 uT",IF(N188&lt;5,"2,5 ≤ Turb &lt; 5,0 uT",IF(N188&lt;7.5,"5,0 ≤ Turb &lt; 7,5 uT",IF(N188&lt;10,"7,5 ≤ Turb &lt; 10,0 uT",IF(N188&lt;15,"10,0 ≤ Turb &lt; 15,0 uT","Turb &gt; 15 uT"))))))</f>
        <v>2,5 ≤ Turb &lt; 5,0 uT</v>
      </c>
      <c r="BB188" s="138" t="str">
        <f>IF(AND(C188&gt;D188,D188&gt;E188),"TOR &gt; SM &gt; BNN",IF(AND(C188&gt;E188,E188&gt;D188),"TOR &gt; BNN &gt; SM",IF(AND(D188&gt;C188,C188&gt;E188),"SM &gt; TOR &gt; BNN",IF(AND(D188&gt;E188,E188&gt;C188),"SM &gt; BNN &gt; TOR",IF(AND(C188=D188,D188=E188),"TOR = SM = BNN","Comb. diferentes")))))</f>
        <v>TOR &gt; BNN &gt; SM</v>
      </c>
      <c r="BC188" s="137" t="str">
        <f>IF(OR(AD188="",AP188="-"),"",IF(AD188&lt;=0.25,"Tipo 1 (≤0,25) uT",IF(AD188&lt;=0.5,"Tipo 2 (0,25-0,50) uT",IF(AD188&lt;=0.75,"Tipo 3 (0,50-0,75) uT","Tipo 4 (&gt;0,75) uT"))))</f>
        <v>Tipo 4 (&gt;0,75) uT</v>
      </c>
      <c r="BD188" s="137" t="str">
        <f>IF(OR(AO188="",AY188="-"),"",IF(AO188&lt;=0.25,"Tipo 1 (≤0,25) uT",IF(AO188&lt;=0.5,"Tipo 2 (0,25-0,50) uT",IF(AO188&lt;=0.75,"Tipo 3 (0,50-0,75) uT","Tipo 4 (&gt;0,75) uT"))))</f>
        <v>Tipo 1 (≤0,25) uT</v>
      </c>
      <c r="BE188" s="137" t="str">
        <f>IF(OR(AE188="",AP188="-"),"",IF(AE188&lt;=0.25,"Tipo 1 (≤0,25) uT",IF(AE188&lt;=0.5,"Tipo 2 (0,25-0,50) uT",IF(AE188&lt;=0.75,"Tipo 3 (0,50-0,75) uT","Tipo 4 (&gt;0,75) uT"))))</f>
        <v>Tipo 4 (&gt;0,75) uT</v>
      </c>
      <c r="BF188" s="137" t="str">
        <f>IF(OR(AP188="",AP188="-"),"",IF(AP188&lt;=0.25,"Tipo 1 (≤0,25) uT",IF(AP188&lt;=0.5,"Tipo 2 (0,25-0,50) uT",IF(AP188&lt;=0.75,"Tipo 3 (0,50-0,75) uT","Tipo 4 (&gt;0,75) uT"))))</f>
        <v>Tipo 3 (0,50-0,75) uT</v>
      </c>
      <c r="BG188" s="137" t="str">
        <f>IF(OR(Q188="",Q188="-"),"",IF(Q188&lt;=0.25,"Tipo 1 (≤0,25) uT",IF(Q188&lt;=0.5,"Tipo 2 (0,25-0,50) uT",IF(Q188&lt;=0.75,"Tipo 3 (0,50-0,75) uT","Tipo 4 (&gt;0,75) uT"))))</f>
        <v>Tipo 3 (0,50-0,75) uT</v>
      </c>
    </row>
    <row r="189" spans="1:59" x14ac:dyDescent="0.3">
      <c r="A189" s="26">
        <v>46147</v>
      </c>
      <c r="B189" s="107">
        <v>0.47916666666666669</v>
      </c>
      <c r="C189" s="116">
        <v>1230</v>
      </c>
      <c r="D189" s="116">
        <v>84</v>
      </c>
      <c r="E189" s="116">
        <v>551</v>
      </c>
      <c r="F189" s="116">
        <v>1799</v>
      </c>
      <c r="G189" s="10" t="s">
        <v>100</v>
      </c>
      <c r="H189" s="122">
        <v>4.5</v>
      </c>
      <c r="I189" s="116">
        <v>90</v>
      </c>
      <c r="J189" s="116">
        <v>90</v>
      </c>
      <c r="K189" s="116">
        <v>90</v>
      </c>
      <c r="L189" s="122">
        <v>23.7</v>
      </c>
      <c r="M189" s="122">
        <v>6.6</v>
      </c>
      <c r="N189" s="79">
        <v>4.17</v>
      </c>
      <c r="O189" s="116">
        <v>16</v>
      </c>
      <c r="P189" s="122">
        <v>6.7</v>
      </c>
      <c r="Q189" s="79">
        <v>0.44</v>
      </c>
      <c r="R189" s="79">
        <v>22.36</v>
      </c>
      <c r="S189" s="79">
        <v>0.88</v>
      </c>
      <c r="T189" s="79">
        <v>0.7</v>
      </c>
      <c r="U189" s="85">
        <f t="shared" si="18"/>
        <v>1730.0383333333332</v>
      </c>
      <c r="V189" s="79">
        <f t="shared" si="19"/>
        <v>1444.5916715360001</v>
      </c>
      <c r="W189" s="79">
        <f t="shared" si="20"/>
        <v>0.83500558554251703</v>
      </c>
      <c r="X189" s="116">
        <v>2</v>
      </c>
      <c r="Y189" s="116">
        <v>3</v>
      </c>
      <c r="Z189" s="122">
        <v>6.44</v>
      </c>
      <c r="AA189" s="116">
        <v>18.100000000000001</v>
      </c>
      <c r="AB189" s="122">
        <v>6.5</v>
      </c>
      <c r="AC189" s="122">
        <v>5.9</v>
      </c>
      <c r="AD189" s="10">
        <v>0.46</v>
      </c>
      <c r="AE189" s="79">
        <v>1.61</v>
      </c>
      <c r="AF189" s="85">
        <f t="shared" si="21"/>
        <v>1297.5287499999999</v>
      </c>
      <c r="AG189" s="85">
        <f t="shared" si="22"/>
        <v>1747.8761108640001</v>
      </c>
      <c r="AH189" s="85">
        <f t="shared" si="23"/>
        <v>1.3470808341348892</v>
      </c>
      <c r="AI189" s="116">
        <v>2</v>
      </c>
      <c r="AJ189" s="116">
        <v>4</v>
      </c>
      <c r="AK189" s="79">
        <v>6.44</v>
      </c>
      <c r="AL189" s="79">
        <v>21.9</v>
      </c>
      <c r="AM189" s="122">
        <v>6.5</v>
      </c>
      <c r="AN189" s="122">
        <v>5.5</v>
      </c>
      <c r="AO189" s="79">
        <v>0.39</v>
      </c>
      <c r="AP189" s="127">
        <v>0.67</v>
      </c>
      <c r="AQ189" s="132">
        <f t="shared" si="14"/>
        <v>1865</v>
      </c>
      <c r="AR189" s="134">
        <f t="shared" si="15"/>
        <v>0.65951742627345844</v>
      </c>
      <c r="AS189" s="134">
        <f t="shared" si="16"/>
        <v>4.5040214477211793E-2</v>
      </c>
      <c r="AT189" s="134">
        <f t="shared" si="17"/>
        <v>0.29544235924932977</v>
      </c>
      <c r="AU189" s="43">
        <f>IF(AND(F189&lt;&gt;"",Y189&lt;&gt;""),AA189/(F189/2/Y189),"")</f>
        <v>6.0366870483602009E-2</v>
      </c>
      <c r="AV189" s="43">
        <f>IF(AND(F189&lt;&gt;"",AJ189&lt;&gt;""),AL189/(F189/2/AJ189),"")</f>
        <v>9.7387437465258464E-2</v>
      </c>
      <c r="AW189" s="41">
        <f>IF(AND(AP189&lt;&gt;"",1-(AP189/N189)&gt;0),1-(AP189/N189),"")</f>
        <v>0.83932853717026379</v>
      </c>
      <c r="AX189" s="41">
        <f>IF(AND(AE189&lt;&gt;"",1-(AE189/N189)&gt;0),1-(AE189/N189),"")</f>
        <v>0.61390887290167862</v>
      </c>
      <c r="AY189" s="136" t="str">
        <f>IF(P189="","",IF(P189&lt;2.5,"Alc. Bruta &lt; 2,5 mg/L",IF(P189&lt;5,"2,5 ≤ Alc. Bruta &lt; 5,0 mg/L",IF(P189&lt;7.5,"5,0 ≤ Alc. Bruta &lt; 7,5 mg/L",IF(P189&lt;10,"7,5 ≤ Alc. Bruta &lt; 10,0 mg/L",IF(P189&lt;15,"10,0 ≤ Alca. Bruta &lt; 15,0 mg/L","Alc. Bruta &gt; 15 mg/L"))))))</f>
        <v>5,0 ≤ Alc. Bruta &lt; 7,5 mg/L</v>
      </c>
      <c r="AZ189" s="136" t="str">
        <f>IF(O189="","",IF(O189&lt;5,"Cor &lt;5 uC",IF(O189&lt;10,"5 ≤ Cor &lt; 10 uC",IF(O189&lt;15,"10 ≤ Cor &lt;15 uC",IF(O189&lt;30,"15 ≤ Cor &lt; 30 uC",IF(O189&lt;50,"30 ≤ Cor &lt; 50 uC","Cor &gt; 50 uC"))))))</f>
        <v>15 ≤ Cor &lt; 30 uC</v>
      </c>
      <c r="BA189" s="137" t="str">
        <f>IF(N189="","",IF(N189&lt;2.5,"Turbidez &lt; 2,5 uT",IF(N189&lt;5,"2,5 ≤ Turb &lt; 5,0 uT",IF(N189&lt;7.5,"5,0 ≤ Turb &lt; 7,5 uT",IF(N189&lt;10,"7,5 ≤ Turb &lt; 10,0 uT",IF(N189&lt;15,"10,0 ≤ Turb &lt; 15,0 uT","Turb &gt; 15 uT"))))))</f>
        <v>2,5 ≤ Turb &lt; 5,0 uT</v>
      </c>
      <c r="BB189" s="138" t="str">
        <f>IF(AND(C189&gt;D189,D189&gt;E189),"TOR &gt; SM &gt; BNN",IF(AND(C189&gt;E189,E189&gt;D189),"TOR &gt; BNN &gt; SM",IF(AND(D189&gt;C189,C189&gt;E189),"SM &gt; TOR &gt; BNN",IF(AND(D189&gt;E189,E189&gt;C189),"SM &gt; BNN &gt; TOR",IF(AND(C189=D189,D189=E189),"TOR = SM = BNN","Comb. diferentes")))))</f>
        <v>TOR &gt; BNN &gt; SM</v>
      </c>
      <c r="BC189" s="137" t="str">
        <f>IF(OR(AD189="",AP189="-"),"",IF(AD189&lt;=0.25,"Tipo 1 (≤0,25) uT",IF(AD189&lt;=0.5,"Tipo 2 (0,25-0,50) uT",IF(AD189&lt;=0.75,"Tipo 3 (0,50-0,75) uT","Tipo 4 (&gt;0,75) uT"))))</f>
        <v>Tipo 2 (0,25-0,50) uT</v>
      </c>
      <c r="BD189" s="137" t="str">
        <f>IF(OR(AO189="",AY189="-"),"",IF(AO189&lt;=0.25,"Tipo 1 (≤0,25) uT",IF(AO189&lt;=0.5,"Tipo 2 (0,25-0,50) uT",IF(AO189&lt;=0.75,"Tipo 3 (0,50-0,75) uT","Tipo 4 (&gt;0,75) uT"))))</f>
        <v>Tipo 2 (0,25-0,50) uT</v>
      </c>
      <c r="BE189" s="137" t="str">
        <f>IF(OR(AE189="",AP189="-"),"",IF(AE189&lt;=0.25,"Tipo 1 (≤0,25) uT",IF(AE189&lt;=0.5,"Tipo 2 (0,25-0,50) uT",IF(AE189&lt;=0.75,"Tipo 3 (0,50-0,75) uT","Tipo 4 (&gt;0,75) uT"))))</f>
        <v>Tipo 4 (&gt;0,75) uT</v>
      </c>
      <c r="BF189" s="137" t="str">
        <f>IF(OR(AP189="",AP189="-"),"",IF(AP189&lt;=0.25,"Tipo 1 (≤0,25) uT",IF(AP189&lt;=0.5,"Tipo 2 (0,25-0,50) uT",IF(AP189&lt;=0.75,"Tipo 3 (0,50-0,75) uT","Tipo 4 (&gt;0,75) uT"))))</f>
        <v>Tipo 3 (0,50-0,75) uT</v>
      </c>
      <c r="BG189" s="137" t="str">
        <f>IF(OR(Q189="",Q189="-"),"",IF(Q189&lt;=0.25,"Tipo 1 (≤0,25) uT",IF(Q189&lt;=0.5,"Tipo 2 (0,25-0,50) uT",IF(Q189&lt;=0.75,"Tipo 3 (0,50-0,75) uT","Tipo 4 (&gt;0,75) uT"))))</f>
        <v>Tipo 2 (0,25-0,50) uT</v>
      </c>
    </row>
    <row r="190" spans="1:59" x14ac:dyDescent="0.3">
      <c r="A190" s="26">
        <v>46147</v>
      </c>
      <c r="B190" s="107">
        <v>0.72916666666666663</v>
      </c>
      <c r="C190" s="116">
        <v>1505</v>
      </c>
      <c r="D190" s="116">
        <v>88</v>
      </c>
      <c r="E190" s="116">
        <v>400</v>
      </c>
      <c r="F190" s="116">
        <v>2233</v>
      </c>
      <c r="G190" s="10" t="s">
        <v>100</v>
      </c>
      <c r="H190" s="122">
        <v>4.5</v>
      </c>
      <c r="I190" s="116">
        <v>90</v>
      </c>
      <c r="J190" s="116">
        <v>90</v>
      </c>
      <c r="K190" s="116">
        <v>90</v>
      </c>
      <c r="L190" s="122">
        <v>23.4</v>
      </c>
      <c r="M190" s="122">
        <v>6.7</v>
      </c>
      <c r="N190" s="79">
        <v>4.88</v>
      </c>
      <c r="O190" s="116">
        <v>18</v>
      </c>
      <c r="P190" s="122">
        <v>6.2</v>
      </c>
      <c r="Q190" s="79">
        <v>0.11</v>
      </c>
      <c r="R190" s="79">
        <v>22.36</v>
      </c>
      <c r="S190" s="79">
        <v>0.88</v>
      </c>
      <c r="T190" s="79">
        <v>0.7</v>
      </c>
      <c r="U190" s="85">
        <f t="shared" si="18"/>
        <v>2411.64</v>
      </c>
      <c r="V190" s="79">
        <f t="shared" si="19"/>
        <v>1525.9596534</v>
      </c>
      <c r="W190" s="79">
        <f t="shared" si="20"/>
        <v>0.63274769592476487</v>
      </c>
      <c r="X190" s="116">
        <v>2</v>
      </c>
      <c r="Y190" s="116">
        <v>3</v>
      </c>
      <c r="Z190" s="122">
        <v>6.5</v>
      </c>
      <c r="AA190" s="116">
        <v>18.899999999999999</v>
      </c>
      <c r="AB190" s="122">
        <v>6.5</v>
      </c>
      <c r="AC190" s="122">
        <v>4.8</v>
      </c>
      <c r="AD190" s="10">
        <v>0.33</v>
      </c>
      <c r="AE190" s="79">
        <v>0.98</v>
      </c>
      <c r="AF190" s="85">
        <f t="shared" si="21"/>
        <v>1808.7299999999998</v>
      </c>
      <c r="AG190" s="85">
        <f t="shared" si="22"/>
        <v>1790.1358512440002</v>
      </c>
      <c r="AH190" s="85">
        <f t="shared" si="23"/>
        <v>0.98971977644203413</v>
      </c>
      <c r="AI190" s="116">
        <v>2</v>
      </c>
      <c r="AJ190" s="116">
        <v>4</v>
      </c>
      <c r="AK190" s="79">
        <v>6.47</v>
      </c>
      <c r="AL190" s="79">
        <v>22.3</v>
      </c>
      <c r="AM190" s="122">
        <v>6.5</v>
      </c>
      <c r="AN190" s="122">
        <v>5.0999999999999996</v>
      </c>
      <c r="AO190" s="79">
        <v>0.14000000000000001</v>
      </c>
      <c r="AP190" s="127">
        <v>0.38</v>
      </c>
      <c r="AQ190" s="132">
        <f t="shared" si="14"/>
        <v>1993</v>
      </c>
      <c r="AR190" s="134">
        <f t="shared" si="15"/>
        <v>0.7551430005017562</v>
      </c>
      <c r="AS190" s="134">
        <f t="shared" si="16"/>
        <v>4.415454089312594E-2</v>
      </c>
      <c r="AT190" s="134">
        <f t="shared" si="17"/>
        <v>0.2007024586051179</v>
      </c>
      <c r="AU190" s="43">
        <f>IF(AND(F190&lt;&gt;"",Y190&lt;&gt;""),AA190/(F190/2/Y190),"")</f>
        <v>5.0783699059561122E-2</v>
      </c>
      <c r="AV190" s="43">
        <f>IF(AND(F190&lt;&gt;"",AJ190&lt;&gt;""),AL190/(F190/2/AJ190),"")</f>
        <v>7.9892521271831621E-2</v>
      </c>
      <c r="AW190" s="41">
        <f>IF(AND(AP190&lt;&gt;"",1-(AP190/N190)&gt;0),1-(AP190/N190),"")</f>
        <v>0.92213114754098358</v>
      </c>
      <c r="AX190" s="41">
        <f>IF(AND(AE190&lt;&gt;"",1-(AE190/N190)&gt;0),1-(AE190/N190),"")</f>
        <v>0.79918032786885251</v>
      </c>
      <c r="AY190" s="136" t="str">
        <f>IF(P190="","",IF(P190&lt;2.5,"Alc. Bruta &lt; 2,5 mg/L",IF(P190&lt;5,"2,5 ≤ Alc. Bruta &lt; 5,0 mg/L",IF(P190&lt;7.5,"5,0 ≤ Alc. Bruta &lt; 7,5 mg/L",IF(P190&lt;10,"7,5 ≤ Alc. Bruta &lt; 10,0 mg/L",IF(P190&lt;15,"10,0 ≤ Alca. Bruta &lt; 15,0 mg/L","Alc. Bruta &gt; 15 mg/L"))))))</f>
        <v>5,0 ≤ Alc. Bruta &lt; 7,5 mg/L</v>
      </c>
      <c r="AZ190" s="136" t="str">
        <f>IF(O190="","",IF(O190&lt;5,"Cor &lt;5 uC",IF(O190&lt;10,"5 ≤ Cor &lt; 10 uC",IF(O190&lt;15,"10 ≤ Cor &lt;15 uC",IF(O190&lt;30,"15 ≤ Cor &lt; 30 uC",IF(O190&lt;50,"30 ≤ Cor &lt; 50 uC","Cor &gt; 50 uC"))))))</f>
        <v>15 ≤ Cor &lt; 30 uC</v>
      </c>
      <c r="BA190" s="137" t="str">
        <f>IF(N190="","",IF(N190&lt;2.5,"Turbidez &lt; 2,5 uT",IF(N190&lt;5,"2,5 ≤ Turb &lt; 5,0 uT",IF(N190&lt;7.5,"5,0 ≤ Turb &lt; 7,5 uT",IF(N190&lt;10,"7,5 ≤ Turb &lt; 10,0 uT",IF(N190&lt;15,"10,0 ≤ Turb &lt; 15,0 uT","Turb &gt; 15 uT"))))))</f>
        <v>2,5 ≤ Turb &lt; 5,0 uT</v>
      </c>
      <c r="BB190" s="138" t="str">
        <f>IF(AND(C190&gt;D190,D190&gt;E190),"TOR &gt; SM &gt; BNN",IF(AND(C190&gt;E190,E190&gt;D190),"TOR &gt; BNN &gt; SM",IF(AND(D190&gt;C190,C190&gt;E190),"SM &gt; TOR &gt; BNN",IF(AND(D190&gt;E190,E190&gt;C190),"SM &gt; BNN &gt; TOR",IF(AND(C190=D190,D190=E190),"TOR = SM = BNN","Comb. diferentes")))))</f>
        <v>TOR &gt; BNN &gt; SM</v>
      </c>
      <c r="BC190" s="137" t="str">
        <f>IF(OR(AD190="",AP190="-"),"",IF(AD190&lt;=0.25,"Tipo 1 (≤0,25) uT",IF(AD190&lt;=0.5,"Tipo 2 (0,25-0,50) uT",IF(AD190&lt;=0.75,"Tipo 3 (0,50-0,75) uT","Tipo 4 (&gt;0,75) uT"))))</f>
        <v>Tipo 2 (0,25-0,50) uT</v>
      </c>
      <c r="BD190" s="137" t="str">
        <f>IF(OR(AO190="",AY190="-"),"",IF(AO190&lt;=0.25,"Tipo 1 (≤0,25) uT",IF(AO190&lt;=0.5,"Tipo 2 (0,25-0,50) uT",IF(AO190&lt;=0.75,"Tipo 3 (0,50-0,75) uT","Tipo 4 (&gt;0,75) uT"))))</f>
        <v>Tipo 1 (≤0,25) uT</v>
      </c>
      <c r="BE190" s="137" t="str">
        <f>IF(OR(AE190="",AP190="-"),"",IF(AE190&lt;=0.25,"Tipo 1 (≤0,25) uT",IF(AE190&lt;=0.5,"Tipo 2 (0,25-0,50) uT",IF(AE190&lt;=0.75,"Tipo 3 (0,50-0,75) uT","Tipo 4 (&gt;0,75) uT"))))</f>
        <v>Tipo 4 (&gt;0,75) uT</v>
      </c>
      <c r="BF190" s="137" t="str">
        <f>IF(OR(AP190="",AP190="-"),"",IF(AP190&lt;=0.25,"Tipo 1 (≤0,25) uT",IF(AP190&lt;=0.5,"Tipo 2 (0,25-0,50) uT",IF(AP190&lt;=0.75,"Tipo 3 (0,50-0,75) uT","Tipo 4 (&gt;0,75) uT"))))</f>
        <v>Tipo 2 (0,25-0,50) uT</v>
      </c>
      <c r="BG190" s="137" t="str">
        <f>IF(OR(Q190="",Q190="-"),"",IF(Q190&lt;=0.25,"Tipo 1 (≤0,25) uT",IF(Q190&lt;=0.5,"Tipo 2 (0,25-0,50) uT",IF(Q190&lt;=0.75,"Tipo 3 (0,50-0,75) uT","Tipo 4 (&gt;0,75) uT"))))</f>
        <v>Tipo 1 (≤0,25) uT</v>
      </c>
    </row>
    <row r="191" spans="1:59" x14ac:dyDescent="0.3">
      <c r="A191" s="26">
        <v>46147</v>
      </c>
      <c r="B191" s="107">
        <v>0.8125</v>
      </c>
      <c r="C191" s="116">
        <v>1505</v>
      </c>
      <c r="D191" s="116">
        <v>88</v>
      </c>
      <c r="E191" s="116">
        <v>400</v>
      </c>
      <c r="F191" s="116">
        <v>2239</v>
      </c>
      <c r="G191" s="10" t="s">
        <v>100</v>
      </c>
      <c r="H191" s="122">
        <v>5</v>
      </c>
      <c r="I191" s="116">
        <v>90</v>
      </c>
      <c r="J191" s="116">
        <v>90</v>
      </c>
      <c r="K191" s="116">
        <v>90</v>
      </c>
      <c r="L191" s="122">
        <v>24.1</v>
      </c>
      <c r="M191" s="122">
        <v>6.8</v>
      </c>
      <c r="N191" s="79">
        <v>4.5999999999999996</v>
      </c>
      <c r="O191" s="116">
        <v>20</v>
      </c>
      <c r="P191" s="122">
        <v>6.2</v>
      </c>
      <c r="Q191" s="79">
        <v>7.0000000000000007E-2</v>
      </c>
      <c r="R191" s="79">
        <v>22.36</v>
      </c>
      <c r="S191" s="79">
        <v>0.88</v>
      </c>
      <c r="T191" s="79">
        <v>0.7</v>
      </c>
      <c r="U191" s="85">
        <f t="shared" si="18"/>
        <v>1777.20625</v>
      </c>
      <c r="V191" s="79">
        <f t="shared" si="19"/>
        <v>1388.7600998440003</v>
      </c>
      <c r="W191" s="79">
        <f t="shared" si="20"/>
        <v>0.7814287733030425</v>
      </c>
      <c r="X191" s="116">
        <v>3</v>
      </c>
      <c r="Y191" s="116">
        <v>4</v>
      </c>
      <c r="Z191" s="122">
        <v>6.47</v>
      </c>
      <c r="AA191" s="116">
        <v>17.3</v>
      </c>
      <c r="AB191" s="122">
        <v>6.5</v>
      </c>
      <c r="AC191" s="122">
        <v>6.4</v>
      </c>
      <c r="AD191" s="10">
        <v>0.95</v>
      </c>
      <c r="AE191" s="79">
        <v>0.21</v>
      </c>
      <c r="AF191" s="85">
        <f t="shared" si="21"/>
        <v>1777.20625</v>
      </c>
      <c r="AG191" s="85">
        <f t="shared" si="22"/>
        <v>1542.1073746000002</v>
      </c>
      <c r="AH191" s="85">
        <f t="shared" si="23"/>
        <v>0.86771435481953785</v>
      </c>
      <c r="AI191" s="116">
        <v>3</v>
      </c>
      <c r="AJ191" s="116">
        <v>4</v>
      </c>
      <c r="AK191" s="79">
        <v>6.5</v>
      </c>
      <c r="AL191" s="79">
        <v>19.100000000000001</v>
      </c>
      <c r="AM191" s="122">
        <v>6.5</v>
      </c>
      <c r="AN191" s="122">
        <v>6.3</v>
      </c>
      <c r="AO191" s="79">
        <v>0.21</v>
      </c>
      <c r="AP191" s="127">
        <v>0.34</v>
      </c>
      <c r="AQ191" s="132">
        <f t="shared" si="14"/>
        <v>1993</v>
      </c>
      <c r="AR191" s="134">
        <f t="shared" si="15"/>
        <v>0.7551430005017562</v>
      </c>
      <c r="AS191" s="134">
        <f t="shared" si="16"/>
        <v>4.415454089312594E-2</v>
      </c>
      <c r="AT191" s="134">
        <f t="shared" si="17"/>
        <v>0.2007024586051179</v>
      </c>
      <c r="AU191" s="43">
        <f>IF(AND(F191&lt;&gt;"",Y191&lt;&gt;""),AA191/(F191/2/Y191),"")</f>
        <v>6.1813309513175527E-2</v>
      </c>
      <c r="AV191" s="43">
        <f>IF(AND(F191&lt;&gt;"",AJ191&lt;&gt;""),AL191/(F191/2/AJ191),"")</f>
        <v>6.8244752121482816E-2</v>
      </c>
      <c r="AW191" s="41">
        <f>IF(AND(AP191&lt;&gt;"",1-(AP191/N191)&gt;0),1-(AP191/N191),"")</f>
        <v>0.92608695652173911</v>
      </c>
      <c r="AX191" s="41">
        <f>IF(AND(AE191&lt;&gt;"",1-(AE191/N191)&gt;0),1-(AE191/N191),"")</f>
        <v>0.95434782608695656</v>
      </c>
      <c r="AY191" s="136" t="str">
        <f>IF(P191="","",IF(P191&lt;2.5,"Alc. Bruta &lt; 2,5 mg/L",IF(P191&lt;5,"2,5 ≤ Alc. Bruta &lt; 5,0 mg/L",IF(P191&lt;7.5,"5,0 ≤ Alc. Bruta &lt; 7,5 mg/L",IF(P191&lt;10,"7,5 ≤ Alc. Bruta &lt; 10,0 mg/L",IF(P191&lt;15,"10,0 ≤ Alca. Bruta &lt; 15,0 mg/L","Alc. Bruta &gt; 15 mg/L"))))))</f>
        <v>5,0 ≤ Alc. Bruta &lt; 7,5 mg/L</v>
      </c>
      <c r="AZ191" s="136" t="str">
        <f>IF(O191="","",IF(O191&lt;5,"Cor &lt;5 uC",IF(O191&lt;10,"5 ≤ Cor &lt; 10 uC",IF(O191&lt;15,"10 ≤ Cor &lt;15 uC",IF(O191&lt;30,"15 ≤ Cor &lt; 30 uC",IF(O191&lt;50,"30 ≤ Cor &lt; 50 uC","Cor &gt; 50 uC"))))))</f>
        <v>15 ≤ Cor &lt; 30 uC</v>
      </c>
      <c r="BA191" s="137" t="str">
        <f>IF(N191="","",IF(N191&lt;2.5,"Turbidez &lt; 2,5 uT",IF(N191&lt;5,"2,5 ≤ Turb &lt; 5,0 uT",IF(N191&lt;7.5,"5,0 ≤ Turb &lt; 7,5 uT",IF(N191&lt;10,"7,5 ≤ Turb &lt; 10,0 uT",IF(N191&lt;15,"10,0 ≤ Turb &lt; 15,0 uT","Turb &gt; 15 uT"))))))</f>
        <v>2,5 ≤ Turb &lt; 5,0 uT</v>
      </c>
      <c r="BB191" s="138" t="str">
        <f>IF(AND(C191&gt;D191,D191&gt;E191),"TOR &gt; SM &gt; BNN",IF(AND(C191&gt;E191,E191&gt;D191),"TOR &gt; BNN &gt; SM",IF(AND(D191&gt;C191,C191&gt;E191),"SM &gt; TOR &gt; BNN",IF(AND(D191&gt;E191,E191&gt;C191),"SM &gt; BNN &gt; TOR",IF(AND(C191=D191,D191=E191),"TOR = SM = BNN","Comb. diferentes")))))</f>
        <v>TOR &gt; BNN &gt; SM</v>
      </c>
      <c r="BC191" s="137" t="str">
        <f>IF(OR(AD191="",AP191="-"),"",IF(AD191&lt;=0.25,"Tipo 1 (≤0,25) uT",IF(AD191&lt;=0.5,"Tipo 2 (0,25-0,50) uT",IF(AD191&lt;=0.75,"Tipo 3 (0,50-0,75) uT","Tipo 4 (&gt;0,75) uT"))))</f>
        <v>Tipo 4 (&gt;0,75) uT</v>
      </c>
      <c r="BD191" s="137" t="str">
        <f>IF(OR(AO191="",AY191="-"),"",IF(AO191&lt;=0.25,"Tipo 1 (≤0,25) uT",IF(AO191&lt;=0.5,"Tipo 2 (0,25-0,50) uT",IF(AO191&lt;=0.75,"Tipo 3 (0,50-0,75) uT","Tipo 4 (&gt;0,75) uT"))))</f>
        <v>Tipo 1 (≤0,25) uT</v>
      </c>
      <c r="BE191" s="137" t="str">
        <f>IF(OR(AE191="",AP191="-"),"",IF(AE191&lt;=0.25,"Tipo 1 (≤0,25) uT",IF(AE191&lt;=0.5,"Tipo 2 (0,25-0,50) uT",IF(AE191&lt;=0.75,"Tipo 3 (0,50-0,75) uT","Tipo 4 (&gt;0,75) uT"))))</f>
        <v>Tipo 1 (≤0,25) uT</v>
      </c>
      <c r="BF191" s="137" t="str">
        <f>IF(OR(AP191="",AP191="-"),"",IF(AP191&lt;=0.25,"Tipo 1 (≤0,25) uT",IF(AP191&lt;=0.5,"Tipo 2 (0,25-0,50) uT",IF(AP191&lt;=0.75,"Tipo 3 (0,50-0,75) uT","Tipo 4 (&gt;0,75) uT"))))</f>
        <v>Tipo 2 (0,25-0,50) uT</v>
      </c>
      <c r="BG191" s="137" t="str">
        <f>IF(OR(Q191="",Q191="-"),"",IF(Q191&lt;=0.25,"Tipo 1 (≤0,25) uT",IF(Q191&lt;=0.5,"Tipo 2 (0,25-0,50) uT",IF(Q191&lt;=0.75,"Tipo 3 (0,50-0,75) uT","Tipo 4 (&gt;0,75) uT"))))</f>
        <v>Tipo 1 (≤0,25) uT</v>
      </c>
    </row>
    <row r="192" spans="1:59" x14ac:dyDescent="0.3">
      <c r="A192" s="26">
        <v>46147</v>
      </c>
      <c r="B192" s="107">
        <v>0.89583333333333337</v>
      </c>
      <c r="C192" s="116">
        <v>1790</v>
      </c>
      <c r="D192" s="116">
        <v>90</v>
      </c>
      <c r="E192" s="116">
        <v>400</v>
      </c>
      <c r="F192" s="116">
        <v>2200</v>
      </c>
      <c r="G192" s="10" t="s">
        <v>100</v>
      </c>
      <c r="H192" s="122">
        <v>5</v>
      </c>
      <c r="I192" s="116">
        <v>90</v>
      </c>
      <c r="J192" s="116">
        <v>90</v>
      </c>
      <c r="K192" s="116">
        <v>90</v>
      </c>
      <c r="L192" s="122">
        <v>24</v>
      </c>
      <c r="M192" s="122">
        <v>6.8</v>
      </c>
      <c r="N192" s="79">
        <v>4.09</v>
      </c>
      <c r="O192" s="116">
        <v>17</v>
      </c>
      <c r="P192" s="122">
        <v>4.4000000000000004</v>
      </c>
      <c r="Q192" s="79">
        <v>0.06</v>
      </c>
      <c r="R192" s="79">
        <v>22.36</v>
      </c>
      <c r="S192" s="79">
        <v>0.88</v>
      </c>
      <c r="T192" s="79">
        <v>0.7</v>
      </c>
      <c r="U192" s="85">
        <f t="shared" si="18"/>
        <v>1606</v>
      </c>
      <c r="V192" s="79">
        <f t="shared" si="19"/>
        <v>1528.1630748799998</v>
      </c>
      <c r="W192" s="79">
        <f t="shared" si="20"/>
        <v>0.95153367053549176</v>
      </c>
      <c r="X192" s="116">
        <v>3</v>
      </c>
      <c r="Y192" s="116">
        <v>4</v>
      </c>
      <c r="Z192" s="122">
        <v>6.48</v>
      </c>
      <c r="AA192" s="116">
        <v>19</v>
      </c>
      <c r="AB192" s="122">
        <v>6.3</v>
      </c>
      <c r="AC192" s="122">
        <v>4</v>
      </c>
      <c r="AD192" s="10">
        <v>0.13</v>
      </c>
      <c r="AE192" s="79">
        <v>0.14000000000000001</v>
      </c>
      <c r="AF192" s="85">
        <f t="shared" si="21"/>
        <v>1606</v>
      </c>
      <c r="AG192" s="85">
        <f t="shared" si="22"/>
        <v>1853.4347774799999</v>
      </c>
      <c r="AH192" s="85">
        <f t="shared" si="23"/>
        <v>1.1540689772602739</v>
      </c>
      <c r="AI192" s="116">
        <v>3</v>
      </c>
      <c r="AJ192" s="116">
        <v>4</v>
      </c>
      <c r="AK192" s="79">
        <v>6.49</v>
      </c>
      <c r="AL192" s="79">
        <v>23</v>
      </c>
      <c r="AM192" s="122">
        <v>6.4</v>
      </c>
      <c r="AN192" s="122">
        <v>5.6</v>
      </c>
      <c r="AO192" s="79">
        <v>0.1</v>
      </c>
      <c r="AP192" s="127">
        <v>0.38</v>
      </c>
      <c r="AQ192" s="132">
        <f t="shared" si="14"/>
        <v>2280</v>
      </c>
      <c r="AR192" s="134">
        <f t="shared" si="15"/>
        <v>0.78508771929824561</v>
      </c>
      <c r="AS192" s="134">
        <f t="shared" si="16"/>
        <v>3.9473684210526314E-2</v>
      </c>
      <c r="AT192" s="134">
        <f t="shared" si="17"/>
        <v>0.17543859649122806</v>
      </c>
      <c r="AU192" s="43">
        <f>IF(AND(F192&lt;&gt;"",Y192&lt;&gt;""),AA192/(F192/2/Y192),"")</f>
        <v>6.9090909090909092E-2</v>
      </c>
      <c r="AV192" s="43">
        <f>IF(AND(F192&lt;&gt;"",AJ192&lt;&gt;""),AL192/(F192/2/AJ192),"")</f>
        <v>8.3636363636363634E-2</v>
      </c>
      <c r="AW192" s="41">
        <f>IF(AND(AP192&lt;&gt;"",1-(AP192/N192)&gt;0),1-(AP192/N192),"")</f>
        <v>0.90709046454767728</v>
      </c>
      <c r="AX192" s="41">
        <f>IF(AND(AE192&lt;&gt;"",1-(AE192/N192)&gt;0),1-(AE192/N192),"")</f>
        <v>0.96577017114914421</v>
      </c>
      <c r="AY192" s="136" t="str">
        <f>IF(P192="","",IF(P192&lt;2.5,"Alc. Bruta &lt; 2,5 mg/L",IF(P192&lt;5,"2,5 ≤ Alc. Bruta &lt; 5,0 mg/L",IF(P192&lt;7.5,"5,0 ≤ Alc. Bruta &lt; 7,5 mg/L",IF(P192&lt;10,"7,5 ≤ Alc. Bruta &lt; 10,0 mg/L",IF(P192&lt;15,"10,0 ≤ Alca. Bruta &lt; 15,0 mg/L","Alc. Bruta &gt; 15 mg/L"))))))</f>
        <v>2,5 ≤ Alc. Bruta &lt; 5,0 mg/L</v>
      </c>
      <c r="AZ192" s="136" t="str">
        <f>IF(O192="","",IF(O192&lt;5,"Cor &lt;5 uC",IF(O192&lt;10,"5 ≤ Cor &lt; 10 uC",IF(O192&lt;15,"10 ≤ Cor &lt;15 uC",IF(O192&lt;30,"15 ≤ Cor &lt; 30 uC",IF(O192&lt;50,"30 ≤ Cor &lt; 50 uC","Cor &gt; 50 uC"))))))</f>
        <v>15 ≤ Cor &lt; 30 uC</v>
      </c>
      <c r="BA192" s="137" t="str">
        <f>IF(N192="","",IF(N192&lt;2.5,"Turbidez &lt; 2,5 uT",IF(N192&lt;5,"2,5 ≤ Turb &lt; 5,0 uT",IF(N192&lt;7.5,"5,0 ≤ Turb &lt; 7,5 uT",IF(N192&lt;10,"7,5 ≤ Turb &lt; 10,0 uT",IF(N192&lt;15,"10,0 ≤ Turb &lt; 15,0 uT","Turb &gt; 15 uT"))))))</f>
        <v>2,5 ≤ Turb &lt; 5,0 uT</v>
      </c>
      <c r="BB192" s="138" t="str">
        <f>IF(AND(C192&gt;D192,D192&gt;E192),"TOR &gt; SM &gt; BNN",IF(AND(C192&gt;E192,E192&gt;D192),"TOR &gt; BNN &gt; SM",IF(AND(D192&gt;C192,C192&gt;E192),"SM &gt; TOR &gt; BNN",IF(AND(D192&gt;E192,E192&gt;C192),"SM &gt; BNN &gt; TOR",IF(AND(C192=D192,D192=E192),"TOR = SM = BNN","Comb. diferentes")))))</f>
        <v>TOR &gt; BNN &gt; SM</v>
      </c>
      <c r="BC192" s="137" t="str">
        <f>IF(OR(AD192="",AP192="-"),"",IF(AD192&lt;=0.25,"Tipo 1 (≤0,25) uT",IF(AD192&lt;=0.5,"Tipo 2 (0,25-0,50) uT",IF(AD192&lt;=0.75,"Tipo 3 (0,50-0,75) uT","Tipo 4 (&gt;0,75) uT"))))</f>
        <v>Tipo 1 (≤0,25) uT</v>
      </c>
      <c r="BD192" s="137" t="str">
        <f>IF(OR(AO192="",AY192="-"),"",IF(AO192&lt;=0.25,"Tipo 1 (≤0,25) uT",IF(AO192&lt;=0.5,"Tipo 2 (0,25-0,50) uT",IF(AO192&lt;=0.75,"Tipo 3 (0,50-0,75) uT","Tipo 4 (&gt;0,75) uT"))))</f>
        <v>Tipo 1 (≤0,25) uT</v>
      </c>
      <c r="BE192" s="137" t="str">
        <f>IF(OR(AE192="",AP192="-"),"",IF(AE192&lt;=0.25,"Tipo 1 (≤0,25) uT",IF(AE192&lt;=0.5,"Tipo 2 (0,25-0,50) uT",IF(AE192&lt;=0.75,"Tipo 3 (0,50-0,75) uT","Tipo 4 (&gt;0,75) uT"))))</f>
        <v>Tipo 1 (≤0,25) uT</v>
      </c>
      <c r="BF192" s="137" t="str">
        <f>IF(OR(AP192="",AP192="-"),"",IF(AP192&lt;=0.25,"Tipo 1 (≤0,25) uT",IF(AP192&lt;=0.5,"Tipo 2 (0,25-0,50) uT",IF(AP192&lt;=0.75,"Tipo 3 (0,50-0,75) uT","Tipo 4 (&gt;0,75) uT"))))</f>
        <v>Tipo 2 (0,25-0,50) uT</v>
      </c>
      <c r="BG192" s="137" t="str">
        <f>IF(OR(Q192="",Q192="-"),"",IF(Q192&lt;=0.25,"Tipo 1 (≤0,25) uT",IF(Q192&lt;=0.5,"Tipo 2 (0,25-0,50) uT",IF(Q192&lt;=0.75,"Tipo 3 (0,50-0,75) uT","Tipo 4 (&gt;0,75) uT"))))</f>
        <v>Tipo 1 (≤0,25) uT</v>
      </c>
    </row>
    <row r="193" spans="1:59" x14ac:dyDescent="0.3">
      <c r="A193" s="26">
        <v>46148</v>
      </c>
      <c r="B193" s="107">
        <v>6.25E-2</v>
      </c>
      <c r="C193" s="116">
        <v>1570</v>
      </c>
      <c r="D193" s="116">
        <v>91</v>
      </c>
      <c r="E193" s="116">
        <v>400</v>
      </c>
      <c r="F193" s="116">
        <v>2259</v>
      </c>
      <c r="G193" s="10" t="s">
        <v>100</v>
      </c>
      <c r="H193" s="122">
        <v>5</v>
      </c>
      <c r="I193" s="116">
        <v>90</v>
      </c>
      <c r="J193" s="116">
        <v>90</v>
      </c>
      <c r="K193" s="116">
        <v>90</v>
      </c>
      <c r="L193" s="122">
        <v>23.4</v>
      </c>
      <c r="M193" s="122">
        <v>6.7</v>
      </c>
      <c r="N193" s="79">
        <v>4.43</v>
      </c>
      <c r="O193" s="116">
        <v>18</v>
      </c>
      <c r="P193" s="122">
        <v>5.8</v>
      </c>
      <c r="Q193" s="79">
        <v>0.06</v>
      </c>
      <c r="R193" s="79">
        <v>22.36</v>
      </c>
      <c r="S193" s="79">
        <v>0.88</v>
      </c>
      <c r="T193" s="79">
        <v>0.7</v>
      </c>
      <c r="U193" s="85">
        <f t="shared" si="18"/>
        <v>1745.0774999999999</v>
      </c>
      <c r="V193" s="79">
        <f t="shared" si="19"/>
        <v>1525.2278553200001</v>
      </c>
      <c r="W193" s="79">
        <f t="shared" si="20"/>
        <v>0.87401726016179815</v>
      </c>
      <c r="X193" s="116">
        <v>3</v>
      </c>
      <c r="Y193" s="116">
        <v>4</v>
      </c>
      <c r="Z193" s="122">
        <v>6.47</v>
      </c>
      <c r="AA193" s="116">
        <v>19</v>
      </c>
      <c r="AB193" s="122">
        <v>6.4</v>
      </c>
      <c r="AC193" s="122">
        <v>6.4</v>
      </c>
      <c r="AD193" s="10">
        <v>0.15</v>
      </c>
      <c r="AE193" s="79">
        <v>0.16</v>
      </c>
      <c r="AF193" s="85">
        <f t="shared" si="21"/>
        <v>1745.0774999999999</v>
      </c>
      <c r="AG193" s="85">
        <f t="shared" si="22"/>
        <v>1853.4347774799999</v>
      </c>
      <c r="AH193" s="85">
        <f t="shared" si="23"/>
        <v>1.0620931033034349</v>
      </c>
      <c r="AI193" s="116">
        <v>3</v>
      </c>
      <c r="AJ193" s="116">
        <v>4</v>
      </c>
      <c r="AK193" s="79">
        <v>6.49</v>
      </c>
      <c r="AL193" s="79">
        <v>23</v>
      </c>
      <c r="AM193" s="122">
        <v>6.4</v>
      </c>
      <c r="AN193" s="122">
        <v>5.9</v>
      </c>
      <c r="AO193" s="79">
        <v>0.33</v>
      </c>
      <c r="AP193" s="127">
        <v>0.37</v>
      </c>
      <c r="AQ193" s="132">
        <f t="shared" si="14"/>
        <v>2061</v>
      </c>
      <c r="AR193" s="134">
        <f t="shared" si="15"/>
        <v>0.76176613294517226</v>
      </c>
      <c r="AS193" s="134">
        <f t="shared" si="16"/>
        <v>4.4153323629306164E-2</v>
      </c>
      <c r="AT193" s="134">
        <f t="shared" si="17"/>
        <v>0.19408054342552158</v>
      </c>
      <c r="AU193" s="43">
        <f>IF(AND(F193&lt;&gt;"",Y193&lt;&gt;""),AA193/(F193/2/Y193),"")</f>
        <v>6.7286409915891993E-2</v>
      </c>
      <c r="AV193" s="43">
        <f>IF(AND(F193&lt;&gt;"",AJ193&lt;&gt;""),AL193/(F193/2/AJ193),"")</f>
        <v>8.1451969898185039E-2</v>
      </c>
      <c r="AW193" s="41">
        <f>IF(AND(AP193&lt;&gt;"",1-(AP193/N193)&gt;0),1-(AP193/N193),"")</f>
        <v>0.91647855530474043</v>
      </c>
      <c r="AX193" s="41">
        <f>IF(AND(AE193&lt;&gt;"",1-(AE193/N193)&gt;0),1-(AE193/N193),"")</f>
        <v>0.963882618510158</v>
      </c>
      <c r="AY193" s="136" t="str">
        <f>IF(P193="","",IF(P193&lt;2.5,"Alc. Bruta &lt; 2,5 mg/L",IF(P193&lt;5,"2,5 ≤ Alc. Bruta &lt; 5,0 mg/L",IF(P193&lt;7.5,"5,0 ≤ Alc. Bruta &lt; 7,5 mg/L",IF(P193&lt;10,"7,5 ≤ Alc. Bruta &lt; 10,0 mg/L",IF(P193&lt;15,"10,0 ≤ Alca. Bruta &lt; 15,0 mg/L","Alc. Bruta &gt; 15 mg/L"))))))</f>
        <v>5,0 ≤ Alc. Bruta &lt; 7,5 mg/L</v>
      </c>
      <c r="AZ193" s="136" t="str">
        <f>IF(O193="","",IF(O193&lt;5,"Cor &lt;5 uC",IF(O193&lt;10,"5 ≤ Cor &lt; 10 uC",IF(O193&lt;15,"10 ≤ Cor &lt;15 uC",IF(O193&lt;30,"15 ≤ Cor &lt; 30 uC",IF(O193&lt;50,"30 ≤ Cor &lt; 50 uC","Cor &gt; 50 uC"))))))</f>
        <v>15 ≤ Cor &lt; 30 uC</v>
      </c>
      <c r="BA193" s="137" t="str">
        <f>IF(N193="","",IF(N193&lt;2.5,"Turbidez &lt; 2,5 uT",IF(N193&lt;5,"2,5 ≤ Turb &lt; 5,0 uT",IF(N193&lt;7.5,"5,0 ≤ Turb &lt; 7,5 uT",IF(N193&lt;10,"7,5 ≤ Turb &lt; 10,0 uT",IF(N193&lt;15,"10,0 ≤ Turb &lt; 15,0 uT","Turb &gt; 15 uT"))))))</f>
        <v>2,5 ≤ Turb &lt; 5,0 uT</v>
      </c>
      <c r="BB193" s="138" t="str">
        <f>IF(AND(C193&gt;D193,D193&gt;E193),"TOR &gt; SM &gt; BNN",IF(AND(C193&gt;E193,E193&gt;D193),"TOR &gt; BNN &gt; SM",IF(AND(D193&gt;C193,C193&gt;E193),"SM &gt; TOR &gt; BNN",IF(AND(D193&gt;E193,E193&gt;C193),"SM &gt; BNN &gt; TOR",IF(AND(C193=D193,D193=E193),"TOR = SM = BNN","Comb. diferentes")))))</f>
        <v>TOR &gt; BNN &gt; SM</v>
      </c>
      <c r="BC193" s="137" t="str">
        <f>IF(OR(AD193="",AP193="-"),"",IF(AD193&lt;=0.25,"Tipo 1 (≤0,25) uT",IF(AD193&lt;=0.5,"Tipo 2 (0,25-0,50) uT",IF(AD193&lt;=0.75,"Tipo 3 (0,50-0,75) uT","Tipo 4 (&gt;0,75) uT"))))</f>
        <v>Tipo 1 (≤0,25) uT</v>
      </c>
      <c r="BD193" s="137" t="str">
        <f>IF(OR(AO193="",AY193="-"),"",IF(AO193&lt;=0.25,"Tipo 1 (≤0,25) uT",IF(AO193&lt;=0.5,"Tipo 2 (0,25-0,50) uT",IF(AO193&lt;=0.75,"Tipo 3 (0,50-0,75) uT","Tipo 4 (&gt;0,75) uT"))))</f>
        <v>Tipo 2 (0,25-0,50) uT</v>
      </c>
      <c r="BE193" s="137" t="str">
        <f>IF(OR(AE193="",AP193="-"),"",IF(AE193&lt;=0.25,"Tipo 1 (≤0,25) uT",IF(AE193&lt;=0.5,"Tipo 2 (0,25-0,50) uT",IF(AE193&lt;=0.75,"Tipo 3 (0,50-0,75) uT","Tipo 4 (&gt;0,75) uT"))))</f>
        <v>Tipo 1 (≤0,25) uT</v>
      </c>
      <c r="BF193" s="137" t="str">
        <f>IF(OR(AP193="",AP193="-"),"",IF(AP193&lt;=0.25,"Tipo 1 (≤0,25) uT",IF(AP193&lt;=0.5,"Tipo 2 (0,25-0,50) uT",IF(AP193&lt;=0.75,"Tipo 3 (0,50-0,75) uT","Tipo 4 (&gt;0,75) uT"))))</f>
        <v>Tipo 2 (0,25-0,50) uT</v>
      </c>
      <c r="BG193" s="137" t="str">
        <f>IF(OR(Q193="",Q193="-"),"",IF(Q193&lt;=0.25,"Tipo 1 (≤0,25) uT",IF(Q193&lt;=0.5,"Tipo 2 (0,25-0,50) uT",IF(Q193&lt;=0.75,"Tipo 3 (0,50-0,75) uT","Tipo 4 (&gt;0,75) uT"))))</f>
        <v>Tipo 1 (≤0,25) uT</v>
      </c>
    </row>
    <row r="194" spans="1:59" x14ac:dyDescent="0.3">
      <c r="A194" s="26">
        <v>46148</v>
      </c>
      <c r="B194" s="107">
        <v>0.14583333333333334</v>
      </c>
      <c r="C194" s="116">
        <v>1530</v>
      </c>
      <c r="D194" s="116">
        <v>90</v>
      </c>
      <c r="E194" s="116">
        <v>400</v>
      </c>
      <c r="F194" s="116">
        <v>2188</v>
      </c>
      <c r="G194" s="10" t="s">
        <v>100</v>
      </c>
      <c r="H194" s="122">
        <v>5</v>
      </c>
      <c r="I194" s="116">
        <v>90</v>
      </c>
      <c r="J194" s="116">
        <v>90</v>
      </c>
      <c r="K194" s="116">
        <v>90</v>
      </c>
      <c r="L194" s="122">
        <v>23.2</v>
      </c>
      <c r="M194" s="122">
        <v>6.8</v>
      </c>
      <c r="N194" s="79">
        <v>4.3099999999999996</v>
      </c>
      <c r="O194" s="116">
        <v>17</v>
      </c>
      <c r="P194" s="122">
        <v>3.9</v>
      </c>
      <c r="Q194" s="79">
        <v>0.06</v>
      </c>
      <c r="R194" s="79">
        <v>22.36</v>
      </c>
      <c r="S194" s="79">
        <v>0.88</v>
      </c>
      <c r="T194" s="79">
        <v>0.7</v>
      </c>
      <c r="U194" s="85">
        <f t="shared" si="18"/>
        <v>1657.4099999999999</v>
      </c>
      <c r="V194" s="79">
        <f t="shared" si="19"/>
        <v>1528.1630748799998</v>
      </c>
      <c r="W194" s="79">
        <f t="shared" si="20"/>
        <v>0.92201873699326053</v>
      </c>
      <c r="X194" s="116">
        <v>3</v>
      </c>
      <c r="Y194" s="116">
        <v>4</v>
      </c>
      <c r="Z194" s="122">
        <v>6.48</v>
      </c>
      <c r="AA194" s="116">
        <v>19</v>
      </c>
      <c r="AB194" s="122">
        <v>6.3</v>
      </c>
      <c r="AC194" s="122">
        <v>5.0999999999999996</v>
      </c>
      <c r="AD194" s="10">
        <v>0.16</v>
      </c>
      <c r="AE194" s="79">
        <v>0.16</v>
      </c>
      <c r="AF194" s="85">
        <f t="shared" si="21"/>
        <v>1657.4099999999999</v>
      </c>
      <c r="AG194" s="85">
        <f t="shared" si="22"/>
        <v>1769.4519814399998</v>
      </c>
      <c r="AH194" s="85">
        <f t="shared" si="23"/>
        <v>1.0676006428343017</v>
      </c>
      <c r="AI194" s="116">
        <v>3</v>
      </c>
      <c r="AJ194" s="116">
        <v>4</v>
      </c>
      <c r="AK194" s="79">
        <v>6.48</v>
      </c>
      <c r="AL194" s="79">
        <v>22</v>
      </c>
      <c r="AM194" s="122">
        <v>6.5</v>
      </c>
      <c r="AN194" s="122">
        <v>4.0999999999999996</v>
      </c>
      <c r="AO194" s="79">
        <v>0.11</v>
      </c>
      <c r="AP194" s="127">
        <v>0.37</v>
      </c>
      <c r="AQ194" s="132">
        <f t="shared" ref="AQ194:AQ257" si="24">SUM(C194:E194)</f>
        <v>2020</v>
      </c>
      <c r="AR194" s="134">
        <f t="shared" ref="AR194:AR257" si="25">C194/AQ194</f>
        <v>0.75742574257425743</v>
      </c>
      <c r="AS194" s="134">
        <f t="shared" ref="AS194:AS257" si="26">D194/AQ194</f>
        <v>4.4554455445544552E-2</v>
      </c>
      <c r="AT194" s="134">
        <f t="shared" ref="AT194:AT257" si="27">E194/AQ194</f>
        <v>0.19801980198019803</v>
      </c>
      <c r="AU194" s="43">
        <f>IF(AND(F194&lt;&gt;"",Y194&lt;&gt;""),AA194/(F194/2/Y194),"")</f>
        <v>6.9469835466179158E-2</v>
      </c>
      <c r="AV194" s="43">
        <f>IF(AND(F194&lt;&gt;"",AJ194&lt;&gt;""),AL194/(F194/2/AJ194),"")</f>
        <v>8.0438756855575874E-2</v>
      </c>
      <c r="AW194" s="41">
        <f>IF(AND(AP194&lt;&gt;"",1-(AP194/N194)&gt;0),1-(AP194/N194),"")</f>
        <v>0.91415313225058004</v>
      </c>
      <c r="AX194" s="41">
        <f>IF(AND(AE194&lt;&gt;"",1-(AE194/N194)&gt;0),1-(AE194/N194),"")</f>
        <v>0.96287703016241299</v>
      </c>
      <c r="AY194" s="136" t="str">
        <f>IF(P194="","",IF(P194&lt;2.5,"Alc. Bruta &lt; 2,5 mg/L",IF(P194&lt;5,"2,5 ≤ Alc. Bruta &lt; 5,0 mg/L",IF(P194&lt;7.5,"5,0 ≤ Alc. Bruta &lt; 7,5 mg/L",IF(P194&lt;10,"7,5 ≤ Alc. Bruta &lt; 10,0 mg/L",IF(P194&lt;15,"10,0 ≤ Alca. Bruta &lt; 15,0 mg/L","Alc. Bruta &gt; 15 mg/L"))))))</f>
        <v>2,5 ≤ Alc. Bruta &lt; 5,0 mg/L</v>
      </c>
      <c r="AZ194" s="136" t="str">
        <f>IF(O194="","",IF(O194&lt;5,"Cor &lt;5 uC",IF(O194&lt;10,"5 ≤ Cor &lt; 10 uC",IF(O194&lt;15,"10 ≤ Cor &lt;15 uC",IF(O194&lt;30,"15 ≤ Cor &lt; 30 uC",IF(O194&lt;50,"30 ≤ Cor &lt; 50 uC","Cor &gt; 50 uC"))))))</f>
        <v>15 ≤ Cor &lt; 30 uC</v>
      </c>
      <c r="BA194" s="137" t="str">
        <f>IF(N194="","",IF(N194&lt;2.5,"Turbidez &lt; 2,5 uT",IF(N194&lt;5,"2,5 ≤ Turb &lt; 5,0 uT",IF(N194&lt;7.5,"5,0 ≤ Turb &lt; 7,5 uT",IF(N194&lt;10,"7,5 ≤ Turb &lt; 10,0 uT",IF(N194&lt;15,"10,0 ≤ Turb &lt; 15,0 uT","Turb &gt; 15 uT"))))))</f>
        <v>2,5 ≤ Turb &lt; 5,0 uT</v>
      </c>
      <c r="BB194" s="138" t="str">
        <f>IF(AND(C194&gt;D194,D194&gt;E194),"TOR &gt; SM &gt; BNN",IF(AND(C194&gt;E194,E194&gt;D194),"TOR &gt; BNN &gt; SM",IF(AND(D194&gt;C194,C194&gt;E194),"SM &gt; TOR &gt; BNN",IF(AND(D194&gt;E194,E194&gt;C194),"SM &gt; BNN &gt; TOR",IF(AND(C194=D194,D194=E194),"TOR = SM = BNN","Comb. diferentes")))))</f>
        <v>TOR &gt; BNN &gt; SM</v>
      </c>
      <c r="BC194" s="137" t="str">
        <f>IF(OR(AD194="",AP194="-"),"",IF(AD194&lt;=0.25,"Tipo 1 (≤0,25) uT",IF(AD194&lt;=0.5,"Tipo 2 (0,25-0,50) uT",IF(AD194&lt;=0.75,"Tipo 3 (0,50-0,75) uT","Tipo 4 (&gt;0,75) uT"))))</f>
        <v>Tipo 1 (≤0,25) uT</v>
      </c>
      <c r="BD194" s="137" t="str">
        <f>IF(OR(AO194="",AY194="-"),"",IF(AO194&lt;=0.25,"Tipo 1 (≤0,25) uT",IF(AO194&lt;=0.5,"Tipo 2 (0,25-0,50) uT",IF(AO194&lt;=0.75,"Tipo 3 (0,50-0,75) uT","Tipo 4 (&gt;0,75) uT"))))</f>
        <v>Tipo 1 (≤0,25) uT</v>
      </c>
      <c r="BE194" s="137" t="str">
        <f>IF(OR(AE194="",AP194="-"),"",IF(AE194&lt;=0.25,"Tipo 1 (≤0,25) uT",IF(AE194&lt;=0.5,"Tipo 2 (0,25-0,50) uT",IF(AE194&lt;=0.75,"Tipo 3 (0,50-0,75) uT","Tipo 4 (&gt;0,75) uT"))))</f>
        <v>Tipo 1 (≤0,25) uT</v>
      </c>
      <c r="BF194" s="137" t="str">
        <f>IF(OR(AP194="",AP194="-"),"",IF(AP194&lt;=0.25,"Tipo 1 (≤0,25) uT",IF(AP194&lt;=0.5,"Tipo 2 (0,25-0,50) uT",IF(AP194&lt;=0.75,"Tipo 3 (0,50-0,75) uT","Tipo 4 (&gt;0,75) uT"))))</f>
        <v>Tipo 2 (0,25-0,50) uT</v>
      </c>
      <c r="BG194" s="137" t="str">
        <f>IF(OR(Q194="",Q194="-"),"",IF(Q194&lt;=0.25,"Tipo 1 (≤0,25) uT",IF(Q194&lt;=0.5,"Tipo 2 (0,25-0,50) uT",IF(Q194&lt;=0.75,"Tipo 3 (0,50-0,75) uT","Tipo 4 (&gt;0,75) uT"))))</f>
        <v>Tipo 1 (≤0,25) uT</v>
      </c>
    </row>
    <row r="195" spans="1:59" ht="15" thickBot="1" x14ac:dyDescent="0.35">
      <c r="A195" s="26">
        <v>46148</v>
      </c>
      <c r="B195" s="110">
        <v>0.22916666666666666</v>
      </c>
      <c r="C195" s="117">
        <v>1490</v>
      </c>
      <c r="D195" s="117">
        <v>90</v>
      </c>
      <c r="E195" s="117">
        <v>400</v>
      </c>
      <c r="F195" s="117">
        <v>2160</v>
      </c>
      <c r="G195" s="11" t="s">
        <v>100</v>
      </c>
      <c r="H195" s="122">
        <v>5</v>
      </c>
      <c r="I195" s="117">
        <v>90</v>
      </c>
      <c r="J195" s="117">
        <v>90</v>
      </c>
      <c r="K195" s="117">
        <v>90</v>
      </c>
      <c r="L195" s="123">
        <v>23</v>
      </c>
      <c r="M195" s="123">
        <v>6.6</v>
      </c>
      <c r="N195" s="80">
        <v>4</v>
      </c>
      <c r="O195" s="117">
        <v>17</v>
      </c>
      <c r="P195" s="123">
        <v>3.7</v>
      </c>
      <c r="Q195" s="80">
        <v>0.06</v>
      </c>
      <c r="R195" s="79">
        <v>22.36</v>
      </c>
      <c r="S195" s="79">
        <v>0.88</v>
      </c>
      <c r="T195" s="79">
        <v>0.7</v>
      </c>
      <c r="U195" s="85">
        <f t="shared" si="18"/>
        <v>1552.5</v>
      </c>
      <c r="V195" s="79">
        <f t="shared" si="19"/>
        <v>1507.6165379600002</v>
      </c>
      <c r="W195" s="79">
        <f t="shared" si="20"/>
        <v>0.97108955746215797</v>
      </c>
      <c r="X195" s="117">
        <v>3</v>
      </c>
      <c r="Y195" s="117">
        <v>4</v>
      </c>
      <c r="Z195" s="123">
        <v>6.41</v>
      </c>
      <c r="AA195" s="117">
        <v>19</v>
      </c>
      <c r="AB195" s="123">
        <v>6.3</v>
      </c>
      <c r="AC195" s="123">
        <v>4.5</v>
      </c>
      <c r="AD195" s="11">
        <v>0.17</v>
      </c>
      <c r="AE195" s="80">
        <v>0.16</v>
      </c>
      <c r="AF195" s="85">
        <f t="shared" si="21"/>
        <v>1552.5</v>
      </c>
      <c r="AG195" s="85">
        <f t="shared" si="22"/>
        <v>1803.6905301999996</v>
      </c>
      <c r="AH195" s="85">
        <f t="shared" si="23"/>
        <v>1.1617974429629627</v>
      </c>
      <c r="AI195" s="117">
        <v>3</v>
      </c>
      <c r="AJ195" s="117">
        <v>4</v>
      </c>
      <c r="AK195" s="80">
        <v>6.35</v>
      </c>
      <c r="AL195" s="80">
        <v>23</v>
      </c>
      <c r="AM195" s="123">
        <v>6.4</v>
      </c>
      <c r="AN195" s="123">
        <v>3.9</v>
      </c>
      <c r="AO195" s="80">
        <v>0.08</v>
      </c>
      <c r="AP195" s="128">
        <v>0.35</v>
      </c>
      <c r="AQ195" s="132">
        <f t="shared" si="24"/>
        <v>1980</v>
      </c>
      <c r="AR195" s="134">
        <f t="shared" si="25"/>
        <v>0.75252525252525249</v>
      </c>
      <c r="AS195" s="134">
        <f t="shared" si="26"/>
        <v>4.5454545454545456E-2</v>
      </c>
      <c r="AT195" s="134">
        <f t="shared" si="27"/>
        <v>0.20202020202020202</v>
      </c>
      <c r="AU195" s="43">
        <f>IF(AND(F195&lt;&gt;"",Y195&lt;&gt;""),AA195/(F195/2/Y195),"")</f>
        <v>7.0370370370370375E-2</v>
      </c>
      <c r="AV195" s="43">
        <f>IF(AND(F195&lt;&gt;"",AJ195&lt;&gt;""),AL195/(F195/2/AJ195),"")</f>
        <v>8.5185185185185183E-2</v>
      </c>
      <c r="AW195" s="41">
        <f>IF(AND(AP195&lt;&gt;"",1-(AP195/N195)&gt;0),1-(AP195/N195),"")</f>
        <v>0.91249999999999998</v>
      </c>
      <c r="AX195" s="41">
        <f>IF(AND(AE195&lt;&gt;"",1-(AE195/N195)&gt;0),1-(AE195/N195),"")</f>
        <v>0.96</v>
      </c>
      <c r="AY195" s="136" t="str">
        <f>IF(P195="","",IF(P195&lt;2.5,"Alc. Bruta &lt; 2,5 mg/L",IF(P195&lt;5,"2,5 ≤ Alc. Bruta &lt; 5,0 mg/L",IF(P195&lt;7.5,"5,0 ≤ Alc. Bruta &lt; 7,5 mg/L",IF(P195&lt;10,"7,5 ≤ Alc. Bruta &lt; 10,0 mg/L",IF(P195&lt;15,"10,0 ≤ Alca. Bruta &lt; 15,0 mg/L","Alc. Bruta &gt; 15 mg/L"))))))</f>
        <v>2,5 ≤ Alc. Bruta &lt; 5,0 mg/L</v>
      </c>
      <c r="AZ195" s="136" t="str">
        <f>IF(O195="","",IF(O195&lt;5,"Cor &lt;5 uC",IF(O195&lt;10,"5 ≤ Cor &lt; 10 uC",IF(O195&lt;15,"10 ≤ Cor &lt;15 uC",IF(O195&lt;30,"15 ≤ Cor &lt; 30 uC",IF(O195&lt;50,"30 ≤ Cor &lt; 50 uC","Cor &gt; 50 uC"))))))</f>
        <v>15 ≤ Cor &lt; 30 uC</v>
      </c>
      <c r="BA195" s="137" t="str">
        <f>IF(N195="","",IF(N195&lt;2.5,"Turbidez &lt; 2,5 uT",IF(N195&lt;5,"2,5 ≤ Turb &lt; 5,0 uT",IF(N195&lt;7.5,"5,0 ≤ Turb &lt; 7,5 uT",IF(N195&lt;10,"7,5 ≤ Turb &lt; 10,0 uT",IF(N195&lt;15,"10,0 ≤ Turb &lt; 15,0 uT","Turb &gt; 15 uT"))))))</f>
        <v>2,5 ≤ Turb &lt; 5,0 uT</v>
      </c>
      <c r="BB195" s="138" t="str">
        <f>IF(AND(C195&gt;D195,D195&gt;E195),"TOR &gt; SM &gt; BNN",IF(AND(C195&gt;E195,E195&gt;D195),"TOR &gt; BNN &gt; SM",IF(AND(D195&gt;C195,C195&gt;E195),"SM &gt; TOR &gt; BNN",IF(AND(D195&gt;E195,E195&gt;C195),"SM &gt; BNN &gt; TOR",IF(AND(C195=D195,D195=E195),"TOR = SM = BNN","Comb. diferentes")))))</f>
        <v>TOR &gt; BNN &gt; SM</v>
      </c>
      <c r="BC195" s="137" t="str">
        <f>IF(OR(AD195="",AP195="-"),"",IF(AD195&lt;=0.25,"Tipo 1 (≤0,25) uT",IF(AD195&lt;=0.5,"Tipo 2 (0,25-0,50) uT",IF(AD195&lt;=0.75,"Tipo 3 (0,50-0,75) uT","Tipo 4 (&gt;0,75) uT"))))</f>
        <v>Tipo 1 (≤0,25) uT</v>
      </c>
      <c r="BD195" s="137" t="str">
        <f>IF(OR(AO195="",AY195="-"),"",IF(AO195&lt;=0.25,"Tipo 1 (≤0,25) uT",IF(AO195&lt;=0.5,"Tipo 2 (0,25-0,50) uT",IF(AO195&lt;=0.75,"Tipo 3 (0,50-0,75) uT","Tipo 4 (&gt;0,75) uT"))))</f>
        <v>Tipo 1 (≤0,25) uT</v>
      </c>
      <c r="BE195" s="137" t="str">
        <f>IF(OR(AE195="",AP195="-"),"",IF(AE195&lt;=0.25,"Tipo 1 (≤0,25) uT",IF(AE195&lt;=0.5,"Tipo 2 (0,25-0,50) uT",IF(AE195&lt;=0.75,"Tipo 3 (0,50-0,75) uT","Tipo 4 (&gt;0,75) uT"))))</f>
        <v>Tipo 1 (≤0,25) uT</v>
      </c>
      <c r="BF195" s="137" t="str">
        <f>IF(OR(AP195="",AP195="-"),"",IF(AP195&lt;=0.25,"Tipo 1 (≤0,25) uT",IF(AP195&lt;=0.5,"Tipo 2 (0,25-0,50) uT",IF(AP195&lt;=0.75,"Tipo 3 (0,50-0,75) uT","Tipo 4 (&gt;0,75) uT"))))</f>
        <v>Tipo 2 (0,25-0,50) uT</v>
      </c>
      <c r="BG195" s="137" t="str">
        <f>IF(OR(Q195="",Q195="-"),"",IF(Q195&lt;=0.25,"Tipo 1 (≤0,25) uT",IF(Q195&lt;=0.5,"Tipo 2 (0,25-0,50) uT",IF(Q195&lt;=0.75,"Tipo 3 (0,50-0,75) uT","Tipo 4 (&gt;0,75) uT"))))</f>
        <v>Tipo 1 (≤0,25) uT</v>
      </c>
    </row>
    <row r="196" spans="1:59" x14ac:dyDescent="0.3">
      <c r="A196" s="26">
        <v>46148</v>
      </c>
      <c r="B196" s="107">
        <v>0.39583333333333331</v>
      </c>
      <c r="C196" s="116">
        <v>1620</v>
      </c>
      <c r="D196" s="116">
        <v>92</v>
      </c>
      <c r="E196" s="116">
        <v>550</v>
      </c>
      <c r="F196" s="116">
        <v>1820</v>
      </c>
      <c r="G196" s="10" t="s">
        <v>100</v>
      </c>
      <c r="H196" s="124">
        <v>5</v>
      </c>
      <c r="I196" s="116">
        <v>90</v>
      </c>
      <c r="J196" s="116">
        <v>90</v>
      </c>
      <c r="K196" s="116">
        <v>90</v>
      </c>
      <c r="L196" s="122">
        <v>22.8</v>
      </c>
      <c r="M196" s="122">
        <v>6.7</v>
      </c>
      <c r="N196" s="79">
        <v>4.92</v>
      </c>
      <c r="O196" s="116">
        <v>18</v>
      </c>
      <c r="P196" s="122">
        <v>4.7</v>
      </c>
      <c r="Q196" s="79">
        <v>0.06</v>
      </c>
      <c r="R196" s="79">
        <v>22.36</v>
      </c>
      <c r="S196" s="79">
        <v>0.88</v>
      </c>
      <c r="T196" s="79">
        <v>0.7</v>
      </c>
      <c r="U196" s="85">
        <f t="shared" si="18"/>
        <v>2023.2333333333331</v>
      </c>
      <c r="V196" s="79">
        <f t="shared" si="19"/>
        <v>1396.5228127707996</v>
      </c>
      <c r="W196" s="79">
        <f t="shared" si="20"/>
        <v>0.69024308257614042</v>
      </c>
      <c r="X196" s="116">
        <v>3</v>
      </c>
      <c r="Y196" s="116">
        <v>3</v>
      </c>
      <c r="Z196" s="122">
        <v>6.49</v>
      </c>
      <c r="AA196" s="116">
        <v>17.329999999999998</v>
      </c>
      <c r="AB196" s="122">
        <v>6.4</v>
      </c>
      <c r="AC196" s="122">
        <v>3.4</v>
      </c>
      <c r="AD196" s="10">
        <v>0.12</v>
      </c>
      <c r="AE196" s="79">
        <v>0.18</v>
      </c>
      <c r="AF196" s="85">
        <f t="shared" si="21"/>
        <v>1517.425</v>
      </c>
      <c r="AG196" s="85">
        <f t="shared" si="22"/>
        <v>1812.3714571975997</v>
      </c>
      <c r="AH196" s="85">
        <f t="shared" si="23"/>
        <v>1.1943730050563288</v>
      </c>
      <c r="AI196" s="116">
        <v>3</v>
      </c>
      <c r="AJ196" s="116">
        <v>4</v>
      </c>
      <c r="AK196" s="79">
        <v>6.37</v>
      </c>
      <c r="AL196" s="79">
        <v>23.02</v>
      </c>
      <c r="AM196" s="122">
        <v>6.5</v>
      </c>
      <c r="AN196" s="122">
        <v>4.3</v>
      </c>
      <c r="AO196" s="79">
        <v>0.1</v>
      </c>
      <c r="AP196" s="127">
        <v>0.32</v>
      </c>
      <c r="AQ196" s="132">
        <f t="shared" si="24"/>
        <v>2262</v>
      </c>
      <c r="AR196" s="134">
        <f t="shared" si="25"/>
        <v>0.71618037135278512</v>
      </c>
      <c r="AS196" s="134">
        <f t="shared" si="26"/>
        <v>4.0671971706454466E-2</v>
      </c>
      <c r="AT196" s="134">
        <f t="shared" si="27"/>
        <v>0.24314765694076038</v>
      </c>
      <c r="AU196" s="43">
        <f>IF(AND(F196&lt;&gt;"",Y196&lt;&gt;""),AA196/(F196/2/Y196),"")</f>
        <v>5.713186813186813E-2</v>
      </c>
      <c r="AV196" s="43">
        <f>IF(AND(F196&lt;&gt;"",AJ196&lt;&gt;""),AL196/(F196/2/AJ196),"")</f>
        <v>0.10118681318681319</v>
      </c>
      <c r="AW196" s="41">
        <f>IF(AND(AP196&lt;&gt;"",1-(AP196/N196)&gt;0),1-(AP196/N196),"")</f>
        <v>0.93495934959349591</v>
      </c>
      <c r="AX196" s="41">
        <f>IF(AND(AE196&lt;&gt;"",1-(AE196/N196)&gt;0),1-(AE196/N196),"")</f>
        <v>0.96341463414634143</v>
      </c>
      <c r="AY196" s="136" t="str">
        <f>IF(P196="","",IF(P196&lt;2.5,"Alc. Bruta &lt; 2,5 mg/L",IF(P196&lt;5,"2,5 ≤ Alc. Bruta &lt; 5,0 mg/L",IF(P196&lt;7.5,"5,0 ≤ Alc. Bruta &lt; 7,5 mg/L",IF(P196&lt;10,"7,5 ≤ Alc. Bruta &lt; 10,0 mg/L",IF(P196&lt;15,"10,0 ≤ Alca. Bruta &lt; 15,0 mg/L","Alc. Bruta &gt; 15 mg/L"))))))</f>
        <v>2,5 ≤ Alc. Bruta &lt; 5,0 mg/L</v>
      </c>
      <c r="AZ196" s="136" t="str">
        <f>IF(O196="","",IF(O196&lt;5,"Cor &lt;5 uC",IF(O196&lt;10,"5 ≤ Cor &lt; 10 uC",IF(O196&lt;15,"10 ≤ Cor &lt;15 uC",IF(O196&lt;30,"15 ≤ Cor &lt; 30 uC",IF(O196&lt;50,"30 ≤ Cor &lt; 50 uC","Cor &gt; 50 uC"))))))</f>
        <v>15 ≤ Cor &lt; 30 uC</v>
      </c>
      <c r="BA196" s="137" t="str">
        <f>IF(N196="","",IF(N196&lt;2.5,"Turbidez &lt; 2,5 uT",IF(N196&lt;5,"2,5 ≤ Turb &lt; 5,0 uT",IF(N196&lt;7.5,"5,0 ≤ Turb &lt; 7,5 uT",IF(N196&lt;10,"7,5 ≤ Turb &lt; 10,0 uT",IF(N196&lt;15,"10,0 ≤ Turb &lt; 15,0 uT","Turb &gt; 15 uT"))))))</f>
        <v>2,5 ≤ Turb &lt; 5,0 uT</v>
      </c>
      <c r="BB196" s="138" t="str">
        <f>IF(AND(C196&gt;D196,D196&gt;E196),"TOR &gt; SM &gt; BNN",IF(AND(C196&gt;E196,E196&gt;D196),"TOR &gt; BNN &gt; SM",IF(AND(D196&gt;C196,C196&gt;E196),"SM &gt; TOR &gt; BNN",IF(AND(D196&gt;E196,E196&gt;C196),"SM &gt; BNN &gt; TOR",IF(AND(C196=D196,D196=E196),"TOR = SM = BNN","Comb. diferentes")))))</f>
        <v>TOR &gt; BNN &gt; SM</v>
      </c>
      <c r="BC196" s="137" t="str">
        <f>IF(OR(AD196="",AP196="-"),"",IF(AD196&lt;=0.25,"Tipo 1 (≤0,25) uT",IF(AD196&lt;=0.5,"Tipo 2 (0,25-0,50) uT",IF(AD196&lt;=0.75,"Tipo 3 (0,50-0,75) uT","Tipo 4 (&gt;0,75) uT"))))</f>
        <v>Tipo 1 (≤0,25) uT</v>
      </c>
      <c r="BD196" s="137" t="str">
        <f>IF(OR(AO196="",AY196="-"),"",IF(AO196&lt;=0.25,"Tipo 1 (≤0,25) uT",IF(AO196&lt;=0.5,"Tipo 2 (0,25-0,50) uT",IF(AO196&lt;=0.75,"Tipo 3 (0,50-0,75) uT","Tipo 4 (&gt;0,75) uT"))))</f>
        <v>Tipo 1 (≤0,25) uT</v>
      </c>
      <c r="BE196" s="137" t="str">
        <f>IF(OR(AE196="",AP196="-"),"",IF(AE196&lt;=0.25,"Tipo 1 (≤0,25) uT",IF(AE196&lt;=0.5,"Tipo 2 (0,25-0,50) uT",IF(AE196&lt;=0.75,"Tipo 3 (0,50-0,75) uT","Tipo 4 (&gt;0,75) uT"))))</f>
        <v>Tipo 1 (≤0,25) uT</v>
      </c>
      <c r="BF196" s="137" t="str">
        <f>IF(OR(AP196="",AP196="-"),"",IF(AP196&lt;=0.25,"Tipo 1 (≤0,25) uT",IF(AP196&lt;=0.5,"Tipo 2 (0,25-0,50) uT",IF(AP196&lt;=0.75,"Tipo 3 (0,50-0,75) uT","Tipo 4 (&gt;0,75) uT"))))</f>
        <v>Tipo 2 (0,25-0,50) uT</v>
      </c>
      <c r="BG196" s="137" t="str">
        <f>IF(OR(Q196="",Q196="-"),"",IF(Q196&lt;=0.25,"Tipo 1 (≤0,25) uT",IF(Q196&lt;=0.5,"Tipo 2 (0,25-0,50) uT",IF(Q196&lt;=0.75,"Tipo 3 (0,50-0,75) uT","Tipo 4 (&gt;0,75) uT"))))</f>
        <v>Tipo 1 (≤0,25) uT</v>
      </c>
    </row>
    <row r="197" spans="1:59" x14ac:dyDescent="0.3">
      <c r="A197" s="26">
        <v>46148</v>
      </c>
      <c r="B197" s="107">
        <v>0.47916666666666669</v>
      </c>
      <c r="C197" s="116">
        <v>1125</v>
      </c>
      <c r="D197" s="116">
        <v>90</v>
      </c>
      <c r="E197" s="116">
        <v>550</v>
      </c>
      <c r="F197" s="116">
        <v>1836</v>
      </c>
      <c r="G197" s="10" t="s">
        <v>100</v>
      </c>
      <c r="H197" s="122">
        <v>5</v>
      </c>
      <c r="I197" s="116">
        <v>90</v>
      </c>
      <c r="J197" s="116">
        <v>90</v>
      </c>
      <c r="K197" s="116">
        <v>90</v>
      </c>
      <c r="L197" s="122">
        <v>23.6</v>
      </c>
      <c r="M197" s="122">
        <v>6.8</v>
      </c>
      <c r="N197" s="79">
        <v>3.75</v>
      </c>
      <c r="O197" s="116">
        <v>15</v>
      </c>
      <c r="P197" s="122">
        <v>5.9</v>
      </c>
      <c r="Q197" s="79">
        <v>7.0000000000000007E-2</v>
      </c>
      <c r="R197" s="79">
        <v>22.36</v>
      </c>
      <c r="S197" s="79">
        <v>0.88</v>
      </c>
      <c r="T197" s="79">
        <v>0.7</v>
      </c>
      <c r="U197" s="85">
        <f t="shared" si="18"/>
        <v>1683</v>
      </c>
      <c r="V197" s="79">
        <f t="shared" si="19"/>
        <v>1407.2739025800001</v>
      </c>
      <c r="W197" s="79">
        <f t="shared" si="20"/>
        <v>0.83616987675579335</v>
      </c>
      <c r="X197" s="116">
        <v>3</v>
      </c>
      <c r="Y197" s="116">
        <v>3</v>
      </c>
      <c r="Z197" s="122">
        <v>6.5</v>
      </c>
      <c r="AA197" s="116">
        <v>17.43</v>
      </c>
      <c r="AB197" s="122">
        <v>6.6</v>
      </c>
      <c r="AC197" s="122">
        <v>5.8</v>
      </c>
      <c r="AD197" s="10">
        <v>0.3</v>
      </c>
      <c r="AE197" s="79">
        <v>0.28000000000000003</v>
      </c>
      <c r="AF197" s="85">
        <f t="shared" si="21"/>
        <v>1262.25</v>
      </c>
      <c r="AG197" s="85">
        <f t="shared" si="22"/>
        <v>1833.3353958399998</v>
      </c>
      <c r="AH197" s="85">
        <f t="shared" si="23"/>
        <v>1.4524344589740541</v>
      </c>
      <c r="AI197" s="116">
        <v>3</v>
      </c>
      <c r="AJ197" s="116">
        <v>4</v>
      </c>
      <c r="AK197" s="79">
        <v>6.4</v>
      </c>
      <c r="AL197" s="79">
        <v>23.15</v>
      </c>
      <c r="AM197" s="122">
        <v>6.6</v>
      </c>
      <c r="AN197" s="122">
        <v>5.5</v>
      </c>
      <c r="AO197" s="79">
        <v>0.15</v>
      </c>
      <c r="AP197" s="127">
        <v>0.48</v>
      </c>
      <c r="AQ197" s="132">
        <f t="shared" si="24"/>
        <v>1765</v>
      </c>
      <c r="AR197" s="134">
        <f t="shared" si="25"/>
        <v>0.63739376770538247</v>
      </c>
      <c r="AS197" s="134">
        <f t="shared" si="26"/>
        <v>5.0991501416430593E-2</v>
      </c>
      <c r="AT197" s="134">
        <f t="shared" si="27"/>
        <v>0.31161473087818697</v>
      </c>
      <c r="AU197" s="43">
        <f>IF(AND(F197&lt;&gt;"",Y197&lt;&gt;""),AA197/(F197/2/Y197),"")</f>
        <v>5.696078431372549E-2</v>
      </c>
      <c r="AV197" s="43">
        <f>IF(AND(F197&lt;&gt;"",AJ197&lt;&gt;""),AL197/(F197/2/AJ197),"")</f>
        <v>0.1008714596949891</v>
      </c>
      <c r="AW197" s="41">
        <f>IF(AND(AP197&lt;&gt;"",1-(AP197/N197)&gt;0),1-(AP197/N197),"")</f>
        <v>0.872</v>
      </c>
      <c r="AX197" s="41">
        <f>IF(AND(AE197&lt;&gt;"",1-(AE197/N197)&gt;0),1-(AE197/N197),"")</f>
        <v>0.92533333333333334</v>
      </c>
      <c r="AY197" s="136" t="str">
        <f>IF(P197="","",IF(P197&lt;2.5,"Alc. Bruta &lt; 2,5 mg/L",IF(P197&lt;5,"2,5 ≤ Alc. Bruta &lt; 5,0 mg/L",IF(P197&lt;7.5,"5,0 ≤ Alc. Bruta &lt; 7,5 mg/L",IF(P197&lt;10,"7,5 ≤ Alc. Bruta &lt; 10,0 mg/L",IF(P197&lt;15,"10,0 ≤ Alca. Bruta &lt; 15,0 mg/L","Alc. Bruta &gt; 15 mg/L"))))))</f>
        <v>5,0 ≤ Alc. Bruta &lt; 7,5 mg/L</v>
      </c>
      <c r="AZ197" s="136" t="str">
        <f>IF(O197="","",IF(O197&lt;5,"Cor &lt;5 uC",IF(O197&lt;10,"5 ≤ Cor &lt; 10 uC",IF(O197&lt;15,"10 ≤ Cor &lt;15 uC",IF(O197&lt;30,"15 ≤ Cor &lt; 30 uC",IF(O197&lt;50,"30 ≤ Cor &lt; 50 uC","Cor &gt; 50 uC"))))))</f>
        <v>15 ≤ Cor &lt; 30 uC</v>
      </c>
      <c r="BA197" s="137" t="str">
        <f>IF(N197="","",IF(N197&lt;2.5,"Turbidez &lt; 2,5 uT",IF(N197&lt;5,"2,5 ≤ Turb &lt; 5,0 uT",IF(N197&lt;7.5,"5,0 ≤ Turb &lt; 7,5 uT",IF(N197&lt;10,"7,5 ≤ Turb &lt; 10,0 uT",IF(N197&lt;15,"10,0 ≤ Turb &lt; 15,0 uT","Turb &gt; 15 uT"))))))</f>
        <v>2,5 ≤ Turb &lt; 5,0 uT</v>
      </c>
      <c r="BB197" s="138" t="str">
        <f>IF(AND(C197&gt;D197,D197&gt;E197),"TOR &gt; SM &gt; BNN",IF(AND(C197&gt;E197,E197&gt;D197),"TOR &gt; BNN &gt; SM",IF(AND(D197&gt;C197,C197&gt;E197),"SM &gt; TOR &gt; BNN",IF(AND(D197&gt;E197,E197&gt;C197),"SM &gt; BNN &gt; TOR",IF(AND(C197=D197,D197=E197),"TOR = SM = BNN","Comb. diferentes")))))</f>
        <v>TOR &gt; BNN &gt; SM</v>
      </c>
      <c r="BC197" s="137" t="str">
        <f>IF(OR(AD197="",AP197="-"),"",IF(AD197&lt;=0.25,"Tipo 1 (≤0,25) uT",IF(AD197&lt;=0.5,"Tipo 2 (0,25-0,50) uT",IF(AD197&lt;=0.75,"Tipo 3 (0,50-0,75) uT","Tipo 4 (&gt;0,75) uT"))))</f>
        <v>Tipo 2 (0,25-0,50) uT</v>
      </c>
      <c r="BD197" s="137" t="str">
        <f>IF(OR(AO197="",AY197="-"),"",IF(AO197&lt;=0.25,"Tipo 1 (≤0,25) uT",IF(AO197&lt;=0.5,"Tipo 2 (0,25-0,50) uT",IF(AO197&lt;=0.75,"Tipo 3 (0,50-0,75) uT","Tipo 4 (&gt;0,75) uT"))))</f>
        <v>Tipo 1 (≤0,25) uT</v>
      </c>
      <c r="BE197" s="137" t="str">
        <f>IF(OR(AE197="",AP197="-"),"",IF(AE197&lt;=0.25,"Tipo 1 (≤0,25) uT",IF(AE197&lt;=0.5,"Tipo 2 (0,25-0,50) uT",IF(AE197&lt;=0.75,"Tipo 3 (0,50-0,75) uT","Tipo 4 (&gt;0,75) uT"))))</f>
        <v>Tipo 2 (0,25-0,50) uT</v>
      </c>
      <c r="BF197" s="137" t="str">
        <f>IF(OR(AP197="",AP197="-"),"",IF(AP197&lt;=0.25,"Tipo 1 (≤0,25) uT",IF(AP197&lt;=0.5,"Tipo 2 (0,25-0,50) uT",IF(AP197&lt;=0.75,"Tipo 3 (0,50-0,75) uT","Tipo 4 (&gt;0,75) uT"))))</f>
        <v>Tipo 2 (0,25-0,50) uT</v>
      </c>
      <c r="BG197" s="137" t="str">
        <f>IF(OR(Q197="",Q197="-"),"",IF(Q197&lt;=0.25,"Tipo 1 (≤0,25) uT",IF(Q197&lt;=0.5,"Tipo 2 (0,25-0,50) uT",IF(Q197&lt;=0.75,"Tipo 3 (0,50-0,75) uT","Tipo 4 (&gt;0,75) uT"))))</f>
        <v>Tipo 1 (≤0,25) uT</v>
      </c>
    </row>
    <row r="198" spans="1:59" x14ac:dyDescent="0.3">
      <c r="A198" s="26">
        <v>46148</v>
      </c>
      <c r="B198" s="107">
        <v>0.64583333333333337</v>
      </c>
      <c r="C198" s="116">
        <v>1175</v>
      </c>
      <c r="D198" s="116">
        <v>87.2</v>
      </c>
      <c r="E198" s="116">
        <v>550</v>
      </c>
      <c r="F198" s="116">
        <v>1908</v>
      </c>
      <c r="G198" s="10" t="s">
        <v>100</v>
      </c>
      <c r="H198" s="122">
        <v>4.5</v>
      </c>
      <c r="I198" s="116">
        <v>90</v>
      </c>
      <c r="J198" s="116">
        <v>90</v>
      </c>
      <c r="K198" s="116">
        <v>90</v>
      </c>
      <c r="L198" s="122">
        <v>24.6</v>
      </c>
      <c r="M198" s="122">
        <v>6.8</v>
      </c>
      <c r="N198" s="79">
        <v>3.63</v>
      </c>
      <c r="O198" s="116">
        <v>15</v>
      </c>
      <c r="P198" s="122">
        <v>6.2</v>
      </c>
      <c r="Q198" s="79">
        <v>0.12</v>
      </c>
      <c r="R198" s="79">
        <v>22.36</v>
      </c>
      <c r="S198" s="79">
        <v>0.88</v>
      </c>
      <c r="T198" s="79">
        <v>0.7</v>
      </c>
      <c r="U198" s="85">
        <f t="shared" si="18"/>
        <v>1663.1399999999999</v>
      </c>
      <c r="V198" s="79">
        <f t="shared" si="19"/>
        <v>1415.3519357796001</v>
      </c>
      <c r="W198" s="79">
        <f t="shared" si="20"/>
        <v>0.85101190265377558</v>
      </c>
      <c r="X198" s="116">
        <v>3</v>
      </c>
      <c r="Y198" s="116">
        <v>3</v>
      </c>
      <c r="Z198" s="122">
        <v>6.53</v>
      </c>
      <c r="AA198" s="116">
        <v>17.43</v>
      </c>
      <c r="AB198" s="122">
        <v>6.6</v>
      </c>
      <c r="AC198" s="122">
        <v>5.9</v>
      </c>
      <c r="AD198" s="10">
        <v>0.45</v>
      </c>
      <c r="AE198" s="79">
        <v>0.59</v>
      </c>
      <c r="AF198" s="85">
        <f t="shared" si="21"/>
        <v>1247.3549999999998</v>
      </c>
      <c r="AG198" s="85">
        <f t="shared" si="22"/>
        <v>1818.669881028</v>
      </c>
      <c r="AH198" s="85">
        <f t="shared" si="23"/>
        <v>1.4580210774222258</v>
      </c>
      <c r="AI198" s="116">
        <v>3</v>
      </c>
      <c r="AJ198" s="116">
        <v>4</v>
      </c>
      <c r="AK198" s="79">
        <v>6.37</v>
      </c>
      <c r="AL198" s="79">
        <v>23.1</v>
      </c>
      <c r="AM198" s="122">
        <v>6.6</v>
      </c>
      <c r="AN198" s="122">
        <v>5.6</v>
      </c>
      <c r="AO198" s="79">
        <v>0.56999999999999995</v>
      </c>
      <c r="AP198" s="127">
        <v>1.04</v>
      </c>
      <c r="AQ198" s="132">
        <f t="shared" si="24"/>
        <v>1812.2</v>
      </c>
      <c r="AR198" s="134">
        <f t="shared" si="25"/>
        <v>0.64838318066438583</v>
      </c>
      <c r="AS198" s="134">
        <f t="shared" si="26"/>
        <v>4.8118309237391015E-2</v>
      </c>
      <c r="AT198" s="134">
        <f t="shared" si="27"/>
        <v>0.30349851009822315</v>
      </c>
      <c r="AU198" s="43">
        <f>IF(AND(F198&lt;&gt;"",Y198&lt;&gt;""),AA198/(F198/2/Y198),"")</f>
        <v>5.481132075471698E-2</v>
      </c>
      <c r="AV198" s="43">
        <f>IF(AND(F198&lt;&gt;"",AJ198&lt;&gt;""),AL198/(F198/2/AJ198),"")</f>
        <v>9.6855345911949692E-2</v>
      </c>
      <c r="AW198" s="41">
        <f>IF(AND(AP198&lt;&gt;"",1-(AP198/N198)&gt;0),1-(AP198/N198),"")</f>
        <v>0.71349862258953167</v>
      </c>
      <c r="AX198" s="41">
        <f>IF(AND(AE198&lt;&gt;"",1-(AE198/N198)&gt;0),1-(AE198/N198),"")</f>
        <v>0.83746556473829203</v>
      </c>
      <c r="AY198" s="136" t="str">
        <f>IF(P198="","",IF(P198&lt;2.5,"Alc. Bruta &lt; 2,5 mg/L",IF(P198&lt;5,"2,5 ≤ Alc. Bruta &lt; 5,0 mg/L",IF(P198&lt;7.5,"5,0 ≤ Alc. Bruta &lt; 7,5 mg/L",IF(P198&lt;10,"7,5 ≤ Alc. Bruta &lt; 10,0 mg/L",IF(P198&lt;15,"10,0 ≤ Alca. Bruta &lt; 15,0 mg/L","Alc. Bruta &gt; 15 mg/L"))))))</f>
        <v>5,0 ≤ Alc. Bruta &lt; 7,5 mg/L</v>
      </c>
      <c r="AZ198" s="136" t="str">
        <f>IF(O198="","",IF(O198&lt;5,"Cor &lt;5 uC",IF(O198&lt;10,"5 ≤ Cor &lt; 10 uC",IF(O198&lt;15,"10 ≤ Cor &lt;15 uC",IF(O198&lt;30,"15 ≤ Cor &lt; 30 uC",IF(O198&lt;50,"30 ≤ Cor &lt; 50 uC","Cor &gt; 50 uC"))))))</f>
        <v>15 ≤ Cor &lt; 30 uC</v>
      </c>
      <c r="BA198" s="137" t="str">
        <f>IF(N198="","",IF(N198&lt;2.5,"Turbidez &lt; 2,5 uT",IF(N198&lt;5,"2,5 ≤ Turb &lt; 5,0 uT",IF(N198&lt;7.5,"5,0 ≤ Turb &lt; 7,5 uT",IF(N198&lt;10,"7,5 ≤ Turb &lt; 10,0 uT",IF(N198&lt;15,"10,0 ≤ Turb &lt; 15,0 uT","Turb &gt; 15 uT"))))))</f>
        <v>2,5 ≤ Turb &lt; 5,0 uT</v>
      </c>
      <c r="BB198" s="138" t="str">
        <f>IF(AND(C198&gt;D198,D198&gt;E198),"TOR &gt; SM &gt; BNN",IF(AND(C198&gt;E198,E198&gt;D198),"TOR &gt; BNN &gt; SM",IF(AND(D198&gt;C198,C198&gt;E198),"SM &gt; TOR &gt; BNN",IF(AND(D198&gt;E198,E198&gt;C198),"SM &gt; BNN &gt; TOR",IF(AND(C198=D198,D198=E198),"TOR = SM = BNN","Comb. diferentes")))))</f>
        <v>TOR &gt; BNN &gt; SM</v>
      </c>
      <c r="BC198" s="137" t="str">
        <f>IF(OR(AD198="",AP198="-"),"",IF(AD198&lt;=0.25,"Tipo 1 (≤0,25) uT",IF(AD198&lt;=0.5,"Tipo 2 (0,25-0,50) uT",IF(AD198&lt;=0.75,"Tipo 3 (0,50-0,75) uT","Tipo 4 (&gt;0,75) uT"))))</f>
        <v>Tipo 2 (0,25-0,50) uT</v>
      </c>
      <c r="BD198" s="137" t="str">
        <f>IF(OR(AO198="",AY198="-"),"",IF(AO198&lt;=0.25,"Tipo 1 (≤0,25) uT",IF(AO198&lt;=0.5,"Tipo 2 (0,25-0,50) uT",IF(AO198&lt;=0.75,"Tipo 3 (0,50-0,75) uT","Tipo 4 (&gt;0,75) uT"))))</f>
        <v>Tipo 3 (0,50-0,75) uT</v>
      </c>
      <c r="BE198" s="137" t="str">
        <f>IF(OR(AE198="",AP198="-"),"",IF(AE198&lt;=0.25,"Tipo 1 (≤0,25) uT",IF(AE198&lt;=0.5,"Tipo 2 (0,25-0,50) uT",IF(AE198&lt;=0.75,"Tipo 3 (0,50-0,75) uT","Tipo 4 (&gt;0,75) uT"))))</f>
        <v>Tipo 3 (0,50-0,75) uT</v>
      </c>
      <c r="BF198" s="137" t="str">
        <f>IF(OR(AP198="",AP198="-"),"",IF(AP198&lt;=0.25,"Tipo 1 (≤0,25) uT",IF(AP198&lt;=0.5,"Tipo 2 (0,25-0,50) uT",IF(AP198&lt;=0.75,"Tipo 3 (0,50-0,75) uT","Tipo 4 (&gt;0,75) uT"))))</f>
        <v>Tipo 4 (&gt;0,75) uT</v>
      </c>
      <c r="BG198" s="137" t="str">
        <f>IF(OR(Q198="",Q198="-"),"",IF(Q198&lt;=0.25,"Tipo 1 (≤0,25) uT",IF(Q198&lt;=0.5,"Tipo 2 (0,25-0,50) uT",IF(Q198&lt;=0.75,"Tipo 3 (0,50-0,75) uT","Tipo 4 (&gt;0,75) uT"))))</f>
        <v>Tipo 1 (≤0,25) uT</v>
      </c>
    </row>
    <row r="199" spans="1:59" x14ac:dyDescent="0.3">
      <c r="A199" s="26">
        <v>46148</v>
      </c>
      <c r="B199" s="107">
        <v>0.72916666666666663</v>
      </c>
      <c r="C199" s="116">
        <v>1153</v>
      </c>
      <c r="D199" s="116">
        <v>84.9</v>
      </c>
      <c r="E199" s="116">
        <v>549</v>
      </c>
      <c r="F199" s="116">
        <v>1916</v>
      </c>
      <c r="G199" s="10" t="s">
        <v>100</v>
      </c>
      <c r="H199" s="122">
        <v>4.5</v>
      </c>
      <c r="I199" s="116">
        <v>90</v>
      </c>
      <c r="J199" s="116">
        <v>90</v>
      </c>
      <c r="K199" s="116">
        <v>90</v>
      </c>
      <c r="L199" s="122">
        <v>24.6</v>
      </c>
      <c r="M199" s="122">
        <v>6.8</v>
      </c>
      <c r="N199" s="79">
        <v>4.0199999999999996</v>
      </c>
      <c r="O199" s="116">
        <v>16</v>
      </c>
      <c r="P199" s="122">
        <v>5.9</v>
      </c>
      <c r="Q199" s="79">
        <v>0.68</v>
      </c>
      <c r="R199" s="79">
        <v>22.36</v>
      </c>
      <c r="S199" s="79">
        <v>0.88</v>
      </c>
      <c r="T199" s="79">
        <v>0.7</v>
      </c>
      <c r="U199" s="85">
        <f t="shared" si="18"/>
        <v>1794.653333333333</v>
      </c>
      <c r="V199" s="79">
        <f t="shared" si="19"/>
        <v>1396.5228127707996</v>
      </c>
      <c r="W199" s="79">
        <f t="shared" si="20"/>
        <v>0.77815742284719791</v>
      </c>
      <c r="X199" s="116">
        <v>3</v>
      </c>
      <c r="Y199" s="116">
        <v>3</v>
      </c>
      <c r="Z199" s="122">
        <v>6.49</v>
      </c>
      <c r="AA199" s="116">
        <v>17.329999999999998</v>
      </c>
      <c r="AB199" s="122">
        <v>6.6</v>
      </c>
      <c r="AC199" s="122">
        <v>6.4</v>
      </c>
      <c r="AD199" s="10">
        <v>0.28000000000000003</v>
      </c>
      <c r="AE199" s="79">
        <v>0.5</v>
      </c>
      <c r="AF199" s="85">
        <f t="shared" si="21"/>
        <v>1345.9899999999998</v>
      </c>
      <c r="AG199" s="85">
        <f t="shared" si="22"/>
        <v>1812.3714571975997</v>
      </c>
      <c r="AH199" s="85">
        <f t="shared" si="23"/>
        <v>1.3464969704066152</v>
      </c>
      <c r="AI199" s="116">
        <v>3</v>
      </c>
      <c r="AJ199" s="116">
        <v>4</v>
      </c>
      <c r="AK199" s="79">
        <v>6.37</v>
      </c>
      <c r="AL199" s="79">
        <v>23.02</v>
      </c>
      <c r="AM199" s="122">
        <v>6.7</v>
      </c>
      <c r="AN199" s="122">
        <v>7.1</v>
      </c>
      <c r="AO199" s="79">
        <v>0.35</v>
      </c>
      <c r="AP199" s="127">
        <v>0.78</v>
      </c>
      <c r="AQ199" s="132">
        <f t="shared" si="24"/>
        <v>1786.9</v>
      </c>
      <c r="AR199" s="134">
        <f t="shared" si="25"/>
        <v>0.64525155296882863</v>
      </c>
      <c r="AS199" s="134">
        <f t="shared" si="26"/>
        <v>4.7512451732049918E-2</v>
      </c>
      <c r="AT199" s="134">
        <f t="shared" si="27"/>
        <v>0.30723599529912138</v>
      </c>
      <c r="AU199" s="43">
        <f>IF(AND(F199&lt;&gt;"",Y199&lt;&gt;""),AA199/(F199/2/Y199),"")</f>
        <v>5.4269311064718162E-2</v>
      </c>
      <c r="AV199" s="43">
        <f>IF(AND(F199&lt;&gt;"",AJ199&lt;&gt;""),AL199/(F199/2/AJ199),"")</f>
        <v>9.6116910229645094E-2</v>
      </c>
      <c r="AW199" s="41">
        <f>IF(AND(AP199&lt;&gt;"",1-(AP199/N199)&gt;0),1-(AP199/N199),"")</f>
        <v>0.80597014925373134</v>
      </c>
      <c r="AX199" s="41">
        <f>IF(AND(AE199&lt;&gt;"",1-(AE199/N199)&gt;0),1-(AE199/N199),"")</f>
        <v>0.87562189054726369</v>
      </c>
      <c r="AY199" s="136" t="str">
        <f>IF(P199="","",IF(P199&lt;2.5,"Alc. Bruta &lt; 2,5 mg/L",IF(P199&lt;5,"2,5 ≤ Alc. Bruta &lt; 5,0 mg/L",IF(P199&lt;7.5,"5,0 ≤ Alc. Bruta &lt; 7,5 mg/L",IF(P199&lt;10,"7,5 ≤ Alc. Bruta &lt; 10,0 mg/L",IF(P199&lt;15,"10,0 ≤ Alca. Bruta &lt; 15,0 mg/L","Alc. Bruta &gt; 15 mg/L"))))))</f>
        <v>5,0 ≤ Alc. Bruta &lt; 7,5 mg/L</v>
      </c>
      <c r="AZ199" s="136" t="str">
        <f>IF(O199="","",IF(O199&lt;5,"Cor &lt;5 uC",IF(O199&lt;10,"5 ≤ Cor &lt; 10 uC",IF(O199&lt;15,"10 ≤ Cor &lt;15 uC",IF(O199&lt;30,"15 ≤ Cor &lt; 30 uC",IF(O199&lt;50,"30 ≤ Cor &lt; 50 uC","Cor &gt; 50 uC"))))))</f>
        <v>15 ≤ Cor &lt; 30 uC</v>
      </c>
      <c r="BA199" s="137" t="str">
        <f>IF(N199="","",IF(N199&lt;2.5,"Turbidez &lt; 2,5 uT",IF(N199&lt;5,"2,5 ≤ Turb &lt; 5,0 uT",IF(N199&lt;7.5,"5,0 ≤ Turb &lt; 7,5 uT",IF(N199&lt;10,"7,5 ≤ Turb &lt; 10,0 uT",IF(N199&lt;15,"10,0 ≤ Turb &lt; 15,0 uT","Turb &gt; 15 uT"))))))</f>
        <v>2,5 ≤ Turb &lt; 5,0 uT</v>
      </c>
      <c r="BB199" s="138" t="str">
        <f>IF(AND(C199&gt;D199,D199&gt;E199),"TOR &gt; SM &gt; BNN",IF(AND(C199&gt;E199,E199&gt;D199),"TOR &gt; BNN &gt; SM",IF(AND(D199&gt;C199,C199&gt;E199),"SM &gt; TOR &gt; BNN",IF(AND(D199&gt;E199,E199&gt;C199),"SM &gt; BNN &gt; TOR",IF(AND(C199=D199,D199=E199),"TOR = SM = BNN","Comb. diferentes")))))</f>
        <v>TOR &gt; BNN &gt; SM</v>
      </c>
      <c r="BC199" s="137" t="str">
        <f>IF(OR(AD199="",AP199="-"),"",IF(AD199&lt;=0.25,"Tipo 1 (≤0,25) uT",IF(AD199&lt;=0.5,"Tipo 2 (0,25-0,50) uT",IF(AD199&lt;=0.75,"Tipo 3 (0,50-0,75) uT","Tipo 4 (&gt;0,75) uT"))))</f>
        <v>Tipo 2 (0,25-0,50) uT</v>
      </c>
      <c r="BD199" s="137" t="str">
        <f>IF(OR(AO199="",AY199="-"),"",IF(AO199&lt;=0.25,"Tipo 1 (≤0,25) uT",IF(AO199&lt;=0.5,"Tipo 2 (0,25-0,50) uT",IF(AO199&lt;=0.75,"Tipo 3 (0,50-0,75) uT","Tipo 4 (&gt;0,75) uT"))))</f>
        <v>Tipo 2 (0,25-0,50) uT</v>
      </c>
      <c r="BE199" s="137" t="str">
        <f>IF(OR(AE199="",AP199="-"),"",IF(AE199&lt;=0.25,"Tipo 1 (≤0,25) uT",IF(AE199&lt;=0.5,"Tipo 2 (0,25-0,50) uT",IF(AE199&lt;=0.75,"Tipo 3 (0,50-0,75) uT","Tipo 4 (&gt;0,75) uT"))))</f>
        <v>Tipo 2 (0,25-0,50) uT</v>
      </c>
      <c r="BF199" s="137" t="str">
        <f>IF(OR(AP199="",AP199="-"),"",IF(AP199&lt;=0.25,"Tipo 1 (≤0,25) uT",IF(AP199&lt;=0.5,"Tipo 2 (0,25-0,50) uT",IF(AP199&lt;=0.75,"Tipo 3 (0,50-0,75) uT","Tipo 4 (&gt;0,75) uT"))))</f>
        <v>Tipo 4 (&gt;0,75) uT</v>
      </c>
      <c r="BG199" s="137" t="str">
        <f>IF(OR(Q199="",Q199="-"),"",IF(Q199&lt;=0.25,"Tipo 1 (≤0,25) uT",IF(Q199&lt;=0.5,"Tipo 2 (0,25-0,50) uT",IF(Q199&lt;=0.75,"Tipo 3 (0,50-0,75) uT","Tipo 4 (&gt;0,75) uT"))))</f>
        <v>Tipo 3 (0,50-0,75) uT</v>
      </c>
    </row>
    <row r="200" spans="1:59" x14ac:dyDescent="0.3">
      <c r="A200" s="26">
        <v>46148</v>
      </c>
      <c r="B200" s="107">
        <v>0.8125</v>
      </c>
      <c r="C200" s="116">
        <v>1165</v>
      </c>
      <c r="D200" s="116">
        <v>86</v>
      </c>
      <c r="E200" s="116">
        <v>549</v>
      </c>
      <c r="F200" s="116">
        <v>1905</v>
      </c>
      <c r="G200" s="10" t="s">
        <v>100</v>
      </c>
      <c r="H200" s="122">
        <v>4.5</v>
      </c>
      <c r="I200" s="116">
        <v>90</v>
      </c>
      <c r="J200" s="116">
        <v>90</v>
      </c>
      <c r="K200" s="116">
        <v>90</v>
      </c>
      <c r="L200" s="122">
        <v>24.3</v>
      </c>
      <c r="M200" s="122">
        <v>6.8</v>
      </c>
      <c r="N200" s="79">
        <v>3.78</v>
      </c>
      <c r="O200" s="116">
        <v>16</v>
      </c>
      <c r="P200" s="122">
        <v>6.3</v>
      </c>
      <c r="Q200" s="79">
        <v>0.42</v>
      </c>
      <c r="R200" s="79">
        <v>22.36</v>
      </c>
      <c r="S200" s="79">
        <v>0.88</v>
      </c>
      <c r="T200" s="79">
        <v>0.7</v>
      </c>
      <c r="U200" s="85">
        <f t="shared" si="18"/>
        <v>1708.1499999999999</v>
      </c>
      <c r="V200" s="79">
        <f t="shared" si="19"/>
        <v>1296.7612236799996</v>
      </c>
      <c r="W200" s="79">
        <f t="shared" si="20"/>
        <v>0.75916121165003059</v>
      </c>
      <c r="X200" s="116">
        <v>2</v>
      </c>
      <c r="Y200" s="116">
        <v>3</v>
      </c>
      <c r="Z200" s="122">
        <v>6.52</v>
      </c>
      <c r="AA200" s="116">
        <v>16</v>
      </c>
      <c r="AB200" s="122">
        <v>6.6</v>
      </c>
      <c r="AC200" s="122">
        <v>6.3</v>
      </c>
      <c r="AD200" s="10">
        <v>0.27</v>
      </c>
      <c r="AE200" s="79">
        <v>0.34</v>
      </c>
      <c r="AF200" s="85">
        <f t="shared" si="21"/>
        <v>1281.1125</v>
      </c>
      <c r="AG200" s="85">
        <f t="shared" si="22"/>
        <v>1800.1373696799999</v>
      </c>
      <c r="AH200" s="85">
        <f t="shared" si="23"/>
        <v>1.405136059229771</v>
      </c>
      <c r="AI200" s="116">
        <v>2</v>
      </c>
      <c r="AJ200" s="116">
        <v>4</v>
      </c>
      <c r="AK200" s="79">
        <v>6.34</v>
      </c>
      <c r="AL200" s="79">
        <v>23</v>
      </c>
      <c r="AM200" s="122">
        <v>6.6</v>
      </c>
      <c r="AN200" s="122">
        <v>5.5</v>
      </c>
      <c r="AO200" s="79">
        <v>0.44</v>
      </c>
      <c r="AP200" s="127">
        <v>0.7</v>
      </c>
      <c r="AQ200" s="132">
        <f t="shared" si="24"/>
        <v>1800</v>
      </c>
      <c r="AR200" s="134">
        <f t="shared" si="25"/>
        <v>0.64722222222222225</v>
      </c>
      <c r="AS200" s="134">
        <f t="shared" si="26"/>
        <v>4.777777777777778E-2</v>
      </c>
      <c r="AT200" s="134">
        <f t="shared" si="27"/>
        <v>0.30499999999999999</v>
      </c>
      <c r="AU200" s="43">
        <f>IF(AND(F200&lt;&gt;"",Y200&lt;&gt;""),AA200/(F200/2/Y200),"")</f>
        <v>5.0393700787401574E-2</v>
      </c>
      <c r="AV200" s="43">
        <f>IF(AND(F200&lt;&gt;"",AJ200&lt;&gt;""),AL200/(F200/2/AJ200),"")</f>
        <v>9.658792650918635E-2</v>
      </c>
      <c r="AW200" s="41">
        <f>IF(AND(AP200&lt;&gt;"",1-(AP200/N200)&gt;0),1-(AP200/N200),"")</f>
        <v>0.81481481481481488</v>
      </c>
      <c r="AX200" s="41">
        <f>IF(AND(AE200&lt;&gt;"",1-(AE200/N200)&gt;0),1-(AE200/N200),"")</f>
        <v>0.91005291005291</v>
      </c>
      <c r="AY200" s="136" t="str">
        <f>IF(P200="","",IF(P200&lt;2.5,"Alc. Bruta &lt; 2,5 mg/L",IF(P200&lt;5,"2,5 ≤ Alc. Bruta &lt; 5,0 mg/L",IF(P200&lt;7.5,"5,0 ≤ Alc. Bruta &lt; 7,5 mg/L",IF(P200&lt;10,"7,5 ≤ Alc. Bruta &lt; 10,0 mg/L",IF(P200&lt;15,"10,0 ≤ Alca. Bruta &lt; 15,0 mg/L","Alc. Bruta &gt; 15 mg/L"))))))</f>
        <v>5,0 ≤ Alc. Bruta &lt; 7,5 mg/L</v>
      </c>
      <c r="AZ200" s="136" t="str">
        <f>IF(O200="","",IF(O200&lt;5,"Cor &lt;5 uC",IF(O200&lt;10,"5 ≤ Cor &lt; 10 uC",IF(O200&lt;15,"10 ≤ Cor &lt;15 uC",IF(O200&lt;30,"15 ≤ Cor &lt; 30 uC",IF(O200&lt;50,"30 ≤ Cor &lt; 50 uC","Cor &gt; 50 uC"))))))</f>
        <v>15 ≤ Cor &lt; 30 uC</v>
      </c>
      <c r="BA200" s="137" t="str">
        <f>IF(N200="","",IF(N200&lt;2.5,"Turbidez &lt; 2,5 uT",IF(N200&lt;5,"2,5 ≤ Turb &lt; 5,0 uT",IF(N200&lt;7.5,"5,0 ≤ Turb &lt; 7,5 uT",IF(N200&lt;10,"7,5 ≤ Turb &lt; 10,0 uT",IF(N200&lt;15,"10,0 ≤ Turb &lt; 15,0 uT","Turb &gt; 15 uT"))))))</f>
        <v>2,5 ≤ Turb &lt; 5,0 uT</v>
      </c>
      <c r="BB200" s="138" t="str">
        <f>IF(AND(C200&gt;D200,D200&gt;E200),"TOR &gt; SM &gt; BNN",IF(AND(C200&gt;E200,E200&gt;D200),"TOR &gt; BNN &gt; SM",IF(AND(D200&gt;C200,C200&gt;E200),"SM &gt; TOR &gt; BNN",IF(AND(D200&gt;E200,E200&gt;C200),"SM &gt; BNN &gt; TOR",IF(AND(C200=D200,D200=E200),"TOR = SM = BNN","Comb. diferentes")))))</f>
        <v>TOR &gt; BNN &gt; SM</v>
      </c>
      <c r="BC200" s="137" t="str">
        <f>IF(OR(AD200="",AP200="-"),"",IF(AD200&lt;=0.25,"Tipo 1 (≤0,25) uT",IF(AD200&lt;=0.5,"Tipo 2 (0,25-0,50) uT",IF(AD200&lt;=0.75,"Tipo 3 (0,50-0,75) uT","Tipo 4 (&gt;0,75) uT"))))</f>
        <v>Tipo 2 (0,25-0,50) uT</v>
      </c>
      <c r="BD200" s="137" t="str">
        <f>IF(OR(AO200="",AY200="-"),"",IF(AO200&lt;=0.25,"Tipo 1 (≤0,25) uT",IF(AO200&lt;=0.5,"Tipo 2 (0,25-0,50) uT",IF(AO200&lt;=0.75,"Tipo 3 (0,50-0,75) uT","Tipo 4 (&gt;0,75) uT"))))</f>
        <v>Tipo 2 (0,25-0,50) uT</v>
      </c>
      <c r="BE200" s="137" t="str">
        <f>IF(OR(AE200="",AP200="-"),"",IF(AE200&lt;=0.25,"Tipo 1 (≤0,25) uT",IF(AE200&lt;=0.5,"Tipo 2 (0,25-0,50) uT",IF(AE200&lt;=0.75,"Tipo 3 (0,50-0,75) uT","Tipo 4 (&gt;0,75) uT"))))</f>
        <v>Tipo 2 (0,25-0,50) uT</v>
      </c>
      <c r="BF200" s="137" t="str">
        <f>IF(OR(AP200="",AP200="-"),"",IF(AP200&lt;=0.25,"Tipo 1 (≤0,25) uT",IF(AP200&lt;=0.5,"Tipo 2 (0,25-0,50) uT",IF(AP200&lt;=0.75,"Tipo 3 (0,50-0,75) uT","Tipo 4 (&gt;0,75) uT"))))</f>
        <v>Tipo 3 (0,50-0,75) uT</v>
      </c>
      <c r="BG200" s="137" t="str">
        <f>IF(OR(Q200="",Q200="-"),"",IF(Q200&lt;=0.25,"Tipo 1 (≤0,25) uT",IF(Q200&lt;=0.5,"Tipo 2 (0,25-0,50) uT",IF(Q200&lt;=0.75,"Tipo 3 (0,50-0,75) uT","Tipo 4 (&gt;0,75) uT"))))</f>
        <v>Tipo 2 (0,25-0,50) uT</v>
      </c>
    </row>
    <row r="201" spans="1:59" x14ac:dyDescent="0.3">
      <c r="A201" s="26">
        <v>46148</v>
      </c>
      <c r="B201" s="107">
        <v>0.89583333333333337</v>
      </c>
      <c r="C201" s="116">
        <v>1517</v>
      </c>
      <c r="D201" s="116">
        <v>88</v>
      </c>
      <c r="E201" s="116">
        <v>450</v>
      </c>
      <c r="F201" s="116">
        <v>2348</v>
      </c>
      <c r="G201" s="10" t="s">
        <v>100</v>
      </c>
      <c r="H201" s="122">
        <v>4.5</v>
      </c>
      <c r="I201" s="116">
        <v>90</v>
      </c>
      <c r="J201" s="116">
        <v>90</v>
      </c>
      <c r="K201" s="116">
        <v>90</v>
      </c>
      <c r="L201" s="122">
        <v>24.1</v>
      </c>
      <c r="M201" s="122">
        <v>6.5</v>
      </c>
      <c r="N201" s="79">
        <v>3.83</v>
      </c>
      <c r="O201" s="116">
        <v>18</v>
      </c>
      <c r="P201" s="122">
        <v>6.1</v>
      </c>
      <c r="Q201" s="79">
        <v>0.47</v>
      </c>
      <c r="R201" s="79">
        <v>22.36</v>
      </c>
      <c r="S201" s="79">
        <v>0.88</v>
      </c>
      <c r="T201" s="79">
        <v>0.7</v>
      </c>
      <c r="U201" s="85">
        <f t="shared" si="18"/>
        <v>2124.9399999999996</v>
      </c>
      <c r="V201" s="79">
        <f t="shared" si="19"/>
        <v>1380.6301626000002</v>
      </c>
      <c r="W201" s="79">
        <f t="shared" si="20"/>
        <v>0.64972665703502241</v>
      </c>
      <c r="X201" s="116">
        <v>2</v>
      </c>
      <c r="Y201" s="116">
        <v>3</v>
      </c>
      <c r="Z201" s="122">
        <v>6.5</v>
      </c>
      <c r="AA201" s="116">
        <v>17.100000000000001</v>
      </c>
      <c r="AB201" s="122">
        <v>6.7</v>
      </c>
      <c r="AC201" s="122">
        <v>5.6</v>
      </c>
      <c r="AD201" s="10">
        <v>0.33</v>
      </c>
      <c r="AE201" s="79">
        <v>0.32</v>
      </c>
      <c r="AF201" s="85">
        <f t="shared" si="21"/>
        <v>1593.7049999999999</v>
      </c>
      <c r="AG201" s="85">
        <f t="shared" si="22"/>
        <v>1749.8581415119995</v>
      </c>
      <c r="AH201" s="85">
        <f t="shared" si="23"/>
        <v>1.0979812082612526</v>
      </c>
      <c r="AI201" s="116">
        <v>2</v>
      </c>
      <c r="AJ201" s="116">
        <v>4</v>
      </c>
      <c r="AK201" s="79">
        <v>6.22</v>
      </c>
      <c r="AL201" s="79">
        <v>22.9</v>
      </c>
      <c r="AM201" s="122">
        <v>6.6</v>
      </c>
      <c r="AN201" s="122">
        <v>5.2</v>
      </c>
      <c r="AO201" s="79">
        <v>0.54</v>
      </c>
      <c r="AP201" s="127">
        <v>0.84</v>
      </c>
      <c r="AQ201" s="132">
        <f t="shared" si="24"/>
        <v>2055</v>
      </c>
      <c r="AR201" s="134">
        <f t="shared" si="25"/>
        <v>0.73819951338199519</v>
      </c>
      <c r="AS201" s="134">
        <f t="shared" si="26"/>
        <v>4.2822384428223843E-2</v>
      </c>
      <c r="AT201" s="134">
        <f t="shared" si="27"/>
        <v>0.21897810218978103</v>
      </c>
      <c r="AU201" s="43">
        <f>IF(AND(F201&lt;&gt;"",Y201&lt;&gt;""),AA201/(F201/2/Y201),"")</f>
        <v>4.3696763202725732E-2</v>
      </c>
      <c r="AV201" s="43">
        <f>IF(AND(F201&lt;&gt;"",AJ201&lt;&gt;""),AL201/(F201/2/AJ201),"")</f>
        <v>7.802385008517887E-2</v>
      </c>
      <c r="AW201" s="41">
        <f>IF(AND(AP201&lt;&gt;"",1-(AP201/N201)&gt;0),1-(AP201/N201),"")</f>
        <v>0.78067885117493474</v>
      </c>
      <c r="AX201" s="41">
        <f>IF(AND(AE201&lt;&gt;"",1-(AE201/N201)&gt;0),1-(AE201/N201),"")</f>
        <v>0.91644908616187992</v>
      </c>
      <c r="AY201" s="136" t="str">
        <f>IF(P201="","",IF(P201&lt;2.5,"Alc. Bruta &lt; 2,5 mg/L",IF(P201&lt;5,"2,5 ≤ Alc. Bruta &lt; 5,0 mg/L",IF(P201&lt;7.5,"5,0 ≤ Alc. Bruta &lt; 7,5 mg/L",IF(P201&lt;10,"7,5 ≤ Alc. Bruta &lt; 10,0 mg/L",IF(P201&lt;15,"10,0 ≤ Alca. Bruta &lt; 15,0 mg/L","Alc. Bruta &gt; 15 mg/L"))))))</f>
        <v>5,0 ≤ Alc. Bruta &lt; 7,5 mg/L</v>
      </c>
      <c r="AZ201" s="136" t="str">
        <f>IF(O201="","",IF(O201&lt;5,"Cor &lt;5 uC",IF(O201&lt;10,"5 ≤ Cor &lt; 10 uC",IF(O201&lt;15,"10 ≤ Cor &lt;15 uC",IF(O201&lt;30,"15 ≤ Cor &lt; 30 uC",IF(O201&lt;50,"30 ≤ Cor &lt; 50 uC","Cor &gt; 50 uC"))))))</f>
        <v>15 ≤ Cor &lt; 30 uC</v>
      </c>
      <c r="BA201" s="137" t="str">
        <f>IF(N201="","",IF(N201&lt;2.5,"Turbidez &lt; 2,5 uT",IF(N201&lt;5,"2,5 ≤ Turb &lt; 5,0 uT",IF(N201&lt;7.5,"5,0 ≤ Turb &lt; 7,5 uT",IF(N201&lt;10,"7,5 ≤ Turb &lt; 10,0 uT",IF(N201&lt;15,"10,0 ≤ Turb &lt; 15,0 uT","Turb &gt; 15 uT"))))))</f>
        <v>2,5 ≤ Turb &lt; 5,0 uT</v>
      </c>
      <c r="BB201" s="138" t="str">
        <f>IF(AND(C201&gt;D201,D201&gt;E201),"TOR &gt; SM &gt; BNN",IF(AND(C201&gt;E201,E201&gt;D201),"TOR &gt; BNN &gt; SM",IF(AND(D201&gt;C201,C201&gt;E201),"SM &gt; TOR &gt; BNN",IF(AND(D201&gt;E201,E201&gt;C201),"SM &gt; BNN &gt; TOR",IF(AND(C201=D201,D201=E201),"TOR = SM = BNN","Comb. diferentes")))))</f>
        <v>TOR &gt; BNN &gt; SM</v>
      </c>
      <c r="BC201" s="137" t="str">
        <f>IF(OR(AD201="",AP201="-"),"",IF(AD201&lt;=0.25,"Tipo 1 (≤0,25) uT",IF(AD201&lt;=0.5,"Tipo 2 (0,25-0,50) uT",IF(AD201&lt;=0.75,"Tipo 3 (0,50-0,75) uT","Tipo 4 (&gt;0,75) uT"))))</f>
        <v>Tipo 2 (0,25-0,50) uT</v>
      </c>
      <c r="BD201" s="137" t="str">
        <f>IF(OR(AO201="",AY201="-"),"",IF(AO201&lt;=0.25,"Tipo 1 (≤0,25) uT",IF(AO201&lt;=0.5,"Tipo 2 (0,25-0,50) uT",IF(AO201&lt;=0.75,"Tipo 3 (0,50-0,75) uT","Tipo 4 (&gt;0,75) uT"))))</f>
        <v>Tipo 3 (0,50-0,75) uT</v>
      </c>
      <c r="BE201" s="137" t="str">
        <f>IF(OR(AE201="",AP201="-"),"",IF(AE201&lt;=0.25,"Tipo 1 (≤0,25) uT",IF(AE201&lt;=0.5,"Tipo 2 (0,25-0,50) uT",IF(AE201&lt;=0.75,"Tipo 3 (0,50-0,75) uT","Tipo 4 (&gt;0,75) uT"))))</f>
        <v>Tipo 2 (0,25-0,50) uT</v>
      </c>
      <c r="BF201" s="137" t="str">
        <f>IF(OR(AP201="",AP201="-"),"",IF(AP201&lt;=0.25,"Tipo 1 (≤0,25) uT",IF(AP201&lt;=0.5,"Tipo 2 (0,25-0,50) uT",IF(AP201&lt;=0.75,"Tipo 3 (0,50-0,75) uT","Tipo 4 (&gt;0,75) uT"))))</f>
        <v>Tipo 4 (&gt;0,75) uT</v>
      </c>
      <c r="BG201" s="137" t="str">
        <f>IF(OR(Q201="",Q201="-"),"",IF(Q201&lt;=0.25,"Tipo 1 (≤0,25) uT",IF(Q201&lt;=0.5,"Tipo 2 (0,25-0,50) uT",IF(Q201&lt;=0.75,"Tipo 3 (0,50-0,75) uT","Tipo 4 (&gt;0,75) uT"))))</f>
        <v>Tipo 2 (0,25-0,50) uT</v>
      </c>
    </row>
    <row r="202" spans="1:59" x14ac:dyDescent="0.3">
      <c r="A202" s="26">
        <v>46149</v>
      </c>
      <c r="B202" s="107">
        <v>6.25E-2</v>
      </c>
      <c r="C202" s="116">
        <v>1575</v>
      </c>
      <c r="D202" s="116">
        <v>85</v>
      </c>
      <c r="E202" s="116">
        <v>450</v>
      </c>
      <c r="F202" s="116">
        <v>2272</v>
      </c>
      <c r="G202" s="10" t="s">
        <v>100</v>
      </c>
      <c r="H202" s="122">
        <v>4.5</v>
      </c>
      <c r="I202" s="116">
        <v>90</v>
      </c>
      <c r="J202" s="116">
        <v>90</v>
      </c>
      <c r="K202" s="116">
        <v>90</v>
      </c>
      <c r="L202" s="122">
        <v>22.1</v>
      </c>
      <c r="M202" s="122">
        <v>6.6</v>
      </c>
      <c r="N202" s="79">
        <v>4.21</v>
      </c>
      <c r="O202" s="116">
        <v>17</v>
      </c>
      <c r="P202" s="122">
        <v>4.8</v>
      </c>
      <c r="Q202" s="79">
        <v>0.49</v>
      </c>
      <c r="R202" s="79">
        <v>22.36</v>
      </c>
      <c r="S202" s="79">
        <v>0.88</v>
      </c>
      <c r="T202" s="79">
        <v>0.7</v>
      </c>
      <c r="U202" s="85">
        <f t="shared" si="18"/>
        <v>2200.0533333333333</v>
      </c>
      <c r="V202" s="79">
        <f t="shared" si="19"/>
        <v>1372.556302</v>
      </c>
      <c r="W202" s="79">
        <f t="shared" si="20"/>
        <v>0.62387410396111609</v>
      </c>
      <c r="X202" s="116">
        <v>2</v>
      </c>
      <c r="Y202" s="116">
        <v>3</v>
      </c>
      <c r="Z202" s="122">
        <v>6.5</v>
      </c>
      <c r="AA202" s="116">
        <v>17</v>
      </c>
      <c r="AB202" s="122">
        <v>6.5</v>
      </c>
      <c r="AC202" s="122">
        <v>4.4000000000000004</v>
      </c>
      <c r="AD202" s="10">
        <v>0.4</v>
      </c>
      <c r="AE202" s="79">
        <v>0.24</v>
      </c>
      <c r="AF202" s="85">
        <f t="shared" si="21"/>
        <v>1650.04</v>
      </c>
      <c r="AG202" s="85">
        <f t="shared" si="22"/>
        <v>1793.0310486399997</v>
      </c>
      <c r="AH202" s="85">
        <f t="shared" si="23"/>
        <v>1.0866591407723447</v>
      </c>
      <c r="AI202" s="116">
        <v>2</v>
      </c>
      <c r="AJ202" s="116">
        <v>4</v>
      </c>
      <c r="AK202" s="79">
        <v>6.32</v>
      </c>
      <c r="AL202" s="79">
        <v>23</v>
      </c>
      <c r="AM202" s="122">
        <v>6.5</v>
      </c>
      <c r="AN202" s="122">
        <v>4.7</v>
      </c>
      <c r="AO202" s="79">
        <v>0.43</v>
      </c>
      <c r="AP202" s="127">
        <v>0.81</v>
      </c>
      <c r="AQ202" s="132">
        <f t="shared" si="24"/>
        <v>2110</v>
      </c>
      <c r="AR202" s="134">
        <f t="shared" si="25"/>
        <v>0.74644549763033174</v>
      </c>
      <c r="AS202" s="134">
        <f t="shared" si="26"/>
        <v>4.0284360189573459E-2</v>
      </c>
      <c r="AT202" s="134">
        <f t="shared" si="27"/>
        <v>0.2132701421800948</v>
      </c>
      <c r="AU202" s="43">
        <f>IF(AND(F202&lt;&gt;"",Y202&lt;&gt;""),AA202/(F202/2/Y202),"")</f>
        <v>4.4894366197183094E-2</v>
      </c>
      <c r="AV202" s="43">
        <f>IF(AND(F202&lt;&gt;"",AJ202&lt;&gt;""),AL202/(F202/2/AJ202),"")</f>
        <v>8.098591549295775E-2</v>
      </c>
      <c r="AW202" s="41">
        <f>IF(AND(AP202&lt;&gt;"",1-(AP202/N202)&gt;0),1-(AP202/N202),"")</f>
        <v>0.80760095011876487</v>
      </c>
      <c r="AX202" s="41">
        <f>IF(AND(AE202&lt;&gt;"",1-(AE202/N202)&gt;0),1-(AE202/N202),"")</f>
        <v>0.94299287410926369</v>
      </c>
      <c r="AY202" s="136" t="str">
        <f>IF(P202="","",IF(P202&lt;2.5,"Alc. Bruta &lt; 2,5 mg/L",IF(P202&lt;5,"2,5 ≤ Alc. Bruta &lt; 5,0 mg/L",IF(P202&lt;7.5,"5,0 ≤ Alc. Bruta &lt; 7,5 mg/L",IF(P202&lt;10,"7,5 ≤ Alc. Bruta &lt; 10,0 mg/L",IF(P202&lt;15,"10,0 ≤ Alca. Bruta &lt; 15,0 mg/L","Alc. Bruta &gt; 15 mg/L"))))))</f>
        <v>2,5 ≤ Alc. Bruta &lt; 5,0 mg/L</v>
      </c>
      <c r="AZ202" s="136" t="str">
        <f>IF(O202="","",IF(O202&lt;5,"Cor &lt;5 uC",IF(O202&lt;10,"5 ≤ Cor &lt; 10 uC",IF(O202&lt;15,"10 ≤ Cor &lt;15 uC",IF(O202&lt;30,"15 ≤ Cor &lt; 30 uC",IF(O202&lt;50,"30 ≤ Cor &lt; 50 uC","Cor &gt; 50 uC"))))))</f>
        <v>15 ≤ Cor &lt; 30 uC</v>
      </c>
      <c r="BA202" s="137" t="str">
        <f>IF(N202="","",IF(N202&lt;2.5,"Turbidez &lt; 2,5 uT",IF(N202&lt;5,"2,5 ≤ Turb &lt; 5,0 uT",IF(N202&lt;7.5,"5,0 ≤ Turb &lt; 7,5 uT",IF(N202&lt;10,"7,5 ≤ Turb &lt; 10,0 uT",IF(N202&lt;15,"10,0 ≤ Turb &lt; 15,0 uT","Turb &gt; 15 uT"))))))</f>
        <v>2,5 ≤ Turb &lt; 5,0 uT</v>
      </c>
      <c r="BB202" s="138" t="str">
        <f>IF(AND(C202&gt;D202,D202&gt;E202),"TOR &gt; SM &gt; BNN",IF(AND(C202&gt;E202,E202&gt;D202),"TOR &gt; BNN &gt; SM",IF(AND(D202&gt;C202,C202&gt;E202),"SM &gt; TOR &gt; BNN",IF(AND(D202&gt;E202,E202&gt;C202),"SM &gt; BNN &gt; TOR",IF(AND(C202=D202,D202=E202),"TOR = SM = BNN","Comb. diferentes")))))</f>
        <v>TOR &gt; BNN &gt; SM</v>
      </c>
      <c r="BC202" s="137" t="str">
        <f>IF(OR(AD202="",AP202="-"),"",IF(AD202&lt;=0.25,"Tipo 1 (≤0,25) uT",IF(AD202&lt;=0.5,"Tipo 2 (0,25-0,50) uT",IF(AD202&lt;=0.75,"Tipo 3 (0,50-0,75) uT","Tipo 4 (&gt;0,75) uT"))))</f>
        <v>Tipo 2 (0,25-0,50) uT</v>
      </c>
      <c r="BD202" s="137" t="str">
        <f>IF(OR(AO202="",AY202="-"),"",IF(AO202&lt;=0.25,"Tipo 1 (≤0,25) uT",IF(AO202&lt;=0.5,"Tipo 2 (0,25-0,50) uT",IF(AO202&lt;=0.75,"Tipo 3 (0,50-0,75) uT","Tipo 4 (&gt;0,75) uT"))))</f>
        <v>Tipo 2 (0,25-0,50) uT</v>
      </c>
      <c r="BE202" s="137" t="str">
        <f>IF(OR(AE202="",AP202="-"),"",IF(AE202&lt;=0.25,"Tipo 1 (≤0,25) uT",IF(AE202&lt;=0.5,"Tipo 2 (0,25-0,50) uT",IF(AE202&lt;=0.75,"Tipo 3 (0,50-0,75) uT","Tipo 4 (&gt;0,75) uT"))))</f>
        <v>Tipo 1 (≤0,25) uT</v>
      </c>
      <c r="BF202" s="137" t="str">
        <f>IF(OR(AP202="",AP202="-"),"",IF(AP202&lt;=0.25,"Tipo 1 (≤0,25) uT",IF(AP202&lt;=0.5,"Tipo 2 (0,25-0,50) uT",IF(AP202&lt;=0.75,"Tipo 3 (0,50-0,75) uT","Tipo 4 (&gt;0,75) uT"))))</f>
        <v>Tipo 4 (&gt;0,75) uT</v>
      </c>
      <c r="BG202" s="137" t="str">
        <f>IF(OR(Q202="",Q202="-"),"",IF(Q202&lt;=0.25,"Tipo 1 (≤0,25) uT",IF(Q202&lt;=0.5,"Tipo 2 (0,25-0,50) uT",IF(Q202&lt;=0.75,"Tipo 3 (0,50-0,75) uT","Tipo 4 (&gt;0,75) uT"))))</f>
        <v>Tipo 2 (0,25-0,50) uT</v>
      </c>
    </row>
    <row r="203" spans="1:59" x14ac:dyDescent="0.3">
      <c r="A203" s="26">
        <v>46149</v>
      </c>
      <c r="B203" s="107">
        <v>0.14583333333333334</v>
      </c>
      <c r="C203" s="116">
        <v>1581</v>
      </c>
      <c r="D203" s="116">
        <v>82</v>
      </c>
      <c r="E203" s="116">
        <v>450</v>
      </c>
      <c r="F203" s="116">
        <v>2270</v>
      </c>
      <c r="G203" s="10" t="s">
        <v>100</v>
      </c>
      <c r="H203" s="122">
        <v>4.5</v>
      </c>
      <c r="I203" s="116">
        <v>90</v>
      </c>
      <c r="J203" s="116">
        <v>90</v>
      </c>
      <c r="K203" s="116">
        <v>90</v>
      </c>
      <c r="L203" s="122">
        <v>22</v>
      </c>
      <c r="M203" s="122">
        <v>6.6</v>
      </c>
      <c r="N203" s="79">
        <v>3.97</v>
      </c>
      <c r="O203" s="116">
        <v>18</v>
      </c>
      <c r="P203" s="122">
        <v>5.4</v>
      </c>
      <c r="Q203" s="79">
        <v>0.45</v>
      </c>
      <c r="R203" s="79">
        <v>22.36</v>
      </c>
      <c r="S203" s="79">
        <v>0.88</v>
      </c>
      <c r="T203" s="79">
        <v>0.7</v>
      </c>
      <c r="U203" s="85">
        <f t="shared" si="18"/>
        <v>2107.3166666666666</v>
      </c>
      <c r="V203" s="79">
        <f t="shared" si="19"/>
        <v>1364.67755476</v>
      </c>
      <c r="W203" s="79">
        <f t="shared" si="20"/>
        <v>0.64759016826770222</v>
      </c>
      <c r="X203" s="116">
        <v>2</v>
      </c>
      <c r="Y203" s="116">
        <v>3</v>
      </c>
      <c r="Z203" s="122">
        <v>6.47</v>
      </c>
      <c r="AA203" s="116">
        <v>17</v>
      </c>
      <c r="AB203" s="122">
        <v>6.6</v>
      </c>
      <c r="AC203" s="122">
        <v>4.9000000000000004</v>
      </c>
      <c r="AD203" s="10">
        <v>0.37</v>
      </c>
      <c r="AE203" s="79">
        <v>0.28000000000000003</v>
      </c>
      <c r="AF203" s="85">
        <f t="shared" si="21"/>
        <v>1580.4875000000002</v>
      </c>
      <c r="AG203" s="85">
        <f t="shared" si="22"/>
        <v>1799.3861094559998</v>
      </c>
      <c r="AH203" s="85">
        <f t="shared" si="23"/>
        <v>1.1385006901073242</v>
      </c>
      <c r="AI203" s="116">
        <v>2</v>
      </c>
      <c r="AJ203" s="116">
        <v>4</v>
      </c>
      <c r="AK203" s="79">
        <v>6.36</v>
      </c>
      <c r="AL203" s="79">
        <v>22.9</v>
      </c>
      <c r="AM203" s="122">
        <v>6.6</v>
      </c>
      <c r="AN203" s="122">
        <v>5.0999999999999996</v>
      </c>
      <c r="AO203" s="79">
        <v>0.44</v>
      </c>
      <c r="AP203" s="127">
        <v>0.85</v>
      </c>
      <c r="AQ203" s="132">
        <f t="shared" si="24"/>
        <v>2113</v>
      </c>
      <c r="AR203" s="134">
        <f t="shared" si="25"/>
        <v>0.74822527212494083</v>
      </c>
      <c r="AS203" s="134">
        <f t="shared" si="26"/>
        <v>3.8807382867960247E-2</v>
      </c>
      <c r="AT203" s="134">
        <f t="shared" si="27"/>
        <v>0.21296734500709891</v>
      </c>
      <c r="AU203" s="43">
        <f>IF(AND(F203&lt;&gt;"",Y203&lt;&gt;""),AA203/(F203/2/Y203),"")</f>
        <v>4.4933920704845816E-2</v>
      </c>
      <c r="AV203" s="43">
        <f>IF(AND(F203&lt;&gt;"",AJ203&lt;&gt;""),AL203/(F203/2/AJ203),"")</f>
        <v>8.0704845814977971E-2</v>
      </c>
      <c r="AW203" s="41">
        <f>IF(AND(AP203&lt;&gt;"",1-(AP203/N203)&gt;0),1-(AP203/N203),"")</f>
        <v>0.78589420654911835</v>
      </c>
      <c r="AX203" s="41">
        <f>IF(AND(AE203&lt;&gt;"",1-(AE203/N203)&gt;0),1-(AE203/N203),"")</f>
        <v>0.92947103274559195</v>
      </c>
      <c r="AY203" s="136" t="str">
        <f>IF(P203="","",IF(P203&lt;2.5,"Alc. Bruta &lt; 2,5 mg/L",IF(P203&lt;5,"2,5 ≤ Alc. Bruta &lt; 5,0 mg/L",IF(P203&lt;7.5,"5,0 ≤ Alc. Bruta &lt; 7,5 mg/L",IF(P203&lt;10,"7,5 ≤ Alc. Bruta &lt; 10,0 mg/L",IF(P203&lt;15,"10,0 ≤ Alca. Bruta &lt; 15,0 mg/L","Alc. Bruta &gt; 15 mg/L"))))))</f>
        <v>5,0 ≤ Alc. Bruta &lt; 7,5 mg/L</v>
      </c>
      <c r="AZ203" s="136" t="str">
        <f>IF(O203="","",IF(O203&lt;5,"Cor &lt;5 uC",IF(O203&lt;10,"5 ≤ Cor &lt; 10 uC",IF(O203&lt;15,"10 ≤ Cor &lt;15 uC",IF(O203&lt;30,"15 ≤ Cor &lt; 30 uC",IF(O203&lt;50,"30 ≤ Cor &lt; 50 uC","Cor &gt; 50 uC"))))))</f>
        <v>15 ≤ Cor &lt; 30 uC</v>
      </c>
      <c r="BA203" s="137" t="str">
        <f>IF(N203="","",IF(N203&lt;2.5,"Turbidez &lt; 2,5 uT",IF(N203&lt;5,"2,5 ≤ Turb &lt; 5,0 uT",IF(N203&lt;7.5,"5,0 ≤ Turb &lt; 7,5 uT",IF(N203&lt;10,"7,5 ≤ Turb &lt; 10,0 uT",IF(N203&lt;15,"10,0 ≤ Turb &lt; 15,0 uT","Turb &gt; 15 uT"))))))</f>
        <v>2,5 ≤ Turb &lt; 5,0 uT</v>
      </c>
      <c r="BB203" s="138" t="str">
        <f>IF(AND(C203&gt;D203,D203&gt;E203),"TOR &gt; SM &gt; BNN",IF(AND(C203&gt;E203,E203&gt;D203),"TOR &gt; BNN &gt; SM",IF(AND(D203&gt;C203,C203&gt;E203),"SM &gt; TOR &gt; BNN",IF(AND(D203&gt;E203,E203&gt;C203),"SM &gt; BNN &gt; TOR",IF(AND(C203=D203,D203=E203),"TOR = SM = BNN","Comb. diferentes")))))</f>
        <v>TOR &gt; BNN &gt; SM</v>
      </c>
      <c r="BC203" s="137" t="str">
        <f>IF(OR(AD203="",AP203="-"),"",IF(AD203&lt;=0.25,"Tipo 1 (≤0,25) uT",IF(AD203&lt;=0.5,"Tipo 2 (0,25-0,50) uT",IF(AD203&lt;=0.75,"Tipo 3 (0,50-0,75) uT","Tipo 4 (&gt;0,75) uT"))))</f>
        <v>Tipo 2 (0,25-0,50) uT</v>
      </c>
      <c r="BD203" s="137" t="str">
        <f>IF(OR(AO203="",AY203="-"),"",IF(AO203&lt;=0.25,"Tipo 1 (≤0,25) uT",IF(AO203&lt;=0.5,"Tipo 2 (0,25-0,50) uT",IF(AO203&lt;=0.75,"Tipo 3 (0,50-0,75) uT","Tipo 4 (&gt;0,75) uT"))))</f>
        <v>Tipo 2 (0,25-0,50) uT</v>
      </c>
      <c r="BE203" s="137" t="str">
        <f>IF(OR(AE203="",AP203="-"),"",IF(AE203&lt;=0.25,"Tipo 1 (≤0,25) uT",IF(AE203&lt;=0.5,"Tipo 2 (0,25-0,50) uT",IF(AE203&lt;=0.75,"Tipo 3 (0,50-0,75) uT","Tipo 4 (&gt;0,75) uT"))))</f>
        <v>Tipo 2 (0,25-0,50) uT</v>
      </c>
      <c r="BF203" s="137" t="str">
        <f>IF(OR(AP203="",AP203="-"),"",IF(AP203&lt;=0.25,"Tipo 1 (≤0,25) uT",IF(AP203&lt;=0.5,"Tipo 2 (0,25-0,50) uT",IF(AP203&lt;=0.75,"Tipo 3 (0,50-0,75) uT","Tipo 4 (&gt;0,75) uT"))))</f>
        <v>Tipo 4 (&gt;0,75) uT</v>
      </c>
      <c r="BG203" s="137" t="str">
        <f>IF(OR(Q203="",Q203="-"),"",IF(Q203&lt;=0.25,"Tipo 1 (≤0,25) uT",IF(Q203&lt;=0.5,"Tipo 2 (0,25-0,50) uT",IF(Q203&lt;=0.75,"Tipo 3 (0,50-0,75) uT","Tipo 4 (&gt;0,75) uT"))))</f>
        <v>Tipo 2 (0,25-0,50) uT</v>
      </c>
    </row>
    <row r="204" spans="1:59" ht="15" thickBot="1" x14ac:dyDescent="0.35">
      <c r="A204" s="26">
        <v>46149</v>
      </c>
      <c r="B204" s="110">
        <v>0.22916666666666666</v>
      </c>
      <c r="C204" s="117">
        <v>1681</v>
      </c>
      <c r="D204" s="117">
        <v>85</v>
      </c>
      <c r="E204" s="117">
        <v>449</v>
      </c>
      <c r="F204" s="117">
        <v>2275</v>
      </c>
      <c r="G204" s="11" t="s">
        <v>100</v>
      </c>
      <c r="H204" s="123">
        <v>4.5</v>
      </c>
      <c r="I204" s="117">
        <v>90</v>
      </c>
      <c r="J204" s="117">
        <v>90</v>
      </c>
      <c r="K204" s="117">
        <v>90</v>
      </c>
      <c r="L204" s="123">
        <v>22.6</v>
      </c>
      <c r="M204" s="123">
        <v>6.5</v>
      </c>
      <c r="N204" s="80">
        <v>5.25</v>
      </c>
      <c r="O204" s="117">
        <v>18</v>
      </c>
      <c r="P204" s="123">
        <v>5.4</v>
      </c>
      <c r="Q204" s="80">
        <v>0.38</v>
      </c>
      <c r="R204" s="79">
        <v>22.36</v>
      </c>
      <c r="S204" s="79">
        <v>0.88</v>
      </c>
      <c r="T204" s="79">
        <v>0.7</v>
      </c>
      <c r="U204" s="85">
        <f t="shared" si="18"/>
        <v>2597.2916666666665</v>
      </c>
      <c r="V204" s="79">
        <f t="shared" si="19"/>
        <v>1391.4326944959998</v>
      </c>
      <c r="W204" s="79">
        <f t="shared" si="20"/>
        <v>0.53572446728008338</v>
      </c>
      <c r="X204" s="117">
        <v>2</v>
      </c>
      <c r="Y204" s="117">
        <v>3</v>
      </c>
      <c r="Z204" s="123">
        <v>6.48</v>
      </c>
      <c r="AA204" s="117">
        <v>17.3</v>
      </c>
      <c r="AB204" s="123">
        <v>6.5</v>
      </c>
      <c r="AC204" s="123">
        <v>4.5999999999999996</v>
      </c>
      <c r="AD204" s="11">
        <v>0.21</v>
      </c>
      <c r="AE204" s="80">
        <v>0.2</v>
      </c>
      <c r="AF204" s="85">
        <f t="shared" si="21"/>
        <v>1947.96875</v>
      </c>
      <c r="AG204" s="85">
        <f t="shared" si="22"/>
        <v>1800.1373696799999</v>
      </c>
      <c r="AH204" s="85">
        <f t="shared" si="23"/>
        <v>0.92410998363295094</v>
      </c>
      <c r="AI204" s="117">
        <v>2</v>
      </c>
      <c r="AJ204" s="117">
        <v>4</v>
      </c>
      <c r="AK204" s="80">
        <v>6.34</v>
      </c>
      <c r="AL204" s="80">
        <v>23</v>
      </c>
      <c r="AM204" s="123">
        <v>6.5</v>
      </c>
      <c r="AN204" s="123">
        <v>4.8</v>
      </c>
      <c r="AO204" s="80">
        <v>0.35</v>
      </c>
      <c r="AP204" s="128">
        <v>0.74</v>
      </c>
      <c r="AQ204" s="132">
        <f t="shared" si="24"/>
        <v>2215</v>
      </c>
      <c r="AR204" s="134">
        <f t="shared" si="25"/>
        <v>0.75891647855530475</v>
      </c>
      <c r="AS204" s="134">
        <f t="shared" si="26"/>
        <v>3.8374717832957109E-2</v>
      </c>
      <c r="AT204" s="134">
        <f t="shared" si="27"/>
        <v>0.20270880361173815</v>
      </c>
      <c r="AU204" s="43">
        <f>IF(AND(F204&lt;&gt;"",Y204&lt;&gt;""),AA204/(F204/2/Y204),"")</f>
        <v>4.5626373626373624E-2</v>
      </c>
      <c r="AV204" s="43">
        <f>IF(AND(F204&lt;&gt;"",AJ204&lt;&gt;""),AL204/(F204/2/AJ204),"")</f>
        <v>8.0879120879120886E-2</v>
      </c>
      <c r="AW204" s="41">
        <f>IF(AND(AP204&lt;&gt;"",1-(AP204/N204)&gt;0),1-(AP204/N204),"")</f>
        <v>0.85904761904761906</v>
      </c>
      <c r="AX204" s="41">
        <f>IF(AND(AE204&lt;&gt;"",1-(AE204/N204)&gt;0),1-(AE204/N204),"")</f>
        <v>0.96190476190476193</v>
      </c>
      <c r="AY204" s="136" t="str">
        <f>IF(P204="","",IF(P204&lt;2.5,"Alc. Bruta &lt; 2,5 mg/L",IF(P204&lt;5,"2,5 ≤ Alc. Bruta &lt; 5,0 mg/L",IF(P204&lt;7.5,"5,0 ≤ Alc. Bruta &lt; 7,5 mg/L",IF(P204&lt;10,"7,5 ≤ Alc. Bruta &lt; 10,0 mg/L",IF(P204&lt;15,"10,0 ≤ Alca. Bruta &lt; 15,0 mg/L","Alc. Bruta &gt; 15 mg/L"))))))</f>
        <v>5,0 ≤ Alc. Bruta &lt; 7,5 mg/L</v>
      </c>
      <c r="AZ204" s="136" t="str">
        <f>IF(O204="","",IF(O204&lt;5,"Cor &lt;5 uC",IF(O204&lt;10,"5 ≤ Cor &lt; 10 uC",IF(O204&lt;15,"10 ≤ Cor &lt;15 uC",IF(O204&lt;30,"15 ≤ Cor &lt; 30 uC",IF(O204&lt;50,"30 ≤ Cor &lt; 50 uC","Cor &gt; 50 uC"))))))</f>
        <v>15 ≤ Cor &lt; 30 uC</v>
      </c>
      <c r="BA204" s="137" t="str">
        <f>IF(N204="","",IF(N204&lt;2.5,"Turbidez &lt; 2,5 uT",IF(N204&lt;5,"2,5 ≤ Turb &lt; 5,0 uT",IF(N204&lt;7.5,"5,0 ≤ Turb &lt; 7,5 uT",IF(N204&lt;10,"7,5 ≤ Turb &lt; 10,0 uT",IF(N204&lt;15,"10,0 ≤ Turb &lt; 15,0 uT","Turb &gt; 15 uT"))))))</f>
        <v>5,0 ≤ Turb &lt; 7,5 uT</v>
      </c>
      <c r="BB204" s="138" t="str">
        <f>IF(AND(C204&gt;D204,D204&gt;E204),"TOR &gt; SM &gt; BNN",IF(AND(C204&gt;E204,E204&gt;D204),"TOR &gt; BNN &gt; SM",IF(AND(D204&gt;C204,C204&gt;E204),"SM &gt; TOR &gt; BNN",IF(AND(D204&gt;E204,E204&gt;C204),"SM &gt; BNN &gt; TOR",IF(AND(C204=D204,D204=E204),"TOR = SM = BNN","Comb. diferentes")))))</f>
        <v>TOR &gt; BNN &gt; SM</v>
      </c>
      <c r="BC204" s="137" t="str">
        <f>IF(OR(AD204="",AP204="-"),"",IF(AD204&lt;=0.25,"Tipo 1 (≤0,25) uT",IF(AD204&lt;=0.5,"Tipo 2 (0,25-0,50) uT",IF(AD204&lt;=0.75,"Tipo 3 (0,50-0,75) uT","Tipo 4 (&gt;0,75) uT"))))</f>
        <v>Tipo 1 (≤0,25) uT</v>
      </c>
      <c r="BD204" s="137" t="str">
        <f>IF(OR(AO204="",AY204="-"),"",IF(AO204&lt;=0.25,"Tipo 1 (≤0,25) uT",IF(AO204&lt;=0.5,"Tipo 2 (0,25-0,50) uT",IF(AO204&lt;=0.75,"Tipo 3 (0,50-0,75) uT","Tipo 4 (&gt;0,75) uT"))))</f>
        <v>Tipo 2 (0,25-0,50) uT</v>
      </c>
      <c r="BE204" s="137" t="str">
        <f>IF(OR(AE204="",AP204="-"),"",IF(AE204&lt;=0.25,"Tipo 1 (≤0,25) uT",IF(AE204&lt;=0.5,"Tipo 2 (0,25-0,50) uT",IF(AE204&lt;=0.75,"Tipo 3 (0,50-0,75) uT","Tipo 4 (&gt;0,75) uT"))))</f>
        <v>Tipo 1 (≤0,25) uT</v>
      </c>
      <c r="BF204" s="137" t="str">
        <f>IF(OR(AP204="",AP204="-"),"",IF(AP204&lt;=0.25,"Tipo 1 (≤0,25) uT",IF(AP204&lt;=0.5,"Tipo 2 (0,25-0,50) uT",IF(AP204&lt;=0.75,"Tipo 3 (0,50-0,75) uT","Tipo 4 (&gt;0,75) uT"))))</f>
        <v>Tipo 3 (0,50-0,75) uT</v>
      </c>
      <c r="BG204" s="137" t="str">
        <f>IF(OR(Q204="",Q204="-"),"",IF(Q204&lt;=0.25,"Tipo 1 (≤0,25) uT",IF(Q204&lt;=0.5,"Tipo 2 (0,25-0,50) uT",IF(Q204&lt;=0.75,"Tipo 3 (0,50-0,75) uT","Tipo 4 (&gt;0,75) uT"))))</f>
        <v>Tipo 2 (0,25-0,50) uT</v>
      </c>
    </row>
    <row r="205" spans="1:59" x14ac:dyDescent="0.3">
      <c r="A205" s="26">
        <v>46149</v>
      </c>
      <c r="B205" s="111">
        <v>0.3125</v>
      </c>
      <c r="C205" s="118">
        <v>1641</v>
      </c>
      <c r="D205" s="116">
        <v>89</v>
      </c>
      <c r="E205" s="118">
        <v>450</v>
      </c>
      <c r="F205" s="118">
        <v>2284</v>
      </c>
      <c r="G205" s="9" t="s">
        <v>100</v>
      </c>
      <c r="H205" s="124">
        <v>4.5</v>
      </c>
      <c r="I205" s="118">
        <v>90</v>
      </c>
      <c r="J205" s="118">
        <v>90</v>
      </c>
      <c r="K205" s="118">
        <v>90</v>
      </c>
      <c r="L205" s="124">
        <v>23</v>
      </c>
      <c r="M205" s="124">
        <v>6.7</v>
      </c>
      <c r="N205" s="81">
        <v>3.61</v>
      </c>
      <c r="O205" s="118">
        <v>13</v>
      </c>
      <c r="P205" s="124">
        <v>5.3</v>
      </c>
      <c r="Q205" s="81">
        <v>0.55000000000000004</v>
      </c>
      <c r="R205" s="79">
        <v>22.36</v>
      </c>
      <c r="S205" s="79">
        <v>0.88</v>
      </c>
      <c r="T205" s="79">
        <v>0.7</v>
      </c>
      <c r="U205" s="85">
        <f t="shared" si="18"/>
        <v>1983.2733333333333</v>
      </c>
      <c r="V205" s="79">
        <f t="shared" si="19"/>
        <v>1364.67755476</v>
      </c>
      <c r="W205" s="79">
        <f t="shared" si="20"/>
        <v>0.688093532960661</v>
      </c>
      <c r="X205" s="118">
        <v>2</v>
      </c>
      <c r="Y205" s="118">
        <v>3</v>
      </c>
      <c r="Z205" s="124">
        <v>6.47</v>
      </c>
      <c r="AA205" s="118">
        <v>17</v>
      </c>
      <c r="AB205" s="124">
        <v>6.6</v>
      </c>
      <c r="AC205" s="124">
        <v>5.0999999999999996</v>
      </c>
      <c r="AD205" s="9">
        <v>0.2</v>
      </c>
      <c r="AE205" s="81">
        <v>0.5</v>
      </c>
      <c r="AF205" s="85">
        <f t="shared" si="21"/>
        <v>1487.4549999999999</v>
      </c>
      <c r="AG205" s="85">
        <f t="shared" si="22"/>
        <v>1803.6905301999996</v>
      </c>
      <c r="AH205" s="85">
        <f t="shared" si="23"/>
        <v>1.2126017460696288</v>
      </c>
      <c r="AI205" s="118">
        <v>2</v>
      </c>
      <c r="AJ205" s="118">
        <v>4</v>
      </c>
      <c r="AK205" s="81">
        <v>6.35</v>
      </c>
      <c r="AL205" s="81">
        <v>23</v>
      </c>
      <c r="AM205" s="124">
        <v>6.5</v>
      </c>
      <c r="AN205" s="124">
        <v>5</v>
      </c>
      <c r="AO205" s="81">
        <v>0.27</v>
      </c>
      <c r="AP205" s="129">
        <v>0.82</v>
      </c>
      <c r="AQ205" s="132">
        <f t="shared" si="24"/>
        <v>2180</v>
      </c>
      <c r="AR205" s="134">
        <f t="shared" si="25"/>
        <v>0.75275229357798168</v>
      </c>
      <c r="AS205" s="134">
        <f t="shared" si="26"/>
        <v>4.0825688073394498E-2</v>
      </c>
      <c r="AT205" s="134">
        <f t="shared" si="27"/>
        <v>0.20642201834862386</v>
      </c>
      <c r="AU205" s="43">
        <f>IF(AND(F205&lt;&gt;"",Y205&lt;&gt;""),AA205/(F205/2/Y205),"")</f>
        <v>4.4658493870402799E-2</v>
      </c>
      <c r="AV205" s="43">
        <f>IF(AND(F205&lt;&gt;"",AJ205&lt;&gt;""),AL205/(F205/2/AJ205),"")</f>
        <v>8.0560420315236428E-2</v>
      </c>
      <c r="AW205" s="41">
        <f>IF(AND(AP205&lt;&gt;"",1-(AP205/N205)&gt;0),1-(AP205/N205),"")</f>
        <v>0.77285318559556782</v>
      </c>
      <c r="AX205" s="41">
        <f>IF(AND(AE205&lt;&gt;"",1-(AE205/N205)&gt;0),1-(AE205/N205),"")</f>
        <v>0.86149584487534625</v>
      </c>
      <c r="AY205" s="136" t="str">
        <f>IF(P205="","",IF(P205&lt;2.5,"Alc. Bruta &lt; 2,5 mg/L",IF(P205&lt;5,"2,5 ≤ Alc. Bruta &lt; 5,0 mg/L",IF(P205&lt;7.5,"5,0 ≤ Alc. Bruta &lt; 7,5 mg/L",IF(P205&lt;10,"7,5 ≤ Alc. Bruta &lt; 10,0 mg/L",IF(P205&lt;15,"10,0 ≤ Alca. Bruta &lt; 15,0 mg/L","Alc. Bruta &gt; 15 mg/L"))))))</f>
        <v>5,0 ≤ Alc. Bruta &lt; 7,5 mg/L</v>
      </c>
      <c r="AZ205" s="136" t="str">
        <f>IF(O205="","",IF(O205&lt;5,"Cor &lt;5 uC",IF(O205&lt;10,"5 ≤ Cor &lt; 10 uC",IF(O205&lt;15,"10 ≤ Cor &lt;15 uC",IF(O205&lt;30,"15 ≤ Cor &lt; 30 uC",IF(O205&lt;50,"30 ≤ Cor &lt; 50 uC","Cor &gt; 50 uC"))))))</f>
        <v>10 ≤ Cor &lt;15 uC</v>
      </c>
      <c r="BA205" s="137" t="str">
        <f>IF(N205="","",IF(N205&lt;2.5,"Turbidez &lt; 2,5 uT",IF(N205&lt;5,"2,5 ≤ Turb &lt; 5,0 uT",IF(N205&lt;7.5,"5,0 ≤ Turb &lt; 7,5 uT",IF(N205&lt;10,"7,5 ≤ Turb &lt; 10,0 uT",IF(N205&lt;15,"10,0 ≤ Turb &lt; 15,0 uT","Turb &gt; 15 uT"))))))</f>
        <v>2,5 ≤ Turb &lt; 5,0 uT</v>
      </c>
      <c r="BB205" s="138" t="str">
        <f>IF(AND(C205&gt;D205,D205&gt;E205),"TOR &gt; SM &gt; BNN",IF(AND(C205&gt;E205,E205&gt;D205),"TOR &gt; BNN &gt; SM",IF(AND(D205&gt;C205,C205&gt;E205),"SM &gt; TOR &gt; BNN",IF(AND(D205&gt;E205,E205&gt;C205),"SM &gt; BNN &gt; TOR",IF(AND(C205=D205,D205=E205),"TOR = SM = BNN","Comb. diferentes")))))</f>
        <v>TOR &gt; BNN &gt; SM</v>
      </c>
      <c r="BC205" s="137" t="str">
        <f>IF(OR(AD205="",AP205="-"),"",IF(AD205&lt;=0.25,"Tipo 1 (≤0,25) uT",IF(AD205&lt;=0.5,"Tipo 2 (0,25-0,50) uT",IF(AD205&lt;=0.75,"Tipo 3 (0,50-0,75) uT","Tipo 4 (&gt;0,75) uT"))))</f>
        <v>Tipo 1 (≤0,25) uT</v>
      </c>
      <c r="BD205" s="137" t="str">
        <f>IF(OR(AO205="",AY205="-"),"",IF(AO205&lt;=0.25,"Tipo 1 (≤0,25) uT",IF(AO205&lt;=0.5,"Tipo 2 (0,25-0,50) uT",IF(AO205&lt;=0.75,"Tipo 3 (0,50-0,75) uT","Tipo 4 (&gt;0,75) uT"))))</f>
        <v>Tipo 2 (0,25-0,50) uT</v>
      </c>
      <c r="BE205" s="137" t="str">
        <f>IF(OR(AE205="",AP205="-"),"",IF(AE205&lt;=0.25,"Tipo 1 (≤0,25) uT",IF(AE205&lt;=0.5,"Tipo 2 (0,25-0,50) uT",IF(AE205&lt;=0.75,"Tipo 3 (0,50-0,75) uT","Tipo 4 (&gt;0,75) uT"))))</f>
        <v>Tipo 2 (0,25-0,50) uT</v>
      </c>
      <c r="BF205" s="137" t="str">
        <f>IF(OR(AP205="",AP205="-"),"",IF(AP205&lt;=0.25,"Tipo 1 (≤0,25) uT",IF(AP205&lt;=0.5,"Tipo 2 (0,25-0,50) uT",IF(AP205&lt;=0.75,"Tipo 3 (0,50-0,75) uT","Tipo 4 (&gt;0,75) uT"))))</f>
        <v>Tipo 4 (&gt;0,75) uT</v>
      </c>
      <c r="BG205" s="137" t="str">
        <f>IF(OR(Q205="",Q205="-"),"",IF(Q205&lt;=0.25,"Tipo 1 (≤0,25) uT",IF(Q205&lt;=0.5,"Tipo 2 (0,25-0,50) uT",IF(Q205&lt;=0.75,"Tipo 3 (0,50-0,75) uT","Tipo 4 (&gt;0,75) uT"))))</f>
        <v>Tipo 3 (0,50-0,75) uT</v>
      </c>
    </row>
    <row r="206" spans="1:59" x14ac:dyDescent="0.3">
      <c r="A206" s="26">
        <v>46149</v>
      </c>
      <c r="B206" s="107">
        <v>0.39583333333333331</v>
      </c>
      <c r="C206" s="116">
        <v>1512</v>
      </c>
      <c r="D206" s="116">
        <v>88</v>
      </c>
      <c r="E206" s="116">
        <v>450</v>
      </c>
      <c r="F206" s="116">
        <v>2266</v>
      </c>
      <c r="G206" s="10" t="s">
        <v>100</v>
      </c>
      <c r="H206" s="122">
        <v>4.5</v>
      </c>
      <c r="I206" s="116">
        <v>90</v>
      </c>
      <c r="J206" s="116">
        <v>90</v>
      </c>
      <c r="K206" s="116">
        <v>90</v>
      </c>
      <c r="L206" s="122">
        <v>23</v>
      </c>
      <c r="M206" s="122">
        <v>6.6</v>
      </c>
      <c r="N206" s="79">
        <v>4.13</v>
      </c>
      <c r="O206" s="116">
        <v>14</v>
      </c>
      <c r="P206" s="122">
        <v>4.9000000000000004</v>
      </c>
      <c r="Q206" s="79">
        <v>0.93</v>
      </c>
      <c r="R206" s="79">
        <v>22.36</v>
      </c>
      <c r="S206" s="79">
        <v>0.88</v>
      </c>
      <c r="T206" s="79">
        <v>0.7</v>
      </c>
      <c r="U206" s="85">
        <f t="shared" si="18"/>
        <v>2164.0299999999997</v>
      </c>
      <c r="V206" s="79">
        <f t="shared" si="19"/>
        <v>1327.0889860799998</v>
      </c>
      <c r="W206" s="79">
        <f t="shared" si="20"/>
        <v>0.61324888568088243</v>
      </c>
      <c r="X206" s="116">
        <v>2</v>
      </c>
      <c r="Y206" s="116">
        <v>3</v>
      </c>
      <c r="Z206" s="122">
        <v>6.48</v>
      </c>
      <c r="AA206" s="116">
        <v>16.5</v>
      </c>
      <c r="AB206" s="122">
        <v>6.6</v>
      </c>
      <c r="AC206" s="122">
        <v>5.2</v>
      </c>
      <c r="AD206" s="10">
        <v>0.41</v>
      </c>
      <c r="AE206" s="79">
        <v>1.59</v>
      </c>
      <c r="AF206" s="85">
        <f t="shared" si="21"/>
        <v>1623.0224999999998</v>
      </c>
      <c r="AG206" s="85">
        <f t="shared" si="22"/>
        <v>1821.4563327999999</v>
      </c>
      <c r="AH206" s="85">
        <f t="shared" si="23"/>
        <v>1.1222619112181131</v>
      </c>
      <c r="AI206" s="116">
        <v>2</v>
      </c>
      <c r="AJ206" s="116">
        <v>4</v>
      </c>
      <c r="AK206" s="79">
        <v>6.4</v>
      </c>
      <c r="AL206" s="79">
        <v>23</v>
      </c>
      <c r="AM206" s="122">
        <v>6.3</v>
      </c>
      <c r="AN206" s="122">
        <v>4.9000000000000004</v>
      </c>
      <c r="AO206" s="79">
        <v>0.23</v>
      </c>
      <c r="AP206" s="127">
        <v>0.48</v>
      </c>
      <c r="AQ206" s="132">
        <f t="shared" si="24"/>
        <v>2050</v>
      </c>
      <c r="AR206" s="134">
        <f t="shared" si="25"/>
        <v>0.73756097560975609</v>
      </c>
      <c r="AS206" s="134">
        <f t="shared" si="26"/>
        <v>4.2926829268292686E-2</v>
      </c>
      <c r="AT206" s="134">
        <f t="shared" si="27"/>
        <v>0.21951219512195122</v>
      </c>
      <c r="AU206" s="43">
        <f>IF(AND(F206&lt;&gt;"",Y206&lt;&gt;""),AA206/(F206/2/Y206),"")</f>
        <v>4.3689320388349509E-2</v>
      </c>
      <c r="AV206" s="43">
        <f>IF(AND(F206&lt;&gt;"",AJ206&lt;&gt;""),AL206/(F206/2/AJ206),"")</f>
        <v>8.1200353045013246E-2</v>
      </c>
      <c r="AW206" s="41">
        <f>IF(AND(AP206&lt;&gt;"",1-(AP206/N206)&gt;0),1-(AP206/N206),"")</f>
        <v>0.88377723970944311</v>
      </c>
      <c r="AX206" s="41">
        <f>IF(AND(AE206&lt;&gt;"",1-(AE206/N206)&gt;0),1-(AE206/N206),"")</f>
        <v>0.61501210653753025</v>
      </c>
      <c r="AY206" s="136" t="str">
        <f>IF(P206="","",IF(P206&lt;2.5,"Alc. Bruta &lt; 2,5 mg/L",IF(P206&lt;5,"2,5 ≤ Alc. Bruta &lt; 5,0 mg/L",IF(P206&lt;7.5,"5,0 ≤ Alc. Bruta &lt; 7,5 mg/L",IF(P206&lt;10,"7,5 ≤ Alc. Bruta &lt; 10,0 mg/L",IF(P206&lt;15,"10,0 ≤ Alca. Bruta &lt; 15,0 mg/L","Alc. Bruta &gt; 15 mg/L"))))))</f>
        <v>2,5 ≤ Alc. Bruta &lt; 5,0 mg/L</v>
      </c>
      <c r="AZ206" s="136" t="str">
        <f>IF(O206="","",IF(O206&lt;5,"Cor &lt;5 uC",IF(O206&lt;10,"5 ≤ Cor &lt; 10 uC",IF(O206&lt;15,"10 ≤ Cor &lt;15 uC",IF(O206&lt;30,"15 ≤ Cor &lt; 30 uC",IF(O206&lt;50,"30 ≤ Cor &lt; 50 uC","Cor &gt; 50 uC"))))))</f>
        <v>10 ≤ Cor &lt;15 uC</v>
      </c>
      <c r="BA206" s="137" t="str">
        <f>IF(N206="","",IF(N206&lt;2.5,"Turbidez &lt; 2,5 uT",IF(N206&lt;5,"2,5 ≤ Turb &lt; 5,0 uT",IF(N206&lt;7.5,"5,0 ≤ Turb &lt; 7,5 uT",IF(N206&lt;10,"7,5 ≤ Turb &lt; 10,0 uT",IF(N206&lt;15,"10,0 ≤ Turb &lt; 15,0 uT","Turb &gt; 15 uT"))))))</f>
        <v>2,5 ≤ Turb &lt; 5,0 uT</v>
      </c>
      <c r="BB206" s="138" t="str">
        <f>IF(AND(C206&gt;D206,D206&gt;E206),"TOR &gt; SM &gt; BNN",IF(AND(C206&gt;E206,E206&gt;D206),"TOR &gt; BNN &gt; SM",IF(AND(D206&gt;C206,C206&gt;E206),"SM &gt; TOR &gt; BNN",IF(AND(D206&gt;E206,E206&gt;C206),"SM &gt; BNN &gt; TOR",IF(AND(C206=D206,D206=E206),"TOR = SM = BNN","Comb. diferentes")))))</f>
        <v>TOR &gt; BNN &gt; SM</v>
      </c>
      <c r="BC206" s="137" t="str">
        <f>IF(OR(AD206="",AP206="-"),"",IF(AD206&lt;=0.25,"Tipo 1 (≤0,25) uT",IF(AD206&lt;=0.5,"Tipo 2 (0,25-0,50) uT",IF(AD206&lt;=0.75,"Tipo 3 (0,50-0,75) uT","Tipo 4 (&gt;0,75) uT"))))</f>
        <v>Tipo 2 (0,25-0,50) uT</v>
      </c>
      <c r="BD206" s="137" t="str">
        <f>IF(OR(AO206="",AY206="-"),"",IF(AO206&lt;=0.25,"Tipo 1 (≤0,25) uT",IF(AO206&lt;=0.5,"Tipo 2 (0,25-0,50) uT",IF(AO206&lt;=0.75,"Tipo 3 (0,50-0,75) uT","Tipo 4 (&gt;0,75) uT"))))</f>
        <v>Tipo 1 (≤0,25) uT</v>
      </c>
      <c r="BE206" s="137" t="str">
        <f>IF(OR(AE206="",AP206="-"),"",IF(AE206&lt;=0.25,"Tipo 1 (≤0,25) uT",IF(AE206&lt;=0.5,"Tipo 2 (0,25-0,50) uT",IF(AE206&lt;=0.75,"Tipo 3 (0,50-0,75) uT","Tipo 4 (&gt;0,75) uT"))))</f>
        <v>Tipo 4 (&gt;0,75) uT</v>
      </c>
      <c r="BF206" s="137" t="str">
        <f>IF(OR(AP206="",AP206="-"),"",IF(AP206&lt;=0.25,"Tipo 1 (≤0,25) uT",IF(AP206&lt;=0.5,"Tipo 2 (0,25-0,50) uT",IF(AP206&lt;=0.75,"Tipo 3 (0,50-0,75) uT","Tipo 4 (&gt;0,75) uT"))))</f>
        <v>Tipo 2 (0,25-0,50) uT</v>
      </c>
      <c r="BG206" s="137" t="str">
        <f>IF(OR(Q206="",Q206="-"),"",IF(Q206&lt;=0.25,"Tipo 1 (≤0,25) uT",IF(Q206&lt;=0.5,"Tipo 2 (0,25-0,50) uT",IF(Q206&lt;=0.75,"Tipo 3 (0,50-0,75) uT","Tipo 4 (&gt;0,75) uT"))))</f>
        <v>Tipo 4 (&gt;0,75) uT</v>
      </c>
    </row>
    <row r="207" spans="1:59" x14ac:dyDescent="0.3">
      <c r="A207" s="26">
        <v>46149</v>
      </c>
      <c r="B207" s="107">
        <v>0.47916666666666669</v>
      </c>
      <c r="C207" s="116">
        <v>1656</v>
      </c>
      <c r="D207" s="116">
        <v>89</v>
      </c>
      <c r="E207" s="116">
        <v>449</v>
      </c>
      <c r="F207" s="116">
        <v>2304</v>
      </c>
      <c r="G207" s="10" t="s">
        <v>100</v>
      </c>
      <c r="H207" s="122">
        <v>4.8</v>
      </c>
      <c r="I207" s="116">
        <v>90</v>
      </c>
      <c r="J207" s="116">
        <v>90</v>
      </c>
      <c r="K207" s="116">
        <v>90</v>
      </c>
      <c r="L207" s="122">
        <v>23.7</v>
      </c>
      <c r="M207" s="122">
        <v>6.7</v>
      </c>
      <c r="N207" s="79">
        <v>3.74</v>
      </c>
      <c r="O207" s="116">
        <v>13</v>
      </c>
      <c r="P207" s="122">
        <v>4.5999999999999996</v>
      </c>
      <c r="Q207" s="79">
        <v>1.1499999999999999</v>
      </c>
      <c r="R207" s="79">
        <v>22.36</v>
      </c>
      <c r="S207" s="79">
        <v>0.88</v>
      </c>
      <c r="T207" s="79">
        <v>0.7</v>
      </c>
      <c r="U207" s="85">
        <f t="shared" si="18"/>
        <v>2085.12</v>
      </c>
      <c r="V207" s="79">
        <f t="shared" si="19"/>
        <v>1346.0271726719998</v>
      </c>
      <c r="W207" s="79">
        <f t="shared" si="20"/>
        <v>0.64553942826887656</v>
      </c>
      <c r="X207" s="116">
        <v>2</v>
      </c>
      <c r="Y207" s="116">
        <v>3</v>
      </c>
      <c r="Z207" s="122">
        <v>6.46</v>
      </c>
      <c r="AA207" s="116">
        <v>16.8</v>
      </c>
      <c r="AB207" s="122">
        <v>6.4</v>
      </c>
      <c r="AC207" s="122">
        <v>4.5</v>
      </c>
      <c r="AD207" s="10">
        <v>0.86</v>
      </c>
      <c r="AE207" s="79">
        <v>2.15</v>
      </c>
      <c r="AF207" s="85">
        <f t="shared" si="21"/>
        <v>1563.84</v>
      </c>
      <c r="AG207" s="85">
        <f t="shared" si="22"/>
        <v>1821.4563327999999</v>
      </c>
      <c r="AH207" s="85">
        <f t="shared" si="23"/>
        <v>1.1647331778187027</v>
      </c>
      <c r="AI207" s="116">
        <v>2</v>
      </c>
      <c r="AJ207" s="116">
        <v>4</v>
      </c>
      <c r="AK207" s="79">
        <v>6.4</v>
      </c>
      <c r="AL207" s="79">
        <v>23</v>
      </c>
      <c r="AM207" s="122">
        <v>6.4</v>
      </c>
      <c r="AN207" s="122">
        <v>4.5999999999999996</v>
      </c>
      <c r="AO207" s="79">
        <v>0.31</v>
      </c>
      <c r="AP207" s="127">
        <v>0.63</v>
      </c>
      <c r="AQ207" s="132">
        <f t="shared" si="24"/>
        <v>2194</v>
      </c>
      <c r="AR207" s="134">
        <f t="shared" si="25"/>
        <v>0.75478577939835911</v>
      </c>
      <c r="AS207" s="134">
        <f t="shared" si="26"/>
        <v>4.0565177757520512E-2</v>
      </c>
      <c r="AT207" s="134">
        <f t="shared" si="27"/>
        <v>0.20464904284412033</v>
      </c>
      <c r="AU207" s="43">
        <f>IF(AND(F207&lt;&gt;"",Y207&lt;&gt;""),AA207/(F207/2/Y207),"")</f>
        <v>4.3750000000000004E-2</v>
      </c>
      <c r="AV207" s="43">
        <f>IF(AND(F207&lt;&gt;"",AJ207&lt;&gt;""),AL207/(F207/2/AJ207),"")</f>
        <v>7.9861111111111105E-2</v>
      </c>
      <c r="AW207" s="41">
        <f>IF(AND(AP207&lt;&gt;"",1-(AP207/N207)&gt;0),1-(AP207/N207),"")</f>
        <v>0.83155080213903743</v>
      </c>
      <c r="AX207" s="41">
        <f>IF(AND(AE207&lt;&gt;"",1-(AE207/N207)&gt;0),1-(AE207/N207),"")</f>
        <v>0.42513368983957223</v>
      </c>
      <c r="AY207" s="136" t="str">
        <f>IF(P207="","",IF(P207&lt;2.5,"Alc. Bruta &lt; 2,5 mg/L",IF(P207&lt;5,"2,5 ≤ Alc. Bruta &lt; 5,0 mg/L",IF(P207&lt;7.5,"5,0 ≤ Alc. Bruta &lt; 7,5 mg/L",IF(P207&lt;10,"7,5 ≤ Alc. Bruta &lt; 10,0 mg/L",IF(P207&lt;15,"10,0 ≤ Alca. Bruta &lt; 15,0 mg/L","Alc. Bruta &gt; 15 mg/L"))))))</f>
        <v>2,5 ≤ Alc. Bruta &lt; 5,0 mg/L</v>
      </c>
      <c r="AZ207" s="136" t="str">
        <f>IF(O207="","",IF(O207&lt;5,"Cor &lt;5 uC",IF(O207&lt;10,"5 ≤ Cor &lt; 10 uC",IF(O207&lt;15,"10 ≤ Cor &lt;15 uC",IF(O207&lt;30,"15 ≤ Cor &lt; 30 uC",IF(O207&lt;50,"30 ≤ Cor &lt; 50 uC","Cor &gt; 50 uC"))))))</f>
        <v>10 ≤ Cor &lt;15 uC</v>
      </c>
      <c r="BA207" s="137" t="str">
        <f>IF(N207="","",IF(N207&lt;2.5,"Turbidez &lt; 2,5 uT",IF(N207&lt;5,"2,5 ≤ Turb &lt; 5,0 uT",IF(N207&lt;7.5,"5,0 ≤ Turb &lt; 7,5 uT",IF(N207&lt;10,"7,5 ≤ Turb &lt; 10,0 uT",IF(N207&lt;15,"10,0 ≤ Turb &lt; 15,0 uT","Turb &gt; 15 uT"))))))</f>
        <v>2,5 ≤ Turb &lt; 5,0 uT</v>
      </c>
      <c r="BB207" s="138" t="str">
        <f>IF(AND(C207&gt;D207,D207&gt;E207),"TOR &gt; SM &gt; BNN",IF(AND(C207&gt;E207,E207&gt;D207),"TOR &gt; BNN &gt; SM",IF(AND(D207&gt;C207,C207&gt;E207),"SM &gt; TOR &gt; BNN",IF(AND(D207&gt;E207,E207&gt;C207),"SM &gt; BNN &gt; TOR",IF(AND(C207=D207,D207=E207),"TOR = SM = BNN","Comb. diferentes")))))</f>
        <v>TOR &gt; BNN &gt; SM</v>
      </c>
      <c r="BC207" s="137" t="str">
        <f>IF(OR(AD207="",AP207="-"),"",IF(AD207&lt;=0.25,"Tipo 1 (≤0,25) uT",IF(AD207&lt;=0.5,"Tipo 2 (0,25-0,50) uT",IF(AD207&lt;=0.75,"Tipo 3 (0,50-0,75) uT","Tipo 4 (&gt;0,75) uT"))))</f>
        <v>Tipo 4 (&gt;0,75) uT</v>
      </c>
      <c r="BD207" s="137" t="str">
        <f>IF(OR(AO207="",AY207="-"),"",IF(AO207&lt;=0.25,"Tipo 1 (≤0,25) uT",IF(AO207&lt;=0.5,"Tipo 2 (0,25-0,50) uT",IF(AO207&lt;=0.75,"Tipo 3 (0,50-0,75) uT","Tipo 4 (&gt;0,75) uT"))))</f>
        <v>Tipo 2 (0,25-0,50) uT</v>
      </c>
      <c r="BE207" s="137" t="str">
        <f>IF(OR(AE207="",AP207="-"),"",IF(AE207&lt;=0.25,"Tipo 1 (≤0,25) uT",IF(AE207&lt;=0.5,"Tipo 2 (0,25-0,50) uT",IF(AE207&lt;=0.75,"Tipo 3 (0,50-0,75) uT","Tipo 4 (&gt;0,75) uT"))))</f>
        <v>Tipo 4 (&gt;0,75) uT</v>
      </c>
      <c r="BF207" s="137" t="str">
        <f>IF(OR(AP207="",AP207="-"),"",IF(AP207&lt;=0.25,"Tipo 1 (≤0,25) uT",IF(AP207&lt;=0.5,"Tipo 2 (0,25-0,50) uT",IF(AP207&lt;=0.75,"Tipo 3 (0,50-0,75) uT","Tipo 4 (&gt;0,75) uT"))))</f>
        <v>Tipo 3 (0,50-0,75) uT</v>
      </c>
      <c r="BG207" s="137" t="str">
        <f>IF(OR(Q207="",Q207="-"),"",IF(Q207&lt;=0.25,"Tipo 1 (≤0,25) uT",IF(Q207&lt;=0.5,"Tipo 2 (0,25-0,50) uT",IF(Q207&lt;=0.75,"Tipo 3 (0,50-0,75) uT","Tipo 4 (&gt;0,75) uT"))))</f>
        <v>Tipo 4 (&gt;0,75) uT</v>
      </c>
    </row>
    <row r="208" spans="1:59" x14ac:dyDescent="0.3">
      <c r="A208" s="26">
        <v>46149</v>
      </c>
      <c r="B208" s="107">
        <v>0.64583333333333337</v>
      </c>
      <c r="C208" s="116">
        <v>1468</v>
      </c>
      <c r="D208" s="116">
        <v>86</v>
      </c>
      <c r="E208" s="116">
        <v>449</v>
      </c>
      <c r="F208" s="116">
        <v>2148</v>
      </c>
      <c r="G208" s="10" t="s">
        <v>100</v>
      </c>
      <c r="H208" s="122">
        <v>4.5</v>
      </c>
      <c r="I208" s="116">
        <v>90</v>
      </c>
      <c r="J208" s="116">
        <v>90</v>
      </c>
      <c r="K208" s="116">
        <v>90</v>
      </c>
      <c r="L208" s="122">
        <v>25.1</v>
      </c>
      <c r="M208" s="122">
        <v>6.8</v>
      </c>
      <c r="N208" s="79">
        <v>4.3499999999999996</v>
      </c>
      <c r="O208" s="116">
        <v>16</v>
      </c>
      <c r="P208" s="122">
        <v>5.9</v>
      </c>
      <c r="Q208" s="79">
        <v>1.28</v>
      </c>
      <c r="R208" s="79">
        <v>22.36</v>
      </c>
      <c r="S208" s="79">
        <v>0.88</v>
      </c>
      <c r="T208" s="79">
        <v>0.7</v>
      </c>
      <c r="U208" s="85">
        <f t="shared" si="18"/>
        <v>1597.5749999999998</v>
      </c>
      <c r="V208" s="79">
        <f t="shared" si="19"/>
        <v>1453.2949080000001</v>
      </c>
      <c r="W208" s="79">
        <f t="shared" si="20"/>
        <v>0.90968806347119868</v>
      </c>
      <c r="X208" s="116">
        <v>2</v>
      </c>
      <c r="Y208" s="116">
        <v>4</v>
      </c>
      <c r="Z208" s="122">
        <v>6.5</v>
      </c>
      <c r="AA208" s="116">
        <v>18</v>
      </c>
      <c r="AB208" s="122">
        <v>6.8</v>
      </c>
      <c r="AC208" s="122">
        <v>5.8</v>
      </c>
      <c r="AD208" s="10">
        <v>0.56000000000000005</v>
      </c>
      <c r="AE208" s="79">
        <v>2.2400000000000002</v>
      </c>
      <c r="AF208" s="85">
        <f t="shared" si="21"/>
        <v>1597.5749999999998</v>
      </c>
      <c r="AG208" s="85">
        <f t="shared" si="22"/>
        <v>1839.2221353999998</v>
      </c>
      <c r="AH208" s="85">
        <f t="shared" si="23"/>
        <v>1.1512587111090247</v>
      </c>
      <c r="AI208" s="116">
        <v>2</v>
      </c>
      <c r="AJ208" s="116">
        <v>4</v>
      </c>
      <c r="AK208" s="79">
        <v>6.45</v>
      </c>
      <c r="AL208" s="79">
        <v>23</v>
      </c>
      <c r="AM208" s="122">
        <v>6.6</v>
      </c>
      <c r="AN208" s="122">
        <v>5.3</v>
      </c>
      <c r="AO208" s="79">
        <v>0.46</v>
      </c>
      <c r="AP208" s="127">
        <v>0.54</v>
      </c>
      <c r="AQ208" s="132">
        <f t="shared" si="24"/>
        <v>2003</v>
      </c>
      <c r="AR208" s="134">
        <f t="shared" si="25"/>
        <v>0.73290064902646035</v>
      </c>
      <c r="AS208" s="134">
        <f t="shared" si="26"/>
        <v>4.2935596605092365E-2</v>
      </c>
      <c r="AT208" s="134">
        <f t="shared" si="27"/>
        <v>0.22416375436844732</v>
      </c>
      <c r="AU208" s="43">
        <f>IF(AND(F208&lt;&gt;"",Y208&lt;&gt;""),AA208/(F208/2/Y208),"")</f>
        <v>6.7039106145251395E-2</v>
      </c>
      <c r="AV208" s="43">
        <f>IF(AND(F208&lt;&gt;"",AJ208&lt;&gt;""),AL208/(F208/2/AJ208),"")</f>
        <v>8.5661080074487903E-2</v>
      </c>
      <c r="AW208" s="41">
        <f>IF(AND(AP208&lt;&gt;"",1-(AP208/N208)&gt;0),1-(AP208/N208),"")</f>
        <v>0.87586206896551722</v>
      </c>
      <c r="AX208" s="41">
        <f>IF(AND(AE208&lt;&gt;"",1-(AE208/N208)&gt;0),1-(AE208/N208),"")</f>
        <v>0.48505747126436771</v>
      </c>
      <c r="AY208" s="136" t="str">
        <f>IF(P208="","",IF(P208&lt;2.5,"Alc. Bruta &lt; 2,5 mg/L",IF(P208&lt;5,"2,5 ≤ Alc. Bruta &lt; 5,0 mg/L",IF(P208&lt;7.5,"5,0 ≤ Alc. Bruta &lt; 7,5 mg/L",IF(P208&lt;10,"7,5 ≤ Alc. Bruta &lt; 10,0 mg/L",IF(P208&lt;15,"10,0 ≤ Alca. Bruta &lt; 15,0 mg/L","Alc. Bruta &gt; 15 mg/L"))))))</f>
        <v>5,0 ≤ Alc. Bruta &lt; 7,5 mg/L</v>
      </c>
      <c r="AZ208" s="136" t="str">
        <f>IF(O208="","",IF(O208&lt;5,"Cor &lt;5 uC",IF(O208&lt;10,"5 ≤ Cor &lt; 10 uC",IF(O208&lt;15,"10 ≤ Cor &lt;15 uC",IF(O208&lt;30,"15 ≤ Cor &lt; 30 uC",IF(O208&lt;50,"30 ≤ Cor &lt; 50 uC","Cor &gt; 50 uC"))))))</f>
        <v>15 ≤ Cor &lt; 30 uC</v>
      </c>
      <c r="BA208" s="137" t="str">
        <f>IF(N208="","",IF(N208&lt;2.5,"Turbidez &lt; 2,5 uT",IF(N208&lt;5,"2,5 ≤ Turb &lt; 5,0 uT",IF(N208&lt;7.5,"5,0 ≤ Turb &lt; 7,5 uT",IF(N208&lt;10,"7,5 ≤ Turb &lt; 10,0 uT",IF(N208&lt;15,"10,0 ≤ Turb &lt; 15,0 uT","Turb &gt; 15 uT"))))))</f>
        <v>2,5 ≤ Turb &lt; 5,0 uT</v>
      </c>
      <c r="BB208" s="138" t="str">
        <f>IF(AND(C208&gt;D208,D208&gt;E208),"TOR &gt; SM &gt; BNN",IF(AND(C208&gt;E208,E208&gt;D208),"TOR &gt; BNN &gt; SM",IF(AND(D208&gt;C208,C208&gt;E208),"SM &gt; TOR &gt; BNN",IF(AND(D208&gt;E208,E208&gt;C208),"SM &gt; BNN &gt; TOR",IF(AND(C208=D208,D208=E208),"TOR = SM = BNN","Comb. diferentes")))))</f>
        <v>TOR &gt; BNN &gt; SM</v>
      </c>
      <c r="BC208" s="137" t="str">
        <f>IF(OR(AD208="",AP208="-"),"",IF(AD208&lt;=0.25,"Tipo 1 (≤0,25) uT",IF(AD208&lt;=0.5,"Tipo 2 (0,25-0,50) uT",IF(AD208&lt;=0.75,"Tipo 3 (0,50-0,75) uT","Tipo 4 (&gt;0,75) uT"))))</f>
        <v>Tipo 3 (0,50-0,75) uT</v>
      </c>
      <c r="BD208" s="137" t="str">
        <f>IF(OR(AO208="",AY208="-"),"",IF(AO208&lt;=0.25,"Tipo 1 (≤0,25) uT",IF(AO208&lt;=0.5,"Tipo 2 (0,25-0,50) uT",IF(AO208&lt;=0.75,"Tipo 3 (0,50-0,75) uT","Tipo 4 (&gt;0,75) uT"))))</f>
        <v>Tipo 2 (0,25-0,50) uT</v>
      </c>
      <c r="BE208" s="137" t="str">
        <f>IF(OR(AE208="",AP208="-"),"",IF(AE208&lt;=0.25,"Tipo 1 (≤0,25) uT",IF(AE208&lt;=0.5,"Tipo 2 (0,25-0,50) uT",IF(AE208&lt;=0.75,"Tipo 3 (0,50-0,75) uT","Tipo 4 (&gt;0,75) uT"))))</f>
        <v>Tipo 4 (&gt;0,75) uT</v>
      </c>
      <c r="BF208" s="137" t="str">
        <f>IF(OR(AP208="",AP208="-"),"",IF(AP208&lt;=0.25,"Tipo 1 (≤0,25) uT",IF(AP208&lt;=0.5,"Tipo 2 (0,25-0,50) uT",IF(AP208&lt;=0.75,"Tipo 3 (0,50-0,75) uT","Tipo 4 (&gt;0,75) uT"))))</f>
        <v>Tipo 3 (0,50-0,75) uT</v>
      </c>
      <c r="BG208" s="137" t="str">
        <f>IF(OR(Q208="",Q208="-"),"",IF(Q208&lt;=0.25,"Tipo 1 (≤0,25) uT",IF(Q208&lt;=0.5,"Tipo 2 (0,25-0,50) uT",IF(Q208&lt;=0.75,"Tipo 3 (0,50-0,75) uT","Tipo 4 (&gt;0,75) uT"))))</f>
        <v>Tipo 4 (&gt;0,75) uT</v>
      </c>
    </row>
    <row r="209" spans="1:59" x14ac:dyDescent="0.3">
      <c r="A209" s="26">
        <v>46149</v>
      </c>
      <c r="B209" s="107">
        <v>0.72916666666666663</v>
      </c>
      <c r="C209" s="116">
        <v>1470</v>
      </c>
      <c r="D209" s="116">
        <v>86</v>
      </c>
      <c r="E209" s="116">
        <v>440</v>
      </c>
      <c r="F209" s="116">
        <v>2139</v>
      </c>
      <c r="G209" s="10" t="s">
        <v>100</v>
      </c>
      <c r="H209" s="122">
        <v>4.5</v>
      </c>
      <c r="I209" s="116">
        <v>90</v>
      </c>
      <c r="J209" s="116">
        <v>90</v>
      </c>
      <c r="K209" s="116">
        <v>90</v>
      </c>
      <c r="L209" s="122">
        <v>25.6</v>
      </c>
      <c r="M209" s="122">
        <v>6.7</v>
      </c>
      <c r="N209" s="79">
        <v>3.95</v>
      </c>
      <c r="O209" s="116">
        <v>15</v>
      </c>
      <c r="P209" s="122">
        <v>5.8</v>
      </c>
      <c r="Q209" s="79">
        <v>1.3</v>
      </c>
      <c r="R209" s="79">
        <v>22.36</v>
      </c>
      <c r="S209" s="79">
        <v>0.88</v>
      </c>
      <c r="T209" s="79">
        <v>0.7</v>
      </c>
      <c r="U209" s="85">
        <f t="shared" si="18"/>
        <v>1483.9312499999999</v>
      </c>
      <c r="V209" s="79">
        <f t="shared" si="19"/>
        <v>1367.3038038399998</v>
      </c>
      <c r="W209" s="79">
        <f t="shared" si="20"/>
        <v>0.92140643566876823</v>
      </c>
      <c r="X209" s="116">
        <v>2</v>
      </c>
      <c r="Y209" s="116">
        <v>4</v>
      </c>
      <c r="Z209" s="122">
        <v>6.48</v>
      </c>
      <c r="AA209" s="116">
        <v>17</v>
      </c>
      <c r="AB209" s="122">
        <v>6.7</v>
      </c>
      <c r="AC209" s="122">
        <v>5.9</v>
      </c>
      <c r="AD209" s="10">
        <v>0.44</v>
      </c>
      <c r="AE209" s="79">
        <v>1.4</v>
      </c>
      <c r="AF209" s="85">
        <f t="shared" si="21"/>
        <v>1483.9312499999999</v>
      </c>
      <c r="AG209" s="85">
        <f t="shared" si="22"/>
        <v>1900.6500864</v>
      </c>
      <c r="AH209" s="85">
        <f t="shared" si="23"/>
        <v>1.2808208509659731</v>
      </c>
      <c r="AI209" s="116">
        <v>3</v>
      </c>
      <c r="AJ209" s="116">
        <v>4</v>
      </c>
      <c r="AK209" s="79">
        <v>6.4</v>
      </c>
      <c r="AL209" s="79">
        <v>24</v>
      </c>
      <c r="AM209" s="122">
        <v>6.7</v>
      </c>
      <c r="AN209" s="122">
        <v>5.5</v>
      </c>
      <c r="AO209" s="79">
        <v>0.59</v>
      </c>
      <c r="AP209" s="127">
        <v>1.1599999999999999</v>
      </c>
      <c r="AQ209" s="132">
        <f t="shared" si="24"/>
        <v>1996</v>
      </c>
      <c r="AR209" s="134">
        <f t="shared" si="25"/>
        <v>0.73647294589178358</v>
      </c>
      <c r="AS209" s="134">
        <f t="shared" si="26"/>
        <v>4.308617234468938E-2</v>
      </c>
      <c r="AT209" s="134">
        <f t="shared" si="27"/>
        <v>0.22044088176352705</v>
      </c>
      <c r="AU209" s="43">
        <f>IF(AND(F209&lt;&gt;"",Y209&lt;&gt;""),AA209/(F209/2/Y209),"")</f>
        <v>6.3581112669471709E-2</v>
      </c>
      <c r="AV209" s="43">
        <f>IF(AND(F209&lt;&gt;"",AJ209&lt;&gt;""),AL209/(F209/2/AJ209),"")</f>
        <v>8.9761570827489479E-2</v>
      </c>
      <c r="AW209" s="41">
        <f>IF(AND(AP209&lt;&gt;"",1-(AP209/N209)&gt;0),1-(AP209/N209),"")</f>
        <v>0.70632911392405062</v>
      </c>
      <c r="AX209" s="41">
        <f>IF(AND(AE209&lt;&gt;"",1-(AE209/N209)&gt;0),1-(AE209/N209),"")</f>
        <v>0.64556962025316467</v>
      </c>
      <c r="AY209" s="136" t="str">
        <f>IF(P209="","",IF(P209&lt;2.5,"Alc. Bruta &lt; 2,5 mg/L",IF(P209&lt;5,"2,5 ≤ Alc. Bruta &lt; 5,0 mg/L",IF(P209&lt;7.5,"5,0 ≤ Alc. Bruta &lt; 7,5 mg/L",IF(P209&lt;10,"7,5 ≤ Alc. Bruta &lt; 10,0 mg/L",IF(P209&lt;15,"10,0 ≤ Alca. Bruta &lt; 15,0 mg/L","Alc. Bruta &gt; 15 mg/L"))))))</f>
        <v>5,0 ≤ Alc. Bruta &lt; 7,5 mg/L</v>
      </c>
      <c r="AZ209" s="136" t="str">
        <f>IF(O209="","",IF(O209&lt;5,"Cor &lt;5 uC",IF(O209&lt;10,"5 ≤ Cor &lt; 10 uC",IF(O209&lt;15,"10 ≤ Cor &lt;15 uC",IF(O209&lt;30,"15 ≤ Cor &lt; 30 uC",IF(O209&lt;50,"30 ≤ Cor &lt; 50 uC","Cor &gt; 50 uC"))))))</f>
        <v>15 ≤ Cor &lt; 30 uC</v>
      </c>
      <c r="BA209" s="137" t="str">
        <f>IF(N209="","",IF(N209&lt;2.5,"Turbidez &lt; 2,5 uT",IF(N209&lt;5,"2,5 ≤ Turb &lt; 5,0 uT",IF(N209&lt;7.5,"5,0 ≤ Turb &lt; 7,5 uT",IF(N209&lt;10,"7,5 ≤ Turb &lt; 10,0 uT",IF(N209&lt;15,"10,0 ≤ Turb &lt; 15,0 uT","Turb &gt; 15 uT"))))))</f>
        <v>2,5 ≤ Turb &lt; 5,0 uT</v>
      </c>
      <c r="BB209" s="138" t="str">
        <f>IF(AND(C209&gt;D209,D209&gt;E209),"TOR &gt; SM &gt; BNN",IF(AND(C209&gt;E209,E209&gt;D209),"TOR &gt; BNN &gt; SM",IF(AND(D209&gt;C209,C209&gt;E209),"SM &gt; TOR &gt; BNN",IF(AND(D209&gt;E209,E209&gt;C209),"SM &gt; BNN &gt; TOR",IF(AND(C209=D209,D209=E209),"TOR = SM = BNN","Comb. diferentes")))))</f>
        <v>TOR &gt; BNN &gt; SM</v>
      </c>
      <c r="BC209" s="137" t="str">
        <f>IF(OR(AD209="",AP209="-"),"",IF(AD209&lt;=0.25,"Tipo 1 (≤0,25) uT",IF(AD209&lt;=0.5,"Tipo 2 (0,25-0,50) uT",IF(AD209&lt;=0.75,"Tipo 3 (0,50-0,75) uT","Tipo 4 (&gt;0,75) uT"))))</f>
        <v>Tipo 2 (0,25-0,50) uT</v>
      </c>
      <c r="BD209" s="137" t="str">
        <f>IF(OR(AO209="",AY209="-"),"",IF(AO209&lt;=0.25,"Tipo 1 (≤0,25) uT",IF(AO209&lt;=0.5,"Tipo 2 (0,25-0,50) uT",IF(AO209&lt;=0.75,"Tipo 3 (0,50-0,75) uT","Tipo 4 (&gt;0,75) uT"))))</f>
        <v>Tipo 3 (0,50-0,75) uT</v>
      </c>
      <c r="BE209" s="137" t="str">
        <f>IF(OR(AE209="",AP209="-"),"",IF(AE209&lt;=0.25,"Tipo 1 (≤0,25) uT",IF(AE209&lt;=0.5,"Tipo 2 (0,25-0,50) uT",IF(AE209&lt;=0.75,"Tipo 3 (0,50-0,75) uT","Tipo 4 (&gt;0,75) uT"))))</f>
        <v>Tipo 4 (&gt;0,75) uT</v>
      </c>
      <c r="BF209" s="137" t="str">
        <f>IF(OR(AP209="",AP209="-"),"",IF(AP209&lt;=0.25,"Tipo 1 (≤0,25) uT",IF(AP209&lt;=0.5,"Tipo 2 (0,25-0,50) uT",IF(AP209&lt;=0.75,"Tipo 3 (0,50-0,75) uT","Tipo 4 (&gt;0,75) uT"))))</f>
        <v>Tipo 4 (&gt;0,75) uT</v>
      </c>
      <c r="BG209" s="137" t="str">
        <f>IF(OR(Q209="",Q209="-"),"",IF(Q209&lt;=0.25,"Tipo 1 (≤0,25) uT",IF(Q209&lt;=0.5,"Tipo 2 (0,25-0,50) uT",IF(Q209&lt;=0.75,"Tipo 3 (0,50-0,75) uT","Tipo 4 (&gt;0,75) uT"))))</f>
        <v>Tipo 4 (&gt;0,75) uT</v>
      </c>
    </row>
    <row r="210" spans="1:59" x14ac:dyDescent="0.3">
      <c r="A210" s="26">
        <v>46149</v>
      </c>
      <c r="B210" s="107">
        <v>0.8125</v>
      </c>
      <c r="C210" s="116">
        <v>1605</v>
      </c>
      <c r="D210" s="116">
        <v>84</v>
      </c>
      <c r="E210" s="116">
        <v>446</v>
      </c>
      <c r="F210" s="116">
        <v>2291</v>
      </c>
      <c r="G210" s="10" t="s">
        <v>100</v>
      </c>
      <c r="H210" s="122">
        <v>4.8</v>
      </c>
      <c r="I210" s="116">
        <v>90</v>
      </c>
      <c r="J210" s="116">
        <v>90</v>
      </c>
      <c r="K210" s="116">
        <v>90</v>
      </c>
      <c r="L210" s="122">
        <v>23.7</v>
      </c>
      <c r="M210" s="122">
        <v>6.7</v>
      </c>
      <c r="N210" s="79">
        <v>4.08</v>
      </c>
      <c r="O210" s="116">
        <v>17</v>
      </c>
      <c r="P210" s="122">
        <v>5.4</v>
      </c>
      <c r="Q210" s="79">
        <v>0.5</v>
      </c>
      <c r="R210" s="79">
        <v>22.36</v>
      </c>
      <c r="S210" s="79">
        <v>0.88</v>
      </c>
      <c r="T210" s="79">
        <v>0.7</v>
      </c>
      <c r="U210" s="85">
        <f t="shared" si="18"/>
        <v>1652.38375</v>
      </c>
      <c r="V210" s="79">
        <f t="shared" si="19"/>
        <v>1456.0756423199998</v>
      </c>
      <c r="W210" s="79">
        <f t="shared" si="20"/>
        <v>0.88119702358486629</v>
      </c>
      <c r="X210" s="116">
        <v>2</v>
      </c>
      <c r="Y210" s="116">
        <v>4</v>
      </c>
      <c r="Z210" s="122">
        <v>6.51</v>
      </c>
      <c r="AA210" s="116">
        <v>18</v>
      </c>
      <c r="AB210" s="122">
        <v>6.5</v>
      </c>
      <c r="AC210" s="122">
        <v>4.5</v>
      </c>
      <c r="AD210" s="10">
        <v>0.64</v>
      </c>
      <c r="AE210" s="79">
        <v>0.84</v>
      </c>
      <c r="AF210" s="85">
        <f t="shared" si="21"/>
        <v>1652.38375</v>
      </c>
      <c r="AG210" s="85">
        <f t="shared" si="22"/>
        <v>1803.6905301999996</v>
      </c>
      <c r="AH210" s="85">
        <f t="shared" si="23"/>
        <v>1.0915687897560113</v>
      </c>
      <c r="AI210" s="116">
        <v>3</v>
      </c>
      <c r="AJ210" s="116">
        <v>4</v>
      </c>
      <c r="AK210" s="79">
        <v>6.35</v>
      </c>
      <c r="AL210" s="79">
        <v>23</v>
      </c>
      <c r="AM210" s="122">
        <v>6.5</v>
      </c>
      <c r="AN210" s="122">
        <v>5.2</v>
      </c>
      <c r="AO210" s="79">
        <v>0.2</v>
      </c>
      <c r="AP210" s="127">
        <v>0.45</v>
      </c>
      <c r="AQ210" s="132">
        <f t="shared" si="24"/>
        <v>2135</v>
      </c>
      <c r="AR210" s="134">
        <f t="shared" si="25"/>
        <v>0.75175644028103039</v>
      </c>
      <c r="AS210" s="134">
        <f t="shared" si="26"/>
        <v>3.9344262295081971E-2</v>
      </c>
      <c r="AT210" s="134">
        <f t="shared" si="27"/>
        <v>0.20889929742388758</v>
      </c>
      <c r="AU210" s="43">
        <f>IF(AND(F210&lt;&gt;"",Y210&lt;&gt;""),AA210/(F210/2/Y210),"")</f>
        <v>6.2854648625054563E-2</v>
      </c>
      <c r="AV210" s="43">
        <f>IF(AND(F210&lt;&gt;"",AJ210&lt;&gt;""),AL210/(F210/2/AJ210),"")</f>
        <v>8.0314273243125275E-2</v>
      </c>
      <c r="AW210" s="41">
        <f>IF(AND(AP210&lt;&gt;"",1-(AP210/N210)&gt;0),1-(AP210/N210),"")</f>
        <v>0.88970588235294112</v>
      </c>
      <c r="AX210" s="41">
        <f>IF(AND(AE210&lt;&gt;"",1-(AE210/N210)&gt;0),1-(AE210/N210),"")</f>
        <v>0.79411764705882359</v>
      </c>
      <c r="AY210" s="136" t="str">
        <f>IF(P210="","",IF(P210&lt;2.5,"Alc. Bruta &lt; 2,5 mg/L",IF(P210&lt;5,"2,5 ≤ Alc. Bruta &lt; 5,0 mg/L",IF(P210&lt;7.5,"5,0 ≤ Alc. Bruta &lt; 7,5 mg/L",IF(P210&lt;10,"7,5 ≤ Alc. Bruta &lt; 10,0 mg/L",IF(P210&lt;15,"10,0 ≤ Alca. Bruta &lt; 15,0 mg/L","Alc. Bruta &gt; 15 mg/L"))))))</f>
        <v>5,0 ≤ Alc. Bruta &lt; 7,5 mg/L</v>
      </c>
      <c r="AZ210" s="136" t="str">
        <f>IF(O210="","",IF(O210&lt;5,"Cor &lt;5 uC",IF(O210&lt;10,"5 ≤ Cor &lt; 10 uC",IF(O210&lt;15,"10 ≤ Cor &lt;15 uC",IF(O210&lt;30,"15 ≤ Cor &lt; 30 uC",IF(O210&lt;50,"30 ≤ Cor &lt; 50 uC","Cor &gt; 50 uC"))))))</f>
        <v>15 ≤ Cor &lt; 30 uC</v>
      </c>
      <c r="BA210" s="137" t="str">
        <f>IF(N210="","",IF(N210&lt;2.5,"Turbidez &lt; 2,5 uT",IF(N210&lt;5,"2,5 ≤ Turb &lt; 5,0 uT",IF(N210&lt;7.5,"5,0 ≤ Turb &lt; 7,5 uT",IF(N210&lt;10,"7,5 ≤ Turb &lt; 10,0 uT",IF(N210&lt;15,"10,0 ≤ Turb &lt; 15,0 uT","Turb &gt; 15 uT"))))))</f>
        <v>2,5 ≤ Turb &lt; 5,0 uT</v>
      </c>
      <c r="BB210" s="138" t="str">
        <f>IF(AND(C210&gt;D210,D210&gt;E210),"TOR &gt; SM &gt; BNN",IF(AND(C210&gt;E210,E210&gt;D210),"TOR &gt; BNN &gt; SM",IF(AND(D210&gt;C210,C210&gt;E210),"SM &gt; TOR &gt; BNN",IF(AND(D210&gt;E210,E210&gt;C210),"SM &gt; BNN &gt; TOR",IF(AND(C210=D210,D210=E210),"TOR = SM = BNN","Comb. diferentes")))))</f>
        <v>TOR &gt; BNN &gt; SM</v>
      </c>
      <c r="BC210" s="137" t="str">
        <f>IF(OR(AD210="",AP210="-"),"",IF(AD210&lt;=0.25,"Tipo 1 (≤0,25) uT",IF(AD210&lt;=0.5,"Tipo 2 (0,25-0,50) uT",IF(AD210&lt;=0.75,"Tipo 3 (0,50-0,75) uT","Tipo 4 (&gt;0,75) uT"))))</f>
        <v>Tipo 3 (0,50-0,75) uT</v>
      </c>
      <c r="BD210" s="137" t="str">
        <f>IF(OR(AO210="",AY210="-"),"",IF(AO210&lt;=0.25,"Tipo 1 (≤0,25) uT",IF(AO210&lt;=0.5,"Tipo 2 (0,25-0,50) uT",IF(AO210&lt;=0.75,"Tipo 3 (0,50-0,75) uT","Tipo 4 (&gt;0,75) uT"))))</f>
        <v>Tipo 1 (≤0,25) uT</v>
      </c>
      <c r="BE210" s="137" t="str">
        <f>IF(OR(AE210="",AP210="-"),"",IF(AE210&lt;=0.25,"Tipo 1 (≤0,25) uT",IF(AE210&lt;=0.5,"Tipo 2 (0,25-0,50) uT",IF(AE210&lt;=0.75,"Tipo 3 (0,50-0,75) uT","Tipo 4 (&gt;0,75) uT"))))</f>
        <v>Tipo 4 (&gt;0,75) uT</v>
      </c>
      <c r="BF210" s="137" t="str">
        <f>IF(OR(AP210="",AP210="-"),"",IF(AP210&lt;=0.25,"Tipo 1 (≤0,25) uT",IF(AP210&lt;=0.5,"Tipo 2 (0,25-0,50) uT",IF(AP210&lt;=0.75,"Tipo 3 (0,50-0,75) uT","Tipo 4 (&gt;0,75) uT"))))</f>
        <v>Tipo 2 (0,25-0,50) uT</v>
      </c>
      <c r="BG210" s="137" t="str">
        <f>IF(OR(Q210="",Q210="-"),"",IF(Q210&lt;=0.25,"Tipo 1 (≤0,25) uT",IF(Q210&lt;=0.5,"Tipo 2 (0,25-0,50) uT",IF(Q210&lt;=0.75,"Tipo 3 (0,50-0,75) uT","Tipo 4 (&gt;0,75) uT"))))</f>
        <v>Tipo 2 (0,25-0,50) uT</v>
      </c>
    </row>
    <row r="211" spans="1:59" x14ac:dyDescent="0.3">
      <c r="A211" s="26">
        <v>46149</v>
      </c>
      <c r="B211" s="107">
        <v>0.89583333333333337</v>
      </c>
      <c r="C211" s="116">
        <v>1547</v>
      </c>
      <c r="D211" s="116">
        <v>90</v>
      </c>
      <c r="E211" s="116">
        <v>450</v>
      </c>
      <c r="F211" s="116">
        <v>2179</v>
      </c>
      <c r="G211" s="10" t="s">
        <v>100</v>
      </c>
      <c r="H211" s="122">
        <v>4.8</v>
      </c>
      <c r="I211" s="116">
        <v>90</v>
      </c>
      <c r="J211" s="116">
        <v>90</v>
      </c>
      <c r="K211" s="116">
        <v>90</v>
      </c>
      <c r="L211" s="122">
        <v>24.3</v>
      </c>
      <c r="M211" s="122">
        <v>6.6</v>
      </c>
      <c r="N211" s="79">
        <v>4.3600000000000003</v>
      </c>
      <c r="O211" s="116">
        <v>18</v>
      </c>
      <c r="P211" s="122">
        <v>5.3</v>
      </c>
      <c r="Q211" s="79">
        <v>0.4</v>
      </c>
      <c r="R211" s="79">
        <v>22.36</v>
      </c>
      <c r="S211" s="79">
        <v>0.88</v>
      </c>
      <c r="T211" s="79">
        <v>0.7</v>
      </c>
      <c r="U211" s="85">
        <f t="shared" si="18"/>
        <v>1647.8687500000001</v>
      </c>
      <c r="V211" s="79">
        <f t="shared" si="19"/>
        <v>1447.7334393599999</v>
      </c>
      <c r="W211" s="79">
        <f t="shared" si="20"/>
        <v>0.87854899812864329</v>
      </c>
      <c r="X211" s="116">
        <v>2</v>
      </c>
      <c r="Y211" s="116">
        <v>4</v>
      </c>
      <c r="Z211" s="122">
        <v>6.48</v>
      </c>
      <c r="AA211" s="116">
        <v>18</v>
      </c>
      <c r="AB211" s="122">
        <v>6.4</v>
      </c>
      <c r="AC211" s="122">
        <v>4.5999999999999996</v>
      </c>
      <c r="AD211" s="10">
        <v>0.48</v>
      </c>
      <c r="AE211" s="79">
        <v>0.8</v>
      </c>
      <c r="AF211" s="85">
        <f t="shared" si="21"/>
        <v>1647.8687500000001</v>
      </c>
      <c r="AG211" s="85">
        <f t="shared" si="22"/>
        <v>1821.4563327999999</v>
      </c>
      <c r="AH211" s="85">
        <f t="shared" si="23"/>
        <v>1.105340660656378</v>
      </c>
      <c r="AI211" s="116">
        <v>3</v>
      </c>
      <c r="AJ211" s="116">
        <v>4</v>
      </c>
      <c r="AK211" s="79">
        <v>6.4</v>
      </c>
      <c r="AL211" s="79">
        <v>23</v>
      </c>
      <c r="AM211" s="122">
        <v>6.5</v>
      </c>
      <c r="AN211" s="122">
        <v>5.6</v>
      </c>
      <c r="AO211" s="79">
        <v>0.28000000000000003</v>
      </c>
      <c r="AP211" s="127">
        <v>0.4</v>
      </c>
      <c r="AQ211" s="132">
        <f t="shared" si="24"/>
        <v>2087</v>
      </c>
      <c r="AR211" s="134">
        <f t="shared" si="25"/>
        <v>0.74125539051269762</v>
      </c>
      <c r="AS211" s="134">
        <f t="shared" si="26"/>
        <v>4.3124101581217059E-2</v>
      </c>
      <c r="AT211" s="134">
        <f t="shared" si="27"/>
        <v>0.21562050790608528</v>
      </c>
      <c r="AU211" s="43">
        <f>IF(AND(F211&lt;&gt;"",Y211&lt;&gt;""),AA211/(F211/2/Y211),"")</f>
        <v>6.6085360256998626E-2</v>
      </c>
      <c r="AV211" s="43">
        <f>IF(AND(F211&lt;&gt;"",AJ211&lt;&gt;""),AL211/(F211/2/AJ211),"")</f>
        <v>8.4442404772831575E-2</v>
      </c>
      <c r="AW211" s="41">
        <f>IF(AND(AP211&lt;&gt;"",1-(AP211/N211)&gt;0),1-(AP211/N211),"")</f>
        <v>0.90825688073394495</v>
      </c>
      <c r="AX211" s="41">
        <f>IF(AND(AE211&lt;&gt;"",1-(AE211/N211)&gt;0),1-(AE211/N211),"")</f>
        <v>0.8165137614678899</v>
      </c>
      <c r="AY211" s="136" t="str">
        <f>IF(P211="","",IF(P211&lt;2.5,"Alc. Bruta &lt; 2,5 mg/L",IF(P211&lt;5,"2,5 ≤ Alc. Bruta &lt; 5,0 mg/L",IF(P211&lt;7.5,"5,0 ≤ Alc. Bruta &lt; 7,5 mg/L",IF(P211&lt;10,"7,5 ≤ Alc. Bruta &lt; 10,0 mg/L",IF(P211&lt;15,"10,0 ≤ Alca. Bruta &lt; 15,0 mg/L","Alc. Bruta &gt; 15 mg/L"))))))</f>
        <v>5,0 ≤ Alc. Bruta &lt; 7,5 mg/L</v>
      </c>
      <c r="AZ211" s="136" t="str">
        <f>IF(O211="","",IF(O211&lt;5,"Cor &lt;5 uC",IF(O211&lt;10,"5 ≤ Cor &lt; 10 uC",IF(O211&lt;15,"10 ≤ Cor &lt;15 uC",IF(O211&lt;30,"15 ≤ Cor &lt; 30 uC",IF(O211&lt;50,"30 ≤ Cor &lt; 50 uC","Cor &gt; 50 uC"))))))</f>
        <v>15 ≤ Cor &lt; 30 uC</v>
      </c>
      <c r="BA211" s="137" t="str">
        <f>IF(N211="","",IF(N211&lt;2.5,"Turbidez &lt; 2,5 uT",IF(N211&lt;5,"2,5 ≤ Turb &lt; 5,0 uT",IF(N211&lt;7.5,"5,0 ≤ Turb &lt; 7,5 uT",IF(N211&lt;10,"7,5 ≤ Turb &lt; 10,0 uT",IF(N211&lt;15,"10,0 ≤ Turb &lt; 15,0 uT","Turb &gt; 15 uT"))))))</f>
        <v>2,5 ≤ Turb &lt; 5,0 uT</v>
      </c>
      <c r="BB211" s="138" t="str">
        <f>IF(AND(C211&gt;D211,D211&gt;E211),"TOR &gt; SM &gt; BNN",IF(AND(C211&gt;E211,E211&gt;D211),"TOR &gt; BNN &gt; SM",IF(AND(D211&gt;C211,C211&gt;E211),"SM &gt; TOR &gt; BNN",IF(AND(D211&gt;E211,E211&gt;C211),"SM &gt; BNN &gt; TOR",IF(AND(C211=D211,D211=E211),"TOR = SM = BNN","Comb. diferentes")))))</f>
        <v>TOR &gt; BNN &gt; SM</v>
      </c>
      <c r="BC211" s="137" t="str">
        <f>IF(OR(AD211="",AP211="-"),"",IF(AD211&lt;=0.25,"Tipo 1 (≤0,25) uT",IF(AD211&lt;=0.5,"Tipo 2 (0,25-0,50) uT",IF(AD211&lt;=0.75,"Tipo 3 (0,50-0,75) uT","Tipo 4 (&gt;0,75) uT"))))</f>
        <v>Tipo 2 (0,25-0,50) uT</v>
      </c>
      <c r="BD211" s="137" t="str">
        <f>IF(OR(AO211="",AY211="-"),"",IF(AO211&lt;=0.25,"Tipo 1 (≤0,25) uT",IF(AO211&lt;=0.5,"Tipo 2 (0,25-0,50) uT",IF(AO211&lt;=0.75,"Tipo 3 (0,50-0,75) uT","Tipo 4 (&gt;0,75) uT"))))</f>
        <v>Tipo 2 (0,25-0,50) uT</v>
      </c>
      <c r="BE211" s="137" t="str">
        <f>IF(OR(AE211="",AP211="-"),"",IF(AE211&lt;=0.25,"Tipo 1 (≤0,25) uT",IF(AE211&lt;=0.5,"Tipo 2 (0,25-0,50) uT",IF(AE211&lt;=0.75,"Tipo 3 (0,50-0,75) uT","Tipo 4 (&gt;0,75) uT"))))</f>
        <v>Tipo 4 (&gt;0,75) uT</v>
      </c>
      <c r="BF211" s="137" t="str">
        <f>IF(OR(AP211="",AP211="-"),"",IF(AP211&lt;=0.25,"Tipo 1 (≤0,25) uT",IF(AP211&lt;=0.5,"Tipo 2 (0,25-0,50) uT",IF(AP211&lt;=0.75,"Tipo 3 (0,50-0,75) uT","Tipo 4 (&gt;0,75) uT"))))</f>
        <v>Tipo 2 (0,25-0,50) uT</v>
      </c>
      <c r="BG211" s="137" t="str">
        <f>IF(OR(Q211="",Q211="-"),"",IF(Q211&lt;=0.25,"Tipo 1 (≤0,25) uT",IF(Q211&lt;=0.5,"Tipo 2 (0,25-0,50) uT",IF(Q211&lt;=0.75,"Tipo 3 (0,50-0,75) uT","Tipo 4 (&gt;0,75) uT"))))</f>
        <v>Tipo 2 (0,25-0,50) uT</v>
      </c>
    </row>
    <row r="212" spans="1:59" x14ac:dyDescent="0.3">
      <c r="A212" s="26">
        <v>46149</v>
      </c>
      <c r="B212" s="107">
        <v>0.97916666666666663</v>
      </c>
      <c r="C212" s="116">
        <v>1537</v>
      </c>
      <c r="D212" s="116">
        <v>88</v>
      </c>
      <c r="E212" s="116">
        <v>451</v>
      </c>
      <c r="F212" s="116">
        <v>2184</v>
      </c>
      <c r="G212" s="10" t="s">
        <v>100</v>
      </c>
      <c r="H212" s="122">
        <v>4.8</v>
      </c>
      <c r="I212" s="116">
        <v>90</v>
      </c>
      <c r="J212" s="116">
        <v>90</v>
      </c>
      <c r="K212" s="116">
        <v>90</v>
      </c>
      <c r="L212" s="122">
        <v>23.8</v>
      </c>
      <c r="M212" s="122">
        <v>6.6</v>
      </c>
      <c r="N212" s="79">
        <v>4.7699999999999996</v>
      </c>
      <c r="O212" s="116">
        <v>19</v>
      </c>
      <c r="P212" s="122">
        <v>5.4</v>
      </c>
      <c r="Q212" s="79">
        <v>0.21</v>
      </c>
      <c r="R212" s="79">
        <v>22.36</v>
      </c>
      <c r="S212" s="79">
        <v>0.88</v>
      </c>
      <c r="T212" s="79">
        <v>0.7</v>
      </c>
      <c r="U212" s="85">
        <f t="shared" si="18"/>
        <v>1763.5799999999997</v>
      </c>
      <c r="V212" s="79">
        <f t="shared" si="19"/>
        <v>1450.5141736799999</v>
      </c>
      <c r="W212" s="79">
        <f t="shared" si="20"/>
        <v>0.82248277576293682</v>
      </c>
      <c r="X212" s="116">
        <v>2</v>
      </c>
      <c r="Y212" s="116">
        <v>4</v>
      </c>
      <c r="Z212" s="122">
        <v>6.49</v>
      </c>
      <c r="AA212" s="116">
        <v>18</v>
      </c>
      <c r="AB212" s="122">
        <v>6.5</v>
      </c>
      <c r="AC212" s="122">
        <v>4.2</v>
      </c>
      <c r="AD212" s="10">
        <v>0.3</v>
      </c>
      <c r="AE212" s="79">
        <v>0.3</v>
      </c>
      <c r="AF212" s="85">
        <f t="shared" si="21"/>
        <v>1763.5799999999997</v>
      </c>
      <c r="AG212" s="85">
        <f t="shared" si="22"/>
        <v>1825.0094933200003</v>
      </c>
      <c r="AH212" s="85">
        <f t="shared" si="23"/>
        <v>1.0348322692024181</v>
      </c>
      <c r="AI212" s="116">
        <v>3</v>
      </c>
      <c r="AJ212" s="116">
        <v>4</v>
      </c>
      <c r="AK212" s="79">
        <v>6.41</v>
      </c>
      <c r="AL212" s="79">
        <v>23</v>
      </c>
      <c r="AM212" s="122">
        <v>6.5</v>
      </c>
      <c r="AN212" s="122">
        <v>4.3</v>
      </c>
      <c r="AO212" s="79">
        <v>0.27</v>
      </c>
      <c r="AP212" s="127">
        <v>0.46</v>
      </c>
      <c r="AQ212" s="132">
        <f t="shared" si="24"/>
        <v>2076</v>
      </c>
      <c r="AR212" s="134">
        <f t="shared" si="25"/>
        <v>0.74036608863198461</v>
      </c>
      <c r="AS212" s="134">
        <f t="shared" si="26"/>
        <v>4.238921001926782E-2</v>
      </c>
      <c r="AT212" s="134">
        <f t="shared" si="27"/>
        <v>0.2172447013487476</v>
      </c>
      <c r="AU212" s="43">
        <f>IF(AND(F212&lt;&gt;"",Y212&lt;&gt;""),AA212/(F212/2/Y212),"")</f>
        <v>6.5934065934065936E-2</v>
      </c>
      <c r="AV212" s="43">
        <f>IF(AND(F212&lt;&gt;"",AJ212&lt;&gt;""),AL212/(F212/2/AJ212),"")</f>
        <v>8.4249084249084255E-2</v>
      </c>
      <c r="AW212" s="41">
        <f>IF(AND(AP212&lt;&gt;"",1-(AP212/N212)&gt;0),1-(AP212/N212),"")</f>
        <v>0.90356394129979034</v>
      </c>
      <c r="AX212" s="41">
        <f>IF(AND(AE212&lt;&gt;"",1-(AE212/N212)&gt;0),1-(AE212/N212),"")</f>
        <v>0.93710691823899372</v>
      </c>
      <c r="AY212" s="136" t="str">
        <f>IF(P212="","",IF(P212&lt;2.5,"Alc. Bruta &lt; 2,5 mg/L",IF(P212&lt;5,"2,5 ≤ Alc. Bruta &lt; 5,0 mg/L",IF(P212&lt;7.5,"5,0 ≤ Alc. Bruta &lt; 7,5 mg/L",IF(P212&lt;10,"7,5 ≤ Alc. Bruta &lt; 10,0 mg/L",IF(P212&lt;15,"10,0 ≤ Alca. Bruta &lt; 15,0 mg/L","Alc. Bruta &gt; 15 mg/L"))))))</f>
        <v>5,0 ≤ Alc. Bruta &lt; 7,5 mg/L</v>
      </c>
      <c r="AZ212" s="136" t="str">
        <f>IF(O212="","",IF(O212&lt;5,"Cor &lt;5 uC",IF(O212&lt;10,"5 ≤ Cor &lt; 10 uC",IF(O212&lt;15,"10 ≤ Cor &lt;15 uC",IF(O212&lt;30,"15 ≤ Cor &lt; 30 uC",IF(O212&lt;50,"30 ≤ Cor &lt; 50 uC","Cor &gt; 50 uC"))))))</f>
        <v>15 ≤ Cor &lt; 30 uC</v>
      </c>
      <c r="BA212" s="137" t="str">
        <f>IF(N212="","",IF(N212&lt;2.5,"Turbidez &lt; 2,5 uT",IF(N212&lt;5,"2,5 ≤ Turb &lt; 5,0 uT",IF(N212&lt;7.5,"5,0 ≤ Turb &lt; 7,5 uT",IF(N212&lt;10,"7,5 ≤ Turb &lt; 10,0 uT",IF(N212&lt;15,"10,0 ≤ Turb &lt; 15,0 uT","Turb &gt; 15 uT"))))))</f>
        <v>2,5 ≤ Turb &lt; 5,0 uT</v>
      </c>
      <c r="BB212" s="138" t="str">
        <f>IF(AND(C212&gt;D212,D212&gt;E212),"TOR &gt; SM &gt; BNN",IF(AND(C212&gt;E212,E212&gt;D212),"TOR &gt; BNN &gt; SM",IF(AND(D212&gt;C212,C212&gt;E212),"SM &gt; TOR &gt; BNN",IF(AND(D212&gt;E212,E212&gt;C212),"SM &gt; BNN &gt; TOR",IF(AND(C212=D212,D212=E212),"TOR = SM = BNN","Comb. diferentes")))))</f>
        <v>TOR &gt; BNN &gt; SM</v>
      </c>
      <c r="BC212" s="137" t="str">
        <f>IF(OR(AD212="",AP212="-"),"",IF(AD212&lt;=0.25,"Tipo 1 (≤0,25) uT",IF(AD212&lt;=0.5,"Tipo 2 (0,25-0,50) uT",IF(AD212&lt;=0.75,"Tipo 3 (0,50-0,75) uT","Tipo 4 (&gt;0,75) uT"))))</f>
        <v>Tipo 2 (0,25-0,50) uT</v>
      </c>
      <c r="BD212" s="137" t="str">
        <f>IF(OR(AO212="",AY212="-"),"",IF(AO212&lt;=0.25,"Tipo 1 (≤0,25) uT",IF(AO212&lt;=0.5,"Tipo 2 (0,25-0,50) uT",IF(AO212&lt;=0.75,"Tipo 3 (0,50-0,75) uT","Tipo 4 (&gt;0,75) uT"))))</f>
        <v>Tipo 2 (0,25-0,50) uT</v>
      </c>
      <c r="BE212" s="137" t="str">
        <f>IF(OR(AE212="",AP212="-"),"",IF(AE212&lt;=0.25,"Tipo 1 (≤0,25) uT",IF(AE212&lt;=0.5,"Tipo 2 (0,25-0,50) uT",IF(AE212&lt;=0.75,"Tipo 3 (0,50-0,75) uT","Tipo 4 (&gt;0,75) uT"))))</f>
        <v>Tipo 2 (0,25-0,50) uT</v>
      </c>
      <c r="BF212" s="137" t="str">
        <f>IF(OR(AP212="",AP212="-"),"",IF(AP212&lt;=0.25,"Tipo 1 (≤0,25) uT",IF(AP212&lt;=0.5,"Tipo 2 (0,25-0,50) uT",IF(AP212&lt;=0.75,"Tipo 3 (0,50-0,75) uT","Tipo 4 (&gt;0,75) uT"))))</f>
        <v>Tipo 2 (0,25-0,50) uT</v>
      </c>
      <c r="BG212" s="137" t="str">
        <f>IF(OR(Q212="",Q212="-"),"",IF(Q212&lt;=0.25,"Tipo 1 (≤0,25) uT",IF(Q212&lt;=0.5,"Tipo 2 (0,25-0,50) uT",IF(Q212&lt;=0.75,"Tipo 3 (0,50-0,75) uT","Tipo 4 (&gt;0,75) uT"))))</f>
        <v>Tipo 1 (≤0,25) uT</v>
      </c>
    </row>
    <row r="213" spans="1:59" x14ac:dyDescent="0.3">
      <c r="A213" s="26">
        <v>46150</v>
      </c>
      <c r="B213" s="107">
        <v>6.25E-2</v>
      </c>
      <c r="C213" s="116">
        <v>1518</v>
      </c>
      <c r="D213" s="116">
        <v>90</v>
      </c>
      <c r="E213" s="116">
        <v>450</v>
      </c>
      <c r="F213" s="116">
        <v>2186</v>
      </c>
      <c r="G213" s="10" t="s">
        <v>100</v>
      </c>
      <c r="H213" s="122">
        <v>4.5999999999999996</v>
      </c>
      <c r="I213" s="116">
        <v>90</v>
      </c>
      <c r="J213" s="116">
        <v>90</v>
      </c>
      <c r="K213" s="116">
        <v>90</v>
      </c>
      <c r="L213" s="122">
        <v>23.7</v>
      </c>
      <c r="M213" s="122">
        <v>6.6</v>
      </c>
      <c r="N213" s="79">
        <v>3.88</v>
      </c>
      <c r="O213" s="116">
        <v>16</v>
      </c>
      <c r="P213" s="122">
        <v>5.2</v>
      </c>
      <c r="Q213" s="79">
        <v>0.25</v>
      </c>
      <c r="R213" s="79">
        <v>22.36</v>
      </c>
      <c r="S213" s="79">
        <v>0.88</v>
      </c>
      <c r="T213" s="79">
        <v>0.7</v>
      </c>
      <c r="U213" s="85">
        <f t="shared" si="18"/>
        <v>1505.6074999999998</v>
      </c>
      <c r="V213" s="79">
        <f t="shared" si="19"/>
        <v>1453.2949080000001</v>
      </c>
      <c r="W213" s="79">
        <f t="shared" si="20"/>
        <v>0.9652548277024392</v>
      </c>
      <c r="X213" s="116">
        <v>2</v>
      </c>
      <c r="Y213" s="116">
        <v>4</v>
      </c>
      <c r="Z213" s="122">
        <v>6.5</v>
      </c>
      <c r="AA213" s="116">
        <v>18</v>
      </c>
      <c r="AB213" s="122">
        <v>6.5</v>
      </c>
      <c r="AC213" s="122">
        <v>4.3</v>
      </c>
      <c r="AD213" s="10">
        <v>0.22</v>
      </c>
      <c r="AE213" s="79">
        <v>0.43</v>
      </c>
      <c r="AF213" s="85">
        <f t="shared" si="21"/>
        <v>1505.6074999999998</v>
      </c>
      <c r="AG213" s="85">
        <f t="shared" si="22"/>
        <v>1900.6500864</v>
      </c>
      <c r="AH213" s="85">
        <f t="shared" si="23"/>
        <v>1.2623808571623083</v>
      </c>
      <c r="AI213" s="116">
        <v>3</v>
      </c>
      <c r="AJ213" s="116">
        <v>4</v>
      </c>
      <c r="AK213" s="79">
        <v>6.4</v>
      </c>
      <c r="AL213" s="79">
        <v>24</v>
      </c>
      <c r="AM213" s="122">
        <v>6.5</v>
      </c>
      <c r="AN213" s="122">
        <v>4.4000000000000004</v>
      </c>
      <c r="AO213" s="79">
        <v>0.16</v>
      </c>
      <c r="AP213" s="127">
        <v>0.5</v>
      </c>
      <c r="AQ213" s="132">
        <f t="shared" si="24"/>
        <v>2058</v>
      </c>
      <c r="AR213" s="134">
        <f t="shared" si="25"/>
        <v>0.73760932944606417</v>
      </c>
      <c r="AS213" s="134">
        <f t="shared" si="26"/>
        <v>4.3731778425655975E-2</v>
      </c>
      <c r="AT213" s="134">
        <f t="shared" si="27"/>
        <v>0.21865889212827988</v>
      </c>
      <c r="AU213" s="43">
        <f>IF(AND(F213&lt;&gt;"",Y213&lt;&gt;""),AA213/(F213/2/Y213),"")</f>
        <v>6.5873741994510515E-2</v>
      </c>
      <c r="AV213" s="43">
        <f>IF(AND(F213&lt;&gt;"",AJ213&lt;&gt;""),AL213/(F213/2/AJ213),"")</f>
        <v>8.7831655992680696E-2</v>
      </c>
      <c r="AW213" s="41">
        <f>IF(AND(AP213&lt;&gt;"",1-(AP213/N213)&gt;0),1-(AP213/N213),"")</f>
        <v>0.87113402061855671</v>
      </c>
      <c r="AX213" s="41">
        <f>IF(AND(AE213&lt;&gt;"",1-(AE213/N213)&gt;0),1-(AE213/N213),"")</f>
        <v>0.88917525773195871</v>
      </c>
      <c r="AY213" s="136" t="str">
        <f>IF(P213="","",IF(P213&lt;2.5,"Alc. Bruta &lt; 2,5 mg/L",IF(P213&lt;5,"2,5 ≤ Alc. Bruta &lt; 5,0 mg/L",IF(P213&lt;7.5,"5,0 ≤ Alc. Bruta &lt; 7,5 mg/L",IF(P213&lt;10,"7,5 ≤ Alc. Bruta &lt; 10,0 mg/L",IF(P213&lt;15,"10,0 ≤ Alca. Bruta &lt; 15,0 mg/L","Alc. Bruta &gt; 15 mg/L"))))))</f>
        <v>5,0 ≤ Alc. Bruta &lt; 7,5 mg/L</v>
      </c>
      <c r="AZ213" s="136" t="str">
        <f>IF(O213="","",IF(O213&lt;5,"Cor &lt;5 uC",IF(O213&lt;10,"5 ≤ Cor &lt; 10 uC",IF(O213&lt;15,"10 ≤ Cor &lt;15 uC",IF(O213&lt;30,"15 ≤ Cor &lt; 30 uC",IF(O213&lt;50,"30 ≤ Cor &lt; 50 uC","Cor &gt; 50 uC"))))))</f>
        <v>15 ≤ Cor &lt; 30 uC</v>
      </c>
      <c r="BA213" s="137" t="str">
        <f>IF(N213="","",IF(N213&lt;2.5,"Turbidez &lt; 2,5 uT",IF(N213&lt;5,"2,5 ≤ Turb &lt; 5,0 uT",IF(N213&lt;7.5,"5,0 ≤ Turb &lt; 7,5 uT",IF(N213&lt;10,"7,5 ≤ Turb &lt; 10,0 uT",IF(N213&lt;15,"10,0 ≤ Turb &lt; 15,0 uT","Turb &gt; 15 uT"))))))</f>
        <v>2,5 ≤ Turb &lt; 5,0 uT</v>
      </c>
      <c r="BB213" s="138" t="str">
        <f>IF(AND(C213&gt;D213,D213&gt;E213),"TOR &gt; SM &gt; BNN",IF(AND(C213&gt;E213,E213&gt;D213),"TOR &gt; BNN &gt; SM",IF(AND(D213&gt;C213,C213&gt;E213),"SM &gt; TOR &gt; BNN",IF(AND(D213&gt;E213,E213&gt;C213),"SM &gt; BNN &gt; TOR",IF(AND(C213=D213,D213=E213),"TOR = SM = BNN","Comb. diferentes")))))</f>
        <v>TOR &gt; BNN &gt; SM</v>
      </c>
      <c r="BC213" s="137" t="str">
        <f>IF(OR(AD213="",AP213="-"),"",IF(AD213&lt;=0.25,"Tipo 1 (≤0,25) uT",IF(AD213&lt;=0.5,"Tipo 2 (0,25-0,50) uT",IF(AD213&lt;=0.75,"Tipo 3 (0,50-0,75) uT","Tipo 4 (&gt;0,75) uT"))))</f>
        <v>Tipo 1 (≤0,25) uT</v>
      </c>
      <c r="BD213" s="137" t="str">
        <f>IF(OR(AO213="",AY213="-"),"",IF(AO213&lt;=0.25,"Tipo 1 (≤0,25) uT",IF(AO213&lt;=0.5,"Tipo 2 (0,25-0,50) uT",IF(AO213&lt;=0.75,"Tipo 3 (0,50-0,75) uT","Tipo 4 (&gt;0,75) uT"))))</f>
        <v>Tipo 1 (≤0,25) uT</v>
      </c>
      <c r="BE213" s="137" t="str">
        <f>IF(OR(AE213="",AP213="-"),"",IF(AE213&lt;=0.25,"Tipo 1 (≤0,25) uT",IF(AE213&lt;=0.5,"Tipo 2 (0,25-0,50) uT",IF(AE213&lt;=0.75,"Tipo 3 (0,50-0,75) uT","Tipo 4 (&gt;0,75) uT"))))</f>
        <v>Tipo 2 (0,25-0,50) uT</v>
      </c>
      <c r="BF213" s="137" t="str">
        <f>IF(OR(AP213="",AP213="-"),"",IF(AP213&lt;=0.25,"Tipo 1 (≤0,25) uT",IF(AP213&lt;=0.5,"Tipo 2 (0,25-0,50) uT",IF(AP213&lt;=0.75,"Tipo 3 (0,50-0,75) uT","Tipo 4 (&gt;0,75) uT"))))</f>
        <v>Tipo 2 (0,25-0,50) uT</v>
      </c>
      <c r="BG213" s="137" t="str">
        <f>IF(OR(Q213="",Q213="-"),"",IF(Q213&lt;=0.25,"Tipo 1 (≤0,25) uT",IF(Q213&lt;=0.5,"Tipo 2 (0,25-0,50) uT",IF(Q213&lt;=0.75,"Tipo 3 (0,50-0,75) uT","Tipo 4 (&gt;0,75) uT"))))</f>
        <v>Tipo 1 (≤0,25) uT</v>
      </c>
    </row>
    <row r="214" spans="1:59" x14ac:dyDescent="0.3">
      <c r="A214" s="26">
        <v>46150</v>
      </c>
      <c r="B214" s="107">
        <v>0.14583333333333334</v>
      </c>
      <c r="C214" s="116">
        <v>1620</v>
      </c>
      <c r="D214" s="116">
        <v>90</v>
      </c>
      <c r="E214" s="116">
        <v>448</v>
      </c>
      <c r="F214" s="116">
        <v>2277</v>
      </c>
      <c r="G214" s="10" t="s">
        <v>100</v>
      </c>
      <c r="H214" s="122">
        <v>4.5999999999999996</v>
      </c>
      <c r="I214" s="116">
        <v>90</v>
      </c>
      <c r="J214" s="116">
        <v>90</v>
      </c>
      <c r="K214" s="116">
        <v>90</v>
      </c>
      <c r="L214" s="122">
        <v>23.7</v>
      </c>
      <c r="M214" s="122">
        <v>6.7</v>
      </c>
      <c r="N214" s="79">
        <v>3.74</v>
      </c>
      <c r="O214" s="116">
        <v>16</v>
      </c>
      <c r="P214" s="122">
        <v>4.9000000000000004</v>
      </c>
      <c r="Q214" s="79">
        <v>0.28000000000000003</v>
      </c>
      <c r="R214" s="79">
        <v>22.36</v>
      </c>
      <c r="S214" s="79">
        <v>0.88</v>
      </c>
      <c r="T214" s="79">
        <v>0.7</v>
      </c>
      <c r="U214" s="85">
        <f t="shared" si="18"/>
        <v>1528.43625</v>
      </c>
      <c r="V214" s="79">
        <f t="shared" si="19"/>
        <v>1458.8563766399996</v>
      </c>
      <c r="W214" s="79">
        <f t="shared" si="20"/>
        <v>0.95447643082267875</v>
      </c>
      <c r="X214" s="116">
        <v>2</v>
      </c>
      <c r="Y214" s="116">
        <v>4</v>
      </c>
      <c r="Z214" s="122">
        <v>6.52</v>
      </c>
      <c r="AA214" s="116">
        <v>18</v>
      </c>
      <c r="AB214" s="122">
        <v>6.5</v>
      </c>
      <c r="AC214" s="122">
        <v>4.0999999999999996</v>
      </c>
      <c r="AD214" s="10">
        <v>0.2</v>
      </c>
      <c r="AE214" s="79">
        <v>0.45</v>
      </c>
      <c r="AF214" s="85">
        <f t="shared" si="21"/>
        <v>1528.43625</v>
      </c>
      <c r="AG214" s="85">
        <f t="shared" si="22"/>
        <v>1810.7968512399998</v>
      </c>
      <c r="AH214" s="85">
        <f t="shared" si="23"/>
        <v>1.1847382259089967</v>
      </c>
      <c r="AI214" s="116">
        <v>3</v>
      </c>
      <c r="AJ214" s="116">
        <v>4</v>
      </c>
      <c r="AK214" s="79">
        <v>6.37</v>
      </c>
      <c r="AL214" s="79">
        <v>23</v>
      </c>
      <c r="AM214" s="122">
        <v>6.4</v>
      </c>
      <c r="AN214" s="122">
        <v>5.5</v>
      </c>
      <c r="AO214" s="79">
        <v>0.16</v>
      </c>
      <c r="AP214" s="127">
        <v>0.5</v>
      </c>
      <c r="AQ214" s="132">
        <f t="shared" si="24"/>
        <v>2158</v>
      </c>
      <c r="AR214" s="134">
        <f t="shared" si="25"/>
        <v>0.75069508804448559</v>
      </c>
      <c r="AS214" s="134">
        <f t="shared" si="26"/>
        <v>4.1705282669138088E-2</v>
      </c>
      <c r="AT214" s="134">
        <f t="shared" si="27"/>
        <v>0.20759962928637626</v>
      </c>
      <c r="AU214" s="43">
        <f>IF(AND(F214&lt;&gt;"",Y214&lt;&gt;""),AA214/(F214/2/Y214),"")</f>
        <v>6.3241106719367585E-2</v>
      </c>
      <c r="AV214" s="43">
        <f>IF(AND(F214&lt;&gt;"",AJ214&lt;&gt;""),AL214/(F214/2/AJ214),"")</f>
        <v>8.0808080808080815E-2</v>
      </c>
      <c r="AW214" s="41">
        <f>IF(AND(AP214&lt;&gt;"",1-(AP214/N214)&gt;0),1-(AP214/N214),"")</f>
        <v>0.86631016042780751</v>
      </c>
      <c r="AX214" s="41">
        <f>IF(AND(AE214&lt;&gt;"",1-(AE214/N214)&gt;0),1-(AE214/N214),"")</f>
        <v>0.8796791443850267</v>
      </c>
      <c r="AY214" s="136" t="str">
        <f>IF(P214="","",IF(P214&lt;2.5,"Alc. Bruta &lt; 2,5 mg/L",IF(P214&lt;5,"2,5 ≤ Alc. Bruta &lt; 5,0 mg/L",IF(P214&lt;7.5,"5,0 ≤ Alc. Bruta &lt; 7,5 mg/L",IF(P214&lt;10,"7,5 ≤ Alc. Bruta &lt; 10,0 mg/L",IF(P214&lt;15,"10,0 ≤ Alca. Bruta &lt; 15,0 mg/L","Alc. Bruta &gt; 15 mg/L"))))))</f>
        <v>2,5 ≤ Alc. Bruta &lt; 5,0 mg/L</v>
      </c>
      <c r="AZ214" s="136" t="str">
        <f>IF(O214="","",IF(O214&lt;5,"Cor &lt;5 uC",IF(O214&lt;10,"5 ≤ Cor &lt; 10 uC",IF(O214&lt;15,"10 ≤ Cor &lt;15 uC",IF(O214&lt;30,"15 ≤ Cor &lt; 30 uC",IF(O214&lt;50,"30 ≤ Cor &lt; 50 uC","Cor &gt; 50 uC"))))))</f>
        <v>15 ≤ Cor &lt; 30 uC</v>
      </c>
      <c r="BA214" s="137" t="str">
        <f>IF(N214="","",IF(N214&lt;2.5,"Turbidez &lt; 2,5 uT",IF(N214&lt;5,"2,5 ≤ Turb &lt; 5,0 uT",IF(N214&lt;7.5,"5,0 ≤ Turb &lt; 7,5 uT",IF(N214&lt;10,"7,5 ≤ Turb &lt; 10,0 uT",IF(N214&lt;15,"10,0 ≤ Turb &lt; 15,0 uT","Turb &gt; 15 uT"))))))</f>
        <v>2,5 ≤ Turb &lt; 5,0 uT</v>
      </c>
      <c r="BB214" s="138" t="str">
        <f>IF(AND(C214&gt;D214,D214&gt;E214),"TOR &gt; SM &gt; BNN",IF(AND(C214&gt;E214,E214&gt;D214),"TOR &gt; BNN &gt; SM",IF(AND(D214&gt;C214,C214&gt;E214),"SM &gt; TOR &gt; BNN",IF(AND(D214&gt;E214,E214&gt;C214),"SM &gt; BNN &gt; TOR",IF(AND(C214=D214,D214=E214),"TOR = SM = BNN","Comb. diferentes")))))</f>
        <v>TOR &gt; BNN &gt; SM</v>
      </c>
      <c r="BC214" s="137" t="str">
        <f>IF(OR(AD214="",AP214="-"),"",IF(AD214&lt;=0.25,"Tipo 1 (≤0,25) uT",IF(AD214&lt;=0.5,"Tipo 2 (0,25-0,50) uT",IF(AD214&lt;=0.75,"Tipo 3 (0,50-0,75) uT","Tipo 4 (&gt;0,75) uT"))))</f>
        <v>Tipo 1 (≤0,25) uT</v>
      </c>
      <c r="BD214" s="137" t="str">
        <f>IF(OR(AO214="",AY214="-"),"",IF(AO214&lt;=0.25,"Tipo 1 (≤0,25) uT",IF(AO214&lt;=0.5,"Tipo 2 (0,25-0,50) uT",IF(AO214&lt;=0.75,"Tipo 3 (0,50-0,75) uT","Tipo 4 (&gt;0,75) uT"))))</f>
        <v>Tipo 1 (≤0,25) uT</v>
      </c>
      <c r="BE214" s="137" t="str">
        <f>IF(OR(AE214="",AP214="-"),"",IF(AE214&lt;=0.25,"Tipo 1 (≤0,25) uT",IF(AE214&lt;=0.5,"Tipo 2 (0,25-0,50) uT",IF(AE214&lt;=0.75,"Tipo 3 (0,50-0,75) uT","Tipo 4 (&gt;0,75) uT"))))</f>
        <v>Tipo 2 (0,25-0,50) uT</v>
      </c>
      <c r="BF214" s="137" t="str">
        <f>IF(OR(AP214="",AP214="-"),"",IF(AP214&lt;=0.25,"Tipo 1 (≤0,25) uT",IF(AP214&lt;=0.5,"Tipo 2 (0,25-0,50) uT",IF(AP214&lt;=0.75,"Tipo 3 (0,50-0,75) uT","Tipo 4 (&gt;0,75) uT"))))</f>
        <v>Tipo 2 (0,25-0,50) uT</v>
      </c>
      <c r="BG214" s="137" t="str">
        <f>IF(OR(Q214="",Q214="-"),"",IF(Q214&lt;=0.25,"Tipo 1 (≤0,25) uT",IF(Q214&lt;=0.5,"Tipo 2 (0,25-0,50) uT",IF(Q214&lt;=0.75,"Tipo 3 (0,50-0,75) uT","Tipo 4 (&gt;0,75) uT"))))</f>
        <v>Tipo 2 (0,25-0,50) uT</v>
      </c>
    </row>
    <row r="215" spans="1:59" ht="15" thickBot="1" x14ac:dyDescent="0.35">
      <c r="A215" s="26">
        <v>46150</v>
      </c>
      <c r="B215" s="110">
        <v>0.22916666666666666</v>
      </c>
      <c r="C215" s="117">
        <v>1534</v>
      </c>
      <c r="D215" s="117">
        <v>91</v>
      </c>
      <c r="E215" s="117">
        <v>445</v>
      </c>
      <c r="F215" s="117">
        <v>2190</v>
      </c>
      <c r="G215" s="11" t="s">
        <v>100</v>
      </c>
      <c r="H215" s="123">
        <v>4.5999999999999996</v>
      </c>
      <c r="I215" s="117">
        <v>90</v>
      </c>
      <c r="J215" s="117">
        <v>90</v>
      </c>
      <c r="K215" s="117">
        <v>90</v>
      </c>
      <c r="L215" s="123">
        <v>23.3</v>
      </c>
      <c r="M215" s="123">
        <v>6.6</v>
      </c>
      <c r="N215" s="80">
        <v>3.84</v>
      </c>
      <c r="O215" s="117">
        <v>15</v>
      </c>
      <c r="P215" s="123">
        <v>5.5</v>
      </c>
      <c r="Q215" s="80">
        <v>0.31</v>
      </c>
      <c r="R215" s="79">
        <v>22.36</v>
      </c>
      <c r="S215" s="79">
        <v>0.88</v>
      </c>
      <c r="T215" s="79">
        <v>0.7</v>
      </c>
      <c r="U215" s="85">
        <f t="shared" si="18"/>
        <v>1497.4124999999999</v>
      </c>
      <c r="V215" s="79">
        <f t="shared" si="19"/>
        <v>1428.2682991200002</v>
      </c>
      <c r="W215" s="79">
        <f t="shared" si="20"/>
        <v>0.95382421284716157</v>
      </c>
      <c r="X215" s="117">
        <v>2</v>
      </c>
      <c r="Y215" s="117">
        <v>4</v>
      </c>
      <c r="Z215" s="123">
        <v>6.41</v>
      </c>
      <c r="AA215" s="117">
        <v>18</v>
      </c>
      <c r="AB215" s="123">
        <v>6.5</v>
      </c>
      <c r="AC215" s="123">
        <v>5</v>
      </c>
      <c r="AD215" s="11">
        <v>0.34</v>
      </c>
      <c r="AE215" s="80">
        <v>0.49</v>
      </c>
      <c r="AF215" s="85">
        <f t="shared" si="21"/>
        <v>1497.4124999999999</v>
      </c>
      <c r="AG215" s="85">
        <f t="shared" si="22"/>
        <v>1803.6905301999996</v>
      </c>
      <c r="AH215" s="85">
        <f t="shared" si="23"/>
        <v>1.2045381818303238</v>
      </c>
      <c r="AI215" s="117">
        <v>3</v>
      </c>
      <c r="AJ215" s="117">
        <v>4</v>
      </c>
      <c r="AK215" s="80">
        <v>6.35</v>
      </c>
      <c r="AL215" s="80">
        <v>23</v>
      </c>
      <c r="AM215" s="123">
        <v>6.5</v>
      </c>
      <c r="AN215" s="123">
        <v>5.3</v>
      </c>
      <c r="AO215" s="80">
        <v>0.19</v>
      </c>
      <c r="AP215" s="128">
        <v>0.48</v>
      </c>
      <c r="AQ215" s="132">
        <f t="shared" si="24"/>
        <v>2070</v>
      </c>
      <c r="AR215" s="134">
        <f t="shared" si="25"/>
        <v>0.74106280193236718</v>
      </c>
      <c r="AS215" s="134">
        <f t="shared" si="26"/>
        <v>4.3961352657004828E-2</v>
      </c>
      <c r="AT215" s="134">
        <f t="shared" si="27"/>
        <v>0.21497584541062803</v>
      </c>
      <c r="AU215" s="43">
        <f>IF(AND(F215&lt;&gt;"",Y215&lt;&gt;""),AA215/(F215/2/Y215),"")</f>
        <v>6.575342465753424E-2</v>
      </c>
      <c r="AV215" s="43">
        <f>IF(AND(F215&lt;&gt;"",AJ215&lt;&gt;""),AL215/(F215/2/AJ215),"")</f>
        <v>8.4018264840182655E-2</v>
      </c>
      <c r="AW215" s="41">
        <f>IF(AND(AP215&lt;&gt;"",1-(AP215/N215)&gt;0),1-(AP215/N215),"")</f>
        <v>0.875</v>
      </c>
      <c r="AX215" s="41">
        <f>IF(AND(AE215&lt;&gt;"",1-(AE215/N215)&gt;0),1-(AE215/N215),"")</f>
        <v>0.87239583333333337</v>
      </c>
      <c r="AY215" s="136" t="str">
        <f>IF(P215="","",IF(P215&lt;2.5,"Alc. Bruta &lt; 2,5 mg/L",IF(P215&lt;5,"2,5 ≤ Alc. Bruta &lt; 5,0 mg/L",IF(P215&lt;7.5,"5,0 ≤ Alc. Bruta &lt; 7,5 mg/L",IF(P215&lt;10,"7,5 ≤ Alc. Bruta &lt; 10,0 mg/L",IF(P215&lt;15,"10,0 ≤ Alca. Bruta &lt; 15,0 mg/L","Alc. Bruta &gt; 15 mg/L"))))))</f>
        <v>5,0 ≤ Alc. Bruta &lt; 7,5 mg/L</v>
      </c>
      <c r="AZ215" s="136" t="str">
        <f>IF(O215="","",IF(O215&lt;5,"Cor &lt;5 uC",IF(O215&lt;10,"5 ≤ Cor &lt; 10 uC",IF(O215&lt;15,"10 ≤ Cor &lt;15 uC",IF(O215&lt;30,"15 ≤ Cor &lt; 30 uC",IF(O215&lt;50,"30 ≤ Cor &lt; 50 uC","Cor &gt; 50 uC"))))))</f>
        <v>15 ≤ Cor &lt; 30 uC</v>
      </c>
      <c r="BA215" s="137" t="str">
        <f>IF(N215="","",IF(N215&lt;2.5,"Turbidez &lt; 2,5 uT",IF(N215&lt;5,"2,5 ≤ Turb &lt; 5,0 uT",IF(N215&lt;7.5,"5,0 ≤ Turb &lt; 7,5 uT",IF(N215&lt;10,"7,5 ≤ Turb &lt; 10,0 uT",IF(N215&lt;15,"10,0 ≤ Turb &lt; 15,0 uT","Turb &gt; 15 uT"))))))</f>
        <v>2,5 ≤ Turb &lt; 5,0 uT</v>
      </c>
      <c r="BB215" s="138" t="str">
        <f>IF(AND(C215&gt;D215,D215&gt;E215),"TOR &gt; SM &gt; BNN",IF(AND(C215&gt;E215,E215&gt;D215),"TOR &gt; BNN &gt; SM",IF(AND(D215&gt;C215,C215&gt;E215),"SM &gt; TOR &gt; BNN",IF(AND(D215&gt;E215,E215&gt;C215),"SM &gt; BNN &gt; TOR",IF(AND(C215=D215,D215=E215),"TOR = SM = BNN","Comb. diferentes")))))</f>
        <v>TOR &gt; BNN &gt; SM</v>
      </c>
      <c r="BC215" s="137" t="str">
        <f>IF(OR(AD215="",AP215="-"),"",IF(AD215&lt;=0.25,"Tipo 1 (≤0,25) uT",IF(AD215&lt;=0.5,"Tipo 2 (0,25-0,50) uT",IF(AD215&lt;=0.75,"Tipo 3 (0,50-0,75) uT","Tipo 4 (&gt;0,75) uT"))))</f>
        <v>Tipo 2 (0,25-0,50) uT</v>
      </c>
      <c r="BD215" s="137" t="str">
        <f>IF(OR(AO215="",AY215="-"),"",IF(AO215&lt;=0.25,"Tipo 1 (≤0,25) uT",IF(AO215&lt;=0.5,"Tipo 2 (0,25-0,50) uT",IF(AO215&lt;=0.75,"Tipo 3 (0,50-0,75) uT","Tipo 4 (&gt;0,75) uT"))))</f>
        <v>Tipo 1 (≤0,25) uT</v>
      </c>
      <c r="BE215" s="137" t="str">
        <f>IF(OR(AE215="",AP215="-"),"",IF(AE215&lt;=0.25,"Tipo 1 (≤0,25) uT",IF(AE215&lt;=0.5,"Tipo 2 (0,25-0,50) uT",IF(AE215&lt;=0.75,"Tipo 3 (0,50-0,75) uT","Tipo 4 (&gt;0,75) uT"))))</f>
        <v>Tipo 2 (0,25-0,50) uT</v>
      </c>
      <c r="BF215" s="137" t="str">
        <f>IF(OR(AP215="",AP215="-"),"",IF(AP215&lt;=0.25,"Tipo 1 (≤0,25) uT",IF(AP215&lt;=0.5,"Tipo 2 (0,25-0,50) uT",IF(AP215&lt;=0.75,"Tipo 3 (0,50-0,75) uT","Tipo 4 (&gt;0,75) uT"))))</f>
        <v>Tipo 2 (0,25-0,50) uT</v>
      </c>
      <c r="BG215" s="137" t="str">
        <f>IF(OR(Q215="",Q215="-"),"",IF(Q215&lt;=0.25,"Tipo 1 (≤0,25) uT",IF(Q215&lt;=0.5,"Tipo 2 (0,25-0,50) uT",IF(Q215&lt;=0.75,"Tipo 3 (0,50-0,75) uT","Tipo 4 (&gt;0,75) uT"))))</f>
        <v>Tipo 2 (0,25-0,50) uT</v>
      </c>
    </row>
    <row r="216" spans="1:59" x14ac:dyDescent="0.3">
      <c r="A216" s="26">
        <v>46150</v>
      </c>
      <c r="B216" s="111">
        <v>0.3125</v>
      </c>
      <c r="C216" s="118">
        <v>1152</v>
      </c>
      <c r="D216" s="116">
        <v>91</v>
      </c>
      <c r="E216" s="118">
        <v>453</v>
      </c>
      <c r="F216" s="118">
        <v>1829</v>
      </c>
      <c r="G216" s="9" t="s">
        <v>100</v>
      </c>
      <c r="H216" s="124">
        <v>4.5999999999999996</v>
      </c>
      <c r="I216" s="118">
        <v>90</v>
      </c>
      <c r="J216" s="118">
        <v>90</v>
      </c>
      <c r="K216" s="118">
        <v>90</v>
      </c>
      <c r="L216" s="124">
        <v>22.9</v>
      </c>
      <c r="M216" s="124">
        <v>6.6</v>
      </c>
      <c r="N216" s="81">
        <v>4.71</v>
      </c>
      <c r="O216" s="118">
        <v>18</v>
      </c>
      <c r="P216" s="124">
        <v>7.9</v>
      </c>
      <c r="Q216" s="81">
        <v>0.28999999999999998</v>
      </c>
      <c r="R216" s="79">
        <v>22.36</v>
      </c>
      <c r="S216" s="79">
        <v>0.88</v>
      </c>
      <c r="T216" s="79">
        <v>0.7</v>
      </c>
      <c r="U216" s="85">
        <f t="shared" si="18"/>
        <v>1449.4825000000001</v>
      </c>
      <c r="V216" s="79">
        <f t="shared" si="19"/>
        <v>1448.1637110511999</v>
      </c>
      <c r="W216" s="79">
        <f t="shared" si="20"/>
        <v>0.99909016566340048</v>
      </c>
      <c r="X216" s="118">
        <v>2</v>
      </c>
      <c r="Y216" s="118">
        <v>4</v>
      </c>
      <c r="Z216" s="124">
        <v>6.47</v>
      </c>
      <c r="AA216" s="118">
        <v>18.04</v>
      </c>
      <c r="AB216" s="124">
        <v>6.5</v>
      </c>
      <c r="AC216" s="124">
        <v>7.1</v>
      </c>
      <c r="AD216" s="9">
        <v>0.22</v>
      </c>
      <c r="AE216" s="81">
        <v>0.47</v>
      </c>
      <c r="AF216" s="85">
        <f t="shared" si="21"/>
        <v>1932.6433333333332</v>
      </c>
      <c r="AG216" s="85">
        <f t="shared" si="22"/>
        <v>1861.1417659327999</v>
      </c>
      <c r="AH216" s="85">
        <f t="shared" si="23"/>
        <v>0.96300322663405735</v>
      </c>
      <c r="AI216" s="118">
        <v>2</v>
      </c>
      <c r="AJ216" s="118">
        <v>3</v>
      </c>
      <c r="AK216" s="81">
        <v>6.48</v>
      </c>
      <c r="AL216" s="81">
        <v>23.14</v>
      </c>
      <c r="AM216" s="124">
        <v>6.4</v>
      </c>
      <c r="AN216" s="124">
        <v>6.2</v>
      </c>
      <c r="AO216" s="81">
        <v>0.16</v>
      </c>
      <c r="AP216" s="129">
        <v>0.53</v>
      </c>
      <c r="AQ216" s="132">
        <f t="shared" si="24"/>
        <v>1696</v>
      </c>
      <c r="AR216" s="134">
        <f t="shared" si="25"/>
        <v>0.67924528301886788</v>
      </c>
      <c r="AS216" s="134">
        <f t="shared" si="26"/>
        <v>5.3655660377358493E-2</v>
      </c>
      <c r="AT216" s="134">
        <f t="shared" si="27"/>
        <v>0.26709905660377359</v>
      </c>
      <c r="AU216" s="43">
        <f>IF(AND(F216&lt;&gt;"",Y216&lt;&gt;""),AA216/(F216/2/Y216),"")</f>
        <v>7.8906506287588843E-2</v>
      </c>
      <c r="AV216" s="43">
        <f>IF(AND(F216&lt;&gt;"",AJ216&lt;&gt;""),AL216/(F216/2/AJ216),"")</f>
        <v>7.5910333515582296E-2</v>
      </c>
      <c r="AW216" s="41">
        <f>IF(AND(AP216&lt;&gt;"",1-(AP216/N216)&gt;0),1-(AP216/N216),"")</f>
        <v>0.88747346072186839</v>
      </c>
      <c r="AX216" s="41">
        <f>IF(AND(AE216&lt;&gt;"",1-(AE216/N216)&gt;0),1-(AE216/N216),"")</f>
        <v>0.9002123142250531</v>
      </c>
      <c r="AY216" s="136" t="str">
        <f>IF(P216="","",IF(P216&lt;2.5,"Alc. Bruta &lt; 2,5 mg/L",IF(P216&lt;5,"2,5 ≤ Alc. Bruta &lt; 5,0 mg/L",IF(P216&lt;7.5,"5,0 ≤ Alc. Bruta &lt; 7,5 mg/L",IF(P216&lt;10,"7,5 ≤ Alc. Bruta &lt; 10,0 mg/L",IF(P216&lt;15,"10,0 ≤ Alca. Bruta &lt; 15,0 mg/L","Alc. Bruta &gt; 15 mg/L"))))))</f>
        <v>7,5 ≤ Alc. Bruta &lt; 10,0 mg/L</v>
      </c>
      <c r="AZ216" s="136" t="str">
        <f>IF(O216="","",IF(O216&lt;5,"Cor &lt;5 uC",IF(O216&lt;10,"5 ≤ Cor &lt; 10 uC",IF(O216&lt;15,"10 ≤ Cor &lt;15 uC",IF(O216&lt;30,"15 ≤ Cor &lt; 30 uC",IF(O216&lt;50,"30 ≤ Cor &lt; 50 uC","Cor &gt; 50 uC"))))))</f>
        <v>15 ≤ Cor &lt; 30 uC</v>
      </c>
      <c r="BA216" s="137" t="str">
        <f>IF(N216="","",IF(N216&lt;2.5,"Turbidez &lt; 2,5 uT",IF(N216&lt;5,"2,5 ≤ Turb &lt; 5,0 uT",IF(N216&lt;7.5,"5,0 ≤ Turb &lt; 7,5 uT",IF(N216&lt;10,"7,5 ≤ Turb &lt; 10,0 uT",IF(N216&lt;15,"10,0 ≤ Turb &lt; 15,0 uT","Turb &gt; 15 uT"))))))</f>
        <v>2,5 ≤ Turb &lt; 5,0 uT</v>
      </c>
      <c r="BB216" s="138" t="str">
        <f>IF(AND(C216&gt;D216,D216&gt;E216),"TOR &gt; SM &gt; BNN",IF(AND(C216&gt;E216,E216&gt;D216),"TOR &gt; BNN &gt; SM",IF(AND(D216&gt;C216,C216&gt;E216),"SM &gt; TOR &gt; BNN",IF(AND(D216&gt;E216,E216&gt;C216),"SM &gt; BNN &gt; TOR",IF(AND(C216=D216,D216=E216),"TOR = SM = BNN","Comb. diferentes")))))</f>
        <v>TOR &gt; BNN &gt; SM</v>
      </c>
      <c r="BC216" s="137" t="str">
        <f>IF(OR(AD216="",AP216="-"),"",IF(AD216&lt;=0.25,"Tipo 1 (≤0,25) uT",IF(AD216&lt;=0.5,"Tipo 2 (0,25-0,50) uT",IF(AD216&lt;=0.75,"Tipo 3 (0,50-0,75) uT","Tipo 4 (&gt;0,75) uT"))))</f>
        <v>Tipo 1 (≤0,25) uT</v>
      </c>
      <c r="BD216" s="137" t="str">
        <f>IF(OR(AO216="",AY216="-"),"",IF(AO216&lt;=0.25,"Tipo 1 (≤0,25) uT",IF(AO216&lt;=0.5,"Tipo 2 (0,25-0,50) uT",IF(AO216&lt;=0.75,"Tipo 3 (0,50-0,75) uT","Tipo 4 (&gt;0,75) uT"))))</f>
        <v>Tipo 1 (≤0,25) uT</v>
      </c>
      <c r="BE216" s="137" t="str">
        <f>IF(OR(AE216="",AP216="-"),"",IF(AE216&lt;=0.25,"Tipo 1 (≤0,25) uT",IF(AE216&lt;=0.5,"Tipo 2 (0,25-0,50) uT",IF(AE216&lt;=0.75,"Tipo 3 (0,50-0,75) uT","Tipo 4 (&gt;0,75) uT"))))</f>
        <v>Tipo 2 (0,25-0,50) uT</v>
      </c>
      <c r="BF216" s="137" t="str">
        <f>IF(OR(AP216="",AP216="-"),"",IF(AP216&lt;=0.25,"Tipo 1 (≤0,25) uT",IF(AP216&lt;=0.5,"Tipo 2 (0,25-0,50) uT",IF(AP216&lt;=0.75,"Tipo 3 (0,50-0,75) uT","Tipo 4 (&gt;0,75) uT"))))</f>
        <v>Tipo 3 (0,50-0,75) uT</v>
      </c>
      <c r="BG216" s="137" t="str">
        <f>IF(OR(Q216="",Q216="-"),"",IF(Q216&lt;=0.25,"Tipo 1 (≤0,25) uT",IF(Q216&lt;=0.5,"Tipo 2 (0,25-0,50) uT",IF(Q216&lt;=0.75,"Tipo 3 (0,50-0,75) uT","Tipo 4 (&gt;0,75) uT"))))</f>
        <v>Tipo 2 (0,25-0,50) uT</v>
      </c>
    </row>
    <row r="217" spans="1:59" x14ac:dyDescent="0.3">
      <c r="A217" s="26">
        <v>46150</v>
      </c>
      <c r="B217" s="107">
        <v>0.39583333333333331</v>
      </c>
      <c r="C217" s="116">
        <v>592</v>
      </c>
      <c r="D217" s="116">
        <v>87</v>
      </c>
      <c r="E217" s="116">
        <v>512</v>
      </c>
      <c r="F217" s="116">
        <v>1278</v>
      </c>
      <c r="G217" s="10" t="s">
        <v>100</v>
      </c>
      <c r="H217" s="122">
        <v>4.5999999999999996</v>
      </c>
      <c r="I217" s="116">
        <v>90</v>
      </c>
      <c r="J217" s="116">
        <v>90</v>
      </c>
      <c r="K217" s="116">
        <v>90</v>
      </c>
      <c r="L217" s="122">
        <v>23.3</v>
      </c>
      <c r="M217" s="122">
        <v>6.6</v>
      </c>
      <c r="N217" s="79">
        <v>4.0199999999999996</v>
      </c>
      <c r="O217" s="116">
        <v>17</v>
      </c>
      <c r="P217" s="122">
        <v>7.6</v>
      </c>
      <c r="Q217" s="79">
        <v>0.33</v>
      </c>
      <c r="R217" s="79">
        <v>22.36</v>
      </c>
      <c r="S217" s="79">
        <v>0.88</v>
      </c>
      <c r="T217" s="79">
        <v>0.7</v>
      </c>
      <c r="U217" s="85">
        <f t="shared" si="18"/>
        <v>902.58749999999986</v>
      </c>
      <c r="V217" s="79">
        <f t="shared" si="19"/>
        <v>1430.5949566219999</v>
      </c>
      <c r="W217" s="79">
        <f t="shared" si="20"/>
        <v>1.5849930966493555</v>
      </c>
      <c r="X217" s="116">
        <v>2</v>
      </c>
      <c r="Y217" s="116">
        <v>4</v>
      </c>
      <c r="Z217" s="122">
        <v>6.45</v>
      </c>
      <c r="AA217" s="116">
        <v>17.89</v>
      </c>
      <c r="AB217" s="122">
        <v>6.5</v>
      </c>
      <c r="AC217" s="122">
        <v>6.4</v>
      </c>
      <c r="AD217" s="10">
        <v>0.37</v>
      </c>
      <c r="AE217" s="79">
        <v>0.59</v>
      </c>
      <c r="AF217" s="85">
        <f t="shared" si="21"/>
        <v>1203.4499999999998</v>
      </c>
      <c r="AG217" s="85">
        <f t="shared" si="22"/>
        <v>1897.3237653967994</v>
      </c>
      <c r="AH217" s="85">
        <f t="shared" si="23"/>
        <v>1.5765704976499229</v>
      </c>
      <c r="AI217" s="116">
        <v>2</v>
      </c>
      <c r="AJ217" s="116">
        <v>3</v>
      </c>
      <c r="AK217" s="79">
        <v>6.52</v>
      </c>
      <c r="AL217" s="79">
        <v>23.41</v>
      </c>
      <c r="AM217" s="122">
        <v>6.5</v>
      </c>
      <c r="AN217" s="122">
        <v>6.3</v>
      </c>
      <c r="AO217" s="79">
        <v>0.32</v>
      </c>
      <c r="AP217" s="127">
        <v>0.42</v>
      </c>
      <c r="AQ217" s="132">
        <f t="shared" si="24"/>
        <v>1191</v>
      </c>
      <c r="AR217" s="134">
        <f t="shared" si="25"/>
        <v>0.49706129303106633</v>
      </c>
      <c r="AS217" s="134">
        <f t="shared" si="26"/>
        <v>7.3047858942065488E-2</v>
      </c>
      <c r="AT217" s="134">
        <f t="shared" si="27"/>
        <v>0.42989084802686817</v>
      </c>
      <c r="AU217" s="43">
        <f>IF(AND(F217&lt;&gt;"",Y217&lt;&gt;""),AA217/(F217/2/Y217),"")</f>
        <v>0.11198748043818467</v>
      </c>
      <c r="AV217" s="43">
        <f>IF(AND(F217&lt;&gt;"",AJ217&lt;&gt;""),AL217/(F217/2/AJ217),"")</f>
        <v>0.10990610328638498</v>
      </c>
      <c r="AW217" s="41">
        <f>IF(AND(AP217&lt;&gt;"",1-(AP217/N217)&gt;0),1-(AP217/N217),"")</f>
        <v>0.89552238805970152</v>
      </c>
      <c r="AX217" s="41">
        <f>IF(AND(AE217&lt;&gt;"",1-(AE217/N217)&gt;0),1-(AE217/N217),"")</f>
        <v>0.8532338308457712</v>
      </c>
      <c r="AY217" s="136" t="str">
        <f>IF(P217="","",IF(P217&lt;2.5,"Alc. Bruta &lt; 2,5 mg/L",IF(P217&lt;5,"2,5 ≤ Alc. Bruta &lt; 5,0 mg/L",IF(P217&lt;7.5,"5,0 ≤ Alc. Bruta &lt; 7,5 mg/L",IF(P217&lt;10,"7,5 ≤ Alc. Bruta &lt; 10,0 mg/L",IF(P217&lt;15,"10,0 ≤ Alca. Bruta &lt; 15,0 mg/L","Alc. Bruta &gt; 15 mg/L"))))))</f>
        <v>7,5 ≤ Alc. Bruta &lt; 10,0 mg/L</v>
      </c>
      <c r="AZ217" s="136" t="str">
        <f>IF(O217="","",IF(O217&lt;5,"Cor &lt;5 uC",IF(O217&lt;10,"5 ≤ Cor &lt; 10 uC",IF(O217&lt;15,"10 ≤ Cor &lt;15 uC",IF(O217&lt;30,"15 ≤ Cor &lt; 30 uC",IF(O217&lt;50,"30 ≤ Cor &lt; 50 uC","Cor &gt; 50 uC"))))))</f>
        <v>15 ≤ Cor &lt; 30 uC</v>
      </c>
      <c r="BA217" s="137" t="str">
        <f>IF(N217="","",IF(N217&lt;2.5,"Turbidez &lt; 2,5 uT",IF(N217&lt;5,"2,5 ≤ Turb &lt; 5,0 uT",IF(N217&lt;7.5,"5,0 ≤ Turb &lt; 7,5 uT",IF(N217&lt;10,"7,5 ≤ Turb &lt; 10,0 uT",IF(N217&lt;15,"10,0 ≤ Turb &lt; 15,0 uT","Turb &gt; 15 uT"))))))</f>
        <v>2,5 ≤ Turb &lt; 5,0 uT</v>
      </c>
      <c r="BB217" s="138" t="str">
        <f>IF(AND(C217&gt;D217,D217&gt;E217),"TOR &gt; SM &gt; BNN",IF(AND(C217&gt;E217,E217&gt;D217),"TOR &gt; BNN &gt; SM",IF(AND(D217&gt;C217,C217&gt;E217),"SM &gt; TOR &gt; BNN",IF(AND(D217&gt;E217,E217&gt;C217),"SM &gt; BNN &gt; TOR",IF(AND(C217=D217,D217=E217),"TOR = SM = BNN","Comb. diferentes")))))</f>
        <v>TOR &gt; BNN &gt; SM</v>
      </c>
      <c r="BC217" s="137" t="str">
        <f>IF(OR(AD217="",AP217="-"),"",IF(AD217&lt;=0.25,"Tipo 1 (≤0,25) uT",IF(AD217&lt;=0.5,"Tipo 2 (0,25-0,50) uT",IF(AD217&lt;=0.75,"Tipo 3 (0,50-0,75) uT","Tipo 4 (&gt;0,75) uT"))))</f>
        <v>Tipo 2 (0,25-0,50) uT</v>
      </c>
      <c r="BD217" s="137" t="str">
        <f>IF(OR(AO217="",AY217="-"),"",IF(AO217&lt;=0.25,"Tipo 1 (≤0,25) uT",IF(AO217&lt;=0.5,"Tipo 2 (0,25-0,50) uT",IF(AO217&lt;=0.75,"Tipo 3 (0,50-0,75) uT","Tipo 4 (&gt;0,75) uT"))))</f>
        <v>Tipo 2 (0,25-0,50) uT</v>
      </c>
      <c r="BE217" s="137" t="str">
        <f>IF(OR(AE217="",AP217="-"),"",IF(AE217&lt;=0.25,"Tipo 1 (≤0,25) uT",IF(AE217&lt;=0.5,"Tipo 2 (0,25-0,50) uT",IF(AE217&lt;=0.75,"Tipo 3 (0,50-0,75) uT","Tipo 4 (&gt;0,75) uT"))))</f>
        <v>Tipo 3 (0,50-0,75) uT</v>
      </c>
      <c r="BF217" s="137" t="str">
        <f>IF(OR(AP217="",AP217="-"),"",IF(AP217&lt;=0.25,"Tipo 1 (≤0,25) uT",IF(AP217&lt;=0.5,"Tipo 2 (0,25-0,50) uT",IF(AP217&lt;=0.75,"Tipo 3 (0,50-0,75) uT","Tipo 4 (&gt;0,75) uT"))))</f>
        <v>Tipo 2 (0,25-0,50) uT</v>
      </c>
      <c r="BG217" s="137" t="str">
        <f>IF(OR(Q217="",Q217="-"),"",IF(Q217&lt;=0.25,"Tipo 1 (≤0,25) uT",IF(Q217&lt;=0.5,"Tipo 2 (0,25-0,50) uT",IF(Q217&lt;=0.75,"Tipo 3 (0,50-0,75) uT","Tipo 4 (&gt;0,75) uT"))))</f>
        <v>Tipo 2 (0,25-0,50) uT</v>
      </c>
    </row>
    <row r="218" spans="1:59" x14ac:dyDescent="0.3">
      <c r="A218" s="26">
        <v>46150</v>
      </c>
      <c r="B218" s="107">
        <v>0.47916666666666669</v>
      </c>
      <c r="C218" s="116">
        <v>1602</v>
      </c>
      <c r="D218" s="116">
        <v>95</v>
      </c>
      <c r="E218" s="116">
        <v>449</v>
      </c>
      <c r="F218" s="116">
        <v>2236</v>
      </c>
      <c r="G218" s="10" t="s">
        <v>100</v>
      </c>
      <c r="H218" s="122">
        <v>4.8</v>
      </c>
      <c r="I218" s="116">
        <v>90</v>
      </c>
      <c r="J218" s="116">
        <v>90</v>
      </c>
      <c r="K218" s="116">
        <v>90</v>
      </c>
      <c r="L218" s="122">
        <v>23.7</v>
      </c>
      <c r="M218" s="122">
        <v>6.7</v>
      </c>
      <c r="N218" s="79">
        <v>4.76</v>
      </c>
      <c r="O218" s="116">
        <v>18</v>
      </c>
      <c r="P218" s="122">
        <v>7.3</v>
      </c>
      <c r="Q218" s="79">
        <v>0.76</v>
      </c>
      <c r="R218" s="79">
        <v>22.36</v>
      </c>
      <c r="S218" s="79">
        <v>0.88</v>
      </c>
      <c r="T218" s="79">
        <v>0.7</v>
      </c>
      <c r="U218" s="85">
        <f t="shared" si="18"/>
        <v>1802.7749999999999</v>
      </c>
      <c r="V218" s="79">
        <f t="shared" si="19"/>
        <v>1461.3687686000003</v>
      </c>
      <c r="W218" s="79">
        <f t="shared" si="20"/>
        <v>0.81062182945736461</v>
      </c>
      <c r="X218" s="116">
        <v>3</v>
      </c>
      <c r="Y218" s="116">
        <v>4</v>
      </c>
      <c r="Z218" s="122">
        <v>6.5</v>
      </c>
      <c r="AA218" s="116">
        <v>18.100000000000001</v>
      </c>
      <c r="AB218" s="122">
        <v>6.6</v>
      </c>
      <c r="AC218" s="122">
        <v>6.3</v>
      </c>
      <c r="AD218" s="10">
        <v>0.21</v>
      </c>
      <c r="AE218" s="79">
        <v>0.65</v>
      </c>
      <c r="AF218" s="85">
        <f t="shared" si="21"/>
        <v>1802.7749999999999</v>
      </c>
      <c r="AG218" s="85">
        <f t="shared" si="22"/>
        <v>1808.3463631636</v>
      </c>
      <c r="AH218" s="85">
        <f t="shared" si="23"/>
        <v>1.0030904373333334</v>
      </c>
      <c r="AI218" s="116">
        <v>3</v>
      </c>
      <c r="AJ218" s="116">
        <v>4</v>
      </c>
      <c r="AK218" s="79">
        <v>6.41</v>
      </c>
      <c r="AL218" s="79">
        <v>22.79</v>
      </c>
      <c r="AM218" s="122">
        <v>6.7</v>
      </c>
      <c r="AN218" s="122">
        <v>7.4</v>
      </c>
      <c r="AO218" s="79">
        <v>0.76</v>
      </c>
      <c r="AP218" s="127">
        <v>1.28</v>
      </c>
      <c r="AQ218" s="132">
        <f t="shared" si="24"/>
        <v>2146</v>
      </c>
      <c r="AR218" s="134">
        <f t="shared" si="25"/>
        <v>0.74650512581547068</v>
      </c>
      <c r="AS218" s="134">
        <f t="shared" si="26"/>
        <v>4.4268406337371856E-2</v>
      </c>
      <c r="AT218" s="134">
        <f t="shared" si="27"/>
        <v>0.20922646784715751</v>
      </c>
      <c r="AU218" s="43">
        <f>IF(AND(F218&lt;&gt;"",Y218&lt;&gt;""),AA218/(F218/2/Y218),"")</f>
        <v>6.4758497316636854E-2</v>
      </c>
      <c r="AV218" s="43">
        <f>IF(AND(F218&lt;&gt;"",AJ218&lt;&gt;""),AL218/(F218/2/AJ218),"")</f>
        <v>8.1538461538461532E-2</v>
      </c>
      <c r="AW218" s="41">
        <f>IF(AND(AP218&lt;&gt;"",1-(AP218/N218)&gt;0),1-(AP218/N218),"")</f>
        <v>0.73109243697478987</v>
      </c>
      <c r="AX218" s="41">
        <f>IF(AND(AE218&lt;&gt;"",1-(AE218/N218)&gt;0),1-(AE218/N218),"")</f>
        <v>0.86344537815126055</v>
      </c>
      <c r="AY218" s="136" t="str">
        <f>IF(P218="","",IF(P218&lt;2.5,"Alc. Bruta &lt; 2,5 mg/L",IF(P218&lt;5,"2,5 ≤ Alc. Bruta &lt; 5,0 mg/L",IF(P218&lt;7.5,"5,0 ≤ Alc. Bruta &lt; 7,5 mg/L",IF(P218&lt;10,"7,5 ≤ Alc. Bruta &lt; 10,0 mg/L",IF(P218&lt;15,"10,0 ≤ Alca. Bruta &lt; 15,0 mg/L","Alc. Bruta &gt; 15 mg/L"))))))</f>
        <v>5,0 ≤ Alc. Bruta &lt; 7,5 mg/L</v>
      </c>
      <c r="AZ218" s="136" t="str">
        <f>IF(O218="","",IF(O218&lt;5,"Cor &lt;5 uC",IF(O218&lt;10,"5 ≤ Cor &lt; 10 uC",IF(O218&lt;15,"10 ≤ Cor &lt;15 uC",IF(O218&lt;30,"15 ≤ Cor &lt; 30 uC",IF(O218&lt;50,"30 ≤ Cor &lt; 50 uC","Cor &gt; 50 uC"))))))</f>
        <v>15 ≤ Cor &lt; 30 uC</v>
      </c>
      <c r="BA218" s="137" t="str">
        <f>IF(N218="","",IF(N218&lt;2.5,"Turbidez &lt; 2,5 uT",IF(N218&lt;5,"2,5 ≤ Turb &lt; 5,0 uT",IF(N218&lt;7.5,"5,0 ≤ Turb &lt; 7,5 uT",IF(N218&lt;10,"7,5 ≤ Turb &lt; 10,0 uT",IF(N218&lt;15,"10,0 ≤ Turb &lt; 15,0 uT","Turb &gt; 15 uT"))))))</f>
        <v>2,5 ≤ Turb &lt; 5,0 uT</v>
      </c>
      <c r="BB218" s="138" t="str">
        <f>IF(AND(C218&gt;D218,D218&gt;E218),"TOR &gt; SM &gt; BNN",IF(AND(C218&gt;E218,E218&gt;D218),"TOR &gt; BNN &gt; SM",IF(AND(D218&gt;C218,C218&gt;E218),"SM &gt; TOR &gt; BNN",IF(AND(D218&gt;E218,E218&gt;C218),"SM &gt; BNN &gt; TOR",IF(AND(C218=D218,D218=E218),"TOR = SM = BNN","Comb. diferentes")))))</f>
        <v>TOR &gt; BNN &gt; SM</v>
      </c>
      <c r="BC218" s="137" t="str">
        <f>IF(OR(AD218="",AP218="-"),"",IF(AD218&lt;=0.25,"Tipo 1 (≤0,25) uT",IF(AD218&lt;=0.5,"Tipo 2 (0,25-0,50) uT",IF(AD218&lt;=0.75,"Tipo 3 (0,50-0,75) uT","Tipo 4 (&gt;0,75) uT"))))</f>
        <v>Tipo 1 (≤0,25) uT</v>
      </c>
      <c r="BD218" s="137" t="str">
        <f>IF(OR(AO218="",AY218="-"),"",IF(AO218&lt;=0.25,"Tipo 1 (≤0,25) uT",IF(AO218&lt;=0.5,"Tipo 2 (0,25-0,50) uT",IF(AO218&lt;=0.75,"Tipo 3 (0,50-0,75) uT","Tipo 4 (&gt;0,75) uT"))))</f>
        <v>Tipo 4 (&gt;0,75) uT</v>
      </c>
      <c r="BE218" s="137" t="str">
        <f>IF(OR(AE218="",AP218="-"),"",IF(AE218&lt;=0.25,"Tipo 1 (≤0,25) uT",IF(AE218&lt;=0.5,"Tipo 2 (0,25-0,50) uT",IF(AE218&lt;=0.75,"Tipo 3 (0,50-0,75) uT","Tipo 4 (&gt;0,75) uT"))))</f>
        <v>Tipo 3 (0,50-0,75) uT</v>
      </c>
      <c r="BF218" s="137" t="str">
        <f>IF(OR(AP218="",AP218="-"),"",IF(AP218&lt;=0.25,"Tipo 1 (≤0,25) uT",IF(AP218&lt;=0.5,"Tipo 2 (0,25-0,50) uT",IF(AP218&lt;=0.75,"Tipo 3 (0,50-0,75) uT","Tipo 4 (&gt;0,75) uT"))))</f>
        <v>Tipo 4 (&gt;0,75) uT</v>
      </c>
      <c r="BG218" s="137" t="str">
        <f>IF(OR(Q218="",Q218="-"),"",IF(Q218&lt;=0.25,"Tipo 1 (≤0,25) uT",IF(Q218&lt;=0.5,"Tipo 2 (0,25-0,50) uT",IF(Q218&lt;=0.75,"Tipo 3 (0,50-0,75) uT","Tipo 4 (&gt;0,75) uT"))))</f>
        <v>Tipo 4 (&gt;0,75) uT</v>
      </c>
    </row>
    <row r="219" spans="1:59" x14ac:dyDescent="0.3">
      <c r="A219" s="26">
        <v>46150</v>
      </c>
      <c r="B219" s="107">
        <v>0.64583333333333337</v>
      </c>
      <c r="C219" s="116">
        <v>1776</v>
      </c>
      <c r="D219" s="116">
        <v>89</v>
      </c>
      <c r="E219" s="116">
        <v>449</v>
      </c>
      <c r="F219" s="116">
        <v>2225</v>
      </c>
      <c r="G219" s="10" t="s">
        <v>100</v>
      </c>
      <c r="H219" s="122">
        <v>5</v>
      </c>
      <c r="I219" s="116">
        <v>90</v>
      </c>
      <c r="J219" s="116">
        <v>90</v>
      </c>
      <c r="K219" s="116">
        <v>90</v>
      </c>
      <c r="L219" s="122">
        <v>24.5</v>
      </c>
      <c r="M219" s="122">
        <v>6.7</v>
      </c>
      <c r="N219" s="79">
        <v>5.15</v>
      </c>
      <c r="O219" s="116">
        <v>18</v>
      </c>
      <c r="P219" s="122">
        <v>7.3</v>
      </c>
      <c r="Q219" s="79">
        <v>0.83</v>
      </c>
      <c r="R219" s="79">
        <v>22.36</v>
      </c>
      <c r="S219" s="79">
        <v>0.88</v>
      </c>
      <c r="T219" s="79">
        <v>0.7</v>
      </c>
      <c r="U219" s="85">
        <f t="shared" si="18"/>
        <v>1919.0625</v>
      </c>
      <c r="V219" s="79">
        <f t="shared" si="19"/>
        <v>1458.1892919775999</v>
      </c>
      <c r="W219" s="79">
        <f t="shared" si="20"/>
        <v>0.75984460744639626</v>
      </c>
      <c r="X219" s="116">
        <v>3</v>
      </c>
      <c r="Y219" s="116">
        <v>4</v>
      </c>
      <c r="Z219" s="122">
        <v>6.48</v>
      </c>
      <c r="AA219" s="116">
        <v>18.13</v>
      </c>
      <c r="AB219" s="122">
        <v>6.6</v>
      </c>
      <c r="AC219" s="122">
        <v>6.1</v>
      </c>
      <c r="AD219" s="10">
        <v>0.81</v>
      </c>
      <c r="AE219" s="79">
        <v>4.87</v>
      </c>
      <c r="AF219" s="85">
        <f t="shared" si="21"/>
        <v>1919.0625</v>
      </c>
      <c r="AG219" s="85">
        <f t="shared" si="22"/>
        <v>1816.031943258</v>
      </c>
      <c r="AH219" s="85">
        <f t="shared" si="23"/>
        <v>0.94631203687112841</v>
      </c>
      <c r="AI219" s="116">
        <v>3</v>
      </c>
      <c r="AJ219" s="116">
        <v>4</v>
      </c>
      <c r="AK219" s="79">
        <v>6.45</v>
      </c>
      <c r="AL219" s="79">
        <v>22.71</v>
      </c>
      <c r="AM219" s="122">
        <v>6.5</v>
      </c>
      <c r="AN219" s="122">
        <v>5.5</v>
      </c>
      <c r="AO219" s="79">
        <v>0.28999999999999998</v>
      </c>
      <c r="AP219" s="127">
        <v>0.4</v>
      </c>
      <c r="AQ219" s="132">
        <f t="shared" si="24"/>
        <v>2314</v>
      </c>
      <c r="AR219" s="134">
        <f t="shared" si="25"/>
        <v>0.76750216076058775</v>
      </c>
      <c r="AS219" s="134">
        <f t="shared" si="26"/>
        <v>3.8461538461538464E-2</v>
      </c>
      <c r="AT219" s="134">
        <f t="shared" si="27"/>
        <v>0.19403630077787382</v>
      </c>
      <c r="AU219" s="43">
        <f>IF(AND(F219&lt;&gt;"",Y219&lt;&gt;""),AA219/(F219/2/Y219),"")</f>
        <v>6.5186516853932577E-2</v>
      </c>
      <c r="AV219" s="43">
        <f>IF(AND(F219&lt;&gt;"",AJ219&lt;&gt;""),AL219/(F219/2/AJ219),"")</f>
        <v>8.1653932584269673E-2</v>
      </c>
      <c r="AW219" s="41">
        <f>IF(AND(AP219&lt;&gt;"",1-(AP219/N219)&gt;0),1-(AP219/N219),"")</f>
        <v>0.92233009708737868</v>
      </c>
      <c r="AX219" s="41">
        <f>IF(AND(AE219&lt;&gt;"",1-(AE219/N219)&gt;0),1-(AE219/N219),"")</f>
        <v>5.4368932038834972E-2</v>
      </c>
      <c r="AY219" s="136" t="str">
        <f>IF(P219="","",IF(P219&lt;2.5,"Alc. Bruta &lt; 2,5 mg/L",IF(P219&lt;5,"2,5 ≤ Alc. Bruta &lt; 5,0 mg/L",IF(P219&lt;7.5,"5,0 ≤ Alc. Bruta &lt; 7,5 mg/L",IF(P219&lt;10,"7,5 ≤ Alc. Bruta &lt; 10,0 mg/L",IF(P219&lt;15,"10,0 ≤ Alca. Bruta &lt; 15,0 mg/L","Alc. Bruta &gt; 15 mg/L"))))))</f>
        <v>5,0 ≤ Alc. Bruta &lt; 7,5 mg/L</v>
      </c>
      <c r="AZ219" s="136" t="str">
        <f>IF(O219="","",IF(O219&lt;5,"Cor &lt;5 uC",IF(O219&lt;10,"5 ≤ Cor &lt; 10 uC",IF(O219&lt;15,"10 ≤ Cor &lt;15 uC",IF(O219&lt;30,"15 ≤ Cor &lt; 30 uC",IF(O219&lt;50,"30 ≤ Cor &lt; 50 uC","Cor &gt; 50 uC"))))))</f>
        <v>15 ≤ Cor &lt; 30 uC</v>
      </c>
      <c r="BA219" s="137" t="str">
        <f>IF(N219="","",IF(N219&lt;2.5,"Turbidez &lt; 2,5 uT",IF(N219&lt;5,"2,5 ≤ Turb &lt; 5,0 uT",IF(N219&lt;7.5,"5,0 ≤ Turb &lt; 7,5 uT",IF(N219&lt;10,"7,5 ≤ Turb &lt; 10,0 uT",IF(N219&lt;15,"10,0 ≤ Turb &lt; 15,0 uT","Turb &gt; 15 uT"))))))</f>
        <v>5,0 ≤ Turb &lt; 7,5 uT</v>
      </c>
      <c r="BB219" s="138" t="str">
        <f>IF(AND(C219&gt;D219,D219&gt;E219),"TOR &gt; SM &gt; BNN",IF(AND(C219&gt;E219,E219&gt;D219),"TOR &gt; BNN &gt; SM",IF(AND(D219&gt;C219,C219&gt;E219),"SM &gt; TOR &gt; BNN",IF(AND(D219&gt;E219,E219&gt;C219),"SM &gt; BNN &gt; TOR",IF(AND(C219=D219,D219=E219),"TOR = SM = BNN","Comb. diferentes")))))</f>
        <v>TOR &gt; BNN &gt; SM</v>
      </c>
      <c r="BC219" s="137" t="str">
        <f>IF(OR(AD219="",AP219="-"),"",IF(AD219&lt;=0.25,"Tipo 1 (≤0,25) uT",IF(AD219&lt;=0.5,"Tipo 2 (0,25-0,50) uT",IF(AD219&lt;=0.75,"Tipo 3 (0,50-0,75) uT","Tipo 4 (&gt;0,75) uT"))))</f>
        <v>Tipo 4 (&gt;0,75) uT</v>
      </c>
      <c r="BD219" s="137" t="str">
        <f>IF(OR(AO219="",AY219="-"),"",IF(AO219&lt;=0.25,"Tipo 1 (≤0,25) uT",IF(AO219&lt;=0.5,"Tipo 2 (0,25-0,50) uT",IF(AO219&lt;=0.75,"Tipo 3 (0,50-0,75) uT","Tipo 4 (&gt;0,75) uT"))))</f>
        <v>Tipo 2 (0,25-0,50) uT</v>
      </c>
      <c r="BE219" s="137" t="str">
        <f>IF(OR(AE219="",AP219="-"),"",IF(AE219&lt;=0.25,"Tipo 1 (≤0,25) uT",IF(AE219&lt;=0.5,"Tipo 2 (0,25-0,50) uT",IF(AE219&lt;=0.75,"Tipo 3 (0,50-0,75) uT","Tipo 4 (&gt;0,75) uT"))))</f>
        <v>Tipo 4 (&gt;0,75) uT</v>
      </c>
      <c r="BF219" s="137" t="str">
        <f>IF(OR(AP219="",AP219="-"),"",IF(AP219&lt;=0.25,"Tipo 1 (≤0,25) uT",IF(AP219&lt;=0.5,"Tipo 2 (0,25-0,50) uT",IF(AP219&lt;=0.75,"Tipo 3 (0,50-0,75) uT","Tipo 4 (&gt;0,75) uT"))))</f>
        <v>Tipo 2 (0,25-0,50) uT</v>
      </c>
      <c r="BG219" s="137" t="str">
        <f>IF(OR(Q219="",Q219="-"),"",IF(Q219&lt;=0.25,"Tipo 1 (≤0,25) uT",IF(Q219&lt;=0.5,"Tipo 2 (0,25-0,50) uT",IF(Q219&lt;=0.75,"Tipo 3 (0,50-0,75) uT","Tipo 4 (&gt;0,75) uT"))))</f>
        <v>Tipo 4 (&gt;0,75) uT</v>
      </c>
    </row>
    <row r="220" spans="1:59" x14ac:dyDescent="0.3">
      <c r="A220" s="26">
        <v>46150</v>
      </c>
      <c r="B220" s="107">
        <v>0.72916666666666663</v>
      </c>
      <c r="C220" s="116">
        <v>1578</v>
      </c>
      <c r="D220" s="116">
        <v>88</v>
      </c>
      <c r="E220" s="116">
        <v>449</v>
      </c>
      <c r="F220" s="116">
        <v>2136</v>
      </c>
      <c r="G220" s="10" t="s">
        <v>100</v>
      </c>
      <c r="H220" s="122">
        <v>5</v>
      </c>
      <c r="I220" s="116">
        <v>90</v>
      </c>
      <c r="J220" s="116">
        <v>90</v>
      </c>
      <c r="K220" s="116">
        <v>90</v>
      </c>
      <c r="L220" s="122">
        <v>24.1</v>
      </c>
      <c r="M220" s="122">
        <v>6.7</v>
      </c>
      <c r="N220" s="79">
        <v>5.33</v>
      </c>
      <c r="O220" s="116">
        <v>16</v>
      </c>
      <c r="P220" s="122">
        <v>6.6</v>
      </c>
      <c r="Q220" s="79">
        <v>0.37</v>
      </c>
      <c r="R220" s="79">
        <v>22.36</v>
      </c>
      <c r="S220" s="79">
        <v>0.88</v>
      </c>
      <c r="T220" s="79">
        <v>0.7</v>
      </c>
      <c r="U220" s="85">
        <f t="shared" si="18"/>
        <v>1890.3600000000001</v>
      </c>
      <c r="V220" s="79">
        <f t="shared" si="19"/>
        <v>1435.8123851344001</v>
      </c>
      <c r="W220" s="79">
        <f t="shared" si="20"/>
        <v>0.75954441753655388</v>
      </c>
      <c r="X220" s="116">
        <v>2</v>
      </c>
      <c r="Y220" s="116">
        <v>4</v>
      </c>
      <c r="Z220" s="122">
        <v>6.44</v>
      </c>
      <c r="AA220" s="116">
        <v>17.989999999999998</v>
      </c>
      <c r="AB220" s="122">
        <v>6.6</v>
      </c>
      <c r="AC220" s="122">
        <v>5.9</v>
      </c>
      <c r="AD220" s="10">
        <v>0.35</v>
      </c>
      <c r="AE220" s="79">
        <v>0.72</v>
      </c>
      <c r="AF220" s="85">
        <f t="shared" si="21"/>
        <v>1890.3600000000001</v>
      </c>
      <c r="AG220" s="85">
        <f t="shared" si="22"/>
        <v>1860.21748224</v>
      </c>
      <c r="AH220" s="85">
        <f t="shared" si="23"/>
        <v>0.98405461512092929</v>
      </c>
      <c r="AI220" s="116">
        <v>3</v>
      </c>
      <c r="AJ220" s="116">
        <v>4</v>
      </c>
      <c r="AK220" s="79">
        <v>6.5</v>
      </c>
      <c r="AL220" s="79">
        <v>23.04</v>
      </c>
      <c r="AM220" s="122">
        <v>6.5</v>
      </c>
      <c r="AN220" s="122">
        <v>5.7</v>
      </c>
      <c r="AO220" s="79">
        <v>0.21</v>
      </c>
      <c r="AP220" s="127">
        <v>0.45</v>
      </c>
      <c r="AQ220" s="132">
        <f t="shared" si="24"/>
        <v>2115</v>
      </c>
      <c r="AR220" s="134">
        <f t="shared" si="25"/>
        <v>0.74609929078014181</v>
      </c>
      <c r="AS220" s="134">
        <f t="shared" si="26"/>
        <v>4.1607565011820329E-2</v>
      </c>
      <c r="AT220" s="134">
        <f t="shared" si="27"/>
        <v>0.21229314420803783</v>
      </c>
      <c r="AU220" s="43">
        <f>IF(AND(F220&lt;&gt;"",Y220&lt;&gt;""),AA220/(F220/2/Y220),"")</f>
        <v>6.7378277153558042E-2</v>
      </c>
      <c r="AV220" s="43">
        <f>IF(AND(F220&lt;&gt;"",AJ220&lt;&gt;""),AL220/(F220/2/AJ220),"")</f>
        <v>8.6292134831460671E-2</v>
      </c>
      <c r="AW220" s="41">
        <f>IF(AND(AP220&lt;&gt;"",1-(AP220/N220)&gt;0),1-(AP220/N220),"")</f>
        <v>0.91557223264540333</v>
      </c>
      <c r="AX220" s="41">
        <f>IF(AND(AE220&lt;&gt;"",1-(AE220/N220)&gt;0),1-(AE220/N220),"")</f>
        <v>0.86491557223264537</v>
      </c>
      <c r="AY220" s="136" t="str">
        <f>IF(P220="","",IF(P220&lt;2.5,"Alc. Bruta &lt; 2,5 mg/L",IF(P220&lt;5,"2,5 ≤ Alc. Bruta &lt; 5,0 mg/L",IF(P220&lt;7.5,"5,0 ≤ Alc. Bruta &lt; 7,5 mg/L",IF(P220&lt;10,"7,5 ≤ Alc. Bruta &lt; 10,0 mg/L",IF(P220&lt;15,"10,0 ≤ Alca. Bruta &lt; 15,0 mg/L","Alc. Bruta &gt; 15 mg/L"))))))</f>
        <v>5,0 ≤ Alc. Bruta &lt; 7,5 mg/L</v>
      </c>
      <c r="AZ220" s="136" t="str">
        <f>IF(O220="","",IF(O220&lt;5,"Cor &lt;5 uC",IF(O220&lt;10,"5 ≤ Cor &lt; 10 uC",IF(O220&lt;15,"10 ≤ Cor &lt;15 uC",IF(O220&lt;30,"15 ≤ Cor &lt; 30 uC",IF(O220&lt;50,"30 ≤ Cor &lt; 50 uC","Cor &gt; 50 uC"))))))</f>
        <v>15 ≤ Cor &lt; 30 uC</v>
      </c>
      <c r="BA220" s="137" t="str">
        <f>IF(N220="","",IF(N220&lt;2.5,"Turbidez &lt; 2,5 uT",IF(N220&lt;5,"2,5 ≤ Turb &lt; 5,0 uT",IF(N220&lt;7.5,"5,0 ≤ Turb &lt; 7,5 uT",IF(N220&lt;10,"7,5 ≤ Turb &lt; 10,0 uT",IF(N220&lt;15,"10,0 ≤ Turb &lt; 15,0 uT","Turb &gt; 15 uT"))))))</f>
        <v>5,0 ≤ Turb &lt; 7,5 uT</v>
      </c>
      <c r="BB220" s="138" t="str">
        <f>IF(AND(C220&gt;D220,D220&gt;E220),"TOR &gt; SM &gt; BNN",IF(AND(C220&gt;E220,E220&gt;D220),"TOR &gt; BNN &gt; SM",IF(AND(D220&gt;C220,C220&gt;E220),"SM &gt; TOR &gt; BNN",IF(AND(D220&gt;E220,E220&gt;C220),"SM &gt; BNN &gt; TOR",IF(AND(C220=D220,D220=E220),"TOR = SM = BNN","Comb. diferentes")))))</f>
        <v>TOR &gt; BNN &gt; SM</v>
      </c>
      <c r="BC220" s="137" t="str">
        <f>IF(OR(AD220="",AP220="-"),"",IF(AD220&lt;=0.25,"Tipo 1 (≤0,25) uT",IF(AD220&lt;=0.5,"Tipo 2 (0,25-0,50) uT",IF(AD220&lt;=0.75,"Tipo 3 (0,50-0,75) uT","Tipo 4 (&gt;0,75) uT"))))</f>
        <v>Tipo 2 (0,25-0,50) uT</v>
      </c>
      <c r="BD220" s="137" t="str">
        <f>IF(OR(AO220="",AY220="-"),"",IF(AO220&lt;=0.25,"Tipo 1 (≤0,25) uT",IF(AO220&lt;=0.5,"Tipo 2 (0,25-0,50) uT",IF(AO220&lt;=0.75,"Tipo 3 (0,50-0,75) uT","Tipo 4 (&gt;0,75) uT"))))</f>
        <v>Tipo 1 (≤0,25) uT</v>
      </c>
      <c r="BE220" s="137" t="str">
        <f>IF(OR(AE220="",AP220="-"),"",IF(AE220&lt;=0.25,"Tipo 1 (≤0,25) uT",IF(AE220&lt;=0.5,"Tipo 2 (0,25-0,50) uT",IF(AE220&lt;=0.75,"Tipo 3 (0,50-0,75) uT","Tipo 4 (&gt;0,75) uT"))))</f>
        <v>Tipo 3 (0,50-0,75) uT</v>
      </c>
      <c r="BF220" s="137" t="str">
        <f>IF(OR(AP220="",AP220="-"),"",IF(AP220&lt;=0.25,"Tipo 1 (≤0,25) uT",IF(AP220&lt;=0.5,"Tipo 2 (0,25-0,50) uT",IF(AP220&lt;=0.75,"Tipo 3 (0,50-0,75) uT","Tipo 4 (&gt;0,75) uT"))))</f>
        <v>Tipo 2 (0,25-0,50) uT</v>
      </c>
      <c r="BG220" s="137" t="str">
        <f>IF(OR(Q220="",Q220="-"),"",IF(Q220&lt;=0.25,"Tipo 1 (≤0,25) uT",IF(Q220&lt;=0.5,"Tipo 2 (0,25-0,50) uT",IF(Q220&lt;=0.75,"Tipo 3 (0,50-0,75) uT","Tipo 4 (&gt;0,75) uT"))))</f>
        <v>Tipo 2 (0,25-0,50) uT</v>
      </c>
    </row>
    <row r="221" spans="1:59" x14ac:dyDescent="0.3">
      <c r="A221" s="26">
        <v>46150</v>
      </c>
      <c r="B221" s="107">
        <v>0.8125</v>
      </c>
      <c r="C221" s="116">
        <v>1544</v>
      </c>
      <c r="D221" s="116">
        <v>82</v>
      </c>
      <c r="E221" s="116">
        <v>449</v>
      </c>
      <c r="F221" s="116">
        <v>2172</v>
      </c>
      <c r="G221" s="10" t="s">
        <v>100</v>
      </c>
      <c r="H221" s="122">
        <v>5</v>
      </c>
      <c r="I221" s="116">
        <v>90</v>
      </c>
      <c r="J221" s="116">
        <v>90</v>
      </c>
      <c r="K221" s="116">
        <v>90</v>
      </c>
      <c r="L221" s="122">
        <v>24.6</v>
      </c>
      <c r="M221" s="122">
        <v>6.7</v>
      </c>
      <c r="N221" s="79">
        <v>4.03</v>
      </c>
      <c r="O221" s="116">
        <v>13</v>
      </c>
      <c r="P221" s="122">
        <v>6.4</v>
      </c>
      <c r="Q221" s="79">
        <v>0.15</v>
      </c>
      <c r="R221" s="79">
        <v>22.36</v>
      </c>
      <c r="S221" s="79">
        <v>0.88</v>
      </c>
      <c r="T221" s="79">
        <v>0.7</v>
      </c>
      <c r="U221" s="85">
        <f t="shared" si="18"/>
        <v>1569.27</v>
      </c>
      <c r="V221" s="79">
        <f t="shared" si="19"/>
        <v>1426.1478377119997</v>
      </c>
      <c r="W221" s="79">
        <f t="shared" si="20"/>
        <v>0.90879698057823044</v>
      </c>
      <c r="X221" s="116">
        <v>2</v>
      </c>
      <c r="Y221" s="116">
        <v>4</v>
      </c>
      <c r="Z221" s="122">
        <v>6.46</v>
      </c>
      <c r="AA221" s="116">
        <v>17.8</v>
      </c>
      <c r="AB221" s="122">
        <v>6.7</v>
      </c>
      <c r="AC221" s="122">
        <v>6</v>
      </c>
      <c r="AD221" s="10">
        <v>0.34</v>
      </c>
      <c r="AE221" s="79">
        <v>0.68</v>
      </c>
      <c r="AF221" s="85">
        <f t="shared" si="21"/>
        <v>1569.27</v>
      </c>
      <c r="AG221" s="85">
        <f t="shared" si="22"/>
        <v>1709.2124689120001</v>
      </c>
      <c r="AH221" s="85">
        <f t="shared" si="23"/>
        <v>1.0891767948867945</v>
      </c>
      <c r="AI221" s="116">
        <v>3</v>
      </c>
      <c r="AJ221" s="116">
        <v>4</v>
      </c>
      <c r="AK221" s="79">
        <v>6.28</v>
      </c>
      <c r="AL221" s="79">
        <v>22.1</v>
      </c>
      <c r="AM221" s="122">
        <v>6.5</v>
      </c>
      <c r="AN221" s="122">
        <v>5.9</v>
      </c>
      <c r="AO221" s="79">
        <v>0.2</v>
      </c>
      <c r="AP221" s="127">
        <v>0.41</v>
      </c>
      <c r="AQ221" s="132">
        <f t="shared" si="24"/>
        <v>2075</v>
      </c>
      <c r="AR221" s="134">
        <f t="shared" si="25"/>
        <v>0.74409638554216873</v>
      </c>
      <c r="AS221" s="134">
        <f t="shared" si="26"/>
        <v>3.9518072289156624E-2</v>
      </c>
      <c r="AT221" s="134">
        <f t="shared" si="27"/>
        <v>0.2163855421686747</v>
      </c>
      <c r="AU221" s="43">
        <f>IF(AND(F221&lt;&gt;"",Y221&lt;&gt;""),AA221/(F221/2/Y221),"")</f>
        <v>6.5561694290976066E-2</v>
      </c>
      <c r="AV221" s="43">
        <f>IF(AND(F221&lt;&gt;"",AJ221&lt;&gt;""),AL221/(F221/2/AJ221),"")</f>
        <v>8.1399631675874773E-2</v>
      </c>
      <c r="AW221" s="41">
        <f>IF(AND(AP221&lt;&gt;"",1-(AP221/N221)&gt;0),1-(AP221/N221),"")</f>
        <v>0.8982630272952854</v>
      </c>
      <c r="AX221" s="41">
        <f>IF(AND(AE221&lt;&gt;"",1-(AE221/N221)&gt;0),1-(AE221/N221),"")</f>
        <v>0.83126550868486349</v>
      </c>
      <c r="AY221" s="136" t="str">
        <f>IF(P221="","",IF(P221&lt;2.5,"Alc. Bruta &lt; 2,5 mg/L",IF(P221&lt;5,"2,5 ≤ Alc. Bruta &lt; 5,0 mg/L",IF(P221&lt;7.5,"5,0 ≤ Alc. Bruta &lt; 7,5 mg/L",IF(P221&lt;10,"7,5 ≤ Alc. Bruta &lt; 10,0 mg/L",IF(P221&lt;15,"10,0 ≤ Alca. Bruta &lt; 15,0 mg/L","Alc. Bruta &gt; 15 mg/L"))))))</f>
        <v>5,0 ≤ Alc. Bruta &lt; 7,5 mg/L</v>
      </c>
      <c r="AZ221" s="136" t="str">
        <f>IF(O221="","",IF(O221&lt;5,"Cor &lt;5 uC",IF(O221&lt;10,"5 ≤ Cor &lt; 10 uC",IF(O221&lt;15,"10 ≤ Cor &lt;15 uC",IF(O221&lt;30,"15 ≤ Cor &lt; 30 uC",IF(O221&lt;50,"30 ≤ Cor &lt; 50 uC","Cor &gt; 50 uC"))))))</f>
        <v>10 ≤ Cor &lt;15 uC</v>
      </c>
      <c r="BA221" s="137" t="str">
        <f>IF(N221="","",IF(N221&lt;2.5,"Turbidez &lt; 2,5 uT",IF(N221&lt;5,"2,5 ≤ Turb &lt; 5,0 uT",IF(N221&lt;7.5,"5,0 ≤ Turb &lt; 7,5 uT",IF(N221&lt;10,"7,5 ≤ Turb &lt; 10,0 uT",IF(N221&lt;15,"10,0 ≤ Turb &lt; 15,0 uT","Turb &gt; 15 uT"))))))</f>
        <v>2,5 ≤ Turb &lt; 5,0 uT</v>
      </c>
      <c r="BB221" s="138" t="str">
        <f>IF(AND(C221&gt;D221,D221&gt;E221),"TOR &gt; SM &gt; BNN",IF(AND(C221&gt;E221,E221&gt;D221),"TOR &gt; BNN &gt; SM",IF(AND(D221&gt;C221,C221&gt;E221),"SM &gt; TOR &gt; BNN",IF(AND(D221&gt;E221,E221&gt;C221),"SM &gt; BNN &gt; TOR",IF(AND(C221=D221,D221=E221),"TOR = SM = BNN","Comb. diferentes")))))</f>
        <v>TOR &gt; BNN &gt; SM</v>
      </c>
      <c r="BC221" s="137" t="str">
        <f>IF(OR(AD221="",AP221="-"),"",IF(AD221&lt;=0.25,"Tipo 1 (≤0,25) uT",IF(AD221&lt;=0.5,"Tipo 2 (0,25-0,50) uT",IF(AD221&lt;=0.75,"Tipo 3 (0,50-0,75) uT","Tipo 4 (&gt;0,75) uT"))))</f>
        <v>Tipo 2 (0,25-0,50) uT</v>
      </c>
      <c r="BD221" s="137" t="str">
        <f>IF(OR(AO221="",AY221="-"),"",IF(AO221&lt;=0.25,"Tipo 1 (≤0,25) uT",IF(AO221&lt;=0.5,"Tipo 2 (0,25-0,50) uT",IF(AO221&lt;=0.75,"Tipo 3 (0,50-0,75) uT","Tipo 4 (&gt;0,75) uT"))))</f>
        <v>Tipo 1 (≤0,25) uT</v>
      </c>
      <c r="BE221" s="137" t="str">
        <f>IF(OR(AE221="",AP221="-"),"",IF(AE221&lt;=0.25,"Tipo 1 (≤0,25) uT",IF(AE221&lt;=0.5,"Tipo 2 (0,25-0,50) uT",IF(AE221&lt;=0.75,"Tipo 3 (0,50-0,75) uT","Tipo 4 (&gt;0,75) uT"))))</f>
        <v>Tipo 3 (0,50-0,75) uT</v>
      </c>
      <c r="BF221" s="137" t="str">
        <f>IF(OR(AP221="",AP221="-"),"",IF(AP221&lt;=0.25,"Tipo 1 (≤0,25) uT",IF(AP221&lt;=0.5,"Tipo 2 (0,25-0,50) uT",IF(AP221&lt;=0.75,"Tipo 3 (0,50-0,75) uT","Tipo 4 (&gt;0,75) uT"))))</f>
        <v>Tipo 2 (0,25-0,50) uT</v>
      </c>
      <c r="BG221" s="137" t="str">
        <f>IF(OR(Q221="",Q221="-"),"",IF(Q221&lt;=0.25,"Tipo 1 (≤0,25) uT",IF(Q221&lt;=0.5,"Tipo 2 (0,25-0,50) uT",IF(Q221&lt;=0.75,"Tipo 3 (0,50-0,75) uT","Tipo 4 (&gt;0,75) uT"))))</f>
        <v>Tipo 1 (≤0,25) uT</v>
      </c>
    </row>
    <row r="222" spans="1:59" x14ac:dyDescent="0.3">
      <c r="A222" s="26">
        <v>46150</v>
      </c>
      <c r="B222" s="107">
        <v>0.89583333333333337</v>
      </c>
      <c r="C222" s="116">
        <v>1561</v>
      </c>
      <c r="D222" s="116">
        <v>83</v>
      </c>
      <c r="E222" s="116">
        <v>450</v>
      </c>
      <c r="F222" s="116">
        <v>2273</v>
      </c>
      <c r="G222" s="10" t="s">
        <v>100</v>
      </c>
      <c r="H222" s="122">
        <v>5</v>
      </c>
      <c r="I222" s="116">
        <v>90</v>
      </c>
      <c r="J222" s="116">
        <v>90</v>
      </c>
      <c r="K222" s="116">
        <v>90</v>
      </c>
      <c r="L222" s="122">
        <v>24.5</v>
      </c>
      <c r="M222" s="122">
        <v>6.7</v>
      </c>
      <c r="N222" s="79">
        <v>3.71</v>
      </c>
      <c r="O222" s="116">
        <v>11</v>
      </c>
      <c r="P222" s="122">
        <v>5.7</v>
      </c>
      <c r="Q222" s="79">
        <v>0.27</v>
      </c>
      <c r="R222" s="79">
        <v>22.36</v>
      </c>
      <c r="S222" s="79">
        <v>0.88</v>
      </c>
      <c r="T222" s="79">
        <v>0.7</v>
      </c>
      <c r="U222" s="85">
        <f t="shared" si="18"/>
        <v>1551.3225</v>
      </c>
      <c r="V222" s="79">
        <f t="shared" si="19"/>
        <v>1439.3912363999998</v>
      </c>
      <c r="W222" s="79">
        <f t="shared" si="20"/>
        <v>0.92784784363019279</v>
      </c>
      <c r="X222" s="116">
        <v>2</v>
      </c>
      <c r="Y222" s="116">
        <v>4</v>
      </c>
      <c r="Z222" s="122">
        <v>6.45</v>
      </c>
      <c r="AA222" s="116">
        <v>18</v>
      </c>
      <c r="AB222" s="122">
        <v>6.4</v>
      </c>
      <c r="AC222" s="122">
        <v>5.6</v>
      </c>
      <c r="AD222" s="10">
        <v>0.1</v>
      </c>
      <c r="AE222" s="79">
        <v>0.18</v>
      </c>
      <c r="AF222" s="85">
        <f t="shared" si="21"/>
        <v>1551.3225</v>
      </c>
      <c r="AG222" s="85">
        <f t="shared" si="22"/>
        <v>1769.1851461439994</v>
      </c>
      <c r="AH222" s="85">
        <f t="shared" si="23"/>
        <v>1.140436721664257</v>
      </c>
      <c r="AI222" s="116">
        <v>3</v>
      </c>
      <c r="AJ222" s="116">
        <v>4</v>
      </c>
      <c r="AK222" s="79">
        <v>6.35</v>
      </c>
      <c r="AL222" s="79">
        <v>22.56</v>
      </c>
      <c r="AM222" s="122">
        <v>6.5</v>
      </c>
      <c r="AN222" s="122">
        <v>5.4</v>
      </c>
      <c r="AO222" s="79">
        <v>0.1</v>
      </c>
      <c r="AP222" s="127">
        <v>0.6</v>
      </c>
      <c r="AQ222" s="132">
        <f t="shared" si="24"/>
        <v>2094</v>
      </c>
      <c r="AR222" s="134">
        <f t="shared" si="25"/>
        <v>0.74546322827125122</v>
      </c>
      <c r="AS222" s="134">
        <f t="shared" si="26"/>
        <v>3.9637058261700095E-2</v>
      </c>
      <c r="AT222" s="134">
        <f t="shared" si="27"/>
        <v>0.2148997134670487</v>
      </c>
      <c r="AU222" s="43">
        <f>IF(AND(F222&lt;&gt;"",Y222&lt;&gt;""),AA222/(F222/2/Y222),"")</f>
        <v>6.3352397712274522E-2</v>
      </c>
      <c r="AV222" s="43">
        <f>IF(AND(F222&lt;&gt;"",AJ222&lt;&gt;""),AL222/(F222/2/AJ222),"")</f>
        <v>7.9401671799384066E-2</v>
      </c>
      <c r="AW222" s="41">
        <f>IF(AND(AP222&lt;&gt;"",1-(AP222/N222)&gt;0),1-(AP222/N222),"")</f>
        <v>0.83827493261455532</v>
      </c>
      <c r="AX222" s="41">
        <f>IF(AND(AE222&lt;&gt;"",1-(AE222/N222)&gt;0),1-(AE222/N222),"")</f>
        <v>0.95148247978436662</v>
      </c>
      <c r="AY222" s="136" t="str">
        <f>IF(P222="","",IF(P222&lt;2.5,"Alc. Bruta &lt; 2,5 mg/L",IF(P222&lt;5,"2,5 ≤ Alc. Bruta &lt; 5,0 mg/L",IF(P222&lt;7.5,"5,0 ≤ Alc. Bruta &lt; 7,5 mg/L",IF(P222&lt;10,"7,5 ≤ Alc. Bruta &lt; 10,0 mg/L",IF(P222&lt;15,"10,0 ≤ Alca. Bruta &lt; 15,0 mg/L","Alc. Bruta &gt; 15 mg/L"))))))</f>
        <v>5,0 ≤ Alc. Bruta &lt; 7,5 mg/L</v>
      </c>
      <c r="AZ222" s="136" t="str">
        <f>IF(O222="","",IF(O222&lt;5,"Cor &lt;5 uC",IF(O222&lt;10,"5 ≤ Cor &lt; 10 uC",IF(O222&lt;15,"10 ≤ Cor &lt;15 uC",IF(O222&lt;30,"15 ≤ Cor &lt; 30 uC",IF(O222&lt;50,"30 ≤ Cor &lt; 50 uC","Cor &gt; 50 uC"))))))</f>
        <v>10 ≤ Cor &lt;15 uC</v>
      </c>
      <c r="BA222" s="137" t="str">
        <f>IF(N222="","",IF(N222&lt;2.5,"Turbidez &lt; 2,5 uT",IF(N222&lt;5,"2,5 ≤ Turb &lt; 5,0 uT",IF(N222&lt;7.5,"5,0 ≤ Turb &lt; 7,5 uT",IF(N222&lt;10,"7,5 ≤ Turb &lt; 10,0 uT",IF(N222&lt;15,"10,0 ≤ Turb &lt; 15,0 uT","Turb &gt; 15 uT"))))))</f>
        <v>2,5 ≤ Turb &lt; 5,0 uT</v>
      </c>
      <c r="BB222" s="138" t="str">
        <f>IF(AND(C222&gt;D222,D222&gt;E222),"TOR &gt; SM &gt; BNN",IF(AND(C222&gt;E222,E222&gt;D222),"TOR &gt; BNN &gt; SM",IF(AND(D222&gt;C222,C222&gt;E222),"SM &gt; TOR &gt; BNN",IF(AND(D222&gt;E222,E222&gt;C222),"SM &gt; BNN &gt; TOR",IF(AND(C222=D222,D222=E222),"TOR = SM = BNN","Comb. diferentes")))))</f>
        <v>TOR &gt; BNN &gt; SM</v>
      </c>
      <c r="BC222" s="137" t="str">
        <f>IF(OR(AD222="",AP222="-"),"",IF(AD222&lt;=0.25,"Tipo 1 (≤0,25) uT",IF(AD222&lt;=0.5,"Tipo 2 (0,25-0,50) uT",IF(AD222&lt;=0.75,"Tipo 3 (0,50-0,75) uT","Tipo 4 (&gt;0,75) uT"))))</f>
        <v>Tipo 1 (≤0,25) uT</v>
      </c>
      <c r="BD222" s="137" t="str">
        <f>IF(OR(AO222="",AY222="-"),"",IF(AO222&lt;=0.25,"Tipo 1 (≤0,25) uT",IF(AO222&lt;=0.5,"Tipo 2 (0,25-0,50) uT",IF(AO222&lt;=0.75,"Tipo 3 (0,50-0,75) uT","Tipo 4 (&gt;0,75) uT"))))</f>
        <v>Tipo 1 (≤0,25) uT</v>
      </c>
      <c r="BE222" s="137" t="str">
        <f>IF(OR(AE222="",AP222="-"),"",IF(AE222&lt;=0.25,"Tipo 1 (≤0,25) uT",IF(AE222&lt;=0.5,"Tipo 2 (0,25-0,50) uT",IF(AE222&lt;=0.75,"Tipo 3 (0,50-0,75) uT","Tipo 4 (&gt;0,75) uT"))))</f>
        <v>Tipo 1 (≤0,25) uT</v>
      </c>
      <c r="BF222" s="137" t="str">
        <f>IF(OR(AP222="",AP222="-"),"",IF(AP222&lt;=0.25,"Tipo 1 (≤0,25) uT",IF(AP222&lt;=0.5,"Tipo 2 (0,25-0,50) uT",IF(AP222&lt;=0.75,"Tipo 3 (0,50-0,75) uT","Tipo 4 (&gt;0,75) uT"))))</f>
        <v>Tipo 3 (0,50-0,75) uT</v>
      </c>
      <c r="BG222" s="137" t="str">
        <f>IF(OR(Q222="",Q222="-"),"",IF(Q222&lt;=0.25,"Tipo 1 (≤0,25) uT",IF(Q222&lt;=0.5,"Tipo 2 (0,25-0,50) uT",IF(Q222&lt;=0.75,"Tipo 3 (0,50-0,75) uT","Tipo 4 (&gt;0,75) uT"))))</f>
        <v>Tipo 2 (0,25-0,50) uT</v>
      </c>
    </row>
    <row r="223" spans="1:59" x14ac:dyDescent="0.3">
      <c r="A223" s="26">
        <v>46151</v>
      </c>
      <c r="B223" s="107">
        <v>6.25E-2</v>
      </c>
      <c r="C223" s="116">
        <v>1596</v>
      </c>
      <c r="D223" s="116">
        <v>84</v>
      </c>
      <c r="E223" s="116">
        <v>450</v>
      </c>
      <c r="F223" s="116">
        <v>2170</v>
      </c>
      <c r="G223" s="10" t="s">
        <v>100</v>
      </c>
      <c r="H223" s="122">
        <v>5</v>
      </c>
      <c r="I223" s="116">
        <v>90</v>
      </c>
      <c r="J223" s="116">
        <v>90</v>
      </c>
      <c r="K223" s="116">
        <v>90</v>
      </c>
      <c r="L223" s="122">
        <v>23.9</v>
      </c>
      <c r="M223" s="122">
        <v>6.6</v>
      </c>
      <c r="N223" s="79">
        <v>4.1399999999999997</v>
      </c>
      <c r="O223" s="116">
        <v>13</v>
      </c>
      <c r="P223" s="122">
        <v>5.8</v>
      </c>
      <c r="Q223" s="79">
        <v>0.21</v>
      </c>
      <c r="R223" s="79">
        <v>22.36</v>
      </c>
      <c r="S223" s="79">
        <v>0.88</v>
      </c>
      <c r="T223" s="79">
        <v>0.7</v>
      </c>
      <c r="U223" s="85">
        <f t="shared" si="18"/>
        <v>1597.6624999999999</v>
      </c>
      <c r="V223" s="79">
        <f t="shared" si="19"/>
        <v>1428.629332624</v>
      </c>
      <c r="W223" s="79">
        <f t="shared" si="20"/>
        <v>0.89419970276826299</v>
      </c>
      <c r="X223" s="116">
        <v>2</v>
      </c>
      <c r="Y223" s="116">
        <v>4</v>
      </c>
      <c r="Z223" s="122">
        <v>6.44</v>
      </c>
      <c r="AA223" s="116">
        <v>17.899999999999999</v>
      </c>
      <c r="AB223" s="122">
        <v>6.5</v>
      </c>
      <c r="AC223" s="122">
        <v>5.7</v>
      </c>
      <c r="AD223" s="10">
        <v>0.16</v>
      </c>
      <c r="AE223" s="79">
        <v>0.21</v>
      </c>
      <c r="AF223" s="85">
        <f t="shared" si="21"/>
        <v>1597.6624999999999</v>
      </c>
      <c r="AG223" s="85">
        <f t="shared" si="22"/>
        <v>1735.0155176119999</v>
      </c>
      <c r="AH223" s="85">
        <f t="shared" si="23"/>
        <v>1.0859712346080603</v>
      </c>
      <c r="AI223" s="116">
        <v>3</v>
      </c>
      <c r="AJ223" s="116">
        <v>4</v>
      </c>
      <c r="AK223" s="79">
        <v>6.31</v>
      </c>
      <c r="AL223" s="79">
        <v>22.3</v>
      </c>
      <c r="AM223" s="122">
        <v>6.5</v>
      </c>
      <c r="AN223" s="122">
        <v>5.6</v>
      </c>
      <c r="AO223" s="79">
        <v>0.13</v>
      </c>
      <c r="AP223" s="127">
        <v>0.41</v>
      </c>
      <c r="AQ223" s="132">
        <f t="shared" si="24"/>
        <v>2130</v>
      </c>
      <c r="AR223" s="134">
        <f t="shared" si="25"/>
        <v>0.74929577464788732</v>
      </c>
      <c r="AS223" s="134">
        <f t="shared" si="26"/>
        <v>3.9436619718309862E-2</v>
      </c>
      <c r="AT223" s="134">
        <f t="shared" si="27"/>
        <v>0.21126760563380281</v>
      </c>
      <c r="AU223" s="43">
        <f>IF(AND(F223&lt;&gt;"",Y223&lt;&gt;""),AA223/(F223/2/Y223),"")</f>
        <v>6.599078341013824E-2</v>
      </c>
      <c r="AV223" s="43">
        <f>IF(AND(F223&lt;&gt;"",AJ223&lt;&gt;""),AL223/(F223/2/AJ223),"")</f>
        <v>8.2211981566820275E-2</v>
      </c>
      <c r="AW223" s="41">
        <f>IF(AND(AP223&lt;&gt;"",1-(AP223/N223)&gt;0),1-(AP223/N223),"")</f>
        <v>0.90096618357487923</v>
      </c>
      <c r="AX223" s="41">
        <f>IF(AND(AE223&lt;&gt;"",1-(AE223/N223)&gt;0),1-(AE223/N223),"")</f>
        <v>0.94927536231884058</v>
      </c>
      <c r="AY223" s="136" t="str">
        <f>IF(P223="","",IF(P223&lt;2.5,"Alc. Bruta &lt; 2,5 mg/L",IF(P223&lt;5,"2,5 ≤ Alc. Bruta &lt; 5,0 mg/L",IF(P223&lt;7.5,"5,0 ≤ Alc. Bruta &lt; 7,5 mg/L",IF(P223&lt;10,"7,5 ≤ Alc. Bruta &lt; 10,0 mg/L",IF(P223&lt;15,"10,0 ≤ Alca. Bruta &lt; 15,0 mg/L","Alc. Bruta &gt; 15 mg/L"))))))</f>
        <v>5,0 ≤ Alc. Bruta &lt; 7,5 mg/L</v>
      </c>
      <c r="AZ223" s="136" t="str">
        <f>IF(O223="","",IF(O223&lt;5,"Cor &lt;5 uC",IF(O223&lt;10,"5 ≤ Cor &lt; 10 uC",IF(O223&lt;15,"10 ≤ Cor &lt;15 uC",IF(O223&lt;30,"15 ≤ Cor &lt; 30 uC",IF(O223&lt;50,"30 ≤ Cor &lt; 50 uC","Cor &gt; 50 uC"))))))</f>
        <v>10 ≤ Cor &lt;15 uC</v>
      </c>
      <c r="BA223" s="137" t="str">
        <f>IF(N223="","",IF(N223&lt;2.5,"Turbidez &lt; 2,5 uT",IF(N223&lt;5,"2,5 ≤ Turb &lt; 5,0 uT",IF(N223&lt;7.5,"5,0 ≤ Turb &lt; 7,5 uT",IF(N223&lt;10,"7,5 ≤ Turb &lt; 10,0 uT",IF(N223&lt;15,"10,0 ≤ Turb &lt; 15,0 uT","Turb &gt; 15 uT"))))))</f>
        <v>2,5 ≤ Turb &lt; 5,0 uT</v>
      </c>
      <c r="BB223" s="138" t="str">
        <f>IF(AND(C223&gt;D223,D223&gt;E223),"TOR &gt; SM &gt; BNN",IF(AND(C223&gt;E223,E223&gt;D223),"TOR &gt; BNN &gt; SM",IF(AND(D223&gt;C223,C223&gt;E223),"SM &gt; TOR &gt; BNN",IF(AND(D223&gt;E223,E223&gt;C223),"SM &gt; BNN &gt; TOR",IF(AND(C223=D223,D223=E223),"TOR = SM = BNN","Comb. diferentes")))))</f>
        <v>TOR &gt; BNN &gt; SM</v>
      </c>
      <c r="BC223" s="137" t="str">
        <f>IF(OR(AD223="",AP223="-"),"",IF(AD223&lt;=0.25,"Tipo 1 (≤0,25) uT",IF(AD223&lt;=0.5,"Tipo 2 (0,25-0,50) uT",IF(AD223&lt;=0.75,"Tipo 3 (0,50-0,75) uT","Tipo 4 (&gt;0,75) uT"))))</f>
        <v>Tipo 1 (≤0,25) uT</v>
      </c>
      <c r="BD223" s="137" t="str">
        <f>IF(OR(AO223="",AY223="-"),"",IF(AO223&lt;=0.25,"Tipo 1 (≤0,25) uT",IF(AO223&lt;=0.5,"Tipo 2 (0,25-0,50) uT",IF(AO223&lt;=0.75,"Tipo 3 (0,50-0,75) uT","Tipo 4 (&gt;0,75) uT"))))</f>
        <v>Tipo 1 (≤0,25) uT</v>
      </c>
      <c r="BE223" s="137" t="str">
        <f>IF(OR(AE223="",AP223="-"),"",IF(AE223&lt;=0.25,"Tipo 1 (≤0,25) uT",IF(AE223&lt;=0.5,"Tipo 2 (0,25-0,50) uT",IF(AE223&lt;=0.75,"Tipo 3 (0,50-0,75) uT","Tipo 4 (&gt;0,75) uT"))))</f>
        <v>Tipo 1 (≤0,25) uT</v>
      </c>
      <c r="BF223" s="137" t="str">
        <f>IF(OR(AP223="",AP223="-"),"",IF(AP223&lt;=0.25,"Tipo 1 (≤0,25) uT",IF(AP223&lt;=0.5,"Tipo 2 (0,25-0,50) uT",IF(AP223&lt;=0.75,"Tipo 3 (0,50-0,75) uT","Tipo 4 (&gt;0,75) uT"))))</f>
        <v>Tipo 2 (0,25-0,50) uT</v>
      </c>
      <c r="BG223" s="137" t="str">
        <f>IF(OR(Q223="",Q223="-"),"",IF(Q223&lt;=0.25,"Tipo 1 (≤0,25) uT",IF(Q223&lt;=0.5,"Tipo 2 (0,25-0,50) uT",IF(Q223&lt;=0.75,"Tipo 3 (0,50-0,75) uT","Tipo 4 (&gt;0,75) uT"))))</f>
        <v>Tipo 1 (≤0,25) uT</v>
      </c>
    </row>
    <row r="224" spans="1:59" x14ac:dyDescent="0.3">
      <c r="A224" s="26">
        <v>46151</v>
      </c>
      <c r="B224" s="107">
        <v>0.14583333333333334</v>
      </c>
      <c r="C224" s="116">
        <v>1600</v>
      </c>
      <c r="D224" s="116">
        <v>90</v>
      </c>
      <c r="E224" s="116">
        <v>450</v>
      </c>
      <c r="F224" s="116">
        <v>2170</v>
      </c>
      <c r="G224" s="10" t="s">
        <v>100</v>
      </c>
      <c r="H224" s="122">
        <v>5</v>
      </c>
      <c r="I224" s="116">
        <v>90</v>
      </c>
      <c r="J224" s="116">
        <v>90</v>
      </c>
      <c r="K224" s="116">
        <v>90</v>
      </c>
      <c r="L224" s="122">
        <v>23</v>
      </c>
      <c r="M224" s="122">
        <v>6.7</v>
      </c>
      <c r="N224" s="79">
        <v>3.58</v>
      </c>
      <c r="O224" s="116">
        <v>12</v>
      </c>
      <c r="P224" s="122">
        <v>5.9</v>
      </c>
      <c r="Q224" s="79">
        <v>0.36</v>
      </c>
      <c r="R224" s="79">
        <v>22.36</v>
      </c>
      <c r="S224" s="79">
        <v>0.88</v>
      </c>
      <c r="T224" s="79">
        <v>0.7</v>
      </c>
      <c r="U224" s="85">
        <f t="shared" si="18"/>
        <v>1445.7625</v>
      </c>
      <c r="V224" s="79">
        <f t="shared" si="19"/>
        <v>1425.4875648</v>
      </c>
      <c r="W224" s="79">
        <f t="shared" si="20"/>
        <v>0.98597630302349104</v>
      </c>
      <c r="X224" s="116">
        <v>2</v>
      </c>
      <c r="Y224" s="116">
        <v>4</v>
      </c>
      <c r="Z224" s="122">
        <v>6.4</v>
      </c>
      <c r="AA224" s="116">
        <v>18</v>
      </c>
      <c r="AB224" s="122">
        <v>6.5</v>
      </c>
      <c r="AC224" s="122">
        <v>5.4</v>
      </c>
      <c r="AD224" s="10">
        <v>0.14000000000000001</v>
      </c>
      <c r="AE224" s="79">
        <v>0.4</v>
      </c>
      <c r="AF224" s="85">
        <f t="shared" si="21"/>
        <v>1445.7625</v>
      </c>
      <c r="AG224" s="85">
        <f t="shared" si="22"/>
        <v>1708.2758263999997</v>
      </c>
      <c r="AH224" s="85">
        <f t="shared" si="23"/>
        <v>1.1815743086433628</v>
      </c>
      <c r="AI224" s="116">
        <v>3</v>
      </c>
      <c r="AJ224" s="116">
        <v>4</v>
      </c>
      <c r="AK224" s="79">
        <v>6.3</v>
      </c>
      <c r="AL224" s="79">
        <v>22</v>
      </c>
      <c r="AM224" s="122">
        <v>6.5</v>
      </c>
      <c r="AN224" s="122">
        <v>5.5</v>
      </c>
      <c r="AO224" s="79">
        <v>0.23</v>
      </c>
      <c r="AP224" s="127">
        <v>0.54</v>
      </c>
      <c r="AQ224" s="132">
        <f t="shared" si="24"/>
        <v>2140</v>
      </c>
      <c r="AR224" s="134">
        <f t="shared" si="25"/>
        <v>0.74766355140186913</v>
      </c>
      <c r="AS224" s="134">
        <f t="shared" si="26"/>
        <v>4.2056074766355138E-2</v>
      </c>
      <c r="AT224" s="134">
        <f t="shared" si="27"/>
        <v>0.2102803738317757</v>
      </c>
      <c r="AU224" s="43">
        <f>IF(AND(F224&lt;&gt;"",Y224&lt;&gt;""),AA224/(F224/2/Y224),"")</f>
        <v>6.6359447004608302E-2</v>
      </c>
      <c r="AV224" s="43">
        <f>IF(AND(F224&lt;&gt;"",AJ224&lt;&gt;""),AL224/(F224/2/AJ224),"")</f>
        <v>8.1105990783410145E-2</v>
      </c>
      <c r="AW224" s="41">
        <f>IF(AND(AP224&lt;&gt;"",1-(AP224/N224)&gt;0),1-(AP224/N224),"")</f>
        <v>0.84916201117318435</v>
      </c>
      <c r="AX224" s="41">
        <f>IF(AND(AE224&lt;&gt;"",1-(AE224/N224)&gt;0),1-(AE224/N224),"")</f>
        <v>0.88826815642458101</v>
      </c>
      <c r="AY224" s="136" t="str">
        <f>IF(P224="","",IF(P224&lt;2.5,"Alc. Bruta &lt; 2,5 mg/L",IF(P224&lt;5,"2,5 ≤ Alc. Bruta &lt; 5,0 mg/L",IF(P224&lt;7.5,"5,0 ≤ Alc. Bruta &lt; 7,5 mg/L",IF(P224&lt;10,"7,5 ≤ Alc. Bruta &lt; 10,0 mg/L",IF(P224&lt;15,"10,0 ≤ Alca. Bruta &lt; 15,0 mg/L","Alc. Bruta &gt; 15 mg/L"))))))</f>
        <v>5,0 ≤ Alc. Bruta &lt; 7,5 mg/L</v>
      </c>
      <c r="AZ224" s="136" t="str">
        <f>IF(O224="","",IF(O224&lt;5,"Cor &lt;5 uC",IF(O224&lt;10,"5 ≤ Cor &lt; 10 uC",IF(O224&lt;15,"10 ≤ Cor &lt;15 uC",IF(O224&lt;30,"15 ≤ Cor &lt; 30 uC",IF(O224&lt;50,"30 ≤ Cor &lt; 50 uC","Cor &gt; 50 uC"))))))</f>
        <v>10 ≤ Cor &lt;15 uC</v>
      </c>
      <c r="BA224" s="137" t="str">
        <f>IF(N224="","",IF(N224&lt;2.5,"Turbidez &lt; 2,5 uT",IF(N224&lt;5,"2,5 ≤ Turb &lt; 5,0 uT",IF(N224&lt;7.5,"5,0 ≤ Turb &lt; 7,5 uT",IF(N224&lt;10,"7,5 ≤ Turb &lt; 10,0 uT",IF(N224&lt;15,"10,0 ≤ Turb &lt; 15,0 uT","Turb &gt; 15 uT"))))))</f>
        <v>2,5 ≤ Turb &lt; 5,0 uT</v>
      </c>
      <c r="BB224" s="138" t="str">
        <f>IF(AND(C224&gt;D224,D224&gt;E224),"TOR &gt; SM &gt; BNN",IF(AND(C224&gt;E224,E224&gt;D224),"TOR &gt; BNN &gt; SM",IF(AND(D224&gt;C224,C224&gt;E224),"SM &gt; TOR &gt; BNN",IF(AND(D224&gt;E224,E224&gt;C224),"SM &gt; BNN &gt; TOR",IF(AND(C224=D224,D224=E224),"TOR = SM = BNN","Comb. diferentes")))))</f>
        <v>TOR &gt; BNN &gt; SM</v>
      </c>
      <c r="BC224" s="137" t="str">
        <f>IF(OR(AD224="",AP224="-"),"",IF(AD224&lt;=0.25,"Tipo 1 (≤0,25) uT",IF(AD224&lt;=0.5,"Tipo 2 (0,25-0,50) uT",IF(AD224&lt;=0.75,"Tipo 3 (0,50-0,75) uT","Tipo 4 (&gt;0,75) uT"))))</f>
        <v>Tipo 1 (≤0,25) uT</v>
      </c>
      <c r="BD224" s="137" t="str">
        <f>IF(OR(AO224="",AY224="-"),"",IF(AO224&lt;=0.25,"Tipo 1 (≤0,25) uT",IF(AO224&lt;=0.5,"Tipo 2 (0,25-0,50) uT",IF(AO224&lt;=0.75,"Tipo 3 (0,50-0,75) uT","Tipo 4 (&gt;0,75) uT"))))</f>
        <v>Tipo 1 (≤0,25) uT</v>
      </c>
      <c r="BE224" s="137" t="str">
        <f>IF(OR(AE224="",AP224="-"),"",IF(AE224&lt;=0.25,"Tipo 1 (≤0,25) uT",IF(AE224&lt;=0.5,"Tipo 2 (0,25-0,50) uT",IF(AE224&lt;=0.75,"Tipo 3 (0,50-0,75) uT","Tipo 4 (&gt;0,75) uT"))))</f>
        <v>Tipo 2 (0,25-0,50) uT</v>
      </c>
      <c r="BF224" s="137" t="str">
        <f>IF(OR(AP224="",AP224="-"),"",IF(AP224&lt;=0.25,"Tipo 1 (≤0,25) uT",IF(AP224&lt;=0.5,"Tipo 2 (0,25-0,50) uT",IF(AP224&lt;=0.75,"Tipo 3 (0,50-0,75) uT","Tipo 4 (&gt;0,75) uT"))))</f>
        <v>Tipo 3 (0,50-0,75) uT</v>
      </c>
      <c r="BG224" s="137" t="str">
        <f>IF(OR(Q224="",Q224="-"),"",IF(Q224&lt;=0.25,"Tipo 1 (≤0,25) uT",IF(Q224&lt;=0.5,"Tipo 2 (0,25-0,50) uT",IF(Q224&lt;=0.75,"Tipo 3 (0,50-0,75) uT","Tipo 4 (&gt;0,75) uT"))))</f>
        <v>Tipo 2 (0,25-0,50) uT</v>
      </c>
    </row>
    <row r="225" spans="1:59" ht="15" thickBot="1" x14ac:dyDescent="0.35">
      <c r="A225" s="26">
        <v>46151</v>
      </c>
      <c r="B225" s="110">
        <v>0.22916666666666666</v>
      </c>
      <c r="C225" s="117">
        <v>1603</v>
      </c>
      <c r="D225" s="117">
        <v>90</v>
      </c>
      <c r="E225" s="117">
        <v>450</v>
      </c>
      <c r="F225" s="117">
        <v>2179</v>
      </c>
      <c r="G225" s="11" t="s">
        <v>100</v>
      </c>
      <c r="H225" s="123">
        <v>5</v>
      </c>
      <c r="I225" s="117">
        <v>90</v>
      </c>
      <c r="J225" s="117">
        <v>90</v>
      </c>
      <c r="K225" s="117">
        <v>90</v>
      </c>
      <c r="L225" s="123">
        <v>23</v>
      </c>
      <c r="M225" s="123">
        <v>6.7</v>
      </c>
      <c r="N225" s="80">
        <v>3.36</v>
      </c>
      <c r="O225" s="117">
        <v>12</v>
      </c>
      <c r="P225" s="123">
        <v>5.9</v>
      </c>
      <c r="Q225" s="80">
        <v>0.41</v>
      </c>
      <c r="R225" s="79">
        <v>22.36</v>
      </c>
      <c r="S225" s="79">
        <v>0.88</v>
      </c>
      <c r="T225" s="79">
        <v>0.7</v>
      </c>
      <c r="U225" s="85">
        <f t="shared" si="18"/>
        <v>1391.8362499999998</v>
      </c>
      <c r="V225" s="79">
        <f t="shared" si="19"/>
        <v>1425.4875648</v>
      </c>
      <c r="W225" s="79">
        <f t="shared" si="20"/>
        <v>1.0241776392876678</v>
      </c>
      <c r="X225" s="117">
        <v>2</v>
      </c>
      <c r="Y225" s="117">
        <v>4</v>
      </c>
      <c r="Z225" s="123">
        <v>6.4</v>
      </c>
      <c r="AA225" s="117">
        <v>18</v>
      </c>
      <c r="AB225" s="123">
        <v>6.5</v>
      </c>
      <c r="AC225" s="123">
        <v>4.8</v>
      </c>
      <c r="AD225" s="11">
        <v>0.5</v>
      </c>
      <c r="AE225" s="80">
        <v>0.47</v>
      </c>
      <c r="AF225" s="85">
        <f t="shared" si="21"/>
        <v>1391.8362499999998</v>
      </c>
      <c r="AG225" s="85">
        <f t="shared" si="22"/>
        <v>1758.7476121799996</v>
      </c>
      <c r="AH225" s="85">
        <f t="shared" si="23"/>
        <v>1.2636167596439594</v>
      </c>
      <c r="AI225" s="117">
        <v>3</v>
      </c>
      <c r="AJ225" s="117">
        <v>4</v>
      </c>
      <c r="AK225" s="80">
        <v>6.3</v>
      </c>
      <c r="AL225" s="80">
        <v>22.65</v>
      </c>
      <c r="AM225" s="123">
        <v>6.5</v>
      </c>
      <c r="AN225" s="123">
        <v>4.8</v>
      </c>
      <c r="AO225" s="80">
        <v>0.28999999999999998</v>
      </c>
      <c r="AP225" s="128">
        <v>0.57999999999999996</v>
      </c>
      <c r="AQ225" s="132">
        <f t="shared" si="24"/>
        <v>2143</v>
      </c>
      <c r="AR225" s="134">
        <f t="shared" si="25"/>
        <v>0.74801679888007466</v>
      </c>
      <c r="AS225" s="134">
        <f t="shared" si="26"/>
        <v>4.1997200186654225E-2</v>
      </c>
      <c r="AT225" s="134">
        <f t="shared" si="27"/>
        <v>0.20998600093327111</v>
      </c>
      <c r="AU225" s="43">
        <f>IF(AND(F225&lt;&gt;"",Y225&lt;&gt;""),AA225/(F225/2/Y225),"")</f>
        <v>6.6085360256998626E-2</v>
      </c>
      <c r="AV225" s="43">
        <f>IF(AND(F225&lt;&gt;"",AJ225&lt;&gt;""),AL225/(F225/2/AJ225),"")</f>
        <v>8.315741165672326E-2</v>
      </c>
      <c r="AW225" s="41">
        <f>IF(AND(AP225&lt;&gt;"",1-(AP225/N225)&gt;0),1-(AP225/N225),"")</f>
        <v>0.82738095238095233</v>
      </c>
      <c r="AX225" s="41">
        <f>IF(AND(AE225&lt;&gt;"",1-(AE225/N225)&gt;0),1-(AE225/N225),"")</f>
        <v>0.86011904761904767</v>
      </c>
      <c r="AY225" s="136" t="str">
        <f>IF(P225="","",IF(P225&lt;2.5,"Alc. Bruta &lt; 2,5 mg/L",IF(P225&lt;5,"2,5 ≤ Alc. Bruta &lt; 5,0 mg/L",IF(P225&lt;7.5,"5,0 ≤ Alc. Bruta &lt; 7,5 mg/L",IF(P225&lt;10,"7,5 ≤ Alc. Bruta &lt; 10,0 mg/L",IF(P225&lt;15,"10,0 ≤ Alca. Bruta &lt; 15,0 mg/L","Alc. Bruta &gt; 15 mg/L"))))))</f>
        <v>5,0 ≤ Alc. Bruta &lt; 7,5 mg/L</v>
      </c>
      <c r="AZ225" s="136" t="str">
        <f>IF(O225="","",IF(O225&lt;5,"Cor &lt;5 uC",IF(O225&lt;10,"5 ≤ Cor &lt; 10 uC",IF(O225&lt;15,"10 ≤ Cor &lt;15 uC",IF(O225&lt;30,"15 ≤ Cor &lt; 30 uC",IF(O225&lt;50,"30 ≤ Cor &lt; 50 uC","Cor &gt; 50 uC"))))))</f>
        <v>10 ≤ Cor &lt;15 uC</v>
      </c>
      <c r="BA225" s="137" t="str">
        <f>IF(N225="","",IF(N225&lt;2.5,"Turbidez &lt; 2,5 uT",IF(N225&lt;5,"2,5 ≤ Turb &lt; 5,0 uT",IF(N225&lt;7.5,"5,0 ≤ Turb &lt; 7,5 uT",IF(N225&lt;10,"7,5 ≤ Turb &lt; 10,0 uT",IF(N225&lt;15,"10,0 ≤ Turb &lt; 15,0 uT","Turb &gt; 15 uT"))))))</f>
        <v>2,5 ≤ Turb &lt; 5,0 uT</v>
      </c>
      <c r="BB225" s="138" t="str">
        <f>IF(AND(C225&gt;D225,D225&gt;E225),"TOR &gt; SM &gt; BNN",IF(AND(C225&gt;E225,E225&gt;D225),"TOR &gt; BNN &gt; SM",IF(AND(D225&gt;C225,C225&gt;E225),"SM &gt; TOR &gt; BNN",IF(AND(D225&gt;E225,E225&gt;C225),"SM &gt; BNN &gt; TOR",IF(AND(C225=D225,D225=E225),"TOR = SM = BNN","Comb. diferentes")))))</f>
        <v>TOR &gt; BNN &gt; SM</v>
      </c>
      <c r="BC225" s="137" t="str">
        <f>IF(OR(AD225="",AP225="-"),"",IF(AD225&lt;=0.25,"Tipo 1 (≤0,25) uT",IF(AD225&lt;=0.5,"Tipo 2 (0,25-0,50) uT",IF(AD225&lt;=0.75,"Tipo 3 (0,50-0,75) uT","Tipo 4 (&gt;0,75) uT"))))</f>
        <v>Tipo 2 (0,25-0,50) uT</v>
      </c>
      <c r="BD225" s="137" t="str">
        <f>IF(OR(AO225="",AY225="-"),"",IF(AO225&lt;=0.25,"Tipo 1 (≤0,25) uT",IF(AO225&lt;=0.5,"Tipo 2 (0,25-0,50) uT",IF(AO225&lt;=0.75,"Tipo 3 (0,50-0,75) uT","Tipo 4 (&gt;0,75) uT"))))</f>
        <v>Tipo 2 (0,25-0,50) uT</v>
      </c>
      <c r="BE225" s="137" t="str">
        <f>IF(OR(AE225="",AP225="-"),"",IF(AE225&lt;=0.25,"Tipo 1 (≤0,25) uT",IF(AE225&lt;=0.5,"Tipo 2 (0,25-0,50) uT",IF(AE225&lt;=0.75,"Tipo 3 (0,50-0,75) uT","Tipo 4 (&gt;0,75) uT"))))</f>
        <v>Tipo 2 (0,25-0,50) uT</v>
      </c>
      <c r="BF225" s="137" t="str">
        <f>IF(OR(AP225="",AP225="-"),"",IF(AP225&lt;=0.25,"Tipo 1 (≤0,25) uT",IF(AP225&lt;=0.5,"Tipo 2 (0,25-0,50) uT",IF(AP225&lt;=0.75,"Tipo 3 (0,50-0,75) uT","Tipo 4 (&gt;0,75) uT"))))</f>
        <v>Tipo 3 (0,50-0,75) uT</v>
      </c>
      <c r="BG225" s="137" t="str">
        <f>IF(OR(Q225="",Q225="-"),"",IF(Q225&lt;=0.25,"Tipo 1 (≤0,25) uT",IF(Q225&lt;=0.5,"Tipo 2 (0,25-0,50) uT",IF(Q225&lt;=0.75,"Tipo 3 (0,50-0,75) uT","Tipo 4 (&gt;0,75) uT"))))</f>
        <v>Tipo 2 (0,25-0,50) uT</v>
      </c>
    </row>
    <row r="226" spans="1:59" ht="15" thickBot="1" x14ac:dyDescent="0.35">
      <c r="A226" s="26">
        <v>46151</v>
      </c>
      <c r="B226" s="111">
        <v>0.3125</v>
      </c>
      <c r="C226" s="118">
        <v>0</v>
      </c>
      <c r="D226" s="116">
        <v>790</v>
      </c>
      <c r="E226" s="118">
        <v>507</v>
      </c>
      <c r="F226" s="117">
        <v>2179</v>
      </c>
      <c r="G226" s="9" t="s">
        <v>100</v>
      </c>
      <c r="H226" s="124">
        <v>4.7</v>
      </c>
      <c r="I226" s="118">
        <v>90</v>
      </c>
      <c r="J226" s="118">
        <v>90</v>
      </c>
      <c r="K226" s="118">
        <v>90</v>
      </c>
      <c r="L226" s="124">
        <v>23.1</v>
      </c>
      <c r="M226" s="124">
        <v>6.7</v>
      </c>
      <c r="N226" s="81">
        <v>3.4</v>
      </c>
      <c r="O226" s="118">
        <v>17</v>
      </c>
      <c r="P226" s="124">
        <v>6.7</v>
      </c>
      <c r="Q226" s="81">
        <v>0.39</v>
      </c>
      <c r="R226" s="79">
        <v>22.36</v>
      </c>
      <c r="S226" s="79">
        <v>0.88</v>
      </c>
      <c r="T226" s="79">
        <v>0.7</v>
      </c>
      <c r="U226" s="85">
        <f t="shared" si="18"/>
        <v>1378.2175</v>
      </c>
      <c r="V226" s="79">
        <f t="shared" si="19"/>
        <v>1803.6905301999996</v>
      </c>
      <c r="W226" s="79">
        <f t="shared" si="20"/>
        <v>1.3087125437022817</v>
      </c>
      <c r="X226" s="117">
        <v>2</v>
      </c>
      <c r="Y226" s="117">
        <v>4</v>
      </c>
      <c r="Z226" s="124">
        <v>6.35</v>
      </c>
      <c r="AA226" s="118">
        <v>23</v>
      </c>
      <c r="AB226" s="124">
        <v>6.8</v>
      </c>
      <c r="AC226" s="124">
        <v>7</v>
      </c>
      <c r="AD226" s="9">
        <v>0.12</v>
      </c>
      <c r="AE226" s="81">
        <v>0.51</v>
      </c>
      <c r="AF226" s="85" t="e">
        <f t="shared" si="21"/>
        <v>#DIV/0!</v>
      </c>
      <c r="AG226" s="85">
        <f t="shared" si="22"/>
        <v>1919.1883151999998</v>
      </c>
      <c r="AH226" s="85" t="e">
        <f t="shared" si="23"/>
        <v>#DIV/0!</v>
      </c>
      <c r="AI226" s="118"/>
      <c r="AJ226" s="118"/>
      <c r="AK226" s="81">
        <v>6.45</v>
      </c>
      <c r="AL226" s="81">
        <v>24</v>
      </c>
      <c r="AM226" s="124">
        <v>6.7</v>
      </c>
      <c r="AN226" s="124">
        <v>7.3</v>
      </c>
      <c r="AO226" s="81">
        <v>0.08</v>
      </c>
      <c r="AP226" s="129">
        <v>0.43</v>
      </c>
      <c r="AQ226" s="132">
        <f t="shared" si="24"/>
        <v>1297</v>
      </c>
      <c r="AR226" s="134">
        <f t="shared" si="25"/>
        <v>0</v>
      </c>
      <c r="AS226" s="134">
        <f t="shared" si="26"/>
        <v>0.60909791827293758</v>
      </c>
      <c r="AT226" s="134">
        <f t="shared" si="27"/>
        <v>0.39090208172706248</v>
      </c>
      <c r="AU226" s="43">
        <f>IF(AND(F226&lt;&gt;"",Y226&lt;&gt;""),AA226/(F226/2/Y226),"")</f>
        <v>8.4442404772831575E-2</v>
      </c>
      <c r="AV226" s="43" t="str">
        <f>IF(AND(F226&lt;&gt;"",AJ226&lt;&gt;""),AL226/(F226/2/AJ226),"")</f>
        <v/>
      </c>
      <c r="AW226" s="41">
        <f>IF(AND(AP226&lt;&gt;"",1-(AP226/N226)&gt;0),1-(AP226/N226),"")</f>
        <v>0.87352941176470589</v>
      </c>
      <c r="AX226" s="41">
        <f>IF(AND(AE226&lt;&gt;"",1-(AE226/N226)&gt;0),1-(AE226/N226),"")</f>
        <v>0.85</v>
      </c>
      <c r="AY226" s="136" t="str">
        <f>IF(P226="","",IF(P226&lt;2.5,"Alc. Bruta &lt; 2,5 mg/L",IF(P226&lt;5,"2,5 ≤ Alc. Bruta &lt; 5,0 mg/L",IF(P226&lt;7.5,"5,0 ≤ Alc. Bruta &lt; 7,5 mg/L",IF(P226&lt;10,"7,5 ≤ Alc. Bruta &lt; 10,0 mg/L",IF(P226&lt;15,"10,0 ≤ Alca. Bruta &lt; 15,0 mg/L","Alc. Bruta &gt; 15 mg/L"))))))</f>
        <v>5,0 ≤ Alc. Bruta &lt; 7,5 mg/L</v>
      </c>
      <c r="AZ226" s="136" t="str">
        <f>IF(O226="","",IF(O226&lt;5,"Cor &lt;5 uC",IF(O226&lt;10,"5 ≤ Cor &lt; 10 uC",IF(O226&lt;15,"10 ≤ Cor &lt;15 uC",IF(O226&lt;30,"15 ≤ Cor &lt; 30 uC",IF(O226&lt;50,"30 ≤ Cor &lt; 50 uC","Cor &gt; 50 uC"))))))</f>
        <v>15 ≤ Cor &lt; 30 uC</v>
      </c>
      <c r="BA226" s="137" t="str">
        <f>IF(N226="","",IF(N226&lt;2.5,"Turbidez &lt; 2,5 uT",IF(N226&lt;5,"2,5 ≤ Turb &lt; 5,0 uT",IF(N226&lt;7.5,"5,0 ≤ Turb &lt; 7,5 uT",IF(N226&lt;10,"7,5 ≤ Turb &lt; 10,0 uT",IF(N226&lt;15,"10,0 ≤ Turb &lt; 15,0 uT","Turb &gt; 15 uT"))))))</f>
        <v>2,5 ≤ Turb &lt; 5,0 uT</v>
      </c>
      <c r="BB226" s="138" t="str">
        <f>IF(AND(C226&gt;D226,D226&gt;E226),"TOR &gt; SM &gt; BNN",IF(AND(C226&gt;E226,E226&gt;D226),"TOR &gt; BNN &gt; SM",IF(AND(D226&gt;C226,C226&gt;E226),"SM &gt; TOR &gt; BNN",IF(AND(D226&gt;E226,E226&gt;C226),"SM &gt; BNN &gt; TOR",IF(AND(C226=D226,D226=E226),"TOR = SM = BNN","Comb. diferentes")))))</f>
        <v>SM &gt; BNN &gt; TOR</v>
      </c>
      <c r="BC226" s="137" t="str">
        <f>IF(OR(AD226="",AP226="-"),"",IF(AD226&lt;=0.25,"Tipo 1 (≤0,25) uT",IF(AD226&lt;=0.5,"Tipo 2 (0,25-0,50) uT",IF(AD226&lt;=0.75,"Tipo 3 (0,50-0,75) uT","Tipo 4 (&gt;0,75) uT"))))</f>
        <v>Tipo 1 (≤0,25) uT</v>
      </c>
      <c r="BD226" s="137" t="str">
        <f>IF(OR(AO226="",AY226="-"),"",IF(AO226&lt;=0.25,"Tipo 1 (≤0,25) uT",IF(AO226&lt;=0.5,"Tipo 2 (0,25-0,50) uT",IF(AO226&lt;=0.75,"Tipo 3 (0,50-0,75) uT","Tipo 4 (&gt;0,75) uT"))))</f>
        <v>Tipo 1 (≤0,25) uT</v>
      </c>
      <c r="BE226" s="137" t="str">
        <f>IF(OR(AE226="",AP226="-"),"",IF(AE226&lt;=0.25,"Tipo 1 (≤0,25) uT",IF(AE226&lt;=0.5,"Tipo 2 (0,25-0,50) uT",IF(AE226&lt;=0.75,"Tipo 3 (0,50-0,75) uT","Tipo 4 (&gt;0,75) uT"))))</f>
        <v>Tipo 3 (0,50-0,75) uT</v>
      </c>
      <c r="BF226" s="137" t="str">
        <f>IF(OR(AP226="",AP226="-"),"",IF(AP226&lt;=0.25,"Tipo 1 (≤0,25) uT",IF(AP226&lt;=0.5,"Tipo 2 (0,25-0,50) uT",IF(AP226&lt;=0.75,"Tipo 3 (0,50-0,75) uT","Tipo 4 (&gt;0,75) uT"))))</f>
        <v>Tipo 2 (0,25-0,50) uT</v>
      </c>
      <c r="BG226" s="137" t="str">
        <f>IF(OR(Q226="",Q226="-"),"",IF(Q226&lt;=0.25,"Tipo 1 (≤0,25) uT",IF(Q226&lt;=0.5,"Tipo 2 (0,25-0,50) uT",IF(Q226&lt;=0.75,"Tipo 3 (0,50-0,75) uT","Tipo 4 (&gt;0,75) uT"))))</f>
        <v>Tipo 2 (0,25-0,50) uT</v>
      </c>
    </row>
    <row r="227" spans="1:59" ht="15" thickBot="1" x14ac:dyDescent="0.35">
      <c r="A227" s="26">
        <v>46151</v>
      </c>
      <c r="B227" s="107">
        <v>0.47916666666666669</v>
      </c>
      <c r="C227" s="116">
        <v>0</v>
      </c>
      <c r="D227" s="116">
        <v>0</v>
      </c>
      <c r="E227" s="116">
        <v>550</v>
      </c>
      <c r="F227" s="117">
        <v>2179</v>
      </c>
      <c r="G227" s="10" t="s">
        <v>100</v>
      </c>
      <c r="H227" s="122">
        <v>4.7</v>
      </c>
      <c r="I227" s="116">
        <v>90</v>
      </c>
      <c r="J227" s="116">
        <v>90</v>
      </c>
      <c r="K227" s="116">
        <v>90</v>
      </c>
      <c r="L227" s="122">
        <v>24.4</v>
      </c>
      <c r="M227" s="122">
        <v>6.7</v>
      </c>
      <c r="N227" s="79">
        <v>2.29</v>
      </c>
      <c r="O227" s="116">
        <v>13</v>
      </c>
      <c r="P227" s="122">
        <v>8.8000000000000007</v>
      </c>
      <c r="Q227" s="79">
        <v>0.61</v>
      </c>
      <c r="R227" s="79">
        <v>22.36</v>
      </c>
      <c r="S227" s="79">
        <v>0.88</v>
      </c>
      <c r="T227" s="79">
        <v>0.7</v>
      </c>
      <c r="U227" s="85">
        <f t="shared" si="18"/>
        <v>1075.8812500000001</v>
      </c>
      <c r="V227" s="79">
        <f t="shared" si="19"/>
        <v>1663.0688255999999</v>
      </c>
      <c r="W227" s="79">
        <f t="shared" si="20"/>
        <v>1.5457735931358592</v>
      </c>
      <c r="X227" s="117">
        <v>2</v>
      </c>
      <c r="Y227" s="117">
        <v>4</v>
      </c>
      <c r="Z227" s="122">
        <v>6.4</v>
      </c>
      <c r="AA227" s="116">
        <v>21</v>
      </c>
      <c r="AB227" s="122">
        <v>6.7</v>
      </c>
      <c r="AC227" s="122">
        <v>8</v>
      </c>
      <c r="AD227" s="10">
        <v>0.81</v>
      </c>
      <c r="AE227" s="79">
        <v>1.21</v>
      </c>
      <c r="AF227" s="85" t="e">
        <f t="shared" si="21"/>
        <v>#DIV/0!</v>
      </c>
      <c r="AG227" s="85">
        <f t="shared" si="22"/>
        <v>1959.1714050999999</v>
      </c>
      <c r="AH227" s="85" t="e">
        <f t="shared" si="23"/>
        <v>#DIV/0!</v>
      </c>
      <c r="AI227" s="116"/>
      <c r="AJ227" s="116"/>
      <c r="AK227" s="79">
        <v>6.45</v>
      </c>
      <c r="AL227" s="79">
        <v>24.5</v>
      </c>
      <c r="AM227" s="122">
        <v>6.7</v>
      </c>
      <c r="AN227" s="122">
        <v>10.1</v>
      </c>
      <c r="AO227" s="79">
        <v>0.89</v>
      </c>
      <c r="AP227" s="127">
        <v>1.29</v>
      </c>
      <c r="AQ227" s="132">
        <f t="shared" si="24"/>
        <v>550</v>
      </c>
      <c r="AR227" s="134">
        <f t="shared" si="25"/>
        <v>0</v>
      </c>
      <c r="AS227" s="134">
        <f t="shared" si="26"/>
        <v>0</v>
      </c>
      <c r="AT227" s="134">
        <f t="shared" si="27"/>
        <v>1</v>
      </c>
      <c r="AU227" s="43">
        <f>IF(AND(F227&lt;&gt;"",Y227&lt;&gt;""),AA227/(F227/2/Y227),"")</f>
        <v>7.7099586966498393E-2</v>
      </c>
      <c r="AV227" s="43" t="str">
        <f>IF(AND(F227&lt;&gt;"",AJ227&lt;&gt;""),AL227/(F227/2/AJ227),"")</f>
        <v/>
      </c>
      <c r="AW227" s="41">
        <f>IF(AND(AP227&lt;&gt;"",1-(AP227/N227)&gt;0),1-(AP227/N227),"")</f>
        <v>0.4366812227074236</v>
      </c>
      <c r="AX227" s="41">
        <f>IF(AND(AE227&lt;&gt;"",1-(AE227/N227)&gt;0),1-(AE227/N227),"")</f>
        <v>0.47161572052401746</v>
      </c>
      <c r="AY227" s="136" t="str">
        <f>IF(P227="","",IF(P227&lt;2.5,"Alc. Bruta &lt; 2,5 mg/L",IF(P227&lt;5,"2,5 ≤ Alc. Bruta &lt; 5,0 mg/L",IF(P227&lt;7.5,"5,0 ≤ Alc. Bruta &lt; 7,5 mg/L",IF(P227&lt;10,"7,5 ≤ Alc. Bruta &lt; 10,0 mg/L",IF(P227&lt;15,"10,0 ≤ Alca. Bruta &lt; 15,0 mg/L","Alc. Bruta &gt; 15 mg/L"))))))</f>
        <v>7,5 ≤ Alc. Bruta &lt; 10,0 mg/L</v>
      </c>
      <c r="AZ227" s="136" t="str">
        <f>IF(O227="","",IF(O227&lt;5,"Cor &lt;5 uC",IF(O227&lt;10,"5 ≤ Cor &lt; 10 uC",IF(O227&lt;15,"10 ≤ Cor &lt;15 uC",IF(O227&lt;30,"15 ≤ Cor &lt; 30 uC",IF(O227&lt;50,"30 ≤ Cor &lt; 50 uC","Cor &gt; 50 uC"))))))</f>
        <v>10 ≤ Cor &lt;15 uC</v>
      </c>
      <c r="BA227" s="137" t="str">
        <f>IF(N227="","",IF(N227&lt;2.5,"Turbidez &lt; 2,5 uT",IF(N227&lt;5,"2,5 ≤ Turb &lt; 5,0 uT",IF(N227&lt;7.5,"5,0 ≤ Turb &lt; 7,5 uT",IF(N227&lt;10,"7,5 ≤ Turb &lt; 10,0 uT",IF(N227&lt;15,"10,0 ≤ Turb &lt; 15,0 uT","Turb &gt; 15 uT"))))))</f>
        <v>Turbidez &lt; 2,5 uT</v>
      </c>
      <c r="BB227" s="138" t="str">
        <f>IF(AND(C227&gt;D227,D227&gt;E227),"TOR &gt; SM &gt; BNN",IF(AND(C227&gt;E227,E227&gt;D227),"TOR &gt; BNN &gt; SM",IF(AND(D227&gt;C227,C227&gt;E227),"SM &gt; TOR &gt; BNN",IF(AND(D227&gt;E227,E227&gt;C227),"SM &gt; BNN &gt; TOR",IF(AND(C227=D227,D227=E227),"TOR = SM = BNN","Comb. diferentes")))))</f>
        <v>Comb. diferentes</v>
      </c>
      <c r="BC227" s="137" t="str">
        <f>IF(OR(AD227="",AP227="-"),"",IF(AD227&lt;=0.25,"Tipo 1 (≤0,25) uT",IF(AD227&lt;=0.5,"Tipo 2 (0,25-0,50) uT",IF(AD227&lt;=0.75,"Tipo 3 (0,50-0,75) uT","Tipo 4 (&gt;0,75) uT"))))</f>
        <v>Tipo 4 (&gt;0,75) uT</v>
      </c>
      <c r="BD227" s="137" t="str">
        <f>IF(OR(AO227="",AY227="-"),"",IF(AO227&lt;=0.25,"Tipo 1 (≤0,25) uT",IF(AO227&lt;=0.5,"Tipo 2 (0,25-0,50) uT",IF(AO227&lt;=0.75,"Tipo 3 (0,50-0,75) uT","Tipo 4 (&gt;0,75) uT"))))</f>
        <v>Tipo 4 (&gt;0,75) uT</v>
      </c>
      <c r="BE227" s="137" t="str">
        <f>IF(OR(AE227="",AP227="-"),"",IF(AE227&lt;=0.25,"Tipo 1 (≤0,25) uT",IF(AE227&lt;=0.5,"Tipo 2 (0,25-0,50) uT",IF(AE227&lt;=0.75,"Tipo 3 (0,50-0,75) uT","Tipo 4 (&gt;0,75) uT"))))</f>
        <v>Tipo 4 (&gt;0,75) uT</v>
      </c>
      <c r="BF227" s="137" t="str">
        <f>IF(OR(AP227="",AP227="-"),"",IF(AP227&lt;=0.25,"Tipo 1 (≤0,25) uT",IF(AP227&lt;=0.5,"Tipo 2 (0,25-0,50) uT",IF(AP227&lt;=0.75,"Tipo 3 (0,50-0,75) uT","Tipo 4 (&gt;0,75) uT"))))</f>
        <v>Tipo 4 (&gt;0,75) uT</v>
      </c>
      <c r="BG227" s="137" t="str">
        <f>IF(OR(Q227="",Q227="-"),"",IF(Q227&lt;=0.25,"Tipo 1 (≤0,25) uT",IF(Q227&lt;=0.5,"Tipo 2 (0,25-0,50) uT",IF(Q227&lt;=0.75,"Tipo 3 (0,50-0,75) uT","Tipo 4 (&gt;0,75) uT"))))</f>
        <v>Tipo 3 (0,50-0,75) uT</v>
      </c>
    </row>
    <row r="228" spans="1:59" x14ac:dyDescent="0.3">
      <c r="A228" s="26">
        <v>46151</v>
      </c>
      <c r="B228" s="107">
        <v>0.64583333333333337</v>
      </c>
      <c r="C228" s="116">
        <v>1200</v>
      </c>
      <c r="D228" s="116">
        <v>80</v>
      </c>
      <c r="E228" s="116">
        <v>500</v>
      </c>
      <c r="F228" s="116">
        <v>1884</v>
      </c>
      <c r="G228" s="10" t="s">
        <v>100</v>
      </c>
      <c r="H228" s="122">
        <v>4.7</v>
      </c>
      <c r="I228" s="116">
        <v>90</v>
      </c>
      <c r="J228" s="116">
        <v>90</v>
      </c>
      <c r="K228" s="116">
        <v>90</v>
      </c>
      <c r="L228" s="122">
        <v>25.5</v>
      </c>
      <c r="M228" s="122">
        <v>6.8</v>
      </c>
      <c r="N228" s="79">
        <v>2.75</v>
      </c>
      <c r="O228" s="116">
        <v>17</v>
      </c>
      <c r="P228" s="122">
        <v>7</v>
      </c>
      <c r="Q228" s="79">
        <v>1.79</v>
      </c>
      <c r="R228" s="79">
        <v>22.36</v>
      </c>
      <c r="S228" s="79">
        <v>0.88</v>
      </c>
      <c r="T228" s="79">
        <v>0.7</v>
      </c>
      <c r="U228" s="85">
        <f t="shared" ref="U228:U291" si="28">(N228+0.3*H228+0.25)*(F228/2/Y228)</f>
        <v>1038.5550000000001</v>
      </c>
      <c r="V228" s="79">
        <f t="shared" ref="V228:V291" si="29">R228*(T228*Z228*0.987-S228)*AA228</f>
        <v>1924.40821248</v>
      </c>
      <c r="W228" s="79">
        <f t="shared" ref="W228:W291" si="30">V228/U228</f>
        <v>1.8529670672039515</v>
      </c>
      <c r="X228" s="116">
        <v>2</v>
      </c>
      <c r="Y228" s="116">
        <v>4</v>
      </c>
      <c r="Z228" s="122">
        <v>6.4</v>
      </c>
      <c r="AA228" s="116">
        <v>24.3</v>
      </c>
      <c r="AB228" s="122">
        <v>6.7</v>
      </c>
      <c r="AC228" s="122">
        <v>8.4</v>
      </c>
      <c r="AD228" s="10">
        <v>2.09</v>
      </c>
      <c r="AE228" s="79">
        <v>2.16</v>
      </c>
      <c r="AF228" s="85">
        <f t="shared" si="21"/>
        <v>1384.74</v>
      </c>
      <c r="AG228" s="85">
        <f t="shared" si="22"/>
        <v>1959.1714050999999</v>
      </c>
      <c r="AH228" s="85">
        <f t="shared" si="23"/>
        <v>1.4148297912243453</v>
      </c>
      <c r="AI228" s="116">
        <v>2</v>
      </c>
      <c r="AJ228" s="116">
        <v>3</v>
      </c>
      <c r="AK228" s="79">
        <v>6.45</v>
      </c>
      <c r="AL228" s="79">
        <v>24.5</v>
      </c>
      <c r="AM228" s="122">
        <v>6.7</v>
      </c>
      <c r="AN228" s="122">
        <v>8.1</v>
      </c>
      <c r="AO228" s="79">
        <v>1.1000000000000001</v>
      </c>
      <c r="AP228" s="127">
        <v>1.79</v>
      </c>
      <c r="AQ228" s="132">
        <f t="shared" si="24"/>
        <v>1780</v>
      </c>
      <c r="AR228" s="134">
        <f t="shared" si="25"/>
        <v>0.6741573033707865</v>
      </c>
      <c r="AS228" s="134">
        <f t="shared" si="26"/>
        <v>4.49438202247191E-2</v>
      </c>
      <c r="AT228" s="134">
        <f t="shared" si="27"/>
        <v>0.2808988764044944</v>
      </c>
      <c r="AU228" s="43">
        <f>IF(AND(F228&lt;&gt;"",Y228&lt;&gt;""),AA228/(F228/2/Y228),"")</f>
        <v>0.10318471337579618</v>
      </c>
      <c r="AV228" s="43">
        <f>IF(AND(F228&lt;&gt;"",AJ228&lt;&gt;""),AL228/(F228/2/AJ228),"")</f>
        <v>7.8025477707006366E-2</v>
      </c>
      <c r="AW228" s="41">
        <f>IF(AND(AP228&lt;&gt;"",1-(AP228/N228)&gt;0),1-(AP228/N228),"")</f>
        <v>0.34909090909090912</v>
      </c>
      <c r="AX228" s="41">
        <f>IF(AND(AE228&lt;&gt;"",1-(AE228/N228)&gt;0),1-(AE228/N228),"")</f>
        <v>0.21454545454545448</v>
      </c>
      <c r="AY228" s="136" t="str">
        <f>IF(P228="","",IF(P228&lt;2.5,"Alc. Bruta &lt; 2,5 mg/L",IF(P228&lt;5,"2,5 ≤ Alc. Bruta &lt; 5,0 mg/L",IF(P228&lt;7.5,"5,0 ≤ Alc. Bruta &lt; 7,5 mg/L",IF(P228&lt;10,"7,5 ≤ Alc. Bruta &lt; 10,0 mg/L",IF(P228&lt;15,"10,0 ≤ Alca. Bruta &lt; 15,0 mg/L","Alc. Bruta &gt; 15 mg/L"))))))</f>
        <v>5,0 ≤ Alc. Bruta &lt; 7,5 mg/L</v>
      </c>
      <c r="AZ228" s="136" t="str">
        <f>IF(O228="","",IF(O228&lt;5,"Cor &lt;5 uC",IF(O228&lt;10,"5 ≤ Cor &lt; 10 uC",IF(O228&lt;15,"10 ≤ Cor &lt;15 uC",IF(O228&lt;30,"15 ≤ Cor &lt; 30 uC",IF(O228&lt;50,"30 ≤ Cor &lt; 50 uC","Cor &gt; 50 uC"))))))</f>
        <v>15 ≤ Cor &lt; 30 uC</v>
      </c>
      <c r="BA228" s="137" t="str">
        <f>IF(N228="","",IF(N228&lt;2.5,"Turbidez &lt; 2,5 uT",IF(N228&lt;5,"2,5 ≤ Turb &lt; 5,0 uT",IF(N228&lt;7.5,"5,0 ≤ Turb &lt; 7,5 uT",IF(N228&lt;10,"7,5 ≤ Turb &lt; 10,0 uT",IF(N228&lt;15,"10,0 ≤ Turb &lt; 15,0 uT","Turb &gt; 15 uT"))))))</f>
        <v>2,5 ≤ Turb &lt; 5,0 uT</v>
      </c>
      <c r="BB228" s="138" t="str">
        <f>IF(AND(C228&gt;D228,D228&gt;E228),"TOR &gt; SM &gt; BNN",IF(AND(C228&gt;E228,E228&gt;D228),"TOR &gt; BNN &gt; SM",IF(AND(D228&gt;C228,C228&gt;E228),"SM &gt; TOR &gt; BNN",IF(AND(D228&gt;E228,E228&gt;C228),"SM &gt; BNN &gt; TOR",IF(AND(C228=D228,D228=E228),"TOR = SM = BNN","Comb. diferentes")))))</f>
        <v>TOR &gt; BNN &gt; SM</v>
      </c>
      <c r="BC228" s="137" t="str">
        <f>IF(OR(AD228="",AP228="-"),"",IF(AD228&lt;=0.25,"Tipo 1 (≤0,25) uT",IF(AD228&lt;=0.5,"Tipo 2 (0,25-0,50) uT",IF(AD228&lt;=0.75,"Tipo 3 (0,50-0,75) uT","Tipo 4 (&gt;0,75) uT"))))</f>
        <v>Tipo 4 (&gt;0,75) uT</v>
      </c>
      <c r="BD228" s="137" t="str">
        <f>IF(OR(AO228="",AY228="-"),"",IF(AO228&lt;=0.25,"Tipo 1 (≤0,25) uT",IF(AO228&lt;=0.5,"Tipo 2 (0,25-0,50) uT",IF(AO228&lt;=0.75,"Tipo 3 (0,50-0,75) uT","Tipo 4 (&gt;0,75) uT"))))</f>
        <v>Tipo 4 (&gt;0,75) uT</v>
      </c>
      <c r="BE228" s="137" t="str">
        <f>IF(OR(AE228="",AP228="-"),"",IF(AE228&lt;=0.25,"Tipo 1 (≤0,25) uT",IF(AE228&lt;=0.5,"Tipo 2 (0,25-0,50) uT",IF(AE228&lt;=0.75,"Tipo 3 (0,50-0,75) uT","Tipo 4 (&gt;0,75) uT"))))</f>
        <v>Tipo 4 (&gt;0,75) uT</v>
      </c>
      <c r="BF228" s="137" t="str">
        <f>IF(OR(AP228="",AP228="-"),"",IF(AP228&lt;=0.25,"Tipo 1 (≤0,25) uT",IF(AP228&lt;=0.5,"Tipo 2 (0,25-0,50) uT",IF(AP228&lt;=0.75,"Tipo 3 (0,50-0,75) uT","Tipo 4 (&gt;0,75) uT"))))</f>
        <v>Tipo 4 (&gt;0,75) uT</v>
      </c>
      <c r="BG228" s="137" t="str">
        <f>IF(OR(Q228="",Q228="-"),"",IF(Q228&lt;=0.25,"Tipo 1 (≤0,25) uT",IF(Q228&lt;=0.5,"Tipo 2 (0,25-0,50) uT",IF(Q228&lt;=0.75,"Tipo 3 (0,50-0,75) uT","Tipo 4 (&gt;0,75) uT"))))</f>
        <v>Tipo 4 (&gt;0,75) uT</v>
      </c>
    </row>
    <row r="229" spans="1:59" x14ac:dyDescent="0.3">
      <c r="A229" s="26">
        <v>46151</v>
      </c>
      <c r="B229" s="107">
        <v>0.72916666666666663</v>
      </c>
      <c r="C229" s="116">
        <v>1180</v>
      </c>
      <c r="D229" s="116">
        <v>80</v>
      </c>
      <c r="E229" s="116">
        <v>500</v>
      </c>
      <c r="F229" s="116">
        <v>1760</v>
      </c>
      <c r="G229" s="10" t="s">
        <v>100</v>
      </c>
      <c r="H229" s="122">
        <v>6.5</v>
      </c>
      <c r="I229" s="116">
        <v>90</v>
      </c>
      <c r="J229" s="116">
        <v>90</v>
      </c>
      <c r="K229" s="116">
        <v>90</v>
      </c>
      <c r="L229" s="122">
        <v>25.1</v>
      </c>
      <c r="M229" s="122">
        <v>6.8</v>
      </c>
      <c r="N229" s="79">
        <v>3.67</v>
      </c>
      <c r="O229" s="116">
        <v>17</v>
      </c>
      <c r="P229" s="122">
        <v>7.6</v>
      </c>
      <c r="Q229" s="79">
        <v>1.83</v>
      </c>
      <c r="R229" s="79">
        <v>22.36</v>
      </c>
      <c r="S229" s="79">
        <v>0.88</v>
      </c>
      <c r="T229" s="79">
        <v>0.7</v>
      </c>
      <c r="U229" s="85">
        <f t="shared" si="28"/>
        <v>1721.8666666666666</v>
      </c>
      <c r="V229" s="79">
        <f t="shared" si="29"/>
        <v>1951.6016283399995</v>
      </c>
      <c r="W229" s="79">
        <f t="shared" si="30"/>
        <v>1.1334220390700014</v>
      </c>
      <c r="X229" s="116">
        <v>2</v>
      </c>
      <c r="Y229" s="116">
        <v>3</v>
      </c>
      <c r="Z229" s="122">
        <v>6.43</v>
      </c>
      <c r="AA229" s="116">
        <v>24.5</v>
      </c>
      <c r="AB229" s="122">
        <v>6.7</v>
      </c>
      <c r="AC229" s="122">
        <v>7.1</v>
      </c>
      <c r="AD229" s="10">
        <v>0.28000000000000003</v>
      </c>
      <c r="AE229" s="79">
        <v>1.97</v>
      </c>
      <c r="AF229" s="85">
        <f t="shared" ref="AF229:AF292" si="31">(N229+0.3*H229+0.25)*(F229/2/AJ229)</f>
        <v>1721.8666666666666</v>
      </c>
      <c r="AG229" s="85">
        <f t="shared" ref="AG229:AG292" si="32">R229*(T229*AK229*0.987-S229)*AL229</f>
        <v>1959.1714050999999</v>
      </c>
      <c r="AH229" s="85">
        <f t="shared" ref="AH229:AH292" si="33">AG229/AF229</f>
        <v>1.1378183009330958</v>
      </c>
      <c r="AI229" s="116">
        <v>2</v>
      </c>
      <c r="AJ229" s="116">
        <v>3</v>
      </c>
      <c r="AK229" s="79">
        <v>6.45</v>
      </c>
      <c r="AL229" s="79">
        <v>24.5</v>
      </c>
      <c r="AM229" s="122">
        <v>6.7</v>
      </c>
      <c r="AN229" s="122">
        <v>6.5</v>
      </c>
      <c r="AO229" s="79">
        <v>0.15</v>
      </c>
      <c r="AP229" s="127">
        <v>1.59</v>
      </c>
      <c r="AQ229" s="132">
        <f t="shared" si="24"/>
        <v>1760</v>
      </c>
      <c r="AR229" s="134">
        <f t="shared" si="25"/>
        <v>0.67045454545454541</v>
      </c>
      <c r="AS229" s="134">
        <f t="shared" si="26"/>
        <v>4.5454545454545456E-2</v>
      </c>
      <c r="AT229" s="134">
        <f t="shared" si="27"/>
        <v>0.28409090909090912</v>
      </c>
      <c r="AU229" s="43">
        <f>IF(AND(F229&lt;&gt;"",Y229&lt;&gt;""),AA229/(F229/2/Y229),"")</f>
        <v>8.3522727272727276E-2</v>
      </c>
      <c r="AV229" s="43">
        <f>IF(AND(F229&lt;&gt;"",AJ229&lt;&gt;""),AL229/(F229/2/AJ229),"")</f>
        <v>8.3522727272727276E-2</v>
      </c>
      <c r="AW229" s="41">
        <f>IF(AND(AP229&lt;&gt;"",1-(AP229/N229)&gt;0),1-(AP229/N229),"")</f>
        <v>0.56675749318801083</v>
      </c>
      <c r="AX229" s="41">
        <f>IF(AND(AE229&lt;&gt;"",1-(AE229/N229)&gt;0),1-(AE229/N229),"")</f>
        <v>0.46321525885558579</v>
      </c>
      <c r="AY229" s="136" t="str">
        <f>IF(P229="","",IF(P229&lt;2.5,"Alc. Bruta &lt; 2,5 mg/L",IF(P229&lt;5,"2,5 ≤ Alc. Bruta &lt; 5,0 mg/L",IF(P229&lt;7.5,"5,0 ≤ Alc. Bruta &lt; 7,5 mg/L",IF(P229&lt;10,"7,5 ≤ Alc. Bruta &lt; 10,0 mg/L",IF(P229&lt;15,"10,0 ≤ Alca. Bruta &lt; 15,0 mg/L","Alc. Bruta &gt; 15 mg/L"))))))</f>
        <v>7,5 ≤ Alc. Bruta &lt; 10,0 mg/L</v>
      </c>
      <c r="AZ229" s="136" t="str">
        <f>IF(O229="","",IF(O229&lt;5,"Cor &lt;5 uC",IF(O229&lt;10,"5 ≤ Cor &lt; 10 uC",IF(O229&lt;15,"10 ≤ Cor &lt;15 uC",IF(O229&lt;30,"15 ≤ Cor &lt; 30 uC",IF(O229&lt;50,"30 ≤ Cor &lt; 50 uC","Cor &gt; 50 uC"))))))</f>
        <v>15 ≤ Cor &lt; 30 uC</v>
      </c>
      <c r="BA229" s="137" t="str">
        <f>IF(N229="","",IF(N229&lt;2.5,"Turbidez &lt; 2,5 uT",IF(N229&lt;5,"2,5 ≤ Turb &lt; 5,0 uT",IF(N229&lt;7.5,"5,0 ≤ Turb &lt; 7,5 uT",IF(N229&lt;10,"7,5 ≤ Turb &lt; 10,0 uT",IF(N229&lt;15,"10,0 ≤ Turb &lt; 15,0 uT","Turb &gt; 15 uT"))))))</f>
        <v>2,5 ≤ Turb &lt; 5,0 uT</v>
      </c>
      <c r="BB229" s="138" t="str">
        <f>IF(AND(C229&gt;D229,D229&gt;E229),"TOR &gt; SM &gt; BNN",IF(AND(C229&gt;E229,E229&gt;D229),"TOR &gt; BNN &gt; SM",IF(AND(D229&gt;C229,C229&gt;E229),"SM &gt; TOR &gt; BNN",IF(AND(D229&gt;E229,E229&gt;C229),"SM &gt; BNN &gt; TOR",IF(AND(C229=D229,D229=E229),"TOR = SM = BNN","Comb. diferentes")))))</f>
        <v>TOR &gt; BNN &gt; SM</v>
      </c>
      <c r="BC229" s="137" t="str">
        <f>IF(OR(AD229="",AP229="-"),"",IF(AD229&lt;=0.25,"Tipo 1 (≤0,25) uT",IF(AD229&lt;=0.5,"Tipo 2 (0,25-0,50) uT",IF(AD229&lt;=0.75,"Tipo 3 (0,50-0,75) uT","Tipo 4 (&gt;0,75) uT"))))</f>
        <v>Tipo 2 (0,25-0,50) uT</v>
      </c>
      <c r="BD229" s="137" t="str">
        <f>IF(OR(AO229="",AY229="-"),"",IF(AO229&lt;=0.25,"Tipo 1 (≤0,25) uT",IF(AO229&lt;=0.5,"Tipo 2 (0,25-0,50) uT",IF(AO229&lt;=0.75,"Tipo 3 (0,50-0,75) uT","Tipo 4 (&gt;0,75) uT"))))</f>
        <v>Tipo 1 (≤0,25) uT</v>
      </c>
      <c r="BE229" s="137" t="str">
        <f>IF(OR(AE229="",AP229="-"),"",IF(AE229&lt;=0.25,"Tipo 1 (≤0,25) uT",IF(AE229&lt;=0.5,"Tipo 2 (0,25-0,50) uT",IF(AE229&lt;=0.75,"Tipo 3 (0,50-0,75) uT","Tipo 4 (&gt;0,75) uT"))))</f>
        <v>Tipo 4 (&gt;0,75) uT</v>
      </c>
      <c r="BF229" s="137" t="str">
        <f>IF(OR(AP229="",AP229="-"),"",IF(AP229&lt;=0.25,"Tipo 1 (≤0,25) uT",IF(AP229&lt;=0.5,"Tipo 2 (0,25-0,50) uT",IF(AP229&lt;=0.75,"Tipo 3 (0,50-0,75) uT","Tipo 4 (&gt;0,75) uT"))))</f>
        <v>Tipo 4 (&gt;0,75) uT</v>
      </c>
      <c r="BG229" s="137" t="str">
        <f>IF(OR(Q229="",Q229="-"),"",IF(Q229&lt;=0.25,"Tipo 1 (≤0,25) uT",IF(Q229&lt;=0.5,"Tipo 2 (0,25-0,50) uT",IF(Q229&lt;=0.75,"Tipo 3 (0,50-0,75) uT","Tipo 4 (&gt;0,75) uT"))))</f>
        <v>Tipo 4 (&gt;0,75) uT</v>
      </c>
    </row>
    <row r="230" spans="1:59" x14ac:dyDescent="0.3">
      <c r="A230" s="26">
        <v>46151</v>
      </c>
      <c r="B230" s="107">
        <v>0.8125</v>
      </c>
      <c r="C230" s="116">
        <v>1131</v>
      </c>
      <c r="D230" s="116">
        <v>89</v>
      </c>
      <c r="E230" s="116">
        <v>499</v>
      </c>
      <c r="F230" s="116">
        <v>1712</v>
      </c>
      <c r="G230" s="10" t="s">
        <v>100</v>
      </c>
      <c r="H230" s="122">
        <v>6.5</v>
      </c>
      <c r="I230" s="116">
        <v>90</v>
      </c>
      <c r="J230" s="116">
        <v>90</v>
      </c>
      <c r="K230" s="116">
        <v>90</v>
      </c>
      <c r="L230" s="122">
        <v>24.5</v>
      </c>
      <c r="M230" s="122">
        <v>6.7</v>
      </c>
      <c r="N230" s="79">
        <v>3.7</v>
      </c>
      <c r="O230" s="116">
        <v>16</v>
      </c>
      <c r="P230" s="122">
        <v>8.1999999999999993</v>
      </c>
      <c r="Q230" s="79">
        <v>0.16</v>
      </c>
      <c r="R230" s="79">
        <v>22.36</v>
      </c>
      <c r="S230" s="79">
        <v>0.88</v>
      </c>
      <c r="T230" s="79">
        <v>0.7</v>
      </c>
      <c r="U230" s="85">
        <f t="shared" si="28"/>
        <v>1683.4666666666667</v>
      </c>
      <c r="V230" s="79">
        <f t="shared" si="29"/>
        <v>1951.6016283399995</v>
      </c>
      <c r="W230" s="79">
        <f t="shared" si="30"/>
        <v>1.1592754801639471</v>
      </c>
      <c r="X230" s="116">
        <v>2</v>
      </c>
      <c r="Y230" s="116">
        <v>3</v>
      </c>
      <c r="Z230" s="122">
        <v>6.43</v>
      </c>
      <c r="AA230" s="116">
        <v>24.5</v>
      </c>
      <c r="AB230" s="122">
        <v>6.5</v>
      </c>
      <c r="AC230" s="122">
        <v>7.6</v>
      </c>
      <c r="AD230" s="10">
        <v>0.56000000000000005</v>
      </c>
      <c r="AE230" s="79">
        <v>0.12</v>
      </c>
      <c r="AF230" s="85">
        <f t="shared" si="31"/>
        <v>1683.4666666666667</v>
      </c>
      <c r="AG230" s="85">
        <f t="shared" si="32"/>
        <v>0</v>
      </c>
      <c r="AH230" s="85">
        <f t="shared" si="33"/>
        <v>0</v>
      </c>
      <c r="AI230" s="116">
        <v>2</v>
      </c>
      <c r="AJ230" s="116">
        <v>3</v>
      </c>
      <c r="AK230" s="79"/>
      <c r="AL230" s="79"/>
      <c r="AM230" s="122">
        <v>6.7</v>
      </c>
      <c r="AN230" s="122">
        <v>6.4</v>
      </c>
      <c r="AO230" s="79">
        <v>0.13</v>
      </c>
      <c r="AP230" s="127">
        <v>0.16</v>
      </c>
      <c r="AQ230" s="132">
        <f t="shared" si="24"/>
        <v>1719</v>
      </c>
      <c r="AR230" s="134">
        <f t="shared" si="25"/>
        <v>0.65794066317626532</v>
      </c>
      <c r="AS230" s="134">
        <f t="shared" si="26"/>
        <v>5.1774287376381616E-2</v>
      </c>
      <c r="AT230" s="134">
        <f t="shared" si="27"/>
        <v>0.29028504944735312</v>
      </c>
      <c r="AU230" s="43">
        <f>IF(AND(F230&lt;&gt;"",Y230&lt;&gt;""),AA230/(F230/2/Y230),"")</f>
        <v>8.5864485981308414E-2</v>
      </c>
      <c r="AV230" s="43">
        <f>IF(AND(F230&lt;&gt;"",AJ230&lt;&gt;""),AL230/(F230/2/AJ230),"")</f>
        <v>0</v>
      </c>
      <c r="AW230" s="41">
        <f>IF(AND(AP230&lt;&gt;"",1-(AP230/N230)&gt;0),1-(AP230/N230),"")</f>
        <v>0.95675675675675675</v>
      </c>
      <c r="AX230" s="41">
        <f>IF(AND(AE230&lt;&gt;"",1-(AE230/N230)&gt;0),1-(AE230/N230),"")</f>
        <v>0.96756756756756757</v>
      </c>
      <c r="AY230" s="136" t="str">
        <f>IF(P230="","",IF(P230&lt;2.5,"Alc. Bruta &lt; 2,5 mg/L",IF(P230&lt;5,"2,5 ≤ Alc. Bruta &lt; 5,0 mg/L",IF(P230&lt;7.5,"5,0 ≤ Alc. Bruta &lt; 7,5 mg/L",IF(P230&lt;10,"7,5 ≤ Alc. Bruta &lt; 10,0 mg/L",IF(P230&lt;15,"10,0 ≤ Alca. Bruta &lt; 15,0 mg/L","Alc. Bruta &gt; 15 mg/L"))))))</f>
        <v>7,5 ≤ Alc. Bruta &lt; 10,0 mg/L</v>
      </c>
      <c r="AZ230" s="136" t="str">
        <f>IF(O230="","",IF(O230&lt;5,"Cor &lt;5 uC",IF(O230&lt;10,"5 ≤ Cor &lt; 10 uC",IF(O230&lt;15,"10 ≤ Cor &lt;15 uC",IF(O230&lt;30,"15 ≤ Cor &lt; 30 uC",IF(O230&lt;50,"30 ≤ Cor &lt; 50 uC","Cor &gt; 50 uC"))))))</f>
        <v>15 ≤ Cor &lt; 30 uC</v>
      </c>
      <c r="BA230" s="137" t="str">
        <f>IF(N230="","",IF(N230&lt;2.5,"Turbidez &lt; 2,5 uT",IF(N230&lt;5,"2,5 ≤ Turb &lt; 5,0 uT",IF(N230&lt;7.5,"5,0 ≤ Turb &lt; 7,5 uT",IF(N230&lt;10,"7,5 ≤ Turb &lt; 10,0 uT",IF(N230&lt;15,"10,0 ≤ Turb &lt; 15,0 uT","Turb &gt; 15 uT"))))))</f>
        <v>2,5 ≤ Turb &lt; 5,0 uT</v>
      </c>
      <c r="BB230" s="138" t="str">
        <f>IF(AND(C230&gt;D230,D230&gt;E230),"TOR &gt; SM &gt; BNN",IF(AND(C230&gt;E230,E230&gt;D230),"TOR &gt; BNN &gt; SM",IF(AND(D230&gt;C230,C230&gt;E230),"SM &gt; TOR &gt; BNN",IF(AND(D230&gt;E230,E230&gt;C230),"SM &gt; BNN &gt; TOR",IF(AND(C230=D230,D230=E230),"TOR = SM = BNN","Comb. diferentes")))))</f>
        <v>TOR &gt; BNN &gt; SM</v>
      </c>
      <c r="BC230" s="137" t="str">
        <f>IF(OR(AD230="",AP230="-"),"",IF(AD230&lt;=0.25,"Tipo 1 (≤0,25) uT",IF(AD230&lt;=0.5,"Tipo 2 (0,25-0,50) uT",IF(AD230&lt;=0.75,"Tipo 3 (0,50-0,75) uT","Tipo 4 (&gt;0,75) uT"))))</f>
        <v>Tipo 3 (0,50-0,75) uT</v>
      </c>
      <c r="BD230" s="137" t="str">
        <f>IF(OR(AO230="",AY230="-"),"",IF(AO230&lt;=0.25,"Tipo 1 (≤0,25) uT",IF(AO230&lt;=0.5,"Tipo 2 (0,25-0,50) uT",IF(AO230&lt;=0.75,"Tipo 3 (0,50-0,75) uT","Tipo 4 (&gt;0,75) uT"))))</f>
        <v>Tipo 1 (≤0,25) uT</v>
      </c>
      <c r="BE230" s="137" t="str">
        <f>IF(OR(AE230="",AP230="-"),"",IF(AE230&lt;=0.25,"Tipo 1 (≤0,25) uT",IF(AE230&lt;=0.5,"Tipo 2 (0,25-0,50) uT",IF(AE230&lt;=0.75,"Tipo 3 (0,50-0,75) uT","Tipo 4 (&gt;0,75) uT"))))</f>
        <v>Tipo 1 (≤0,25) uT</v>
      </c>
      <c r="BF230" s="137" t="str">
        <f>IF(OR(AP230="",AP230="-"),"",IF(AP230&lt;=0.25,"Tipo 1 (≤0,25) uT",IF(AP230&lt;=0.5,"Tipo 2 (0,25-0,50) uT",IF(AP230&lt;=0.75,"Tipo 3 (0,50-0,75) uT","Tipo 4 (&gt;0,75) uT"))))</f>
        <v>Tipo 1 (≤0,25) uT</v>
      </c>
      <c r="BG230" s="137" t="str">
        <f>IF(OR(Q230="",Q230="-"),"",IF(Q230&lt;=0.25,"Tipo 1 (≤0,25) uT",IF(Q230&lt;=0.5,"Tipo 2 (0,25-0,50) uT",IF(Q230&lt;=0.75,"Tipo 3 (0,50-0,75) uT","Tipo 4 (&gt;0,75) uT"))))</f>
        <v>Tipo 1 (≤0,25) uT</v>
      </c>
    </row>
    <row r="231" spans="1:59" x14ac:dyDescent="0.3">
      <c r="A231" s="26">
        <v>46151</v>
      </c>
      <c r="B231" s="107">
        <v>0.89583333333333337</v>
      </c>
      <c r="C231" s="116">
        <v>1212</v>
      </c>
      <c r="D231" s="116">
        <v>87</v>
      </c>
      <c r="E231" s="116">
        <v>500</v>
      </c>
      <c r="F231" s="116">
        <v>1819</v>
      </c>
      <c r="G231" s="10" t="s">
        <v>100</v>
      </c>
      <c r="H231" s="122">
        <v>6.4</v>
      </c>
      <c r="I231" s="116">
        <v>90</v>
      </c>
      <c r="J231" s="116">
        <v>90</v>
      </c>
      <c r="K231" s="116">
        <v>90</v>
      </c>
      <c r="L231" s="122">
        <v>24.4</v>
      </c>
      <c r="M231" s="122">
        <v>6.8</v>
      </c>
      <c r="N231" s="79">
        <v>4.07</v>
      </c>
      <c r="O231" s="116">
        <v>13</v>
      </c>
      <c r="P231" s="122">
        <v>7.8</v>
      </c>
      <c r="Q231" s="79">
        <v>0.08</v>
      </c>
      <c r="R231" s="79">
        <v>22.36</v>
      </c>
      <c r="S231" s="79">
        <v>0.88</v>
      </c>
      <c r="T231" s="79">
        <v>0.7</v>
      </c>
      <c r="U231" s="85">
        <f t="shared" si="28"/>
        <v>1891.7600000000002</v>
      </c>
      <c r="V231" s="79">
        <f t="shared" si="29"/>
        <v>1446.9291430047997</v>
      </c>
      <c r="W231" s="79">
        <f t="shared" si="30"/>
        <v>0.76485872573941704</v>
      </c>
      <c r="X231" s="116">
        <v>2</v>
      </c>
      <c r="Y231" s="116">
        <v>3</v>
      </c>
      <c r="Z231" s="122">
        <v>6.48</v>
      </c>
      <c r="AA231" s="116">
        <v>17.989999999999998</v>
      </c>
      <c r="AB231" s="122">
        <v>6.5</v>
      </c>
      <c r="AC231" s="122">
        <v>7.1</v>
      </c>
      <c r="AD231" s="10">
        <v>0.28000000000000003</v>
      </c>
      <c r="AE231" s="79">
        <v>0.22</v>
      </c>
      <c r="AF231" s="85">
        <f t="shared" si="31"/>
        <v>1891.7600000000002</v>
      </c>
      <c r="AG231" s="85">
        <f t="shared" si="32"/>
        <v>1849.5188796239997</v>
      </c>
      <c r="AH231" s="85">
        <f t="shared" si="33"/>
        <v>0.9776709940076963</v>
      </c>
      <c r="AI231" s="116">
        <v>2</v>
      </c>
      <c r="AJ231" s="116">
        <v>3</v>
      </c>
      <c r="AK231" s="79">
        <v>6.39</v>
      </c>
      <c r="AL231" s="79">
        <v>23.4</v>
      </c>
      <c r="AM231" s="122">
        <v>6.4</v>
      </c>
      <c r="AN231" s="122">
        <v>5.7</v>
      </c>
      <c r="AO231" s="79">
        <v>0.14000000000000001</v>
      </c>
      <c r="AP231" s="127">
        <v>0.16</v>
      </c>
      <c r="AQ231" s="132">
        <f t="shared" si="24"/>
        <v>1799</v>
      </c>
      <c r="AR231" s="134">
        <f t="shared" si="25"/>
        <v>0.67370761534185664</v>
      </c>
      <c r="AS231" s="134">
        <f t="shared" si="26"/>
        <v>4.8360200111172875E-2</v>
      </c>
      <c r="AT231" s="134">
        <f t="shared" si="27"/>
        <v>0.27793218454697055</v>
      </c>
      <c r="AU231" s="43">
        <f>IF(AND(F231&lt;&gt;"",Y231&lt;&gt;""),AA231/(F231/2/Y231),"")</f>
        <v>5.9340296866410104E-2</v>
      </c>
      <c r="AV231" s="43">
        <f>IF(AND(F231&lt;&gt;"",AJ231&lt;&gt;""),AL231/(F231/2/AJ231),"")</f>
        <v>7.7185266630016486E-2</v>
      </c>
      <c r="AW231" s="41">
        <f>IF(AND(AP231&lt;&gt;"",1-(AP231/N231)&gt;0),1-(AP231/N231),"")</f>
        <v>0.9606879606879607</v>
      </c>
      <c r="AX231" s="41">
        <f>IF(AND(AE231&lt;&gt;"",1-(AE231/N231)&gt;0),1-(AE231/N231),"")</f>
        <v>0.94594594594594594</v>
      </c>
      <c r="AY231" s="136" t="str">
        <f>IF(P231="","",IF(P231&lt;2.5,"Alc. Bruta &lt; 2,5 mg/L",IF(P231&lt;5,"2,5 ≤ Alc. Bruta &lt; 5,0 mg/L",IF(P231&lt;7.5,"5,0 ≤ Alc. Bruta &lt; 7,5 mg/L",IF(P231&lt;10,"7,5 ≤ Alc. Bruta &lt; 10,0 mg/L",IF(P231&lt;15,"10,0 ≤ Alca. Bruta &lt; 15,0 mg/L","Alc. Bruta &gt; 15 mg/L"))))))</f>
        <v>7,5 ≤ Alc. Bruta &lt; 10,0 mg/L</v>
      </c>
      <c r="AZ231" s="136" t="str">
        <f>IF(O231="","",IF(O231&lt;5,"Cor &lt;5 uC",IF(O231&lt;10,"5 ≤ Cor &lt; 10 uC",IF(O231&lt;15,"10 ≤ Cor &lt;15 uC",IF(O231&lt;30,"15 ≤ Cor &lt; 30 uC",IF(O231&lt;50,"30 ≤ Cor &lt; 50 uC","Cor &gt; 50 uC"))))))</f>
        <v>10 ≤ Cor &lt;15 uC</v>
      </c>
      <c r="BA231" s="137" t="str">
        <f>IF(N231="","",IF(N231&lt;2.5,"Turbidez &lt; 2,5 uT",IF(N231&lt;5,"2,5 ≤ Turb &lt; 5,0 uT",IF(N231&lt;7.5,"5,0 ≤ Turb &lt; 7,5 uT",IF(N231&lt;10,"7,5 ≤ Turb &lt; 10,0 uT",IF(N231&lt;15,"10,0 ≤ Turb &lt; 15,0 uT","Turb &gt; 15 uT"))))))</f>
        <v>2,5 ≤ Turb &lt; 5,0 uT</v>
      </c>
      <c r="BB231" s="138" t="str">
        <f>IF(AND(C231&gt;D231,D231&gt;E231),"TOR &gt; SM &gt; BNN",IF(AND(C231&gt;E231,E231&gt;D231),"TOR &gt; BNN &gt; SM",IF(AND(D231&gt;C231,C231&gt;E231),"SM &gt; TOR &gt; BNN",IF(AND(D231&gt;E231,E231&gt;C231),"SM &gt; BNN &gt; TOR",IF(AND(C231=D231,D231=E231),"TOR = SM = BNN","Comb. diferentes")))))</f>
        <v>TOR &gt; BNN &gt; SM</v>
      </c>
      <c r="BC231" s="137" t="str">
        <f>IF(OR(AD231="",AP231="-"),"",IF(AD231&lt;=0.25,"Tipo 1 (≤0,25) uT",IF(AD231&lt;=0.5,"Tipo 2 (0,25-0,50) uT",IF(AD231&lt;=0.75,"Tipo 3 (0,50-0,75) uT","Tipo 4 (&gt;0,75) uT"))))</f>
        <v>Tipo 2 (0,25-0,50) uT</v>
      </c>
      <c r="BD231" s="137" t="str">
        <f>IF(OR(AO231="",AY231="-"),"",IF(AO231&lt;=0.25,"Tipo 1 (≤0,25) uT",IF(AO231&lt;=0.5,"Tipo 2 (0,25-0,50) uT",IF(AO231&lt;=0.75,"Tipo 3 (0,50-0,75) uT","Tipo 4 (&gt;0,75) uT"))))</f>
        <v>Tipo 1 (≤0,25) uT</v>
      </c>
      <c r="BE231" s="137" t="str">
        <f>IF(OR(AE231="",AP231="-"),"",IF(AE231&lt;=0.25,"Tipo 1 (≤0,25) uT",IF(AE231&lt;=0.5,"Tipo 2 (0,25-0,50) uT",IF(AE231&lt;=0.75,"Tipo 3 (0,50-0,75) uT","Tipo 4 (&gt;0,75) uT"))))</f>
        <v>Tipo 1 (≤0,25) uT</v>
      </c>
      <c r="BF231" s="137" t="str">
        <f>IF(OR(AP231="",AP231="-"),"",IF(AP231&lt;=0.25,"Tipo 1 (≤0,25) uT",IF(AP231&lt;=0.5,"Tipo 2 (0,25-0,50) uT",IF(AP231&lt;=0.75,"Tipo 3 (0,50-0,75) uT","Tipo 4 (&gt;0,75) uT"))))</f>
        <v>Tipo 1 (≤0,25) uT</v>
      </c>
      <c r="BG231" s="137" t="str">
        <f>IF(OR(Q231="",Q231="-"),"",IF(Q231&lt;=0.25,"Tipo 1 (≤0,25) uT",IF(Q231&lt;=0.5,"Tipo 2 (0,25-0,50) uT",IF(Q231&lt;=0.75,"Tipo 3 (0,50-0,75) uT","Tipo 4 (&gt;0,75) uT"))))</f>
        <v>Tipo 1 (≤0,25) uT</v>
      </c>
    </row>
    <row r="232" spans="1:59" x14ac:dyDescent="0.3">
      <c r="A232" s="26">
        <v>46151</v>
      </c>
      <c r="B232" s="107">
        <v>0.97916666666666663</v>
      </c>
      <c r="C232" s="116">
        <v>1212</v>
      </c>
      <c r="D232" s="116">
        <v>87</v>
      </c>
      <c r="E232" s="116">
        <v>500</v>
      </c>
      <c r="F232" s="116">
        <v>1870</v>
      </c>
      <c r="G232" s="10" t="s">
        <v>100</v>
      </c>
      <c r="H232" s="122">
        <v>6</v>
      </c>
      <c r="I232" s="116">
        <v>90</v>
      </c>
      <c r="J232" s="116">
        <v>90</v>
      </c>
      <c r="K232" s="116">
        <v>90</v>
      </c>
      <c r="L232" s="122">
        <v>23.4</v>
      </c>
      <c r="M232" s="122">
        <v>6.7</v>
      </c>
      <c r="N232" s="79">
        <v>4.2300000000000004</v>
      </c>
      <c r="O232" s="116">
        <v>17</v>
      </c>
      <c r="P232" s="122">
        <v>8.1999999999999993</v>
      </c>
      <c r="Q232" s="79">
        <v>7.0000000000000007E-2</v>
      </c>
      <c r="R232" s="79">
        <v>22.36</v>
      </c>
      <c r="S232" s="79">
        <v>0.88</v>
      </c>
      <c r="T232" s="79">
        <v>0.7</v>
      </c>
      <c r="U232" s="85">
        <f t="shared" si="28"/>
        <v>1957.2666666666669</v>
      </c>
      <c r="V232" s="79">
        <f t="shared" si="29"/>
        <v>1626.1536685680001</v>
      </c>
      <c r="W232" s="79">
        <f t="shared" si="30"/>
        <v>0.8308288779767703</v>
      </c>
      <c r="X232" s="116">
        <v>2</v>
      </c>
      <c r="Y232" s="116">
        <v>3</v>
      </c>
      <c r="Z232" s="122">
        <v>6.59</v>
      </c>
      <c r="AA232" s="116">
        <v>19.8</v>
      </c>
      <c r="AB232" s="122">
        <v>6.5</v>
      </c>
      <c r="AC232" s="122">
        <v>7.1</v>
      </c>
      <c r="AD232" s="10">
        <v>0.2</v>
      </c>
      <c r="AE232" s="79">
        <v>0.16</v>
      </c>
      <c r="AF232" s="85">
        <f t="shared" si="31"/>
        <v>1957.2666666666669</v>
      </c>
      <c r="AG232" s="85">
        <f t="shared" si="32"/>
        <v>1901.3924902751996</v>
      </c>
      <c r="AH232" s="85">
        <f t="shared" si="33"/>
        <v>0.9714529566445721</v>
      </c>
      <c r="AI232" s="116">
        <v>2</v>
      </c>
      <c r="AJ232" s="116">
        <v>3</v>
      </c>
      <c r="AK232" s="79">
        <v>6.32</v>
      </c>
      <c r="AL232" s="79">
        <v>24.39</v>
      </c>
      <c r="AM232" s="122">
        <v>6.5</v>
      </c>
      <c r="AN232" s="122">
        <v>6.1</v>
      </c>
      <c r="AO232" s="79">
        <v>0.14000000000000001</v>
      </c>
      <c r="AP232" s="127">
        <v>0.21</v>
      </c>
      <c r="AQ232" s="132">
        <f t="shared" si="24"/>
        <v>1799</v>
      </c>
      <c r="AR232" s="134">
        <f t="shared" si="25"/>
        <v>0.67370761534185664</v>
      </c>
      <c r="AS232" s="134">
        <f t="shared" si="26"/>
        <v>4.8360200111172875E-2</v>
      </c>
      <c r="AT232" s="134">
        <f t="shared" si="27"/>
        <v>0.27793218454697055</v>
      </c>
      <c r="AU232" s="43">
        <f>IF(AND(F232&lt;&gt;"",Y232&lt;&gt;""),AA232/(F232/2/Y232),"")</f>
        <v>6.3529411764705876E-2</v>
      </c>
      <c r="AV232" s="43">
        <f>IF(AND(F232&lt;&gt;"",AJ232&lt;&gt;""),AL232/(F232/2/AJ232),"")</f>
        <v>7.8256684491978604E-2</v>
      </c>
      <c r="AW232" s="41">
        <f>IF(AND(AP232&lt;&gt;"",1-(AP232/N232)&gt;0),1-(AP232/N232),"")</f>
        <v>0.95035460992907805</v>
      </c>
      <c r="AX232" s="41">
        <f>IF(AND(AE232&lt;&gt;"",1-(AE232/N232)&gt;0),1-(AE232/N232),"")</f>
        <v>0.9621749408983451</v>
      </c>
      <c r="AY232" s="136" t="str">
        <f>IF(P232="","",IF(P232&lt;2.5,"Alc. Bruta &lt; 2,5 mg/L",IF(P232&lt;5,"2,5 ≤ Alc. Bruta &lt; 5,0 mg/L",IF(P232&lt;7.5,"5,0 ≤ Alc. Bruta &lt; 7,5 mg/L",IF(P232&lt;10,"7,5 ≤ Alc. Bruta &lt; 10,0 mg/L",IF(P232&lt;15,"10,0 ≤ Alca. Bruta &lt; 15,0 mg/L","Alc. Bruta &gt; 15 mg/L"))))))</f>
        <v>7,5 ≤ Alc. Bruta &lt; 10,0 mg/L</v>
      </c>
      <c r="AZ232" s="136" t="str">
        <f>IF(O232="","",IF(O232&lt;5,"Cor &lt;5 uC",IF(O232&lt;10,"5 ≤ Cor &lt; 10 uC",IF(O232&lt;15,"10 ≤ Cor &lt;15 uC",IF(O232&lt;30,"15 ≤ Cor &lt; 30 uC",IF(O232&lt;50,"30 ≤ Cor &lt; 50 uC","Cor &gt; 50 uC"))))))</f>
        <v>15 ≤ Cor &lt; 30 uC</v>
      </c>
      <c r="BA232" s="137" t="str">
        <f>IF(N232="","",IF(N232&lt;2.5,"Turbidez &lt; 2,5 uT",IF(N232&lt;5,"2,5 ≤ Turb &lt; 5,0 uT",IF(N232&lt;7.5,"5,0 ≤ Turb &lt; 7,5 uT",IF(N232&lt;10,"7,5 ≤ Turb &lt; 10,0 uT",IF(N232&lt;15,"10,0 ≤ Turb &lt; 15,0 uT","Turb &gt; 15 uT"))))))</f>
        <v>2,5 ≤ Turb &lt; 5,0 uT</v>
      </c>
      <c r="BB232" s="138" t="str">
        <f>IF(AND(C232&gt;D232,D232&gt;E232),"TOR &gt; SM &gt; BNN",IF(AND(C232&gt;E232,E232&gt;D232),"TOR &gt; BNN &gt; SM",IF(AND(D232&gt;C232,C232&gt;E232),"SM &gt; TOR &gt; BNN",IF(AND(D232&gt;E232,E232&gt;C232),"SM &gt; BNN &gt; TOR",IF(AND(C232=D232,D232=E232),"TOR = SM = BNN","Comb. diferentes")))))</f>
        <v>TOR &gt; BNN &gt; SM</v>
      </c>
      <c r="BC232" s="137" t="str">
        <f>IF(OR(AD232="",AP232="-"),"",IF(AD232&lt;=0.25,"Tipo 1 (≤0,25) uT",IF(AD232&lt;=0.5,"Tipo 2 (0,25-0,50) uT",IF(AD232&lt;=0.75,"Tipo 3 (0,50-0,75) uT","Tipo 4 (&gt;0,75) uT"))))</f>
        <v>Tipo 1 (≤0,25) uT</v>
      </c>
      <c r="BD232" s="137" t="str">
        <f>IF(OR(AO232="",AY232="-"),"",IF(AO232&lt;=0.25,"Tipo 1 (≤0,25) uT",IF(AO232&lt;=0.5,"Tipo 2 (0,25-0,50) uT",IF(AO232&lt;=0.75,"Tipo 3 (0,50-0,75) uT","Tipo 4 (&gt;0,75) uT"))))</f>
        <v>Tipo 1 (≤0,25) uT</v>
      </c>
      <c r="BE232" s="137" t="str">
        <f>IF(OR(AE232="",AP232="-"),"",IF(AE232&lt;=0.25,"Tipo 1 (≤0,25) uT",IF(AE232&lt;=0.5,"Tipo 2 (0,25-0,50) uT",IF(AE232&lt;=0.75,"Tipo 3 (0,50-0,75) uT","Tipo 4 (&gt;0,75) uT"))))</f>
        <v>Tipo 1 (≤0,25) uT</v>
      </c>
      <c r="BF232" s="137" t="str">
        <f>IF(OR(AP232="",AP232="-"),"",IF(AP232&lt;=0.25,"Tipo 1 (≤0,25) uT",IF(AP232&lt;=0.5,"Tipo 2 (0,25-0,50) uT",IF(AP232&lt;=0.75,"Tipo 3 (0,50-0,75) uT","Tipo 4 (&gt;0,75) uT"))))</f>
        <v>Tipo 1 (≤0,25) uT</v>
      </c>
      <c r="BG232" s="137" t="str">
        <f>IF(OR(Q232="",Q232="-"),"",IF(Q232&lt;=0.25,"Tipo 1 (≤0,25) uT",IF(Q232&lt;=0.5,"Tipo 2 (0,25-0,50) uT",IF(Q232&lt;=0.75,"Tipo 3 (0,50-0,75) uT","Tipo 4 (&gt;0,75) uT"))))</f>
        <v>Tipo 1 (≤0,25) uT</v>
      </c>
    </row>
    <row r="233" spans="1:59" x14ac:dyDescent="0.3">
      <c r="A233" s="26">
        <v>46152</v>
      </c>
      <c r="B233" s="107">
        <v>6.25E-2</v>
      </c>
      <c r="C233" s="116">
        <v>1101</v>
      </c>
      <c r="D233" s="116">
        <v>86</v>
      </c>
      <c r="E233" s="116">
        <v>501</v>
      </c>
      <c r="F233" s="116">
        <v>1881</v>
      </c>
      <c r="G233" s="10" t="s">
        <v>100</v>
      </c>
      <c r="H233" s="122">
        <v>6</v>
      </c>
      <c r="I233" s="116">
        <v>90</v>
      </c>
      <c r="J233" s="116">
        <v>90</v>
      </c>
      <c r="K233" s="116">
        <v>90</v>
      </c>
      <c r="L233" s="122">
        <v>23.4</v>
      </c>
      <c r="M233" s="122">
        <v>6.7</v>
      </c>
      <c r="N233" s="79">
        <v>4.2300000000000004</v>
      </c>
      <c r="O233" s="116">
        <v>17</v>
      </c>
      <c r="P233" s="122">
        <v>8.1999999999999993</v>
      </c>
      <c r="Q233" s="79">
        <v>7.0000000000000007E-2</v>
      </c>
      <c r="R233" s="79">
        <v>22.36</v>
      </c>
      <c r="S233" s="79">
        <v>0.88</v>
      </c>
      <c r="T233" s="79">
        <v>0.7</v>
      </c>
      <c r="U233" s="85">
        <f t="shared" si="28"/>
        <v>1968.78</v>
      </c>
      <c r="V233" s="79">
        <f t="shared" si="29"/>
        <v>1626.1536685680001</v>
      </c>
      <c r="W233" s="79">
        <f t="shared" si="30"/>
        <v>0.82597022956754951</v>
      </c>
      <c r="X233" s="116">
        <v>2</v>
      </c>
      <c r="Y233" s="116">
        <v>3</v>
      </c>
      <c r="Z233" s="122">
        <v>6.59</v>
      </c>
      <c r="AA233" s="116">
        <v>19.8</v>
      </c>
      <c r="AB233" s="122">
        <v>6.5</v>
      </c>
      <c r="AC233" s="122">
        <v>7.1</v>
      </c>
      <c r="AD233" s="10">
        <v>0.2</v>
      </c>
      <c r="AE233" s="79">
        <v>0.16</v>
      </c>
      <c r="AF233" s="85">
        <f t="shared" si="31"/>
        <v>1968.78</v>
      </c>
      <c r="AG233" s="85">
        <f t="shared" si="32"/>
        <v>1897.4945966911996</v>
      </c>
      <c r="AH233" s="85">
        <f t="shared" si="33"/>
        <v>0.96379209291601886</v>
      </c>
      <c r="AI233" s="116">
        <v>2</v>
      </c>
      <c r="AJ233" s="116">
        <v>3</v>
      </c>
      <c r="AK233" s="79">
        <v>6.32</v>
      </c>
      <c r="AL233" s="79">
        <v>24.34</v>
      </c>
      <c r="AM233" s="122">
        <v>6.5</v>
      </c>
      <c r="AN233" s="122">
        <v>6.1</v>
      </c>
      <c r="AO233" s="79">
        <v>0.14000000000000001</v>
      </c>
      <c r="AP233" s="127">
        <v>0.21</v>
      </c>
      <c r="AQ233" s="132">
        <f t="shared" si="24"/>
        <v>1688</v>
      </c>
      <c r="AR233" s="134">
        <f t="shared" si="25"/>
        <v>0.65225118483412325</v>
      </c>
      <c r="AS233" s="134">
        <f t="shared" si="26"/>
        <v>5.0947867298578198E-2</v>
      </c>
      <c r="AT233" s="134">
        <f t="shared" si="27"/>
        <v>0.2968009478672986</v>
      </c>
      <c r="AU233" s="43">
        <f>IF(AND(F233&lt;&gt;"",Y233&lt;&gt;""),AA233/(F233/2/Y233),"")</f>
        <v>6.3157894736842107E-2</v>
      </c>
      <c r="AV233" s="43">
        <f>IF(AND(F233&lt;&gt;"",AJ233&lt;&gt;""),AL233/(F233/2/AJ233),"")</f>
        <v>7.7639553429027119E-2</v>
      </c>
      <c r="AW233" s="41">
        <f>IF(AND(AP233&lt;&gt;"",1-(AP233/N233)&gt;0),1-(AP233/N233),"")</f>
        <v>0.95035460992907805</v>
      </c>
      <c r="AX233" s="41">
        <f>IF(AND(AE233&lt;&gt;"",1-(AE233/N233)&gt;0),1-(AE233/N233),"")</f>
        <v>0.9621749408983451</v>
      </c>
      <c r="AY233" s="136" t="str">
        <f>IF(P233="","",IF(P233&lt;2.5,"Alc. Bruta &lt; 2,5 mg/L",IF(P233&lt;5,"2,5 ≤ Alc. Bruta &lt; 5,0 mg/L",IF(P233&lt;7.5,"5,0 ≤ Alc. Bruta &lt; 7,5 mg/L",IF(P233&lt;10,"7,5 ≤ Alc. Bruta &lt; 10,0 mg/L",IF(P233&lt;15,"10,0 ≤ Alca. Bruta &lt; 15,0 mg/L","Alc. Bruta &gt; 15 mg/L"))))))</f>
        <v>7,5 ≤ Alc. Bruta &lt; 10,0 mg/L</v>
      </c>
      <c r="AZ233" s="136" t="str">
        <f>IF(O233="","",IF(O233&lt;5,"Cor &lt;5 uC",IF(O233&lt;10,"5 ≤ Cor &lt; 10 uC",IF(O233&lt;15,"10 ≤ Cor &lt;15 uC",IF(O233&lt;30,"15 ≤ Cor &lt; 30 uC",IF(O233&lt;50,"30 ≤ Cor &lt; 50 uC","Cor &gt; 50 uC"))))))</f>
        <v>15 ≤ Cor &lt; 30 uC</v>
      </c>
      <c r="BA233" s="137" t="str">
        <f>IF(N233="","",IF(N233&lt;2.5,"Turbidez &lt; 2,5 uT",IF(N233&lt;5,"2,5 ≤ Turb &lt; 5,0 uT",IF(N233&lt;7.5,"5,0 ≤ Turb &lt; 7,5 uT",IF(N233&lt;10,"7,5 ≤ Turb &lt; 10,0 uT",IF(N233&lt;15,"10,0 ≤ Turb &lt; 15,0 uT","Turb &gt; 15 uT"))))))</f>
        <v>2,5 ≤ Turb &lt; 5,0 uT</v>
      </c>
      <c r="BB233" s="138" t="str">
        <f>IF(AND(C233&gt;D233,D233&gt;E233),"TOR &gt; SM &gt; BNN",IF(AND(C233&gt;E233,E233&gt;D233),"TOR &gt; BNN &gt; SM",IF(AND(D233&gt;C233,C233&gt;E233),"SM &gt; TOR &gt; BNN",IF(AND(D233&gt;E233,E233&gt;C233),"SM &gt; BNN &gt; TOR",IF(AND(C233=D233,D233=E233),"TOR = SM = BNN","Comb. diferentes")))))</f>
        <v>TOR &gt; BNN &gt; SM</v>
      </c>
      <c r="BC233" s="137" t="str">
        <f>IF(OR(AD233="",AP233="-"),"",IF(AD233&lt;=0.25,"Tipo 1 (≤0,25) uT",IF(AD233&lt;=0.5,"Tipo 2 (0,25-0,50) uT",IF(AD233&lt;=0.75,"Tipo 3 (0,50-0,75) uT","Tipo 4 (&gt;0,75) uT"))))</f>
        <v>Tipo 1 (≤0,25) uT</v>
      </c>
      <c r="BD233" s="137" t="str">
        <f>IF(OR(AO233="",AY233="-"),"",IF(AO233&lt;=0.25,"Tipo 1 (≤0,25) uT",IF(AO233&lt;=0.5,"Tipo 2 (0,25-0,50) uT",IF(AO233&lt;=0.75,"Tipo 3 (0,50-0,75) uT","Tipo 4 (&gt;0,75) uT"))))</f>
        <v>Tipo 1 (≤0,25) uT</v>
      </c>
      <c r="BE233" s="137" t="str">
        <f>IF(OR(AE233="",AP233="-"),"",IF(AE233&lt;=0.25,"Tipo 1 (≤0,25) uT",IF(AE233&lt;=0.5,"Tipo 2 (0,25-0,50) uT",IF(AE233&lt;=0.75,"Tipo 3 (0,50-0,75) uT","Tipo 4 (&gt;0,75) uT"))))</f>
        <v>Tipo 1 (≤0,25) uT</v>
      </c>
      <c r="BF233" s="137" t="str">
        <f>IF(OR(AP233="",AP233="-"),"",IF(AP233&lt;=0.25,"Tipo 1 (≤0,25) uT",IF(AP233&lt;=0.5,"Tipo 2 (0,25-0,50) uT",IF(AP233&lt;=0.75,"Tipo 3 (0,50-0,75) uT","Tipo 4 (&gt;0,75) uT"))))</f>
        <v>Tipo 1 (≤0,25) uT</v>
      </c>
      <c r="BG233" s="137" t="str">
        <f>IF(OR(Q233="",Q233="-"),"",IF(Q233&lt;=0.25,"Tipo 1 (≤0,25) uT",IF(Q233&lt;=0.5,"Tipo 2 (0,25-0,50) uT",IF(Q233&lt;=0.75,"Tipo 3 (0,50-0,75) uT","Tipo 4 (&gt;0,75) uT"))))</f>
        <v>Tipo 1 (≤0,25) uT</v>
      </c>
    </row>
    <row r="234" spans="1:59" x14ac:dyDescent="0.3">
      <c r="A234" s="26">
        <v>46152</v>
      </c>
      <c r="B234" s="107">
        <v>0.14583333333333334</v>
      </c>
      <c r="C234" s="116">
        <v>1103</v>
      </c>
      <c r="D234" s="116">
        <v>90</v>
      </c>
      <c r="E234" s="116">
        <v>500</v>
      </c>
      <c r="F234" s="116">
        <v>1784</v>
      </c>
      <c r="G234" s="10" t="s">
        <v>100</v>
      </c>
      <c r="H234" s="122">
        <v>5.6</v>
      </c>
      <c r="I234" s="116">
        <v>90</v>
      </c>
      <c r="J234" s="116">
        <v>90</v>
      </c>
      <c r="K234" s="116">
        <v>90</v>
      </c>
      <c r="L234" s="122">
        <v>23.3</v>
      </c>
      <c r="M234" s="122">
        <v>6.7</v>
      </c>
      <c r="N234" s="79">
        <v>3.47</v>
      </c>
      <c r="O234" s="116">
        <v>21</v>
      </c>
      <c r="P234" s="122">
        <v>7.9</v>
      </c>
      <c r="Q234" s="79">
        <v>0.09</v>
      </c>
      <c r="R234" s="79">
        <v>22.36</v>
      </c>
      <c r="S234" s="79">
        <v>0.88</v>
      </c>
      <c r="T234" s="79">
        <v>0.7</v>
      </c>
      <c r="U234" s="85">
        <f t="shared" si="28"/>
        <v>1605.6</v>
      </c>
      <c r="V234" s="79">
        <f t="shared" si="29"/>
        <v>1452.3725705215998</v>
      </c>
      <c r="W234" s="79">
        <f t="shared" si="30"/>
        <v>0.90456687252217227</v>
      </c>
      <c r="X234" s="116">
        <v>2</v>
      </c>
      <c r="Y234" s="116">
        <v>3</v>
      </c>
      <c r="Z234" s="122">
        <v>6.52</v>
      </c>
      <c r="AA234" s="116">
        <v>17.920000000000002</v>
      </c>
      <c r="AB234" s="122">
        <v>6.5</v>
      </c>
      <c r="AC234" s="122">
        <v>5.8</v>
      </c>
      <c r="AD234" s="10">
        <v>0.2</v>
      </c>
      <c r="AE234" s="79">
        <v>0.16</v>
      </c>
      <c r="AF234" s="85">
        <f t="shared" si="31"/>
        <v>1605.6</v>
      </c>
      <c r="AG234" s="85">
        <f t="shared" si="32"/>
        <v>2036.8692910228003</v>
      </c>
      <c r="AH234" s="85">
        <f t="shared" si="33"/>
        <v>1.2686031957042854</v>
      </c>
      <c r="AI234" s="116">
        <v>2</v>
      </c>
      <c r="AJ234" s="116">
        <v>3</v>
      </c>
      <c r="AK234" s="79">
        <v>6.41</v>
      </c>
      <c r="AL234" s="79">
        <v>25.67</v>
      </c>
      <c r="AM234" s="122">
        <v>6.5</v>
      </c>
      <c r="AN234" s="122">
        <v>6.3</v>
      </c>
      <c r="AO234" s="79">
        <v>0.24</v>
      </c>
      <c r="AP234" s="127">
        <v>0.27</v>
      </c>
      <c r="AQ234" s="132">
        <f t="shared" si="24"/>
        <v>1693</v>
      </c>
      <c r="AR234" s="134">
        <f t="shared" si="25"/>
        <v>0.65150620200826936</v>
      </c>
      <c r="AS234" s="134">
        <f t="shared" si="26"/>
        <v>5.3160070880094508E-2</v>
      </c>
      <c r="AT234" s="134">
        <f t="shared" si="27"/>
        <v>0.29533372711163614</v>
      </c>
      <c r="AU234" s="43">
        <f>IF(AND(F234&lt;&gt;"",Y234&lt;&gt;""),AA234/(F234/2/Y234),"")</f>
        <v>6.0269058295964135E-2</v>
      </c>
      <c r="AV234" s="43">
        <f>IF(AND(F234&lt;&gt;"",AJ234&lt;&gt;""),AL234/(F234/2/AJ234),"")</f>
        <v>8.6334080717488798E-2</v>
      </c>
      <c r="AW234" s="41">
        <f>IF(AND(AP234&lt;&gt;"",1-(AP234/N234)&gt;0),1-(AP234/N234),"")</f>
        <v>0.9221902017291066</v>
      </c>
      <c r="AX234" s="41">
        <f>IF(AND(AE234&lt;&gt;"",1-(AE234/N234)&gt;0),1-(AE234/N234),"")</f>
        <v>0.95389048991354464</v>
      </c>
      <c r="AY234" s="136" t="str">
        <f>IF(P234="","",IF(P234&lt;2.5,"Alc. Bruta &lt; 2,5 mg/L",IF(P234&lt;5,"2,5 ≤ Alc. Bruta &lt; 5,0 mg/L",IF(P234&lt;7.5,"5,0 ≤ Alc. Bruta &lt; 7,5 mg/L",IF(P234&lt;10,"7,5 ≤ Alc. Bruta &lt; 10,0 mg/L",IF(P234&lt;15,"10,0 ≤ Alca. Bruta &lt; 15,0 mg/L","Alc. Bruta &gt; 15 mg/L"))))))</f>
        <v>7,5 ≤ Alc. Bruta &lt; 10,0 mg/L</v>
      </c>
      <c r="AZ234" s="136" t="str">
        <f>IF(O234="","",IF(O234&lt;5,"Cor &lt;5 uC",IF(O234&lt;10,"5 ≤ Cor &lt; 10 uC",IF(O234&lt;15,"10 ≤ Cor &lt;15 uC",IF(O234&lt;30,"15 ≤ Cor &lt; 30 uC",IF(O234&lt;50,"30 ≤ Cor &lt; 50 uC","Cor &gt; 50 uC"))))))</f>
        <v>15 ≤ Cor &lt; 30 uC</v>
      </c>
      <c r="BA234" s="137" t="str">
        <f>IF(N234="","",IF(N234&lt;2.5,"Turbidez &lt; 2,5 uT",IF(N234&lt;5,"2,5 ≤ Turb &lt; 5,0 uT",IF(N234&lt;7.5,"5,0 ≤ Turb &lt; 7,5 uT",IF(N234&lt;10,"7,5 ≤ Turb &lt; 10,0 uT",IF(N234&lt;15,"10,0 ≤ Turb &lt; 15,0 uT","Turb &gt; 15 uT"))))))</f>
        <v>2,5 ≤ Turb &lt; 5,0 uT</v>
      </c>
      <c r="BB234" s="138" t="str">
        <f>IF(AND(C234&gt;D234,D234&gt;E234),"TOR &gt; SM &gt; BNN",IF(AND(C234&gt;E234,E234&gt;D234),"TOR &gt; BNN &gt; SM",IF(AND(D234&gt;C234,C234&gt;E234),"SM &gt; TOR &gt; BNN",IF(AND(D234&gt;E234,E234&gt;C234),"SM &gt; BNN &gt; TOR",IF(AND(C234=D234,D234=E234),"TOR = SM = BNN","Comb. diferentes")))))</f>
        <v>TOR &gt; BNN &gt; SM</v>
      </c>
      <c r="BC234" s="137" t="str">
        <f>IF(OR(AD234="",AP234="-"),"",IF(AD234&lt;=0.25,"Tipo 1 (≤0,25) uT",IF(AD234&lt;=0.5,"Tipo 2 (0,25-0,50) uT",IF(AD234&lt;=0.75,"Tipo 3 (0,50-0,75) uT","Tipo 4 (&gt;0,75) uT"))))</f>
        <v>Tipo 1 (≤0,25) uT</v>
      </c>
      <c r="BD234" s="137" t="str">
        <f>IF(OR(AO234="",AY234="-"),"",IF(AO234&lt;=0.25,"Tipo 1 (≤0,25) uT",IF(AO234&lt;=0.5,"Tipo 2 (0,25-0,50) uT",IF(AO234&lt;=0.75,"Tipo 3 (0,50-0,75) uT","Tipo 4 (&gt;0,75) uT"))))</f>
        <v>Tipo 1 (≤0,25) uT</v>
      </c>
      <c r="BE234" s="137" t="str">
        <f>IF(OR(AE234="",AP234="-"),"",IF(AE234&lt;=0.25,"Tipo 1 (≤0,25) uT",IF(AE234&lt;=0.5,"Tipo 2 (0,25-0,50) uT",IF(AE234&lt;=0.75,"Tipo 3 (0,50-0,75) uT","Tipo 4 (&gt;0,75) uT"))))</f>
        <v>Tipo 1 (≤0,25) uT</v>
      </c>
      <c r="BF234" s="137" t="str">
        <f>IF(OR(AP234="",AP234="-"),"",IF(AP234&lt;=0.25,"Tipo 1 (≤0,25) uT",IF(AP234&lt;=0.5,"Tipo 2 (0,25-0,50) uT",IF(AP234&lt;=0.75,"Tipo 3 (0,50-0,75) uT","Tipo 4 (&gt;0,75) uT"))))</f>
        <v>Tipo 2 (0,25-0,50) uT</v>
      </c>
      <c r="BG234" s="137" t="str">
        <f>IF(OR(Q234="",Q234="-"),"",IF(Q234&lt;=0.25,"Tipo 1 (≤0,25) uT",IF(Q234&lt;=0.5,"Tipo 2 (0,25-0,50) uT",IF(Q234&lt;=0.75,"Tipo 3 (0,50-0,75) uT","Tipo 4 (&gt;0,75) uT"))))</f>
        <v>Tipo 1 (≤0,25) uT</v>
      </c>
    </row>
    <row r="235" spans="1:59" ht="15" thickBot="1" x14ac:dyDescent="0.35">
      <c r="A235" s="26">
        <v>46152</v>
      </c>
      <c r="B235" s="110">
        <v>0.22916666666666666</v>
      </c>
      <c r="C235" s="117">
        <v>1150</v>
      </c>
      <c r="D235" s="117">
        <v>92</v>
      </c>
      <c r="E235" s="117">
        <v>499</v>
      </c>
      <c r="F235" s="117">
        <v>1873</v>
      </c>
      <c r="G235" s="11" t="s">
        <v>100</v>
      </c>
      <c r="H235" s="123">
        <v>5.5</v>
      </c>
      <c r="I235" s="117">
        <v>90</v>
      </c>
      <c r="J235" s="117">
        <v>90</v>
      </c>
      <c r="K235" s="117">
        <v>90</v>
      </c>
      <c r="L235" s="123">
        <v>23.2</v>
      </c>
      <c r="M235" s="123">
        <v>6.7</v>
      </c>
      <c r="N235" s="80">
        <v>3.81</v>
      </c>
      <c r="O235" s="117">
        <v>19</v>
      </c>
      <c r="P235" s="123">
        <v>7.7</v>
      </c>
      <c r="Q235" s="80">
        <v>0.13</v>
      </c>
      <c r="R235" s="79">
        <v>22.36</v>
      </c>
      <c r="S235" s="79">
        <v>0.88</v>
      </c>
      <c r="T235" s="79">
        <v>0.7</v>
      </c>
      <c r="U235" s="85">
        <f t="shared" si="28"/>
        <v>1782.4716666666668</v>
      </c>
      <c r="V235" s="79">
        <f t="shared" si="29"/>
        <v>1444.5162539391999</v>
      </c>
      <c r="W235" s="79">
        <f t="shared" si="30"/>
        <v>0.81040068179065949</v>
      </c>
      <c r="X235" s="117">
        <v>2</v>
      </c>
      <c r="Y235" s="117">
        <v>3</v>
      </c>
      <c r="Z235" s="123">
        <v>6.48</v>
      </c>
      <c r="AA235" s="117">
        <v>17.96</v>
      </c>
      <c r="AB235" s="123">
        <v>6.5</v>
      </c>
      <c r="AC235" s="123">
        <v>6.3</v>
      </c>
      <c r="AD235" s="11">
        <v>0.23</v>
      </c>
      <c r="AE235" s="80">
        <v>0.28000000000000003</v>
      </c>
      <c r="AF235" s="85">
        <f t="shared" si="31"/>
        <v>1782.4716666666668</v>
      </c>
      <c r="AG235" s="85">
        <f t="shared" si="32"/>
        <v>1793.8760223071999</v>
      </c>
      <c r="AH235" s="85">
        <f t="shared" si="33"/>
        <v>1.0063980571774584</v>
      </c>
      <c r="AI235" s="117">
        <v>2</v>
      </c>
      <c r="AJ235" s="117">
        <v>3</v>
      </c>
      <c r="AK235" s="80">
        <v>6.34</v>
      </c>
      <c r="AL235" s="80">
        <v>22.92</v>
      </c>
      <c r="AM235" s="123">
        <v>6.5</v>
      </c>
      <c r="AN235" s="123">
        <v>6.2</v>
      </c>
      <c r="AO235" s="80">
        <v>0.11</v>
      </c>
      <c r="AP235" s="128">
        <v>0.26</v>
      </c>
      <c r="AQ235" s="132">
        <f t="shared" si="24"/>
        <v>1741</v>
      </c>
      <c r="AR235" s="134">
        <f t="shared" si="25"/>
        <v>0.66053991958644453</v>
      </c>
      <c r="AS235" s="134">
        <f t="shared" si="26"/>
        <v>5.2843193566915567E-2</v>
      </c>
      <c r="AT235" s="134">
        <f t="shared" si="27"/>
        <v>0.28661688684663988</v>
      </c>
      <c r="AU235" s="43">
        <f>IF(AND(F235&lt;&gt;"",Y235&lt;&gt;""),AA235/(F235/2/Y235),"")</f>
        <v>5.7533368926855309E-2</v>
      </c>
      <c r="AV235" s="43">
        <f>IF(AND(F235&lt;&gt;"",AJ235&lt;&gt;""),AL235/(F235/2/AJ235),"")</f>
        <v>7.3422317138280832E-2</v>
      </c>
      <c r="AW235" s="41">
        <f>IF(AND(AP235&lt;&gt;"",1-(AP235/N235)&gt;0),1-(AP235/N235),"")</f>
        <v>0.93175853018372701</v>
      </c>
      <c r="AX235" s="41">
        <f>IF(AND(AE235&lt;&gt;"",1-(AE235/N235)&gt;0),1-(AE235/N235),"")</f>
        <v>0.92650918635170598</v>
      </c>
      <c r="AY235" s="136" t="str">
        <f>IF(P235="","",IF(P235&lt;2.5,"Alc. Bruta &lt; 2,5 mg/L",IF(P235&lt;5,"2,5 ≤ Alc. Bruta &lt; 5,0 mg/L",IF(P235&lt;7.5,"5,0 ≤ Alc. Bruta &lt; 7,5 mg/L",IF(P235&lt;10,"7,5 ≤ Alc. Bruta &lt; 10,0 mg/L",IF(P235&lt;15,"10,0 ≤ Alca. Bruta &lt; 15,0 mg/L","Alc. Bruta &gt; 15 mg/L"))))))</f>
        <v>7,5 ≤ Alc. Bruta &lt; 10,0 mg/L</v>
      </c>
      <c r="AZ235" s="136" t="str">
        <f>IF(O235="","",IF(O235&lt;5,"Cor &lt;5 uC",IF(O235&lt;10,"5 ≤ Cor &lt; 10 uC",IF(O235&lt;15,"10 ≤ Cor &lt;15 uC",IF(O235&lt;30,"15 ≤ Cor &lt; 30 uC",IF(O235&lt;50,"30 ≤ Cor &lt; 50 uC","Cor &gt; 50 uC"))))))</f>
        <v>15 ≤ Cor &lt; 30 uC</v>
      </c>
      <c r="BA235" s="137" t="str">
        <f>IF(N235="","",IF(N235&lt;2.5,"Turbidez &lt; 2,5 uT",IF(N235&lt;5,"2,5 ≤ Turb &lt; 5,0 uT",IF(N235&lt;7.5,"5,0 ≤ Turb &lt; 7,5 uT",IF(N235&lt;10,"7,5 ≤ Turb &lt; 10,0 uT",IF(N235&lt;15,"10,0 ≤ Turb &lt; 15,0 uT","Turb &gt; 15 uT"))))))</f>
        <v>2,5 ≤ Turb &lt; 5,0 uT</v>
      </c>
      <c r="BB235" s="138" t="str">
        <f>IF(AND(C235&gt;D235,D235&gt;E235),"TOR &gt; SM &gt; BNN",IF(AND(C235&gt;E235,E235&gt;D235),"TOR &gt; BNN &gt; SM",IF(AND(D235&gt;C235,C235&gt;E235),"SM &gt; TOR &gt; BNN",IF(AND(D235&gt;E235,E235&gt;C235),"SM &gt; BNN &gt; TOR",IF(AND(C235=D235,D235=E235),"TOR = SM = BNN","Comb. diferentes")))))</f>
        <v>TOR &gt; BNN &gt; SM</v>
      </c>
      <c r="BC235" s="137" t="str">
        <f>IF(OR(AD235="",AP235="-"),"",IF(AD235&lt;=0.25,"Tipo 1 (≤0,25) uT",IF(AD235&lt;=0.5,"Tipo 2 (0,25-0,50) uT",IF(AD235&lt;=0.75,"Tipo 3 (0,50-0,75) uT","Tipo 4 (&gt;0,75) uT"))))</f>
        <v>Tipo 1 (≤0,25) uT</v>
      </c>
      <c r="BD235" s="137" t="str">
        <f>IF(OR(AO235="",AY235="-"),"",IF(AO235&lt;=0.25,"Tipo 1 (≤0,25) uT",IF(AO235&lt;=0.5,"Tipo 2 (0,25-0,50) uT",IF(AO235&lt;=0.75,"Tipo 3 (0,50-0,75) uT","Tipo 4 (&gt;0,75) uT"))))</f>
        <v>Tipo 1 (≤0,25) uT</v>
      </c>
      <c r="BE235" s="137" t="str">
        <f>IF(OR(AE235="",AP235="-"),"",IF(AE235&lt;=0.25,"Tipo 1 (≤0,25) uT",IF(AE235&lt;=0.5,"Tipo 2 (0,25-0,50) uT",IF(AE235&lt;=0.75,"Tipo 3 (0,50-0,75) uT","Tipo 4 (&gt;0,75) uT"))))</f>
        <v>Tipo 2 (0,25-0,50) uT</v>
      </c>
      <c r="BF235" s="137" t="str">
        <f>IF(OR(AP235="",AP235="-"),"",IF(AP235&lt;=0.25,"Tipo 1 (≤0,25) uT",IF(AP235&lt;=0.5,"Tipo 2 (0,25-0,50) uT",IF(AP235&lt;=0.75,"Tipo 3 (0,50-0,75) uT","Tipo 4 (&gt;0,75) uT"))))</f>
        <v>Tipo 2 (0,25-0,50) uT</v>
      </c>
      <c r="BG235" s="137" t="str">
        <f>IF(OR(Q235="",Q235="-"),"",IF(Q235&lt;=0.25,"Tipo 1 (≤0,25) uT",IF(Q235&lt;=0.5,"Tipo 2 (0,25-0,50) uT",IF(Q235&lt;=0.75,"Tipo 3 (0,50-0,75) uT","Tipo 4 (&gt;0,75) uT"))))</f>
        <v>Tipo 1 (≤0,25) uT</v>
      </c>
    </row>
    <row r="236" spans="1:59" x14ac:dyDescent="0.3">
      <c r="A236" s="26">
        <v>46152</v>
      </c>
      <c r="B236" s="111">
        <v>0.3125</v>
      </c>
      <c r="C236" s="118">
        <v>1186</v>
      </c>
      <c r="D236" s="116">
        <v>90</v>
      </c>
      <c r="E236" s="118">
        <v>500</v>
      </c>
      <c r="F236" s="118">
        <v>1775</v>
      </c>
      <c r="G236" s="9" t="s">
        <v>100</v>
      </c>
      <c r="H236" s="124">
        <v>5.5</v>
      </c>
      <c r="I236" s="118">
        <v>90</v>
      </c>
      <c r="J236" s="118">
        <v>90</v>
      </c>
      <c r="K236" s="118">
        <v>90</v>
      </c>
      <c r="L236" s="124">
        <v>22.9</v>
      </c>
      <c r="M236" s="124">
        <v>6.7</v>
      </c>
      <c r="N236" s="81">
        <v>3.93</v>
      </c>
      <c r="O236" s="118">
        <v>16</v>
      </c>
      <c r="P236" s="124">
        <v>5.9</v>
      </c>
      <c r="Q236" s="81">
        <v>0.11</v>
      </c>
      <c r="R236" s="79">
        <v>22.36</v>
      </c>
      <c r="S236" s="79">
        <v>0.88</v>
      </c>
      <c r="T236" s="79">
        <v>0.7</v>
      </c>
      <c r="U236" s="85">
        <f t="shared" si="28"/>
        <v>1724.7083333333333</v>
      </c>
      <c r="V236" s="79">
        <f t="shared" si="29"/>
        <v>1602.4921374643998</v>
      </c>
      <c r="W236" s="79">
        <f t="shared" si="30"/>
        <v>0.92913804989117954</v>
      </c>
      <c r="X236" s="118">
        <v>2</v>
      </c>
      <c r="Y236" s="118">
        <v>3</v>
      </c>
      <c r="Z236" s="124">
        <v>6.51</v>
      </c>
      <c r="AA236" s="118">
        <v>19.809999999999999</v>
      </c>
      <c r="AB236" s="124">
        <v>6.5</v>
      </c>
      <c r="AC236" s="124">
        <v>5.3</v>
      </c>
      <c r="AD236" s="9">
        <v>0.14000000000000001</v>
      </c>
      <c r="AE236" s="81">
        <v>0.22</v>
      </c>
      <c r="AF236" s="85">
        <f t="shared" si="31"/>
        <v>1724.7083333333333</v>
      </c>
      <c r="AG236" s="85">
        <f t="shared" si="32"/>
        <v>1814.3500117599995</v>
      </c>
      <c r="AH236" s="85">
        <f t="shared" si="33"/>
        <v>1.0519749784321017</v>
      </c>
      <c r="AI236" s="118">
        <v>2</v>
      </c>
      <c r="AJ236" s="118">
        <v>3</v>
      </c>
      <c r="AK236" s="81">
        <v>6.38</v>
      </c>
      <c r="AL236" s="81">
        <v>23</v>
      </c>
      <c r="AM236" s="124">
        <v>6.5</v>
      </c>
      <c r="AN236" s="124">
        <v>5.2</v>
      </c>
      <c r="AO236" s="81">
        <v>0.12</v>
      </c>
      <c r="AP236" s="129">
        <v>0.23</v>
      </c>
      <c r="AQ236" s="132">
        <f t="shared" si="24"/>
        <v>1776</v>
      </c>
      <c r="AR236" s="134">
        <f t="shared" si="25"/>
        <v>0.6677927927927928</v>
      </c>
      <c r="AS236" s="134">
        <f t="shared" si="26"/>
        <v>5.0675675675675678E-2</v>
      </c>
      <c r="AT236" s="134">
        <f t="shared" si="27"/>
        <v>0.28153153153153154</v>
      </c>
      <c r="AU236" s="43">
        <f>IF(AND(F236&lt;&gt;"",Y236&lt;&gt;""),AA236/(F236/2/Y236),"")</f>
        <v>6.6963380281690146E-2</v>
      </c>
      <c r="AV236" s="43">
        <f>IF(AND(F236&lt;&gt;"",AJ236&lt;&gt;""),AL236/(F236/2/AJ236),"")</f>
        <v>7.7746478873239447E-2</v>
      </c>
      <c r="AW236" s="41">
        <f>IF(AND(AP236&lt;&gt;"",1-(AP236/N236)&gt;0),1-(AP236/N236),"")</f>
        <v>0.94147582697201015</v>
      </c>
      <c r="AX236" s="41">
        <f>IF(AND(AE236&lt;&gt;"",1-(AE236/N236)&gt;0),1-(AE236/N236),"")</f>
        <v>0.94402035623409675</v>
      </c>
      <c r="AY236" s="136" t="str">
        <f>IF(P236="","",IF(P236&lt;2.5,"Alc. Bruta &lt; 2,5 mg/L",IF(P236&lt;5,"2,5 ≤ Alc. Bruta &lt; 5,0 mg/L",IF(P236&lt;7.5,"5,0 ≤ Alc. Bruta &lt; 7,5 mg/L",IF(P236&lt;10,"7,5 ≤ Alc. Bruta &lt; 10,0 mg/L",IF(P236&lt;15,"10,0 ≤ Alca. Bruta &lt; 15,0 mg/L","Alc. Bruta &gt; 15 mg/L"))))))</f>
        <v>5,0 ≤ Alc. Bruta &lt; 7,5 mg/L</v>
      </c>
      <c r="AZ236" s="136" t="str">
        <f>IF(O236="","",IF(O236&lt;5,"Cor &lt;5 uC",IF(O236&lt;10,"5 ≤ Cor &lt; 10 uC",IF(O236&lt;15,"10 ≤ Cor &lt;15 uC",IF(O236&lt;30,"15 ≤ Cor &lt; 30 uC",IF(O236&lt;50,"30 ≤ Cor &lt; 50 uC","Cor &gt; 50 uC"))))))</f>
        <v>15 ≤ Cor &lt; 30 uC</v>
      </c>
      <c r="BA236" s="137" t="str">
        <f>IF(N236="","",IF(N236&lt;2.5,"Turbidez &lt; 2,5 uT",IF(N236&lt;5,"2,5 ≤ Turb &lt; 5,0 uT",IF(N236&lt;7.5,"5,0 ≤ Turb &lt; 7,5 uT",IF(N236&lt;10,"7,5 ≤ Turb &lt; 10,0 uT",IF(N236&lt;15,"10,0 ≤ Turb &lt; 15,0 uT","Turb &gt; 15 uT"))))))</f>
        <v>2,5 ≤ Turb &lt; 5,0 uT</v>
      </c>
      <c r="BB236" s="138" t="str">
        <f>IF(AND(C236&gt;D236,D236&gt;E236),"TOR &gt; SM &gt; BNN",IF(AND(C236&gt;E236,E236&gt;D236),"TOR &gt; BNN &gt; SM",IF(AND(D236&gt;C236,C236&gt;E236),"SM &gt; TOR &gt; BNN",IF(AND(D236&gt;E236,E236&gt;C236),"SM &gt; BNN &gt; TOR",IF(AND(C236=D236,D236=E236),"TOR = SM = BNN","Comb. diferentes")))))</f>
        <v>TOR &gt; BNN &gt; SM</v>
      </c>
      <c r="BC236" s="137" t="str">
        <f>IF(OR(AD236="",AP236="-"),"",IF(AD236&lt;=0.25,"Tipo 1 (≤0,25) uT",IF(AD236&lt;=0.5,"Tipo 2 (0,25-0,50) uT",IF(AD236&lt;=0.75,"Tipo 3 (0,50-0,75) uT","Tipo 4 (&gt;0,75) uT"))))</f>
        <v>Tipo 1 (≤0,25) uT</v>
      </c>
      <c r="BD236" s="137" t="str">
        <f>IF(OR(AO236="",AY236="-"),"",IF(AO236&lt;=0.25,"Tipo 1 (≤0,25) uT",IF(AO236&lt;=0.5,"Tipo 2 (0,25-0,50) uT",IF(AO236&lt;=0.75,"Tipo 3 (0,50-0,75) uT","Tipo 4 (&gt;0,75) uT"))))</f>
        <v>Tipo 1 (≤0,25) uT</v>
      </c>
      <c r="BE236" s="137" t="str">
        <f>IF(OR(AE236="",AP236="-"),"",IF(AE236&lt;=0.25,"Tipo 1 (≤0,25) uT",IF(AE236&lt;=0.5,"Tipo 2 (0,25-0,50) uT",IF(AE236&lt;=0.75,"Tipo 3 (0,50-0,75) uT","Tipo 4 (&gt;0,75) uT"))))</f>
        <v>Tipo 1 (≤0,25) uT</v>
      </c>
      <c r="BF236" s="137" t="str">
        <f>IF(OR(AP236="",AP236="-"),"",IF(AP236&lt;=0.25,"Tipo 1 (≤0,25) uT",IF(AP236&lt;=0.5,"Tipo 2 (0,25-0,50) uT",IF(AP236&lt;=0.75,"Tipo 3 (0,50-0,75) uT","Tipo 4 (&gt;0,75) uT"))))</f>
        <v>Tipo 1 (≤0,25) uT</v>
      </c>
      <c r="BG236" s="137" t="str">
        <f>IF(OR(Q236="",Q236="-"),"",IF(Q236&lt;=0.25,"Tipo 1 (≤0,25) uT",IF(Q236&lt;=0.5,"Tipo 2 (0,25-0,50) uT",IF(Q236&lt;=0.75,"Tipo 3 (0,50-0,75) uT","Tipo 4 (&gt;0,75) uT"))))</f>
        <v>Tipo 1 (≤0,25) uT</v>
      </c>
    </row>
    <row r="237" spans="1:59" x14ac:dyDescent="0.3">
      <c r="A237" s="26">
        <v>46152</v>
      </c>
      <c r="B237" s="107">
        <v>0.39583333333333331</v>
      </c>
      <c r="C237" s="116">
        <v>1130</v>
      </c>
      <c r="D237" s="116">
        <v>82</v>
      </c>
      <c r="E237" s="116">
        <v>501</v>
      </c>
      <c r="F237" s="116">
        <v>1749</v>
      </c>
      <c r="G237" s="10" t="s">
        <v>100</v>
      </c>
      <c r="H237" s="122">
        <v>5.2</v>
      </c>
      <c r="I237" s="116">
        <v>90</v>
      </c>
      <c r="J237" s="116">
        <v>90</v>
      </c>
      <c r="K237" s="116">
        <v>90</v>
      </c>
      <c r="L237" s="122">
        <v>23</v>
      </c>
      <c r="M237" s="122">
        <v>6.7</v>
      </c>
      <c r="N237" s="79">
        <v>3.66</v>
      </c>
      <c r="O237" s="116">
        <v>15</v>
      </c>
      <c r="P237" s="122">
        <v>6.5</v>
      </c>
      <c r="Q237" s="79">
        <v>0.23</v>
      </c>
      <c r="R237" s="79">
        <v>22.36</v>
      </c>
      <c r="S237" s="79">
        <v>0.88</v>
      </c>
      <c r="T237" s="79">
        <v>0.7</v>
      </c>
      <c r="U237" s="85">
        <f t="shared" si="28"/>
        <v>1594.5050000000001</v>
      </c>
      <c r="V237" s="79">
        <f t="shared" si="29"/>
        <v>1601.6832065519998</v>
      </c>
      <c r="W237" s="79">
        <f t="shared" si="30"/>
        <v>1.0045018401021004</v>
      </c>
      <c r="X237" s="116">
        <v>2</v>
      </c>
      <c r="Y237" s="116">
        <v>3</v>
      </c>
      <c r="Z237" s="122">
        <v>6.51</v>
      </c>
      <c r="AA237" s="116">
        <v>19.8</v>
      </c>
      <c r="AB237" s="122">
        <v>6.6</v>
      </c>
      <c r="AC237" s="122">
        <v>6.1</v>
      </c>
      <c r="AD237" s="10">
        <v>0.31</v>
      </c>
      <c r="AE237" s="79">
        <v>0.53</v>
      </c>
      <c r="AF237" s="85">
        <f t="shared" si="31"/>
        <v>1195.8787500000001</v>
      </c>
      <c r="AG237" s="85">
        <f t="shared" si="32"/>
        <v>1817.9031722799998</v>
      </c>
      <c r="AH237" s="85">
        <f t="shared" si="33"/>
        <v>1.5201400411872856</v>
      </c>
      <c r="AI237" s="116">
        <v>2</v>
      </c>
      <c r="AJ237" s="116">
        <v>4</v>
      </c>
      <c r="AK237" s="79">
        <v>6.39</v>
      </c>
      <c r="AL237" s="79">
        <v>23</v>
      </c>
      <c r="AM237" s="122">
        <v>6.5</v>
      </c>
      <c r="AN237" s="122">
        <v>5.4</v>
      </c>
      <c r="AO237" s="79">
        <v>0.22</v>
      </c>
      <c r="AP237" s="127">
        <v>0.25</v>
      </c>
      <c r="AQ237" s="132">
        <f t="shared" si="24"/>
        <v>1713</v>
      </c>
      <c r="AR237" s="134">
        <f t="shared" si="25"/>
        <v>0.65966141272621137</v>
      </c>
      <c r="AS237" s="134">
        <f t="shared" si="26"/>
        <v>4.7869235259778167E-2</v>
      </c>
      <c r="AT237" s="134">
        <f t="shared" si="27"/>
        <v>0.29246935201401053</v>
      </c>
      <c r="AU237" s="43">
        <f>IF(AND(F237&lt;&gt;"",Y237&lt;&gt;""),AA237/(F237/2/Y237),"")</f>
        <v>6.7924528301886791E-2</v>
      </c>
      <c r="AV237" s="43">
        <f>IF(AND(F237&lt;&gt;"",AJ237&lt;&gt;""),AL237/(F237/2/AJ237),"")</f>
        <v>0.10520297312750143</v>
      </c>
      <c r="AW237" s="41">
        <f>IF(AND(AP237&lt;&gt;"",1-(AP237/N237)&gt;0),1-(AP237/N237),"")</f>
        <v>0.93169398907103829</v>
      </c>
      <c r="AX237" s="41">
        <f>IF(AND(AE237&lt;&gt;"",1-(AE237/N237)&gt;0),1-(AE237/N237),"")</f>
        <v>0.85519125683060104</v>
      </c>
      <c r="AY237" s="136" t="str">
        <f>IF(P237="","",IF(P237&lt;2.5,"Alc. Bruta &lt; 2,5 mg/L",IF(P237&lt;5,"2,5 ≤ Alc. Bruta &lt; 5,0 mg/L",IF(P237&lt;7.5,"5,0 ≤ Alc. Bruta &lt; 7,5 mg/L",IF(P237&lt;10,"7,5 ≤ Alc. Bruta &lt; 10,0 mg/L",IF(P237&lt;15,"10,0 ≤ Alca. Bruta &lt; 15,0 mg/L","Alc. Bruta &gt; 15 mg/L"))))))</f>
        <v>5,0 ≤ Alc. Bruta &lt; 7,5 mg/L</v>
      </c>
      <c r="AZ237" s="136" t="str">
        <f>IF(O237="","",IF(O237&lt;5,"Cor &lt;5 uC",IF(O237&lt;10,"5 ≤ Cor &lt; 10 uC",IF(O237&lt;15,"10 ≤ Cor &lt;15 uC",IF(O237&lt;30,"15 ≤ Cor &lt; 30 uC",IF(O237&lt;50,"30 ≤ Cor &lt; 50 uC","Cor &gt; 50 uC"))))))</f>
        <v>15 ≤ Cor &lt; 30 uC</v>
      </c>
      <c r="BA237" s="137" t="str">
        <f>IF(N237="","",IF(N237&lt;2.5,"Turbidez &lt; 2,5 uT",IF(N237&lt;5,"2,5 ≤ Turb &lt; 5,0 uT",IF(N237&lt;7.5,"5,0 ≤ Turb &lt; 7,5 uT",IF(N237&lt;10,"7,5 ≤ Turb &lt; 10,0 uT",IF(N237&lt;15,"10,0 ≤ Turb &lt; 15,0 uT","Turb &gt; 15 uT"))))))</f>
        <v>2,5 ≤ Turb &lt; 5,0 uT</v>
      </c>
      <c r="BB237" s="138" t="str">
        <f>IF(AND(C237&gt;D237,D237&gt;E237),"TOR &gt; SM &gt; BNN",IF(AND(C237&gt;E237,E237&gt;D237),"TOR &gt; BNN &gt; SM",IF(AND(D237&gt;C237,C237&gt;E237),"SM &gt; TOR &gt; BNN",IF(AND(D237&gt;E237,E237&gt;C237),"SM &gt; BNN &gt; TOR",IF(AND(C237=D237,D237=E237),"TOR = SM = BNN","Comb. diferentes")))))</f>
        <v>TOR &gt; BNN &gt; SM</v>
      </c>
      <c r="BC237" s="137" t="str">
        <f>IF(OR(AD237="",AP237="-"),"",IF(AD237&lt;=0.25,"Tipo 1 (≤0,25) uT",IF(AD237&lt;=0.5,"Tipo 2 (0,25-0,50) uT",IF(AD237&lt;=0.75,"Tipo 3 (0,50-0,75) uT","Tipo 4 (&gt;0,75) uT"))))</f>
        <v>Tipo 2 (0,25-0,50) uT</v>
      </c>
      <c r="BD237" s="137" t="str">
        <f>IF(OR(AO237="",AY237="-"),"",IF(AO237&lt;=0.25,"Tipo 1 (≤0,25) uT",IF(AO237&lt;=0.5,"Tipo 2 (0,25-0,50) uT",IF(AO237&lt;=0.75,"Tipo 3 (0,50-0,75) uT","Tipo 4 (&gt;0,75) uT"))))</f>
        <v>Tipo 1 (≤0,25) uT</v>
      </c>
      <c r="BE237" s="137" t="str">
        <f>IF(OR(AE237="",AP237="-"),"",IF(AE237&lt;=0.25,"Tipo 1 (≤0,25) uT",IF(AE237&lt;=0.5,"Tipo 2 (0,25-0,50) uT",IF(AE237&lt;=0.75,"Tipo 3 (0,50-0,75) uT","Tipo 4 (&gt;0,75) uT"))))</f>
        <v>Tipo 3 (0,50-0,75) uT</v>
      </c>
      <c r="BF237" s="137" t="str">
        <f>IF(OR(AP237="",AP237="-"),"",IF(AP237&lt;=0.25,"Tipo 1 (≤0,25) uT",IF(AP237&lt;=0.5,"Tipo 2 (0,25-0,50) uT",IF(AP237&lt;=0.75,"Tipo 3 (0,50-0,75) uT","Tipo 4 (&gt;0,75) uT"))))</f>
        <v>Tipo 1 (≤0,25) uT</v>
      </c>
      <c r="BG237" s="137" t="str">
        <f>IF(OR(Q237="",Q237="-"),"",IF(Q237&lt;=0.25,"Tipo 1 (≤0,25) uT",IF(Q237&lt;=0.5,"Tipo 2 (0,25-0,50) uT",IF(Q237&lt;=0.75,"Tipo 3 (0,50-0,75) uT","Tipo 4 (&gt;0,75) uT"))))</f>
        <v>Tipo 1 (≤0,25) uT</v>
      </c>
    </row>
    <row r="238" spans="1:59" x14ac:dyDescent="0.3">
      <c r="A238" s="26">
        <v>46152</v>
      </c>
      <c r="B238" s="107">
        <v>0.47916666666666669</v>
      </c>
      <c r="C238" s="116">
        <v>1075</v>
      </c>
      <c r="D238" s="116">
        <v>89</v>
      </c>
      <c r="E238" s="116">
        <v>500</v>
      </c>
      <c r="F238" s="116">
        <v>1726</v>
      </c>
      <c r="G238" s="10" t="s">
        <v>100</v>
      </c>
      <c r="H238" s="122">
        <v>5.2</v>
      </c>
      <c r="I238" s="116">
        <v>90</v>
      </c>
      <c r="J238" s="116">
        <v>90</v>
      </c>
      <c r="K238" s="116">
        <v>90</v>
      </c>
      <c r="L238" s="122">
        <v>23.4</v>
      </c>
      <c r="M238" s="122">
        <v>6.8</v>
      </c>
      <c r="N238" s="79">
        <v>3.86</v>
      </c>
      <c r="O238" s="116">
        <v>16</v>
      </c>
      <c r="P238" s="122">
        <v>6.2</v>
      </c>
      <c r="Q238" s="79">
        <v>0.37</v>
      </c>
      <c r="R238" s="79">
        <v>22.36</v>
      </c>
      <c r="S238" s="79">
        <v>0.88</v>
      </c>
      <c r="T238" s="79">
        <v>0.7</v>
      </c>
      <c r="U238" s="85">
        <f t="shared" si="28"/>
        <v>1631.0700000000002</v>
      </c>
      <c r="V238" s="79">
        <f t="shared" si="29"/>
        <v>1590.5505382000001</v>
      </c>
      <c r="W238" s="79">
        <f t="shared" si="30"/>
        <v>0.9751577419730606</v>
      </c>
      <c r="X238" s="116">
        <v>2</v>
      </c>
      <c r="Y238" s="116">
        <v>3</v>
      </c>
      <c r="Z238" s="122">
        <v>6.5</v>
      </c>
      <c r="AA238" s="116">
        <v>19.7</v>
      </c>
      <c r="AB238" s="122">
        <v>6.7</v>
      </c>
      <c r="AC238" s="122">
        <v>5.8</v>
      </c>
      <c r="AD238" s="10">
        <v>0.39</v>
      </c>
      <c r="AE238" s="79">
        <v>0.64</v>
      </c>
      <c r="AF238" s="85">
        <f t="shared" si="31"/>
        <v>1223.3025</v>
      </c>
      <c r="AG238" s="85">
        <f t="shared" si="32"/>
        <v>1814.3500117599995</v>
      </c>
      <c r="AH238" s="85">
        <f t="shared" si="33"/>
        <v>1.4831572826508566</v>
      </c>
      <c r="AI238" s="116">
        <v>2</v>
      </c>
      <c r="AJ238" s="116">
        <v>4</v>
      </c>
      <c r="AK238" s="79">
        <v>6.38</v>
      </c>
      <c r="AL238" s="79">
        <v>23</v>
      </c>
      <c r="AM238" s="122">
        <v>6.8</v>
      </c>
      <c r="AN238" s="122">
        <v>5.6</v>
      </c>
      <c r="AO238" s="79">
        <v>0.4</v>
      </c>
      <c r="AP238" s="127">
        <v>0.39</v>
      </c>
      <c r="AQ238" s="132">
        <f t="shared" si="24"/>
        <v>1664</v>
      </c>
      <c r="AR238" s="134">
        <f t="shared" si="25"/>
        <v>0.64603365384615385</v>
      </c>
      <c r="AS238" s="134">
        <f t="shared" si="26"/>
        <v>5.348557692307692E-2</v>
      </c>
      <c r="AT238" s="134">
        <f t="shared" si="27"/>
        <v>0.30048076923076922</v>
      </c>
      <c r="AU238" s="43">
        <f>IF(AND(F238&lt;&gt;"",Y238&lt;&gt;""),AA238/(F238/2/Y238),"")</f>
        <v>6.8482039397450747E-2</v>
      </c>
      <c r="AV238" s="43">
        <f>IF(AND(F238&lt;&gt;"",AJ238&lt;&gt;""),AL238/(F238/2/AJ238),"")</f>
        <v>0.10660486674391657</v>
      </c>
      <c r="AW238" s="41">
        <f>IF(AND(AP238&lt;&gt;"",1-(AP238/N238)&gt;0),1-(AP238/N238),"")</f>
        <v>0.89896373056994816</v>
      </c>
      <c r="AX238" s="41">
        <f>IF(AND(AE238&lt;&gt;"",1-(AE238/N238)&gt;0),1-(AE238/N238),"")</f>
        <v>0.83419689119170981</v>
      </c>
      <c r="AY238" s="136" t="str">
        <f>IF(P238="","",IF(P238&lt;2.5,"Alc. Bruta &lt; 2,5 mg/L",IF(P238&lt;5,"2,5 ≤ Alc. Bruta &lt; 5,0 mg/L",IF(P238&lt;7.5,"5,0 ≤ Alc. Bruta &lt; 7,5 mg/L",IF(P238&lt;10,"7,5 ≤ Alc. Bruta &lt; 10,0 mg/L",IF(P238&lt;15,"10,0 ≤ Alca. Bruta &lt; 15,0 mg/L","Alc. Bruta &gt; 15 mg/L"))))))</f>
        <v>5,0 ≤ Alc. Bruta &lt; 7,5 mg/L</v>
      </c>
      <c r="AZ238" s="136" t="str">
        <f>IF(O238="","",IF(O238&lt;5,"Cor &lt;5 uC",IF(O238&lt;10,"5 ≤ Cor &lt; 10 uC",IF(O238&lt;15,"10 ≤ Cor &lt;15 uC",IF(O238&lt;30,"15 ≤ Cor &lt; 30 uC",IF(O238&lt;50,"30 ≤ Cor &lt; 50 uC","Cor &gt; 50 uC"))))))</f>
        <v>15 ≤ Cor &lt; 30 uC</v>
      </c>
      <c r="BA238" s="137" t="str">
        <f>IF(N238="","",IF(N238&lt;2.5,"Turbidez &lt; 2,5 uT",IF(N238&lt;5,"2,5 ≤ Turb &lt; 5,0 uT",IF(N238&lt;7.5,"5,0 ≤ Turb &lt; 7,5 uT",IF(N238&lt;10,"7,5 ≤ Turb &lt; 10,0 uT",IF(N238&lt;15,"10,0 ≤ Turb &lt; 15,0 uT","Turb &gt; 15 uT"))))))</f>
        <v>2,5 ≤ Turb &lt; 5,0 uT</v>
      </c>
      <c r="BB238" s="138" t="str">
        <f>IF(AND(C238&gt;D238,D238&gt;E238),"TOR &gt; SM &gt; BNN",IF(AND(C238&gt;E238,E238&gt;D238),"TOR &gt; BNN &gt; SM",IF(AND(D238&gt;C238,C238&gt;E238),"SM &gt; TOR &gt; BNN",IF(AND(D238&gt;E238,E238&gt;C238),"SM &gt; BNN &gt; TOR",IF(AND(C238=D238,D238=E238),"TOR = SM = BNN","Comb. diferentes")))))</f>
        <v>TOR &gt; BNN &gt; SM</v>
      </c>
      <c r="BC238" s="137" t="str">
        <f>IF(OR(AD238="",AP238="-"),"",IF(AD238&lt;=0.25,"Tipo 1 (≤0,25) uT",IF(AD238&lt;=0.5,"Tipo 2 (0,25-0,50) uT",IF(AD238&lt;=0.75,"Tipo 3 (0,50-0,75) uT","Tipo 4 (&gt;0,75) uT"))))</f>
        <v>Tipo 2 (0,25-0,50) uT</v>
      </c>
      <c r="BD238" s="137" t="str">
        <f>IF(OR(AO238="",AY238="-"),"",IF(AO238&lt;=0.25,"Tipo 1 (≤0,25) uT",IF(AO238&lt;=0.5,"Tipo 2 (0,25-0,50) uT",IF(AO238&lt;=0.75,"Tipo 3 (0,50-0,75) uT","Tipo 4 (&gt;0,75) uT"))))</f>
        <v>Tipo 2 (0,25-0,50) uT</v>
      </c>
      <c r="BE238" s="137" t="str">
        <f>IF(OR(AE238="",AP238="-"),"",IF(AE238&lt;=0.25,"Tipo 1 (≤0,25) uT",IF(AE238&lt;=0.5,"Tipo 2 (0,25-0,50) uT",IF(AE238&lt;=0.75,"Tipo 3 (0,50-0,75) uT","Tipo 4 (&gt;0,75) uT"))))</f>
        <v>Tipo 3 (0,50-0,75) uT</v>
      </c>
      <c r="BF238" s="137" t="str">
        <f>IF(OR(AP238="",AP238="-"),"",IF(AP238&lt;=0.25,"Tipo 1 (≤0,25) uT",IF(AP238&lt;=0.5,"Tipo 2 (0,25-0,50) uT",IF(AP238&lt;=0.75,"Tipo 3 (0,50-0,75) uT","Tipo 4 (&gt;0,75) uT"))))</f>
        <v>Tipo 2 (0,25-0,50) uT</v>
      </c>
      <c r="BG238" s="137" t="str">
        <f>IF(OR(Q238="",Q238="-"),"",IF(Q238&lt;=0.25,"Tipo 1 (≤0,25) uT",IF(Q238&lt;=0.5,"Tipo 2 (0,25-0,50) uT",IF(Q238&lt;=0.75,"Tipo 3 (0,50-0,75) uT","Tipo 4 (&gt;0,75) uT"))))</f>
        <v>Tipo 2 (0,25-0,50) uT</v>
      </c>
    </row>
    <row r="239" spans="1:59" x14ac:dyDescent="0.3">
      <c r="A239" s="26">
        <v>46152</v>
      </c>
      <c r="B239" s="107">
        <v>0.64583333333333337</v>
      </c>
      <c r="C239" s="116">
        <v>1167</v>
      </c>
      <c r="D239" s="116">
        <v>88</v>
      </c>
      <c r="E239" s="116">
        <v>500</v>
      </c>
      <c r="F239" s="116">
        <v>1720</v>
      </c>
      <c r="G239" s="10" t="s">
        <v>100</v>
      </c>
      <c r="H239" s="122">
        <v>5.2</v>
      </c>
      <c r="I239" s="116">
        <v>90</v>
      </c>
      <c r="J239" s="116">
        <v>90</v>
      </c>
      <c r="K239" s="116">
        <v>90</v>
      </c>
      <c r="L239" s="122">
        <v>24.5</v>
      </c>
      <c r="M239" s="122">
        <v>6.7</v>
      </c>
      <c r="N239" s="79">
        <v>3.66</v>
      </c>
      <c r="O239" s="116">
        <v>14</v>
      </c>
      <c r="P239" s="122">
        <v>6.5</v>
      </c>
      <c r="Q239" s="79">
        <v>0.36</v>
      </c>
      <c r="R239" s="79">
        <v>22.36</v>
      </c>
      <c r="S239" s="79">
        <v>0.88</v>
      </c>
      <c r="T239" s="79">
        <v>0.7</v>
      </c>
      <c r="U239" s="85">
        <f t="shared" si="28"/>
        <v>1568.0666666666671</v>
      </c>
      <c r="V239" s="79">
        <f t="shared" si="29"/>
        <v>1598.6243988000001</v>
      </c>
      <c r="W239" s="79">
        <f t="shared" si="30"/>
        <v>1.0194875210237657</v>
      </c>
      <c r="X239" s="116">
        <v>2</v>
      </c>
      <c r="Y239" s="116">
        <v>3</v>
      </c>
      <c r="Z239" s="122">
        <v>6.5</v>
      </c>
      <c r="AA239" s="116">
        <v>19.8</v>
      </c>
      <c r="AB239" s="122">
        <v>6.7</v>
      </c>
      <c r="AC239" s="122">
        <v>6.1</v>
      </c>
      <c r="AD239" s="10">
        <v>0.43</v>
      </c>
      <c r="AE239" s="79">
        <v>0.41</v>
      </c>
      <c r="AF239" s="85">
        <f t="shared" si="31"/>
        <v>1176.0500000000002</v>
      </c>
      <c r="AG239" s="85">
        <f t="shared" si="32"/>
        <v>1817.9031722799998</v>
      </c>
      <c r="AH239" s="85">
        <f t="shared" si="33"/>
        <v>1.5457703093235828</v>
      </c>
      <c r="AI239" s="116">
        <v>2</v>
      </c>
      <c r="AJ239" s="116">
        <v>4</v>
      </c>
      <c r="AK239" s="79">
        <v>6.39</v>
      </c>
      <c r="AL239" s="79">
        <v>23</v>
      </c>
      <c r="AM239" s="122">
        <v>6.8</v>
      </c>
      <c r="AN239" s="122">
        <v>5.2</v>
      </c>
      <c r="AO239" s="79">
        <v>0.51</v>
      </c>
      <c r="AP239" s="127">
        <v>0.5</v>
      </c>
      <c r="AQ239" s="132">
        <f t="shared" si="24"/>
        <v>1755</v>
      </c>
      <c r="AR239" s="134">
        <f t="shared" si="25"/>
        <v>0.66495726495726493</v>
      </c>
      <c r="AS239" s="134">
        <f t="shared" si="26"/>
        <v>5.014245014245014E-2</v>
      </c>
      <c r="AT239" s="134">
        <f t="shared" si="27"/>
        <v>0.28490028490028491</v>
      </c>
      <c r="AU239" s="43">
        <f>IF(AND(F239&lt;&gt;"",Y239&lt;&gt;""),AA239/(F239/2/Y239),"")</f>
        <v>6.9069767441860469E-2</v>
      </c>
      <c r="AV239" s="43">
        <f>IF(AND(F239&lt;&gt;"",AJ239&lt;&gt;""),AL239/(F239/2/AJ239),"")</f>
        <v>0.10697674418604651</v>
      </c>
      <c r="AW239" s="41">
        <f>IF(AND(AP239&lt;&gt;"",1-(AP239/N239)&gt;0),1-(AP239/N239),"")</f>
        <v>0.86338797814207657</v>
      </c>
      <c r="AX239" s="41">
        <f>IF(AND(AE239&lt;&gt;"",1-(AE239/N239)&gt;0),1-(AE239/N239),"")</f>
        <v>0.88797814207650272</v>
      </c>
      <c r="AY239" s="136" t="str">
        <f>IF(P239="","",IF(P239&lt;2.5,"Alc. Bruta &lt; 2,5 mg/L",IF(P239&lt;5,"2,5 ≤ Alc. Bruta &lt; 5,0 mg/L",IF(P239&lt;7.5,"5,0 ≤ Alc. Bruta &lt; 7,5 mg/L",IF(P239&lt;10,"7,5 ≤ Alc. Bruta &lt; 10,0 mg/L",IF(P239&lt;15,"10,0 ≤ Alca. Bruta &lt; 15,0 mg/L","Alc. Bruta &gt; 15 mg/L"))))))</f>
        <v>5,0 ≤ Alc. Bruta &lt; 7,5 mg/L</v>
      </c>
      <c r="AZ239" s="136" t="str">
        <f>IF(O239="","",IF(O239&lt;5,"Cor &lt;5 uC",IF(O239&lt;10,"5 ≤ Cor &lt; 10 uC",IF(O239&lt;15,"10 ≤ Cor &lt;15 uC",IF(O239&lt;30,"15 ≤ Cor &lt; 30 uC",IF(O239&lt;50,"30 ≤ Cor &lt; 50 uC","Cor &gt; 50 uC"))))))</f>
        <v>10 ≤ Cor &lt;15 uC</v>
      </c>
      <c r="BA239" s="137" t="str">
        <f>IF(N239="","",IF(N239&lt;2.5,"Turbidez &lt; 2,5 uT",IF(N239&lt;5,"2,5 ≤ Turb &lt; 5,0 uT",IF(N239&lt;7.5,"5,0 ≤ Turb &lt; 7,5 uT",IF(N239&lt;10,"7,5 ≤ Turb &lt; 10,0 uT",IF(N239&lt;15,"10,0 ≤ Turb &lt; 15,0 uT","Turb &gt; 15 uT"))))))</f>
        <v>2,5 ≤ Turb &lt; 5,0 uT</v>
      </c>
      <c r="BB239" s="138" t="str">
        <f>IF(AND(C239&gt;D239,D239&gt;E239),"TOR &gt; SM &gt; BNN",IF(AND(C239&gt;E239,E239&gt;D239),"TOR &gt; BNN &gt; SM",IF(AND(D239&gt;C239,C239&gt;E239),"SM &gt; TOR &gt; BNN",IF(AND(D239&gt;E239,E239&gt;C239),"SM &gt; BNN &gt; TOR",IF(AND(C239=D239,D239=E239),"TOR = SM = BNN","Comb. diferentes")))))</f>
        <v>TOR &gt; BNN &gt; SM</v>
      </c>
      <c r="BC239" s="137" t="str">
        <f>IF(OR(AD239="",AP239="-"),"",IF(AD239&lt;=0.25,"Tipo 1 (≤0,25) uT",IF(AD239&lt;=0.5,"Tipo 2 (0,25-0,50) uT",IF(AD239&lt;=0.75,"Tipo 3 (0,50-0,75) uT","Tipo 4 (&gt;0,75) uT"))))</f>
        <v>Tipo 2 (0,25-0,50) uT</v>
      </c>
      <c r="BD239" s="137" t="str">
        <f>IF(OR(AO239="",AY239="-"),"",IF(AO239&lt;=0.25,"Tipo 1 (≤0,25) uT",IF(AO239&lt;=0.5,"Tipo 2 (0,25-0,50) uT",IF(AO239&lt;=0.75,"Tipo 3 (0,50-0,75) uT","Tipo 4 (&gt;0,75) uT"))))</f>
        <v>Tipo 3 (0,50-0,75) uT</v>
      </c>
      <c r="BE239" s="137" t="str">
        <f>IF(OR(AE239="",AP239="-"),"",IF(AE239&lt;=0.25,"Tipo 1 (≤0,25) uT",IF(AE239&lt;=0.5,"Tipo 2 (0,25-0,50) uT",IF(AE239&lt;=0.75,"Tipo 3 (0,50-0,75) uT","Tipo 4 (&gt;0,75) uT"))))</f>
        <v>Tipo 2 (0,25-0,50) uT</v>
      </c>
      <c r="BF239" s="137" t="str">
        <f>IF(OR(AP239="",AP239="-"),"",IF(AP239&lt;=0.25,"Tipo 1 (≤0,25) uT",IF(AP239&lt;=0.5,"Tipo 2 (0,25-0,50) uT",IF(AP239&lt;=0.75,"Tipo 3 (0,50-0,75) uT","Tipo 4 (&gt;0,75) uT"))))</f>
        <v>Tipo 2 (0,25-0,50) uT</v>
      </c>
      <c r="BG239" s="137" t="str">
        <f>IF(OR(Q239="",Q239="-"),"",IF(Q239&lt;=0.25,"Tipo 1 (≤0,25) uT",IF(Q239&lt;=0.5,"Tipo 2 (0,25-0,50) uT",IF(Q239&lt;=0.75,"Tipo 3 (0,50-0,75) uT","Tipo 4 (&gt;0,75) uT"))))</f>
        <v>Tipo 2 (0,25-0,50) uT</v>
      </c>
    </row>
    <row r="240" spans="1:59" x14ac:dyDescent="0.3">
      <c r="A240" s="26">
        <v>46152</v>
      </c>
      <c r="B240" s="107">
        <v>0.72916666666666663</v>
      </c>
      <c r="C240" s="116">
        <v>575</v>
      </c>
      <c r="D240" s="116">
        <v>86</v>
      </c>
      <c r="E240" s="116">
        <v>503</v>
      </c>
      <c r="F240" s="116">
        <v>1263</v>
      </c>
      <c r="G240" s="10" t="s">
        <v>100</v>
      </c>
      <c r="H240" s="122">
        <v>5</v>
      </c>
      <c r="I240" s="116">
        <v>90</v>
      </c>
      <c r="J240" s="116">
        <v>90</v>
      </c>
      <c r="K240" s="116">
        <v>90</v>
      </c>
      <c r="L240" s="122">
        <v>24.6</v>
      </c>
      <c r="M240" s="122">
        <v>6.7</v>
      </c>
      <c r="N240" s="79">
        <v>3.94</v>
      </c>
      <c r="O240" s="116">
        <v>15</v>
      </c>
      <c r="P240" s="122">
        <v>6.8</v>
      </c>
      <c r="Q240" s="79">
        <v>0.38</v>
      </c>
      <c r="R240" s="79">
        <v>22.36</v>
      </c>
      <c r="S240" s="79">
        <v>0.88</v>
      </c>
      <c r="T240" s="79">
        <v>0.7</v>
      </c>
      <c r="U240" s="85">
        <f t="shared" si="28"/>
        <v>1197.7449999999999</v>
      </c>
      <c r="V240" s="79">
        <f t="shared" si="29"/>
        <v>1598.6243988000001</v>
      </c>
      <c r="W240" s="79">
        <f t="shared" si="30"/>
        <v>1.3346951135675793</v>
      </c>
      <c r="X240" s="116">
        <v>2</v>
      </c>
      <c r="Y240" s="116">
        <v>3</v>
      </c>
      <c r="Z240" s="122">
        <v>6.5</v>
      </c>
      <c r="AA240" s="116">
        <v>19.8</v>
      </c>
      <c r="AB240" s="122">
        <v>6.6</v>
      </c>
      <c r="AC240" s="122">
        <v>6.1</v>
      </c>
      <c r="AD240" s="10">
        <v>0.35</v>
      </c>
      <c r="AE240" s="79">
        <v>0.38</v>
      </c>
      <c r="AF240" s="85">
        <f t="shared" si="31"/>
        <v>1796.6174999999998</v>
      </c>
      <c r="AG240" s="85">
        <f t="shared" si="32"/>
        <v>1845.0354</v>
      </c>
      <c r="AH240" s="85">
        <f t="shared" si="33"/>
        <v>1.0269494758901103</v>
      </c>
      <c r="AI240" s="116">
        <v>1</v>
      </c>
      <c r="AJ240" s="116">
        <v>2</v>
      </c>
      <c r="AK240" s="79">
        <v>6.25</v>
      </c>
      <c r="AL240" s="79">
        <v>24</v>
      </c>
      <c r="AM240" s="122">
        <v>6.5</v>
      </c>
      <c r="AN240" s="122">
        <v>5.3</v>
      </c>
      <c r="AO240" s="79">
        <v>0.28999999999999998</v>
      </c>
      <c r="AP240" s="127">
        <v>0.49</v>
      </c>
      <c r="AQ240" s="132">
        <f t="shared" si="24"/>
        <v>1164</v>
      </c>
      <c r="AR240" s="134">
        <f t="shared" si="25"/>
        <v>0.49398625429553267</v>
      </c>
      <c r="AS240" s="134">
        <f t="shared" si="26"/>
        <v>7.3883161512027493E-2</v>
      </c>
      <c r="AT240" s="134">
        <f t="shared" si="27"/>
        <v>0.43213058419243988</v>
      </c>
      <c r="AU240" s="43">
        <f>IF(AND(F240&lt;&gt;"",Y240&lt;&gt;""),AA240/(F240/2/Y240),"")</f>
        <v>9.4061757719714964E-2</v>
      </c>
      <c r="AV240" s="43">
        <f>IF(AND(F240&lt;&gt;"",AJ240&lt;&gt;""),AL240/(F240/2/AJ240),"")</f>
        <v>7.6009501187648459E-2</v>
      </c>
      <c r="AW240" s="41">
        <f>IF(AND(AP240&lt;&gt;"",1-(AP240/N240)&gt;0),1-(AP240/N240),"")</f>
        <v>0.87563451776649748</v>
      </c>
      <c r="AX240" s="41">
        <f>IF(AND(AE240&lt;&gt;"",1-(AE240/N240)&gt;0),1-(AE240/N240),"")</f>
        <v>0.90355329949238583</v>
      </c>
      <c r="AY240" s="136" t="str">
        <f>IF(P240="","",IF(P240&lt;2.5,"Alc. Bruta &lt; 2,5 mg/L",IF(P240&lt;5,"2,5 ≤ Alc. Bruta &lt; 5,0 mg/L",IF(P240&lt;7.5,"5,0 ≤ Alc. Bruta &lt; 7,5 mg/L",IF(P240&lt;10,"7,5 ≤ Alc. Bruta &lt; 10,0 mg/L",IF(P240&lt;15,"10,0 ≤ Alca. Bruta &lt; 15,0 mg/L","Alc. Bruta &gt; 15 mg/L"))))))</f>
        <v>5,0 ≤ Alc. Bruta &lt; 7,5 mg/L</v>
      </c>
      <c r="AZ240" s="136" t="str">
        <f>IF(O240="","",IF(O240&lt;5,"Cor &lt;5 uC",IF(O240&lt;10,"5 ≤ Cor &lt; 10 uC",IF(O240&lt;15,"10 ≤ Cor &lt;15 uC",IF(O240&lt;30,"15 ≤ Cor &lt; 30 uC",IF(O240&lt;50,"30 ≤ Cor &lt; 50 uC","Cor &gt; 50 uC"))))))</f>
        <v>15 ≤ Cor &lt; 30 uC</v>
      </c>
      <c r="BA240" s="137" t="str">
        <f>IF(N240="","",IF(N240&lt;2.5,"Turbidez &lt; 2,5 uT",IF(N240&lt;5,"2,5 ≤ Turb &lt; 5,0 uT",IF(N240&lt;7.5,"5,0 ≤ Turb &lt; 7,5 uT",IF(N240&lt;10,"7,5 ≤ Turb &lt; 10,0 uT",IF(N240&lt;15,"10,0 ≤ Turb &lt; 15,0 uT","Turb &gt; 15 uT"))))))</f>
        <v>2,5 ≤ Turb &lt; 5,0 uT</v>
      </c>
      <c r="BB240" s="138" t="str">
        <f>IF(AND(C240&gt;D240,D240&gt;E240),"TOR &gt; SM &gt; BNN",IF(AND(C240&gt;E240,E240&gt;D240),"TOR &gt; BNN &gt; SM",IF(AND(D240&gt;C240,C240&gt;E240),"SM &gt; TOR &gt; BNN",IF(AND(D240&gt;E240,E240&gt;C240),"SM &gt; BNN &gt; TOR",IF(AND(C240=D240,D240=E240),"TOR = SM = BNN","Comb. diferentes")))))</f>
        <v>TOR &gt; BNN &gt; SM</v>
      </c>
      <c r="BC240" s="137" t="str">
        <f>IF(OR(AD240="",AP240="-"),"",IF(AD240&lt;=0.25,"Tipo 1 (≤0,25) uT",IF(AD240&lt;=0.5,"Tipo 2 (0,25-0,50) uT",IF(AD240&lt;=0.75,"Tipo 3 (0,50-0,75) uT","Tipo 4 (&gt;0,75) uT"))))</f>
        <v>Tipo 2 (0,25-0,50) uT</v>
      </c>
      <c r="BD240" s="137" t="str">
        <f>IF(OR(AO240="",AY240="-"),"",IF(AO240&lt;=0.25,"Tipo 1 (≤0,25) uT",IF(AO240&lt;=0.5,"Tipo 2 (0,25-0,50) uT",IF(AO240&lt;=0.75,"Tipo 3 (0,50-0,75) uT","Tipo 4 (&gt;0,75) uT"))))</f>
        <v>Tipo 2 (0,25-0,50) uT</v>
      </c>
      <c r="BE240" s="137" t="str">
        <f>IF(OR(AE240="",AP240="-"),"",IF(AE240&lt;=0.25,"Tipo 1 (≤0,25) uT",IF(AE240&lt;=0.5,"Tipo 2 (0,25-0,50) uT",IF(AE240&lt;=0.75,"Tipo 3 (0,50-0,75) uT","Tipo 4 (&gt;0,75) uT"))))</f>
        <v>Tipo 2 (0,25-0,50) uT</v>
      </c>
      <c r="BF240" s="137" t="str">
        <f>IF(OR(AP240="",AP240="-"),"",IF(AP240&lt;=0.25,"Tipo 1 (≤0,25) uT",IF(AP240&lt;=0.5,"Tipo 2 (0,25-0,50) uT",IF(AP240&lt;=0.75,"Tipo 3 (0,50-0,75) uT","Tipo 4 (&gt;0,75) uT"))))</f>
        <v>Tipo 2 (0,25-0,50) uT</v>
      </c>
      <c r="BG240" s="137" t="str">
        <f>IF(OR(Q240="",Q240="-"),"",IF(Q240&lt;=0.25,"Tipo 1 (≤0,25) uT",IF(Q240&lt;=0.5,"Tipo 2 (0,25-0,50) uT",IF(Q240&lt;=0.75,"Tipo 3 (0,50-0,75) uT","Tipo 4 (&gt;0,75) uT"))))</f>
        <v>Tipo 2 (0,25-0,50) uT</v>
      </c>
    </row>
    <row r="241" spans="1:59" x14ac:dyDescent="0.3">
      <c r="A241" s="26">
        <v>46152</v>
      </c>
      <c r="B241" s="107">
        <v>0.8125</v>
      </c>
      <c r="C241" s="116">
        <v>602</v>
      </c>
      <c r="D241" s="116">
        <v>88</v>
      </c>
      <c r="E241" s="116">
        <v>502</v>
      </c>
      <c r="F241" s="116">
        <v>1224</v>
      </c>
      <c r="G241" s="10" t="s">
        <v>100</v>
      </c>
      <c r="H241" s="122">
        <v>5</v>
      </c>
      <c r="I241" s="116">
        <v>90</v>
      </c>
      <c r="J241" s="116">
        <v>90</v>
      </c>
      <c r="K241" s="116">
        <v>90</v>
      </c>
      <c r="L241" s="122">
        <v>24.4</v>
      </c>
      <c r="M241" s="122">
        <v>6.7</v>
      </c>
      <c r="N241" s="79">
        <v>4.9000000000000004</v>
      </c>
      <c r="O241" s="116">
        <v>15</v>
      </c>
      <c r="P241" s="122">
        <v>6.6</v>
      </c>
      <c r="Q241" s="79">
        <v>0.26</v>
      </c>
      <c r="R241" s="79">
        <v>22.36</v>
      </c>
      <c r="S241" s="79">
        <v>0.88</v>
      </c>
      <c r="T241" s="79">
        <v>0.7</v>
      </c>
      <c r="U241" s="85">
        <f t="shared" si="28"/>
        <v>1356.6000000000001</v>
      </c>
      <c r="V241" s="79">
        <f t="shared" si="29"/>
        <v>1490.8062340599997</v>
      </c>
      <c r="W241" s="79">
        <f t="shared" si="30"/>
        <v>1.0989283753943679</v>
      </c>
      <c r="X241" s="116">
        <v>2</v>
      </c>
      <c r="Y241" s="116">
        <v>3</v>
      </c>
      <c r="Z241" s="122">
        <v>6.49</v>
      </c>
      <c r="AA241" s="116">
        <v>18.5</v>
      </c>
      <c r="AB241" s="122">
        <v>6.7</v>
      </c>
      <c r="AC241" s="122">
        <v>5.6</v>
      </c>
      <c r="AD241" s="10">
        <v>0.21</v>
      </c>
      <c r="AE241" s="79">
        <v>0.3</v>
      </c>
      <c r="AF241" s="85">
        <f t="shared" si="31"/>
        <v>2034.9</v>
      </c>
      <c r="AG241" s="85">
        <f t="shared" si="32"/>
        <v>1752.4586050399996</v>
      </c>
      <c r="AH241" s="85">
        <f t="shared" si="33"/>
        <v>0.86120133915180086</v>
      </c>
      <c r="AI241" s="116">
        <v>1</v>
      </c>
      <c r="AJ241" s="116">
        <v>2</v>
      </c>
      <c r="AK241" s="79">
        <v>6.43</v>
      </c>
      <c r="AL241" s="79">
        <v>22</v>
      </c>
      <c r="AM241" s="122">
        <v>6.6</v>
      </c>
      <c r="AN241" s="122">
        <v>5.7</v>
      </c>
      <c r="AO241" s="79">
        <v>0.17</v>
      </c>
      <c r="AP241" s="127">
        <v>0.36</v>
      </c>
      <c r="AQ241" s="132">
        <f t="shared" si="24"/>
        <v>1192</v>
      </c>
      <c r="AR241" s="134">
        <f t="shared" si="25"/>
        <v>0.50503355704697983</v>
      </c>
      <c r="AS241" s="134">
        <f t="shared" si="26"/>
        <v>7.3825503355704702E-2</v>
      </c>
      <c r="AT241" s="134">
        <f t="shared" si="27"/>
        <v>0.42114093959731541</v>
      </c>
      <c r="AU241" s="43">
        <f>IF(AND(F241&lt;&gt;"",Y241&lt;&gt;""),AA241/(F241/2/Y241),"")</f>
        <v>9.0686274509803919E-2</v>
      </c>
      <c r="AV241" s="43">
        <f>IF(AND(F241&lt;&gt;"",AJ241&lt;&gt;""),AL241/(F241/2/AJ241),"")</f>
        <v>7.1895424836601302E-2</v>
      </c>
      <c r="AW241" s="41">
        <f>IF(AND(AP241&lt;&gt;"",1-(AP241/N241)&gt;0),1-(AP241/N241),"")</f>
        <v>0.92653061224489797</v>
      </c>
      <c r="AX241" s="41">
        <f>IF(AND(AE241&lt;&gt;"",1-(AE241/N241)&gt;0),1-(AE241/N241),"")</f>
        <v>0.93877551020408168</v>
      </c>
      <c r="AY241" s="136" t="str">
        <f>IF(P241="","",IF(P241&lt;2.5,"Alc. Bruta &lt; 2,5 mg/L",IF(P241&lt;5,"2,5 ≤ Alc. Bruta &lt; 5,0 mg/L",IF(P241&lt;7.5,"5,0 ≤ Alc. Bruta &lt; 7,5 mg/L",IF(P241&lt;10,"7,5 ≤ Alc. Bruta &lt; 10,0 mg/L",IF(P241&lt;15,"10,0 ≤ Alca. Bruta &lt; 15,0 mg/L","Alc. Bruta &gt; 15 mg/L"))))))</f>
        <v>5,0 ≤ Alc. Bruta &lt; 7,5 mg/L</v>
      </c>
      <c r="AZ241" s="136" t="str">
        <f>IF(O241="","",IF(O241&lt;5,"Cor &lt;5 uC",IF(O241&lt;10,"5 ≤ Cor &lt; 10 uC",IF(O241&lt;15,"10 ≤ Cor &lt;15 uC",IF(O241&lt;30,"15 ≤ Cor &lt; 30 uC",IF(O241&lt;50,"30 ≤ Cor &lt; 50 uC","Cor &gt; 50 uC"))))))</f>
        <v>15 ≤ Cor &lt; 30 uC</v>
      </c>
      <c r="BA241" s="137" t="str">
        <f>IF(N241="","",IF(N241&lt;2.5,"Turbidez &lt; 2,5 uT",IF(N241&lt;5,"2,5 ≤ Turb &lt; 5,0 uT",IF(N241&lt;7.5,"5,0 ≤ Turb &lt; 7,5 uT",IF(N241&lt;10,"7,5 ≤ Turb &lt; 10,0 uT",IF(N241&lt;15,"10,0 ≤ Turb &lt; 15,0 uT","Turb &gt; 15 uT"))))))</f>
        <v>2,5 ≤ Turb &lt; 5,0 uT</v>
      </c>
      <c r="BB241" s="138" t="str">
        <f>IF(AND(C241&gt;D241,D241&gt;E241),"TOR &gt; SM &gt; BNN",IF(AND(C241&gt;E241,E241&gt;D241),"TOR &gt; BNN &gt; SM",IF(AND(D241&gt;C241,C241&gt;E241),"SM &gt; TOR &gt; BNN",IF(AND(D241&gt;E241,E241&gt;C241),"SM &gt; BNN &gt; TOR",IF(AND(C241=D241,D241=E241),"TOR = SM = BNN","Comb. diferentes")))))</f>
        <v>TOR &gt; BNN &gt; SM</v>
      </c>
      <c r="BC241" s="137" t="str">
        <f>IF(OR(AD241="",AP241="-"),"",IF(AD241&lt;=0.25,"Tipo 1 (≤0,25) uT",IF(AD241&lt;=0.5,"Tipo 2 (0,25-0,50) uT",IF(AD241&lt;=0.75,"Tipo 3 (0,50-0,75) uT","Tipo 4 (&gt;0,75) uT"))))</f>
        <v>Tipo 1 (≤0,25) uT</v>
      </c>
      <c r="BD241" s="137" t="str">
        <f>IF(OR(AO241="",AY241="-"),"",IF(AO241&lt;=0.25,"Tipo 1 (≤0,25) uT",IF(AO241&lt;=0.5,"Tipo 2 (0,25-0,50) uT",IF(AO241&lt;=0.75,"Tipo 3 (0,50-0,75) uT","Tipo 4 (&gt;0,75) uT"))))</f>
        <v>Tipo 1 (≤0,25) uT</v>
      </c>
      <c r="BE241" s="137" t="str">
        <f>IF(OR(AE241="",AP241="-"),"",IF(AE241&lt;=0.25,"Tipo 1 (≤0,25) uT",IF(AE241&lt;=0.5,"Tipo 2 (0,25-0,50) uT",IF(AE241&lt;=0.75,"Tipo 3 (0,50-0,75) uT","Tipo 4 (&gt;0,75) uT"))))</f>
        <v>Tipo 2 (0,25-0,50) uT</v>
      </c>
      <c r="BF241" s="137" t="str">
        <f>IF(OR(AP241="",AP241="-"),"",IF(AP241&lt;=0.25,"Tipo 1 (≤0,25) uT",IF(AP241&lt;=0.5,"Tipo 2 (0,25-0,50) uT",IF(AP241&lt;=0.75,"Tipo 3 (0,50-0,75) uT","Tipo 4 (&gt;0,75) uT"))))</f>
        <v>Tipo 2 (0,25-0,50) uT</v>
      </c>
      <c r="BG241" s="137" t="str">
        <f>IF(OR(Q241="",Q241="-"),"",IF(Q241&lt;=0.25,"Tipo 1 (≤0,25) uT",IF(Q241&lt;=0.5,"Tipo 2 (0,25-0,50) uT",IF(Q241&lt;=0.75,"Tipo 3 (0,50-0,75) uT","Tipo 4 (&gt;0,75) uT"))))</f>
        <v>Tipo 2 (0,25-0,50) uT</v>
      </c>
    </row>
    <row r="242" spans="1:59" x14ac:dyDescent="0.3">
      <c r="A242" s="26">
        <v>46152</v>
      </c>
      <c r="B242" s="107">
        <v>0.89583333333333337</v>
      </c>
      <c r="C242" s="116">
        <v>583</v>
      </c>
      <c r="D242" s="116">
        <v>86</v>
      </c>
      <c r="E242" s="116">
        <v>500</v>
      </c>
      <c r="F242" s="116">
        <v>1234</v>
      </c>
      <c r="G242" s="10" t="s">
        <v>100</v>
      </c>
      <c r="H242" s="122">
        <v>4.7</v>
      </c>
      <c r="I242" s="116">
        <v>90</v>
      </c>
      <c r="J242" s="116">
        <v>90</v>
      </c>
      <c r="K242" s="116">
        <v>90</v>
      </c>
      <c r="L242" s="122">
        <v>23.9</v>
      </c>
      <c r="M242" s="122">
        <v>6.8</v>
      </c>
      <c r="N242" s="79">
        <v>3.29</v>
      </c>
      <c r="O242" s="116">
        <v>14</v>
      </c>
      <c r="P242" s="122">
        <v>8.1</v>
      </c>
      <c r="Q242" s="79">
        <v>0.26</v>
      </c>
      <c r="R242" s="79">
        <v>22.36</v>
      </c>
      <c r="S242" s="79">
        <v>0.88</v>
      </c>
      <c r="T242" s="79">
        <v>0.7</v>
      </c>
      <c r="U242" s="85">
        <f t="shared" si="28"/>
        <v>1221.6600000000001</v>
      </c>
      <c r="V242" s="79">
        <f t="shared" si="29"/>
        <v>1531.0982944399998</v>
      </c>
      <c r="W242" s="79">
        <f t="shared" si="30"/>
        <v>1.2532933012785878</v>
      </c>
      <c r="X242" s="116">
        <v>2</v>
      </c>
      <c r="Y242" s="116">
        <v>2.5</v>
      </c>
      <c r="Z242" s="122">
        <v>6.49</v>
      </c>
      <c r="AA242" s="116">
        <v>19</v>
      </c>
      <c r="AB242" s="122">
        <v>6.6</v>
      </c>
      <c r="AC242" s="122">
        <v>9.1</v>
      </c>
      <c r="AD242" s="10">
        <v>0.2</v>
      </c>
      <c r="AE242" s="79">
        <v>0.26</v>
      </c>
      <c r="AF242" s="85">
        <f t="shared" si="31"/>
        <v>1527.075</v>
      </c>
      <c r="AG242" s="85">
        <f t="shared" si="32"/>
        <v>1830.2048169599998</v>
      </c>
      <c r="AH242" s="85">
        <f t="shared" si="33"/>
        <v>1.1985035554638768</v>
      </c>
      <c r="AI242" s="116">
        <v>1</v>
      </c>
      <c r="AJ242" s="116">
        <v>2</v>
      </c>
      <c r="AK242" s="79">
        <v>6.21</v>
      </c>
      <c r="AL242" s="79">
        <v>24</v>
      </c>
      <c r="AM242" s="122">
        <v>6.7</v>
      </c>
      <c r="AN242" s="122">
        <v>8.6</v>
      </c>
      <c r="AO242" s="79">
        <v>0.26</v>
      </c>
      <c r="AP242" s="127">
        <v>0.3</v>
      </c>
      <c r="AQ242" s="132">
        <f t="shared" si="24"/>
        <v>1169</v>
      </c>
      <c r="AR242" s="134">
        <f t="shared" si="25"/>
        <v>0.49871685201026517</v>
      </c>
      <c r="AS242" s="134">
        <f t="shared" si="26"/>
        <v>7.3567151411462792E-2</v>
      </c>
      <c r="AT242" s="134">
        <f t="shared" si="27"/>
        <v>0.42771599657827203</v>
      </c>
      <c r="AU242" s="43">
        <f>IF(AND(F242&lt;&gt;"",Y242&lt;&gt;""),AA242/(F242/2/Y242),"")</f>
        <v>7.698541329011345E-2</v>
      </c>
      <c r="AV242" s="43">
        <f>IF(AND(F242&lt;&gt;"",AJ242&lt;&gt;""),AL242/(F242/2/AJ242),"")</f>
        <v>7.7795786061588337E-2</v>
      </c>
      <c r="AW242" s="41">
        <f>IF(AND(AP242&lt;&gt;"",1-(AP242/N242)&gt;0),1-(AP242/N242),"")</f>
        <v>0.90881458966565354</v>
      </c>
      <c r="AX242" s="41">
        <f>IF(AND(AE242&lt;&gt;"",1-(AE242/N242)&gt;0),1-(AE242/N242),"")</f>
        <v>0.92097264437689974</v>
      </c>
      <c r="AY242" s="136" t="str">
        <f>IF(P242="","",IF(P242&lt;2.5,"Alc. Bruta &lt; 2,5 mg/L",IF(P242&lt;5,"2,5 ≤ Alc. Bruta &lt; 5,0 mg/L",IF(P242&lt;7.5,"5,0 ≤ Alc. Bruta &lt; 7,5 mg/L",IF(P242&lt;10,"7,5 ≤ Alc. Bruta &lt; 10,0 mg/L",IF(P242&lt;15,"10,0 ≤ Alca. Bruta &lt; 15,0 mg/L","Alc. Bruta &gt; 15 mg/L"))))))</f>
        <v>7,5 ≤ Alc. Bruta &lt; 10,0 mg/L</v>
      </c>
      <c r="AZ242" s="136" t="str">
        <f>IF(O242="","",IF(O242&lt;5,"Cor &lt;5 uC",IF(O242&lt;10,"5 ≤ Cor &lt; 10 uC",IF(O242&lt;15,"10 ≤ Cor &lt;15 uC",IF(O242&lt;30,"15 ≤ Cor &lt; 30 uC",IF(O242&lt;50,"30 ≤ Cor &lt; 50 uC","Cor &gt; 50 uC"))))))</f>
        <v>10 ≤ Cor &lt;15 uC</v>
      </c>
      <c r="BA242" s="137" t="str">
        <f>IF(N242="","",IF(N242&lt;2.5,"Turbidez &lt; 2,5 uT",IF(N242&lt;5,"2,5 ≤ Turb &lt; 5,0 uT",IF(N242&lt;7.5,"5,0 ≤ Turb &lt; 7,5 uT",IF(N242&lt;10,"7,5 ≤ Turb &lt; 10,0 uT",IF(N242&lt;15,"10,0 ≤ Turb &lt; 15,0 uT","Turb &gt; 15 uT"))))))</f>
        <v>2,5 ≤ Turb &lt; 5,0 uT</v>
      </c>
      <c r="BB242" s="138" t="str">
        <f>IF(AND(C242&gt;D242,D242&gt;E242),"TOR &gt; SM &gt; BNN",IF(AND(C242&gt;E242,E242&gt;D242),"TOR &gt; BNN &gt; SM",IF(AND(D242&gt;C242,C242&gt;E242),"SM &gt; TOR &gt; BNN",IF(AND(D242&gt;E242,E242&gt;C242),"SM &gt; BNN &gt; TOR",IF(AND(C242=D242,D242=E242),"TOR = SM = BNN","Comb. diferentes")))))</f>
        <v>TOR &gt; BNN &gt; SM</v>
      </c>
      <c r="BC242" s="137" t="str">
        <f>IF(OR(AD242="",AP242="-"),"",IF(AD242&lt;=0.25,"Tipo 1 (≤0,25) uT",IF(AD242&lt;=0.5,"Tipo 2 (0,25-0,50) uT",IF(AD242&lt;=0.75,"Tipo 3 (0,50-0,75) uT","Tipo 4 (&gt;0,75) uT"))))</f>
        <v>Tipo 1 (≤0,25) uT</v>
      </c>
      <c r="BD242" s="137" t="str">
        <f>IF(OR(AO242="",AY242="-"),"",IF(AO242&lt;=0.25,"Tipo 1 (≤0,25) uT",IF(AO242&lt;=0.5,"Tipo 2 (0,25-0,50) uT",IF(AO242&lt;=0.75,"Tipo 3 (0,50-0,75) uT","Tipo 4 (&gt;0,75) uT"))))</f>
        <v>Tipo 2 (0,25-0,50) uT</v>
      </c>
      <c r="BE242" s="137" t="str">
        <f>IF(OR(AE242="",AP242="-"),"",IF(AE242&lt;=0.25,"Tipo 1 (≤0,25) uT",IF(AE242&lt;=0.5,"Tipo 2 (0,25-0,50) uT",IF(AE242&lt;=0.75,"Tipo 3 (0,50-0,75) uT","Tipo 4 (&gt;0,75) uT"))))</f>
        <v>Tipo 2 (0,25-0,50) uT</v>
      </c>
      <c r="BF242" s="137" t="str">
        <f>IF(OR(AP242="",AP242="-"),"",IF(AP242&lt;=0.25,"Tipo 1 (≤0,25) uT",IF(AP242&lt;=0.5,"Tipo 2 (0,25-0,50) uT",IF(AP242&lt;=0.75,"Tipo 3 (0,50-0,75) uT","Tipo 4 (&gt;0,75) uT"))))</f>
        <v>Tipo 2 (0,25-0,50) uT</v>
      </c>
      <c r="BG242" s="137" t="str">
        <f>IF(OR(Q242="",Q242="-"),"",IF(Q242&lt;=0.25,"Tipo 1 (≤0,25) uT",IF(Q242&lt;=0.5,"Tipo 2 (0,25-0,50) uT",IF(Q242&lt;=0.75,"Tipo 3 (0,50-0,75) uT","Tipo 4 (&gt;0,75) uT"))))</f>
        <v>Tipo 2 (0,25-0,50) uT</v>
      </c>
    </row>
    <row r="243" spans="1:59" x14ac:dyDescent="0.3">
      <c r="A243" s="26">
        <v>46153</v>
      </c>
      <c r="B243" s="107">
        <v>6.25E-2</v>
      </c>
      <c r="C243" s="116">
        <v>1140</v>
      </c>
      <c r="D243" s="116">
        <v>90</v>
      </c>
      <c r="E243" s="116">
        <v>500</v>
      </c>
      <c r="F243" s="116">
        <v>1860</v>
      </c>
      <c r="G243" s="10" t="s">
        <v>100</v>
      </c>
      <c r="H243" s="122">
        <v>4.9000000000000004</v>
      </c>
      <c r="I243" s="116">
        <v>90</v>
      </c>
      <c r="J243" s="116">
        <v>90</v>
      </c>
      <c r="K243" s="116">
        <v>90</v>
      </c>
      <c r="L243" s="122">
        <v>23.7</v>
      </c>
      <c r="M243" s="122">
        <v>6.8</v>
      </c>
      <c r="N243" s="79">
        <v>4.25</v>
      </c>
      <c r="O243" s="116">
        <v>16</v>
      </c>
      <c r="P243" s="122">
        <v>5.5</v>
      </c>
      <c r="Q243" s="79">
        <v>1.1399999999999999</v>
      </c>
      <c r="R243" s="79">
        <v>22.36</v>
      </c>
      <c r="S243" s="79">
        <v>0.88</v>
      </c>
      <c r="T243" s="79">
        <v>0.7</v>
      </c>
      <c r="U243" s="85">
        <f t="shared" si="28"/>
        <v>1388.0249999999999</v>
      </c>
      <c r="V243" s="79">
        <f t="shared" si="29"/>
        <v>1447.7334393599999</v>
      </c>
      <c r="W243" s="79">
        <f t="shared" si="30"/>
        <v>1.0430168328092073</v>
      </c>
      <c r="X243" s="116">
        <v>2</v>
      </c>
      <c r="Y243" s="116">
        <v>4</v>
      </c>
      <c r="Z243" s="122">
        <v>6.48</v>
      </c>
      <c r="AA243" s="116">
        <v>18</v>
      </c>
      <c r="AB243" s="122">
        <v>6.6</v>
      </c>
      <c r="AC243" s="122">
        <v>4.4000000000000004</v>
      </c>
      <c r="AD243" s="10">
        <v>0.77</v>
      </c>
      <c r="AE243" s="79">
        <v>1.28</v>
      </c>
      <c r="AF243" s="85">
        <f t="shared" si="31"/>
        <v>1850.6999999999998</v>
      </c>
      <c r="AG243" s="85">
        <f t="shared" si="32"/>
        <v>1810.7968512399998</v>
      </c>
      <c r="AH243" s="85">
        <f t="shared" si="33"/>
        <v>0.9784388886583455</v>
      </c>
      <c r="AI243" s="116">
        <v>2</v>
      </c>
      <c r="AJ243" s="116">
        <v>3</v>
      </c>
      <c r="AK243" s="79">
        <v>6.37</v>
      </c>
      <c r="AL243" s="79">
        <v>23</v>
      </c>
      <c r="AM243" s="122">
        <v>6.5</v>
      </c>
      <c r="AN243" s="122">
        <v>5.5</v>
      </c>
      <c r="AO243" s="79">
        <v>1.03</v>
      </c>
      <c r="AP243" s="127">
        <v>1.06</v>
      </c>
      <c r="AQ243" s="132">
        <f t="shared" si="24"/>
        <v>1730</v>
      </c>
      <c r="AR243" s="134">
        <f t="shared" si="25"/>
        <v>0.65895953757225434</v>
      </c>
      <c r="AS243" s="134">
        <f t="shared" si="26"/>
        <v>5.2023121387283239E-2</v>
      </c>
      <c r="AT243" s="134">
        <f t="shared" si="27"/>
        <v>0.28901734104046245</v>
      </c>
      <c r="AU243" s="43">
        <f>IF(AND(F243&lt;&gt;"",Y243&lt;&gt;""),AA243/(F243/2/Y243),"")</f>
        <v>7.7419354838709681E-2</v>
      </c>
      <c r="AV243" s="43">
        <f>IF(AND(F243&lt;&gt;"",AJ243&lt;&gt;""),AL243/(F243/2/AJ243),"")</f>
        <v>7.4193548387096769E-2</v>
      </c>
      <c r="AW243" s="41">
        <f>IF(AND(AP243&lt;&gt;"",1-(AP243/N243)&gt;0),1-(AP243/N243),"")</f>
        <v>0.75058823529411767</v>
      </c>
      <c r="AX243" s="41">
        <f>IF(AND(AE243&lt;&gt;"",1-(AE243/N243)&gt;0),1-(AE243/N243),"")</f>
        <v>0.69882352941176462</v>
      </c>
      <c r="AY243" s="136" t="str">
        <f>IF(P243="","",IF(P243&lt;2.5,"Alc. Bruta &lt; 2,5 mg/L",IF(P243&lt;5,"2,5 ≤ Alc. Bruta &lt; 5,0 mg/L",IF(P243&lt;7.5,"5,0 ≤ Alc. Bruta &lt; 7,5 mg/L",IF(P243&lt;10,"7,5 ≤ Alc. Bruta &lt; 10,0 mg/L",IF(P243&lt;15,"10,0 ≤ Alca. Bruta &lt; 15,0 mg/L","Alc. Bruta &gt; 15 mg/L"))))))</f>
        <v>5,0 ≤ Alc. Bruta &lt; 7,5 mg/L</v>
      </c>
      <c r="AZ243" s="136" t="str">
        <f>IF(O243="","",IF(O243&lt;5,"Cor &lt;5 uC",IF(O243&lt;10,"5 ≤ Cor &lt; 10 uC",IF(O243&lt;15,"10 ≤ Cor &lt;15 uC",IF(O243&lt;30,"15 ≤ Cor &lt; 30 uC",IF(O243&lt;50,"30 ≤ Cor &lt; 50 uC","Cor &gt; 50 uC"))))))</f>
        <v>15 ≤ Cor &lt; 30 uC</v>
      </c>
      <c r="BA243" s="137" t="str">
        <f>IF(N243="","",IF(N243&lt;2.5,"Turbidez &lt; 2,5 uT",IF(N243&lt;5,"2,5 ≤ Turb &lt; 5,0 uT",IF(N243&lt;7.5,"5,0 ≤ Turb &lt; 7,5 uT",IF(N243&lt;10,"7,5 ≤ Turb &lt; 10,0 uT",IF(N243&lt;15,"10,0 ≤ Turb &lt; 15,0 uT","Turb &gt; 15 uT"))))))</f>
        <v>2,5 ≤ Turb &lt; 5,0 uT</v>
      </c>
      <c r="BB243" s="138" t="str">
        <f>IF(AND(C243&gt;D243,D243&gt;E243),"TOR &gt; SM &gt; BNN",IF(AND(C243&gt;E243,E243&gt;D243),"TOR &gt; BNN &gt; SM",IF(AND(D243&gt;C243,C243&gt;E243),"SM &gt; TOR &gt; BNN",IF(AND(D243&gt;E243,E243&gt;C243),"SM &gt; BNN &gt; TOR",IF(AND(C243=D243,D243=E243),"TOR = SM = BNN","Comb. diferentes")))))</f>
        <v>TOR &gt; BNN &gt; SM</v>
      </c>
      <c r="BC243" s="137" t="str">
        <f>IF(OR(AD243="",AP243="-"),"",IF(AD243&lt;=0.25,"Tipo 1 (≤0,25) uT",IF(AD243&lt;=0.5,"Tipo 2 (0,25-0,50) uT",IF(AD243&lt;=0.75,"Tipo 3 (0,50-0,75) uT","Tipo 4 (&gt;0,75) uT"))))</f>
        <v>Tipo 4 (&gt;0,75) uT</v>
      </c>
      <c r="BD243" s="137" t="str">
        <f>IF(OR(AO243="",AY243="-"),"",IF(AO243&lt;=0.25,"Tipo 1 (≤0,25) uT",IF(AO243&lt;=0.5,"Tipo 2 (0,25-0,50) uT",IF(AO243&lt;=0.75,"Tipo 3 (0,50-0,75) uT","Tipo 4 (&gt;0,75) uT"))))</f>
        <v>Tipo 4 (&gt;0,75) uT</v>
      </c>
      <c r="BE243" s="137" t="str">
        <f>IF(OR(AE243="",AP243="-"),"",IF(AE243&lt;=0.25,"Tipo 1 (≤0,25) uT",IF(AE243&lt;=0.5,"Tipo 2 (0,25-0,50) uT",IF(AE243&lt;=0.75,"Tipo 3 (0,50-0,75) uT","Tipo 4 (&gt;0,75) uT"))))</f>
        <v>Tipo 4 (&gt;0,75) uT</v>
      </c>
      <c r="BF243" s="137" t="str">
        <f>IF(OR(AP243="",AP243="-"),"",IF(AP243&lt;=0.25,"Tipo 1 (≤0,25) uT",IF(AP243&lt;=0.5,"Tipo 2 (0,25-0,50) uT",IF(AP243&lt;=0.75,"Tipo 3 (0,50-0,75) uT","Tipo 4 (&gt;0,75) uT"))))</f>
        <v>Tipo 4 (&gt;0,75) uT</v>
      </c>
      <c r="BG243" s="137" t="str">
        <f>IF(OR(Q243="",Q243="-"),"",IF(Q243&lt;=0.25,"Tipo 1 (≤0,25) uT",IF(Q243&lt;=0.5,"Tipo 2 (0,25-0,50) uT",IF(Q243&lt;=0.75,"Tipo 3 (0,50-0,75) uT","Tipo 4 (&gt;0,75) uT"))))</f>
        <v>Tipo 4 (&gt;0,75) uT</v>
      </c>
    </row>
    <row r="244" spans="1:59" x14ac:dyDescent="0.3">
      <c r="A244" s="26">
        <v>46153</v>
      </c>
      <c r="B244" s="107">
        <v>0.14583333333333334</v>
      </c>
      <c r="C244" s="116">
        <v>1045</v>
      </c>
      <c r="D244" s="116">
        <v>88</v>
      </c>
      <c r="E244" s="116">
        <v>500</v>
      </c>
      <c r="F244" s="116">
        <v>1786</v>
      </c>
      <c r="G244" s="10" t="s">
        <v>100</v>
      </c>
      <c r="H244" s="122">
        <v>5</v>
      </c>
      <c r="I244" s="116">
        <v>90</v>
      </c>
      <c r="J244" s="116">
        <v>90</v>
      </c>
      <c r="K244" s="116">
        <v>90</v>
      </c>
      <c r="L244" s="122">
        <v>23.3</v>
      </c>
      <c r="M244" s="122">
        <v>6.8</v>
      </c>
      <c r="N244" s="79">
        <v>3.91</v>
      </c>
      <c r="O244" s="116">
        <v>17</v>
      </c>
      <c r="P244" s="122">
        <v>6.9</v>
      </c>
      <c r="Q244" s="79">
        <v>0.54</v>
      </c>
      <c r="R244" s="79">
        <v>22.36</v>
      </c>
      <c r="S244" s="79">
        <v>0.88</v>
      </c>
      <c r="T244" s="79">
        <v>0.7</v>
      </c>
      <c r="U244" s="85">
        <f t="shared" si="28"/>
        <v>1263.595</v>
      </c>
      <c r="V244" s="79">
        <f t="shared" si="29"/>
        <v>1531.0982944399998</v>
      </c>
      <c r="W244" s="79">
        <f t="shared" si="30"/>
        <v>1.2117001843470414</v>
      </c>
      <c r="X244" s="116">
        <v>2</v>
      </c>
      <c r="Y244" s="116">
        <v>4</v>
      </c>
      <c r="Z244" s="122">
        <v>6.49</v>
      </c>
      <c r="AA244" s="116">
        <v>19</v>
      </c>
      <c r="AB244" s="122">
        <v>6.7</v>
      </c>
      <c r="AC244" s="122">
        <v>7.2</v>
      </c>
      <c r="AD244" s="10">
        <v>0.49</v>
      </c>
      <c r="AE244" s="79">
        <v>0.4</v>
      </c>
      <c r="AF244" s="85">
        <f t="shared" si="31"/>
        <v>1684.7933333333335</v>
      </c>
      <c r="AG244" s="85">
        <f t="shared" si="32"/>
        <v>1878.4042118399998</v>
      </c>
      <c r="AH244" s="85">
        <f t="shared" si="33"/>
        <v>1.114916693149308</v>
      </c>
      <c r="AI244" s="116">
        <v>2</v>
      </c>
      <c r="AJ244" s="116">
        <v>3</v>
      </c>
      <c r="AK244" s="79">
        <v>6.34</v>
      </c>
      <c r="AL244" s="79">
        <v>24</v>
      </c>
      <c r="AM244" s="122">
        <v>6.7</v>
      </c>
      <c r="AN244" s="122">
        <v>6.4</v>
      </c>
      <c r="AO244" s="79">
        <v>0.56000000000000005</v>
      </c>
      <c r="AP244" s="127">
        <v>0.36</v>
      </c>
      <c r="AQ244" s="132">
        <f t="shared" si="24"/>
        <v>1633</v>
      </c>
      <c r="AR244" s="134">
        <f t="shared" si="25"/>
        <v>0.63992651561543168</v>
      </c>
      <c r="AS244" s="134">
        <f t="shared" si="26"/>
        <v>5.3888548683404779E-2</v>
      </c>
      <c r="AT244" s="134">
        <f t="shared" si="27"/>
        <v>0.30618493570116351</v>
      </c>
      <c r="AU244" s="43">
        <f>IF(AND(F244&lt;&gt;"",Y244&lt;&gt;""),AA244/(F244/2/Y244),"")</f>
        <v>8.5106382978723402E-2</v>
      </c>
      <c r="AV244" s="43">
        <f>IF(AND(F244&lt;&gt;"",AJ244&lt;&gt;""),AL244/(F244/2/AJ244),"")</f>
        <v>8.062709966405375E-2</v>
      </c>
      <c r="AW244" s="41">
        <f>IF(AND(AP244&lt;&gt;"",1-(AP244/N244)&gt;0),1-(AP244/N244),"")</f>
        <v>0.90792838874680304</v>
      </c>
      <c r="AX244" s="41">
        <f>IF(AND(AE244&lt;&gt;"",1-(AE244/N244)&gt;0),1-(AE244/N244),"")</f>
        <v>0.89769820971867009</v>
      </c>
      <c r="AY244" s="136" t="str">
        <f>IF(P244="","",IF(P244&lt;2.5,"Alc. Bruta &lt; 2,5 mg/L",IF(P244&lt;5,"2,5 ≤ Alc. Bruta &lt; 5,0 mg/L",IF(P244&lt;7.5,"5,0 ≤ Alc. Bruta &lt; 7,5 mg/L",IF(P244&lt;10,"7,5 ≤ Alc. Bruta &lt; 10,0 mg/L",IF(P244&lt;15,"10,0 ≤ Alca. Bruta &lt; 15,0 mg/L","Alc. Bruta &gt; 15 mg/L"))))))</f>
        <v>5,0 ≤ Alc. Bruta &lt; 7,5 mg/L</v>
      </c>
      <c r="AZ244" s="136" t="str">
        <f>IF(O244="","",IF(O244&lt;5,"Cor &lt;5 uC",IF(O244&lt;10,"5 ≤ Cor &lt; 10 uC",IF(O244&lt;15,"10 ≤ Cor &lt;15 uC",IF(O244&lt;30,"15 ≤ Cor &lt; 30 uC",IF(O244&lt;50,"30 ≤ Cor &lt; 50 uC","Cor &gt; 50 uC"))))))</f>
        <v>15 ≤ Cor &lt; 30 uC</v>
      </c>
      <c r="BA244" s="137" t="str">
        <f>IF(N244="","",IF(N244&lt;2.5,"Turbidez &lt; 2,5 uT",IF(N244&lt;5,"2,5 ≤ Turb &lt; 5,0 uT",IF(N244&lt;7.5,"5,0 ≤ Turb &lt; 7,5 uT",IF(N244&lt;10,"7,5 ≤ Turb &lt; 10,0 uT",IF(N244&lt;15,"10,0 ≤ Turb &lt; 15,0 uT","Turb &gt; 15 uT"))))))</f>
        <v>2,5 ≤ Turb &lt; 5,0 uT</v>
      </c>
      <c r="BB244" s="138" t="str">
        <f>IF(AND(C244&gt;D244,D244&gt;E244),"TOR &gt; SM &gt; BNN",IF(AND(C244&gt;E244,E244&gt;D244),"TOR &gt; BNN &gt; SM",IF(AND(D244&gt;C244,C244&gt;E244),"SM &gt; TOR &gt; BNN",IF(AND(D244&gt;E244,E244&gt;C244),"SM &gt; BNN &gt; TOR",IF(AND(C244=D244,D244=E244),"TOR = SM = BNN","Comb. diferentes")))))</f>
        <v>TOR &gt; BNN &gt; SM</v>
      </c>
      <c r="BC244" s="137" t="str">
        <f>IF(OR(AD244="",AP244="-"),"",IF(AD244&lt;=0.25,"Tipo 1 (≤0,25) uT",IF(AD244&lt;=0.5,"Tipo 2 (0,25-0,50) uT",IF(AD244&lt;=0.75,"Tipo 3 (0,50-0,75) uT","Tipo 4 (&gt;0,75) uT"))))</f>
        <v>Tipo 2 (0,25-0,50) uT</v>
      </c>
      <c r="BD244" s="137" t="str">
        <f>IF(OR(AO244="",AY244="-"),"",IF(AO244&lt;=0.25,"Tipo 1 (≤0,25) uT",IF(AO244&lt;=0.5,"Tipo 2 (0,25-0,50) uT",IF(AO244&lt;=0.75,"Tipo 3 (0,50-0,75) uT","Tipo 4 (&gt;0,75) uT"))))</f>
        <v>Tipo 3 (0,50-0,75) uT</v>
      </c>
      <c r="BE244" s="137" t="str">
        <f>IF(OR(AE244="",AP244="-"),"",IF(AE244&lt;=0.25,"Tipo 1 (≤0,25) uT",IF(AE244&lt;=0.5,"Tipo 2 (0,25-0,50) uT",IF(AE244&lt;=0.75,"Tipo 3 (0,50-0,75) uT","Tipo 4 (&gt;0,75) uT"))))</f>
        <v>Tipo 2 (0,25-0,50) uT</v>
      </c>
      <c r="BF244" s="137" t="str">
        <f>IF(OR(AP244="",AP244="-"),"",IF(AP244&lt;=0.25,"Tipo 1 (≤0,25) uT",IF(AP244&lt;=0.5,"Tipo 2 (0,25-0,50) uT",IF(AP244&lt;=0.75,"Tipo 3 (0,50-0,75) uT","Tipo 4 (&gt;0,75) uT"))))</f>
        <v>Tipo 2 (0,25-0,50) uT</v>
      </c>
      <c r="BG244" s="137" t="str">
        <f>IF(OR(Q244="",Q244="-"),"",IF(Q244&lt;=0.25,"Tipo 1 (≤0,25) uT",IF(Q244&lt;=0.5,"Tipo 2 (0,25-0,50) uT",IF(Q244&lt;=0.75,"Tipo 3 (0,50-0,75) uT","Tipo 4 (&gt;0,75) uT"))))</f>
        <v>Tipo 3 (0,50-0,75) uT</v>
      </c>
    </row>
    <row r="245" spans="1:59" ht="15" thickBot="1" x14ac:dyDescent="0.35">
      <c r="A245" s="26">
        <v>46153</v>
      </c>
      <c r="B245" s="110">
        <v>0.22916666666666666</v>
      </c>
      <c r="C245" s="117">
        <v>1652</v>
      </c>
      <c r="D245" s="117">
        <v>90</v>
      </c>
      <c r="E245" s="117">
        <v>500</v>
      </c>
      <c r="F245" s="117">
        <v>2318</v>
      </c>
      <c r="G245" s="11" t="s">
        <v>100</v>
      </c>
      <c r="H245" s="123">
        <v>5.2</v>
      </c>
      <c r="I245" s="117">
        <v>90</v>
      </c>
      <c r="J245" s="117">
        <v>90</v>
      </c>
      <c r="K245" s="117">
        <v>90</v>
      </c>
      <c r="L245" s="123">
        <v>23.2</v>
      </c>
      <c r="M245" s="123">
        <v>6.8</v>
      </c>
      <c r="N245" s="80">
        <v>3.56</v>
      </c>
      <c r="O245" s="117">
        <v>16</v>
      </c>
      <c r="P245" s="123">
        <v>6.8</v>
      </c>
      <c r="Q245" s="80">
        <v>0.63</v>
      </c>
      <c r="R245" s="79">
        <v>22.36</v>
      </c>
      <c r="S245" s="79">
        <v>0.88</v>
      </c>
      <c r="T245" s="79">
        <v>0.7</v>
      </c>
      <c r="U245" s="85">
        <f t="shared" si="28"/>
        <v>1555.9575</v>
      </c>
      <c r="V245" s="79">
        <f t="shared" si="29"/>
        <v>1536.9687335599997</v>
      </c>
      <c r="W245" s="79">
        <f t="shared" si="30"/>
        <v>0.98779608926336337</v>
      </c>
      <c r="X245" s="117">
        <v>3</v>
      </c>
      <c r="Y245" s="117">
        <v>4</v>
      </c>
      <c r="Z245" s="123">
        <v>6.51</v>
      </c>
      <c r="AA245" s="117">
        <v>19</v>
      </c>
      <c r="AB245" s="123">
        <v>6.7</v>
      </c>
      <c r="AC245" s="123">
        <v>7.2</v>
      </c>
      <c r="AD245" s="11">
        <v>0.54</v>
      </c>
      <c r="AE245" s="80">
        <v>0.89</v>
      </c>
      <c r="AF245" s="85">
        <f t="shared" si="31"/>
        <v>1555.9575</v>
      </c>
      <c r="AG245" s="85">
        <f t="shared" si="32"/>
        <v>1911.7730236799994</v>
      </c>
      <c r="AH245" s="85">
        <f t="shared" si="33"/>
        <v>1.2286794617976387</v>
      </c>
      <c r="AI245" s="117">
        <v>3</v>
      </c>
      <c r="AJ245" s="117">
        <v>4</v>
      </c>
      <c r="AK245" s="80">
        <v>6.43</v>
      </c>
      <c r="AL245" s="80">
        <v>24</v>
      </c>
      <c r="AM245" s="123">
        <v>6.7</v>
      </c>
      <c r="AN245" s="123">
        <v>8.3000000000000007</v>
      </c>
      <c r="AO245" s="80">
        <v>0.67</v>
      </c>
      <c r="AP245" s="128">
        <v>0.85</v>
      </c>
      <c r="AQ245" s="132">
        <f t="shared" si="24"/>
        <v>2242</v>
      </c>
      <c r="AR245" s="134">
        <f t="shared" si="25"/>
        <v>0.73684210526315785</v>
      </c>
      <c r="AS245" s="134">
        <f t="shared" si="26"/>
        <v>4.0142729705619981E-2</v>
      </c>
      <c r="AT245" s="134">
        <f t="shared" si="27"/>
        <v>0.22301516503122212</v>
      </c>
      <c r="AU245" s="43">
        <f>IF(AND(F245&lt;&gt;"",Y245&lt;&gt;""),AA245/(F245/2/Y245),"")</f>
        <v>6.5573770491803282E-2</v>
      </c>
      <c r="AV245" s="43">
        <f>IF(AND(F245&lt;&gt;"",AJ245&lt;&gt;""),AL245/(F245/2/AJ245),"")</f>
        <v>8.2830025884383082E-2</v>
      </c>
      <c r="AW245" s="41">
        <f>IF(AND(AP245&lt;&gt;"",1-(AP245/N245)&gt;0),1-(AP245/N245),"")</f>
        <v>0.7612359550561798</v>
      </c>
      <c r="AX245" s="41">
        <f>IF(AND(AE245&lt;&gt;"",1-(AE245/N245)&gt;0),1-(AE245/N245),"")</f>
        <v>0.75</v>
      </c>
      <c r="AY245" s="136" t="str">
        <f>IF(P245="","",IF(P245&lt;2.5,"Alc. Bruta &lt; 2,5 mg/L",IF(P245&lt;5,"2,5 ≤ Alc. Bruta &lt; 5,0 mg/L",IF(P245&lt;7.5,"5,0 ≤ Alc. Bruta &lt; 7,5 mg/L",IF(P245&lt;10,"7,5 ≤ Alc. Bruta &lt; 10,0 mg/L",IF(P245&lt;15,"10,0 ≤ Alca. Bruta &lt; 15,0 mg/L","Alc. Bruta &gt; 15 mg/L"))))))</f>
        <v>5,0 ≤ Alc. Bruta &lt; 7,5 mg/L</v>
      </c>
      <c r="AZ245" s="136" t="str">
        <f>IF(O245="","",IF(O245&lt;5,"Cor &lt;5 uC",IF(O245&lt;10,"5 ≤ Cor &lt; 10 uC",IF(O245&lt;15,"10 ≤ Cor &lt;15 uC",IF(O245&lt;30,"15 ≤ Cor &lt; 30 uC",IF(O245&lt;50,"30 ≤ Cor &lt; 50 uC","Cor &gt; 50 uC"))))))</f>
        <v>15 ≤ Cor &lt; 30 uC</v>
      </c>
      <c r="BA245" s="137" t="str">
        <f>IF(N245="","",IF(N245&lt;2.5,"Turbidez &lt; 2,5 uT",IF(N245&lt;5,"2,5 ≤ Turb &lt; 5,0 uT",IF(N245&lt;7.5,"5,0 ≤ Turb &lt; 7,5 uT",IF(N245&lt;10,"7,5 ≤ Turb &lt; 10,0 uT",IF(N245&lt;15,"10,0 ≤ Turb &lt; 15,0 uT","Turb &gt; 15 uT"))))))</f>
        <v>2,5 ≤ Turb &lt; 5,0 uT</v>
      </c>
      <c r="BB245" s="138" t="str">
        <f>IF(AND(C245&gt;D245,D245&gt;E245),"TOR &gt; SM &gt; BNN",IF(AND(C245&gt;E245,E245&gt;D245),"TOR &gt; BNN &gt; SM",IF(AND(D245&gt;C245,C245&gt;E245),"SM &gt; TOR &gt; BNN",IF(AND(D245&gt;E245,E245&gt;C245),"SM &gt; BNN &gt; TOR",IF(AND(C245=D245,D245=E245),"TOR = SM = BNN","Comb. diferentes")))))</f>
        <v>TOR &gt; BNN &gt; SM</v>
      </c>
      <c r="BC245" s="137" t="str">
        <f>IF(OR(AD245="",AP245="-"),"",IF(AD245&lt;=0.25,"Tipo 1 (≤0,25) uT",IF(AD245&lt;=0.5,"Tipo 2 (0,25-0,50) uT",IF(AD245&lt;=0.75,"Tipo 3 (0,50-0,75) uT","Tipo 4 (&gt;0,75) uT"))))</f>
        <v>Tipo 3 (0,50-0,75) uT</v>
      </c>
      <c r="BD245" s="137" t="str">
        <f>IF(OR(AO245="",AY245="-"),"",IF(AO245&lt;=0.25,"Tipo 1 (≤0,25) uT",IF(AO245&lt;=0.5,"Tipo 2 (0,25-0,50) uT",IF(AO245&lt;=0.75,"Tipo 3 (0,50-0,75) uT","Tipo 4 (&gt;0,75) uT"))))</f>
        <v>Tipo 3 (0,50-0,75) uT</v>
      </c>
      <c r="BE245" s="137" t="str">
        <f>IF(OR(AE245="",AP245="-"),"",IF(AE245&lt;=0.25,"Tipo 1 (≤0,25) uT",IF(AE245&lt;=0.5,"Tipo 2 (0,25-0,50) uT",IF(AE245&lt;=0.75,"Tipo 3 (0,50-0,75) uT","Tipo 4 (&gt;0,75) uT"))))</f>
        <v>Tipo 4 (&gt;0,75) uT</v>
      </c>
      <c r="BF245" s="137" t="str">
        <f>IF(OR(AP245="",AP245="-"),"",IF(AP245&lt;=0.25,"Tipo 1 (≤0,25) uT",IF(AP245&lt;=0.5,"Tipo 2 (0,25-0,50) uT",IF(AP245&lt;=0.75,"Tipo 3 (0,50-0,75) uT","Tipo 4 (&gt;0,75) uT"))))</f>
        <v>Tipo 4 (&gt;0,75) uT</v>
      </c>
      <c r="BG245" s="137" t="str">
        <f>IF(OR(Q245="",Q245="-"),"",IF(Q245&lt;=0.25,"Tipo 1 (≤0,25) uT",IF(Q245&lt;=0.5,"Tipo 2 (0,25-0,50) uT",IF(Q245&lt;=0.75,"Tipo 3 (0,50-0,75) uT","Tipo 4 (&gt;0,75) uT"))))</f>
        <v>Tipo 3 (0,50-0,75) uT</v>
      </c>
    </row>
    <row r="246" spans="1:59" x14ac:dyDescent="0.3">
      <c r="A246" s="26">
        <v>46153</v>
      </c>
      <c r="B246" s="111">
        <v>0.3125</v>
      </c>
      <c r="C246" s="118">
        <v>1533</v>
      </c>
      <c r="D246" s="116">
        <v>88.5</v>
      </c>
      <c r="E246" s="118">
        <v>500</v>
      </c>
      <c r="F246" s="118">
        <v>2303</v>
      </c>
      <c r="G246" s="9" t="s">
        <v>100</v>
      </c>
      <c r="H246" s="124">
        <v>5.3</v>
      </c>
      <c r="I246" s="118">
        <v>90</v>
      </c>
      <c r="J246" s="118">
        <v>90</v>
      </c>
      <c r="K246" s="118">
        <v>90</v>
      </c>
      <c r="L246" s="124">
        <v>22.5</v>
      </c>
      <c r="M246" s="124">
        <v>6.7</v>
      </c>
      <c r="N246" s="81">
        <v>3.85</v>
      </c>
      <c r="O246" s="118">
        <v>15</v>
      </c>
      <c r="P246" s="124">
        <v>5.2</v>
      </c>
      <c r="Q246" s="81">
        <v>0.31</v>
      </c>
      <c r="R246" s="79">
        <v>22.36</v>
      </c>
      <c r="S246" s="79">
        <v>0.88</v>
      </c>
      <c r="T246" s="79">
        <v>0.7</v>
      </c>
      <c r="U246" s="85">
        <f t="shared" si="28"/>
        <v>1638.00875</v>
      </c>
      <c r="V246" s="79">
        <f t="shared" si="29"/>
        <v>1447.7334393599999</v>
      </c>
      <c r="W246" s="79">
        <f t="shared" si="30"/>
        <v>0.88383742721765068</v>
      </c>
      <c r="X246" s="118">
        <v>3</v>
      </c>
      <c r="Y246" s="118">
        <v>4</v>
      </c>
      <c r="Z246" s="124">
        <v>6.48</v>
      </c>
      <c r="AA246" s="118">
        <v>18</v>
      </c>
      <c r="AB246" s="124">
        <v>6.6</v>
      </c>
      <c r="AC246" s="124">
        <v>4.5</v>
      </c>
      <c r="AD246" s="9">
        <v>0.25</v>
      </c>
      <c r="AE246" s="81">
        <v>0.41</v>
      </c>
      <c r="AF246" s="85">
        <f t="shared" si="31"/>
        <v>1638.00875</v>
      </c>
      <c r="AG246" s="85">
        <f t="shared" si="32"/>
        <v>1807.2436907199999</v>
      </c>
      <c r="AH246" s="85">
        <f t="shared" si="33"/>
        <v>1.1033174827179646</v>
      </c>
      <c r="AI246" s="118">
        <v>3</v>
      </c>
      <c r="AJ246" s="118">
        <v>4</v>
      </c>
      <c r="AK246" s="81">
        <v>6.36</v>
      </c>
      <c r="AL246" s="81">
        <v>23</v>
      </c>
      <c r="AM246" s="124">
        <v>6.7</v>
      </c>
      <c r="AN246" s="124">
        <v>4.4000000000000004</v>
      </c>
      <c r="AO246" s="81">
        <v>0.27</v>
      </c>
      <c r="AP246" s="129">
        <v>0.33</v>
      </c>
      <c r="AQ246" s="132">
        <f t="shared" si="24"/>
        <v>2121.5</v>
      </c>
      <c r="AR246" s="134">
        <f t="shared" si="25"/>
        <v>0.72260193259486216</v>
      </c>
      <c r="AS246" s="134">
        <f t="shared" si="26"/>
        <v>4.1715767145887345E-2</v>
      </c>
      <c r="AT246" s="134">
        <f t="shared" si="27"/>
        <v>0.23568230025925052</v>
      </c>
      <c r="AU246" s="43">
        <f>IF(AND(F246&lt;&gt;"",Y246&lt;&gt;""),AA246/(F246/2/Y246),"")</f>
        <v>6.2527138514980457E-2</v>
      </c>
      <c r="AV246" s="43">
        <f>IF(AND(F246&lt;&gt;"",AJ246&lt;&gt;""),AL246/(F246/2/AJ246),"")</f>
        <v>7.9895788102475038E-2</v>
      </c>
      <c r="AW246" s="41">
        <f>IF(AND(AP246&lt;&gt;"",1-(AP246/N246)&gt;0),1-(AP246/N246),"")</f>
        <v>0.91428571428571426</v>
      </c>
      <c r="AX246" s="41">
        <f>IF(AND(AE246&lt;&gt;"",1-(AE246/N246)&gt;0),1-(AE246/N246),"")</f>
        <v>0.89350649350649347</v>
      </c>
      <c r="AY246" s="136" t="str">
        <f>IF(P246="","",IF(P246&lt;2.5,"Alc. Bruta &lt; 2,5 mg/L",IF(P246&lt;5,"2,5 ≤ Alc. Bruta &lt; 5,0 mg/L",IF(P246&lt;7.5,"5,0 ≤ Alc. Bruta &lt; 7,5 mg/L",IF(P246&lt;10,"7,5 ≤ Alc. Bruta &lt; 10,0 mg/L",IF(P246&lt;15,"10,0 ≤ Alca. Bruta &lt; 15,0 mg/L","Alc. Bruta &gt; 15 mg/L"))))))</f>
        <v>5,0 ≤ Alc. Bruta &lt; 7,5 mg/L</v>
      </c>
      <c r="AZ246" s="136" t="str">
        <f>IF(O246="","",IF(O246&lt;5,"Cor &lt;5 uC",IF(O246&lt;10,"5 ≤ Cor &lt; 10 uC",IF(O246&lt;15,"10 ≤ Cor &lt;15 uC",IF(O246&lt;30,"15 ≤ Cor &lt; 30 uC",IF(O246&lt;50,"30 ≤ Cor &lt; 50 uC","Cor &gt; 50 uC"))))))</f>
        <v>15 ≤ Cor &lt; 30 uC</v>
      </c>
      <c r="BA246" s="137" t="str">
        <f>IF(N246="","",IF(N246&lt;2.5,"Turbidez &lt; 2,5 uT",IF(N246&lt;5,"2,5 ≤ Turb &lt; 5,0 uT",IF(N246&lt;7.5,"5,0 ≤ Turb &lt; 7,5 uT",IF(N246&lt;10,"7,5 ≤ Turb &lt; 10,0 uT",IF(N246&lt;15,"10,0 ≤ Turb &lt; 15,0 uT","Turb &gt; 15 uT"))))))</f>
        <v>2,5 ≤ Turb &lt; 5,0 uT</v>
      </c>
      <c r="BB246" s="138" t="str">
        <f>IF(AND(C246&gt;D246,D246&gt;E246),"TOR &gt; SM &gt; BNN",IF(AND(C246&gt;E246,E246&gt;D246),"TOR &gt; BNN &gt; SM",IF(AND(D246&gt;C246,C246&gt;E246),"SM &gt; TOR &gt; BNN",IF(AND(D246&gt;E246,E246&gt;C246),"SM &gt; BNN &gt; TOR",IF(AND(C246=D246,D246=E246),"TOR = SM = BNN","Comb. diferentes")))))</f>
        <v>TOR &gt; BNN &gt; SM</v>
      </c>
      <c r="BC246" s="137" t="str">
        <f>IF(OR(AD246="",AP246="-"),"",IF(AD246&lt;=0.25,"Tipo 1 (≤0,25) uT",IF(AD246&lt;=0.5,"Tipo 2 (0,25-0,50) uT",IF(AD246&lt;=0.75,"Tipo 3 (0,50-0,75) uT","Tipo 4 (&gt;0,75) uT"))))</f>
        <v>Tipo 1 (≤0,25) uT</v>
      </c>
      <c r="BD246" s="137" t="str">
        <f>IF(OR(AO246="",AY246="-"),"",IF(AO246&lt;=0.25,"Tipo 1 (≤0,25) uT",IF(AO246&lt;=0.5,"Tipo 2 (0,25-0,50) uT",IF(AO246&lt;=0.75,"Tipo 3 (0,50-0,75) uT","Tipo 4 (&gt;0,75) uT"))))</f>
        <v>Tipo 2 (0,25-0,50) uT</v>
      </c>
      <c r="BE246" s="137" t="str">
        <f>IF(OR(AE246="",AP246="-"),"",IF(AE246&lt;=0.25,"Tipo 1 (≤0,25) uT",IF(AE246&lt;=0.5,"Tipo 2 (0,25-0,50) uT",IF(AE246&lt;=0.75,"Tipo 3 (0,50-0,75) uT","Tipo 4 (&gt;0,75) uT"))))</f>
        <v>Tipo 2 (0,25-0,50) uT</v>
      </c>
      <c r="BF246" s="137" t="str">
        <f>IF(OR(AP246="",AP246="-"),"",IF(AP246&lt;=0.25,"Tipo 1 (≤0,25) uT",IF(AP246&lt;=0.5,"Tipo 2 (0,25-0,50) uT",IF(AP246&lt;=0.75,"Tipo 3 (0,50-0,75) uT","Tipo 4 (&gt;0,75) uT"))))</f>
        <v>Tipo 2 (0,25-0,50) uT</v>
      </c>
      <c r="BG246" s="137" t="str">
        <f>IF(OR(Q246="",Q246="-"),"",IF(Q246&lt;=0.25,"Tipo 1 (≤0,25) uT",IF(Q246&lt;=0.5,"Tipo 2 (0,25-0,50) uT",IF(Q246&lt;=0.75,"Tipo 3 (0,50-0,75) uT","Tipo 4 (&gt;0,75) uT"))))</f>
        <v>Tipo 2 (0,25-0,50) uT</v>
      </c>
    </row>
    <row r="247" spans="1:59" x14ac:dyDescent="0.3">
      <c r="A247" s="26">
        <v>46153</v>
      </c>
      <c r="B247" s="107">
        <v>0.39583333333333331</v>
      </c>
      <c r="C247" s="116">
        <v>1861</v>
      </c>
      <c r="D247" s="116">
        <v>89</v>
      </c>
      <c r="E247" s="116">
        <v>0</v>
      </c>
      <c r="F247" s="116">
        <v>1807</v>
      </c>
      <c r="G247" s="10" t="s">
        <v>100</v>
      </c>
      <c r="H247" s="122">
        <v>5</v>
      </c>
      <c r="I247" s="116">
        <v>90</v>
      </c>
      <c r="J247" s="116">
        <v>90</v>
      </c>
      <c r="K247" s="116">
        <v>90</v>
      </c>
      <c r="L247" s="122">
        <v>22.9</v>
      </c>
      <c r="M247" s="122">
        <v>6.8</v>
      </c>
      <c r="N247" s="79">
        <v>3.29</v>
      </c>
      <c r="O247" s="116">
        <v>12</v>
      </c>
      <c r="P247" s="122">
        <v>5.9</v>
      </c>
      <c r="Q247" s="79">
        <v>0.33</v>
      </c>
      <c r="R247" s="79">
        <v>22.36</v>
      </c>
      <c r="S247" s="79">
        <v>0.88</v>
      </c>
      <c r="T247" s="79">
        <v>0.7</v>
      </c>
      <c r="U247" s="85">
        <f t="shared" si="28"/>
        <v>1138.4100000000001</v>
      </c>
      <c r="V247" s="79">
        <f t="shared" si="29"/>
        <v>1439.3912363999998</v>
      </c>
      <c r="W247" s="79">
        <f t="shared" si="30"/>
        <v>1.2643873792394653</v>
      </c>
      <c r="X247" s="116">
        <v>2</v>
      </c>
      <c r="Y247" s="116">
        <v>4</v>
      </c>
      <c r="Z247" s="122">
        <v>6.45</v>
      </c>
      <c r="AA247" s="116">
        <v>18</v>
      </c>
      <c r="AB247" s="122">
        <v>6.4</v>
      </c>
      <c r="AC247" s="122">
        <v>4.4000000000000004</v>
      </c>
      <c r="AD247" s="10">
        <v>0.16</v>
      </c>
      <c r="AE247" s="79">
        <v>0.19</v>
      </c>
      <c r="AF247" s="85">
        <f t="shared" si="31"/>
        <v>1517.88</v>
      </c>
      <c r="AG247" s="85">
        <f t="shared" si="32"/>
        <v>1846.3284564400001</v>
      </c>
      <c r="AH247" s="85">
        <f t="shared" si="33"/>
        <v>1.2163863127783487</v>
      </c>
      <c r="AI247" s="116">
        <v>2</v>
      </c>
      <c r="AJ247" s="116">
        <v>3</v>
      </c>
      <c r="AK247" s="79">
        <v>6.47</v>
      </c>
      <c r="AL247" s="79">
        <v>23</v>
      </c>
      <c r="AM247" s="122">
        <v>6.5</v>
      </c>
      <c r="AN247" s="122">
        <v>5.4</v>
      </c>
      <c r="AO247" s="79">
        <v>0.16</v>
      </c>
      <c r="AP247" s="127">
        <v>0.36</v>
      </c>
      <c r="AQ247" s="132">
        <f t="shared" si="24"/>
        <v>1950</v>
      </c>
      <c r="AR247" s="134">
        <f t="shared" si="25"/>
        <v>0.95435897435897432</v>
      </c>
      <c r="AS247" s="134">
        <f t="shared" si="26"/>
        <v>4.5641025641025644E-2</v>
      </c>
      <c r="AT247" s="134">
        <f t="shared" si="27"/>
        <v>0</v>
      </c>
      <c r="AU247" s="43">
        <f>IF(AND(F247&lt;&gt;"",Y247&lt;&gt;""),AA247/(F247/2/Y247),"")</f>
        <v>7.9690094078583282E-2</v>
      </c>
      <c r="AV247" s="43">
        <f>IF(AND(F247&lt;&gt;"",AJ247&lt;&gt;""),AL247/(F247/2/AJ247),"")</f>
        <v>7.636967349197564E-2</v>
      </c>
      <c r="AW247" s="41">
        <f>IF(AND(AP247&lt;&gt;"",1-(AP247/N247)&gt;0),1-(AP247/N247),"")</f>
        <v>0.89057750759878418</v>
      </c>
      <c r="AX247" s="41">
        <f>IF(AND(AE247&lt;&gt;"",1-(AE247/N247)&gt;0),1-(AE247/N247),"")</f>
        <v>0.94224924012158051</v>
      </c>
      <c r="AY247" s="136" t="str">
        <f>IF(P247="","",IF(P247&lt;2.5,"Alc. Bruta &lt; 2,5 mg/L",IF(P247&lt;5,"2,5 ≤ Alc. Bruta &lt; 5,0 mg/L",IF(P247&lt;7.5,"5,0 ≤ Alc. Bruta &lt; 7,5 mg/L",IF(P247&lt;10,"7,5 ≤ Alc. Bruta &lt; 10,0 mg/L",IF(P247&lt;15,"10,0 ≤ Alca. Bruta &lt; 15,0 mg/L","Alc. Bruta &gt; 15 mg/L"))))))</f>
        <v>5,0 ≤ Alc. Bruta &lt; 7,5 mg/L</v>
      </c>
      <c r="AZ247" s="136" t="str">
        <f>IF(O247="","",IF(O247&lt;5,"Cor &lt;5 uC",IF(O247&lt;10,"5 ≤ Cor &lt; 10 uC",IF(O247&lt;15,"10 ≤ Cor &lt;15 uC",IF(O247&lt;30,"15 ≤ Cor &lt; 30 uC",IF(O247&lt;50,"30 ≤ Cor &lt; 50 uC","Cor &gt; 50 uC"))))))</f>
        <v>10 ≤ Cor &lt;15 uC</v>
      </c>
      <c r="BA247" s="137" t="str">
        <f>IF(N247="","",IF(N247&lt;2.5,"Turbidez &lt; 2,5 uT",IF(N247&lt;5,"2,5 ≤ Turb &lt; 5,0 uT",IF(N247&lt;7.5,"5,0 ≤ Turb &lt; 7,5 uT",IF(N247&lt;10,"7,5 ≤ Turb &lt; 10,0 uT",IF(N247&lt;15,"10,0 ≤ Turb &lt; 15,0 uT","Turb &gt; 15 uT"))))))</f>
        <v>2,5 ≤ Turb &lt; 5,0 uT</v>
      </c>
      <c r="BB247" s="138" t="str">
        <f>IF(AND(C247&gt;D247,D247&gt;E247),"TOR &gt; SM &gt; BNN",IF(AND(C247&gt;E247,E247&gt;D247),"TOR &gt; BNN &gt; SM",IF(AND(D247&gt;C247,C247&gt;E247),"SM &gt; TOR &gt; BNN",IF(AND(D247&gt;E247,E247&gt;C247),"SM &gt; BNN &gt; TOR",IF(AND(C247=D247,D247=E247),"TOR = SM = BNN","Comb. diferentes")))))</f>
        <v>TOR &gt; SM &gt; BNN</v>
      </c>
      <c r="BC247" s="137" t="str">
        <f>IF(OR(AD247="",AP247="-"),"",IF(AD247&lt;=0.25,"Tipo 1 (≤0,25) uT",IF(AD247&lt;=0.5,"Tipo 2 (0,25-0,50) uT",IF(AD247&lt;=0.75,"Tipo 3 (0,50-0,75) uT","Tipo 4 (&gt;0,75) uT"))))</f>
        <v>Tipo 1 (≤0,25) uT</v>
      </c>
      <c r="BD247" s="137" t="str">
        <f>IF(OR(AO247="",AY247="-"),"",IF(AO247&lt;=0.25,"Tipo 1 (≤0,25) uT",IF(AO247&lt;=0.5,"Tipo 2 (0,25-0,50) uT",IF(AO247&lt;=0.75,"Tipo 3 (0,50-0,75) uT","Tipo 4 (&gt;0,75) uT"))))</f>
        <v>Tipo 1 (≤0,25) uT</v>
      </c>
      <c r="BE247" s="137" t="str">
        <f>IF(OR(AE247="",AP247="-"),"",IF(AE247&lt;=0.25,"Tipo 1 (≤0,25) uT",IF(AE247&lt;=0.5,"Tipo 2 (0,25-0,50) uT",IF(AE247&lt;=0.75,"Tipo 3 (0,50-0,75) uT","Tipo 4 (&gt;0,75) uT"))))</f>
        <v>Tipo 1 (≤0,25) uT</v>
      </c>
      <c r="BF247" s="137" t="str">
        <f>IF(OR(AP247="",AP247="-"),"",IF(AP247&lt;=0.25,"Tipo 1 (≤0,25) uT",IF(AP247&lt;=0.5,"Tipo 2 (0,25-0,50) uT",IF(AP247&lt;=0.75,"Tipo 3 (0,50-0,75) uT","Tipo 4 (&gt;0,75) uT"))))</f>
        <v>Tipo 2 (0,25-0,50) uT</v>
      </c>
      <c r="BG247" s="137" t="str">
        <f>IF(OR(Q247="",Q247="-"),"",IF(Q247&lt;=0.25,"Tipo 1 (≤0,25) uT",IF(Q247&lt;=0.5,"Tipo 2 (0,25-0,50) uT",IF(Q247&lt;=0.75,"Tipo 3 (0,50-0,75) uT","Tipo 4 (&gt;0,75) uT"))))</f>
        <v>Tipo 2 (0,25-0,50) uT</v>
      </c>
    </row>
    <row r="248" spans="1:59" x14ac:dyDescent="0.3">
      <c r="A248" s="26">
        <v>46153</v>
      </c>
      <c r="B248" s="107">
        <v>0.47916666666666669</v>
      </c>
      <c r="C248" s="116">
        <v>1580</v>
      </c>
      <c r="D248" s="116">
        <v>89</v>
      </c>
      <c r="E248" s="116">
        <v>0</v>
      </c>
      <c r="F248" s="116">
        <v>1792</v>
      </c>
      <c r="G248" s="10" t="s">
        <v>100</v>
      </c>
      <c r="H248" s="122">
        <v>5</v>
      </c>
      <c r="I248" s="116">
        <v>90</v>
      </c>
      <c r="J248" s="116">
        <v>90</v>
      </c>
      <c r="K248" s="116">
        <v>90</v>
      </c>
      <c r="L248" s="122">
        <v>23.7</v>
      </c>
      <c r="M248" s="122">
        <v>6.7</v>
      </c>
      <c r="N248" s="79">
        <v>3.87</v>
      </c>
      <c r="O248" s="116">
        <v>15</v>
      </c>
      <c r="P248" s="122">
        <v>4.0999999999999996</v>
      </c>
      <c r="Q248" s="79">
        <v>0.22</v>
      </c>
      <c r="R248" s="79">
        <v>22.36</v>
      </c>
      <c r="S248" s="79">
        <v>0.88</v>
      </c>
      <c r="T248" s="79">
        <v>0.7</v>
      </c>
      <c r="U248" s="85">
        <f t="shared" si="28"/>
        <v>1258.8800000000001</v>
      </c>
      <c r="V248" s="79">
        <f t="shared" si="29"/>
        <v>1442.1719707199995</v>
      </c>
      <c r="W248" s="79">
        <f t="shared" si="30"/>
        <v>1.1455992395780372</v>
      </c>
      <c r="X248" s="116">
        <v>2</v>
      </c>
      <c r="Y248" s="116">
        <v>4</v>
      </c>
      <c r="Z248" s="122">
        <v>6.46</v>
      </c>
      <c r="AA248" s="116">
        <v>18</v>
      </c>
      <c r="AB248" s="122">
        <v>6.2</v>
      </c>
      <c r="AC248" s="122">
        <v>3.2</v>
      </c>
      <c r="AD248" s="10">
        <v>0.25</v>
      </c>
      <c r="AE248" s="79">
        <v>0.13</v>
      </c>
      <c r="AF248" s="85">
        <f t="shared" si="31"/>
        <v>1678.5066666666669</v>
      </c>
      <c r="AG248" s="85">
        <f t="shared" si="32"/>
        <v>1839.2221353999998</v>
      </c>
      <c r="AH248" s="85">
        <f t="shared" si="33"/>
        <v>1.095749079777262</v>
      </c>
      <c r="AI248" s="116">
        <v>2</v>
      </c>
      <c r="AJ248" s="116">
        <v>3</v>
      </c>
      <c r="AK248" s="79">
        <v>6.45</v>
      </c>
      <c r="AL248" s="79">
        <v>23</v>
      </c>
      <c r="AM248" s="122">
        <v>6.5</v>
      </c>
      <c r="AN248" s="122">
        <v>4.5</v>
      </c>
      <c r="AO248" s="79">
        <v>0.39</v>
      </c>
      <c r="AP248" s="127">
        <v>0.36</v>
      </c>
      <c r="AQ248" s="132">
        <f t="shared" si="24"/>
        <v>1669</v>
      </c>
      <c r="AR248" s="134">
        <f t="shared" si="25"/>
        <v>0.94667465548232477</v>
      </c>
      <c r="AS248" s="134">
        <f t="shared" si="26"/>
        <v>5.3325344517675254E-2</v>
      </c>
      <c r="AT248" s="134">
        <f t="shared" si="27"/>
        <v>0</v>
      </c>
      <c r="AU248" s="43">
        <f>IF(AND(F248&lt;&gt;"",Y248&lt;&gt;""),AA248/(F248/2/Y248),"")</f>
        <v>8.0357142857142863E-2</v>
      </c>
      <c r="AV248" s="43">
        <f>IF(AND(F248&lt;&gt;"",AJ248&lt;&gt;""),AL248/(F248/2/AJ248),"")</f>
        <v>7.7008928571428562E-2</v>
      </c>
      <c r="AW248" s="41">
        <f>IF(AND(AP248&lt;&gt;"",1-(AP248/N248)&gt;0),1-(AP248/N248),"")</f>
        <v>0.90697674418604657</v>
      </c>
      <c r="AX248" s="41">
        <f>IF(AND(AE248&lt;&gt;"",1-(AE248/N248)&gt;0),1-(AE248/N248),"")</f>
        <v>0.96640826873385011</v>
      </c>
      <c r="AY248" s="136" t="str">
        <f>IF(P248="","",IF(P248&lt;2.5,"Alc. Bruta &lt; 2,5 mg/L",IF(P248&lt;5,"2,5 ≤ Alc. Bruta &lt; 5,0 mg/L",IF(P248&lt;7.5,"5,0 ≤ Alc. Bruta &lt; 7,5 mg/L",IF(P248&lt;10,"7,5 ≤ Alc. Bruta &lt; 10,0 mg/L",IF(P248&lt;15,"10,0 ≤ Alca. Bruta &lt; 15,0 mg/L","Alc. Bruta &gt; 15 mg/L"))))))</f>
        <v>2,5 ≤ Alc. Bruta &lt; 5,0 mg/L</v>
      </c>
      <c r="AZ248" s="136" t="str">
        <f>IF(O248="","",IF(O248&lt;5,"Cor &lt;5 uC",IF(O248&lt;10,"5 ≤ Cor &lt; 10 uC",IF(O248&lt;15,"10 ≤ Cor &lt;15 uC",IF(O248&lt;30,"15 ≤ Cor &lt; 30 uC",IF(O248&lt;50,"30 ≤ Cor &lt; 50 uC","Cor &gt; 50 uC"))))))</f>
        <v>15 ≤ Cor &lt; 30 uC</v>
      </c>
      <c r="BA248" s="137" t="str">
        <f>IF(N248="","",IF(N248&lt;2.5,"Turbidez &lt; 2,5 uT",IF(N248&lt;5,"2,5 ≤ Turb &lt; 5,0 uT",IF(N248&lt;7.5,"5,0 ≤ Turb &lt; 7,5 uT",IF(N248&lt;10,"7,5 ≤ Turb &lt; 10,0 uT",IF(N248&lt;15,"10,0 ≤ Turb &lt; 15,0 uT","Turb &gt; 15 uT"))))))</f>
        <v>2,5 ≤ Turb &lt; 5,0 uT</v>
      </c>
      <c r="BB248" s="138" t="str">
        <f>IF(AND(C248&gt;D248,D248&gt;E248),"TOR &gt; SM &gt; BNN",IF(AND(C248&gt;E248,E248&gt;D248),"TOR &gt; BNN &gt; SM",IF(AND(D248&gt;C248,C248&gt;E248),"SM &gt; TOR &gt; BNN",IF(AND(D248&gt;E248,E248&gt;C248),"SM &gt; BNN &gt; TOR",IF(AND(C248=D248,D248=E248),"TOR = SM = BNN","Comb. diferentes")))))</f>
        <v>TOR &gt; SM &gt; BNN</v>
      </c>
      <c r="BC248" s="137" t="str">
        <f>IF(OR(AD248="",AP248="-"),"",IF(AD248&lt;=0.25,"Tipo 1 (≤0,25) uT",IF(AD248&lt;=0.5,"Tipo 2 (0,25-0,50) uT",IF(AD248&lt;=0.75,"Tipo 3 (0,50-0,75) uT","Tipo 4 (&gt;0,75) uT"))))</f>
        <v>Tipo 1 (≤0,25) uT</v>
      </c>
      <c r="BD248" s="137" t="str">
        <f>IF(OR(AO248="",AY248="-"),"",IF(AO248&lt;=0.25,"Tipo 1 (≤0,25) uT",IF(AO248&lt;=0.5,"Tipo 2 (0,25-0,50) uT",IF(AO248&lt;=0.75,"Tipo 3 (0,50-0,75) uT","Tipo 4 (&gt;0,75) uT"))))</f>
        <v>Tipo 2 (0,25-0,50) uT</v>
      </c>
      <c r="BE248" s="137" t="str">
        <f>IF(OR(AE248="",AP248="-"),"",IF(AE248&lt;=0.25,"Tipo 1 (≤0,25) uT",IF(AE248&lt;=0.5,"Tipo 2 (0,25-0,50) uT",IF(AE248&lt;=0.75,"Tipo 3 (0,50-0,75) uT","Tipo 4 (&gt;0,75) uT"))))</f>
        <v>Tipo 1 (≤0,25) uT</v>
      </c>
      <c r="BF248" s="137" t="str">
        <f>IF(OR(AP248="",AP248="-"),"",IF(AP248&lt;=0.25,"Tipo 1 (≤0,25) uT",IF(AP248&lt;=0.5,"Tipo 2 (0,25-0,50) uT",IF(AP248&lt;=0.75,"Tipo 3 (0,50-0,75) uT","Tipo 4 (&gt;0,75) uT"))))</f>
        <v>Tipo 2 (0,25-0,50) uT</v>
      </c>
      <c r="BG248" s="137" t="str">
        <f>IF(OR(Q248="",Q248="-"),"",IF(Q248&lt;=0.25,"Tipo 1 (≤0,25) uT",IF(Q248&lt;=0.5,"Tipo 2 (0,25-0,50) uT",IF(Q248&lt;=0.75,"Tipo 3 (0,50-0,75) uT","Tipo 4 (&gt;0,75) uT"))))</f>
        <v>Tipo 1 (≤0,25) uT</v>
      </c>
    </row>
    <row r="249" spans="1:59" x14ac:dyDescent="0.3">
      <c r="A249" s="26">
        <v>46153</v>
      </c>
      <c r="B249" s="107">
        <v>0.64583333333333337</v>
      </c>
      <c r="C249" s="116">
        <v>1650</v>
      </c>
      <c r="D249" s="116">
        <v>90</v>
      </c>
      <c r="E249" s="116">
        <v>0</v>
      </c>
      <c r="F249" s="116">
        <v>1761</v>
      </c>
      <c r="G249" s="10" t="s">
        <v>100</v>
      </c>
      <c r="H249" s="122">
        <v>5.2</v>
      </c>
      <c r="I249" s="116">
        <v>90</v>
      </c>
      <c r="J249" s="116">
        <v>90</v>
      </c>
      <c r="K249" s="116">
        <v>90</v>
      </c>
      <c r="L249" s="122">
        <v>24.8</v>
      </c>
      <c r="M249" s="122">
        <v>6.7</v>
      </c>
      <c r="N249" s="79">
        <v>3.56</v>
      </c>
      <c r="O249" s="116">
        <v>15</v>
      </c>
      <c r="P249" s="122">
        <v>2.8</v>
      </c>
      <c r="Q249" s="79">
        <v>0.48</v>
      </c>
      <c r="R249" s="79">
        <v>22.36</v>
      </c>
      <c r="S249" s="79">
        <v>0.88</v>
      </c>
      <c r="T249" s="79">
        <v>0.7</v>
      </c>
      <c r="U249" s="85">
        <f t="shared" si="28"/>
        <v>1182.07125</v>
      </c>
      <c r="V249" s="79">
        <f t="shared" si="29"/>
        <v>1439.3912363999998</v>
      </c>
      <c r="W249" s="79">
        <f t="shared" si="30"/>
        <v>1.2176856821447943</v>
      </c>
      <c r="X249" s="116">
        <v>2</v>
      </c>
      <c r="Y249" s="116">
        <v>4</v>
      </c>
      <c r="Z249" s="122">
        <v>6.45</v>
      </c>
      <c r="AA249" s="116">
        <v>18</v>
      </c>
      <c r="AB249" s="122">
        <v>6.2</v>
      </c>
      <c r="AC249" s="122">
        <v>3.2</v>
      </c>
      <c r="AD249" s="10">
        <v>0.54</v>
      </c>
      <c r="AE249" s="79">
        <v>0.35</v>
      </c>
      <c r="AF249" s="85">
        <f t="shared" si="31"/>
        <v>1576.095</v>
      </c>
      <c r="AG249" s="85">
        <f t="shared" si="32"/>
        <v>1766.0533061600001</v>
      </c>
      <c r="AH249" s="85">
        <f t="shared" si="33"/>
        <v>1.1205246550239676</v>
      </c>
      <c r="AI249" s="116">
        <v>2</v>
      </c>
      <c r="AJ249" s="116">
        <v>3</v>
      </c>
      <c r="AK249" s="79">
        <v>6.47</v>
      </c>
      <c r="AL249" s="79">
        <v>22</v>
      </c>
      <c r="AM249" s="122">
        <v>6.3</v>
      </c>
      <c r="AN249" s="122">
        <v>2.6</v>
      </c>
      <c r="AO249" s="79">
        <v>0.47</v>
      </c>
      <c r="AP249" s="127">
        <v>0.38</v>
      </c>
      <c r="AQ249" s="132">
        <f t="shared" si="24"/>
        <v>1740</v>
      </c>
      <c r="AR249" s="134">
        <f t="shared" si="25"/>
        <v>0.94827586206896552</v>
      </c>
      <c r="AS249" s="134">
        <f t="shared" si="26"/>
        <v>5.1724137931034482E-2</v>
      </c>
      <c r="AT249" s="134">
        <f t="shared" si="27"/>
        <v>0</v>
      </c>
      <c r="AU249" s="43">
        <f>IF(AND(F249&lt;&gt;"",Y249&lt;&gt;""),AA249/(F249/2/Y249),"")</f>
        <v>8.1771720613287899E-2</v>
      </c>
      <c r="AV249" s="43">
        <f>IF(AND(F249&lt;&gt;"",AJ249&lt;&gt;""),AL249/(F249/2/AJ249),"")</f>
        <v>7.4957410562180582E-2</v>
      </c>
      <c r="AW249" s="41">
        <f>IF(AND(AP249&lt;&gt;"",1-(AP249/N249)&gt;0),1-(AP249/N249),"")</f>
        <v>0.8932584269662921</v>
      </c>
      <c r="AX249" s="41">
        <f>IF(AND(AE249&lt;&gt;"",1-(AE249/N249)&gt;0),1-(AE249/N249),"")</f>
        <v>0.901685393258427</v>
      </c>
      <c r="AY249" s="136" t="str">
        <f>IF(P249="","",IF(P249&lt;2.5,"Alc. Bruta &lt; 2,5 mg/L",IF(P249&lt;5,"2,5 ≤ Alc. Bruta &lt; 5,0 mg/L",IF(P249&lt;7.5,"5,0 ≤ Alc. Bruta &lt; 7,5 mg/L",IF(P249&lt;10,"7,5 ≤ Alc. Bruta &lt; 10,0 mg/L",IF(P249&lt;15,"10,0 ≤ Alca. Bruta &lt; 15,0 mg/L","Alc. Bruta &gt; 15 mg/L"))))))</f>
        <v>2,5 ≤ Alc. Bruta &lt; 5,0 mg/L</v>
      </c>
      <c r="AZ249" s="136" t="str">
        <f>IF(O249="","",IF(O249&lt;5,"Cor &lt;5 uC",IF(O249&lt;10,"5 ≤ Cor &lt; 10 uC",IF(O249&lt;15,"10 ≤ Cor &lt;15 uC",IF(O249&lt;30,"15 ≤ Cor &lt; 30 uC",IF(O249&lt;50,"30 ≤ Cor &lt; 50 uC","Cor &gt; 50 uC"))))))</f>
        <v>15 ≤ Cor &lt; 30 uC</v>
      </c>
      <c r="BA249" s="137" t="str">
        <f>IF(N249="","",IF(N249&lt;2.5,"Turbidez &lt; 2,5 uT",IF(N249&lt;5,"2,5 ≤ Turb &lt; 5,0 uT",IF(N249&lt;7.5,"5,0 ≤ Turb &lt; 7,5 uT",IF(N249&lt;10,"7,5 ≤ Turb &lt; 10,0 uT",IF(N249&lt;15,"10,0 ≤ Turb &lt; 15,0 uT","Turb &gt; 15 uT"))))))</f>
        <v>2,5 ≤ Turb &lt; 5,0 uT</v>
      </c>
      <c r="BB249" s="138" t="str">
        <f>IF(AND(C249&gt;D249,D249&gt;E249),"TOR &gt; SM &gt; BNN",IF(AND(C249&gt;E249,E249&gt;D249),"TOR &gt; BNN &gt; SM",IF(AND(D249&gt;C249,C249&gt;E249),"SM &gt; TOR &gt; BNN",IF(AND(D249&gt;E249,E249&gt;C249),"SM &gt; BNN &gt; TOR",IF(AND(C249=D249,D249=E249),"TOR = SM = BNN","Comb. diferentes")))))</f>
        <v>TOR &gt; SM &gt; BNN</v>
      </c>
      <c r="BC249" s="137" t="str">
        <f>IF(OR(AD249="",AP249="-"),"",IF(AD249&lt;=0.25,"Tipo 1 (≤0,25) uT",IF(AD249&lt;=0.5,"Tipo 2 (0,25-0,50) uT",IF(AD249&lt;=0.75,"Tipo 3 (0,50-0,75) uT","Tipo 4 (&gt;0,75) uT"))))</f>
        <v>Tipo 3 (0,50-0,75) uT</v>
      </c>
      <c r="BD249" s="137" t="str">
        <f>IF(OR(AO249="",AY249="-"),"",IF(AO249&lt;=0.25,"Tipo 1 (≤0,25) uT",IF(AO249&lt;=0.5,"Tipo 2 (0,25-0,50) uT",IF(AO249&lt;=0.75,"Tipo 3 (0,50-0,75) uT","Tipo 4 (&gt;0,75) uT"))))</f>
        <v>Tipo 2 (0,25-0,50) uT</v>
      </c>
      <c r="BE249" s="137" t="str">
        <f>IF(OR(AE249="",AP249="-"),"",IF(AE249&lt;=0.25,"Tipo 1 (≤0,25) uT",IF(AE249&lt;=0.5,"Tipo 2 (0,25-0,50) uT",IF(AE249&lt;=0.75,"Tipo 3 (0,50-0,75) uT","Tipo 4 (&gt;0,75) uT"))))</f>
        <v>Tipo 2 (0,25-0,50) uT</v>
      </c>
      <c r="BF249" s="137" t="str">
        <f>IF(OR(AP249="",AP249="-"),"",IF(AP249&lt;=0.25,"Tipo 1 (≤0,25) uT",IF(AP249&lt;=0.5,"Tipo 2 (0,25-0,50) uT",IF(AP249&lt;=0.75,"Tipo 3 (0,50-0,75) uT","Tipo 4 (&gt;0,75) uT"))))</f>
        <v>Tipo 2 (0,25-0,50) uT</v>
      </c>
      <c r="BG249" s="137" t="str">
        <f>IF(OR(Q249="",Q249="-"),"",IF(Q249&lt;=0.25,"Tipo 1 (≤0,25) uT",IF(Q249&lt;=0.5,"Tipo 2 (0,25-0,50) uT",IF(Q249&lt;=0.75,"Tipo 3 (0,50-0,75) uT","Tipo 4 (&gt;0,75) uT"))))</f>
        <v>Tipo 2 (0,25-0,50) uT</v>
      </c>
    </row>
    <row r="250" spans="1:59" x14ac:dyDescent="0.3">
      <c r="A250" s="26">
        <v>46153</v>
      </c>
      <c r="B250" s="107">
        <v>0.72916666666666663</v>
      </c>
      <c r="C250" s="116">
        <v>1144</v>
      </c>
      <c r="D250" s="116">
        <v>82</v>
      </c>
      <c r="E250" s="116">
        <v>550</v>
      </c>
      <c r="F250" s="116">
        <v>1801</v>
      </c>
      <c r="G250" s="10" t="s">
        <v>100</v>
      </c>
      <c r="H250" s="122">
        <v>5.2</v>
      </c>
      <c r="I250" s="116">
        <v>90</v>
      </c>
      <c r="J250" s="116">
        <v>90</v>
      </c>
      <c r="K250" s="116">
        <v>90</v>
      </c>
      <c r="L250" s="122">
        <v>24.6</v>
      </c>
      <c r="M250" s="122">
        <v>6.7</v>
      </c>
      <c r="N250" s="79">
        <v>3.92</v>
      </c>
      <c r="O250" s="116">
        <v>18</v>
      </c>
      <c r="P250" s="122">
        <v>3</v>
      </c>
      <c r="Q250" s="79">
        <v>0.38</v>
      </c>
      <c r="R250" s="79">
        <v>22.36</v>
      </c>
      <c r="S250" s="79">
        <v>0.88</v>
      </c>
      <c r="T250" s="79">
        <v>0.7</v>
      </c>
      <c r="U250" s="85">
        <f t="shared" si="28"/>
        <v>1289.9662500000002</v>
      </c>
      <c r="V250" s="79">
        <f t="shared" si="29"/>
        <v>1439.3912363999998</v>
      </c>
      <c r="W250" s="79">
        <f t="shared" si="30"/>
        <v>1.1158363533929663</v>
      </c>
      <c r="X250" s="116">
        <v>2</v>
      </c>
      <c r="Y250" s="116">
        <v>4</v>
      </c>
      <c r="Z250" s="122">
        <v>6.45</v>
      </c>
      <c r="AA250" s="116">
        <v>18</v>
      </c>
      <c r="AB250" s="122">
        <v>6.2</v>
      </c>
      <c r="AC250" s="122">
        <v>4.0999999999999996</v>
      </c>
      <c r="AD250" s="10">
        <v>0.33</v>
      </c>
      <c r="AE250" s="79">
        <v>0.28000000000000003</v>
      </c>
      <c r="AF250" s="85">
        <f t="shared" si="31"/>
        <v>1719.9550000000002</v>
      </c>
      <c r="AG250" s="85">
        <f t="shared" si="32"/>
        <v>1759.2559555999999</v>
      </c>
      <c r="AH250" s="85">
        <f t="shared" si="33"/>
        <v>1.0228499906102193</v>
      </c>
      <c r="AI250" s="116">
        <v>2</v>
      </c>
      <c r="AJ250" s="116">
        <v>3</v>
      </c>
      <c r="AK250" s="79">
        <v>6.45</v>
      </c>
      <c r="AL250" s="79">
        <v>22</v>
      </c>
      <c r="AM250" s="122">
        <v>6.3</v>
      </c>
      <c r="AN250" s="122">
        <v>2.1</v>
      </c>
      <c r="AO250" s="79">
        <v>0.37</v>
      </c>
      <c r="AP250" s="127">
        <v>0.33</v>
      </c>
      <c r="AQ250" s="132">
        <f t="shared" si="24"/>
        <v>1776</v>
      </c>
      <c r="AR250" s="134">
        <f t="shared" si="25"/>
        <v>0.64414414414414412</v>
      </c>
      <c r="AS250" s="134">
        <f t="shared" si="26"/>
        <v>4.6171171171171171E-2</v>
      </c>
      <c r="AT250" s="134">
        <f t="shared" si="27"/>
        <v>0.30968468468468469</v>
      </c>
      <c r="AU250" s="43">
        <f>IF(AND(F250&lt;&gt;"",Y250&lt;&gt;""),AA250/(F250/2/Y250),"")</f>
        <v>7.9955580233203774E-2</v>
      </c>
      <c r="AV250" s="43">
        <f>IF(AND(F250&lt;&gt;"",AJ250&lt;&gt;""),AL250/(F250/2/AJ250),"")</f>
        <v>7.3292615213770118E-2</v>
      </c>
      <c r="AW250" s="41">
        <f>IF(AND(AP250&lt;&gt;"",1-(AP250/N250)&gt;0),1-(AP250/N250),"")</f>
        <v>0.91581632653061229</v>
      </c>
      <c r="AX250" s="41">
        <f>IF(AND(AE250&lt;&gt;"",1-(AE250/N250)&gt;0),1-(AE250/N250),"")</f>
        <v>0.9285714285714286</v>
      </c>
      <c r="AY250" s="136" t="str">
        <f>IF(P250="","",IF(P250&lt;2.5,"Alc. Bruta &lt; 2,5 mg/L",IF(P250&lt;5,"2,5 ≤ Alc. Bruta &lt; 5,0 mg/L",IF(P250&lt;7.5,"5,0 ≤ Alc. Bruta &lt; 7,5 mg/L",IF(P250&lt;10,"7,5 ≤ Alc. Bruta &lt; 10,0 mg/L",IF(P250&lt;15,"10,0 ≤ Alca. Bruta &lt; 15,0 mg/L","Alc. Bruta &gt; 15 mg/L"))))))</f>
        <v>2,5 ≤ Alc. Bruta &lt; 5,0 mg/L</v>
      </c>
      <c r="AZ250" s="136" t="str">
        <f>IF(O250="","",IF(O250&lt;5,"Cor &lt;5 uC",IF(O250&lt;10,"5 ≤ Cor &lt; 10 uC",IF(O250&lt;15,"10 ≤ Cor &lt;15 uC",IF(O250&lt;30,"15 ≤ Cor &lt; 30 uC",IF(O250&lt;50,"30 ≤ Cor &lt; 50 uC","Cor &gt; 50 uC"))))))</f>
        <v>15 ≤ Cor &lt; 30 uC</v>
      </c>
      <c r="BA250" s="137" t="str">
        <f>IF(N250="","",IF(N250&lt;2.5,"Turbidez &lt; 2,5 uT",IF(N250&lt;5,"2,5 ≤ Turb &lt; 5,0 uT",IF(N250&lt;7.5,"5,0 ≤ Turb &lt; 7,5 uT",IF(N250&lt;10,"7,5 ≤ Turb &lt; 10,0 uT",IF(N250&lt;15,"10,0 ≤ Turb &lt; 15,0 uT","Turb &gt; 15 uT"))))))</f>
        <v>2,5 ≤ Turb &lt; 5,0 uT</v>
      </c>
      <c r="BB250" s="138" t="str">
        <f>IF(AND(C250&gt;D250,D250&gt;E250),"TOR &gt; SM &gt; BNN",IF(AND(C250&gt;E250,E250&gt;D250),"TOR &gt; BNN &gt; SM",IF(AND(D250&gt;C250,C250&gt;E250),"SM &gt; TOR &gt; BNN",IF(AND(D250&gt;E250,E250&gt;C250),"SM &gt; BNN &gt; TOR",IF(AND(C250=D250,D250=E250),"TOR = SM = BNN","Comb. diferentes")))))</f>
        <v>TOR &gt; BNN &gt; SM</v>
      </c>
      <c r="BC250" s="137" t="str">
        <f>IF(OR(AD250="",AP250="-"),"",IF(AD250&lt;=0.25,"Tipo 1 (≤0,25) uT",IF(AD250&lt;=0.5,"Tipo 2 (0,25-0,50) uT",IF(AD250&lt;=0.75,"Tipo 3 (0,50-0,75) uT","Tipo 4 (&gt;0,75) uT"))))</f>
        <v>Tipo 2 (0,25-0,50) uT</v>
      </c>
      <c r="BD250" s="137" t="str">
        <f>IF(OR(AO250="",AY250="-"),"",IF(AO250&lt;=0.25,"Tipo 1 (≤0,25) uT",IF(AO250&lt;=0.5,"Tipo 2 (0,25-0,50) uT",IF(AO250&lt;=0.75,"Tipo 3 (0,50-0,75) uT","Tipo 4 (&gt;0,75) uT"))))</f>
        <v>Tipo 2 (0,25-0,50) uT</v>
      </c>
      <c r="BE250" s="137" t="str">
        <f>IF(OR(AE250="",AP250="-"),"",IF(AE250&lt;=0.25,"Tipo 1 (≤0,25) uT",IF(AE250&lt;=0.5,"Tipo 2 (0,25-0,50) uT",IF(AE250&lt;=0.75,"Tipo 3 (0,50-0,75) uT","Tipo 4 (&gt;0,75) uT"))))</f>
        <v>Tipo 2 (0,25-0,50) uT</v>
      </c>
      <c r="BF250" s="137" t="str">
        <f>IF(OR(AP250="",AP250="-"),"",IF(AP250&lt;=0.25,"Tipo 1 (≤0,25) uT",IF(AP250&lt;=0.5,"Tipo 2 (0,25-0,50) uT",IF(AP250&lt;=0.75,"Tipo 3 (0,50-0,75) uT","Tipo 4 (&gt;0,75) uT"))))</f>
        <v>Tipo 2 (0,25-0,50) uT</v>
      </c>
      <c r="BG250" s="137" t="str">
        <f>IF(OR(Q250="",Q250="-"),"",IF(Q250&lt;=0.25,"Tipo 1 (≤0,25) uT",IF(Q250&lt;=0.5,"Tipo 2 (0,25-0,50) uT",IF(Q250&lt;=0.75,"Tipo 3 (0,50-0,75) uT","Tipo 4 (&gt;0,75) uT"))))</f>
        <v>Tipo 2 (0,25-0,50) uT</v>
      </c>
    </row>
    <row r="251" spans="1:59" x14ac:dyDescent="0.3">
      <c r="A251" s="26">
        <v>46153</v>
      </c>
      <c r="B251" s="107">
        <v>0.8125</v>
      </c>
      <c r="C251" s="116">
        <v>1120</v>
      </c>
      <c r="D251" s="116">
        <v>112</v>
      </c>
      <c r="E251" s="116">
        <v>550</v>
      </c>
      <c r="F251" s="116">
        <v>2007</v>
      </c>
      <c r="G251" s="10" t="s">
        <v>100</v>
      </c>
      <c r="H251" s="122">
        <v>5.2</v>
      </c>
      <c r="I251" s="116">
        <v>90</v>
      </c>
      <c r="J251" s="116">
        <v>80</v>
      </c>
      <c r="K251" s="116">
        <v>90</v>
      </c>
      <c r="L251" s="122">
        <v>23.6</v>
      </c>
      <c r="M251" s="122">
        <v>6.8</v>
      </c>
      <c r="N251" s="79">
        <v>3.3</v>
      </c>
      <c r="O251" s="116">
        <v>11</v>
      </c>
      <c r="P251" s="122">
        <v>5.6</v>
      </c>
      <c r="Q251" s="79">
        <v>0.37</v>
      </c>
      <c r="R251" s="79">
        <v>22.36</v>
      </c>
      <c r="S251" s="79">
        <v>0.88</v>
      </c>
      <c r="T251" s="79">
        <v>0.7</v>
      </c>
      <c r="U251" s="85">
        <f t="shared" si="28"/>
        <v>1281.9712499999998</v>
      </c>
      <c r="V251" s="79">
        <f t="shared" si="29"/>
        <v>1461.63711096</v>
      </c>
      <c r="W251" s="79">
        <f t="shared" si="30"/>
        <v>1.1401481202952095</v>
      </c>
      <c r="X251" s="116">
        <v>2</v>
      </c>
      <c r="Y251" s="116">
        <v>4</v>
      </c>
      <c r="Z251" s="122">
        <v>6.53</v>
      </c>
      <c r="AA251" s="116">
        <v>18</v>
      </c>
      <c r="AB251" s="122">
        <v>6.6</v>
      </c>
      <c r="AC251" s="122">
        <v>5.4</v>
      </c>
      <c r="AD251" s="10">
        <v>0.38</v>
      </c>
      <c r="AE251" s="79">
        <v>0.37</v>
      </c>
      <c r="AF251" s="85">
        <f t="shared" si="31"/>
        <v>1709.2949999999998</v>
      </c>
      <c r="AG251" s="85">
        <f t="shared" si="32"/>
        <v>1867.6474195600001</v>
      </c>
      <c r="AH251" s="85">
        <f t="shared" si="33"/>
        <v>1.0926419486162426</v>
      </c>
      <c r="AI251" s="116">
        <v>2</v>
      </c>
      <c r="AJ251" s="116">
        <v>3</v>
      </c>
      <c r="AK251" s="79">
        <v>6.53</v>
      </c>
      <c r="AL251" s="79">
        <v>23</v>
      </c>
      <c r="AM251" s="122">
        <v>6.5</v>
      </c>
      <c r="AN251" s="122">
        <v>5.9</v>
      </c>
      <c r="AO251" s="79">
        <v>0.28999999999999998</v>
      </c>
      <c r="AP251" s="127">
        <v>0.38</v>
      </c>
      <c r="AQ251" s="132">
        <f t="shared" si="24"/>
        <v>1782</v>
      </c>
      <c r="AR251" s="134">
        <f t="shared" si="25"/>
        <v>0.62850729517396187</v>
      </c>
      <c r="AS251" s="134">
        <f t="shared" si="26"/>
        <v>6.2850729517396189E-2</v>
      </c>
      <c r="AT251" s="134">
        <f t="shared" si="27"/>
        <v>0.30864197530864196</v>
      </c>
      <c r="AU251" s="43">
        <f>IF(AND(F251&lt;&gt;"",Y251&lt;&gt;""),AA251/(F251/2/Y251),"")</f>
        <v>7.1748878923766815E-2</v>
      </c>
      <c r="AV251" s="43">
        <f>IF(AND(F251&lt;&gt;"",AJ251&lt;&gt;""),AL251/(F251/2/AJ251),"")</f>
        <v>6.8759342301943194E-2</v>
      </c>
      <c r="AW251" s="41">
        <f>IF(AND(AP251&lt;&gt;"",1-(AP251/N251)&gt;0),1-(AP251/N251),"")</f>
        <v>0.88484848484848488</v>
      </c>
      <c r="AX251" s="41">
        <f>IF(AND(AE251&lt;&gt;"",1-(AE251/N251)&gt;0),1-(AE251/N251),"")</f>
        <v>0.88787878787878793</v>
      </c>
      <c r="AY251" s="136" t="str">
        <f>IF(P251="","",IF(P251&lt;2.5,"Alc. Bruta &lt; 2,5 mg/L",IF(P251&lt;5,"2,5 ≤ Alc. Bruta &lt; 5,0 mg/L",IF(P251&lt;7.5,"5,0 ≤ Alc. Bruta &lt; 7,5 mg/L",IF(P251&lt;10,"7,5 ≤ Alc. Bruta &lt; 10,0 mg/L",IF(P251&lt;15,"10,0 ≤ Alca. Bruta &lt; 15,0 mg/L","Alc. Bruta &gt; 15 mg/L"))))))</f>
        <v>5,0 ≤ Alc. Bruta &lt; 7,5 mg/L</v>
      </c>
      <c r="AZ251" s="136" t="str">
        <f>IF(O251="","",IF(O251&lt;5,"Cor &lt;5 uC",IF(O251&lt;10,"5 ≤ Cor &lt; 10 uC",IF(O251&lt;15,"10 ≤ Cor &lt;15 uC",IF(O251&lt;30,"15 ≤ Cor &lt; 30 uC",IF(O251&lt;50,"30 ≤ Cor &lt; 50 uC","Cor &gt; 50 uC"))))))</f>
        <v>10 ≤ Cor &lt;15 uC</v>
      </c>
      <c r="BA251" s="137" t="str">
        <f>IF(N251="","",IF(N251&lt;2.5,"Turbidez &lt; 2,5 uT",IF(N251&lt;5,"2,5 ≤ Turb &lt; 5,0 uT",IF(N251&lt;7.5,"5,0 ≤ Turb &lt; 7,5 uT",IF(N251&lt;10,"7,5 ≤ Turb &lt; 10,0 uT",IF(N251&lt;15,"10,0 ≤ Turb &lt; 15,0 uT","Turb &gt; 15 uT"))))))</f>
        <v>2,5 ≤ Turb &lt; 5,0 uT</v>
      </c>
      <c r="BB251" s="138" t="str">
        <f>IF(AND(C251&gt;D251,D251&gt;E251),"TOR &gt; SM &gt; BNN",IF(AND(C251&gt;E251,E251&gt;D251),"TOR &gt; BNN &gt; SM",IF(AND(D251&gt;C251,C251&gt;E251),"SM &gt; TOR &gt; BNN",IF(AND(D251&gt;E251,E251&gt;C251),"SM &gt; BNN &gt; TOR",IF(AND(C251=D251,D251=E251),"TOR = SM = BNN","Comb. diferentes")))))</f>
        <v>TOR &gt; BNN &gt; SM</v>
      </c>
      <c r="BC251" s="137" t="str">
        <f>IF(OR(AD251="",AP251="-"),"",IF(AD251&lt;=0.25,"Tipo 1 (≤0,25) uT",IF(AD251&lt;=0.5,"Tipo 2 (0,25-0,50) uT",IF(AD251&lt;=0.75,"Tipo 3 (0,50-0,75) uT","Tipo 4 (&gt;0,75) uT"))))</f>
        <v>Tipo 2 (0,25-0,50) uT</v>
      </c>
      <c r="BD251" s="137" t="str">
        <f>IF(OR(AO251="",AY251="-"),"",IF(AO251&lt;=0.25,"Tipo 1 (≤0,25) uT",IF(AO251&lt;=0.5,"Tipo 2 (0,25-0,50) uT",IF(AO251&lt;=0.75,"Tipo 3 (0,50-0,75) uT","Tipo 4 (&gt;0,75) uT"))))</f>
        <v>Tipo 2 (0,25-0,50) uT</v>
      </c>
      <c r="BE251" s="137" t="str">
        <f>IF(OR(AE251="",AP251="-"),"",IF(AE251&lt;=0.25,"Tipo 1 (≤0,25) uT",IF(AE251&lt;=0.5,"Tipo 2 (0,25-0,50) uT",IF(AE251&lt;=0.75,"Tipo 3 (0,50-0,75) uT","Tipo 4 (&gt;0,75) uT"))))</f>
        <v>Tipo 2 (0,25-0,50) uT</v>
      </c>
      <c r="BF251" s="137" t="str">
        <f>IF(OR(AP251="",AP251="-"),"",IF(AP251&lt;=0.25,"Tipo 1 (≤0,25) uT",IF(AP251&lt;=0.5,"Tipo 2 (0,25-0,50) uT",IF(AP251&lt;=0.75,"Tipo 3 (0,50-0,75) uT","Tipo 4 (&gt;0,75) uT"))))</f>
        <v>Tipo 2 (0,25-0,50) uT</v>
      </c>
      <c r="BG251" s="137" t="str">
        <f>IF(OR(Q251="",Q251="-"),"",IF(Q251&lt;=0.25,"Tipo 1 (≤0,25) uT",IF(Q251&lt;=0.5,"Tipo 2 (0,25-0,50) uT",IF(Q251&lt;=0.75,"Tipo 3 (0,50-0,75) uT","Tipo 4 (&gt;0,75) uT"))))</f>
        <v>Tipo 2 (0,25-0,50) uT</v>
      </c>
    </row>
    <row r="252" spans="1:59" x14ac:dyDescent="0.3">
      <c r="A252" s="26">
        <v>46153</v>
      </c>
      <c r="B252" s="107">
        <v>0.89583333333333337</v>
      </c>
      <c r="C252" s="116">
        <v>1418</v>
      </c>
      <c r="D252" s="116">
        <v>90</v>
      </c>
      <c r="E252" s="116">
        <v>540</v>
      </c>
      <c r="F252" s="116">
        <v>2347</v>
      </c>
      <c r="G252" s="10" t="s">
        <v>100</v>
      </c>
      <c r="H252" s="122">
        <v>5.2</v>
      </c>
      <c r="I252" s="116">
        <v>90</v>
      </c>
      <c r="J252" s="116">
        <v>90</v>
      </c>
      <c r="K252" s="116">
        <v>90</v>
      </c>
      <c r="L252" s="122">
        <v>22.4</v>
      </c>
      <c r="M252" s="122">
        <v>6.9</v>
      </c>
      <c r="N252" s="79">
        <v>4.0999999999999996</v>
      </c>
      <c r="O252" s="116">
        <v>17</v>
      </c>
      <c r="P252" s="122">
        <v>5.2</v>
      </c>
      <c r="Q252" s="79">
        <v>0.38</v>
      </c>
      <c r="R252" s="79">
        <v>22.36</v>
      </c>
      <c r="S252" s="79">
        <v>0.88</v>
      </c>
      <c r="T252" s="79">
        <v>0.7</v>
      </c>
      <c r="U252" s="85">
        <f t="shared" si="28"/>
        <v>1733.8462500000001</v>
      </c>
      <c r="V252" s="79">
        <f t="shared" si="29"/>
        <v>1453.2949080000001</v>
      </c>
      <c r="W252" s="79">
        <f t="shared" si="30"/>
        <v>0.83819133789977052</v>
      </c>
      <c r="X252" s="116">
        <v>2</v>
      </c>
      <c r="Y252" s="116">
        <v>4</v>
      </c>
      <c r="Z252" s="122">
        <v>6.5</v>
      </c>
      <c r="AA252" s="116">
        <v>18</v>
      </c>
      <c r="AB252" s="122">
        <v>6.6</v>
      </c>
      <c r="AC252" s="122">
        <v>5.8</v>
      </c>
      <c r="AD252" s="10">
        <v>0.35</v>
      </c>
      <c r="AE252" s="79">
        <v>0.59</v>
      </c>
      <c r="AF252" s="85">
        <f t="shared" si="31"/>
        <v>2311.7950000000001</v>
      </c>
      <c r="AG252" s="85">
        <f t="shared" si="32"/>
        <v>1871.2005800799998</v>
      </c>
      <c r="AH252" s="85">
        <f t="shared" si="33"/>
        <v>0.80941458047967041</v>
      </c>
      <c r="AI252" s="116">
        <v>2</v>
      </c>
      <c r="AJ252" s="116">
        <v>3</v>
      </c>
      <c r="AK252" s="79">
        <v>6.54</v>
      </c>
      <c r="AL252" s="79">
        <v>23</v>
      </c>
      <c r="AM252" s="122">
        <v>6.5</v>
      </c>
      <c r="AN252" s="122">
        <v>6</v>
      </c>
      <c r="AO252" s="79">
        <v>0.32</v>
      </c>
      <c r="AP252" s="127">
        <v>0.46</v>
      </c>
      <c r="AQ252" s="132">
        <f t="shared" si="24"/>
        <v>2048</v>
      </c>
      <c r="AR252" s="134">
        <f t="shared" si="25"/>
        <v>0.6923828125</v>
      </c>
      <c r="AS252" s="134">
        <f t="shared" si="26"/>
        <v>4.39453125E-2</v>
      </c>
      <c r="AT252" s="134">
        <f t="shared" si="27"/>
        <v>0.263671875</v>
      </c>
      <c r="AU252" s="43">
        <f>IF(AND(F252&lt;&gt;"",Y252&lt;&gt;""),AA252/(F252/2/Y252),"")</f>
        <v>6.1354921175969322E-2</v>
      </c>
      <c r="AV252" s="43">
        <f>IF(AND(F252&lt;&gt;"",AJ252&lt;&gt;""),AL252/(F252/2/AJ252),"")</f>
        <v>5.8798466126970601E-2</v>
      </c>
      <c r="AW252" s="41">
        <f>IF(AND(AP252&lt;&gt;"",1-(AP252/N252)&gt;0),1-(AP252/N252),"")</f>
        <v>0.8878048780487805</v>
      </c>
      <c r="AX252" s="41">
        <f>IF(AND(AE252&lt;&gt;"",1-(AE252/N252)&gt;0),1-(AE252/N252),"")</f>
        <v>0.85609756097560974</v>
      </c>
      <c r="AY252" s="136" t="str">
        <f>IF(P252="","",IF(P252&lt;2.5,"Alc. Bruta &lt; 2,5 mg/L",IF(P252&lt;5,"2,5 ≤ Alc. Bruta &lt; 5,0 mg/L",IF(P252&lt;7.5,"5,0 ≤ Alc. Bruta &lt; 7,5 mg/L",IF(P252&lt;10,"7,5 ≤ Alc. Bruta &lt; 10,0 mg/L",IF(P252&lt;15,"10,0 ≤ Alca. Bruta &lt; 15,0 mg/L","Alc. Bruta &gt; 15 mg/L"))))))</f>
        <v>5,0 ≤ Alc. Bruta &lt; 7,5 mg/L</v>
      </c>
      <c r="AZ252" s="136" t="str">
        <f>IF(O252="","",IF(O252&lt;5,"Cor &lt;5 uC",IF(O252&lt;10,"5 ≤ Cor &lt; 10 uC",IF(O252&lt;15,"10 ≤ Cor &lt;15 uC",IF(O252&lt;30,"15 ≤ Cor &lt; 30 uC",IF(O252&lt;50,"30 ≤ Cor &lt; 50 uC","Cor &gt; 50 uC"))))))</f>
        <v>15 ≤ Cor &lt; 30 uC</v>
      </c>
      <c r="BA252" s="137" t="str">
        <f>IF(N252="","",IF(N252&lt;2.5,"Turbidez &lt; 2,5 uT",IF(N252&lt;5,"2,5 ≤ Turb &lt; 5,0 uT",IF(N252&lt;7.5,"5,0 ≤ Turb &lt; 7,5 uT",IF(N252&lt;10,"7,5 ≤ Turb &lt; 10,0 uT",IF(N252&lt;15,"10,0 ≤ Turb &lt; 15,0 uT","Turb &gt; 15 uT"))))))</f>
        <v>2,5 ≤ Turb &lt; 5,0 uT</v>
      </c>
      <c r="BB252" s="138" t="str">
        <f>IF(AND(C252&gt;D252,D252&gt;E252),"TOR &gt; SM &gt; BNN",IF(AND(C252&gt;E252,E252&gt;D252),"TOR &gt; BNN &gt; SM",IF(AND(D252&gt;C252,C252&gt;E252),"SM &gt; TOR &gt; BNN",IF(AND(D252&gt;E252,E252&gt;C252),"SM &gt; BNN &gt; TOR",IF(AND(C252=D252,D252=E252),"TOR = SM = BNN","Comb. diferentes")))))</f>
        <v>TOR &gt; BNN &gt; SM</v>
      </c>
      <c r="BC252" s="137" t="str">
        <f>IF(OR(AD252="",AP252="-"),"",IF(AD252&lt;=0.25,"Tipo 1 (≤0,25) uT",IF(AD252&lt;=0.5,"Tipo 2 (0,25-0,50) uT",IF(AD252&lt;=0.75,"Tipo 3 (0,50-0,75) uT","Tipo 4 (&gt;0,75) uT"))))</f>
        <v>Tipo 2 (0,25-0,50) uT</v>
      </c>
      <c r="BD252" s="137" t="str">
        <f>IF(OR(AO252="",AY252="-"),"",IF(AO252&lt;=0.25,"Tipo 1 (≤0,25) uT",IF(AO252&lt;=0.5,"Tipo 2 (0,25-0,50) uT",IF(AO252&lt;=0.75,"Tipo 3 (0,50-0,75) uT","Tipo 4 (&gt;0,75) uT"))))</f>
        <v>Tipo 2 (0,25-0,50) uT</v>
      </c>
      <c r="BE252" s="137" t="str">
        <f>IF(OR(AE252="",AP252="-"),"",IF(AE252&lt;=0.25,"Tipo 1 (≤0,25) uT",IF(AE252&lt;=0.5,"Tipo 2 (0,25-0,50) uT",IF(AE252&lt;=0.75,"Tipo 3 (0,50-0,75) uT","Tipo 4 (&gt;0,75) uT"))))</f>
        <v>Tipo 3 (0,50-0,75) uT</v>
      </c>
      <c r="BF252" s="137" t="str">
        <f>IF(OR(AP252="",AP252="-"),"",IF(AP252&lt;=0.25,"Tipo 1 (≤0,25) uT",IF(AP252&lt;=0.5,"Tipo 2 (0,25-0,50) uT",IF(AP252&lt;=0.75,"Tipo 3 (0,50-0,75) uT","Tipo 4 (&gt;0,75) uT"))))</f>
        <v>Tipo 2 (0,25-0,50) uT</v>
      </c>
      <c r="BG252" s="137" t="str">
        <f>IF(OR(Q252="",Q252="-"),"",IF(Q252&lt;=0.25,"Tipo 1 (≤0,25) uT",IF(Q252&lt;=0.5,"Tipo 2 (0,25-0,50) uT",IF(Q252&lt;=0.75,"Tipo 3 (0,50-0,75) uT","Tipo 4 (&gt;0,75) uT"))))</f>
        <v>Tipo 2 (0,25-0,50) uT</v>
      </c>
    </row>
    <row r="253" spans="1:59" x14ac:dyDescent="0.3">
      <c r="A253" s="26">
        <v>46153</v>
      </c>
      <c r="B253" s="107">
        <v>0.97916666666666663</v>
      </c>
      <c r="C253" s="116">
        <v>1513</v>
      </c>
      <c r="D253" s="116">
        <v>92</v>
      </c>
      <c r="E253" s="116">
        <v>542</v>
      </c>
      <c r="F253" s="116">
        <v>2340</v>
      </c>
      <c r="G253" s="10" t="s">
        <v>100</v>
      </c>
      <c r="H253" s="122">
        <v>5.2</v>
      </c>
      <c r="I253" s="116">
        <v>90</v>
      </c>
      <c r="J253" s="116">
        <v>90</v>
      </c>
      <c r="K253" s="116">
        <v>90</v>
      </c>
      <c r="L253" s="122">
        <v>22.3</v>
      </c>
      <c r="M253" s="122">
        <v>6.8</v>
      </c>
      <c r="N253" s="79">
        <v>4.3600000000000003</v>
      </c>
      <c r="O253" s="116">
        <v>16</v>
      </c>
      <c r="P253" s="122">
        <v>5.4</v>
      </c>
      <c r="Q253" s="79">
        <v>0.54</v>
      </c>
      <c r="R253" s="79">
        <v>22.36</v>
      </c>
      <c r="S253" s="79">
        <v>0.88</v>
      </c>
      <c r="T253" s="79">
        <v>0.7</v>
      </c>
      <c r="U253" s="85">
        <f t="shared" si="28"/>
        <v>1804.7249999999999</v>
      </c>
      <c r="V253" s="79">
        <f t="shared" si="29"/>
        <v>1444.9527050400002</v>
      </c>
      <c r="W253" s="79">
        <f t="shared" si="30"/>
        <v>0.80064979708265815</v>
      </c>
      <c r="X253" s="116">
        <v>2</v>
      </c>
      <c r="Y253" s="116">
        <v>4</v>
      </c>
      <c r="Z253" s="122">
        <v>6.47</v>
      </c>
      <c r="AA253" s="116">
        <v>18</v>
      </c>
      <c r="AB253" s="122">
        <v>6.5</v>
      </c>
      <c r="AC253" s="122">
        <v>5.8</v>
      </c>
      <c r="AD253" s="10">
        <v>0.42</v>
      </c>
      <c r="AE253" s="79">
        <v>0.52</v>
      </c>
      <c r="AF253" s="85">
        <f t="shared" si="31"/>
        <v>2406.3000000000002</v>
      </c>
      <c r="AG253" s="85">
        <f t="shared" si="32"/>
        <v>1871.2005800799998</v>
      </c>
      <c r="AH253" s="85">
        <f t="shared" si="33"/>
        <v>0.77762564105888698</v>
      </c>
      <c r="AI253" s="116">
        <v>2</v>
      </c>
      <c r="AJ253" s="116">
        <v>3</v>
      </c>
      <c r="AK253" s="79">
        <v>6.54</v>
      </c>
      <c r="AL253" s="79">
        <v>23</v>
      </c>
      <c r="AM253" s="122">
        <v>6.5</v>
      </c>
      <c r="AN253" s="122">
        <v>5.8</v>
      </c>
      <c r="AO253" s="79">
        <v>0.26</v>
      </c>
      <c r="AP253" s="127">
        <v>0.42</v>
      </c>
      <c r="AQ253" s="132">
        <f t="shared" si="24"/>
        <v>2147</v>
      </c>
      <c r="AR253" s="134">
        <f t="shared" si="25"/>
        <v>0.70470423847228691</v>
      </c>
      <c r="AS253" s="134">
        <f t="shared" si="26"/>
        <v>4.2850489054494643E-2</v>
      </c>
      <c r="AT253" s="134">
        <f t="shared" si="27"/>
        <v>0.25244527247321846</v>
      </c>
      <c r="AU253" s="43">
        <f>IF(AND(F253&lt;&gt;"",Y253&lt;&gt;""),AA253/(F253/2/Y253),"")</f>
        <v>6.1538461538461542E-2</v>
      </c>
      <c r="AV253" s="43">
        <f>IF(AND(F253&lt;&gt;"",AJ253&lt;&gt;""),AL253/(F253/2/AJ253),"")</f>
        <v>5.8974358974358973E-2</v>
      </c>
      <c r="AW253" s="41">
        <f>IF(AND(AP253&lt;&gt;"",1-(AP253/N253)&gt;0),1-(AP253/N253),"")</f>
        <v>0.90366972477064222</v>
      </c>
      <c r="AX253" s="41">
        <f>IF(AND(AE253&lt;&gt;"",1-(AE253/N253)&gt;0),1-(AE253/N253),"")</f>
        <v>0.88073394495412849</v>
      </c>
      <c r="AY253" s="136" t="str">
        <f>IF(P253="","",IF(P253&lt;2.5,"Alc. Bruta &lt; 2,5 mg/L",IF(P253&lt;5,"2,5 ≤ Alc. Bruta &lt; 5,0 mg/L",IF(P253&lt;7.5,"5,0 ≤ Alc. Bruta &lt; 7,5 mg/L",IF(P253&lt;10,"7,5 ≤ Alc. Bruta &lt; 10,0 mg/L",IF(P253&lt;15,"10,0 ≤ Alca. Bruta &lt; 15,0 mg/L","Alc. Bruta &gt; 15 mg/L"))))))</f>
        <v>5,0 ≤ Alc. Bruta &lt; 7,5 mg/L</v>
      </c>
      <c r="AZ253" s="136" t="str">
        <f>IF(O253="","",IF(O253&lt;5,"Cor &lt;5 uC",IF(O253&lt;10,"5 ≤ Cor &lt; 10 uC",IF(O253&lt;15,"10 ≤ Cor &lt;15 uC",IF(O253&lt;30,"15 ≤ Cor &lt; 30 uC",IF(O253&lt;50,"30 ≤ Cor &lt; 50 uC","Cor &gt; 50 uC"))))))</f>
        <v>15 ≤ Cor &lt; 30 uC</v>
      </c>
      <c r="BA253" s="137" t="str">
        <f>IF(N253="","",IF(N253&lt;2.5,"Turbidez &lt; 2,5 uT",IF(N253&lt;5,"2,5 ≤ Turb &lt; 5,0 uT",IF(N253&lt;7.5,"5,0 ≤ Turb &lt; 7,5 uT",IF(N253&lt;10,"7,5 ≤ Turb &lt; 10,0 uT",IF(N253&lt;15,"10,0 ≤ Turb &lt; 15,0 uT","Turb &gt; 15 uT"))))))</f>
        <v>2,5 ≤ Turb &lt; 5,0 uT</v>
      </c>
      <c r="BB253" s="138" t="str">
        <f>IF(AND(C253&gt;D253,D253&gt;E253),"TOR &gt; SM &gt; BNN",IF(AND(C253&gt;E253,E253&gt;D253),"TOR &gt; BNN &gt; SM",IF(AND(D253&gt;C253,C253&gt;E253),"SM &gt; TOR &gt; BNN",IF(AND(D253&gt;E253,E253&gt;C253),"SM &gt; BNN &gt; TOR",IF(AND(C253=D253,D253=E253),"TOR = SM = BNN","Comb. diferentes")))))</f>
        <v>TOR &gt; BNN &gt; SM</v>
      </c>
      <c r="BC253" s="137" t="str">
        <f>IF(OR(AD253="",AP253="-"),"",IF(AD253&lt;=0.25,"Tipo 1 (≤0,25) uT",IF(AD253&lt;=0.5,"Tipo 2 (0,25-0,50) uT",IF(AD253&lt;=0.75,"Tipo 3 (0,50-0,75) uT","Tipo 4 (&gt;0,75) uT"))))</f>
        <v>Tipo 2 (0,25-0,50) uT</v>
      </c>
      <c r="BD253" s="137" t="str">
        <f>IF(OR(AO253="",AY253="-"),"",IF(AO253&lt;=0.25,"Tipo 1 (≤0,25) uT",IF(AO253&lt;=0.5,"Tipo 2 (0,25-0,50) uT",IF(AO253&lt;=0.75,"Tipo 3 (0,50-0,75) uT","Tipo 4 (&gt;0,75) uT"))))</f>
        <v>Tipo 2 (0,25-0,50) uT</v>
      </c>
      <c r="BE253" s="137" t="str">
        <f>IF(OR(AE253="",AP253="-"),"",IF(AE253&lt;=0.25,"Tipo 1 (≤0,25) uT",IF(AE253&lt;=0.5,"Tipo 2 (0,25-0,50) uT",IF(AE253&lt;=0.75,"Tipo 3 (0,50-0,75) uT","Tipo 4 (&gt;0,75) uT"))))</f>
        <v>Tipo 3 (0,50-0,75) uT</v>
      </c>
      <c r="BF253" s="137" t="str">
        <f>IF(OR(AP253="",AP253="-"),"",IF(AP253&lt;=0.25,"Tipo 1 (≤0,25) uT",IF(AP253&lt;=0.5,"Tipo 2 (0,25-0,50) uT",IF(AP253&lt;=0.75,"Tipo 3 (0,50-0,75) uT","Tipo 4 (&gt;0,75) uT"))))</f>
        <v>Tipo 2 (0,25-0,50) uT</v>
      </c>
      <c r="BG253" s="137" t="str">
        <f>IF(OR(Q253="",Q253="-"),"",IF(Q253&lt;=0.25,"Tipo 1 (≤0,25) uT",IF(Q253&lt;=0.5,"Tipo 2 (0,25-0,50) uT",IF(Q253&lt;=0.75,"Tipo 3 (0,50-0,75) uT","Tipo 4 (&gt;0,75) uT"))))</f>
        <v>Tipo 3 (0,50-0,75) uT</v>
      </c>
    </row>
    <row r="254" spans="1:59" x14ac:dyDescent="0.3">
      <c r="A254" s="26">
        <v>46154</v>
      </c>
      <c r="B254" s="107">
        <v>0.14583333333333334</v>
      </c>
      <c r="C254" s="116">
        <v>1597</v>
      </c>
      <c r="D254" s="116">
        <v>92</v>
      </c>
      <c r="E254" s="116">
        <v>592</v>
      </c>
      <c r="F254" s="116">
        <v>2334</v>
      </c>
      <c r="G254" s="10" t="s">
        <v>100</v>
      </c>
      <c r="H254" s="122">
        <v>5.2</v>
      </c>
      <c r="I254" s="116">
        <v>90</v>
      </c>
      <c r="J254" s="116">
        <v>90</v>
      </c>
      <c r="K254" s="116">
        <v>90</v>
      </c>
      <c r="L254" s="122">
        <v>22.2</v>
      </c>
      <c r="M254" s="122">
        <v>6.8</v>
      </c>
      <c r="N254" s="79">
        <v>3.82</v>
      </c>
      <c r="O254" s="116">
        <v>17</v>
      </c>
      <c r="P254" s="122">
        <v>4.7</v>
      </c>
      <c r="Q254" s="79">
        <v>0.36</v>
      </c>
      <c r="R254" s="79">
        <v>22.36</v>
      </c>
      <c r="S254" s="79">
        <v>0.88</v>
      </c>
      <c r="T254" s="79">
        <v>0.7</v>
      </c>
      <c r="U254" s="85">
        <f t="shared" si="28"/>
        <v>1642.5525</v>
      </c>
      <c r="V254" s="79">
        <f t="shared" si="29"/>
        <v>1450.5141736799999</v>
      </c>
      <c r="W254" s="79">
        <f t="shared" si="30"/>
        <v>0.88308542568958981</v>
      </c>
      <c r="X254" s="116">
        <v>2</v>
      </c>
      <c r="Y254" s="116">
        <v>4</v>
      </c>
      <c r="Z254" s="122">
        <v>6.49</v>
      </c>
      <c r="AA254" s="116">
        <v>18</v>
      </c>
      <c r="AB254" s="122">
        <v>6.5</v>
      </c>
      <c r="AC254" s="122">
        <v>5.2</v>
      </c>
      <c r="AD254" s="10">
        <v>0.27</v>
      </c>
      <c r="AE254" s="79">
        <v>0.44</v>
      </c>
      <c r="AF254" s="85">
        <f t="shared" si="31"/>
        <v>2190.0700000000002</v>
      </c>
      <c r="AG254" s="85">
        <f t="shared" si="32"/>
        <v>1853.4347774799999</v>
      </c>
      <c r="AH254" s="85">
        <f t="shared" si="33"/>
        <v>0.84629019961919016</v>
      </c>
      <c r="AI254" s="116">
        <v>2</v>
      </c>
      <c r="AJ254" s="116">
        <v>3</v>
      </c>
      <c r="AK254" s="79">
        <v>6.49</v>
      </c>
      <c r="AL254" s="79">
        <v>23</v>
      </c>
      <c r="AM254" s="122">
        <v>6.5</v>
      </c>
      <c r="AN254" s="122">
        <v>5</v>
      </c>
      <c r="AO254" s="79">
        <v>0.25</v>
      </c>
      <c r="AP254" s="127">
        <v>0.36</v>
      </c>
      <c r="AQ254" s="132">
        <f t="shared" si="24"/>
        <v>2281</v>
      </c>
      <c r="AR254" s="134">
        <f t="shared" si="25"/>
        <v>0.70013152126260414</v>
      </c>
      <c r="AS254" s="134">
        <f t="shared" si="26"/>
        <v>4.0333187198597104E-2</v>
      </c>
      <c r="AT254" s="134">
        <f t="shared" si="27"/>
        <v>0.25953529153879878</v>
      </c>
      <c r="AU254" s="43">
        <f>IF(AND(F254&lt;&gt;"",Y254&lt;&gt;""),AA254/(F254/2/Y254),"")</f>
        <v>6.1696658097686374E-2</v>
      </c>
      <c r="AV254" s="43">
        <f>IF(AND(F254&lt;&gt;"",AJ254&lt;&gt;""),AL254/(F254/2/AJ254),"")</f>
        <v>5.9125964010282778E-2</v>
      </c>
      <c r="AW254" s="41">
        <f>IF(AND(AP254&lt;&gt;"",1-(AP254/N254)&gt;0),1-(AP254/N254),"")</f>
        <v>0.90575916230366493</v>
      </c>
      <c r="AX254" s="41">
        <f>IF(AND(AE254&lt;&gt;"",1-(AE254/N254)&gt;0),1-(AE254/N254),"")</f>
        <v>0.88481675392670156</v>
      </c>
      <c r="AY254" s="136" t="str">
        <f>IF(P254="","",IF(P254&lt;2.5,"Alc. Bruta &lt; 2,5 mg/L",IF(P254&lt;5,"2,5 ≤ Alc. Bruta &lt; 5,0 mg/L",IF(P254&lt;7.5,"5,0 ≤ Alc. Bruta &lt; 7,5 mg/L",IF(P254&lt;10,"7,5 ≤ Alc. Bruta &lt; 10,0 mg/L",IF(P254&lt;15,"10,0 ≤ Alca. Bruta &lt; 15,0 mg/L","Alc. Bruta &gt; 15 mg/L"))))))</f>
        <v>2,5 ≤ Alc. Bruta &lt; 5,0 mg/L</v>
      </c>
      <c r="AZ254" s="136" t="str">
        <f>IF(O254="","",IF(O254&lt;5,"Cor &lt;5 uC",IF(O254&lt;10,"5 ≤ Cor &lt; 10 uC",IF(O254&lt;15,"10 ≤ Cor &lt;15 uC",IF(O254&lt;30,"15 ≤ Cor &lt; 30 uC",IF(O254&lt;50,"30 ≤ Cor &lt; 50 uC","Cor &gt; 50 uC"))))))</f>
        <v>15 ≤ Cor &lt; 30 uC</v>
      </c>
      <c r="BA254" s="137" t="str">
        <f>IF(N254="","",IF(N254&lt;2.5,"Turbidez &lt; 2,5 uT",IF(N254&lt;5,"2,5 ≤ Turb &lt; 5,0 uT",IF(N254&lt;7.5,"5,0 ≤ Turb &lt; 7,5 uT",IF(N254&lt;10,"7,5 ≤ Turb &lt; 10,0 uT",IF(N254&lt;15,"10,0 ≤ Turb &lt; 15,0 uT","Turb &gt; 15 uT"))))))</f>
        <v>2,5 ≤ Turb &lt; 5,0 uT</v>
      </c>
      <c r="BB254" s="138" t="str">
        <f>IF(AND(C254&gt;D254,D254&gt;E254),"TOR &gt; SM &gt; BNN",IF(AND(C254&gt;E254,E254&gt;D254),"TOR &gt; BNN &gt; SM",IF(AND(D254&gt;C254,C254&gt;E254),"SM &gt; TOR &gt; BNN",IF(AND(D254&gt;E254,E254&gt;C254),"SM &gt; BNN &gt; TOR",IF(AND(C254=D254,D254=E254),"TOR = SM = BNN","Comb. diferentes")))))</f>
        <v>TOR &gt; BNN &gt; SM</v>
      </c>
      <c r="BC254" s="137" t="str">
        <f>IF(OR(AD254="",AP254="-"),"",IF(AD254&lt;=0.25,"Tipo 1 (≤0,25) uT",IF(AD254&lt;=0.5,"Tipo 2 (0,25-0,50) uT",IF(AD254&lt;=0.75,"Tipo 3 (0,50-0,75) uT","Tipo 4 (&gt;0,75) uT"))))</f>
        <v>Tipo 2 (0,25-0,50) uT</v>
      </c>
      <c r="BD254" s="137" t="str">
        <f>IF(OR(AO254="",AY254="-"),"",IF(AO254&lt;=0.25,"Tipo 1 (≤0,25) uT",IF(AO254&lt;=0.5,"Tipo 2 (0,25-0,50) uT",IF(AO254&lt;=0.75,"Tipo 3 (0,50-0,75) uT","Tipo 4 (&gt;0,75) uT"))))</f>
        <v>Tipo 1 (≤0,25) uT</v>
      </c>
      <c r="BE254" s="137" t="str">
        <f>IF(OR(AE254="",AP254="-"),"",IF(AE254&lt;=0.25,"Tipo 1 (≤0,25) uT",IF(AE254&lt;=0.5,"Tipo 2 (0,25-0,50) uT",IF(AE254&lt;=0.75,"Tipo 3 (0,50-0,75) uT","Tipo 4 (&gt;0,75) uT"))))</f>
        <v>Tipo 2 (0,25-0,50) uT</v>
      </c>
      <c r="BF254" s="137" t="str">
        <f>IF(OR(AP254="",AP254="-"),"",IF(AP254&lt;=0.25,"Tipo 1 (≤0,25) uT",IF(AP254&lt;=0.5,"Tipo 2 (0,25-0,50) uT",IF(AP254&lt;=0.75,"Tipo 3 (0,50-0,75) uT","Tipo 4 (&gt;0,75) uT"))))</f>
        <v>Tipo 2 (0,25-0,50) uT</v>
      </c>
      <c r="BG254" s="137" t="str">
        <f>IF(OR(Q254="",Q254="-"),"",IF(Q254&lt;=0.25,"Tipo 1 (≤0,25) uT",IF(Q254&lt;=0.5,"Tipo 2 (0,25-0,50) uT",IF(Q254&lt;=0.75,"Tipo 3 (0,50-0,75) uT","Tipo 4 (&gt;0,75) uT"))))</f>
        <v>Tipo 2 (0,25-0,50) uT</v>
      </c>
    </row>
    <row r="255" spans="1:59" ht="15" thickBot="1" x14ac:dyDescent="0.35">
      <c r="A255" s="26">
        <v>46154</v>
      </c>
      <c r="B255" s="110">
        <v>0.22916666666666666</v>
      </c>
      <c r="C255" s="117">
        <v>1575</v>
      </c>
      <c r="D255" s="117">
        <v>93</v>
      </c>
      <c r="E255" s="117">
        <v>543</v>
      </c>
      <c r="F255" s="117">
        <v>2333</v>
      </c>
      <c r="G255" s="11" t="s">
        <v>100</v>
      </c>
      <c r="H255" s="123">
        <v>5.2</v>
      </c>
      <c r="I255" s="117">
        <v>90</v>
      </c>
      <c r="J255" s="117">
        <v>90</v>
      </c>
      <c r="K255" s="117">
        <v>90</v>
      </c>
      <c r="L255" s="123">
        <v>22.9</v>
      </c>
      <c r="M255" s="123">
        <v>6.7</v>
      </c>
      <c r="N255" s="80">
        <v>4.07</v>
      </c>
      <c r="O255" s="117">
        <v>18</v>
      </c>
      <c r="P255" s="123">
        <v>5.5</v>
      </c>
      <c r="Q255" s="80">
        <v>0.33</v>
      </c>
      <c r="R255" s="79">
        <v>22.36</v>
      </c>
      <c r="S255" s="79">
        <v>0.88</v>
      </c>
      <c r="T255" s="79">
        <v>0.7</v>
      </c>
      <c r="U255" s="85">
        <f t="shared" si="28"/>
        <v>1714.7550000000003</v>
      </c>
      <c r="V255" s="79">
        <f t="shared" si="29"/>
        <v>1442.1719707199995</v>
      </c>
      <c r="W255" s="79">
        <f t="shared" si="30"/>
        <v>0.84103674910993076</v>
      </c>
      <c r="X255" s="117">
        <v>2</v>
      </c>
      <c r="Y255" s="117">
        <v>4</v>
      </c>
      <c r="Z255" s="123">
        <v>6.46</v>
      </c>
      <c r="AA255" s="117">
        <v>18</v>
      </c>
      <c r="AB255" s="123">
        <v>6.5</v>
      </c>
      <c r="AC255" s="123">
        <v>6.5</v>
      </c>
      <c r="AD255" s="11">
        <v>0.38</v>
      </c>
      <c r="AE255" s="80">
        <v>0.55000000000000004</v>
      </c>
      <c r="AF255" s="85">
        <f t="shared" si="31"/>
        <v>2286.34</v>
      </c>
      <c r="AG255" s="85">
        <f t="shared" si="32"/>
        <v>1853.4347774799999</v>
      </c>
      <c r="AH255" s="85">
        <f t="shared" si="33"/>
        <v>0.81065579812276378</v>
      </c>
      <c r="AI255" s="117">
        <v>2</v>
      </c>
      <c r="AJ255" s="117">
        <v>3</v>
      </c>
      <c r="AK255" s="80">
        <v>6.49</v>
      </c>
      <c r="AL255" s="80">
        <v>23</v>
      </c>
      <c r="AM255" s="123">
        <v>6.5</v>
      </c>
      <c r="AN255" s="123">
        <v>5.7</v>
      </c>
      <c r="AO255" s="80">
        <v>0.31</v>
      </c>
      <c r="AP255" s="128">
        <v>0.51</v>
      </c>
      <c r="AQ255" s="132">
        <f t="shared" si="24"/>
        <v>2211</v>
      </c>
      <c r="AR255" s="134">
        <f t="shared" si="25"/>
        <v>0.71234735413839889</v>
      </c>
      <c r="AS255" s="134">
        <f t="shared" si="26"/>
        <v>4.2062415196743558E-2</v>
      </c>
      <c r="AT255" s="134">
        <f t="shared" si="27"/>
        <v>0.24559023066485752</v>
      </c>
      <c r="AU255" s="43">
        <f>IF(AND(F255&lt;&gt;"",Y255&lt;&gt;""),AA255/(F255/2/Y255),"")</f>
        <v>6.1723103300471496E-2</v>
      </c>
      <c r="AV255" s="43">
        <f>IF(AND(F255&lt;&gt;"",AJ255&lt;&gt;""),AL255/(F255/2/AJ255),"")</f>
        <v>5.915130732961852E-2</v>
      </c>
      <c r="AW255" s="41">
        <f>IF(AND(AP255&lt;&gt;"",1-(AP255/N255)&gt;0),1-(AP255/N255),"")</f>
        <v>0.87469287469287471</v>
      </c>
      <c r="AX255" s="41">
        <f>IF(AND(AE255&lt;&gt;"",1-(AE255/N255)&gt;0),1-(AE255/N255),"")</f>
        <v>0.86486486486486491</v>
      </c>
      <c r="AY255" s="136" t="str">
        <f>IF(P255="","",IF(P255&lt;2.5,"Alc. Bruta &lt; 2,5 mg/L",IF(P255&lt;5,"2,5 ≤ Alc. Bruta &lt; 5,0 mg/L",IF(P255&lt;7.5,"5,0 ≤ Alc. Bruta &lt; 7,5 mg/L",IF(P255&lt;10,"7,5 ≤ Alc. Bruta &lt; 10,0 mg/L",IF(P255&lt;15,"10,0 ≤ Alca. Bruta &lt; 15,0 mg/L","Alc. Bruta &gt; 15 mg/L"))))))</f>
        <v>5,0 ≤ Alc. Bruta &lt; 7,5 mg/L</v>
      </c>
      <c r="AZ255" s="136" t="str">
        <f>IF(O255="","",IF(O255&lt;5,"Cor &lt;5 uC",IF(O255&lt;10,"5 ≤ Cor &lt; 10 uC",IF(O255&lt;15,"10 ≤ Cor &lt;15 uC",IF(O255&lt;30,"15 ≤ Cor &lt; 30 uC",IF(O255&lt;50,"30 ≤ Cor &lt; 50 uC","Cor &gt; 50 uC"))))))</f>
        <v>15 ≤ Cor &lt; 30 uC</v>
      </c>
      <c r="BA255" s="137" t="str">
        <f>IF(N255="","",IF(N255&lt;2.5,"Turbidez &lt; 2,5 uT",IF(N255&lt;5,"2,5 ≤ Turb &lt; 5,0 uT",IF(N255&lt;7.5,"5,0 ≤ Turb &lt; 7,5 uT",IF(N255&lt;10,"7,5 ≤ Turb &lt; 10,0 uT",IF(N255&lt;15,"10,0 ≤ Turb &lt; 15,0 uT","Turb &gt; 15 uT"))))))</f>
        <v>2,5 ≤ Turb &lt; 5,0 uT</v>
      </c>
      <c r="BB255" s="138" t="str">
        <f>IF(AND(C255&gt;D255,D255&gt;E255),"TOR &gt; SM &gt; BNN",IF(AND(C255&gt;E255,E255&gt;D255),"TOR &gt; BNN &gt; SM",IF(AND(D255&gt;C255,C255&gt;E255),"SM &gt; TOR &gt; BNN",IF(AND(D255&gt;E255,E255&gt;C255),"SM &gt; BNN &gt; TOR",IF(AND(C255=D255,D255=E255),"TOR = SM = BNN","Comb. diferentes")))))</f>
        <v>TOR &gt; BNN &gt; SM</v>
      </c>
      <c r="BC255" s="137" t="str">
        <f>IF(OR(AD255="",AP255="-"),"",IF(AD255&lt;=0.25,"Tipo 1 (≤0,25) uT",IF(AD255&lt;=0.5,"Tipo 2 (0,25-0,50) uT",IF(AD255&lt;=0.75,"Tipo 3 (0,50-0,75) uT","Tipo 4 (&gt;0,75) uT"))))</f>
        <v>Tipo 2 (0,25-0,50) uT</v>
      </c>
      <c r="BD255" s="137" t="str">
        <f>IF(OR(AO255="",AY255="-"),"",IF(AO255&lt;=0.25,"Tipo 1 (≤0,25) uT",IF(AO255&lt;=0.5,"Tipo 2 (0,25-0,50) uT",IF(AO255&lt;=0.75,"Tipo 3 (0,50-0,75) uT","Tipo 4 (&gt;0,75) uT"))))</f>
        <v>Tipo 2 (0,25-0,50) uT</v>
      </c>
      <c r="BE255" s="137" t="str">
        <f>IF(OR(AE255="",AP255="-"),"",IF(AE255&lt;=0.25,"Tipo 1 (≤0,25) uT",IF(AE255&lt;=0.5,"Tipo 2 (0,25-0,50) uT",IF(AE255&lt;=0.75,"Tipo 3 (0,50-0,75) uT","Tipo 4 (&gt;0,75) uT"))))</f>
        <v>Tipo 3 (0,50-0,75) uT</v>
      </c>
      <c r="BF255" s="137" t="str">
        <f>IF(OR(AP255="",AP255="-"),"",IF(AP255&lt;=0.25,"Tipo 1 (≤0,25) uT",IF(AP255&lt;=0.5,"Tipo 2 (0,25-0,50) uT",IF(AP255&lt;=0.75,"Tipo 3 (0,50-0,75) uT","Tipo 4 (&gt;0,75) uT"))))</f>
        <v>Tipo 3 (0,50-0,75) uT</v>
      </c>
      <c r="BG255" s="137" t="str">
        <f>IF(OR(Q255="",Q255="-"),"",IF(Q255&lt;=0.25,"Tipo 1 (≤0,25) uT",IF(Q255&lt;=0.5,"Tipo 2 (0,25-0,50) uT",IF(Q255&lt;=0.75,"Tipo 3 (0,50-0,75) uT","Tipo 4 (&gt;0,75) uT"))))</f>
        <v>Tipo 2 (0,25-0,50) uT</v>
      </c>
    </row>
    <row r="256" spans="1:59" x14ac:dyDescent="0.3">
      <c r="A256" s="26">
        <v>46154</v>
      </c>
      <c r="B256" s="111">
        <v>0.3125</v>
      </c>
      <c r="C256" s="118">
        <v>1620</v>
      </c>
      <c r="D256" s="116">
        <v>92</v>
      </c>
      <c r="E256" s="118">
        <v>541</v>
      </c>
      <c r="F256" s="118">
        <v>2349</v>
      </c>
      <c r="G256" s="9" t="s">
        <v>100</v>
      </c>
      <c r="H256" s="124">
        <v>5</v>
      </c>
      <c r="I256" s="118">
        <v>90</v>
      </c>
      <c r="J256" s="118">
        <v>90</v>
      </c>
      <c r="K256" s="118">
        <v>90</v>
      </c>
      <c r="L256" s="124">
        <v>22.8</v>
      </c>
      <c r="M256" s="124">
        <v>6.7</v>
      </c>
      <c r="N256" s="81">
        <v>3.76</v>
      </c>
      <c r="O256" s="118">
        <v>18</v>
      </c>
      <c r="P256" s="124">
        <v>5.6</v>
      </c>
      <c r="Q256" s="81">
        <v>0.45</v>
      </c>
      <c r="R256" s="79">
        <v>22.36</v>
      </c>
      <c r="S256" s="79">
        <v>0.88</v>
      </c>
      <c r="T256" s="79">
        <v>0.7</v>
      </c>
      <c r="U256" s="85">
        <f t="shared" si="28"/>
        <v>1617.87375</v>
      </c>
      <c r="V256" s="79">
        <f t="shared" si="29"/>
        <v>1428.2682991200002</v>
      </c>
      <c r="W256" s="79">
        <f t="shared" si="30"/>
        <v>0.88280578080953487</v>
      </c>
      <c r="X256" s="118">
        <v>3</v>
      </c>
      <c r="Y256" s="118">
        <v>4</v>
      </c>
      <c r="Z256" s="124">
        <v>6.41</v>
      </c>
      <c r="AA256" s="118">
        <v>18</v>
      </c>
      <c r="AB256" s="124">
        <v>6.6</v>
      </c>
      <c r="AC256" s="124">
        <v>5.6</v>
      </c>
      <c r="AD256" s="9">
        <v>0.34</v>
      </c>
      <c r="AE256" s="81">
        <v>0.78</v>
      </c>
      <c r="AF256" s="85">
        <f t="shared" si="31"/>
        <v>2157.165</v>
      </c>
      <c r="AG256" s="85">
        <f t="shared" si="32"/>
        <v>1874.7537405999997</v>
      </c>
      <c r="AH256" s="85">
        <f t="shared" si="33"/>
        <v>0.86908221698386523</v>
      </c>
      <c r="AI256" s="118">
        <v>2</v>
      </c>
      <c r="AJ256" s="118">
        <v>3</v>
      </c>
      <c r="AK256" s="81">
        <v>6.55</v>
      </c>
      <c r="AL256" s="81">
        <v>23</v>
      </c>
      <c r="AM256" s="124">
        <v>6.5</v>
      </c>
      <c r="AN256" s="124">
        <v>5.8</v>
      </c>
      <c r="AO256" s="81">
        <v>0.28999999999999998</v>
      </c>
      <c r="AP256" s="129">
        <v>0.44</v>
      </c>
      <c r="AQ256" s="132">
        <f t="shared" si="24"/>
        <v>2253</v>
      </c>
      <c r="AR256" s="134">
        <f t="shared" si="25"/>
        <v>0.71904127829560582</v>
      </c>
      <c r="AS256" s="134">
        <f t="shared" si="26"/>
        <v>4.0834442964935644E-2</v>
      </c>
      <c r="AT256" s="134">
        <f t="shared" si="27"/>
        <v>0.24012427873945849</v>
      </c>
      <c r="AU256" s="43">
        <f>IF(AND(F256&lt;&gt;"",Y256&lt;&gt;""),AA256/(F256/2/Y256),"")</f>
        <v>6.1302681992337162E-2</v>
      </c>
      <c r="AV256" s="43">
        <f>IF(AND(F256&lt;&gt;"",AJ256&lt;&gt;""),AL256/(F256/2/AJ256),"")</f>
        <v>5.8748403575989781E-2</v>
      </c>
      <c r="AW256" s="41">
        <f>IF(AND(AP256&lt;&gt;"",1-(AP256/N256)&gt;0),1-(AP256/N256),"")</f>
        <v>0.88297872340425532</v>
      </c>
      <c r="AX256" s="41">
        <f>IF(AND(AE256&lt;&gt;"",1-(AE256/N256)&gt;0),1-(AE256/N256),"")</f>
        <v>0.79255319148936165</v>
      </c>
      <c r="AY256" s="136" t="str">
        <f>IF(P256="","",IF(P256&lt;2.5,"Alc. Bruta &lt; 2,5 mg/L",IF(P256&lt;5,"2,5 ≤ Alc. Bruta &lt; 5,0 mg/L",IF(P256&lt;7.5,"5,0 ≤ Alc. Bruta &lt; 7,5 mg/L",IF(P256&lt;10,"7,5 ≤ Alc. Bruta &lt; 10,0 mg/L",IF(P256&lt;15,"10,0 ≤ Alca. Bruta &lt; 15,0 mg/L","Alc. Bruta &gt; 15 mg/L"))))))</f>
        <v>5,0 ≤ Alc. Bruta &lt; 7,5 mg/L</v>
      </c>
      <c r="AZ256" s="136" t="str">
        <f>IF(O256="","",IF(O256&lt;5,"Cor &lt;5 uC",IF(O256&lt;10,"5 ≤ Cor &lt; 10 uC",IF(O256&lt;15,"10 ≤ Cor &lt;15 uC",IF(O256&lt;30,"15 ≤ Cor &lt; 30 uC",IF(O256&lt;50,"30 ≤ Cor &lt; 50 uC","Cor &gt; 50 uC"))))))</f>
        <v>15 ≤ Cor &lt; 30 uC</v>
      </c>
      <c r="BA256" s="137" t="str">
        <f>IF(N256="","",IF(N256&lt;2.5,"Turbidez &lt; 2,5 uT",IF(N256&lt;5,"2,5 ≤ Turb &lt; 5,0 uT",IF(N256&lt;7.5,"5,0 ≤ Turb &lt; 7,5 uT",IF(N256&lt;10,"7,5 ≤ Turb &lt; 10,0 uT",IF(N256&lt;15,"10,0 ≤ Turb &lt; 15,0 uT","Turb &gt; 15 uT"))))))</f>
        <v>2,5 ≤ Turb &lt; 5,0 uT</v>
      </c>
      <c r="BB256" s="138" t="str">
        <f>IF(AND(C256&gt;D256,D256&gt;E256),"TOR &gt; SM &gt; BNN",IF(AND(C256&gt;E256,E256&gt;D256),"TOR &gt; BNN &gt; SM",IF(AND(D256&gt;C256,C256&gt;E256),"SM &gt; TOR &gt; BNN",IF(AND(D256&gt;E256,E256&gt;C256),"SM &gt; BNN &gt; TOR",IF(AND(C256=D256,D256=E256),"TOR = SM = BNN","Comb. diferentes")))))</f>
        <v>TOR &gt; BNN &gt; SM</v>
      </c>
      <c r="BC256" s="137" t="str">
        <f>IF(OR(AD256="",AP256="-"),"",IF(AD256&lt;=0.25,"Tipo 1 (≤0,25) uT",IF(AD256&lt;=0.5,"Tipo 2 (0,25-0,50) uT",IF(AD256&lt;=0.75,"Tipo 3 (0,50-0,75) uT","Tipo 4 (&gt;0,75) uT"))))</f>
        <v>Tipo 2 (0,25-0,50) uT</v>
      </c>
      <c r="BD256" s="137" t="str">
        <f>IF(OR(AO256="",AY256="-"),"",IF(AO256&lt;=0.25,"Tipo 1 (≤0,25) uT",IF(AO256&lt;=0.5,"Tipo 2 (0,25-0,50) uT",IF(AO256&lt;=0.75,"Tipo 3 (0,50-0,75) uT","Tipo 4 (&gt;0,75) uT"))))</f>
        <v>Tipo 2 (0,25-0,50) uT</v>
      </c>
      <c r="BE256" s="137" t="str">
        <f>IF(OR(AE256="",AP256="-"),"",IF(AE256&lt;=0.25,"Tipo 1 (≤0,25) uT",IF(AE256&lt;=0.5,"Tipo 2 (0,25-0,50) uT",IF(AE256&lt;=0.75,"Tipo 3 (0,50-0,75) uT","Tipo 4 (&gt;0,75) uT"))))</f>
        <v>Tipo 4 (&gt;0,75) uT</v>
      </c>
      <c r="BF256" s="137" t="str">
        <f>IF(OR(AP256="",AP256="-"),"",IF(AP256&lt;=0.25,"Tipo 1 (≤0,25) uT",IF(AP256&lt;=0.5,"Tipo 2 (0,25-0,50) uT",IF(AP256&lt;=0.75,"Tipo 3 (0,50-0,75) uT","Tipo 4 (&gt;0,75) uT"))))</f>
        <v>Tipo 2 (0,25-0,50) uT</v>
      </c>
      <c r="BG256" s="137" t="str">
        <f>IF(OR(Q256="",Q256="-"),"",IF(Q256&lt;=0.25,"Tipo 1 (≤0,25) uT",IF(Q256&lt;=0.5,"Tipo 2 (0,25-0,50) uT",IF(Q256&lt;=0.75,"Tipo 3 (0,50-0,75) uT","Tipo 4 (&gt;0,75) uT"))))</f>
        <v>Tipo 2 (0,25-0,50) uT</v>
      </c>
    </row>
    <row r="257" spans="1:59" x14ac:dyDescent="0.3">
      <c r="A257" s="26">
        <v>46154</v>
      </c>
      <c r="B257" s="107">
        <v>0.39583333333333331</v>
      </c>
      <c r="C257" s="116">
        <v>1188</v>
      </c>
      <c r="D257" s="116">
        <v>90</v>
      </c>
      <c r="E257" s="116">
        <v>549</v>
      </c>
      <c r="F257" s="116">
        <v>1750</v>
      </c>
      <c r="G257" s="10" t="s">
        <v>100</v>
      </c>
      <c r="H257" s="122">
        <v>5</v>
      </c>
      <c r="I257" s="116">
        <v>90</v>
      </c>
      <c r="J257" s="116">
        <v>90</v>
      </c>
      <c r="K257" s="116">
        <v>90</v>
      </c>
      <c r="L257" s="122">
        <v>23.1</v>
      </c>
      <c r="M257" s="122">
        <v>6.8</v>
      </c>
      <c r="N257" s="79">
        <v>3.7</v>
      </c>
      <c r="O257" s="116">
        <v>18</v>
      </c>
      <c r="P257" s="122">
        <v>6.1</v>
      </c>
      <c r="Q257" s="79">
        <v>0.49</v>
      </c>
      <c r="R257" s="79">
        <v>22.36</v>
      </c>
      <c r="S257" s="79">
        <v>0.88</v>
      </c>
      <c r="T257" s="79">
        <v>0.7</v>
      </c>
      <c r="U257" s="85">
        <f t="shared" si="28"/>
        <v>1192.1875</v>
      </c>
      <c r="V257" s="79">
        <f t="shared" si="29"/>
        <v>1425.4875648</v>
      </c>
      <c r="W257" s="79">
        <f t="shared" si="30"/>
        <v>1.1956907489803408</v>
      </c>
      <c r="X257" s="116">
        <v>3</v>
      </c>
      <c r="Y257" s="116">
        <v>4</v>
      </c>
      <c r="Z257" s="122">
        <v>6.4</v>
      </c>
      <c r="AA257" s="116">
        <v>18</v>
      </c>
      <c r="AB257" s="122">
        <v>6.7</v>
      </c>
      <c r="AC257" s="122">
        <v>6</v>
      </c>
      <c r="AD257" s="10">
        <v>0.33</v>
      </c>
      <c r="AE257" s="79">
        <v>0.9</v>
      </c>
      <c r="AF257" s="85">
        <f t="shared" si="31"/>
        <v>1589.5833333333335</v>
      </c>
      <c r="AG257" s="85">
        <f t="shared" si="32"/>
        <v>1849.8816169599997</v>
      </c>
      <c r="AH257" s="85">
        <f t="shared" si="33"/>
        <v>1.1637525244309304</v>
      </c>
      <c r="AI257" s="116">
        <v>2</v>
      </c>
      <c r="AJ257" s="116">
        <v>3</v>
      </c>
      <c r="AK257" s="79">
        <v>6.48</v>
      </c>
      <c r="AL257" s="79">
        <v>23</v>
      </c>
      <c r="AM257" s="122">
        <v>6.6</v>
      </c>
      <c r="AN257" s="122">
        <v>6.1</v>
      </c>
      <c r="AO257" s="79">
        <v>0.32</v>
      </c>
      <c r="AP257" s="127">
        <v>0.57999999999999996</v>
      </c>
      <c r="AQ257" s="132">
        <f t="shared" si="24"/>
        <v>1827</v>
      </c>
      <c r="AR257" s="134">
        <f t="shared" si="25"/>
        <v>0.65024630541871919</v>
      </c>
      <c r="AS257" s="134">
        <f t="shared" si="26"/>
        <v>4.9261083743842367E-2</v>
      </c>
      <c r="AT257" s="134">
        <f t="shared" si="27"/>
        <v>0.30049261083743845</v>
      </c>
      <c r="AU257" s="43">
        <f>IF(AND(F257&lt;&gt;"",Y257&lt;&gt;""),AA257/(F257/2/Y257),"")</f>
        <v>8.2285714285714281E-2</v>
      </c>
      <c r="AV257" s="43">
        <f>IF(AND(F257&lt;&gt;"",AJ257&lt;&gt;""),AL257/(F257/2/AJ257),"")</f>
        <v>7.8857142857142848E-2</v>
      </c>
      <c r="AW257" s="41">
        <f>IF(AND(AP257&lt;&gt;"",1-(AP257/N257)&gt;0),1-(AP257/N257),"")</f>
        <v>0.84324324324324329</v>
      </c>
      <c r="AX257" s="41">
        <f>IF(AND(AE257&lt;&gt;"",1-(AE257/N257)&gt;0),1-(AE257/N257),"")</f>
        <v>0.7567567567567568</v>
      </c>
      <c r="AY257" s="136" t="str">
        <f>IF(P257="","",IF(P257&lt;2.5,"Alc. Bruta &lt; 2,5 mg/L",IF(P257&lt;5,"2,5 ≤ Alc. Bruta &lt; 5,0 mg/L",IF(P257&lt;7.5,"5,0 ≤ Alc. Bruta &lt; 7,5 mg/L",IF(P257&lt;10,"7,5 ≤ Alc. Bruta &lt; 10,0 mg/L",IF(P257&lt;15,"10,0 ≤ Alca. Bruta &lt; 15,0 mg/L","Alc. Bruta &gt; 15 mg/L"))))))</f>
        <v>5,0 ≤ Alc. Bruta &lt; 7,5 mg/L</v>
      </c>
      <c r="AZ257" s="136" t="str">
        <f>IF(O257="","",IF(O257&lt;5,"Cor &lt;5 uC",IF(O257&lt;10,"5 ≤ Cor &lt; 10 uC",IF(O257&lt;15,"10 ≤ Cor &lt;15 uC",IF(O257&lt;30,"15 ≤ Cor &lt; 30 uC",IF(O257&lt;50,"30 ≤ Cor &lt; 50 uC","Cor &gt; 50 uC"))))))</f>
        <v>15 ≤ Cor &lt; 30 uC</v>
      </c>
      <c r="BA257" s="137" t="str">
        <f>IF(N257="","",IF(N257&lt;2.5,"Turbidez &lt; 2,5 uT",IF(N257&lt;5,"2,5 ≤ Turb &lt; 5,0 uT",IF(N257&lt;7.5,"5,0 ≤ Turb &lt; 7,5 uT",IF(N257&lt;10,"7,5 ≤ Turb &lt; 10,0 uT",IF(N257&lt;15,"10,0 ≤ Turb &lt; 15,0 uT","Turb &gt; 15 uT"))))))</f>
        <v>2,5 ≤ Turb &lt; 5,0 uT</v>
      </c>
      <c r="BB257" s="138" t="str">
        <f>IF(AND(C257&gt;D257,D257&gt;E257),"TOR &gt; SM &gt; BNN",IF(AND(C257&gt;E257,E257&gt;D257),"TOR &gt; BNN &gt; SM",IF(AND(D257&gt;C257,C257&gt;E257),"SM &gt; TOR &gt; BNN",IF(AND(D257&gt;E257,E257&gt;C257),"SM &gt; BNN &gt; TOR",IF(AND(C257=D257,D257=E257),"TOR = SM = BNN","Comb. diferentes")))))</f>
        <v>TOR &gt; BNN &gt; SM</v>
      </c>
      <c r="BC257" s="137" t="str">
        <f>IF(OR(AD257="",AP257="-"),"",IF(AD257&lt;=0.25,"Tipo 1 (≤0,25) uT",IF(AD257&lt;=0.5,"Tipo 2 (0,25-0,50) uT",IF(AD257&lt;=0.75,"Tipo 3 (0,50-0,75) uT","Tipo 4 (&gt;0,75) uT"))))</f>
        <v>Tipo 2 (0,25-0,50) uT</v>
      </c>
      <c r="BD257" s="137" t="str">
        <f>IF(OR(AO257="",AY257="-"),"",IF(AO257&lt;=0.25,"Tipo 1 (≤0,25) uT",IF(AO257&lt;=0.5,"Tipo 2 (0,25-0,50) uT",IF(AO257&lt;=0.75,"Tipo 3 (0,50-0,75) uT","Tipo 4 (&gt;0,75) uT"))))</f>
        <v>Tipo 2 (0,25-0,50) uT</v>
      </c>
      <c r="BE257" s="137" t="str">
        <f>IF(OR(AE257="",AP257="-"),"",IF(AE257&lt;=0.25,"Tipo 1 (≤0,25) uT",IF(AE257&lt;=0.5,"Tipo 2 (0,25-0,50) uT",IF(AE257&lt;=0.75,"Tipo 3 (0,50-0,75) uT","Tipo 4 (&gt;0,75) uT"))))</f>
        <v>Tipo 4 (&gt;0,75) uT</v>
      </c>
      <c r="BF257" s="137" t="str">
        <f>IF(OR(AP257="",AP257="-"),"",IF(AP257&lt;=0.25,"Tipo 1 (≤0,25) uT",IF(AP257&lt;=0.5,"Tipo 2 (0,25-0,50) uT",IF(AP257&lt;=0.75,"Tipo 3 (0,50-0,75) uT","Tipo 4 (&gt;0,75) uT"))))</f>
        <v>Tipo 3 (0,50-0,75) uT</v>
      </c>
      <c r="BG257" s="137" t="str">
        <f>IF(OR(Q257="",Q257="-"),"",IF(Q257&lt;=0.25,"Tipo 1 (≤0,25) uT",IF(Q257&lt;=0.5,"Tipo 2 (0,25-0,50) uT",IF(Q257&lt;=0.75,"Tipo 3 (0,50-0,75) uT","Tipo 4 (&gt;0,75) uT"))))</f>
        <v>Tipo 2 (0,25-0,50) uT</v>
      </c>
    </row>
    <row r="258" spans="1:59" x14ac:dyDescent="0.3">
      <c r="A258" s="26">
        <v>46154</v>
      </c>
      <c r="B258" s="107">
        <v>0.47916666666666669</v>
      </c>
      <c r="C258" s="116">
        <v>1188</v>
      </c>
      <c r="D258" s="116">
        <v>91</v>
      </c>
      <c r="E258" s="116">
        <v>555</v>
      </c>
      <c r="F258" s="116">
        <v>1816</v>
      </c>
      <c r="G258" s="10" t="s">
        <v>100</v>
      </c>
      <c r="H258" s="122">
        <v>4.8</v>
      </c>
      <c r="I258" s="116">
        <v>90</v>
      </c>
      <c r="J258" s="116">
        <v>90</v>
      </c>
      <c r="K258" s="116">
        <v>90</v>
      </c>
      <c r="L258" s="122">
        <v>23.6</v>
      </c>
      <c r="M258" s="122">
        <v>6.8</v>
      </c>
      <c r="N258" s="79">
        <v>6.28</v>
      </c>
      <c r="O258" s="116">
        <v>23</v>
      </c>
      <c r="P258" s="122">
        <v>6.2</v>
      </c>
      <c r="Q258" s="79">
        <v>0.75</v>
      </c>
      <c r="R258" s="79">
        <v>22.36</v>
      </c>
      <c r="S258" s="79">
        <v>0.88</v>
      </c>
      <c r="T258" s="79">
        <v>0.7</v>
      </c>
      <c r="U258" s="85">
        <f t="shared" si="28"/>
        <v>1809.19</v>
      </c>
      <c r="V258" s="79">
        <f t="shared" si="29"/>
        <v>1372.556302</v>
      </c>
      <c r="W258" s="79">
        <f t="shared" si="30"/>
        <v>0.75865790878791062</v>
      </c>
      <c r="X258" s="116">
        <v>3</v>
      </c>
      <c r="Y258" s="116">
        <v>4</v>
      </c>
      <c r="Z258" s="122">
        <v>6.5</v>
      </c>
      <c r="AA258" s="116">
        <v>17</v>
      </c>
      <c r="AB258" s="122">
        <v>6.6</v>
      </c>
      <c r="AC258" s="122">
        <v>6</v>
      </c>
      <c r="AD258" s="10">
        <v>0.28999999999999998</v>
      </c>
      <c r="AE258" s="79">
        <v>1.19</v>
      </c>
      <c r="AF258" s="85">
        <f t="shared" si="31"/>
        <v>2412.2533333333336</v>
      </c>
      <c r="AG258" s="85">
        <f t="shared" si="32"/>
        <v>1856.9879380000002</v>
      </c>
      <c r="AH258" s="85">
        <f t="shared" si="33"/>
        <v>0.76981464274067402</v>
      </c>
      <c r="AI258" s="116">
        <v>2</v>
      </c>
      <c r="AJ258" s="116">
        <v>3</v>
      </c>
      <c r="AK258" s="79">
        <v>6.5</v>
      </c>
      <c r="AL258" s="79">
        <v>23</v>
      </c>
      <c r="AM258" s="122">
        <v>6.6</v>
      </c>
      <c r="AN258" s="122">
        <v>6.5</v>
      </c>
      <c r="AO258" s="79">
        <v>0.28999999999999998</v>
      </c>
      <c r="AP258" s="127">
        <v>0.64</v>
      </c>
      <c r="AQ258" s="132">
        <f t="shared" ref="AQ258:AQ321" si="34">SUM(C258:E258)</f>
        <v>1834</v>
      </c>
      <c r="AR258" s="134">
        <f t="shared" ref="AR258:AR321" si="35">C258/AQ258</f>
        <v>0.64776444929116683</v>
      </c>
      <c r="AS258" s="134">
        <f t="shared" ref="AS258:AS321" si="36">D258/AQ258</f>
        <v>4.9618320610687022E-2</v>
      </c>
      <c r="AT258" s="134">
        <f t="shared" ref="AT258:AT321" si="37">E258/AQ258</f>
        <v>0.30261723009814612</v>
      </c>
      <c r="AU258" s="43">
        <f>IF(AND(F258&lt;&gt;"",Y258&lt;&gt;""),AA258/(F258/2/Y258),"")</f>
        <v>7.4889867841409691E-2</v>
      </c>
      <c r="AV258" s="43">
        <f>IF(AND(F258&lt;&gt;"",AJ258&lt;&gt;""),AL258/(F258/2/AJ258),"")</f>
        <v>7.5991189427312769E-2</v>
      </c>
      <c r="AW258" s="41">
        <f>IF(AND(AP258&lt;&gt;"",1-(AP258/N258)&gt;0),1-(AP258/N258),"")</f>
        <v>0.89808917197452232</v>
      </c>
      <c r="AX258" s="41">
        <f>IF(AND(AE258&lt;&gt;"",1-(AE258/N258)&gt;0),1-(AE258/N258),"")</f>
        <v>0.81050955414012738</v>
      </c>
      <c r="AY258" s="136" t="str">
        <f>IF(P258="","",IF(P258&lt;2.5,"Alc. Bruta &lt; 2,5 mg/L",IF(P258&lt;5,"2,5 ≤ Alc. Bruta &lt; 5,0 mg/L",IF(P258&lt;7.5,"5,0 ≤ Alc. Bruta &lt; 7,5 mg/L",IF(P258&lt;10,"7,5 ≤ Alc. Bruta &lt; 10,0 mg/L",IF(P258&lt;15,"10,0 ≤ Alca. Bruta &lt; 15,0 mg/L","Alc. Bruta &gt; 15 mg/L"))))))</f>
        <v>5,0 ≤ Alc. Bruta &lt; 7,5 mg/L</v>
      </c>
      <c r="AZ258" s="136" t="str">
        <f>IF(O258="","",IF(O258&lt;5,"Cor &lt;5 uC",IF(O258&lt;10,"5 ≤ Cor &lt; 10 uC",IF(O258&lt;15,"10 ≤ Cor &lt;15 uC",IF(O258&lt;30,"15 ≤ Cor &lt; 30 uC",IF(O258&lt;50,"30 ≤ Cor &lt; 50 uC","Cor &gt; 50 uC"))))))</f>
        <v>15 ≤ Cor &lt; 30 uC</v>
      </c>
      <c r="BA258" s="137" t="str">
        <f>IF(N258="","",IF(N258&lt;2.5,"Turbidez &lt; 2,5 uT",IF(N258&lt;5,"2,5 ≤ Turb &lt; 5,0 uT",IF(N258&lt;7.5,"5,0 ≤ Turb &lt; 7,5 uT",IF(N258&lt;10,"7,5 ≤ Turb &lt; 10,0 uT",IF(N258&lt;15,"10,0 ≤ Turb &lt; 15,0 uT","Turb &gt; 15 uT"))))))</f>
        <v>5,0 ≤ Turb &lt; 7,5 uT</v>
      </c>
      <c r="BB258" s="138" t="str">
        <f>IF(AND(C258&gt;D258,D258&gt;E258),"TOR &gt; SM &gt; BNN",IF(AND(C258&gt;E258,E258&gt;D258),"TOR &gt; BNN &gt; SM",IF(AND(D258&gt;C258,C258&gt;E258),"SM &gt; TOR &gt; BNN",IF(AND(D258&gt;E258,E258&gt;C258),"SM &gt; BNN &gt; TOR",IF(AND(C258=D258,D258=E258),"TOR = SM = BNN","Comb. diferentes")))))</f>
        <v>TOR &gt; BNN &gt; SM</v>
      </c>
      <c r="BC258" s="137" t="str">
        <f>IF(OR(AD258="",AP258="-"),"",IF(AD258&lt;=0.25,"Tipo 1 (≤0,25) uT",IF(AD258&lt;=0.5,"Tipo 2 (0,25-0,50) uT",IF(AD258&lt;=0.75,"Tipo 3 (0,50-0,75) uT","Tipo 4 (&gt;0,75) uT"))))</f>
        <v>Tipo 2 (0,25-0,50) uT</v>
      </c>
      <c r="BD258" s="137" t="str">
        <f>IF(OR(AO258="",AY258="-"),"",IF(AO258&lt;=0.25,"Tipo 1 (≤0,25) uT",IF(AO258&lt;=0.5,"Tipo 2 (0,25-0,50) uT",IF(AO258&lt;=0.75,"Tipo 3 (0,50-0,75) uT","Tipo 4 (&gt;0,75) uT"))))</f>
        <v>Tipo 2 (0,25-0,50) uT</v>
      </c>
      <c r="BE258" s="137" t="str">
        <f>IF(OR(AE258="",AP258="-"),"",IF(AE258&lt;=0.25,"Tipo 1 (≤0,25) uT",IF(AE258&lt;=0.5,"Tipo 2 (0,25-0,50) uT",IF(AE258&lt;=0.75,"Tipo 3 (0,50-0,75) uT","Tipo 4 (&gt;0,75) uT"))))</f>
        <v>Tipo 4 (&gt;0,75) uT</v>
      </c>
      <c r="BF258" s="137" t="str">
        <f>IF(OR(AP258="",AP258="-"),"",IF(AP258&lt;=0.25,"Tipo 1 (≤0,25) uT",IF(AP258&lt;=0.5,"Tipo 2 (0,25-0,50) uT",IF(AP258&lt;=0.75,"Tipo 3 (0,50-0,75) uT","Tipo 4 (&gt;0,75) uT"))))</f>
        <v>Tipo 3 (0,50-0,75) uT</v>
      </c>
      <c r="BG258" s="137" t="str">
        <f>IF(OR(Q258="",Q258="-"),"",IF(Q258&lt;=0.25,"Tipo 1 (≤0,25) uT",IF(Q258&lt;=0.5,"Tipo 2 (0,25-0,50) uT",IF(Q258&lt;=0.75,"Tipo 3 (0,50-0,75) uT","Tipo 4 (&gt;0,75) uT"))))</f>
        <v>Tipo 3 (0,50-0,75) uT</v>
      </c>
    </row>
    <row r="259" spans="1:59" x14ac:dyDescent="0.3">
      <c r="A259" s="26">
        <v>46154</v>
      </c>
      <c r="B259" s="107">
        <v>0.64583333333333337</v>
      </c>
      <c r="C259" s="116">
        <v>1216</v>
      </c>
      <c r="D259" s="116">
        <v>88</v>
      </c>
      <c r="E259" s="116">
        <v>550</v>
      </c>
      <c r="F259" s="116">
        <v>1878</v>
      </c>
      <c r="G259" s="10" t="s">
        <v>100</v>
      </c>
      <c r="H259" s="122">
        <v>5</v>
      </c>
      <c r="I259" s="116">
        <v>90</v>
      </c>
      <c r="J259" s="116">
        <v>90</v>
      </c>
      <c r="K259" s="116">
        <v>90</v>
      </c>
      <c r="L259" s="122">
        <v>24.6</v>
      </c>
      <c r="M259" s="122">
        <v>6.9</v>
      </c>
      <c r="N259" s="79">
        <v>7.48</v>
      </c>
      <c r="O259" s="116">
        <v>24</v>
      </c>
      <c r="P259" s="122">
        <v>7</v>
      </c>
      <c r="Q259" s="79">
        <v>1.38</v>
      </c>
      <c r="R259" s="79">
        <v>22.36</v>
      </c>
      <c r="S259" s="79">
        <v>0.88</v>
      </c>
      <c r="T259" s="79">
        <v>0.7</v>
      </c>
      <c r="U259" s="85">
        <f t="shared" si="28"/>
        <v>2166.7425000000003</v>
      </c>
      <c r="V259" s="79">
        <f t="shared" si="29"/>
        <v>1453.2949080000001</v>
      </c>
      <c r="W259" s="79">
        <f t="shared" si="30"/>
        <v>0.67072802051928182</v>
      </c>
      <c r="X259" s="116">
        <v>3</v>
      </c>
      <c r="Y259" s="116">
        <v>4</v>
      </c>
      <c r="Z259" s="122">
        <v>6.5</v>
      </c>
      <c r="AA259" s="116">
        <v>18</v>
      </c>
      <c r="AB259" s="122">
        <v>6.8</v>
      </c>
      <c r="AC259" s="122">
        <v>8.1</v>
      </c>
      <c r="AD259" s="10">
        <v>0.1</v>
      </c>
      <c r="AE259" s="79">
        <v>1.78</v>
      </c>
      <c r="AF259" s="85">
        <f t="shared" si="31"/>
        <v>2888.9900000000002</v>
      </c>
      <c r="AG259" s="85">
        <f t="shared" si="32"/>
        <v>1926.6036067200002</v>
      </c>
      <c r="AH259" s="85">
        <f t="shared" si="33"/>
        <v>0.66687790775322864</v>
      </c>
      <c r="AI259" s="116">
        <v>2</v>
      </c>
      <c r="AJ259" s="116">
        <v>3</v>
      </c>
      <c r="AK259" s="79">
        <v>6.47</v>
      </c>
      <c r="AL259" s="79">
        <v>24</v>
      </c>
      <c r="AM259" s="122">
        <v>6.7</v>
      </c>
      <c r="AN259" s="122">
        <v>7.4</v>
      </c>
      <c r="AO259" s="79">
        <v>0.81</v>
      </c>
      <c r="AP259" s="127">
        <v>0.96</v>
      </c>
      <c r="AQ259" s="132">
        <f t="shared" si="34"/>
        <v>1854</v>
      </c>
      <c r="AR259" s="134">
        <f t="shared" si="35"/>
        <v>0.65587918015102487</v>
      </c>
      <c r="AS259" s="134">
        <f t="shared" si="36"/>
        <v>4.7464940668824167E-2</v>
      </c>
      <c r="AT259" s="134">
        <f t="shared" si="37"/>
        <v>0.29665587918015102</v>
      </c>
      <c r="AU259" s="43">
        <f>IF(AND(F259&lt;&gt;"",Y259&lt;&gt;""),AA259/(F259/2/Y259),"")</f>
        <v>7.6677316293929709E-2</v>
      </c>
      <c r="AV259" s="43">
        <f>IF(AND(F259&lt;&gt;"",AJ259&lt;&gt;""),AL259/(F259/2/AJ259),"")</f>
        <v>7.6677316293929709E-2</v>
      </c>
      <c r="AW259" s="41">
        <f>IF(AND(AP259&lt;&gt;"",1-(AP259/N259)&gt;0),1-(AP259/N259),"")</f>
        <v>0.87165775401069523</v>
      </c>
      <c r="AX259" s="41">
        <f>IF(AND(AE259&lt;&gt;"",1-(AE259/N259)&gt;0),1-(AE259/N259),"")</f>
        <v>0.76203208556149737</v>
      </c>
      <c r="AY259" s="136" t="str">
        <f>IF(P259="","",IF(P259&lt;2.5,"Alc. Bruta &lt; 2,5 mg/L",IF(P259&lt;5,"2,5 ≤ Alc. Bruta &lt; 5,0 mg/L",IF(P259&lt;7.5,"5,0 ≤ Alc. Bruta &lt; 7,5 mg/L",IF(P259&lt;10,"7,5 ≤ Alc. Bruta &lt; 10,0 mg/L",IF(P259&lt;15,"10,0 ≤ Alca. Bruta &lt; 15,0 mg/L","Alc. Bruta &gt; 15 mg/L"))))))</f>
        <v>5,0 ≤ Alc. Bruta &lt; 7,5 mg/L</v>
      </c>
      <c r="AZ259" s="136" t="str">
        <f>IF(O259="","",IF(O259&lt;5,"Cor &lt;5 uC",IF(O259&lt;10,"5 ≤ Cor &lt; 10 uC",IF(O259&lt;15,"10 ≤ Cor &lt;15 uC",IF(O259&lt;30,"15 ≤ Cor &lt; 30 uC",IF(O259&lt;50,"30 ≤ Cor &lt; 50 uC","Cor &gt; 50 uC"))))))</f>
        <v>15 ≤ Cor &lt; 30 uC</v>
      </c>
      <c r="BA259" s="137" t="str">
        <f>IF(N259="","",IF(N259&lt;2.5,"Turbidez &lt; 2,5 uT",IF(N259&lt;5,"2,5 ≤ Turb &lt; 5,0 uT",IF(N259&lt;7.5,"5,0 ≤ Turb &lt; 7,5 uT",IF(N259&lt;10,"7,5 ≤ Turb &lt; 10,0 uT",IF(N259&lt;15,"10,0 ≤ Turb &lt; 15,0 uT","Turb &gt; 15 uT"))))))</f>
        <v>5,0 ≤ Turb &lt; 7,5 uT</v>
      </c>
      <c r="BB259" s="138" t="str">
        <f>IF(AND(C259&gt;D259,D259&gt;E259),"TOR &gt; SM &gt; BNN",IF(AND(C259&gt;E259,E259&gt;D259),"TOR &gt; BNN &gt; SM",IF(AND(D259&gt;C259,C259&gt;E259),"SM &gt; TOR &gt; BNN",IF(AND(D259&gt;E259,E259&gt;C259),"SM &gt; BNN &gt; TOR",IF(AND(C259=D259,D259=E259),"TOR = SM = BNN","Comb. diferentes")))))</f>
        <v>TOR &gt; BNN &gt; SM</v>
      </c>
      <c r="BC259" s="137" t="str">
        <f>IF(OR(AD259="",AP259="-"),"",IF(AD259&lt;=0.25,"Tipo 1 (≤0,25) uT",IF(AD259&lt;=0.5,"Tipo 2 (0,25-0,50) uT",IF(AD259&lt;=0.75,"Tipo 3 (0,50-0,75) uT","Tipo 4 (&gt;0,75) uT"))))</f>
        <v>Tipo 1 (≤0,25) uT</v>
      </c>
      <c r="BD259" s="137" t="str">
        <f>IF(OR(AO259="",AY259="-"),"",IF(AO259&lt;=0.25,"Tipo 1 (≤0,25) uT",IF(AO259&lt;=0.5,"Tipo 2 (0,25-0,50) uT",IF(AO259&lt;=0.75,"Tipo 3 (0,50-0,75) uT","Tipo 4 (&gt;0,75) uT"))))</f>
        <v>Tipo 4 (&gt;0,75) uT</v>
      </c>
      <c r="BE259" s="137" t="str">
        <f>IF(OR(AE259="",AP259="-"),"",IF(AE259&lt;=0.25,"Tipo 1 (≤0,25) uT",IF(AE259&lt;=0.5,"Tipo 2 (0,25-0,50) uT",IF(AE259&lt;=0.75,"Tipo 3 (0,50-0,75) uT","Tipo 4 (&gt;0,75) uT"))))</f>
        <v>Tipo 4 (&gt;0,75) uT</v>
      </c>
      <c r="BF259" s="137" t="str">
        <f>IF(OR(AP259="",AP259="-"),"",IF(AP259&lt;=0.25,"Tipo 1 (≤0,25) uT",IF(AP259&lt;=0.5,"Tipo 2 (0,25-0,50) uT",IF(AP259&lt;=0.75,"Tipo 3 (0,50-0,75) uT","Tipo 4 (&gt;0,75) uT"))))</f>
        <v>Tipo 4 (&gt;0,75) uT</v>
      </c>
      <c r="BG259" s="137" t="str">
        <f>IF(OR(Q259="",Q259="-"),"",IF(Q259&lt;=0.25,"Tipo 1 (≤0,25) uT",IF(Q259&lt;=0.5,"Tipo 2 (0,25-0,50) uT",IF(Q259&lt;=0.75,"Tipo 3 (0,50-0,75) uT","Tipo 4 (&gt;0,75) uT"))))</f>
        <v>Tipo 4 (&gt;0,75) uT</v>
      </c>
    </row>
    <row r="260" spans="1:59" x14ac:dyDescent="0.3">
      <c r="A260" s="26">
        <v>46154</v>
      </c>
      <c r="B260" s="107">
        <v>0.72916666666666663</v>
      </c>
      <c r="C260" s="116">
        <v>1191</v>
      </c>
      <c r="D260" s="116">
        <v>88</v>
      </c>
      <c r="E260" s="116">
        <v>550</v>
      </c>
      <c r="F260" s="116">
        <v>1861</v>
      </c>
      <c r="G260" s="10" t="s">
        <v>100</v>
      </c>
      <c r="H260" s="122">
        <v>5.4</v>
      </c>
      <c r="I260" s="116">
        <v>90</v>
      </c>
      <c r="J260" s="116">
        <v>90</v>
      </c>
      <c r="K260" s="116">
        <v>90</v>
      </c>
      <c r="L260" s="122">
        <v>25.1</v>
      </c>
      <c r="M260" s="122">
        <v>6.8</v>
      </c>
      <c r="N260" s="79">
        <v>3.63</v>
      </c>
      <c r="O260" s="116">
        <v>16</v>
      </c>
      <c r="P260" s="122">
        <v>8.3000000000000007</v>
      </c>
      <c r="Q260" s="79">
        <v>0.3</v>
      </c>
      <c r="R260" s="79">
        <v>22.36</v>
      </c>
      <c r="S260" s="79">
        <v>0.88</v>
      </c>
      <c r="T260" s="79">
        <v>0.7</v>
      </c>
      <c r="U260" s="85">
        <f t="shared" si="28"/>
        <v>1705.9166666666667</v>
      </c>
      <c r="V260" s="79">
        <f t="shared" si="29"/>
        <v>1453.2949080000001</v>
      </c>
      <c r="W260" s="79">
        <f t="shared" si="30"/>
        <v>0.85191436158468081</v>
      </c>
      <c r="X260" s="116">
        <v>3</v>
      </c>
      <c r="Y260" s="116">
        <v>3</v>
      </c>
      <c r="Z260" s="122">
        <v>6.5</v>
      </c>
      <c r="AA260" s="116">
        <v>18</v>
      </c>
      <c r="AB260" s="122">
        <v>6.7</v>
      </c>
      <c r="AC260" s="122">
        <v>6</v>
      </c>
      <c r="AD260" s="10">
        <v>0.39</v>
      </c>
      <c r="AE260" s="79">
        <v>0.21</v>
      </c>
      <c r="AF260" s="85">
        <f t="shared" si="31"/>
        <v>1279.4375</v>
      </c>
      <c r="AG260" s="85">
        <f t="shared" si="32"/>
        <v>1926.6036067200002</v>
      </c>
      <c r="AH260" s="85">
        <f t="shared" si="33"/>
        <v>1.5058208054086271</v>
      </c>
      <c r="AI260" s="116">
        <v>2</v>
      </c>
      <c r="AJ260" s="116">
        <v>4</v>
      </c>
      <c r="AK260" s="79">
        <v>6.47</v>
      </c>
      <c r="AL260" s="79">
        <v>24</v>
      </c>
      <c r="AM260" s="122">
        <v>6.7</v>
      </c>
      <c r="AN260" s="122">
        <v>6.1</v>
      </c>
      <c r="AO260" s="79">
        <v>0.32</v>
      </c>
      <c r="AP260" s="127">
        <v>0.44</v>
      </c>
      <c r="AQ260" s="132">
        <f t="shared" si="34"/>
        <v>1829</v>
      </c>
      <c r="AR260" s="134">
        <f t="shared" si="35"/>
        <v>0.65117550574084204</v>
      </c>
      <c r="AS260" s="134">
        <f t="shared" si="36"/>
        <v>4.8113723346090757E-2</v>
      </c>
      <c r="AT260" s="134">
        <f t="shared" si="37"/>
        <v>0.30071077091306725</v>
      </c>
      <c r="AU260" s="43">
        <f>IF(AND(F260&lt;&gt;"",Y260&lt;&gt;""),AA260/(F260/2/Y260),"")</f>
        <v>5.8033315421816223E-2</v>
      </c>
      <c r="AV260" s="43">
        <f>IF(AND(F260&lt;&gt;"",AJ260&lt;&gt;""),AL260/(F260/2/AJ260),"")</f>
        <v>0.10317033852767329</v>
      </c>
      <c r="AW260" s="41">
        <f>IF(AND(AP260&lt;&gt;"",1-(AP260/N260)&gt;0),1-(AP260/N260),"")</f>
        <v>0.87878787878787878</v>
      </c>
      <c r="AX260" s="41">
        <f>IF(AND(AE260&lt;&gt;"",1-(AE260/N260)&gt;0),1-(AE260/N260),"")</f>
        <v>0.94214876033057848</v>
      </c>
      <c r="AY260" s="136" t="str">
        <f>IF(P260="","",IF(P260&lt;2.5,"Alc. Bruta &lt; 2,5 mg/L",IF(P260&lt;5,"2,5 ≤ Alc. Bruta &lt; 5,0 mg/L",IF(P260&lt;7.5,"5,0 ≤ Alc. Bruta &lt; 7,5 mg/L",IF(P260&lt;10,"7,5 ≤ Alc. Bruta &lt; 10,0 mg/L",IF(P260&lt;15,"10,0 ≤ Alca. Bruta &lt; 15,0 mg/L","Alc. Bruta &gt; 15 mg/L"))))))</f>
        <v>7,5 ≤ Alc. Bruta &lt; 10,0 mg/L</v>
      </c>
      <c r="AZ260" s="136" t="str">
        <f>IF(O260="","",IF(O260&lt;5,"Cor &lt;5 uC",IF(O260&lt;10,"5 ≤ Cor &lt; 10 uC",IF(O260&lt;15,"10 ≤ Cor &lt;15 uC",IF(O260&lt;30,"15 ≤ Cor &lt; 30 uC",IF(O260&lt;50,"30 ≤ Cor &lt; 50 uC","Cor &gt; 50 uC"))))))</f>
        <v>15 ≤ Cor &lt; 30 uC</v>
      </c>
      <c r="BA260" s="137" t="str">
        <f>IF(N260="","",IF(N260&lt;2.5,"Turbidez &lt; 2,5 uT",IF(N260&lt;5,"2,5 ≤ Turb &lt; 5,0 uT",IF(N260&lt;7.5,"5,0 ≤ Turb &lt; 7,5 uT",IF(N260&lt;10,"7,5 ≤ Turb &lt; 10,0 uT",IF(N260&lt;15,"10,0 ≤ Turb &lt; 15,0 uT","Turb &gt; 15 uT"))))))</f>
        <v>2,5 ≤ Turb &lt; 5,0 uT</v>
      </c>
      <c r="BB260" s="138" t="str">
        <f>IF(AND(C260&gt;D260,D260&gt;E260),"TOR &gt; SM &gt; BNN",IF(AND(C260&gt;E260,E260&gt;D260),"TOR &gt; BNN &gt; SM",IF(AND(D260&gt;C260,C260&gt;E260),"SM &gt; TOR &gt; BNN",IF(AND(D260&gt;E260,E260&gt;C260),"SM &gt; BNN &gt; TOR",IF(AND(C260=D260,D260=E260),"TOR = SM = BNN","Comb. diferentes")))))</f>
        <v>TOR &gt; BNN &gt; SM</v>
      </c>
      <c r="BC260" s="137" t="str">
        <f>IF(OR(AD260="",AP260="-"),"",IF(AD260&lt;=0.25,"Tipo 1 (≤0,25) uT",IF(AD260&lt;=0.5,"Tipo 2 (0,25-0,50) uT",IF(AD260&lt;=0.75,"Tipo 3 (0,50-0,75) uT","Tipo 4 (&gt;0,75) uT"))))</f>
        <v>Tipo 2 (0,25-0,50) uT</v>
      </c>
      <c r="BD260" s="137" t="str">
        <f>IF(OR(AO260="",AY260="-"),"",IF(AO260&lt;=0.25,"Tipo 1 (≤0,25) uT",IF(AO260&lt;=0.5,"Tipo 2 (0,25-0,50) uT",IF(AO260&lt;=0.75,"Tipo 3 (0,50-0,75) uT","Tipo 4 (&gt;0,75) uT"))))</f>
        <v>Tipo 2 (0,25-0,50) uT</v>
      </c>
      <c r="BE260" s="137" t="str">
        <f>IF(OR(AE260="",AP260="-"),"",IF(AE260&lt;=0.25,"Tipo 1 (≤0,25) uT",IF(AE260&lt;=0.5,"Tipo 2 (0,25-0,50) uT",IF(AE260&lt;=0.75,"Tipo 3 (0,50-0,75) uT","Tipo 4 (&gt;0,75) uT"))))</f>
        <v>Tipo 1 (≤0,25) uT</v>
      </c>
      <c r="BF260" s="137" t="str">
        <f>IF(OR(AP260="",AP260="-"),"",IF(AP260&lt;=0.25,"Tipo 1 (≤0,25) uT",IF(AP260&lt;=0.5,"Tipo 2 (0,25-0,50) uT",IF(AP260&lt;=0.75,"Tipo 3 (0,50-0,75) uT","Tipo 4 (&gt;0,75) uT"))))</f>
        <v>Tipo 2 (0,25-0,50) uT</v>
      </c>
      <c r="BG260" s="137" t="str">
        <f>IF(OR(Q260="",Q260="-"),"",IF(Q260&lt;=0.25,"Tipo 1 (≤0,25) uT",IF(Q260&lt;=0.5,"Tipo 2 (0,25-0,50) uT",IF(Q260&lt;=0.75,"Tipo 3 (0,50-0,75) uT","Tipo 4 (&gt;0,75) uT"))))</f>
        <v>Tipo 2 (0,25-0,50) uT</v>
      </c>
    </row>
    <row r="261" spans="1:59" x14ac:dyDescent="0.3">
      <c r="A261" s="26">
        <v>46154</v>
      </c>
      <c r="B261" s="107">
        <v>0.8125</v>
      </c>
      <c r="C261" s="116">
        <v>1145</v>
      </c>
      <c r="D261" s="116">
        <v>89</v>
      </c>
      <c r="E261" s="116">
        <v>550</v>
      </c>
      <c r="F261" s="116">
        <v>1843</v>
      </c>
      <c r="G261" s="10" t="s">
        <v>100</v>
      </c>
      <c r="H261" s="122">
        <v>5.6</v>
      </c>
      <c r="I261" s="116">
        <v>90</v>
      </c>
      <c r="J261" s="116">
        <v>90</v>
      </c>
      <c r="K261" s="116">
        <v>90</v>
      </c>
      <c r="L261" s="122">
        <v>24.9</v>
      </c>
      <c r="M261" s="122">
        <v>6.8</v>
      </c>
      <c r="N261" s="79">
        <v>3.74</v>
      </c>
      <c r="O261" s="116">
        <v>18</v>
      </c>
      <c r="P261" s="122">
        <v>6</v>
      </c>
      <c r="Q261" s="79">
        <v>0.18</v>
      </c>
      <c r="R261" s="79">
        <v>22.36</v>
      </c>
      <c r="S261" s="79">
        <v>0.88</v>
      </c>
      <c r="T261" s="79">
        <v>0.7</v>
      </c>
      <c r="U261" s="85">
        <f t="shared" si="28"/>
        <v>1741.635</v>
      </c>
      <c r="V261" s="79">
        <f t="shared" si="29"/>
        <v>1453.2949080000001</v>
      </c>
      <c r="W261" s="79">
        <f t="shared" si="30"/>
        <v>0.83444287006175233</v>
      </c>
      <c r="X261" s="116">
        <v>3</v>
      </c>
      <c r="Y261" s="116">
        <v>3</v>
      </c>
      <c r="Z261" s="122">
        <v>6.5</v>
      </c>
      <c r="AA261" s="116">
        <v>18</v>
      </c>
      <c r="AB261" s="122">
        <v>6.6</v>
      </c>
      <c r="AC261" s="122">
        <v>6</v>
      </c>
      <c r="AD261" s="10">
        <v>0.21</v>
      </c>
      <c r="AE261" s="79">
        <v>0.2</v>
      </c>
      <c r="AF261" s="85">
        <f t="shared" si="31"/>
        <v>1306.2262499999999</v>
      </c>
      <c r="AG261" s="85">
        <f t="shared" si="32"/>
        <v>1842.7752959199995</v>
      </c>
      <c r="AH261" s="85">
        <f t="shared" si="33"/>
        <v>1.410762718878142</v>
      </c>
      <c r="AI261" s="116">
        <v>2</v>
      </c>
      <c r="AJ261" s="116">
        <v>4</v>
      </c>
      <c r="AK261" s="79">
        <v>6.46</v>
      </c>
      <c r="AL261" s="79">
        <v>23</v>
      </c>
      <c r="AM261" s="122">
        <v>6.6</v>
      </c>
      <c r="AN261" s="122">
        <v>6</v>
      </c>
      <c r="AO261" s="79">
        <v>0.48</v>
      </c>
      <c r="AP261" s="127">
        <v>0.41</v>
      </c>
      <c r="AQ261" s="132">
        <f t="shared" si="34"/>
        <v>1784</v>
      </c>
      <c r="AR261" s="134">
        <f t="shared" si="35"/>
        <v>0.64181614349775784</v>
      </c>
      <c r="AS261" s="134">
        <f t="shared" si="36"/>
        <v>4.9887892376681613E-2</v>
      </c>
      <c r="AT261" s="134">
        <f t="shared" si="37"/>
        <v>0.30829596412556054</v>
      </c>
      <c r="AU261" s="43">
        <f>IF(AND(F261&lt;&gt;"",Y261&lt;&gt;""),AA261/(F261/2/Y261),"")</f>
        <v>5.8600108518719475E-2</v>
      </c>
      <c r="AV261" s="43">
        <f>IF(AND(F261&lt;&gt;"",AJ261&lt;&gt;""),AL261/(F261/2/AJ261),"")</f>
        <v>9.983722192078133E-2</v>
      </c>
      <c r="AW261" s="41">
        <f>IF(AND(AP261&lt;&gt;"",1-(AP261/N261)&gt;0),1-(AP261/N261),"")</f>
        <v>0.89037433155080214</v>
      </c>
      <c r="AX261" s="41">
        <f>IF(AND(AE261&lt;&gt;"",1-(AE261/N261)&gt;0),1-(AE261/N261),"")</f>
        <v>0.946524064171123</v>
      </c>
      <c r="AY261" s="136" t="str">
        <f>IF(P261="","",IF(P261&lt;2.5,"Alc. Bruta &lt; 2,5 mg/L",IF(P261&lt;5,"2,5 ≤ Alc. Bruta &lt; 5,0 mg/L",IF(P261&lt;7.5,"5,0 ≤ Alc. Bruta &lt; 7,5 mg/L",IF(P261&lt;10,"7,5 ≤ Alc. Bruta &lt; 10,0 mg/L",IF(P261&lt;15,"10,0 ≤ Alca. Bruta &lt; 15,0 mg/L","Alc. Bruta &gt; 15 mg/L"))))))</f>
        <v>5,0 ≤ Alc. Bruta &lt; 7,5 mg/L</v>
      </c>
      <c r="AZ261" s="136" t="str">
        <f>IF(O261="","",IF(O261&lt;5,"Cor &lt;5 uC",IF(O261&lt;10,"5 ≤ Cor &lt; 10 uC",IF(O261&lt;15,"10 ≤ Cor &lt;15 uC",IF(O261&lt;30,"15 ≤ Cor &lt; 30 uC",IF(O261&lt;50,"30 ≤ Cor &lt; 50 uC","Cor &gt; 50 uC"))))))</f>
        <v>15 ≤ Cor &lt; 30 uC</v>
      </c>
      <c r="BA261" s="137" t="str">
        <f>IF(N261="","",IF(N261&lt;2.5,"Turbidez &lt; 2,5 uT",IF(N261&lt;5,"2,5 ≤ Turb &lt; 5,0 uT",IF(N261&lt;7.5,"5,0 ≤ Turb &lt; 7,5 uT",IF(N261&lt;10,"7,5 ≤ Turb &lt; 10,0 uT",IF(N261&lt;15,"10,0 ≤ Turb &lt; 15,0 uT","Turb &gt; 15 uT"))))))</f>
        <v>2,5 ≤ Turb &lt; 5,0 uT</v>
      </c>
      <c r="BB261" s="138" t="str">
        <f>IF(AND(C261&gt;D261,D261&gt;E261),"TOR &gt; SM &gt; BNN",IF(AND(C261&gt;E261,E261&gt;D261),"TOR &gt; BNN &gt; SM",IF(AND(D261&gt;C261,C261&gt;E261),"SM &gt; TOR &gt; BNN",IF(AND(D261&gt;E261,E261&gt;C261),"SM &gt; BNN &gt; TOR",IF(AND(C261=D261,D261=E261),"TOR = SM = BNN","Comb. diferentes")))))</f>
        <v>TOR &gt; BNN &gt; SM</v>
      </c>
      <c r="BC261" s="137" t="str">
        <f>IF(OR(AD261="",AP261="-"),"",IF(AD261&lt;=0.25,"Tipo 1 (≤0,25) uT",IF(AD261&lt;=0.5,"Tipo 2 (0,25-0,50) uT",IF(AD261&lt;=0.75,"Tipo 3 (0,50-0,75) uT","Tipo 4 (&gt;0,75) uT"))))</f>
        <v>Tipo 1 (≤0,25) uT</v>
      </c>
      <c r="BD261" s="137" t="str">
        <f>IF(OR(AO261="",AY261="-"),"",IF(AO261&lt;=0.25,"Tipo 1 (≤0,25) uT",IF(AO261&lt;=0.5,"Tipo 2 (0,25-0,50) uT",IF(AO261&lt;=0.75,"Tipo 3 (0,50-0,75) uT","Tipo 4 (&gt;0,75) uT"))))</f>
        <v>Tipo 2 (0,25-0,50) uT</v>
      </c>
      <c r="BE261" s="137" t="str">
        <f>IF(OR(AE261="",AP261="-"),"",IF(AE261&lt;=0.25,"Tipo 1 (≤0,25) uT",IF(AE261&lt;=0.5,"Tipo 2 (0,25-0,50) uT",IF(AE261&lt;=0.75,"Tipo 3 (0,50-0,75) uT","Tipo 4 (&gt;0,75) uT"))))</f>
        <v>Tipo 1 (≤0,25) uT</v>
      </c>
      <c r="BF261" s="137" t="str">
        <f>IF(OR(AP261="",AP261="-"),"",IF(AP261&lt;=0.25,"Tipo 1 (≤0,25) uT",IF(AP261&lt;=0.5,"Tipo 2 (0,25-0,50) uT",IF(AP261&lt;=0.75,"Tipo 3 (0,50-0,75) uT","Tipo 4 (&gt;0,75) uT"))))</f>
        <v>Tipo 2 (0,25-0,50) uT</v>
      </c>
      <c r="BG261" s="137" t="str">
        <f>IF(OR(Q261="",Q261="-"),"",IF(Q261&lt;=0.25,"Tipo 1 (≤0,25) uT",IF(Q261&lt;=0.5,"Tipo 2 (0,25-0,50) uT",IF(Q261&lt;=0.75,"Tipo 3 (0,50-0,75) uT","Tipo 4 (&gt;0,75) uT"))))</f>
        <v>Tipo 1 (≤0,25) uT</v>
      </c>
    </row>
    <row r="262" spans="1:59" x14ac:dyDescent="0.3">
      <c r="A262" s="26">
        <v>46154</v>
      </c>
      <c r="B262" s="107">
        <v>0.89583333333333337</v>
      </c>
      <c r="C262" s="116">
        <v>1438</v>
      </c>
      <c r="D262" s="116">
        <v>90</v>
      </c>
      <c r="E262" s="116">
        <v>539</v>
      </c>
      <c r="F262" s="116">
        <v>2383</v>
      </c>
      <c r="G262" s="10" t="s">
        <v>100</v>
      </c>
      <c r="H262" s="122">
        <v>5.6</v>
      </c>
      <c r="I262" s="116">
        <v>90</v>
      </c>
      <c r="J262" s="116">
        <v>90</v>
      </c>
      <c r="K262" s="116">
        <v>90</v>
      </c>
      <c r="L262" s="122">
        <v>24.6</v>
      </c>
      <c r="M262" s="122">
        <v>6.7</v>
      </c>
      <c r="N262" s="79">
        <v>4.05</v>
      </c>
      <c r="O262" s="116">
        <v>17</v>
      </c>
      <c r="P262" s="122">
        <v>6.5</v>
      </c>
      <c r="Q262" s="79">
        <v>0.19</v>
      </c>
      <c r="R262" s="79">
        <v>22.36</v>
      </c>
      <c r="S262" s="79">
        <v>0.88</v>
      </c>
      <c r="T262" s="79">
        <v>0.7</v>
      </c>
      <c r="U262" s="85">
        <f t="shared" si="28"/>
        <v>1781.2924999999998</v>
      </c>
      <c r="V262" s="79">
        <f t="shared" si="29"/>
        <v>1467.1985795999999</v>
      </c>
      <c r="W262" s="79">
        <f t="shared" si="30"/>
        <v>0.82367077815687206</v>
      </c>
      <c r="X262" s="116">
        <v>3</v>
      </c>
      <c r="Y262" s="116">
        <v>4</v>
      </c>
      <c r="Z262" s="122">
        <v>6.55</v>
      </c>
      <c r="AA262" s="116">
        <v>18</v>
      </c>
      <c r="AB262" s="122">
        <v>6.6</v>
      </c>
      <c r="AC262" s="122">
        <v>5.4</v>
      </c>
      <c r="AD262" s="10">
        <v>0.31</v>
      </c>
      <c r="AE262" s="79">
        <v>0.27</v>
      </c>
      <c r="AF262" s="85">
        <f t="shared" si="31"/>
        <v>1781.2924999999998</v>
      </c>
      <c r="AG262" s="85">
        <f t="shared" si="32"/>
        <v>1874.7537405999997</v>
      </c>
      <c r="AH262" s="85">
        <f t="shared" si="33"/>
        <v>1.0524682165337809</v>
      </c>
      <c r="AI262" s="116">
        <v>3</v>
      </c>
      <c r="AJ262" s="116">
        <v>4</v>
      </c>
      <c r="AK262" s="79">
        <v>6.55</v>
      </c>
      <c r="AL262" s="79">
        <v>23</v>
      </c>
      <c r="AM262" s="122">
        <v>6.6</v>
      </c>
      <c r="AN262" s="122">
        <v>5.9</v>
      </c>
      <c r="AO262" s="79">
        <v>0.39</v>
      </c>
      <c r="AP262" s="127">
        <v>0.4</v>
      </c>
      <c r="AQ262" s="132">
        <f t="shared" si="34"/>
        <v>2067</v>
      </c>
      <c r="AR262" s="134">
        <f t="shared" si="35"/>
        <v>0.69569424286405424</v>
      </c>
      <c r="AS262" s="134">
        <f t="shared" si="36"/>
        <v>4.3541364296081277E-2</v>
      </c>
      <c r="AT262" s="134">
        <f t="shared" si="37"/>
        <v>0.26076439283986452</v>
      </c>
      <c r="AU262" s="43">
        <f>IF(AND(F262&lt;&gt;"",Y262&lt;&gt;""),AA262/(F262/2/Y262),"")</f>
        <v>6.0428031892572391E-2</v>
      </c>
      <c r="AV262" s="43">
        <f>IF(AND(F262&lt;&gt;"",AJ262&lt;&gt;""),AL262/(F262/2/AJ262),"")</f>
        <v>7.7213596307175822E-2</v>
      </c>
      <c r="AW262" s="41">
        <f>IF(AND(AP262&lt;&gt;"",1-(AP262/N262)&gt;0),1-(AP262/N262),"")</f>
        <v>0.90123456790123457</v>
      </c>
      <c r="AX262" s="41">
        <f>IF(AND(AE262&lt;&gt;"",1-(AE262/N262)&gt;0),1-(AE262/N262),"")</f>
        <v>0.93333333333333335</v>
      </c>
      <c r="AY262" s="136" t="str">
        <f>IF(P262="","",IF(P262&lt;2.5,"Alc. Bruta &lt; 2,5 mg/L",IF(P262&lt;5,"2,5 ≤ Alc. Bruta &lt; 5,0 mg/L",IF(P262&lt;7.5,"5,0 ≤ Alc. Bruta &lt; 7,5 mg/L",IF(P262&lt;10,"7,5 ≤ Alc. Bruta &lt; 10,0 mg/L",IF(P262&lt;15,"10,0 ≤ Alca. Bruta &lt; 15,0 mg/L","Alc. Bruta &gt; 15 mg/L"))))))</f>
        <v>5,0 ≤ Alc. Bruta &lt; 7,5 mg/L</v>
      </c>
      <c r="AZ262" s="136" t="str">
        <f>IF(O262="","",IF(O262&lt;5,"Cor &lt;5 uC",IF(O262&lt;10,"5 ≤ Cor &lt; 10 uC",IF(O262&lt;15,"10 ≤ Cor &lt;15 uC",IF(O262&lt;30,"15 ≤ Cor &lt; 30 uC",IF(O262&lt;50,"30 ≤ Cor &lt; 50 uC","Cor &gt; 50 uC"))))))</f>
        <v>15 ≤ Cor &lt; 30 uC</v>
      </c>
      <c r="BA262" s="137" t="str">
        <f>IF(N262="","",IF(N262&lt;2.5,"Turbidez &lt; 2,5 uT",IF(N262&lt;5,"2,5 ≤ Turb &lt; 5,0 uT",IF(N262&lt;7.5,"5,0 ≤ Turb &lt; 7,5 uT",IF(N262&lt;10,"7,5 ≤ Turb &lt; 10,0 uT",IF(N262&lt;15,"10,0 ≤ Turb &lt; 15,0 uT","Turb &gt; 15 uT"))))))</f>
        <v>2,5 ≤ Turb &lt; 5,0 uT</v>
      </c>
      <c r="BB262" s="138" t="str">
        <f>IF(AND(C262&gt;D262,D262&gt;E262),"TOR &gt; SM &gt; BNN",IF(AND(C262&gt;E262,E262&gt;D262),"TOR &gt; BNN &gt; SM",IF(AND(D262&gt;C262,C262&gt;E262),"SM &gt; TOR &gt; BNN",IF(AND(D262&gt;E262,E262&gt;C262),"SM &gt; BNN &gt; TOR",IF(AND(C262=D262,D262=E262),"TOR = SM = BNN","Comb. diferentes")))))</f>
        <v>TOR &gt; BNN &gt; SM</v>
      </c>
      <c r="BC262" s="137" t="str">
        <f>IF(OR(AD262="",AP262="-"),"",IF(AD262&lt;=0.25,"Tipo 1 (≤0,25) uT",IF(AD262&lt;=0.5,"Tipo 2 (0,25-0,50) uT",IF(AD262&lt;=0.75,"Tipo 3 (0,50-0,75) uT","Tipo 4 (&gt;0,75) uT"))))</f>
        <v>Tipo 2 (0,25-0,50) uT</v>
      </c>
      <c r="BD262" s="137" t="str">
        <f>IF(OR(AO262="",AY262="-"),"",IF(AO262&lt;=0.25,"Tipo 1 (≤0,25) uT",IF(AO262&lt;=0.5,"Tipo 2 (0,25-0,50) uT",IF(AO262&lt;=0.75,"Tipo 3 (0,50-0,75) uT","Tipo 4 (&gt;0,75) uT"))))</f>
        <v>Tipo 2 (0,25-0,50) uT</v>
      </c>
      <c r="BE262" s="137" t="str">
        <f>IF(OR(AE262="",AP262="-"),"",IF(AE262&lt;=0.25,"Tipo 1 (≤0,25) uT",IF(AE262&lt;=0.5,"Tipo 2 (0,25-0,50) uT",IF(AE262&lt;=0.75,"Tipo 3 (0,50-0,75) uT","Tipo 4 (&gt;0,75) uT"))))</f>
        <v>Tipo 2 (0,25-0,50) uT</v>
      </c>
      <c r="BF262" s="137" t="str">
        <f>IF(OR(AP262="",AP262="-"),"",IF(AP262&lt;=0.25,"Tipo 1 (≤0,25) uT",IF(AP262&lt;=0.5,"Tipo 2 (0,25-0,50) uT",IF(AP262&lt;=0.75,"Tipo 3 (0,50-0,75) uT","Tipo 4 (&gt;0,75) uT"))))</f>
        <v>Tipo 2 (0,25-0,50) uT</v>
      </c>
      <c r="BG262" s="137" t="str">
        <f>IF(OR(Q262="",Q262="-"),"",IF(Q262&lt;=0.25,"Tipo 1 (≤0,25) uT",IF(Q262&lt;=0.5,"Tipo 2 (0,25-0,50) uT",IF(Q262&lt;=0.75,"Tipo 3 (0,50-0,75) uT","Tipo 4 (&gt;0,75) uT"))))</f>
        <v>Tipo 1 (≤0,25) uT</v>
      </c>
    </row>
    <row r="263" spans="1:59" x14ac:dyDescent="0.3">
      <c r="A263" s="26">
        <v>46155</v>
      </c>
      <c r="B263" s="107">
        <v>6.25E-2</v>
      </c>
      <c r="C263" s="116">
        <v>1540</v>
      </c>
      <c r="D263" s="116">
        <v>88</v>
      </c>
      <c r="E263" s="116">
        <v>540</v>
      </c>
      <c r="F263" s="116">
        <v>2231</v>
      </c>
      <c r="G263" s="10" t="s">
        <v>100</v>
      </c>
      <c r="H263" s="122">
        <v>5.6</v>
      </c>
      <c r="I263" s="116">
        <v>90</v>
      </c>
      <c r="J263" s="116">
        <v>90</v>
      </c>
      <c r="K263" s="116">
        <v>90</v>
      </c>
      <c r="L263" s="122">
        <v>24.5</v>
      </c>
      <c r="M263" s="122">
        <v>6.6</v>
      </c>
      <c r="N263" s="79">
        <v>4.5199999999999996</v>
      </c>
      <c r="O263" s="116">
        <v>20</v>
      </c>
      <c r="P263" s="122">
        <v>5.6</v>
      </c>
      <c r="Q263" s="79">
        <v>0.24</v>
      </c>
      <c r="R263" s="79">
        <v>22.36</v>
      </c>
      <c r="S263" s="79">
        <v>0.88</v>
      </c>
      <c r="T263" s="79">
        <v>0.7</v>
      </c>
      <c r="U263" s="85">
        <f t="shared" si="28"/>
        <v>1798.7437499999999</v>
      </c>
      <c r="V263" s="79">
        <f t="shared" si="29"/>
        <v>1453.2949080000001</v>
      </c>
      <c r="W263" s="79">
        <f t="shared" si="30"/>
        <v>0.80794994173016599</v>
      </c>
      <c r="X263" s="116">
        <v>3</v>
      </c>
      <c r="Y263" s="116">
        <v>4</v>
      </c>
      <c r="Z263" s="122">
        <v>6.5</v>
      </c>
      <c r="AA263" s="116">
        <v>18</v>
      </c>
      <c r="AB263" s="122">
        <v>6.5</v>
      </c>
      <c r="AC263" s="122">
        <v>5.2</v>
      </c>
      <c r="AD263" s="10">
        <v>0.25</v>
      </c>
      <c r="AE263" s="79">
        <v>0.33</v>
      </c>
      <c r="AF263" s="85">
        <f t="shared" si="31"/>
        <v>1798.7437499999999</v>
      </c>
      <c r="AG263" s="85">
        <f t="shared" si="32"/>
        <v>1832.1158143599996</v>
      </c>
      <c r="AH263" s="85">
        <f t="shared" si="33"/>
        <v>1.0185529841924397</v>
      </c>
      <c r="AI263" s="116">
        <v>3</v>
      </c>
      <c r="AJ263" s="116">
        <v>4</v>
      </c>
      <c r="AK263" s="79">
        <v>6.43</v>
      </c>
      <c r="AL263" s="79">
        <v>23</v>
      </c>
      <c r="AM263" s="122">
        <v>6.5</v>
      </c>
      <c r="AN263" s="122">
        <v>5.7</v>
      </c>
      <c r="AO263" s="79">
        <v>0.23</v>
      </c>
      <c r="AP263" s="127">
        <v>0.38</v>
      </c>
      <c r="AQ263" s="132">
        <f t="shared" si="34"/>
        <v>2168</v>
      </c>
      <c r="AR263" s="134">
        <f t="shared" si="35"/>
        <v>0.71033210332103325</v>
      </c>
      <c r="AS263" s="134">
        <f t="shared" si="36"/>
        <v>4.0590405904059039E-2</v>
      </c>
      <c r="AT263" s="134">
        <f t="shared" si="37"/>
        <v>0.24907749077490776</v>
      </c>
      <c r="AU263" s="43">
        <f>IF(AND(F263&lt;&gt;"",Y263&lt;&gt;""),AA263/(F263/2/Y263),"")</f>
        <v>6.4545047064096819E-2</v>
      </c>
      <c r="AV263" s="43">
        <f>IF(AND(F263&lt;&gt;"",AJ263&lt;&gt;""),AL263/(F263/2/AJ263),"")</f>
        <v>8.247422680412371E-2</v>
      </c>
      <c r="AW263" s="41">
        <f>IF(AND(AP263&lt;&gt;"",1-(AP263/N263)&gt;0),1-(AP263/N263),"")</f>
        <v>0.91592920353982299</v>
      </c>
      <c r="AX263" s="41">
        <f>IF(AND(AE263&lt;&gt;"",1-(AE263/N263)&gt;0),1-(AE263/N263),"")</f>
        <v>0.92699115044247782</v>
      </c>
      <c r="AY263" s="136" t="str">
        <f>IF(P263="","",IF(P263&lt;2.5,"Alc. Bruta &lt; 2,5 mg/L",IF(P263&lt;5,"2,5 ≤ Alc. Bruta &lt; 5,0 mg/L",IF(P263&lt;7.5,"5,0 ≤ Alc. Bruta &lt; 7,5 mg/L",IF(P263&lt;10,"7,5 ≤ Alc. Bruta &lt; 10,0 mg/L",IF(P263&lt;15,"10,0 ≤ Alca. Bruta &lt; 15,0 mg/L","Alc. Bruta &gt; 15 mg/L"))))))</f>
        <v>5,0 ≤ Alc. Bruta &lt; 7,5 mg/L</v>
      </c>
      <c r="AZ263" s="136" t="str">
        <f>IF(O263="","",IF(O263&lt;5,"Cor &lt;5 uC",IF(O263&lt;10,"5 ≤ Cor &lt; 10 uC",IF(O263&lt;15,"10 ≤ Cor &lt;15 uC",IF(O263&lt;30,"15 ≤ Cor &lt; 30 uC",IF(O263&lt;50,"30 ≤ Cor &lt; 50 uC","Cor &gt; 50 uC"))))))</f>
        <v>15 ≤ Cor &lt; 30 uC</v>
      </c>
      <c r="BA263" s="137" t="str">
        <f>IF(N263="","",IF(N263&lt;2.5,"Turbidez &lt; 2,5 uT",IF(N263&lt;5,"2,5 ≤ Turb &lt; 5,0 uT",IF(N263&lt;7.5,"5,0 ≤ Turb &lt; 7,5 uT",IF(N263&lt;10,"7,5 ≤ Turb &lt; 10,0 uT",IF(N263&lt;15,"10,0 ≤ Turb &lt; 15,0 uT","Turb &gt; 15 uT"))))))</f>
        <v>2,5 ≤ Turb &lt; 5,0 uT</v>
      </c>
      <c r="BB263" s="138" t="str">
        <f>IF(AND(C263&gt;D263,D263&gt;E263),"TOR &gt; SM &gt; BNN",IF(AND(C263&gt;E263,E263&gt;D263),"TOR &gt; BNN &gt; SM",IF(AND(D263&gt;C263,C263&gt;E263),"SM &gt; TOR &gt; BNN",IF(AND(D263&gt;E263,E263&gt;C263),"SM &gt; BNN &gt; TOR",IF(AND(C263=D263,D263=E263),"TOR = SM = BNN","Comb. diferentes")))))</f>
        <v>TOR &gt; BNN &gt; SM</v>
      </c>
      <c r="BC263" s="137" t="str">
        <f>IF(OR(AD263="",AP263="-"),"",IF(AD263&lt;=0.25,"Tipo 1 (≤0,25) uT",IF(AD263&lt;=0.5,"Tipo 2 (0,25-0,50) uT",IF(AD263&lt;=0.75,"Tipo 3 (0,50-0,75) uT","Tipo 4 (&gt;0,75) uT"))))</f>
        <v>Tipo 1 (≤0,25) uT</v>
      </c>
      <c r="BD263" s="137" t="str">
        <f>IF(OR(AO263="",AY263="-"),"",IF(AO263&lt;=0.25,"Tipo 1 (≤0,25) uT",IF(AO263&lt;=0.5,"Tipo 2 (0,25-0,50) uT",IF(AO263&lt;=0.75,"Tipo 3 (0,50-0,75) uT","Tipo 4 (&gt;0,75) uT"))))</f>
        <v>Tipo 1 (≤0,25) uT</v>
      </c>
      <c r="BE263" s="137" t="str">
        <f>IF(OR(AE263="",AP263="-"),"",IF(AE263&lt;=0.25,"Tipo 1 (≤0,25) uT",IF(AE263&lt;=0.5,"Tipo 2 (0,25-0,50) uT",IF(AE263&lt;=0.75,"Tipo 3 (0,50-0,75) uT","Tipo 4 (&gt;0,75) uT"))))</f>
        <v>Tipo 2 (0,25-0,50) uT</v>
      </c>
      <c r="BF263" s="137" t="str">
        <f>IF(OR(AP263="",AP263="-"),"",IF(AP263&lt;=0.25,"Tipo 1 (≤0,25) uT",IF(AP263&lt;=0.5,"Tipo 2 (0,25-0,50) uT",IF(AP263&lt;=0.75,"Tipo 3 (0,50-0,75) uT","Tipo 4 (&gt;0,75) uT"))))</f>
        <v>Tipo 2 (0,25-0,50) uT</v>
      </c>
      <c r="BG263" s="137" t="str">
        <f>IF(OR(Q263="",Q263="-"),"",IF(Q263&lt;=0.25,"Tipo 1 (≤0,25) uT",IF(Q263&lt;=0.5,"Tipo 2 (0,25-0,50) uT",IF(Q263&lt;=0.75,"Tipo 3 (0,50-0,75) uT","Tipo 4 (&gt;0,75) uT"))))</f>
        <v>Tipo 1 (≤0,25) uT</v>
      </c>
    </row>
    <row r="264" spans="1:59" x14ac:dyDescent="0.3">
      <c r="A264" s="26">
        <v>46155</v>
      </c>
      <c r="B264" s="107">
        <v>0.14583333333333334</v>
      </c>
      <c r="C264" s="116">
        <v>1433</v>
      </c>
      <c r="D264" s="116">
        <v>90</v>
      </c>
      <c r="E264" s="116">
        <v>540</v>
      </c>
      <c r="F264" s="116">
        <v>2333</v>
      </c>
      <c r="G264" s="10" t="s">
        <v>100</v>
      </c>
      <c r="H264" s="122">
        <v>5.6</v>
      </c>
      <c r="I264" s="116">
        <v>90</v>
      </c>
      <c r="J264" s="116">
        <v>90</v>
      </c>
      <c r="K264" s="116">
        <v>90</v>
      </c>
      <c r="L264" s="122">
        <v>24.4</v>
      </c>
      <c r="M264" s="122">
        <v>6.6</v>
      </c>
      <c r="N264" s="79">
        <v>4.3499999999999996</v>
      </c>
      <c r="O264" s="116">
        <v>18</v>
      </c>
      <c r="P264" s="122">
        <v>5.8</v>
      </c>
      <c r="Q264" s="79">
        <v>0.19</v>
      </c>
      <c r="R264" s="79">
        <v>22.36</v>
      </c>
      <c r="S264" s="79">
        <v>0.88</v>
      </c>
      <c r="T264" s="79">
        <v>0.7</v>
      </c>
      <c r="U264" s="85">
        <f t="shared" si="28"/>
        <v>1831.4049999999997</v>
      </c>
      <c r="V264" s="79">
        <f t="shared" si="29"/>
        <v>1453.2949080000001</v>
      </c>
      <c r="W264" s="79">
        <f t="shared" si="30"/>
        <v>0.79354097427931025</v>
      </c>
      <c r="X264" s="116">
        <v>3</v>
      </c>
      <c r="Y264" s="116">
        <v>4</v>
      </c>
      <c r="Z264" s="122">
        <v>6.5</v>
      </c>
      <c r="AA264" s="116">
        <v>18</v>
      </c>
      <c r="AB264" s="122">
        <v>6.6</v>
      </c>
      <c r="AC264" s="122">
        <v>7.2</v>
      </c>
      <c r="AD264" s="10">
        <v>0.2</v>
      </c>
      <c r="AE264" s="79">
        <v>0.31</v>
      </c>
      <c r="AF264" s="85">
        <f t="shared" si="31"/>
        <v>1831.4049999999997</v>
      </c>
      <c r="AG264" s="85">
        <f t="shared" si="32"/>
        <v>1853.4347774799999</v>
      </c>
      <c r="AH264" s="85">
        <f t="shared" si="33"/>
        <v>1.0120288944717308</v>
      </c>
      <c r="AI264" s="116">
        <v>3</v>
      </c>
      <c r="AJ264" s="116">
        <v>4</v>
      </c>
      <c r="AK264" s="79">
        <v>6.49</v>
      </c>
      <c r="AL264" s="79">
        <v>23</v>
      </c>
      <c r="AM264" s="122">
        <v>6.6</v>
      </c>
      <c r="AN264" s="122">
        <v>6.5</v>
      </c>
      <c r="AO264" s="79">
        <v>0.17</v>
      </c>
      <c r="AP264" s="127">
        <v>0.41</v>
      </c>
      <c r="AQ264" s="132">
        <f t="shared" si="34"/>
        <v>2063</v>
      </c>
      <c r="AR264" s="134">
        <f t="shared" si="35"/>
        <v>0.69461948618516722</v>
      </c>
      <c r="AS264" s="134">
        <f t="shared" si="36"/>
        <v>4.3625787687833255E-2</v>
      </c>
      <c r="AT264" s="134">
        <f t="shared" si="37"/>
        <v>0.26175472612699952</v>
      </c>
      <c r="AU264" s="43">
        <f>IF(AND(F264&lt;&gt;"",Y264&lt;&gt;""),AA264/(F264/2/Y264),"")</f>
        <v>6.1723103300471496E-2</v>
      </c>
      <c r="AV264" s="43">
        <f>IF(AND(F264&lt;&gt;"",AJ264&lt;&gt;""),AL264/(F264/2/AJ264),"")</f>
        <v>7.8868409772824694E-2</v>
      </c>
      <c r="AW264" s="41">
        <f>IF(AND(AP264&lt;&gt;"",1-(AP264/N264)&gt;0),1-(AP264/N264),"")</f>
        <v>0.90574712643678157</v>
      </c>
      <c r="AX264" s="41">
        <f>IF(AND(AE264&lt;&gt;"",1-(AE264/N264)&gt;0),1-(AE264/N264),"")</f>
        <v>0.92873563218390809</v>
      </c>
      <c r="AY264" s="136" t="str">
        <f>IF(P264="","",IF(P264&lt;2.5,"Alc. Bruta &lt; 2,5 mg/L",IF(P264&lt;5,"2,5 ≤ Alc. Bruta &lt; 5,0 mg/L",IF(P264&lt;7.5,"5,0 ≤ Alc. Bruta &lt; 7,5 mg/L",IF(P264&lt;10,"7,5 ≤ Alc. Bruta &lt; 10,0 mg/L",IF(P264&lt;15,"10,0 ≤ Alca. Bruta &lt; 15,0 mg/L","Alc. Bruta &gt; 15 mg/L"))))))</f>
        <v>5,0 ≤ Alc. Bruta &lt; 7,5 mg/L</v>
      </c>
      <c r="AZ264" s="136" t="str">
        <f>IF(O264="","",IF(O264&lt;5,"Cor &lt;5 uC",IF(O264&lt;10,"5 ≤ Cor &lt; 10 uC",IF(O264&lt;15,"10 ≤ Cor &lt;15 uC",IF(O264&lt;30,"15 ≤ Cor &lt; 30 uC",IF(O264&lt;50,"30 ≤ Cor &lt; 50 uC","Cor &gt; 50 uC"))))))</f>
        <v>15 ≤ Cor &lt; 30 uC</v>
      </c>
      <c r="BA264" s="137" t="str">
        <f>IF(N264="","",IF(N264&lt;2.5,"Turbidez &lt; 2,5 uT",IF(N264&lt;5,"2,5 ≤ Turb &lt; 5,0 uT",IF(N264&lt;7.5,"5,0 ≤ Turb &lt; 7,5 uT",IF(N264&lt;10,"7,5 ≤ Turb &lt; 10,0 uT",IF(N264&lt;15,"10,0 ≤ Turb &lt; 15,0 uT","Turb &gt; 15 uT"))))))</f>
        <v>2,5 ≤ Turb &lt; 5,0 uT</v>
      </c>
      <c r="BB264" s="138" t="str">
        <f>IF(AND(C264&gt;D264,D264&gt;E264),"TOR &gt; SM &gt; BNN",IF(AND(C264&gt;E264,E264&gt;D264),"TOR &gt; BNN &gt; SM",IF(AND(D264&gt;C264,C264&gt;E264),"SM &gt; TOR &gt; BNN",IF(AND(D264&gt;E264,E264&gt;C264),"SM &gt; BNN &gt; TOR",IF(AND(C264=D264,D264=E264),"TOR = SM = BNN","Comb. diferentes")))))</f>
        <v>TOR &gt; BNN &gt; SM</v>
      </c>
      <c r="BC264" s="137" t="str">
        <f>IF(OR(AD264="",AP264="-"),"",IF(AD264&lt;=0.25,"Tipo 1 (≤0,25) uT",IF(AD264&lt;=0.5,"Tipo 2 (0,25-0,50) uT",IF(AD264&lt;=0.75,"Tipo 3 (0,50-0,75) uT","Tipo 4 (&gt;0,75) uT"))))</f>
        <v>Tipo 1 (≤0,25) uT</v>
      </c>
      <c r="BD264" s="137" t="str">
        <f>IF(OR(AO264="",AY264="-"),"",IF(AO264&lt;=0.25,"Tipo 1 (≤0,25) uT",IF(AO264&lt;=0.5,"Tipo 2 (0,25-0,50) uT",IF(AO264&lt;=0.75,"Tipo 3 (0,50-0,75) uT","Tipo 4 (&gt;0,75) uT"))))</f>
        <v>Tipo 1 (≤0,25) uT</v>
      </c>
      <c r="BE264" s="137" t="str">
        <f>IF(OR(AE264="",AP264="-"),"",IF(AE264&lt;=0.25,"Tipo 1 (≤0,25) uT",IF(AE264&lt;=0.5,"Tipo 2 (0,25-0,50) uT",IF(AE264&lt;=0.75,"Tipo 3 (0,50-0,75) uT","Tipo 4 (&gt;0,75) uT"))))</f>
        <v>Tipo 2 (0,25-0,50) uT</v>
      </c>
      <c r="BF264" s="137" t="str">
        <f>IF(OR(AP264="",AP264="-"),"",IF(AP264&lt;=0.25,"Tipo 1 (≤0,25) uT",IF(AP264&lt;=0.5,"Tipo 2 (0,25-0,50) uT",IF(AP264&lt;=0.75,"Tipo 3 (0,50-0,75) uT","Tipo 4 (&gt;0,75) uT"))))</f>
        <v>Tipo 2 (0,25-0,50) uT</v>
      </c>
      <c r="BG264" s="137" t="str">
        <f>IF(OR(Q264="",Q264="-"),"",IF(Q264&lt;=0.25,"Tipo 1 (≤0,25) uT",IF(Q264&lt;=0.5,"Tipo 2 (0,25-0,50) uT",IF(Q264&lt;=0.75,"Tipo 3 (0,50-0,75) uT","Tipo 4 (&gt;0,75) uT"))))</f>
        <v>Tipo 1 (≤0,25) uT</v>
      </c>
    </row>
    <row r="265" spans="1:59" ht="15" thickBot="1" x14ac:dyDescent="0.35">
      <c r="A265" s="26">
        <v>46155</v>
      </c>
      <c r="B265" s="110">
        <v>0.22916666666666666</v>
      </c>
      <c r="C265" s="117">
        <v>1411</v>
      </c>
      <c r="D265" s="117">
        <v>91</v>
      </c>
      <c r="E265" s="117">
        <v>540</v>
      </c>
      <c r="F265" s="117">
        <v>2309</v>
      </c>
      <c r="G265" s="11" t="s">
        <v>100</v>
      </c>
      <c r="H265" s="123">
        <v>5.6</v>
      </c>
      <c r="I265" s="117">
        <v>90</v>
      </c>
      <c r="J265" s="117">
        <v>90</v>
      </c>
      <c r="K265" s="117">
        <v>90</v>
      </c>
      <c r="L265" s="123">
        <v>23.9</v>
      </c>
      <c r="M265" s="123">
        <v>6.6</v>
      </c>
      <c r="N265" s="80">
        <v>4.84</v>
      </c>
      <c r="O265" s="117">
        <v>13</v>
      </c>
      <c r="P265" s="123">
        <v>6.2</v>
      </c>
      <c r="Q265" s="80">
        <v>0.18</v>
      </c>
      <c r="R265" s="79">
        <v>22.36</v>
      </c>
      <c r="S265" s="79">
        <v>0.88</v>
      </c>
      <c r="T265" s="79">
        <v>0.7</v>
      </c>
      <c r="U265" s="85">
        <f t="shared" si="28"/>
        <v>1953.9912499999998</v>
      </c>
      <c r="V265" s="79">
        <f t="shared" si="29"/>
        <v>1453.2949080000001</v>
      </c>
      <c r="W265" s="79">
        <f t="shared" si="30"/>
        <v>0.74375712173736719</v>
      </c>
      <c r="X265" s="117">
        <v>3</v>
      </c>
      <c r="Y265" s="117">
        <v>4</v>
      </c>
      <c r="Z265" s="123">
        <v>6.5</v>
      </c>
      <c r="AA265" s="117">
        <v>18</v>
      </c>
      <c r="AB265" s="123">
        <v>6.5</v>
      </c>
      <c r="AC265" s="123">
        <v>5.5</v>
      </c>
      <c r="AD265" s="11">
        <v>0.17</v>
      </c>
      <c r="AE265" s="80">
        <v>0.27</v>
      </c>
      <c r="AF265" s="85">
        <f t="shared" si="31"/>
        <v>1953.9912499999998</v>
      </c>
      <c r="AG265" s="85">
        <f t="shared" si="32"/>
        <v>1853.4347774799999</v>
      </c>
      <c r="AH265" s="85">
        <f t="shared" si="33"/>
        <v>0.94853791053567926</v>
      </c>
      <c r="AI265" s="117">
        <v>3</v>
      </c>
      <c r="AJ265" s="117">
        <v>4</v>
      </c>
      <c r="AK265" s="80">
        <v>6.49</v>
      </c>
      <c r="AL265" s="80">
        <v>23</v>
      </c>
      <c r="AM265" s="123">
        <v>6.5</v>
      </c>
      <c r="AN265" s="123">
        <v>6.4</v>
      </c>
      <c r="AO265" s="80">
        <v>0.2</v>
      </c>
      <c r="AP265" s="128">
        <v>0.28000000000000003</v>
      </c>
      <c r="AQ265" s="132">
        <f t="shared" si="34"/>
        <v>2042</v>
      </c>
      <c r="AR265" s="134">
        <f t="shared" si="35"/>
        <v>0.69098922624877568</v>
      </c>
      <c r="AS265" s="134">
        <f t="shared" si="36"/>
        <v>4.4564152791380998E-2</v>
      </c>
      <c r="AT265" s="134">
        <f t="shared" si="37"/>
        <v>0.26444662095984328</v>
      </c>
      <c r="AU265" s="43">
        <f>IF(AND(F265&lt;&gt;"",Y265&lt;&gt;""),AA265/(F265/2/Y265),"")</f>
        <v>6.2364660025985272E-2</v>
      </c>
      <c r="AV265" s="43">
        <f>IF(AND(F265&lt;&gt;"",AJ265&lt;&gt;""),AL265/(F265/2/AJ265),"")</f>
        <v>7.9688176699870078E-2</v>
      </c>
      <c r="AW265" s="41">
        <f>IF(AND(AP265&lt;&gt;"",1-(AP265/N265)&gt;0),1-(AP265/N265),"")</f>
        <v>0.94214876033057848</v>
      </c>
      <c r="AX265" s="41">
        <f>IF(AND(AE265&lt;&gt;"",1-(AE265/N265)&gt;0),1-(AE265/N265),"")</f>
        <v>0.94421487603305787</v>
      </c>
      <c r="AY265" s="136" t="str">
        <f>IF(P265="","",IF(P265&lt;2.5,"Alc. Bruta &lt; 2,5 mg/L",IF(P265&lt;5,"2,5 ≤ Alc. Bruta &lt; 5,0 mg/L",IF(P265&lt;7.5,"5,0 ≤ Alc. Bruta &lt; 7,5 mg/L",IF(P265&lt;10,"7,5 ≤ Alc. Bruta &lt; 10,0 mg/L",IF(P265&lt;15,"10,0 ≤ Alca. Bruta &lt; 15,0 mg/L","Alc. Bruta &gt; 15 mg/L"))))))</f>
        <v>5,0 ≤ Alc. Bruta &lt; 7,5 mg/L</v>
      </c>
      <c r="AZ265" s="136" t="str">
        <f>IF(O265="","",IF(O265&lt;5,"Cor &lt;5 uC",IF(O265&lt;10,"5 ≤ Cor &lt; 10 uC",IF(O265&lt;15,"10 ≤ Cor &lt;15 uC",IF(O265&lt;30,"15 ≤ Cor &lt; 30 uC",IF(O265&lt;50,"30 ≤ Cor &lt; 50 uC","Cor &gt; 50 uC"))))))</f>
        <v>10 ≤ Cor &lt;15 uC</v>
      </c>
      <c r="BA265" s="137" t="str">
        <f>IF(N265="","",IF(N265&lt;2.5,"Turbidez &lt; 2,5 uT",IF(N265&lt;5,"2,5 ≤ Turb &lt; 5,0 uT",IF(N265&lt;7.5,"5,0 ≤ Turb &lt; 7,5 uT",IF(N265&lt;10,"7,5 ≤ Turb &lt; 10,0 uT",IF(N265&lt;15,"10,0 ≤ Turb &lt; 15,0 uT","Turb &gt; 15 uT"))))))</f>
        <v>2,5 ≤ Turb &lt; 5,0 uT</v>
      </c>
      <c r="BB265" s="138" t="str">
        <f>IF(AND(C265&gt;D265,D265&gt;E265),"TOR &gt; SM &gt; BNN",IF(AND(C265&gt;E265,E265&gt;D265),"TOR &gt; BNN &gt; SM",IF(AND(D265&gt;C265,C265&gt;E265),"SM &gt; TOR &gt; BNN",IF(AND(D265&gt;E265,E265&gt;C265),"SM &gt; BNN &gt; TOR",IF(AND(C265=D265,D265=E265),"TOR = SM = BNN","Comb. diferentes")))))</f>
        <v>TOR &gt; BNN &gt; SM</v>
      </c>
      <c r="BC265" s="137" t="str">
        <f>IF(OR(AD265="",AP265="-"),"",IF(AD265&lt;=0.25,"Tipo 1 (≤0,25) uT",IF(AD265&lt;=0.5,"Tipo 2 (0,25-0,50) uT",IF(AD265&lt;=0.75,"Tipo 3 (0,50-0,75) uT","Tipo 4 (&gt;0,75) uT"))))</f>
        <v>Tipo 1 (≤0,25) uT</v>
      </c>
      <c r="BD265" s="137" t="str">
        <f>IF(OR(AO265="",AY265="-"),"",IF(AO265&lt;=0.25,"Tipo 1 (≤0,25) uT",IF(AO265&lt;=0.5,"Tipo 2 (0,25-0,50) uT",IF(AO265&lt;=0.75,"Tipo 3 (0,50-0,75) uT","Tipo 4 (&gt;0,75) uT"))))</f>
        <v>Tipo 1 (≤0,25) uT</v>
      </c>
      <c r="BE265" s="137" t="str">
        <f>IF(OR(AE265="",AP265="-"),"",IF(AE265&lt;=0.25,"Tipo 1 (≤0,25) uT",IF(AE265&lt;=0.5,"Tipo 2 (0,25-0,50) uT",IF(AE265&lt;=0.75,"Tipo 3 (0,50-0,75) uT","Tipo 4 (&gt;0,75) uT"))))</f>
        <v>Tipo 2 (0,25-0,50) uT</v>
      </c>
      <c r="BF265" s="137" t="str">
        <f>IF(OR(AP265="",AP265="-"),"",IF(AP265&lt;=0.25,"Tipo 1 (≤0,25) uT",IF(AP265&lt;=0.5,"Tipo 2 (0,25-0,50) uT",IF(AP265&lt;=0.75,"Tipo 3 (0,50-0,75) uT","Tipo 4 (&gt;0,75) uT"))))</f>
        <v>Tipo 2 (0,25-0,50) uT</v>
      </c>
      <c r="BG265" s="137" t="str">
        <f>IF(OR(Q265="",Q265="-"),"",IF(Q265&lt;=0.25,"Tipo 1 (≤0,25) uT",IF(Q265&lt;=0.5,"Tipo 2 (0,25-0,50) uT",IF(Q265&lt;=0.75,"Tipo 3 (0,50-0,75) uT","Tipo 4 (&gt;0,75) uT"))))</f>
        <v>Tipo 1 (≤0,25) uT</v>
      </c>
    </row>
    <row r="266" spans="1:59" x14ac:dyDescent="0.3">
      <c r="A266" s="26">
        <v>46155</v>
      </c>
      <c r="B266" s="111">
        <v>0.3125</v>
      </c>
      <c r="C266" s="118">
        <v>1076</v>
      </c>
      <c r="D266" s="116">
        <v>86</v>
      </c>
      <c r="E266" s="118">
        <v>549</v>
      </c>
      <c r="F266" s="118">
        <v>1810</v>
      </c>
      <c r="G266" s="9" t="s">
        <v>100</v>
      </c>
      <c r="H266" s="124">
        <v>5.6</v>
      </c>
      <c r="I266" s="118">
        <v>90</v>
      </c>
      <c r="J266" s="118">
        <v>90</v>
      </c>
      <c r="K266" s="118">
        <v>90</v>
      </c>
      <c r="L266" s="124">
        <v>23.3</v>
      </c>
      <c r="M266" s="124">
        <v>6.6</v>
      </c>
      <c r="N266" s="81">
        <v>3.07</v>
      </c>
      <c r="O266" s="118">
        <v>15</v>
      </c>
      <c r="P266" s="124">
        <v>6.9</v>
      </c>
      <c r="Q266" s="81">
        <v>0.2</v>
      </c>
      <c r="R266" s="79">
        <v>22.36</v>
      </c>
      <c r="S266" s="79">
        <v>0.88</v>
      </c>
      <c r="T266" s="79">
        <v>0.7</v>
      </c>
      <c r="U266" s="85">
        <f t="shared" si="28"/>
        <v>1508.3333333333335</v>
      </c>
      <c r="V266" s="79">
        <f t="shared" si="29"/>
        <v>1579.1305764935998</v>
      </c>
      <c r="W266" s="79">
        <f t="shared" si="30"/>
        <v>1.046937398780287</v>
      </c>
      <c r="X266" s="118">
        <v>2</v>
      </c>
      <c r="Y266" s="118">
        <v>3</v>
      </c>
      <c r="Z266" s="124">
        <v>6.54</v>
      </c>
      <c r="AA266" s="118">
        <v>19.41</v>
      </c>
      <c r="AB266" s="124">
        <v>6.5</v>
      </c>
      <c r="AC266" s="124">
        <v>5.6</v>
      </c>
      <c r="AD266" s="9">
        <v>0.25</v>
      </c>
      <c r="AE266" s="81">
        <v>0.31</v>
      </c>
      <c r="AF266" s="85">
        <f t="shared" si="31"/>
        <v>1131.25</v>
      </c>
      <c r="AG266" s="85">
        <f t="shared" si="32"/>
        <v>1828.9295259871997</v>
      </c>
      <c r="AH266" s="85">
        <f t="shared" si="33"/>
        <v>1.6167332826406184</v>
      </c>
      <c r="AI266" s="118">
        <v>2</v>
      </c>
      <c r="AJ266" s="118">
        <v>4</v>
      </c>
      <c r="AK266" s="81">
        <v>6.43</v>
      </c>
      <c r="AL266" s="81">
        <v>22.96</v>
      </c>
      <c r="AM266" s="124">
        <v>6.5</v>
      </c>
      <c r="AN266" s="124">
        <v>5.5</v>
      </c>
      <c r="AO266" s="81">
        <v>0.23</v>
      </c>
      <c r="AP266" s="129">
        <v>0.26</v>
      </c>
      <c r="AQ266" s="132">
        <f t="shared" si="34"/>
        <v>1711</v>
      </c>
      <c r="AR266" s="134">
        <f t="shared" si="35"/>
        <v>0.62887200467562832</v>
      </c>
      <c r="AS266" s="134">
        <f t="shared" si="36"/>
        <v>5.0263004091174748E-2</v>
      </c>
      <c r="AT266" s="134">
        <f t="shared" si="37"/>
        <v>0.32086499123319695</v>
      </c>
      <c r="AU266" s="43">
        <f>IF(AND(F266&lt;&gt;"",Y266&lt;&gt;""),AA266/(F266/2/Y266),"")</f>
        <v>6.434254143646409E-2</v>
      </c>
      <c r="AV266" s="43">
        <f>IF(AND(F266&lt;&gt;"",AJ266&lt;&gt;""),AL266/(F266/2/AJ266),"")</f>
        <v>0.10148066298342542</v>
      </c>
      <c r="AW266" s="41">
        <f>IF(AND(AP266&lt;&gt;"",1-(AP266/N266)&gt;0),1-(AP266/N266),"")</f>
        <v>0.91530944625407162</v>
      </c>
      <c r="AX266" s="41">
        <f>IF(AND(AE266&lt;&gt;"",1-(AE266/N266)&gt;0),1-(AE266/N266),"")</f>
        <v>0.89902280130293155</v>
      </c>
      <c r="AY266" s="136" t="str">
        <f>IF(P266="","",IF(P266&lt;2.5,"Alc. Bruta &lt; 2,5 mg/L",IF(P266&lt;5,"2,5 ≤ Alc. Bruta &lt; 5,0 mg/L",IF(P266&lt;7.5,"5,0 ≤ Alc. Bruta &lt; 7,5 mg/L",IF(P266&lt;10,"7,5 ≤ Alc. Bruta &lt; 10,0 mg/L",IF(P266&lt;15,"10,0 ≤ Alca. Bruta &lt; 15,0 mg/L","Alc. Bruta &gt; 15 mg/L"))))))</f>
        <v>5,0 ≤ Alc. Bruta &lt; 7,5 mg/L</v>
      </c>
      <c r="AZ266" s="136" t="str">
        <f>IF(O266="","",IF(O266&lt;5,"Cor &lt;5 uC",IF(O266&lt;10,"5 ≤ Cor &lt; 10 uC",IF(O266&lt;15,"10 ≤ Cor &lt;15 uC",IF(O266&lt;30,"15 ≤ Cor &lt; 30 uC",IF(O266&lt;50,"30 ≤ Cor &lt; 50 uC","Cor &gt; 50 uC"))))))</f>
        <v>15 ≤ Cor &lt; 30 uC</v>
      </c>
      <c r="BA266" s="137" t="str">
        <f>IF(N266="","",IF(N266&lt;2.5,"Turbidez &lt; 2,5 uT",IF(N266&lt;5,"2,5 ≤ Turb &lt; 5,0 uT",IF(N266&lt;7.5,"5,0 ≤ Turb &lt; 7,5 uT",IF(N266&lt;10,"7,5 ≤ Turb &lt; 10,0 uT",IF(N266&lt;15,"10,0 ≤ Turb &lt; 15,0 uT","Turb &gt; 15 uT"))))))</f>
        <v>2,5 ≤ Turb &lt; 5,0 uT</v>
      </c>
      <c r="BB266" s="138" t="str">
        <f>IF(AND(C266&gt;D266,D266&gt;E266),"TOR &gt; SM &gt; BNN",IF(AND(C266&gt;E266,E266&gt;D266),"TOR &gt; BNN &gt; SM",IF(AND(D266&gt;C266,C266&gt;E266),"SM &gt; TOR &gt; BNN",IF(AND(D266&gt;E266,E266&gt;C266),"SM &gt; BNN &gt; TOR",IF(AND(C266=D266,D266=E266),"TOR = SM = BNN","Comb. diferentes")))))</f>
        <v>TOR &gt; BNN &gt; SM</v>
      </c>
      <c r="BC266" s="137" t="str">
        <f>IF(OR(AD266="",AP266="-"),"",IF(AD266&lt;=0.25,"Tipo 1 (≤0,25) uT",IF(AD266&lt;=0.5,"Tipo 2 (0,25-0,50) uT",IF(AD266&lt;=0.75,"Tipo 3 (0,50-0,75) uT","Tipo 4 (&gt;0,75) uT"))))</f>
        <v>Tipo 1 (≤0,25) uT</v>
      </c>
      <c r="BD266" s="137" t="str">
        <f>IF(OR(AO266="",AY266="-"),"",IF(AO266&lt;=0.25,"Tipo 1 (≤0,25) uT",IF(AO266&lt;=0.5,"Tipo 2 (0,25-0,50) uT",IF(AO266&lt;=0.75,"Tipo 3 (0,50-0,75) uT","Tipo 4 (&gt;0,75) uT"))))</f>
        <v>Tipo 1 (≤0,25) uT</v>
      </c>
      <c r="BE266" s="137" t="str">
        <f>IF(OR(AE266="",AP266="-"),"",IF(AE266&lt;=0.25,"Tipo 1 (≤0,25) uT",IF(AE266&lt;=0.5,"Tipo 2 (0,25-0,50) uT",IF(AE266&lt;=0.75,"Tipo 3 (0,50-0,75) uT","Tipo 4 (&gt;0,75) uT"))))</f>
        <v>Tipo 2 (0,25-0,50) uT</v>
      </c>
      <c r="BF266" s="137" t="str">
        <f>IF(OR(AP266="",AP266="-"),"",IF(AP266&lt;=0.25,"Tipo 1 (≤0,25) uT",IF(AP266&lt;=0.5,"Tipo 2 (0,25-0,50) uT",IF(AP266&lt;=0.75,"Tipo 3 (0,50-0,75) uT","Tipo 4 (&gt;0,75) uT"))))</f>
        <v>Tipo 2 (0,25-0,50) uT</v>
      </c>
      <c r="BG266" s="137" t="str">
        <f>IF(OR(Q266="",Q266="-"),"",IF(Q266&lt;=0.25,"Tipo 1 (≤0,25) uT",IF(Q266&lt;=0.5,"Tipo 2 (0,25-0,50) uT",IF(Q266&lt;=0.75,"Tipo 3 (0,50-0,75) uT","Tipo 4 (&gt;0,75) uT"))))</f>
        <v>Tipo 1 (≤0,25) uT</v>
      </c>
    </row>
    <row r="267" spans="1:59" x14ac:dyDescent="0.3">
      <c r="A267" s="26">
        <v>46155</v>
      </c>
      <c r="B267" s="107">
        <v>0.39583333333333331</v>
      </c>
      <c r="C267" s="116">
        <v>1075</v>
      </c>
      <c r="D267" s="116">
        <v>85</v>
      </c>
      <c r="E267" s="116">
        <v>550</v>
      </c>
      <c r="F267" s="116">
        <v>1815</v>
      </c>
      <c r="G267" s="10" t="s">
        <v>100</v>
      </c>
      <c r="H267" s="122">
        <v>5.5</v>
      </c>
      <c r="I267" s="116">
        <v>90</v>
      </c>
      <c r="J267" s="116">
        <v>90</v>
      </c>
      <c r="K267" s="116">
        <v>90</v>
      </c>
      <c r="L267" s="122">
        <v>23.6</v>
      </c>
      <c r="M267" s="122">
        <v>6.7</v>
      </c>
      <c r="N267" s="79">
        <v>8.7100000000000009</v>
      </c>
      <c r="O267" s="116">
        <v>17</v>
      </c>
      <c r="P267" s="122">
        <v>6.8</v>
      </c>
      <c r="Q267" s="79">
        <v>0.15</v>
      </c>
      <c r="R267" s="79">
        <v>22.36</v>
      </c>
      <c r="S267" s="79">
        <v>0.88</v>
      </c>
      <c r="T267" s="79">
        <v>0.7</v>
      </c>
      <c r="U267" s="85">
        <f t="shared" si="28"/>
        <v>3209.5250000000005</v>
      </c>
      <c r="V267" s="79">
        <f t="shared" si="29"/>
        <v>1596.6372566559994</v>
      </c>
      <c r="W267" s="79">
        <f t="shared" si="30"/>
        <v>0.49746839692976347</v>
      </c>
      <c r="X267" s="116">
        <v>2</v>
      </c>
      <c r="Y267" s="116">
        <v>3</v>
      </c>
      <c r="Z267" s="122">
        <v>6.52</v>
      </c>
      <c r="AA267" s="116">
        <v>19.7</v>
      </c>
      <c r="AB267" s="122">
        <v>6.6</v>
      </c>
      <c r="AC267" s="122">
        <v>6.1</v>
      </c>
      <c r="AD267" s="10">
        <v>0.21</v>
      </c>
      <c r="AE267" s="79">
        <v>0.24</v>
      </c>
      <c r="AF267" s="85">
        <f t="shared" si="31"/>
        <v>2407.1437500000002</v>
      </c>
      <c r="AG267" s="85">
        <f t="shared" si="32"/>
        <v>1836.911729146</v>
      </c>
      <c r="AH267" s="85">
        <f t="shared" si="33"/>
        <v>0.76310844715692605</v>
      </c>
      <c r="AI267" s="116">
        <v>2</v>
      </c>
      <c r="AJ267" s="116">
        <v>4</v>
      </c>
      <c r="AK267" s="79">
        <v>6.41</v>
      </c>
      <c r="AL267" s="79">
        <v>23.15</v>
      </c>
      <c r="AM267" s="122">
        <v>6.6</v>
      </c>
      <c r="AN267" s="122">
        <v>6.3</v>
      </c>
      <c r="AO267" s="79">
        <v>0.18</v>
      </c>
      <c r="AP267" s="127">
        <v>0.26</v>
      </c>
      <c r="AQ267" s="132">
        <f t="shared" si="34"/>
        <v>1710</v>
      </c>
      <c r="AR267" s="134">
        <f t="shared" si="35"/>
        <v>0.62865497076023391</v>
      </c>
      <c r="AS267" s="134">
        <f t="shared" si="36"/>
        <v>4.9707602339181284E-2</v>
      </c>
      <c r="AT267" s="134">
        <f t="shared" si="37"/>
        <v>0.32163742690058478</v>
      </c>
      <c r="AU267" s="43">
        <f>IF(AND(F267&lt;&gt;"",Y267&lt;&gt;""),AA267/(F267/2/Y267),"")</f>
        <v>6.5123966942148753E-2</v>
      </c>
      <c r="AV267" s="43">
        <f>IF(AND(F267&lt;&gt;"",AJ267&lt;&gt;""),AL267/(F267/2/AJ267),"")</f>
        <v>0.10203856749311294</v>
      </c>
      <c r="AW267" s="41">
        <f>IF(AND(AP267&lt;&gt;"",1-(AP267/N267)&gt;0),1-(AP267/N267),"")</f>
        <v>0.97014925373134331</v>
      </c>
      <c r="AX267" s="41">
        <f>IF(AND(AE267&lt;&gt;"",1-(AE267/N267)&gt;0),1-(AE267/N267),"")</f>
        <v>0.9724454649827784</v>
      </c>
      <c r="AY267" s="136" t="str">
        <f>IF(P267="","",IF(P267&lt;2.5,"Alc. Bruta &lt; 2,5 mg/L",IF(P267&lt;5,"2,5 ≤ Alc. Bruta &lt; 5,0 mg/L",IF(P267&lt;7.5,"5,0 ≤ Alc. Bruta &lt; 7,5 mg/L",IF(P267&lt;10,"7,5 ≤ Alc. Bruta &lt; 10,0 mg/L",IF(P267&lt;15,"10,0 ≤ Alca. Bruta &lt; 15,0 mg/L","Alc. Bruta &gt; 15 mg/L"))))))</f>
        <v>5,0 ≤ Alc. Bruta &lt; 7,5 mg/L</v>
      </c>
      <c r="AZ267" s="136" t="str">
        <f>IF(O267="","",IF(O267&lt;5,"Cor &lt;5 uC",IF(O267&lt;10,"5 ≤ Cor &lt; 10 uC",IF(O267&lt;15,"10 ≤ Cor &lt;15 uC",IF(O267&lt;30,"15 ≤ Cor &lt; 30 uC",IF(O267&lt;50,"30 ≤ Cor &lt; 50 uC","Cor &gt; 50 uC"))))))</f>
        <v>15 ≤ Cor &lt; 30 uC</v>
      </c>
      <c r="BA267" s="137" t="str">
        <f>IF(N267="","",IF(N267&lt;2.5,"Turbidez &lt; 2,5 uT",IF(N267&lt;5,"2,5 ≤ Turb &lt; 5,0 uT",IF(N267&lt;7.5,"5,0 ≤ Turb &lt; 7,5 uT",IF(N267&lt;10,"7,5 ≤ Turb &lt; 10,0 uT",IF(N267&lt;15,"10,0 ≤ Turb &lt; 15,0 uT","Turb &gt; 15 uT"))))))</f>
        <v>7,5 ≤ Turb &lt; 10,0 uT</v>
      </c>
      <c r="BB267" s="138" t="str">
        <f>IF(AND(C267&gt;D267,D267&gt;E267),"TOR &gt; SM &gt; BNN",IF(AND(C267&gt;E267,E267&gt;D267),"TOR &gt; BNN &gt; SM",IF(AND(D267&gt;C267,C267&gt;E267),"SM &gt; TOR &gt; BNN",IF(AND(D267&gt;E267,E267&gt;C267),"SM &gt; BNN &gt; TOR",IF(AND(C267=D267,D267=E267),"TOR = SM = BNN","Comb. diferentes")))))</f>
        <v>TOR &gt; BNN &gt; SM</v>
      </c>
      <c r="BC267" s="137" t="str">
        <f>IF(OR(AD267="",AP267="-"),"",IF(AD267&lt;=0.25,"Tipo 1 (≤0,25) uT",IF(AD267&lt;=0.5,"Tipo 2 (0,25-0,50) uT",IF(AD267&lt;=0.75,"Tipo 3 (0,50-0,75) uT","Tipo 4 (&gt;0,75) uT"))))</f>
        <v>Tipo 1 (≤0,25) uT</v>
      </c>
      <c r="BD267" s="137" t="str">
        <f>IF(OR(AO267="",AY267="-"),"",IF(AO267&lt;=0.25,"Tipo 1 (≤0,25) uT",IF(AO267&lt;=0.5,"Tipo 2 (0,25-0,50) uT",IF(AO267&lt;=0.75,"Tipo 3 (0,50-0,75) uT","Tipo 4 (&gt;0,75) uT"))))</f>
        <v>Tipo 1 (≤0,25) uT</v>
      </c>
      <c r="BE267" s="137" t="str">
        <f>IF(OR(AE267="",AP267="-"),"",IF(AE267&lt;=0.25,"Tipo 1 (≤0,25) uT",IF(AE267&lt;=0.5,"Tipo 2 (0,25-0,50) uT",IF(AE267&lt;=0.75,"Tipo 3 (0,50-0,75) uT","Tipo 4 (&gt;0,75) uT"))))</f>
        <v>Tipo 1 (≤0,25) uT</v>
      </c>
      <c r="BF267" s="137" t="str">
        <f>IF(OR(AP267="",AP267="-"),"",IF(AP267&lt;=0.25,"Tipo 1 (≤0,25) uT",IF(AP267&lt;=0.5,"Tipo 2 (0,25-0,50) uT",IF(AP267&lt;=0.75,"Tipo 3 (0,50-0,75) uT","Tipo 4 (&gt;0,75) uT"))))</f>
        <v>Tipo 2 (0,25-0,50) uT</v>
      </c>
      <c r="BG267" s="137" t="str">
        <f>IF(OR(Q267="",Q267="-"),"",IF(Q267&lt;=0.25,"Tipo 1 (≤0,25) uT",IF(Q267&lt;=0.5,"Tipo 2 (0,25-0,50) uT",IF(Q267&lt;=0.75,"Tipo 3 (0,50-0,75) uT","Tipo 4 (&gt;0,75) uT"))))</f>
        <v>Tipo 1 (≤0,25) uT</v>
      </c>
    </row>
    <row r="268" spans="1:59" x14ac:dyDescent="0.3">
      <c r="A268" s="26">
        <v>46155</v>
      </c>
      <c r="B268" s="107">
        <v>0.47916666666666669</v>
      </c>
      <c r="C268" s="116">
        <v>1180</v>
      </c>
      <c r="D268" s="116">
        <v>89</v>
      </c>
      <c r="E268" s="116">
        <v>549</v>
      </c>
      <c r="F268" s="116">
        <v>1800</v>
      </c>
      <c r="G268" s="10" t="s">
        <v>100</v>
      </c>
      <c r="H268" s="122">
        <v>5.5</v>
      </c>
      <c r="I268" s="116">
        <v>90</v>
      </c>
      <c r="J268" s="116">
        <v>90</v>
      </c>
      <c r="K268" s="116">
        <v>90</v>
      </c>
      <c r="L268" s="122">
        <v>24.6</v>
      </c>
      <c r="M268" s="122">
        <v>6.7</v>
      </c>
      <c r="N268" s="79">
        <v>4.6399999999999997</v>
      </c>
      <c r="O268" s="116">
        <v>19</v>
      </c>
      <c r="P268" s="122">
        <v>7.6</v>
      </c>
      <c r="Q268" s="79">
        <v>0.18</v>
      </c>
      <c r="R268" s="79">
        <v>22.36</v>
      </c>
      <c r="S268" s="79">
        <v>0.88</v>
      </c>
      <c r="T268" s="79">
        <v>0.7</v>
      </c>
      <c r="U268" s="85">
        <f t="shared" si="28"/>
        <v>1961.9999999999998</v>
      </c>
      <c r="V268" s="79">
        <f t="shared" si="29"/>
        <v>1563.3388150899998</v>
      </c>
      <c r="W268" s="79">
        <f t="shared" si="30"/>
        <v>0.79680877425586139</v>
      </c>
      <c r="X268" s="116">
        <v>2</v>
      </c>
      <c r="Y268" s="116">
        <v>3</v>
      </c>
      <c r="Z268" s="122">
        <v>6.45</v>
      </c>
      <c r="AA268" s="116">
        <v>19.55</v>
      </c>
      <c r="AB268" s="122">
        <v>6.6</v>
      </c>
      <c r="AC268" s="122">
        <v>6.4</v>
      </c>
      <c r="AD268" s="10">
        <v>0.13</v>
      </c>
      <c r="AE268" s="79">
        <v>0.32</v>
      </c>
      <c r="AF268" s="85">
        <f t="shared" si="31"/>
        <v>1471.4999999999998</v>
      </c>
      <c r="AG268" s="85">
        <f t="shared" si="32"/>
        <v>1833.7956898559999</v>
      </c>
      <c r="AH268" s="85">
        <f t="shared" si="33"/>
        <v>1.2462084198817533</v>
      </c>
      <c r="AI268" s="116">
        <v>2</v>
      </c>
      <c r="AJ268" s="116">
        <v>4</v>
      </c>
      <c r="AK268" s="79">
        <v>6.48</v>
      </c>
      <c r="AL268" s="79">
        <v>22.8</v>
      </c>
      <c r="AM268" s="122">
        <v>6.6</v>
      </c>
      <c r="AN268" s="122">
        <v>5.8</v>
      </c>
      <c r="AO268" s="79">
        <v>0.25</v>
      </c>
      <c r="AP268" s="127">
        <v>0.28999999999999998</v>
      </c>
      <c r="AQ268" s="132">
        <f t="shared" si="34"/>
        <v>1818</v>
      </c>
      <c r="AR268" s="134">
        <f t="shared" si="35"/>
        <v>0.64906490649064907</v>
      </c>
      <c r="AS268" s="134">
        <f t="shared" si="36"/>
        <v>4.8954895489548955E-2</v>
      </c>
      <c r="AT268" s="134">
        <f t="shared" si="37"/>
        <v>0.30198019801980197</v>
      </c>
      <c r="AU268" s="43">
        <f>IF(AND(F268&lt;&gt;"",Y268&lt;&gt;""),AA268/(F268/2/Y268),"")</f>
        <v>6.5166666666666664E-2</v>
      </c>
      <c r="AV268" s="43">
        <f>IF(AND(F268&lt;&gt;"",AJ268&lt;&gt;""),AL268/(F268/2/AJ268),"")</f>
        <v>0.10133333333333333</v>
      </c>
      <c r="AW268" s="41">
        <f>IF(AND(AP268&lt;&gt;"",1-(AP268/N268)&gt;0),1-(AP268/N268),"")</f>
        <v>0.9375</v>
      </c>
      <c r="AX268" s="41">
        <f>IF(AND(AE268&lt;&gt;"",1-(AE268/N268)&gt;0),1-(AE268/N268),"")</f>
        <v>0.93103448275862066</v>
      </c>
      <c r="AY268" s="136" t="str">
        <f>IF(P268="","",IF(P268&lt;2.5,"Alc. Bruta &lt; 2,5 mg/L",IF(P268&lt;5,"2,5 ≤ Alc. Bruta &lt; 5,0 mg/L",IF(P268&lt;7.5,"5,0 ≤ Alc. Bruta &lt; 7,5 mg/L",IF(P268&lt;10,"7,5 ≤ Alc. Bruta &lt; 10,0 mg/L",IF(P268&lt;15,"10,0 ≤ Alca. Bruta &lt; 15,0 mg/L","Alc. Bruta &gt; 15 mg/L"))))))</f>
        <v>7,5 ≤ Alc. Bruta &lt; 10,0 mg/L</v>
      </c>
      <c r="AZ268" s="136" t="str">
        <f>IF(O268="","",IF(O268&lt;5,"Cor &lt;5 uC",IF(O268&lt;10,"5 ≤ Cor &lt; 10 uC",IF(O268&lt;15,"10 ≤ Cor &lt;15 uC",IF(O268&lt;30,"15 ≤ Cor &lt; 30 uC",IF(O268&lt;50,"30 ≤ Cor &lt; 50 uC","Cor &gt; 50 uC"))))))</f>
        <v>15 ≤ Cor &lt; 30 uC</v>
      </c>
      <c r="BA268" s="137" t="str">
        <f>IF(N268="","",IF(N268&lt;2.5,"Turbidez &lt; 2,5 uT",IF(N268&lt;5,"2,5 ≤ Turb &lt; 5,0 uT",IF(N268&lt;7.5,"5,0 ≤ Turb &lt; 7,5 uT",IF(N268&lt;10,"7,5 ≤ Turb &lt; 10,0 uT",IF(N268&lt;15,"10,0 ≤ Turb &lt; 15,0 uT","Turb &gt; 15 uT"))))))</f>
        <v>2,5 ≤ Turb &lt; 5,0 uT</v>
      </c>
      <c r="BB268" s="138" t="str">
        <f>IF(AND(C268&gt;D268,D268&gt;E268),"TOR &gt; SM &gt; BNN",IF(AND(C268&gt;E268,E268&gt;D268),"TOR &gt; BNN &gt; SM",IF(AND(D268&gt;C268,C268&gt;E268),"SM &gt; TOR &gt; BNN",IF(AND(D268&gt;E268,E268&gt;C268),"SM &gt; BNN &gt; TOR",IF(AND(C268=D268,D268=E268),"TOR = SM = BNN","Comb. diferentes")))))</f>
        <v>TOR &gt; BNN &gt; SM</v>
      </c>
      <c r="BC268" s="137" t="str">
        <f>IF(OR(AD268="",AP268="-"),"",IF(AD268&lt;=0.25,"Tipo 1 (≤0,25) uT",IF(AD268&lt;=0.5,"Tipo 2 (0,25-0,50) uT",IF(AD268&lt;=0.75,"Tipo 3 (0,50-0,75) uT","Tipo 4 (&gt;0,75) uT"))))</f>
        <v>Tipo 1 (≤0,25) uT</v>
      </c>
      <c r="BD268" s="137" t="str">
        <f>IF(OR(AO268="",AY268="-"),"",IF(AO268&lt;=0.25,"Tipo 1 (≤0,25) uT",IF(AO268&lt;=0.5,"Tipo 2 (0,25-0,50) uT",IF(AO268&lt;=0.75,"Tipo 3 (0,50-0,75) uT","Tipo 4 (&gt;0,75) uT"))))</f>
        <v>Tipo 1 (≤0,25) uT</v>
      </c>
      <c r="BE268" s="137" t="str">
        <f>IF(OR(AE268="",AP268="-"),"",IF(AE268&lt;=0.25,"Tipo 1 (≤0,25) uT",IF(AE268&lt;=0.5,"Tipo 2 (0,25-0,50) uT",IF(AE268&lt;=0.75,"Tipo 3 (0,50-0,75) uT","Tipo 4 (&gt;0,75) uT"))))</f>
        <v>Tipo 2 (0,25-0,50) uT</v>
      </c>
      <c r="BF268" s="137" t="str">
        <f>IF(OR(AP268="",AP268="-"),"",IF(AP268&lt;=0.25,"Tipo 1 (≤0,25) uT",IF(AP268&lt;=0.5,"Tipo 2 (0,25-0,50) uT",IF(AP268&lt;=0.75,"Tipo 3 (0,50-0,75) uT","Tipo 4 (&gt;0,75) uT"))))</f>
        <v>Tipo 2 (0,25-0,50) uT</v>
      </c>
      <c r="BG268" s="137" t="str">
        <f>IF(OR(Q268="",Q268="-"),"",IF(Q268&lt;=0.25,"Tipo 1 (≤0,25) uT",IF(Q268&lt;=0.5,"Tipo 2 (0,25-0,50) uT",IF(Q268&lt;=0.75,"Tipo 3 (0,50-0,75) uT","Tipo 4 (&gt;0,75) uT"))))</f>
        <v>Tipo 1 (≤0,25) uT</v>
      </c>
    </row>
    <row r="269" spans="1:59" x14ac:dyDescent="0.3">
      <c r="A269" s="26">
        <v>46155</v>
      </c>
      <c r="B269" s="107">
        <v>0.64583333333333337</v>
      </c>
      <c r="C269" s="116">
        <v>1148</v>
      </c>
      <c r="D269" s="116">
        <v>87</v>
      </c>
      <c r="E269" s="116">
        <v>549</v>
      </c>
      <c r="F269" s="116">
        <v>1804</v>
      </c>
      <c r="G269" s="10" t="s">
        <v>100</v>
      </c>
      <c r="H269" s="122">
        <v>5.5</v>
      </c>
      <c r="I269" s="116">
        <v>90</v>
      </c>
      <c r="J269" s="116">
        <v>90</v>
      </c>
      <c r="K269" s="116">
        <v>90</v>
      </c>
      <c r="L269" s="122">
        <v>25.5</v>
      </c>
      <c r="M269" s="122">
        <v>6.7</v>
      </c>
      <c r="N269" s="79">
        <v>2.93</v>
      </c>
      <c r="O269" s="116">
        <v>13</v>
      </c>
      <c r="P269" s="122">
        <v>7.9</v>
      </c>
      <c r="Q269" s="79">
        <v>0.25</v>
      </c>
      <c r="R269" s="79">
        <v>22.36</v>
      </c>
      <c r="S269" s="79">
        <v>0.88</v>
      </c>
      <c r="T269" s="79">
        <v>0.7</v>
      </c>
      <c r="U269" s="85">
        <f t="shared" si="28"/>
        <v>1452.22</v>
      </c>
      <c r="V269" s="79">
        <f t="shared" si="29"/>
        <v>1596.2022406200001</v>
      </c>
      <c r="W269" s="79">
        <f t="shared" si="30"/>
        <v>1.0991463005742932</v>
      </c>
      <c r="X269" s="116">
        <v>2</v>
      </c>
      <c r="Y269" s="116">
        <v>3</v>
      </c>
      <c r="Z269" s="122">
        <v>6.5</v>
      </c>
      <c r="AA269" s="116">
        <v>19.77</v>
      </c>
      <c r="AB269" s="122">
        <v>6.7</v>
      </c>
      <c r="AC269" s="122">
        <v>6.5</v>
      </c>
      <c r="AD269" s="10">
        <v>0.36</v>
      </c>
      <c r="AE269" s="79">
        <v>0.63</v>
      </c>
      <c r="AF269" s="85">
        <f t="shared" si="31"/>
        <v>1089.165</v>
      </c>
      <c r="AG269" s="85">
        <f t="shared" si="32"/>
        <v>1825.6278848339996</v>
      </c>
      <c r="AH269" s="85">
        <f t="shared" si="33"/>
        <v>1.6761720077619091</v>
      </c>
      <c r="AI269" s="116">
        <v>2</v>
      </c>
      <c r="AJ269" s="116">
        <v>4</v>
      </c>
      <c r="AK269" s="79">
        <v>6.45</v>
      </c>
      <c r="AL269" s="79">
        <v>22.83</v>
      </c>
      <c r="AM269" s="122">
        <v>6.7</v>
      </c>
      <c r="AN269" s="122">
        <v>6.8</v>
      </c>
      <c r="AO269" s="79">
        <v>0.28999999999999998</v>
      </c>
      <c r="AP269" s="127">
        <v>0.49</v>
      </c>
      <c r="AQ269" s="132">
        <f t="shared" si="34"/>
        <v>1784</v>
      </c>
      <c r="AR269" s="134">
        <f t="shared" si="35"/>
        <v>0.6434977578475336</v>
      </c>
      <c r="AS269" s="134">
        <f t="shared" si="36"/>
        <v>4.876681614349776E-2</v>
      </c>
      <c r="AT269" s="134">
        <f t="shared" si="37"/>
        <v>0.30773542600896858</v>
      </c>
      <c r="AU269" s="43">
        <f>IF(AND(F269&lt;&gt;"",Y269&lt;&gt;""),AA269/(F269/2/Y269),"")</f>
        <v>6.5753880266075385E-2</v>
      </c>
      <c r="AV269" s="43">
        <f>IF(AND(F269&lt;&gt;"",AJ269&lt;&gt;""),AL269/(F269/2/AJ269),"")</f>
        <v>0.10124168514412415</v>
      </c>
      <c r="AW269" s="41">
        <f>IF(AND(AP269&lt;&gt;"",1-(AP269/N269)&gt;0),1-(AP269/N269),"")</f>
        <v>0.83276450511945388</v>
      </c>
      <c r="AX269" s="41">
        <f>IF(AND(AE269&lt;&gt;"",1-(AE269/N269)&gt;0),1-(AE269/N269),"")</f>
        <v>0.78498293515358364</v>
      </c>
      <c r="AY269" s="136" t="str">
        <f>IF(P269="","",IF(P269&lt;2.5,"Alc. Bruta &lt; 2,5 mg/L",IF(P269&lt;5,"2,5 ≤ Alc. Bruta &lt; 5,0 mg/L",IF(P269&lt;7.5,"5,0 ≤ Alc. Bruta &lt; 7,5 mg/L",IF(P269&lt;10,"7,5 ≤ Alc. Bruta &lt; 10,0 mg/L",IF(P269&lt;15,"10,0 ≤ Alca. Bruta &lt; 15,0 mg/L","Alc. Bruta &gt; 15 mg/L"))))))</f>
        <v>7,5 ≤ Alc. Bruta &lt; 10,0 mg/L</v>
      </c>
      <c r="AZ269" s="136" t="str">
        <f>IF(O269="","",IF(O269&lt;5,"Cor &lt;5 uC",IF(O269&lt;10,"5 ≤ Cor &lt; 10 uC",IF(O269&lt;15,"10 ≤ Cor &lt;15 uC",IF(O269&lt;30,"15 ≤ Cor &lt; 30 uC",IF(O269&lt;50,"30 ≤ Cor &lt; 50 uC","Cor &gt; 50 uC"))))))</f>
        <v>10 ≤ Cor &lt;15 uC</v>
      </c>
      <c r="BA269" s="137" t="str">
        <f>IF(N269="","",IF(N269&lt;2.5,"Turbidez &lt; 2,5 uT",IF(N269&lt;5,"2,5 ≤ Turb &lt; 5,0 uT",IF(N269&lt;7.5,"5,0 ≤ Turb &lt; 7,5 uT",IF(N269&lt;10,"7,5 ≤ Turb &lt; 10,0 uT",IF(N269&lt;15,"10,0 ≤ Turb &lt; 15,0 uT","Turb &gt; 15 uT"))))))</f>
        <v>2,5 ≤ Turb &lt; 5,0 uT</v>
      </c>
      <c r="BB269" s="138" t="str">
        <f>IF(AND(C269&gt;D269,D269&gt;E269),"TOR &gt; SM &gt; BNN",IF(AND(C269&gt;E269,E269&gt;D269),"TOR &gt; BNN &gt; SM",IF(AND(D269&gt;C269,C269&gt;E269),"SM &gt; TOR &gt; BNN",IF(AND(D269&gt;E269,E269&gt;C269),"SM &gt; BNN &gt; TOR",IF(AND(C269=D269,D269=E269),"TOR = SM = BNN","Comb. diferentes")))))</f>
        <v>TOR &gt; BNN &gt; SM</v>
      </c>
      <c r="BC269" s="137" t="str">
        <f>IF(OR(AD269="",AP269="-"),"",IF(AD269&lt;=0.25,"Tipo 1 (≤0,25) uT",IF(AD269&lt;=0.5,"Tipo 2 (0,25-0,50) uT",IF(AD269&lt;=0.75,"Tipo 3 (0,50-0,75) uT","Tipo 4 (&gt;0,75) uT"))))</f>
        <v>Tipo 2 (0,25-0,50) uT</v>
      </c>
      <c r="BD269" s="137" t="str">
        <f>IF(OR(AO269="",AY269="-"),"",IF(AO269&lt;=0.25,"Tipo 1 (≤0,25) uT",IF(AO269&lt;=0.5,"Tipo 2 (0,25-0,50) uT",IF(AO269&lt;=0.75,"Tipo 3 (0,50-0,75) uT","Tipo 4 (&gt;0,75) uT"))))</f>
        <v>Tipo 2 (0,25-0,50) uT</v>
      </c>
      <c r="BE269" s="137" t="str">
        <f>IF(OR(AE269="",AP269="-"),"",IF(AE269&lt;=0.25,"Tipo 1 (≤0,25) uT",IF(AE269&lt;=0.5,"Tipo 2 (0,25-0,50) uT",IF(AE269&lt;=0.75,"Tipo 3 (0,50-0,75) uT","Tipo 4 (&gt;0,75) uT"))))</f>
        <v>Tipo 3 (0,50-0,75) uT</v>
      </c>
      <c r="BF269" s="137" t="str">
        <f>IF(OR(AP269="",AP269="-"),"",IF(AP269&lt;=0.25,"Tipo 1 (≤0,25) uT",IF(AP269&lt;=0.5,"Tipo 2 (0,25-0,50) uT",IF(AP269&lt;=0.75,"Tipo 3 (0,50-0,75) uT","Tipo 4 (&gt;0,75) uT"))))</f>
        <v>Tipo 2 (0,25-0,50) uT</v>
      </c>
      <c r="BG269" s="137" t="str">
        <f>IF(OR(Q269="",Q269="-"),"",IF(Q269&lt;=0.25,"Tipo 1 (≤0,25) uT",IF(Q269&lt;=0.5,"Tipo 2 (0,25-0,50) uT",IF(Q269&lt;=0.75,"Tipo 3 (0,50-0,75) uT","Tipo 4 (&gt;0,75) uT"))))</f>
        <v>Tipo 1 (≤0,25) uT</v>
      </c>
    </row>
    <row r="270" spans="1:59" x14ac:dyDescent="0.3">
      <c r="A270" s="26">
        <v>46155</v>
      </c>
      <c r="B270" s="107">
        <v>0.8125</v>
      </c>
      <c r="C270" s="116">
        <v>1170</v>
      </c>
      <c r="D270" s="116">
        <v>86</v>
      </c>
      <c r="E270" s="116">
        <v>550</v>
      </c>
      <c r="F270" s="116">
        <v>1830</v>
      </c>
      <c r="G270" s="10" t="s">
        <v>100</v>
      </c>
      <c r="H270" s="122">
        <v>5.6</v>
      </c>
      <c r="I270" s="116">
        <v>90</v>
      </c>
      <c r="J270" s="116">
        <v>90</v>
      </c>
      <c r="K270" s="116">
        <v>90</v>
      </c>
      <c r="L270" s="122">
        <v>24.9</v>
      </c>
      <c r="M270" s="122">
        <v>6.7</v>
      </c>
      <c r="N270" s="79">
        <v>4.7699999999999996</v>
      </c>
      <c r="O270" s="116">
        <v>14</v>
      </c>
      <c r="P270" s="122">
        <v>7</v>
      </c>
      <c r="Q270" s="79">
        <v>0.25</v>
      </c>
      <c r="R270" s="79">
        <v>22.36</v>
      </c>
      <c r="S270" s="79">
        <v>0.88</v>
      </c>
      <c r="T270" s="79">
        <v>0.7</v>
      </c>
      <c r="U270" s="85">
        <f t="shared" si="28"/>
        <v>2043.4999999999998</v>
      </c>
      <c r="V270" s="79">
        <f t="shared" si="29"/>
        <v>1587.5071789719998</v>
      </c>
      <c r="W270" s="79">
        <f t="shared" si="30"/>
        <v>0.77685695080597017</v>
      </c>
      <c r="X270" s="116">
        <v>2</v>
      </c>
      <c r="Y270" s="116">
        <v>3</v>
      </c>
      <c r="Z270" s="122">
        <v>6.49</v>
      </c>
      <c r="AA270" s="116">
        <v>19.7</v>
      </c>
      <c r="AB270" s="122">
        <v>6.7</v>
      </c>
      <c r="AC270" s="122">
        <v>6.7</v>
      </c>
      <c r="AD270" s="10">
        <v>0.34</v>
      </c>
      <c r="AE270" s="79">
        <v>0.34</v>
      </c>
      <c r="AF270" s="85">
        <f t="shared" si="31"/>
        <v>1532.6249999999998</v>
      </c>
      <c r="AG270" s="85">
        <f t="shared" si="32"/>
        <v>1824.9466655211995</v>
      </c>
      <c r="AH270" s="85">
        <f t="shared" si="33"/>
        <v>1.1907326746733218</v>
      </c>
      <c r="AI270" s="116">
        <v>2</v>
      </c>
      <c r="AJ270" s="116">
        <v>4</v>
      </c>
      <c r="AK270" s="79">
        <v>6.43</v>
      </c>
      <c r="AL270" s="79">
        <v>22.91</v>
      </c>
      <c r="AM270" s="122">
        <v>6.7</v>
      </c>
      <c r="AN270" s="122">
        <v>6.8</v>
      </c>
      <c r="AO270" s="79">
        <v>0.27</v>
      </c>
      <c r="AP270" s="127">
        <v>0.4</v>
      </c>
      <c r="AQ270" s="132">
        <f t="shared" si="34"/>
        <v>1806</v>
      </c>
      <c r="AR270" s="134">
        <f t="shared" si="35"/>
        <v>0.64784053156146182</v>
      </c>
      <c r="AS270" s="134">
        <f t="shared" si="36"/>
        <v>4.7619047619047616E-2</v>
      </c>
      <c r="AT270" s="134">
        <f t="shared" si="37"/>
        <v>0.30454042081949056</v>
      </c>
      <c r="AU270" s="43">
        <f>IF(AND(F270&lt;&gt;"",Y270&lt;&gt;""),AA270/(F270/2/Y270),"")</f>
        <v>6.4590163934426223E-2</v>
      </c>
      <c r="AV270" s="43">
        <f>IF(AND(F270&lt;&gt;"",AJ270&lt;&gt;""),AL270/(F270/2/AJ270),"")</f>
        <v>0.10015300546448087</v>
      </c>
      <c r="AW270" s="41">
        <f>IF(AND(AP270&lt;&gt;"",1-(AP270/N270)&gt;0),1-(AP270/N270),"")</f>
        <v>0.9161425576519916</v>
      </c>
      <c r="AX270" s="41">
        <f>IF(AND(AE270&lt;&gt;"",1-(AE270/N270)&gt;0),1-(AE270/N270),"")</f>
        <v>0.92872117400419285</v>
      </c>
      <c r="AY270" s="136" t="str">
        <f>IF(P270="","",IF(P270&lt;2.5,"Alc. Bruta &lt; 2,5 mg/L",IF(P270&lt;5,"2,5 ≤ Alc. Bruta &lt; 5,0 mg/L",IF(P270&lt;7.5,"5,0 ≤ Alc. Bruta &lt; 7,5 mg/L",IF(P270&lt;10,"7,5 ≤ Alc. Bruta &lt; 10,0 mg/L",IF(P270&lt;15,"10,0 ≤ Alca. Bruta &lt; 15,0 mg/L","Alc. Bruta &gt; 15 mg/L"))))))</f>
        <v>5,0 ≤ Alc. Bruta &lt; 7,5 mg/L</v>
      </c>
      <c r="AZ270" s="136" t="str">
        <f>IF(O270="","",IF(O270&lt;5,"Cor &lt;5 uC",IF(O270&lt;10,"5 ≤ Cor &lt; 10 uC",IF(O270&lt;15,"10 ≤ Cor &lt;15 uC",IF(O270&lt;30,"15 ≤ Cor &lt; 30 uC",IF(O270&lt;50,"30 ≤ Cor &lt; 50 uC","Cor &gt; 50 uC"))))))</f>
        <v>10 ≤ Cor &lt;15 uC</v>
      </c>
      <c r="BA270" s="137" t="str">
        <f>IF(N270="","",IF(N270&lt;2.5,"Turbidez &lt; 2,5 uT",IF(N270&lt;5,"2,5 ≤ Turb &lt; 5,0 uT",IF(N270&lt;7.5,"5,0 ≤ Turb &lt; 7,5 uT",IF(N270&lt;10,"7,5 ≤ Turb &lt; 10,0 uT",IF(N270&lt;15,"10,0 ≤ Turb &lt; 15,0 uT","Turb &gt; 15 uT"))))))</f>
        <v>2,5 ≤ Turb &lt; 5,0 uT</v>
      </c>
      <c r="BB270" s="138" t="str">
        <f>IF(AND(C270&gt;D270,D270&gt;E270),"TOR &gt; SM &gt; BNN",IF(AND(C270&gt;E270,E270&gt;D270),"TOR &gt; BNN &gt; SM",IF(AND(D270&gt;C270,C270&gt;E270),"SM &gt; TOR &gt; BNN",IF(AND(D270&gt;E270,E270&gt;C270),"SM &gt; BNN &gt; TOR",IF(AND(C270=D270,D270=E270),"TOR = SM = BNN","Comb. diferentes")))))</f>
        <v>TOR &gt; BNN &gt; SM</v>
      </c>
      <c r="BC270" s="137" t="str">
        <f>IF(OR(AD270="",AP270="-"),"",IF(AD270&lt;=0.25,"Tipo 1 (≤0,25) uT",IF(AD270&lt;=0.5,"Tipo 2 (0,25-0,50) uT",IF(AD270&lt;=0.75,"Tipo 3 (0,50-0,75) uT","Tipo 4 (&gt;0,75) uT"))))</f>
        <v>Tipo 2 (0,25-0,50) uT</v>
      </c>
      <c r="BD270" s="137" t="str">
        <f>IF(OR(AO270="",AY270="-"),"",IF(AO270&lt;=0.25,"Tipo 1 (≤0,25) uT",IF(AO270&lt;=0.5,"Tipo 2 (0,25-0,50) uT",IF(AO270&lt;=0.75,"Tipo 3 (0,50-0,75) uT","Tipo 4 (&gt;0,75) uT"))))</f>
        <v>Tipo 2 (0,25-0,50) uT</v>
      </c>
      <c r="BE270" s="137" t="str">
        <f>IF(OR(AE270="",AP270="-"),"",IF(AE270&lt;=0.25,"Tipo 1 (≤0,25) uT",IF(AE270&lt;=0.5,"Tipo 2 (0,25-0,50) uT",IF(AE270&lt;=0.75,"Tipo 3 (0,50-0,75) uT","Tipo 4 (&gt;0,75) uT"))))</f>
        <v>Tipo 2 (0,25-0,50) uT</v>
      </c>
      <c r="BF270" s="137" t="str">
        <f>IF(OR(AP270="",AP270="-"),"",IF(AP270&lt;=0.25,"Tipo 1 (≤0,25) uT",IF(AP270&lt;=0.5,"Tipo 2 (0,25-0,50) uT",IF(AP270&lt;=0.75,"Tipo 3 (0,50-0,75) uT","Tipo 4 (&gt;0,75) uT"))))</f>
        <v>Tipo 2 (0,25-0,50) uT</v>
      </c>
      <c r="BG270" s="137" t="str">
        <f>IF(OR(Q270="",Q270="-"),"",IF(Q270&lt;=0.25,"Tipo 1 (≤0,25) uT",IF(Q270&lt;=0.5,"Tipo 2 (0,25-0,50) uT",IF(Q270&lt;=0.75,"Tipo 3 (0,50-0,75) uT","Tipo 4 (&gt;0,75) uT"))))</f>
        <v>Tipo 1 (≤0,25) uT</v>
      </c>
    </row>
    <row r="271" spans="1:59" x14ac:dyDescent="0.3">
      <c r="A271" s="26">
        <v>46155</v>
      </c>
      <c r="B271" s="107">
        <v>0.89583333333333337</v>
      </c>
      <c r="C271" s="116">
        <v>1137</v>
      </c>
      <c r="D271" s="116">
        <v>85</v>
      </c>
      <c r="E271" s="116">
        <v>550</v>
      </c>
      <c r="F271" s="116">
        <v>1930</v>
      </c>
      <c r="G271" s="10" t="s">
        <v>100</v>
      </c>
      <c r="H271" s="122">
        <v>5.6</v>
      </c>
      <c r="I271" s="116">
        <v>90</v>
      </c>
      <c r="J271" s="116">
        <v>90</v>
      </c>
      <c r="K271" s="116">
        <v>90</v>
      </c>
      <c r="L271" s="122">
        <v>23.7</v>
      </c>
      <c r="M271" s="122">
        <v>6.8</v>
      </c>
      <c r="N271" s="79">
        <v>3.72</v>
      </c>
      <c r="O271" s="116">
        <v>13</v>
      </c>
      <c r="P271" s="122">
        <v>6.4</v>
      </c>
      <c r="Q271" s="79">
        <v>0.23</v>
      </c>
      <c r="R271" s="79">
        <v>22.36</v>
      </c>
      <c r="S271" s="79">
        <v>0.88</v>
      </c>
      <c r="T271" s="79">
        <v>0.7</v>
      </c>
      <c r="U271" s="85">
        <f t="shared" si="28"/>
        <v>1817.416666666667</v>
      </c>
      <c r="V271" s="79">
        <f t="shared" si="29"/>
        <v>1447.7334393599999</v>
      </c>
      <c r="W271" s="79">
        <f t="shared" si="30"/>
        <v>0.79658862269338326</v>
      </c>
      <c r="X271" s="116">
        <v>2</v>
      </c>
      <c r="Y271" s="116">
        <v>3</v>
      </c>
      <c r="Z271" s="122">
        <v>6.48</v>
      </c>
      <c r="AA271" s="116">
        <v>18</v>
      </c>
      <c r="AB271" s="122">
        <v>6.6</v>
      </c>
      <c r="AC271" s="122">
        <v>6.1</v>
      </c>
      <c r="AD271" s="10">
        <v>0.36</v>
      </c>
      <c r="AE271" s="79">
        <v>0.34</v>
      </c>
      <c r="AF271" s="85">
        <f t="shared" si="31"/>
        <v>1363.0625</v>
      </c>
      <c r="AG271" s="85">
        <f t="shared" si="32"/>
        <v>1832.1158143599996</v>
      </c>
      <c r="AH271" s="85">
        <f t="shared" si="33"/>
        <v>1.3441172465385847</v>
      </c>
      <c r="AI271" s="116">
        <v>2</v>
      </c>
      <c r="AJ271" s="116">
        <v>4</v>
      </c>
      <c r="AK271" s="79">
        <v>6.43</v>
      </c>
      <c r="AL271" s="79">
        <v>23</v>
      </c>
      <c r="AM271" s="122">
        <v>6.6</v>
      </c>
      <c r="AN271" s="122">
        <v>6.4</v>
      </c>
      <c r="AO271" s="79">
        <v>0.4</v>
      </c>
      <c r="AP271" s="127">
        <v>0.34</v>
      </c>
      <c r="AQ271" s="132">
        <f t="shared" si="34"/>
        <v>1772</v>
      </c>
      <c r="AR271" s="134">
        <f t="shared" si="35"/>
        <v>0.64164785553047399</v>
      </c>
      <c r="AS271" s="134">
        <f t="shared" si="36"/>
        <v>4.7968397291196389E-2</v>
      </c>
      <c r="AT271" s="134">
        <f t="shared" si="37"/>
        <v>0.31038374717832956</v>
      </c>
      <c r="AU271" s="43">
        <f>IF(AND(F271&lt;&gt;"",Y271&lt;&gt;""),AA271/(F271/2/Y271),"")</f>
        <v>5.5958549222797922E-2</v>
      </c>
      <c r="AV271" s="43">
        <f>IF(AND(F271&lt;&gt;"",AJ271&lt;&gt;""),AL271/(F271/2/AJ271),"")</f>
        <v>9.5336787564766837E-2</v>
      </c>
      <c r="AW271" s="41">
        <f>IF(AND(AP271&lt;&gt;"",1-(AP271/N271)&gt;0),1-(AP271/N271),"")</f>
        <v>0.90860215053763438</v>
      </c>
      <c r="AX271" s="41">
        <f>IF(AND(AE271&lt;&gt;"",1-(AE271/N271)&gt;0),1-(AE271/N271),"")</f>
        <v>0.90860215053763438</v>
      </c>
      <c r="AY271" s="136" t="str">
        <f>IF(P271="","",IF(P271&lt;2.5,"Alc. Bruta &lt; 2,5 mg/L",IF(P271&lt;5,"2,5 ≤ Alc. Bruta &lt; 5,0 mg/L",IF(P271&lt;7.5,"5,0 ≤ Alc. Bruta &lt; 7,5 mg/L",IF(P271&lt;10,"7,5 ≤ Alc. Bruta &lt; 10,0 mg/L",IF(P271&lt;15,"10,0 ≤ Alca. Bruta &lt; 15,0 mg/L","Alc. Bruta &gt; 15 mg/L"))))))</f>
        <v>5,0 ≤ Alc. Bruta &lt; 7,5 mg/L</v>
      </c>
      <c r="AZ271" s="136" t="str">
        <f>IF(O271="","",IF(O271&lt;5,"Cor &lt;5 uC",IF(O271&lt;10,"5 ≤ Cor &lt; 10 uC",IF(O271&lt;15,"10 ≤ Cor &lt;15 uC",IF(O271&lt;30,"15 ≤ Cor &lt; 30 uC",IF(O271&lt;50,"30 ≤ Cor &lt; 50 uC","Cor &gt; 50 uC"))))))</f>
        <v>10 ≤ Cor &lt;15 uC</v>
      </c>
      <c r="BA271" s="137" t="str">
        <f>IF(N271="","",IF(N271&lt;2.5,"Turbidez &lt; 2,5 uT",IF(N271&lt;5,"2,5 ≤ Turb &lt; 5,0 uT",IF(N271&lt;7.5,"5,0 ≤ Turb &lt; 7,5 uT",IF(N271&lt;10,"7,5 ≤ Turb &lt; 10,0 uT",IF(N271&lt;15,"10,0 ≤ Turb &lt; 15,0 uT","Turb &gt; 15 uT"))))))</f>
        <v>2,5 ≤ Turb &lt; 5,0 uT</v>
      </c>
      <c r="BB271" s="138" t="str">
        <f>IF(AND(C271&gt;D271,D271&gt;E271),"TOR &gt; SM &gt; BNN",IF(AND(C271&gt;E271,E271&gt;D271),"TOR &gt; BNN &gt; SM",IF(AND(D271&gt;C271,C271&gt;E271),"SM &gt; TOR &gt; BNN",IF(AND(D271&gt;E271,E271&gt;C271),"SM &gt; BNN &gt; TOR",IF(AND(C271=D271,D271=E271),"TOR = SM = BNN","Comb. diferentes")))))</f>
        <v>TOR &gt; BNN &gt; SM</v>
      </c>
      <c r="BC271" s="137" t="str">
        <f>IF(OR(AD271="",AP271="-"),"",IF(AD271&lt;=0.25,"Tipo 1 (≤0,25) uT",IF(AD271&lt;=0.5,"Tipo 2 (0,25-0,50) uT",IF(AD271&lt;=0.75,"Tipo 3 (0,50-0,75) uT","Tipo 4 (&gt;0,75) uT"))))</f>
        <v>Tipo 2 (0,25-0,50) uT</v>
      </c>
      <c r="BD271" s="137" t="str">
        <f>IF(OR(AO271="",AY271="-"),"",IF(AO271&lt;=0.25,"Tipo 1 (≤0,25) uT",IF(AO271&lt;=0.5,"Tipo 2 (0,25-0,50) uT",IF(AO271&lt;=0.75,"Tipo 3 (0,50-0,75) uT","Tipo 4 (&gt;0,75) uT"))))</f>
        <v>Tipo 2 (0,25-0,50) uT</v>
      </c>
      <c r="BE271" s="137" t="str">
        <f>IF(OR(AE271="",AP271="-"),"",IF(AE271&lt;=0.25,"Tipo 1 (≤0,25) uT",IF(AE271&lt;=0.5,"Tipo 2 (0,25-0,50) uT",IF(AE271&lt;=0.75,"Tipo 3 (0,50-0,75) uT","Tipo 4 (&gt;0,75) uT"))))</f>
        <v>Tipo 2 (0,25-0,50) uT</v>
      </c>
      <c r="BF271" s="137" t="str">
        <f>IF(OR(AP271="",AP271="-"),"",IF(AP271&lt;=0.25,"Tipo 1 (≤0,25) uT",IF(AP271&lt;=0.5,"Tipo 2 (0,25-0,50) uT",IF(AP271&lt;=0.75,"Tipo 3 (0,50-0,75) uT","Tipo 4 (&gt;0,75) uT"))))</f>
        <v>Tipo 2 (0,25-0,50) uT</v>
      </c>
      <c r="BG271" s="137" t="str">
        <f>IF(OR(Q271="",Q271="-"),"",IF(Q271&lt;=0.25,"Tipo 1 (≤0,25) uT",IF(Q271&lt;=0.5,"Tipo 2 (0,25-0,50) uT",IF(Q271&lt;=0.75,"Tipo 3 (0,50-0,75) uT","Tipo 4 (&gt;0,75) uT"))))</f>
        <v>Tipo 1 (≤0,25) uT</v>
      </c>
    </row>
    <row r="272" spans="1:59" x14ac:dyDescent="0.3">
      <c r="A272" s="26">
        <v>46155</v>
      </c>
      <c r="B272" s="107">
        <v>0.97916666666666663</v>
      </c>
      <c r="C272" s="116">
        <v>1574</v>
      </c>
      <c r="D272" s="116">
        <v>92</v>
      </c>
      <c r="E272" s="116">
        <v>542</v>
      </c>
      <c r="F272" s="116">
        <v>2214</v>
      </c>
      <c r="G272" s="10" t="s">
        <v>100</v>
      </c>
      <c r="H272" s="122">
        <v>5.6</v>
      </c>
      <c r="I272" s="116">
        <v>90</v>
      </c>
      <c r="J272" s="116">
        <v>90</v>
      </c>
      <c r="K272" s="116">
        <v>90</v>
      </c>
      <c r="L272" s="122">
        <v>23.4</v>
      </c>
      <c r="M272" s="122">
        <v>6.8</v>
      </c>
      <c r="N272" s="79">
        <v>4.0199999999999996</v>
      </c>
      <c r="O272" s="116">
        <v>14</v>
      </c>
      <c r="P272" s="122">
        <v>6.5</v>
      </c>
      <c r="Q272" s="79">
        <v>0.42</v>
      </c>
      <c r="R272" s="79">
        <v>22.36</v>
      </c>
      <c r="S272" s="79">
        <v>0.88</v>
      </c>
      <c r="T272" s="79">
        <v>0.7</v>
      </c>
      <c r="U272" s="85">
        <f t="shared" si="28"/>
        <v>1646.6624999999999</v>
      </c>
      <c r="V272" s="79">
        <f t="shared" si="29"/>
        <v>1534.0335140000002</v>
      </c>
      <c r="W272" s="79">
        <f t="shared" si="30"/>
        <v>0.93160165729164313</v>
      </c>
      <c r="X272" s="116">
        <v>3</v>
      </c>
      <c r="Y272" s="116">
        <v>4</v>
      </c>
      <c r="Z272" s="122">
        <v>6.5</v>
      </c>
      <c r="AA272" s="116">
        <v>19</v>
      </c>
      <c r="AB272" s="122">
        <v>6.6</v>
      </c>
      <c r="AC272" s="122">
        <v>6.3</v>
      </c>
      <c r="AD272" s="10">
        <v>0.4</v>
      </c>
      <c r="AE272" s="79">
        <v>0.68</v>
      </c>
      <c r="AF272" s="85">
        <f t="shared" si="31"/>
        <v>1646.6624999999999</v>
      </c>
      <c r="AG272" s="85">
        <f t="shared" si="32"/>
        <v>1856.9879380000002</v>
      </c>
      <c r="AH272" s="85">
        <f t="shared" si="33"/>
        <v>1.1277283219846206</v>
      </c>
      <c r="AI272" s="116">
        <v>3</v>
      </c>
      <c r="AJ272" s="116">
        <v>4</v>
      </c>
      <c r="AK272" s="79">
        <v>6.5</v>
      </c>
      <c r="AL272" s="79">
        <v>23</v>
      </c>
      <c r="AM272" s="122">
        <v>6.6</v>
      </c>
      <c r="AN272" s="122">
        <v>6.5</v>
      </c>
      <c r="AO272" s="79">
        <v>0.39</v>
      </c>
      <c r="AP272" s="127">
        <v>0.48</v>
      </c>
      <c r="AQ272" s="132">
        <f t="shared" si="34"/>
        <v>2208</v>
      </c>
      <c r="AR272" s="134">
        <f t="shared" si="35"/>
        <v>0.71286231884057971</v>
      </c>
      <c r="AS272" s="134">
        <f t="shared" si="36"/>
        <v>4.1666666666666664E-2</v>
      </c>
      <c r="AT272" s="134">
        <f t="shared" si="37"/>
        <v>0.24547101449275363</v>
      </c>
      <c r="AU272" s="43">
        <f>IF(AND(F272&lt;&gt;"",Y272&lt;&gt;""),AA272/(F272/2/Y272),"")</f>
        <v>6.8654019873532063E-2</v>
      </c>
      <c r="AV272" s="43">
        <f>IF(AND(F272&lt;&gt;"",AJ272&lt;&gt;""),AL272/(F272/2/AJ272),"")</f>
        <v>8.3107497741644082E-2</v>
      </c>
      <c r="AW272" s="41">
        <f>IF(AND(AP272&lt;&gt;"",1-(AP272/N272)&gt;0),1-(AP272/N272),"")</f>
        <v>0.88059701492537312</v>
      </c>
      <c r="AX272" s="41">
        <f>IF(AND(AE272&lt;&gt;"",1-(AE272/N272)&gt;0),1-(AE272/N272),"")</f>
        <v>0.8308457711442786</v>
      </c>
      <c r="AY272" s="136" t="str">
        <f>IF(P272="","",IF(P272&lt;2.5,"Alc. Bruta &lt; 2,5 mg/L",IF(P272&lt;5,"2,5 ≤ Alc. Bruta &lt; 5,0 mg/L",IF(P272&lt;7.5,"5,0 ≤ Alc. Bruta &lt; 7,5 mg/L",IF(P272&lt;10,"7,5 ≤ Alc. Bruta &lt; 10,0 mg/L",IF(P272&lt;15,"10,0 ≤ Alca. Bruta &lt; 15,0 mg/L","Alc. Bruta &gt; 15 mg/L"))))))</f>
        <v>5,0 ≤ Alc. Bruta &lt; 7,5 mg/L</v>
      </c>
      <c r="AZ272" s="136" t="str">
        <f>IF(O272="","",IF(O272&lt;5,"Cor &lt;5 uC",IF(O272&lt;10,"5 ≤ Cor &lt; 10 uC",IF(O272&lt;15,"10 ≤ Cor &lt;15 uC",IF(O272&lt;30,"15 ≤ Cor &lt; 30 uC",IF(O272&lt;50,"30 ≤ Cor &lt; 50 uC","Cor &gt; 50 uC"))))))</f>
        <v>10 ≤ Cor &lt;15 uC</v>
      </c>
      <c r="BA272" s="137" t="str">
        <f>IF(N272="","",IF(N272&lt;2.5,"Turbidez &lt; 2,5 uT",IF(N272&lt;5,"2,5 ≤ Turb &lt; 5,0 uT",IF(N272&lt;7.5,"5,0 ≤ Turb &lt; 7,5 uT",IF(N272&lt;10,"7,5 ≤ Turb &lt; 10,0 uT",IF(N272&lt;15,"10,0 ≤ Turb &lt; 15,0 uT","Turb &gt; 15 uT"))))))</f>
        <v>2,5 ≤ Turb &lt; 5,0 uT</v>
      </c>
      <c r="BB272" s="138" t="str">
        <f>IF(AND(C272&gt;D272,D272&gt;E272),"TOR &gt; SM &gt; BNN",IF(AND(C272&gt;E272,E272&gt;D272),"TOR &gt; BNN &gt; SM",IF(AND(D272&gt;C272,C272&gt;E272),"SM &gt; TOR &gt; BNN",IF(AND(D272&gt;E272,E272&gt;C272),"SM &gt; BNN &gt; TOR",IF(AND(C272=D272,D272=E272),"TOR = SM = BNN","Comb. diferentes")))))</f>
        <v>TOR &gt; BNN &gt; SM</v>
      </c>
      <c r="BC272" s="137" t="str">
        <f>IF(OR(AD272="",AP272="-"),"",IF(AD272&lt;=0.25,"Tipo 1 (≤0,25) uT",IF(AD272&lt;=0.5,"Tipo 2 (0,25-0,50) uT",IF(AD272&lt;=0.75,"Tipo 3 (0,50-0,75) uT","Tipo 4 (&gt;0,75) uT"))))</f>
        <v>Tipo 2 (0,25-0,50) uT</v>
      </c>
      <c r="BD272" s="137" t="str">
        <f>IF(OR(AO272="",AY272="-"),"",IF(AO272&lt;=0.25,"Tipo 1 (≤0,25) uT",IF(AO272&lt;=0.5,"Tipo 2 (0,25-0,50) uT",IF(AO272&lt;=0.75,"Tipo 3 (0,50-0,75) uT","Tipo 4 (&gt;0,75) uT"))))</f>
        <v>Tipo 2 (0,25-0,50) uT</v>
      </c>
      <c r="BE272" s="137" t="str">
        <f>IF(OR(AE272="",AP272="-"),"",IF(AE272&lt;=0.25,"Tipo 1 (≤0,25) uT",IF(AE272&lt;=0.5,"Tipo 2 (0,25-0,50) uT",IF(AE272&lt;=0.75,"Tipo 3 (0,50-0,75) uT","Tipo 4 (&gt;0,75) uT"))))</f>
        <v>Tipo 3 (0,50-0,75) uT</v>
      </c>
      <c r="BF272" s="137" t="str">
        <f>IF(OR(AP272="",AP272="-"),"",IF(AP272&lt;=0.25,"Tipo 1 (≤0,25) uT",IF(AP272&lt;=0.5,"Tipo 2 (0,25-0,50) uT",IF(AP272&lt;=0.75,"Tipo 3 (0,50-0,75) uT","Tipo 4 (&gt;0,75) uT"))))</f>
        <v>Tipo 2 (0,25-0,50) uT</v>
      </c>
      <c r="BG272" s="137" t="str">
        <f>IF(OR(Q272="",Q272="-"),"",IF(Q272&lt;=0.25,"Tipo 1 (≤0,25) uT",IF(Q272&lt;=0.5,"Tipo 2 (0,25-0,50) uT",IF(Q272&lt;=0.75,"Tipo 3 (0,50-0,75) uT","Tipo 4 (&gt;0,75) uT"))))</f>
        <v>Tipo 2 (0,25-0,50) uT</v>
      </c>
    </row>
    <row r="273" spans="1:59" x14ac:dyDescent="0.3">
      <c r="A273" s="26">
        <v>46156</v>
      </c>
      <c r="B273" s="107">
        <v>6.25E-2</v>
      </c>
      <c r="C273" s="116">
        <v>1558</v>
      </c>
      <c r="D273" s="116">
        <v>94</v>
      </c>
      <c r="E273" s="116">
        <v>542</v>
      </c>
      <c r="F273" s="116">
        <v>2226</v>
      </c>
      <c r="G273" s="10" t="s">
        <v>100</v>
      </c>
      <c r="H273" s="122">
        <v>5.6</v>
      </c>
      <c r="I273" s="116">
        <v>90</v>
      </c>
      <c r="J273" s="116">
        <v>90</v>
      </c>
      <c r="K273" s="116">
        <v>90</v>
      </c>
      <c r="L273" s="122">
        <v>23.4</v>
      </c>
      <c r="M273" s="122">
        <v>6.8</v>
      </c>
      <c r="N273" s="79">
        <v>3.86</v>
      </c>
      <c r="O273" s="116">
        <v>15</v>
      </c>
      <c r="P273" s="122">
        <v>6.4</v>
      </c>
      <c r="Q273" s="79">
        <v>0.3</v>
      </c>
      <c r="R273" s="79">
        <v>22.36</v>
      </c>
      <c r="S273" s="79">
        <v>0.88</v>
      </c>
      <c r="T273" s="79">
        <v>0.7</v>
      </c>
      <c r="U273" s="85">
        <f t="shared" si="28"/>
        <v>1611.0675000000001</v>
      </c>
      <c r="V273" s="79">
        <f t="shared" si="29"/>
        <v>1447.7334393599999</v>
      </c>
      <c r="W273" s="79">
        <f t="shared" si="30"/>
        <v>0.89861749390388657</v>
      </c>
      <c r="X273" s="116">
        <v>3</v>
      </c>
      <c r="Y273" s="116">
        <v>4</v>
      </c>
      <c r="Z273" s="122">
        <v>6.48</v>
      </c>
      <c r="AA273" s="116">
        <v>18</v>
      </c>
      <c r="AB273" s="122">
        <v>6.7</v>
      </c>
      <c r="AC273" s="122">
        <v>6.1</v>
      </c>
      <c r="AD273" s="10">
        <v>0.31</v>
      </c>
      <c r="AE273" s="79">
        <v>0.43</v>
      </c>
      <c r="AF273" s="85">
        <f t="shared" si="31"/>
        <v>1611.0675000000001</v>
      </c>
      <c r="AG273" s="85">
        <f t="shared" si="32"/>
        <v>1804.0370162879997</v>
      </c>
      <c r="AH273" s="85">
        <f t="shared" si="33"/>
        <v>1.1197774247745669</v>
      </c>
      <c r="AI273" s="116">
        <v>3</v>
      </c>
      <c r="AJ273" s="116">
        <v>4</v>
      </c>
      <c r="AK273" s="79">
        <v>6.45</v>
      </c>
      <c r="AL273" s="79">
        <v>22.56</v>
      </c>
      <c r="AM273" s="122">
        <v>6.7</v>
      </c>
      <c r="AN273" s="122">
        <v>6.2</v>
      </c>
      <c r="AO273" s="79">
        <v>0.28000000000000003</v>
      </c>
      <c r="AP273" s="127">
        <v>0.35</v>
      </c>
      <c r="AQ273" s="132">
        <f t="shared" si="34"/>
        <v>2194</v>
      </c>
      <c r="AR273" s="134">
        <f t="shared" si="35"/>
        <v>0.71011850501367368</v>
      </c>
      <c r="AS273" s="134">
        <f t="shared" si="36"/>
        <v>4.2844120328167729E-2</v>
      </c>
      <c r="AT273" s="134">
        <f t="shared" si="37"/>
        <v>0.24703737465815861</v>
      </c>
      <c r="AU273" s="43">
        <f>IF(AND(F273&lt;&gt;"",Y273&lt;&gt;""),AA273/(F273/2/Y273),"")</f>
        <v>6.4690026954177901E-2</v>
      </c>
      <c r="AV273" s="43">
        <f>IF(AND(F273&lt;&gt;"",AJ273&lt;&gt;""),AL273/(F273/2/AJ273),"")</f>
        <v>8.107816711590296E-2</v>
      </c>
      <c r="AW273" s="41">
        <f>IF(AND(AP273&lt;&gt;"",1-(AP273/N273)&gt;0),1-(AP273/N273),"")</f>
        <v>0.90932642487046633</v>
      </c>
      <c r="AX273" s="41">
        <f>IF(AND(AE273&lt;&gt;"",1-(AE273/N273)&gt;0),1-(AE273/N273),"")</f>
        <v>0.8886010362694301</v>
      </c>
      <c r="AY273" s="136" t="str">
        <f>IF(P273="","",IF(P273&lt;2.5,"Alc. Bruta &lt; 2,5 mg/L",IF(P273&lt;5,"2,5 ≤ Alc. Bruta &lt; 5,0 mg/L",IF(P273&lt;7.5,"5,0 ≤ Alc. Bruta &lt; 7,5 mg/L",IF(P273&lt;10,"7,5 ≤ Alc. Bruta &lt; 10,0 mg/L",IF(P273&lt;15,"10,0 ≤ Alca. Bruta &lt; 15,0 mg/L","Alc. Bruta &gt; 15 mg/L"))))))</f>
        <v>5,0 ≤ Alc. Bruta &lt; 7,5 mg/L</v>
      </c>
      <c r="AZ273" s="136" t="str">
        <f>IF(O273="","",IF(O273&lt;5,"Cor &lt;5 uC",IF(O273&lt;10,"5 ≤ Cor &lt; 10 uC",IF(O273&lt;15,"10 ≤ Cor &lt;15 uC",IF(O273&lt;30,"15 ≤ Cor &lt; 30 uC",IF(O273&lt;50,"30 ≤ Cor &lt; 50 uC","Cor &gt; 50 uC"))))))</f>
        <v>15 ≤ Cor &lt; 30 uC</v>
      </c>
      <c r="BA273" s="137" t="str">
        <f>IF(N273="","",IF(N273&lt;2.5,"Turbidez &lt; 2,5 uT",IF(N273&lt;5,"2,5 ≤ Turb &lt; 5,0 uT",IF(N273&lt;7.5,"5,0 ≤ Turb &lt; 7,5 uT",IF(N273&lt;10,"7,5 ≤ Turb &lt; 10,0 uT",IF(N273&lt;15,"10,0 ≤ Turb &lt; 15,0 uT","Turb &gt; 15 uT"))))))</f>
        <v>2,5 ≤ Turb &lt; 5,0 uT</v>
      </c>
      <c r="BB273" s="138" t="str">
        <f>IF(AND(C273&gt;D273,D273&gt;E273),"TOR &gt; SM &gt; BNN",IF(AND(C273&gt;E273,E273&gt;D273),"TOR &gt; BNN &gt; SM",IF(AND(D273&gt;C273,C273&gt;E273),"SM &gt; TOR &gt; BNN",IF(AND(D273&gt;E273,E273&gt;C273),"SM &gt; BNN &gt; TOR",IF(AND(C273=D273,D273=E273),"TOR = SM = BNN","Comb. diferentes")))))</f>
        <v>TOR &gt; BNN &gt; SM</v>
      </c>
      <c r="BC273" s="137" t="str">
        <f>IF(OR(AD273="",AP273="-"),"",IF(AD273&lt;=0.25,"Tipo 1 (≤0,25) uT",IF(AD273&lt;=0.5,"Tipo 2 (0,25-0,50) uT",IF(AD273&lt;=0.75,"Tipo 3 (0,50-0,75) uT","Tipo 4 (&gt;0,75) uT"))))</f>
        <v>Tipo 2 (0,25-0,50) uT</v>
      </c>
      <c r="BD273" s="137" t="str">
        <f>IF(OR(AO273="",AY273="-"),"",IF(AO273&lt;=0.25,"Tipo 1 (≤0,25) uT",IF(AO273&lt;=0.5,"Tipo 2 (0,25-0,50) uT",IF(AO273&lt;=0.75,"Tipo 3 (0,50-0,75) uT","Tipo 4 (&gt;0,75) uT"))))</f>
        <v>Tipo 2 (0,25-0,50) uT</v>
      </c>
      <c r="BE273" s="137" t="str">
        <f>IF(OR(AE273="",AP273="-"),"",IF(AE273&lt;=0.25,"Tipo 1 (≤0,25) uT",IF(AE273&lt;=0.5,"Tipo 2 (0,25-0,50) uT",IF(AE273&lt;=0.75,"Tipo 3 (0,50-0,75) uT","Tipo 4 (&gt;0,75) uT"))))</f>
        <v>Tipo 2 (0,25-0,50) uT</v>
      </c>
      <c r="BF273" s="137" t="str">
        <f>IF(OR(AP273="",AP273="-"),"",IF(AP273&lt;=0.25,"Tipo 1 (≤0,25) uT",IF(AP273&lt;=0.5,"Tipo 2 (0,25-0,50) uT",IF(AP273&lt;=0.75,"Tipo 3 (0,50-0,75) uT","Tipo 4 (&gt;0,75) uT"))))</f>
        <v>Tipo 2 (0,25-0,50) uT</v>
      </c>
      <c r="BG273" s="137" t="str">
        <f>IF(OR(Q273="",Q273="-"),"",IF(Q273&lt;=0.25,"Tipo 1 (≤0,25) uT",IF(Q273&lt;=0.5,"Tipo 2 (0,25-0,50) uT",IF(Q273&lt;=0.75,"Tipo 3 (0,50-0,75) uT","Tipo 4 (&gt;0,75) uT"))))</f>
        <v>Tipo 2 (0,25-0,50) uT</v>
      </c>
    </row>
    <row r="274" spans="1:59" x14ac:dyDescent="0.3">
      <c r="A274" s="26">
        <v>46156</v>
      </c>
      <c r="B274" s="107">
        <v>0.14583333333333334</v>
      </c>
      <c r="C274" s="116">
        <v>1550</v>
      </c>
      <c r="D274" s="116">
        <v>80</v>
      </c>
      <c r="E274" s="116">
        <v>540</v>
      </c>
      <c r="F274" s="116">
        <v>2300</v>
      </c>
      <c r="G274" s="10" t="s">
        <v>100</v>
      </c>
      <c r="H274" s="122">
        <v>5.6</v>
      </c>
      <c r="I274" s="116">
        <v>90</v>
      </c>
      <c r="J274" s="116">
        <v>90</v>
      </c>
      <c r="K274" s="116">
        <v>90</v>
      </c>
      <c r="L274" s="122">
        <v>23.5</v>
      </c>
      <c r="M274" s="122">
        <v>6.7</v>
      </c>
      <c r="N274" s="79">
        <v>3.68</v>
      </c>
      <c r="O274" s="116">
        <v>15</v>
      </c>
      <c r="P274" s="122">
        <v>6.6</v>
      </c>
      <c r="Q274" s="79">
        <v>0.32</v>
      </c>
      <c r="R274" s="79">
        <v>22.36</v>
      </c>
      <c r="S274" s="79">
        <v>0.88</v>
      </c>
      <c r="T274" s="79">
        <v>0.7</v>
      </c>
      <c r="U274" s="85">
        <f t="shared" si="28"/>
        <v>1612.875</v>
      </c>
      <c r="V274" s="79">
        <f t="shared" si="29"/>
        <v>1450.5141736799999</v>
      </c>
      <c r="W274" s="79">
        <f t="shared" si="30"/>
        <v>0.89933452603580555</v>
      </c>
      <c r="X274" s="116">
        <v>3</v>
      </c>
      <c r="Y274" s="116">
        <v>4</v>
      </c>
      <c r="Z274" s="122">
        <v>6.49</v>
      </c>
      <c r="AA274" s="116">
        <v>18</v>
      </c>
      <c r="AB274" s="122">
        <v>6.7</v>
      </c>
      <c r="AC274" s="122">
        <v>6.2</v>
      </c>
      <c r="AD274" s="10">
        <v>0.3</v>
      </c>
      <c r="AE274" s="79">
        <v>0.44</v>
      </c>
      <c r="AF274" s="85">
        <f t="shared" si="31"/>
        <v>1612.875</v>
      </c>
      <c r="AG274" s="85">
        <f t="shared" si="32"/>
        <v>1812.9980841231995</v>
      </c>
      <c r="AH274" s="85">
        <f t="shared" si="33"/>
        <v>1.1240784835298454</v>
      </c>
      <c r="AI274" s="116">
        <v>3</v>
      </c>
      <c r="AJ274" s="116">
        <v>4</v>
      </c>
      <c r="AK274" s="79">
        <v>6.43</v>
      </c>
      <c r="AL274" s="79">
        <v>22.76</v>
      </c>
      <c r="AM274" s="122">
        <v>6.7</v>
      </c>
      <c r="AN274" s="122">
        <v>6.3</v>
      </c>
      <c r="AO274" s="79">
        <v>0.28999999999999998</v>
      </c>
      <c r="AP274" s="127">
        <v>0.37</v>
      </c>
      <c r="AQ274" s="132">
        <f t="shared" si="34"/>
        <v>2170</v>
      </c>
      <c r="AR274" s="134">
        <f t="shared" si="35"/>
        <v>0.7142857142857143</v>
      </c>
      <c r="AS274" s="134">
        <f t="shared" si="36"/>
        <v>3.6866359447004608E-2</v>
      </c>
      <c r="AT274" s="134">
        <f t="shared" si="37"/>
        <v>0.24884792626728111</v>
      </c>
      <c r="AU274" s="43">
        <f>IF(AND(F274&lt;&gt;"",Y274&lt;&gt;""),AA274/(F274/2/Y274),"")</f>
        <v>6.2608695652173918E-2</v>
      </c>
      <c r="AV274" s="43">
        <f>IF(AND(F274&lt;&gt;"",AJ274&lt;&gt;""),AL274/(F274/2/AJ274),"")</f>
        <v>7.916521739130436E-2</v>
      </c>
      <c r="AW274" s="41">
        <f>IF(AND(AP274&lt;&gt;"",1-(AP274/N274)&gt;0),1-(AP274/N274),"")</f>
        <v>0.89945652173913049</v>
      </c>
      <c r="AX274" s="41">
        <f>IF(AND(AE274&lt;&gt;"",1-(AE274/N274)&gt;0),1-(AE274/N274),"")</f>
        <v>0.88043478260869568</v>
      </c>
      <c r="AY274" s="136" t="str">
        <f>IF(P274="","",IF(P274&lt;2.5,"Alc. Bruta &lt; 2,5 mg/L",IF(P274&lt;5,"2,5 ≤ Alc. Bruta &lt; 5,0 mg/L",IF(P274&lt;7.5,"5,0 ≤ Alc. Bruta &lt; 7,5 mg/L",IF(P274&lt;10,"7,5 ≤ Alc. Bruta &lt; 10,0 mg/L",IF(P274&lt;15,"10,0 ≤ Alca. Bruta &lt; 15,0 mg/L","Alc. Bruta &gt; 15 mg/L"))))))</f>
        <v>5,0 ≤ Alc. Bruta &lt; 7,5 mg/L</v>
      </c>
      <c r="AZ274" s="136" t="str">
        <f>IF(O274="","",IF(O274&lt;5,"Cor &lt;5 uC",IF(O274&lt;10,"5 ≤ Cor &lt; 10 uC",IF(O274&lt;15,"10 ≤ Cor &lt;15 uC",IF(O274&lt;30,"15 ≤ Cor &lt; 30 uC",IF(O274&lt;50,"30 ≤ Cor &lt; 50 uC","Cor &gt; 50 uC"))))))</f>
        <v>15 ≤ Cor &lt; 30 uC</v>
      </c>
      <c r="BA274" s="137" t="str">
        <f>IF(N274="","",IF(N274&lt;2.5,"Turbidez &lt; 2,5 uT",IF(N274&lt;5,"2,5 ≤ Turb &lt; 5,0 uT",IF(N274&lt;7.5,"5,0 ≤ Turb &lt; 7,5 uT",IF(N274&lt;10,"7,5 ≤ Turb &lt; 10,0 uT",IF(N274&lt;15,"10,0 ≤ Turb &lt; 15,0 uT","Turb &gt; 15 uT"))))))</f>
        <v>2,5 ≤ Turb &lt; 5,0 uT</v>
      </c>
      <c r="BB274" s="138" t="str">
        <f>IF(AND(C274&gt;D274,D274&gt;E274),"TOR &gt; SM &gt; BNN",IF(AND(C274&gt;E274,E274&gt;D274),"TOR &gt; BNN &gt; SM",IF(AND(D274&gt;C274,C274&gt;E274),"SM &gt; TOR &gt; BNN",IF(AND(D274&gt;E274,E274&gt;C274),"SM &gt; BNN &gt; TOR",IF(AND(C274=D274,D274=E274),"TOR = SM = BNN","Comb. diferentes")))))</f>
        <v>TOR &gt; BNN &gt; SM</v>
      </c>
      <c r="BC274" s="137" t="str">
        <f>IF(OR(AD274="",AP274="-"),"",IF(AD274&lt;=0.25,"Tipo 1 (≤0,25) uT",IF(AD274&lt;=0.5,"Tipo 2 (0,25-0,50) uT",IF(AD274&lt;=0.75,"Tipo 3 (0,50-0,75) uT","Tipo 4 (&gt;0,75) uT"))))</f>
        <v>Tipo 2 (0,25-0,50) uT</v>
      </c>
      <c r="BD274" s="137" t="str">
        <f>IF(OR(AO274="",AY274="-"),"",IF(AO274&lt;=0.25,"Tipo 1 (≤0,25) uT",IF(AO274&lt;=0.5,"Tipo 2 (0,25-0,50) uT",IF(AO274&lt;=0.75,"Tipo 3 (0,50-0,75) uT","Tipo 4 (&gt;0,75) uT"))))</f>
        <v>Tipo 2 (0,25-0,50) uT</v>
      </c>
      <c r="BE274" s="137" t="str">
        <f>IF(OR(AE274="",AP274="-"),"",IF(AE274&lt;=0.25,"Tipo 1 (≤0,25) uT",IF(AE274&lt;=0.5,"Tipo 2 (0,25-0,50) uT",IF(AE274&lt;=0.75,"Tipo 3 (0,50-0,75) uT","Tipo 4 (&gt;0,75) uT"))))</f>
        <v>Tipo 2 (0,25-0,50) uT</v>
      </c>
      <c r="BF274" s="137" t="str">
        <f>IF(OR(AP274="",AP274="-"),"",IF(AP274&lt;=0.25,"Tipo 1 (≤0,25) uT",IF(AP274&lt;=0.5,"Tipo 2 (0,25-0,50) uT",IF(AP274&lt;=0.75,"Tipo 3 (0,50-0,75) uT","Tipo 4 (&gt;0,75) uT"))))</f>
        <v>Tipo 2 (0,25-0,50) uT</v>
      </c>
      <c r="BG274" s="137" t="str">
        <f>IF(OR(Q274="",Q274="-"),"",IF(Q274&lt;=0.25,"Tipo 1 (≤0,25) uT",IF(Q274&lt;=0.5,"Tipo 2 (0,25-0,50) uT",IF(Q274&lt;=0.75,"Tipo 3 (0,50-0,75) uT","Tipo 4 (&gt;0,75) uT"))))</f>
        <v>Tipo 2 (0,25-0,50) uT</v>
      </c>
    </row>
    <row r="275" spans="1:59" ht="15" thickBot="1" x14ac:dyDescent="0.35">
      <c r="A275" s="26">
        <v>46156</v>
      </c>
      <c r="B275" s="110">
        <v>0.22916666666666666</v>
      </c>
      <c r="C275" s="117">
        <v>1560</v>
      </c>
      <c r="D275" s="117">
        <v>87</v>
      </c>
      <c r="E275" s="117">
        <v>541</v>
      </c>
      <c r="F275" s="117">
        <v>2300</v>
      </c>
      <c r="G275" s="11" t="s">
        <v>100</v>
      </c>
      <c r="H275" s="123">
        <v>5.6</v>
      </c>
      <c r="I275" s="117">
        <v>90</v>
      </c>
      <c r="J275" s="117">
        <v>90</v>
      </c>
      <c r="K275" s="117">
        <v>90</v>
      </c>
      <c r="L275" s="123">
        <v>23.4</v>
      </c>
      <c r="M275" s="123">
        <v>6.7</v>
      </c>
      <c r="N275" s="80">
        <v>3.6</v>
      </c>
      <c r="O275" s="117">
        <v>14</v>
      </c>
      <c r="P275" s="123">
        <v>6.5</v>
      </c>
      <c r="Q275" s="80">
        <v>0.35</v>
      </c>
      <c r="R275" s="79">
        <v>22.36</v>
      </c>
      <c r="S275" s="79">
        <v>0.88</v>
      </c>
      <c r="T275" s="79">
        <v>0.7</v>
      </c>
      <c r="U275" s="85">
        <f t="shared" si="28"/>
        <v>1589.875</v>
      </c>
      <c r="V275" s="79">
        <f t="shared" si="29"/>
        <v>1528.1630748799998</v>
      </c>
      <c r="W275" s="79">
        <f t="shared" si="30"/>
        <v>0.96118441693843848</v>
      </c>
      <c r="X275" s="117">
        <v>3</v>
      </c>
      <c r="Y275" s="117">
        <v>4</v>
      </c>
      <c r="Z275" s="123">
        <v>6.48</v>
      </c>
      <c r="AA275" s="117">
        <v>19</v>
      </c>
      <c r="AB275" s="123">
        <v>6.6</v>
      </c>
      <c r="AC275" s="123">
        <v>6.3</v>
      </c>
      <c r="AD275" s="11">
        <v>0.32</v>
      </c>
      <c r="AE275" s="80">
        <v>0.46</v>
      </c>
      <c r="AF275" s="85">
        <f t="shared" si="31"/>
        <v>1589.875</v>
      </c>
      <c r="AG275" s="85">
        <f t="shared" si="32"/>
        <v>1803.7442970560003</v>
      </c>
      <c r="AH275" s="85">
        <f t="shared" si="33"/>
        <v>1.1345195672968003</v>
      </c>
      <c r="AI275" s="117">
        <v>3</v>
      </c>
      <c r="AJ275" s="117">
        <v>4</v>
      </c>
      <c r="AK275" s="80">
        <v>6.44</v>
      </c>
      <c r="AL275" s="80">
        <v>22.6</v>
      </c>
      <c r="AM275" s="123">
        <v>6.7</v>
      </c>
      <c r="AN275" s="123">
        <v>6.4</v>
      </c>
      <c r="AO275" s="80">
        <v>0.3</v>
      </c>
      <c r="AP275" s="128">
        <v>0.32</v>
      </c>
      <c r="AQ275" s="132">
        <f t="shared" si="34"/>
        <v>2188</v>
      </c>
      <c r="AR275" s="134">
        <f t="shared" si="35"/>
        <v>0.71297989031078612</v>
      </c>
      <c r="AS275" s="134">
        <f t="shared" si="36"/>
        <v>3.9762340036563072E-2</v>
      </c>
      <c r="AT275" s="134">
        <f t="shared" si="37"/>
        <v>0.24725776965265081</v>
      </c>
      <c r="AU275" s="43">
        <f>IF(AND(F275&lt;&gt;"",Y275&lt;&gt;""),AA275/(F275/2/Y275),"")</f>
        <v>6.6086956521739126E-2</v>
      </c>
      <c r="AV275" s="43">
        <f>IF(AND(F275&lt;&gt;"",AJ275&lt;&gt;""),AL275/(F275/2/AJ275),"")</f>
        <v>7.8608695652173918E-2</v>
      </c>
      <c r="AW275" s="41">
        <f>IF(AND(AP275&lt;&gt;"",1-(AP275/N275)&gt;0),1-(AP275/N275),"")</f>
        <v>0.91111111111111109</v>
      </c>
      <c r="AX275" s="41">
        <f>IF(AND(AE275&lt;&gt;"",1-(AE275/N275)&gt;0),1-(AE275/N275),"")</f>
        <v>0.87222222222222223</v>
      </c>
      <c r="AY275" s="136" t="str">
        <f>IF(P275="","",IF(P275&lt;2.5,"Alc. Bruta &lt; 2,5 mg/L",IF(P275&lt;5,"2,5 ≤ Alc. Bruta &lt; 5,0 mg/L",IF(P275&lt;7.5,"5,0 ≤ Alc. Bruta &lt; 7,5 mg/L",IF(P275&lt;10,"7,5 ≤ Alc. Bruta &lt; 10,0 mg/L",IF(P275&lt;15,"10,0 ≤ Alca. Bruta &lt; 15,0 mg/L","Alc. Bruta &gt; 15 mg/L"))))))</f>
        <v>5,0 ≤ Alc. Bruta &lt; 7,5 mg/L</v>
      </c>
      <c r="AZ275" s="136" t="str">
        <f>IF(O275="","",IF(O275&lt;5,"Cor &lt;5 uC",IF(O275&lt;10,"5 ≤ Cor &lt; 10 uC",IF(O275&lt;15,"10 ≤ Cor &lt;15 uC",IF(O275&lt;30,"15 ≤ Cor &lt; 30 uC",IF(O275&lt;50,"30 ≤ Cor &lt; 50 uC","Cor &gt; 50 uC"))))))</f>
        <v>10 ≤ Cor &lt;15 uC</v>
      </c>
      <c r="BA275" s="137" t="str">
        <f>IF(N275="","",IF(N275&lt;2.5,"Turbidez &lt; 2,5 uT",IF(N275&lt;5,"2,5 ≤ Turb &lt; 5,0 uT",IF(N275&lt;7.5,"5,0 ≤ Turb &lt; 7,5 uT",IF(N275&lt;10,"7,5 ≤ Turb &lt; 10,0 uT",IF(N275&lt;15,"10,0 ≤ Turb &lt; 15,0 uT","Turb &gt; 15 uT"))))))</f>
        <v>2,5 ≤ Turb &lt; 5,0 uT</v>
      </c>
      <c r="BB275" s="138" t="str">
        <f>IF(AND(C275&gt;D275,D275&gt;E275),"TOR &gt; SM &gt; BNN",IF(AND(C275&gt;E275,E275&gt;D275),"TOR &gt; BNN &gt; SM",IF(AND(D275&gt;C275,C275&gt;E275),"SM &gt; TOR &gt; BNN",IF(AND(D275&gt;E275,E275&gt;C275),"SM &gt; BNN &gt; TOR",IF(AND(C275=D275,D275=E275),"TOR = SM = BNN","Comb. diferentes")))))</f>
        <v>TOR &gt; BNN &gt; SM</v>
      </c>
      <c r="BC275" s="137" t="str">
        <f>IF(OR(AD275="",AP275="-"),"",IF(AD275&lt;=0.25,"Tipo 1 (≤0,25) uT",IF(AD275&lt;=0.5,"Tipo 2 (0,25-0,50) uT",IF(AD275&lt;=0.75,"Tipo 3 (0,50-0,75) uT","Tipo 4 (&gt;0,75) uT"))))</f>
        <v>Tipo 2 (0,25-0,50) uT</v>
      </c>
      <c r="BD275" s="137" t="str">
        <f>IF(OR(AO275="",AY275="-"),"",IF(AO275&lt;=0.25,"Tipo 1 (≤0,25) uT",IF(AO275&lt;=0.5,"Tipo 2 (0,25-0,50) uT",IF(AO275&lt;=0.75,"Tipo 3 (0,50-0,75) uT","Tipo 4 (&gt;0,75) uT"))))</f>
        <v>Tipo 2 (0,25-0,50) uT</v>
      </c>
      <c r="BE275" s="137" t="str">
        <f>IF(OR(AE275="",AP275="-"),"",IF(AE275&lt;=0.25,"Tipo 1 (≤0,25) uT",IF(AE275&lt;=0.5,"Tipo 2 (0,25-0,50) uT",IF(AE275&lt;=0.75,"Tipo 3 (0,50-0,75) uT","Tipo 4 (&gt;0,75) uT"))))</f>
        <v>Tipo 2 (0,25-0,50) uT</v>
      </c>
      <c r="BF275" s="137" t="str">
        <f>IF(OR(AP275="",AP275="-"),"",IF(AP275&lt;=0.25,"Tipo 1 (≤0,25) uT",IF(AP275&lt;=0.5,"Tipo 2 (0,25-0,50) uT",IF(AP275&lt;=0.75,"Tipo 3 (0,50-0,75) uT","Tipo 4 (&gt;0,75) uT"))))</f>
        <v>Tipo 2 (0,25-0,50) uT</v>
      </c>
      <c r="BG275" s="137" t="str">
        <f>IF(OR(Q275="",Q275="-"),"",IF(Q275&lt;=0.25,"Tipo 1 (≤0,25) uT",IF(Q275&lt;=0.5,"Tipo 2 (0,25-0,50) uT",IF(Q275&lt;=0.75,"Tipo 3 (0,50-0,75) uT","Tipo 4 (&gt;0,75) uT"))))</f>
        <v>Tipo 2 (0,25-0,50) uT</v>
      </c>
    </row>
    <row r="276" spans="1:59" x14ac:dyDescent="0.3">
      <c r="A276" s="26">
        <v>46156</v>
      </c>
      <c r="B276" s="111">
        <v>0.3125</v>
      </c>
      <c r="C276" s="118">
        <v>1611</v>
      </c>
      <c r="D276" s="116">
        <v>93</v>
      </c>
      <c r="E276" s="118">
        <v>539</v>
      </c>
      <c r="F276" s="118">
        <v>2332</v>
      </c>
      <c r="G276" s="9" t="s">
        <v>100</v>
      </c>
      <c r="H276" s="124">
        <v>5.6</v>
      </c>
      <c r="I276" s="118">
        <v>90</v>
      </c>
      <c r="J276" s="118">
        <v>90</v>
      </c>
      <c r="K276" s="118">
        <v>90</v>
      </c>
      <c r="L276" s="124">
        <v>23.1</v>
      </c>
      <c r="M276" s="124">
        <v>6.7</v>
      </c>
      <c r="N276" s="81">
        <v>3.86</v>
      </c>
      <c r="O276" s="118">
        <v>18</v>
      </c>
      <c r="P276" s="124">
        <v>6.7</v>
      </c>
      <c r="Q276" s="81">
        <v>0.31</v>
      </c>
      <c r="R276" s="79">
        <v>22.36</v>
      </c>
      <c r="S276" s="79">
        <v>0.88</v>
      </c>
      <c r="T276" s="79">
        <v>0.7</v>
      </c>
      <c r="U276" s="85">
        <f t="shared" si="28"/>
        <v>1687.7850000000001</v>
      </c>
      <c r="V276" s="79">
        <f t="shared" si="29"/>
        <v>1436.9735309903997</v>
      </c>
      <c r="W276" s="79">
        <f t="shared" si="30"/>
        <v>0.85139607887876689</v>
      </c>
      <c r="X276" s="118">
        <v>3</v>
      </c>
      <c r="Y276" s="118">
        <v>4</v>
      </c>
      <c r="Z276" s="124">
        <v>6.52</v>
      </c>
      <c r="AA276" s="118">
        <v>17.73</v>
      </c>
      <c r="AB276" s="124">
        <v>6.5</v>
      </c>
      <c r="AC276" s="124">
        <v>5.7</v>
      </c>
      <c r="AD276" s="9">
        <v>0.34</v>
      </c>
      <c r="AE276" s="81">
        <v>0.45</v>
      </c>
      <c r="AF276" s="85">
        <f t="shared" si="31"/>
        <v>1687.7850000000001</v>
      </c>
      <c r="AG276" s="85">
        <f t="shared" si="32"/>
        <v>1821.4074086727999</v>
      </c>
      <c r="AH276" s="85">
        <f t="shared" si="33"/>
        <v>1.0791702786034949</v>
      </c>
      <c r="AI276" s="118">
        <v>3</v>
      </c>
      <c r="AJ276" s="118">
        <v>4</v>
      </c>
      <c r="AK276" s="81">
        <v>6.42</v>
      </c>
      <c r="AL276" s="81">
        <v>22.91</v>
      </c>
      <c r="AM276" s="124">
        <v>6.5</v>
      </c>
      <c r="AN276" s="124">
        <v>6.5</v>
      </c>
      <c r="AO276" s="81">
        <v>0.24</v>
      </c>
      <c r="AP276" s="129">
        <v>0.33</v>
      </c>
      <c r="AQ276" s="132">
        <f t="shared" si="34"/>
        <v>2243</v>
      </c>
      <c r="AR276" s="134">
        <f t="shared" si="35"/>
        <v>0.7182345073562193</v>
      </c>
      <c r="AS276" s="134">
        <f t="shared" si="36"/>
        <v>4.1462327240303166E-2</v>
      </c>
      <c r="AT276" s="134">
        <f t="shared" si="37"/>
        <v>0.24030316540347749</v>
      </c>
      <c r="AU276" s="43">
        <f>IF(AND(F276&lt;&gt;"",Y276&lt;&gt;""),AA276/(F276/2/Y276),"")</f>
        <v>6.0823327615780451E-2</v>
      </c>
      <c r="AV276" s="43">
        <f>IF(AND(F276&lt;&gt;"",AJ276&lt;&gt;""),AL276/(F276/2/AJ276),"")</f>
        <v>7.8593481989708405E-2</v>
      </c>
      <c r="AW276" s="41">
        <f>IF(AND(AP276&lt;&gt;"",1-(AP276/N276)&gt;0),1-(AP276/N276),"")</f>
        <v>0.91450777202072542</v>
      </c>
      <c r="AX276" s="41">
        <f>IF(AND(AE276&lt;&gt;"",1-(AE276/N276)&gt;0),1-(AE276/N276),"")</f>
        <v>0.88341968911917101</v>
      </c>
      <c r="AY276" s="136" t="str">
        <f>IF(P276="","",IF(P276&lt;2.5,"Alc. Bruta &lt; 2,5 mg/L",IF(P276&lt;5,"2,5 ≤ Alc. Bruta &lt; 5,0 mg/L",IF(P276&lt;7.5,"5,0 ≤ Alc. Bruta &lt; 7,5 mg/L",IF(P276&lt;10,"7,5 ≤ Alc. Bruta &lt; 10,0 mg/L",IF(P276&lt;15,"10,0 ≤ Alca. Bruta &lt; 15,0 mg/L","Alc. Bruta &gt; 15 mg/L"))))))</f>
        <v>5,0 ≤ Alc. Bruta &lt; 7,5 mg/L</v>
      </c>
      <c r="AZ276" s="136" t="str">
        <f>IF(O276="","",IF(O276&lt;5,"Cor &lt;5 uC",IF(O276&lt;10,"5 ≤ Cor &lt; 10 uC",IF(O276&lt;15,"10 ≤ Cor &lt;15 uC",IF(O276&lt;30,"15 ≤ Cor &lt; 30 uC",IF(O276&lt;50,"30 ≤ Cor &lt; 50 uC","Cor &gt; 50 uC"))))))</f>
        <v>15 ≤ Cor &lt; 30 uC</v>
      </c>
      <c r="BA276" s="137" t="str">
        <f>IF(N276="","",IF(N276&lt;2.5,"Turbidez &lt; 2,5 uT",IF(N276&lt;5,"2,5 ≤ Turb &lt; 5,0 uT",IF(N276&lt;7.5,"5,0 ≤ Turb &lt; 7,5 uT",IF(N276&lt;10,"7,5 ≤ Turb &lt; 10,0 uT",IF(N276&lt;15,"10,0 ≤ Turb &lt; 15,0 uT","Turb &gt; 15 uT"))))))</f>
        <v>2,5 ≤ Turb &lt; 5,0 uT</v>
      </c>
      <c r="BB276" s="138" t="str">
        <f>IF(AND(C276&gt;D276,D276&gt;E276),"TOR &gt; SM &gt; BNN",IF(AND(C276&gt;E276,E276&gt;D276),"TOR &gt; BNN &gt; SM",IF(AND(D276&gt;C276,C276&gt;E276),"SM &gt; TOR &gt; BNN",IF(AND(D276&gt;E276,E276&gt;C276),"SM &gt; BNN &gt; TOR",IF(AND(C276=D276,D276=E276),"TOR = SM = BNN","Comb. diferentes")))))</f>
        <v>TOR &gt; BNN &gt; SM</v>
      </c>
      <c r="BC276" s="137" t="str">
        <f>IF(OR(AD276="",AP276="-"),"",IF(AD276&lt;=0.25,"Tipo 1 (≤0,25) uT",IF(AD276&lt;=0.5,"Tipo 2 (0,25-0,50) uT",IF(AD276&lt;=0.75,"Tipo 3 (0,50-0,75) uT","Tipo 4 (&gt;0,75) uT"))))</f>
        <v>Tipo 2 (0,25-0,50) uT</v>
      </c>
      <c r="BD276" s="137" t="str">
        <f>IF(OR(AO276="",AY276="-"),"",IF(AO276&lt;=0.25,"Tipo 1 (≤0,25) uT",IF(AO276&lt;=0.5,"Tipo 2 (0,25-0,50) uT",IF(AO276&lt;=0.75,"Tipo 3 (0,50-0,75) uT","Tipo 4 (&gt;0,75) uT"))))</f>
        <v>Tipo 1 (≤0,25) uT</v>
      </c>
      <c r="BE276" s="137" t="str">
        <f>IF(OR(AE276="",AP276="-"),"",IF(AE276&lt;=0.25,"Tipo 1 (≤0,25) uT",IF(AE276&lt;=0.5,"Tipo 2 (0,25-0,50) uT",IF(AE276&lt;=0.75,"Tipo 3 (0,50-0,75) uT","Tipo 4 (&gt;0,75) uT"))))</f>
        <v>Tipo 2 (0,25-0,50) uT</v>
      </c>
      <c r="BF276" s="137" t="str">
        <f>IF(OR(AP276="",AP276="-"),"",IF(AP276&lt;=0.25,"Tipo 1 (≤0,25) uT",IF(AP276&lt;=0.5,"Tipo 2 (0,25-0,50) uT",IF(AP276&lt;=0.75,"Tipo 3 (0,50-0,75) uT","Tipo 4 (&gt;0,75) uT"))))</f>
        <v>Tipo 2 (0,25-0,50) uT</v>
      </c>
      <c r="BG276" s="137" t="str">
        <f>IF(OR(Q276="",Q276="-"),"",IF(Q276&lt;=0.25,"Tipo 1 (≤0,25) uT",IF(Q276&lt;=0.5,"Tipo 2 (0,25-0,50) uT",IF(Q276&lt;=0.75,"Tipo 3 (0,50-0,75) uT","Tipo 4 (&gt;0,75) uT"))))</f>
        <v>Tipo 2 (0,25-0,50) uT</v>
      </c>
    </row>
    <row r="277" spans="1:59" x14ac:dyDescent="0.3">
      <c r="A277" s="26">
        <v>46156</v>
      </c>
      <c r="B277" s="107">
        <v>0.39583333333333331</v>
      </c>
      <c r="C277" s="116">
        <v>1738</v>
      </c>
      <c r="D277" s="116">
        <v>93</v>
      </c>
      <c r="E277" s="116">
        <v>0</v>
      </c>
      <c r="F277" s="116">
        <v>1804</v>
      </c>
      <c r="G277" s="10" t="s">
        <v>100</v>
      </c>
      <c r="H277" s="122">
        <v>5.6</v>
      </c>
      <c r="I277" s="116">
        <v>90</v>
      </c>
      <c r="J277" s="116">
        <v>90</v>
      </c>
      <c r="K277" s="116">
        <v>90</v>
      </c>
      <c r="L277" s="122">
        <v>25.5</v>
      </c>
      <c r="M277" s="122">
        <v>6.7</v>
      </c>
      <c r="N277" s="79">
        <v>3.21</v>
      </c>
      <c r="O277" s="116">
        <v>15</v>
      </c>
      <c r="P277" s="122">
        <v>5.0999999999999996</v>
      </c>
      <c r="Q277" s="79">
        <v>0.28000000000000003</v>
      </c>
      <c r="R277" s="79">
        <v>22.36</v>
      </c>
      <c r="S277" s="79">
        <v>0.88</v>
      </c>
      <c r="T277" s="79">
        <v>0.7</v>
      </c>
      <c r="U277" s="85">
        <f t="shared" si="28"/>
        <v>1159.07</v>
      </c>
      <c r="V277" s="79">
        <f t="shared" si="29"/>
        <v>1450.2688223191999</v>
      </c>
      <c r="W277" s="79">
        <f t="shared" si="30"/>
        <v>1.2512348885910256</v>
      </c>
      <c r="X277" s="116">
        <v>2</v>
      </c>
      <c r="Y277" s="116">
        <v>4</v>
      </c>
      <c r="Z277" s="122">
        <v>6.53</v>
      </c>
      <c r="AA277" s="116">
        <v>17.86</v>
      </c>
      <c r="AB277" s="122">
        <v>6.5</v>
      </c>
      <c r="AC277" s="122">
        <v>5.4</v>
      </c>
      <c r="AD277" s="10">
        <v>0.52</v>
      </c>
      <c r="AE277" s="79">
        <v>0.48</v>
      </c>
      <c r="AF277" s="85">
        <f t="shared" si="31"/>
        <v>1545.4266666666667</v>
      </c>
      <c r="AG277" s="85">
        <f t="shared" si="32"/>
        <v>1816.9809445891995</v>
      </c>
      <c r="AH277" s="85">
        <f t="shared" si="33"/>
        <v>1.1757147613534122</v>
      </c>
      <c r="AI277" s="116">
        <v>2</v>
      </c>
      <c r="AJ277" s="116">
        <v>3</v>
      </c>
      <c r="AK277" s="79">
        <v>6.43</v>
      </c>
      <c r="AL277" s="79">
        <v>22.81</v>
      </c>
      <c r="AM277" s="122">
        <v>6.5</v>
      </c>
      <c r="AN277" s="122">
        <v>5.9</v>
      </c>
      <c r="AO277" s="79">
        <v>0.21</v>
      </c>
      <c r="AP277" s="127">
        <v>0.33</v>
      </c>
      <c r="AQ277" s="132">
        <f t="shared" si="34"/>
        <v>1831</v>
      </c>
      <c r="AR277" s="134">
        <f t="shared" si="35"/>
        <v>0.94920808301474602</v>
      </c>
      <c r="AS277" s="134">
        <f t="shared" si="36"/>
        <v>5.0791916985253961E-2</v>
      </c>
      <c r="AT277" s="134">
        <f t="shared" si="37"/>
        <v>0</v>
      </c>
      <c r="AU277" s="43">
        <f>IF(AND(F277&lt;&gt;"",Y277&lt;&gt;""),AA277/(F277/2/Y277),"")</f>
        <v>7.920177383592017E-2</v>
      </c>
      <c r="AV277" s="43">
        <f>IF(AND(F277&lt;&gt;"",AJ277&lt;&gt;""),AL277/(F277/2/AJ277),"")</f>
        <v>7.5864745011086462E-2</v>
      </c>
      <c r="AW277" s="41">
        <f>IF(AND(AP277&lt;&gt;"",1-(AP277/N277)&gt;0),1-(AP277/N277),"")</f>
        <v>0.89719626168224298</v>
      </c>
      <c r="AX277" s="41">
        <f>IF(AND(AE277&lt;&gt;"",1-(AE277/N277)&gt;0),1-(AE277/N277),"")</f>
        <v>0.85046728971962615</v>
      </c>
      <c r="AY277" s="136" t="str">
        <f>IF(P277="","",IF(P277&lt;2.5,"Alc. Bruta &lt; 2,5 mg/L",IF(P277&lt;5,"2,5 ≤ Alc. Bruta &lt; 5,0 mg/L",IF(P277&lt;7.5,"5,0 ≤ Alc. Bruta &lt; 7,5 mg/L",IF(P277&lt;10,"7,5 ≤ Alc. Bruta &lt; 10,0 mg/L",IF(P277&lt;15,"10,0 ≤ Alca. Bruta &lt; 15,0 mg/L","Alc. Bruta &gt; 15 mg/L"))))))</f>
        <v>5,0 ≤ Alc. Bruta &lt; 7,5 mg/L</v>
      </c>
      <c r="AZ277" s="136" t="str">
        <f>IF(O277="","",IF(O277&lt;5,"Cor &lt;5 uC",IF(O277&lt;10,"5 ≤ Cor &lt; 10 uC",IF(O277&lt;15,"10 ≤ Cor &lt;15 uC",IF(O277&lt;30,"15 ≤ Cor &lt; 30 uC",IF(O277&lt;50,"30 ≤ Cor &lt; 50 uC","Cor &gt; 50 uC"))))))</f>
        <v>15 ≤ Cor &lt; 30 uC</v>
      </c>
      <c r="BA277" s="137" t="str">
        <f>IF(N277="","",IF(N277&lt;2.5,"Turbidez &lt; 2,5 uT",IF(N277&lt;5,"2,5 ≤ Turb &lt; 5,0 uT",IF(N277&lt;7.5,"5,0 ≤ Turb &lt; 7,5 uT",IF(N277&lt;10,"7,5 ≤ Turb &lt; 10,0 uT",IF(N277&lt;15,"10,0 ≤ Turb &lt; 15,0 uT","Turb &gt; 15 uT"))))))</f>
        <v>2,5 ≤ Turb &lt; 5,0 uT</v>
      </c>
      <c r="BB277" s="138" t="str">
        <f>IF(AND(C277&gt;D277,D277&gt;E277),"TOR &gt; SM &gt; BNN",IF(AND(C277&gt;E277,E277&gt;D277),"TOR &gt; BNN &gt; SM",IF(AND(D277&gt;C277,C277&gt;E277),"SM &gt; TOR &gt; BNN",IF(AND(D277&gt;E277,E277&gt;C277),"SM &gt; BNN &gt; TOR",IF(AND(C277=D277,D277=E277),"TOR = SM = BNN","Comb. diferentes")))))</f>
        <v>TOR &gt; SM &gt; BNN</v>
      </c>
      <c r="BC277" s="137" t="str">
        <f>IF(OR(AD277="",AP277="-"),"",IF(AD277&lt;=0.25,"Tipo 1 (≤0,25) uT",IF(AD277&lt;=0.5,"Tipo 2 (0,25-0,50) uT",IF(AD277&lt;=0.75,"Tipo 3 (0,50-0,75) uT","Tipo 4 (&gt;0,75) uT"))))</f>
        <v>Tipo 3 (0,50-0,75) uT</v>
      </c>
      <c r="BD277" s="137" t="str">
        <f>IF(OR(AO277="",AY277="-"),"",IF(AO277&lt;=0.25,"Tipo 1 (≤0,25) uT",IF(AO277&lt;=0.5,"Tipo 2 (0,25-0,50) uT",IF(AO277&lt;=0.75,"Tipo 3 (0,50-0,75) uT","Tipo 4 (&gt;0,75) uT"))))</f>
        <v>Tipo 1 (≤0,25) uT</v>
      </c>
      <c r="BE277" s="137" t="str">
        <f>IF(OR(AE277="",AP277="-"),"",IF(AE277&lt;=0.25,"Tipo 1 (≤0,25) uT",IF(AE277&lt;=0.5,"Tipo 2 (0,25-0,50) uT",IF(AE277&lt;=0.75,"Tipo 3 (0,50-0,75) uT","Tipo 4 (&gt;0,75) uT"))))</f>
        <v>Tipo 2 (0,25-0,50) uT</v>
      </c>
      <c r="BF277" s="137" t="str">
        <f>IF(OR(AP277="",AP277="-"),"",IF(AP277&lt;=0.25,"Tipo 1 (≤0,25) uT",IF(AP277&lt;=0.5,"Tipo 2 (0,25-0,50) uT",IF(AP277&lt;=0.75,"Tipo 3 (0,50-0,75) uT","Tipo 4 (&gt;0,75) uT"))))</f>
        <v>Tipo 2 (0,25-0,50) uT</v>
      </c>
      <c r="BG277" s="137" t="str">
        <f>IF(OR(Q277="",Q277="-"),"",IF(Q277&lt;=0.25,"Tipo 1 (≤0,25) uT",IF(Q277&lt;=0.5,"Tipo 2 (0,25-0,50) uT",IF(Q277&lt;=0.75,"Tipo 3 (0,50-0,75) uT","Tipo 4 (&gt;0,75) uT"))))</f>
        <v>Tipo 2 (0,25-0,50) uT</v>
      </c>
    </row>
    <row r="278" spans="1:59" x14ac:dyDescent="0.3">
      <c r="A278" s="26">
        <v>46156</v>
      </c>
      <c r="B278" s="107">
        <v>0.47916666666666669</v>
      </c>
      <c r="C278" s="116">
        <v>1644</v>
      </c>
      <c r="D278" s="116">
        <v>92</v>
      </c>
      <c r="E278" s="116">
        <v>0</v>
      </c>
      <c r="F278" s="116">
        <v>1769</v>
      </c>
      <c r="G278" s="10" t="s">
        <v>100</v>
      </c>
      <c r="H278" s="122">
        <v>5.6</v>
      </c>
      <c r="I278" s="116">
        <v>90</v>
      </c>
      <c r="J278" s="116">
        <v>90</v>
      </c>
      <c r="K278" s="116">
        <v>80</v>
      </c>
      <c r="L278" s="122">
        <v>24.3</v>
      </c>
      <c r="M278" s="122">
        <v>6.7</v>
      </c>
      <c r="N278" s="79">
        <v>3.55</v>
      </c>
      <c r="O278" s="116">
        <v>13</v>
      </c>
      <c r="P278" s="122">
        <v>5.6</v>
      </c>
      <c r="Q278" s="79">
        <v>0.68</v>
      </c>
      <c r="R278" s="79">
        <v>22.36</v>
      </c>
      <c r="S278" s="79">
        <v>0.88</v>
      </c>
      <c r="T278" s="79">
        <v>0.7</v>
      </c>
      <c r="U278" s="85">
        <f t="shared" si="28"/>
        <v>1211.7649999999999</v>
      </c>
      <c r="V278" s="79">
        <f t="shared" si="29"/>
        <v>1412.0398934252</v>
      </c>
      <c r="W278" s="79">
        <f t="shared" si="30"/>
        <v>1.1652753573714376</v>
      </c>
      <c r="X278" s="116">
        <v>2</v>
      </c>
      <c r="Y278" s="116">
        <v>4</v>
      </c>
      <c r="Z278" s="122">
        <v>6.47</v>
      </c>
      <c r="AA278" s="116">
        <v>17.59</v>
      </c>
      <c r="AB278" s="122">
        <v>6.1</v>
      </c>
      <c r="AC278" s="122">
        <v>5.5</v>
      </c>
      <c r="AD278" s="10">
        <v>0.31</v>
      </c>
      <c r="AE278" s="79">
        <v>0.45</v>
      </c>
      <c r="AF278" s="85">
        <f t="shared" si="31"/>
        <v>1615.6866666666665</v>
      </c>
      <c r="AG278" s="85">
        <f t="shared" si="32"/>
        <v>1776.885883188</v>
      </c>
      <c r="AH278" s="85">
        <f t="shared" si="33"/>
        <v>1.0997713355238021</v>
      </c>
      <c r="AI278" s="116">
        <v>2</v>
      </c>
      <c r="AJ278" s="116">
        <v>3</v>
      </c>
      <c r="AK278" s="79">
        <v>6.42</v>
      </c>
      <c r="AL278" s="79">
        <v>22.35</v>
      </c>
      <c r="AM278" s="122">
        <v>6.3</v>
      </c>
      <c r="AN278" s="122">
        <v>5.3</v>
      </c>
      <c r="AO278" s="79">
        <v>0.19</v>
      </c>
      <c r="AP278" s="127">
        <v>0.57999999999999996</v>
      </c>
      <c r="AQ278" s="132">
        <f t="shared" si="34"/>
        <v>1736</v>
      </c>
      <c r="AR278" s="134">
        <f t="shared" si="35"/>
        <v>0.94700460829493083</v>
      </c>
      <c r="AS278" s="134">
        <f t="shared" si="36"/>
        <v>5.2995391705069124E-2</v>
      </c>
      <c r="AT278" s="134">
        <f t="shared" si="37"/>
        <v>0</v>
      </c>
      <c r="AU278" s="43">
        <f>IF(AND(F278&lt;&gt;"",Y278&lt;&gt;""),AA278/(F278/2/Y278),"")</f>
        <v>7.9547767100056524E-2</v>
      </c>
      <c r="AV278" s="43">
        <f>IF(AND(F278&lt;&gt;"",AJ278&lt;&gt;""),AL278/(F278/2/AJ278),"")</f>
        <v>7.5805539853024323E-2</v>
      </c>
      <c r="AW278" s="41">
        <f>IF(AND(AP278&lt;&gt;"",1-(AP278/N278)&gt;0),1-(AP278/N278),"")</f>
        <v>0.83661971830985915</v>
      </c>
      <c r="AX278" s="41">
        <f>IF(AND(AE278&lt;&gt;"",1-(AE278/N278)&gt;0),1-(AE278/N278),"")</f>
        <v>0.87323943661971826</v>
      </c>
      <c r="AY278" s="136" t="str">
        <f>IF(P278="","",IF(P278&lt;2.5,"Alc. Bruta &lt; 2,5 mg/L",IF(P278&lt;5,"2,5 ≤ Alc. Bruta &lt; 5,0 mg/L",IF(P278&lt;7.5,"5,0 ≤ Alc. Bruta &lt; 7,5 mg/L",IF(P278&lt;10,"7,5 ≤ Alc. Bruta &lt; 10,0 mg/L",IF(P278&lt;15,"10,0 ≤ Alca. Bruta &lt; 15,0 mg/L","Alc. Bruta &gt; 15 mg/L"))))))</f>
        <v>5,0 ≤ Alc. Bruta &lt; 7,5 mg/L</v>
      </c>
      <c r="AZ278" s="136" t="str">
        <f>IF(O278="","",IF(O278&lt;5,"Cor &lt;5 uC",IF(O278&lt;10,"5 ≤ Cor &lt; 10 uC",IF(O278&lt;15,"10 ≤ Cor &lt;15 uC",IF(O278&lt;30,"15 ≤ Cor &lt; 30 uC",IF(O278&lt;50,"30 ≤ Cor &lt; 50 uC","Cor &gt; 50 uC"))))))</f>
        <v>10 ≤ Cor &lt;15 uC</v>
      </c>
      <c r="BA278" s="137" t="str">
        <f>IF(N278="","",IF(N278&lt;2.5,"Turbidez &lt; 2,5 uT",IF(N278&lt;5,"2,5 ≤ Turb &lt; 5,0 uT",IF(N278&lt;7.5,"5,0 ≤ Turb &lt; 7,5 uT",IF(N278&lt;10,"7,5 ≤ Turb &lt; 10,0 uT",IF(N278&lt;15,"10,0 ≤ Turb &lt; 15,0 uT","Turb &gt; 15 uT"))))))</f>
        <v>2,5 ≤ Turb &lt; 5,0 uT</v>
      </c>
      <c r="BB278" s="138" t="str">
        <f>IF(AND(C278&gt;D278,D278&gt;E278),"TOR &gt; SM &gt; BNN",IF(AND(C278&gt;E278,E278&gt;D278),"TOR &gt; BNN &gt; SM",IF(AND(D278&gt;C278,C278&gt;E278),"SM &gt; TOR &gt; BNN",IF(AND(D278&gt;E278,E278&gt;C278),"SM &gt; BNN &gt; TOR",IF(AND(C278=D278,D278=E278),"TOR = SM = BNN","Comb. diferentes")))))</f>
        <v>TOR &gt; SM &gt; BNN</v>
      </c>
      <c r="BC278" s="137" t="str">
        <f>IF(OR(AD278="",AP278="-"),"",IF(AD278&lt;=0.25,"Tipo 1 (≤0,25) uT",IF(AD278&lt;=0.5,"Tipo 2 (0,25-0,50) uT",IF(AD278&lt;=0.75,"Tipo 3 (0,50-0,75) uT","Tipo 4 (&gt;0,75) uT"))))</f>
        <v>Tipo 2 (0,25-0,50) uT</v>
      </c>
      <c r="BD278" s="137" t="str">
        <f>IF(OR(AO278="",AY278="-"),"",IF(AO278&lt;=0.25,"Tipo 1 (≤0,25) uT",IF(AO278&lt;=0.5,"Tipo 2 (0,25-0,50) uT",IF(AO278&lt;=0.75,"Tipo 3 (0,50-0,75) uT","Tipo 4 (&gt;0,75) uT"))))</f>
        <v>Tipo 1 (≤0,25) uT</v>
      </c>
      <c r="BE278" s="137" t="str">
        <f>IF(OR(AE278="",AP278="-"),"",IF(AE278&lt;=0.25,"Tipo 1 (≤0,25) uT",IF(AE278&lt;=0.5,"Tipo 2 (0,25-0,50) uT",IF(AE278&lt;=0.75,"Tipo 3 (0,50-0,75) uT","Tipo 4 (&gt;0,75) uT"))))</f>
        <v>Tipo 2 (0,25-0,50) uT</v>
      </c>
      <c r="BF278" s="137" t="str">
        <f>IF(OR(AP278="",AP278="-"),"",IF(AP278&lt;=0.25,"Tipo 1 (≤0,25) uT",IF(AP278&lt;=0.5,"Tipo 2 (0,25-0,50) uT",IF(AP278&lt;=0.75,"Tipo 3 (0,50-0,75) uT","Tipo 4 (&gt;0,75) uT"))))</f>
        <v>Tipo 3 (0,50-0,75) uT</v>
      </c>
      <c r="BG278" s="137" t="str">
        <f>IF(OR(Q278="",Q278="-"),"",IF(Q278&lt;=0.25,"Tipo 1 (≤0,25) uT",IF(Q278&lt;=0.5,"Tipo 2 (0,25-0,50) uT",IF(Q278&lt;=0.75,"Tipo 3 (0,50-0,75) uT","Tipo 4 (&gt;0,75) uT"))))</f>
        <v>Tipo 3 (0,50-0,75) uT</v>
      </c>
    </row>
    <row r="279" spans="1:59" x14ac:dyDescent="0.3">
      <c r="A279" s="26">
        <v>46156</v>
      </c>
      <c r="B279" s="107">
        <v>0.64583333333333337</v>
      </c>
      <c r="C279" s="116">
        <v>1458</v>
      </c>
      <c r="D279" s="116">
        <v>685</v>
      </c>
      <c r="E279" s="116">
        <v>0</v>
      </c>
      <c r="F279" s="116">
        <v>2235</v>
      </c>
      <c r="G279" s="10" t="s">
        <v>34</v>
      </c>
      <c r="H279" s="122">
        <v>5.8</v>
      </c>
      <c r="I279" s="116">
        <v>90</v>
      </c>
      <c r="J279" s="116">
        <v>90</v>
      </c>
      <c r="K279" s="116">
        <v>90</v>
      </c>
      <c r="L279" s="122">
        <v>26.2</v>
      </c>
      <c r="M279" s="122">
        <v>6.7</v>
      </c>
      <c r="N279" s="79">
        <v>3.23</v>
      </c>
      <c r="O279" s="116">
        <v>13</v>
      </c>
      <c r="P279" s="122">
        <v>5.2</v>
      </c>
      <c r="Q279" s="79">
        <v>1.06</v>
      </c>
      <c r="R279" s="79">
        <v>22.36</v>
      </c>
      <c r="S279" s="79">
        <v>0.88</v>
      </c>
      <c r="T279" s="79">
        <v>0.7</v>
      </c>
      <c r="U279" s="85">
        <f t="shared" si="28"/>
        <v>1458.3374999999999</v>
      </c>
      <c r="V279" s="79">
        <f t="shared" si="29"/>
        <v>1432.3028704399999</v>
      </c>
      <c r="W279" s="79">
        <f t="shared" si="30"/>
        <v>0.98214773359390406</v>
      </c>
      <c r="X279" s="116">
        <v>3</v>
      </c>
      <c r="Y279" s="116">
        <v>4</v>
      </c>
      <c r="Z279" s="122">
        <v>6.5</v>
      </c>
      <c r="AA279" s="116">
        <v>17.739999999999998</v>
      </c>
      <c r="AB279" s="122">
        <v>6.8</v>
      </c>
      <c r="AC279" s="122">
        <v>5.5</v>
      </c>
      <c r="AD279" s="10">
        <v>0.45</v>
      </c>
      <c r="AE279" s="79">
        <v>1.1100000000000001</v>
      </c>
      <c r="AF279" s="85">
        <f t="shared" si="31"/>
        <v>1458.3374999999999</v>
      </c>
      <c r="AG279" s="85">
        <f t="shared" si="32"/>
        <v>1813.3217004032001</v>
      </c>
      <c r="AH279" s="85">
        <f t="shared" si="33"/>
        <v>1.2434170419420747</v>
      </c>
      <c r="AI279" s="116">
        <v>3</v>
      </c>
      <c r="AJ279" s="116">
        <v>4</v>
      </c>
      <c r="AK279" s="79">
        <v>6.44</v>
      </c>
      <c r="AL279" s="79">
        <v>22.72</v>
      </c>
      <c r="AM279" s="122">
        <v>6.5</v>
      </c>
      <c r="AN279" s="122">
        <v>5.2</v>
      </c>
      <c r="AO279" s="79">
        <v>0.56999999999999995</v>
      </c>
      <c r="AP279" s="127">
        <v>0.73</v>
      </c>
      <c r="AQ279" s="132">
        <f t="shared" si="34"/>
        <v>2143</v>
      </c>
      <c r="AR279" s="134">
        <f t="shared" si="35"/>
        <v>0.68035464302379844</v>
      </c>
      <c r="AS279" s="134">
        <f t="shared" si="36"/>
        <v>0.31964535697620161</v>
      </c>
      <c r="AT279" s="134">
        <f t="shared" si="37"/>
        <v>0</v>
      </c>
      <c r="AU279" s="43">
        <f>IF(AND(F279&lt;&gt;"",Y279&lt;&gt;""),AA279/(F279/2/Y279),"")</f>
        <v>6.3498881431767337E-2</v>
      </c>
      <c r="AV279" s="43">
        <f>IF(AND(F279&lt;&gt;"",AJ279&lt;&gt;""),AL279/(F279/2/AJ279),"")</f>
        <v>8.1324384787472032E-2</v>
      </c>
      <c r="AW279" s="41">
        <f>IF(AND(AP279&lt;&gt;"",1-(AP279/N279)&gt;0),1-(AP279/N279),"")</f>
        <v>0.77399380804953566</v>
      </c>
      <c r="AX279" s="41">
        <f>IF(AND(AE279&lt;&gt;"",1-(AE279/N279)&gt;0),1-(AE279/N279),"")</f>
        <v>0.65634674922600622</v>
      </c>
      <c r="AY279" s="136" t="str">
        <f>IF(P279="","",IF(P279&lt;2.5,"Alc. Bruta &lt; 2,5 mg/L",IF(P279&lt;5,"2,5 ≤ Alc. Bruta &lt; 5,0 mg/L",IF(P279&lt;7.5,"5,0 ≤ Alc. Bruta &lt; 7,5 mg/L",IF(P279&lt;10,"7,5 ≤ Alc. Bruta &lt; 10,0 mg/L",IF(P279&lt;15,"10,0 ≤ Alca. Bruta &lt; 15,0 mg/L","Alc. Bruta &gt; 15 mg/L"))))))</f>
        <v>5,0 ≤ Alc. Bruta &lt; 7,5 mg/L</v>
      </c>
      <c r="AZ279" s="136" t="str">
        <f>IF(O279="","",IF(O279&lt;5,"Cor &lt;5 uC",IF(O279&lt;10,"5 ≤ Cor &lt; 10 uC",IF(O279&lt;15,"10 ≤ Cor &lt;15 uC",IF(O279&lt;30,"15 ≤ Cor &lt; 30 uC",IF(O279&lt;50,"30 ≤ Cor &lt; 50 uC","Cor &gt; 50 uC"))))))</f>
        <v>10 ≤ Cor &lt;15 uC</v>
      </c>
      <c r="BA279" s="137" t="str">
        <f>IF(N279="","",IF(N279&lt;2.5,"Turbidez &lt; 2,5 uT",IF(N279&lt;5,"2,5 ≤ Turb &lt; 5,0 uT",IF(N279&lt;7.5,"5,0 ≤ Turb &lt; 7,5 uT",IF(N279&lt;10,"7,5 ≤ Turb &lt; 10,0 uT",IF(N279&lt;15,"10,0 ≤ Turb &lt; 15,0 uT","Turb &gt; 15 uT"))))))</f>
        <v>2,5 ≤ Turb &lt; 5,0 uT</v>
      </c>
      <c r="BB279" s="138" t="str">
        <f>IF(AND(C279&gt;D279,D279&gt;E279),"TOR &gt; SM &gt; BNN",IF(AND(C279&gt;E279,E279&gt;D279),"TOR &gt; BNN &gt; SM",IF(AND(D279&gt;C279,C279&gt;E279),"SM &gt; TOR &gt; BNN",IF(AND(D279&gt;E279,E279&gt;C279),"SM &gt; BNN &gt; TOR",IF(AND(C279=D279,D279=E279),"TOR = SM = BNN","Comb. diferentes")))))</f>
        <v>TOR &gt; SM &gt; BNN</v>
      </c>
      <c r="BC279" s="137" t="str">
        <f>IF(OR(AD279="",AP279="-"),"",IF(AD279&lt;=0.25,"Tipo 1 (≤0,25) uT",IF(AD279&lt;=0.5,"Tipo 2 (0,25-0,50) uT",IF(AD279&lt;=0.75,"Tipo 3 (0,50-0,75) uT","Tipo 4 (&gt;0,75) uT"))))</f>
        <v>Tipo 2 (0,25-0,50) uT</v>
      </c>
      <c r="BD279" s="137" t="str">
        <f>IF(OR(AO279="",AY279="-"),"",IF(AO279&lt;=0.25,"Tipo 1 (≤0,25) uT",IF(AO279&lt;=0.5,"Tipo 2 (0,25-0,50) uT",IF(AO279&lt;=0.75,"Tipo 3 (0,50-0,75) uT","Tipo 4 (&gt;0,75) uT"))))</f>
        <v>Tipo 3 (0,50-0,75) uT</v>
      </c>
      <c r="BE279" s="137" t="str">
        <f>IF(OR(AE279="",AP279="-"),"",IF(AE279&lt;=0.25,"Tipo 1 (≤0,25) uT",IF(AE279&lt;=0.5,"Tipo 2 (0,25-0,50) uT",IF(AE279&lt;=0.75,"Tipo 3 (0,50-0,75) uT","Tipo 4 (&gt;0,75) uT"))))</f>
        <v>Tipo 4 (&gt;0,75) uT</v>
      </c>
      <c r="BF279" s="137" t="str">
        <f>IF(OR(AP279="",AP279="-"),"",IF(AP279&lt;=0.25,"Tipo 1 (≤0,25) uT",IF(AP279&lt;=0.5,"Tipo 2 (0,25-0,50) uT",IF(AP279&lt;=0.75,"Tipo 3 (0,50-0,75) uT","Tipo 4 (&gt;0,75) uT"))))</f>
        <v>Tipo 3 (0,50-0,75) uT</v>
      </c>
      <c r="BG279" s="137" t="str">
        <f>IF(OR(Q279="",Q279="-"),"",IF(Q279&lt;=0.25,"Tipo 1 (≤0,25) uT",IF(Q279&lt;=0.5,"Tipo 2 (0,25-0,50) uT",IF(Q279&lt;=0.75,"Tipo 3 (0,50-0,75) uT","Tipo 4 (&gt;0,75) uT"))))</f>
        <v>Tipo 4 (&gt;0,75) uT</v>
      </c>
    </row>
    <row r="280" spans="1:59" x14ac:dyDescent="0.3">
      <c r="A280" s="26">
        <v>46156</v>
      </c>
      <c r="B280" s="107">
        <v>0.72916666666666663</v>
      </c>
      <c r="C280" s="116">
        <v>1543</v>
      </c>
      <c r="D280" s="116">
        <v>698</v>
      </c>
      <c r="E280" s="116">
        <v>0</v>
      </c>
      <c r="F280" s="116">
        <v>2378</v>
      </c>
      <c r="G280" s="10" t="s">
        <v>34</v>
      </c>
      <c r="H280" s="122">
        <v>5.8</v>
      </c>
      <c r="I280" s="116">
        <v>90</v>
      </c>
      <c r="J280" s="116">
        <v>90</v>
      </c>
      <c r="K280" s="116">
        <v>90</v>
      </c>
      <c r="L280" s="122">
        <v>26.2</v>
      </c>
      <c r="M280" s="122">
        <v>6.7</v>
      </c>
      <c r="N280" s="79">
        <v>3.23</v>
      </c>
      <c r="O280" s="116">
        <v>18</v>
      </c>
      <c r="P280" s="122">
        <v>5.6</v>
      </c>
      <c r="Q280" s="79">
        <v>1.38</v>
      </c>
      <c r="R280" s="79">
        <v>22.36</v>
      </c>
      <c r="S280" s="79">
        <v>0.88</v>
      </c>
      <c r="T280" s="79">
        <v>0.7</v>
      </c>
      <c r="U280" s="85">
        <f t="shared" si="28"/>
        <v>1551.645</v>
      </c>
      <c r="V280" s="79">
        <f t="shared" si="29"/>
        <v>1440.8440791887997</v>
      </c>
      <c r="W280" s="79">
        <f t="shared" si="30"/>
        <v>0.92859132030122848</v>
      </c>
      <c r="X280" s="116">
        <v>3</v>
      </c>
      <c r="Y280" s="116">
        <v>4</v>
      </c>
      <c r="Z280" s="122">
        <v>6.49</v>
      </c>
      <c r="AA280" s="116">
        <v>17.88</v>
      </c>
      <c r="AB280" s="122">
        <v>6.7</v>
      </c>
      <c r="AC280" s="122">
        <v>5.2</v>
      </c>
      <c r="AD280" s="10">
        <v>0.71</v>
      </c>
      <c r="AE280" s="79">
        <v>1.65</v>
      </c>
      <c r="AF280" s="85">
        <f t="shared" si="31"/>
        <v>1551.645</v>
      </c>
      <c r="AG280" s="85">
        <f t="shared" si="32"/>
        <v>1787.7158210652003</v>
      </c>
      <c r="AH280" s="85">
        <f t="shared" si="33"/>
        <v>1.1521422883876147</v>
      </c>
      <c r="AI280" s="116">
        <v>3</v>
      </c>
      <c r="AJ280" s="116">
        <v>4</v>
      </c>
      <c r="AK280" s="79">
        <v>6.41</v>
      </c>
      <c r="AL280" s="79">
        <v>22.53</v>
      </c>
      <c r="AM280" s="122">
        <v>6.6</v>
      </c>
      <c r="AN280" s="122">
        <v>5.0999999999999996</v>
      </c>
      <c r="AO280" s="79">
        <v>0.53</v>
      </c>
      <c r="AP280" s="127">
        <v>1.07</v>
      </c>
      <c r="AQ280" s="132">
        <f t="shared" si="34"/>
        <v>2241</v>
      </c>
      <c r="AR280" s="134">
        <f t="shared" si="35"/>
        <v>0.68853190539937525</v>
      </c>
      <c r="AS280" s="134">
        <f t="shared" si="36"/>
        <v>0.31146809460062475</v>
      </c>
      <c r="AT280" s="134">
        <f t="shared" si="37"/>
        <v>0</v>
      </c>
      <c r="AU280" s="43">
        <f>IF(AND(F280&lt;&gt;"",Y280&lt;&gt;""),AA280/(F280/2/Y280),"")</f>
        <v>6.0151387720773754E-2</v>
      </c>
      <c r="AV280" s="43">
        <f>IF(AND(F280&lt;&gt;"",AJ280&lt;&gt;""),AL280/(F280/2/AJ280),"")</f>
        <v>7.5794785534062242E-2</v>
      </c>
      <c r="AW280" s="41">
        <f>IF(AND(AP280&lt;&gt;"",1-(AP280/N280)&gt;0),1-(AP280/N280),"")</f>
        <v>0.66873065015479871</v>
      </c>
      <c r="AX280" s="41">
        <f>IF(AND(AE280&lt;&gt;"",1-(AE280/N280)&gt;0),1-(AE280/N280),"")</f>
        <v>0.48916408668730649</v>
      </c>
      <c r="AY280" s="136" t="str">
        <f>IF(P280="","",IF(P280&lt;2.5,"Alc. Bruta &lt; 2,5 mg/L",IF(P280&lt;5,"2,5 ≤ Alc. Bruta &lt; 5,0 mg/L",IF(P280&lt;7.5,"5,0 ≤ Alc. Bruta &lt; 7,5 mg/L",IF(P280&lt;10,"7,5 ≤ Alc. Bruta &lt; 10,0 mg/L",IF(P280&lt;15,"10,0 ≤ Alca. Bruta &lt; 15,0 mg/L","Alc. Bruta &gt; 15 mg/L"))))))</f>
        <v>5,0 ≤ Alc. Bruta &lt; 7,5 mg/L</v>
      </c>
      <c r="AZ280" s="136" t="str">
        <f>IF(O280="","",IF(O280&lt;5,"Cor &lt;5 uC",IF(O280&lt;10,"5 ≤ Cor &lt; 10 uC",IF(O280&lt;15,"10 ≤ Cor &lt;15 uC",IF(O280&lt;30,"15 ≤ Cor &lt; 30 uC",IF(O280&lt;50,"30 ≤ Cor &lt; 50 uC","Cor &gt; 50 uC"))))))</f>
        <v>15 ≤ Cor &lt; 30 uC</v>
      </c>
      <c r="BA280" s="137" t="str">
        <f>IF(N280="","",IF(N280&lt;2.5,"Turbidez &lt; 2,5 uT",IF(N280&lt;5,"2,5 ≤ Turb &lt; 5,0 uT",IF(N280&lt;7.5,"5,0 ≤ Turb &lt; 7,5 uT",IF(N280&lt;10,"7,5 ≤ Turb &lt; 10,0 uT",IF(N280&lt;15,"10,0 ≤ Turb &lt; 15,0 uT","Turb &gt; 15 uT"))))))</f>
        <v>2,5 ≤ Turb &lt; 5,0 uT</v>
      </c>
      <c r="BB280" s="138" t="str">
        <f>IF(AND(C280&gt;D280,D280&gt;E280),"TOR &gt; SM &gt; BNN",IF(AND(C280&gt;E280,E280&gt;D280),"TOR &gt; BNN &gt; SM",IF(AND(D280&gt;C280,C280&gt;E280),"SM &gt; TOR &gt; BNN",IF(AND(D280&gt;E280,E280&gt;C280),"SM &gt; BNN &gt; TOR",IF(AND(C280=D280,D280=E280),"TOR = SM = BNN","Comb. diferentes")))))</f>
        <v>TOR &gt; SM &gt; BNN</v>
      </c>
      <c r="BC280" s="137" t="str">
        <f>IF(OR(AD280="",AP280="-"),"",IF(AD280&lt;=0.25,"Tipo 1 (≤0,25) uT",IF(AD280&lt;=0.5,"Tipo 2 (0,25-0,50) uT",IF(AD280&lt;=0.75,"Tipo 3 (0,50-0,75) uT","Tipo 4 (&gt;0,75) uT"))))</f>
        <v>Tipo 3 (0,50-0,75) uT</v>
      </c>
      <c r="BD280" s="137" t="str">
        <f>IF(OR(AO280="",AY280="-"),"",IF(AO280&lt;=0.25,"Tipo 1 (≤0,25) uT",IF(AO280&lt;=0.5,"Tipo 2 (0,25-0,50) uT",IF(AO280&lt;=0.75,"Tipo 3 (0,50-0,75) uT","Tipo 4 (&gt;0,75) uT"))))</f>
        <v>Tipo 3 (0,50-0,75) uT</v>
      </c>
      <c r="BE280" s="137" t="str">
        <f>IF(OR(AE280="",AP280="-"),"",IF(AE280&lt;=0.25,"Tipo 1 (≤0,25) uT",IF(AE280&lt;=0.5,"Tipo 2 (0,25-0,50) uT",IF(AE280&lt;=0.75,"Tipo 3 (0,50-0,75) uT","Tipo 4 (&gt;0,75) uT"))))</f>
        <v>Tipo 4 (&gt;0,75) uT</v>
      </c>
      <c r="BF280" s="137" t="str">
        <f>IF(OR(AP280="",AP280="-"),"",IF(AP280&lt;=0.25,"Tipo 1 (≤0,25) uT",IF(AP280&lt;=0.5,"Tipo 2 (0,25-0,50) uT",IF(AP280&lt;=0.75,"Tipo 3 (0,50-0,75) uT","Tipo 4 (&gt;0,75) uT"))))</f>
        <v>Tipo 4 (&gt;0,75) uT</v>
      </c>
      <c r="BG280" s="137" t="str">
        <f>IF(OR(Q280="",Q280="-"),"",IF(Q280&lt;=0.25,"Tipo 1 (≤0,25) uT",IF(Q280&lt;=0.5,"Tipo 2 (0,25-0,50) uT",IF(Q280&lt;=0.75,"Tipo 3 (0,50-0,75) uT","Tipo 4 (&gt;0,75) uT"))))</f>
        <v>Tipo 4 (&gt;0,75) uT</v>
      </c>
    </row>
    <row r="281" spans="1:59" x14ac:dyDescent="0.3">
      <c r="A281" s="26">
        <v>46156</v>
      </c>
      <c r="B281" s="107">
        <v>0.8125</v>
      </c>
      <c r="C281" s="116">
        <v>1746</v>
      </c>
      <c r="D281" s="116">
        <v>96</v>
      </c>
      <c r="E281" s="116">
        <v>0</v>
      </c>
      <c r="F281" s="116">
        <v>1914</v>
      </c>
      <c r="G281" s="10" t="s">
        <v>34</v>
      </c>
      <c r="H281" s="122">
        <v>5.8</v>
      </c>
      <c r="I281" s="116">
        <v>90</v>
      </c>
      <c r="J281" s="116">
        <v>90</v>
      </c>
      <c r="K281" s="116">
        <v>90</v>
      </c>
      <c r="L281" s="122">
        <v>25.2</v>
      </c>
      <c r="M281" s="122">
        <v>6.5</v>
      </c>
      <c r="N281" s="79">
        <v>3.06</v>
      </c>
      <c r="O281" s="116">
        <v>17</v>
      </c>
      <c r="P281" s="122">
        <v>5</v>
      </c>
      <c r="Q281" s="79">
        <v>2.39</v>
      </c>
      <c r="R281" s="79">
        <v>22.36</v>
      </c>
      <c r="S281" s="79">
        <v>0.88</v>
      </c>
      <c r="T281" s="79">
        <v>0.7</v>
      </c>
      <c r="U281" s="85">
        <f t="shared" si="28"/>
        <v>1208.2124999999999</v>
      </c>
      <c r="V281" s="79">
        <f t="shared" si="29"/>
        <v>1450.1840372239997</v>
      </c>
      <c r="W281" s="79">
        <f t="shared" si="30"/>
        <v>1.200272333901528</v>
      </c>
      <c r="X281" s="116">
        <v>2</v>
      </c>
      <c r="Y281" s="116">
        <v>4</v>
      </c>
      <c r="Z281" s="122">
        <v>6.46</v>
      </c>
      <c r="AA281" s="116">
        <v>18.100000000000001</v>
      </c>
      <c r="AB281" s="122">
        <v>6.6</v>
      </c>
      <c r="AC281" s="122">
        <v>4.3</v>
      </c>
      <c r="AD281" s="10">
        <v>2.78</v>
      </c>
      <c r="AE281" s="79">
        <v>2.23</v>
      </c>
      <c r="AF281" s="85">
        <f t="shared" si="31"/>
        <v>1610.95</v>
      </c>
      <c r="AG281" s="85">
        <f t="shared" si="32"/>
        <v>1913.0860384324001</v>
      </c>
      <c r="AH281" s="85">
        <f t="shared" si="33"/>
        <v>1.1875514686566311</v>
      </c>
      <c r="AI281" s="116">
        <v>2</v>
      </c>
      <c r="AJ281" s="116">
        <v>3</v>
      </c>
      <c r="AK281" s="79">
        <v>6.41</v>
      </c>
      <c r="AL281" s="79">
        <v>24.11</v>
      </c>
      <c r="AM281" s="122">
        <v>6.7</v>
      </c>
      <c r="AN281" s="122">
        <v>4.2</v>
      </c>
      <c r="AO281" s="79">
        <v>0.85</v>
      </c>
      <c r="AP281" s="127">
        <v>1.65</v>
      </c>
      <c r="AQ281" s="132">
        <f t="shared" si="34"/>
        <v>1842</v>
      </c>
      <c r="AR281" s="134">
        <f t="shared" si="35"/>
        <v>0.94788273615635177</v>
      </c>
      <c r="AS281" s="134">
        <f t="shared" si="36"/>
        <v>5.2117263843648211E-2</v>
      </c>
      <c r="AT281" s="134">
        <f t="shared" si="37"/>
        <v>0</v>
      </c>
      <c r="AU281" s="43">
        <f>IF(AND(F281&lt;&gt;"",Y281&lt;&gt;""),AA281/(F281/2/Y281),"")</f>
        <v>7.5653082549634279E-2</v>
      </c>
      <c r="AV281" s="43">
        <f>IF(AND(F281&lt;&gt;"",AJ281&lt;&gt;""),AL281/(F281/2/AJ281),"")</f>
        <v>7.5579937304075237E-2</v>
      </c>
      <c r="AW281" s="41">
        <f>IF(AND(AP281&lt;&gt;"",1-(AP281/N281)&gt;0),1-(AP281/N281),"")</f>
        <v>0.46078431372549022</v>
      </c>
      <c r="AX281" s="41">
        <f>IF(AND(AE281&lt;&gt;"",1-(AE281/N281)&gt;0),1-(AE281/N281),"")</f>
        <v>0.27124183006535951</v>
      </c>
      <c r="AY281" s="136" t="str">
        <f>IF(P281="","",IF(P281&lt;2.5,"Alc. Bruta &lt; 2,5 mg/L",IF(P281&lt;5,"2,5 ≤ Alc. Bruta &lt; 5,0 mg/L",IF(P281&lt;7.5,"5,0 ≤ Alc. Bruta &lt; 7,5 mg/L",IF(P281&lt;10,"7,5 ≤ Alc. Bruta &lt; 10,0 mg/L",IF(P281&lt;15,"10,0 ≤ Alca. Bruta &lt; 15,0 mg/L","Alc. Bruta &gt; 15 mg/L"))))))</f>
        <v>5,0 ≤ Alc. Bruta &lt; 7,5 mg/L</v>
      </c>
      <c r="AZ281" s="136" t="str">
        <f>IF(O281="","",IF(O281&lt;5,"Cor &lt;5 uC",IF(O281&lt;10,"5 ≤ Cor &lt; 10 uC",IF(O281&lt;15,"10 ≤ Cor &lt;15 uC",IF(O281&lt;30,"15 ≤ Cor &lt; 30 uC",IF(O281&lt;50,"30 ≤ Cor &lt; 50 uC","Cor &gt; 50 uC"))))))</f>
        <v>15 ≤ Cor &lt; 30 uC</v>
      </c>
      <c r="BA281" s="137" t="str">
        <f>IF(N281="","",IF(N281&lt;2.5,"Turbidez &lt; 2,5 uT",IF(N281&lt;5,"2,5 ≤ Turb &lt; 5,0 uT",IF(N281&lt;7.5,"5,0 ≤ Turb &lt; 7,5 uT",IF(N281&lt;10,"7,5 ≤ Turb &lt; 10,0 uT",IF(N281&lt;15,"10,0 ≤ Turb &lt; 15,0 uT","Turb &gt; 15 uT"))))))</f>
        <v>2,5 ≤ Turb &lt; 5,0 uT</v>
      </c>
      <c r="BB281" s="138" t="str">
        <f>IF(AND(C281&gt;D281,D281&gt;E281),"TOR &gt; SM &gt; BNN",IF(AND(C281&gt;E281,E281&gt;D281),"TOR &gt; BNN &gt; SM",IF(AND(D281&gt;C281,C281&gt;E281),"SM &gt; TOR &gt; BNN",IF(AND(D281&gt;E281,E281&gt;C281),"SM &gt; BNN &gt; TOR",IF(AND(C281=D281,D281=E281),"TOR = SM = BNN","Comb. diferentes")))))</f>
        <v>TOR &gt; SM &gt; BNN</v>
      </c>
      <c r="BC281" s="137" t="str">
        <f>IF(OR(AD281="",AP281="-"),"",IF(AD281&lt;=0.25,"Tipo 1 (≤0,25) uT",IF(AD281&lt;=0.5,"Tipo 2 (0,25-0,50) uT",IF(AD281&lt;=0.75,"Tipo 3 (0,50-0,75) uT","Tipo 4 (&gt;0,75) uT"))))</f>
        <v>Tipo 4 (&gt;0,75) uT</v>
      </c>
      <c r="BD281" s="137" t="str">
        <f>IF(OR(AO281="",AY281="-"),"",IF(AO281&lt;=0.25,"Tipo 1 (≤0,25) uT",IF(AO281&lt;=0.5,"Tipo 2 (0,25-0,50) uT",IF(AO281&lt;=0.75,"Tipo 3 (0,50-0,75) uT","Tipo 4 (&gt;0,75) uT"))))</f>
        <v>Tipo 4 (&gt;0,75) uT</v>
      </c>
      <c r="BE281" s="137" t="str">
        <f>IF(OR(AE281="",AP281="-"),"",IF(AE281&lt;=0.25,"Tipo 1 (≤0,25) uT",IF(AE281&lt;=0.5,"Tipo 2 (0,25-0,50) uT",IF(AE281&lt;=0.75,"Tipo 3 (0,50-0,75) uT","Tipo 4 (&gt;0,75) uT"))))</f>
        <v>Tipo 4 (&gt;0,75) uT</v>
      </c>
      <c r="BF281" s="137" t="str">
        <f>IF(OR(AP281="",AP281="-"),"",IF(AP281&lt;=0.25,"Tipo 1 (≤0,25) uT",IF(AP281&lt;=0.5,"Tipo 2 (0,25-0,50) uT",IF(AP281&lt;=0.75,"Tipo 3 (0,50-0,75) uT","Tipo 4 (&gt;0,75) uT"))))</f>
        <v>Tipo 4 (&gt;0,75) uT</v>
      </c>
      <c r="BG281" s="137" t="str">
        <f>IF(OR(Q281="",Q281="-"),"",IF(Q281&lt;=0.25,"Tipo 1 (≤0,25) uT",IF(Q281&lt;=0.5,"Tipo 2 (0,25-0,50) uT",IF(Q281&lt;=0.75,"Tipo 3 (0,50-0,75) uT","Tipo 4 (&gt;0,75) uT"))))</f>
        <v>Tipo 4 (&gt;0,75) uT</v>
      </c>
    </row>
    <row r="282" spans="1:59" x14ac:dyDescent="0.3">
      <c r="A282" s="26">
        <v>46156</v>
      </c>
      <c r="B282" s="107">
        <v>0.89583333333333337</v>
      </c>
      <c r="C282" s="116">
        <v>1734</v>
      </c>
      <c r="D282" s="116">
        <v>87</v>
      </c>
      <c r="E282" s="116">
        <v>0</v>
      </c>
      <c r="F282" s="116">
        <v>1822</v>
      </c>
      <c r="G282" s="10" t="s">
        <v>34</v>
      </c>
      <c r="H282" s="122">
        <v>6.5</v>
      </c>
      <c r="I282" s="116">
        <v>90</v>
      </c>
      <c r="J282" s="116">
        <v>90</v>
      </c>
      <c r="K282" s="116">
        <v>90</v>
      </c>
      <c r="L282" s="122">
        <v>24.8</v>
      </c>
      <c r="M282" s="122">
        <v>6.7</v>
      </c>
      <c r="N282" s="79">
        <v>3.98</v>
      </c>
      <c r="O282" s="116">
        <v>21</v>
      </c>
      <c r="P282" s="122">
        <v>3.2</v>
      </c>
      <c r="Q282" s="79">
        <v>0.96</v>
      </c>
      <c r="R282" s="79">
        <v>22.36</v>
      </c>
      <c r="S282" s="79">
        <v>0.88</v>
      </c>
      <c r="T282" s="79">
        <v>0.7</v>
      </c>
      <c r="U282" s="85">
        <f t="shared" si="28"/>
        <v>1407.4949999999999</v>
      </c>
      <c r="V282" s="79">
        <f t="shared" si="29"/>
        <v>1461.812762176</v>
      </c>
      <c r="W282" s="79">
        <f t="shared" si="30"/>
        <v>1.0385917976092278</v>
      </c>
      <c r="X282" s="116">
        <v>2</v>
      </c>
      <c r="Y282" s="116">
        <v>4</v>
      </c>
      <c r="Z282" s="122">
        <v>6.56</v>
      </c>
      <c r="AA282" s="116">
        <v>17.899999999999999</v>
      </c>
      <c r="AB282" s="122">
        <v>6.3</v>
      </c>
      <c r="AC282" s="122">
        <v>2.8</v>
      </c>
      <c r="AD282" s="10">
        <v>0.11</v>
      </c>
      <c r="AE282" s="79">
        <v>0.92</v>
      </c>
      <c r="AF282" s="85">
        <f t="shared" si="31"/>
        <v>1876.66</v>
      </c>
      <c r="AG282" s="85">
        <f t="shared" si="32"/>
        <v>1846.3284564400001</v>
      </c>
      <c r="AH282" s="85">
        <f t="shared" si="33"/>
        <v>0.98383748598041199</v>
      </c>
      <c r="AI282" s="116">
        <v>2</v>
      </c>
      <c r="AJ282" s="116">
        <v>3</v>
      </c>
      <c r="AK282" s="79">
        <v>6.47</v>
      </c>
      <c r="AL282" s="79">
        <v>23</v>
      </c>
      <c r="AM282" s="122">
        <v>6.3</v>
      </c>
      <c r="AN282" s="122">
        <v>2.7</v>
      </c>
      <c r="AO282" s="79">
        <v>0.15</v>
      </c>
      <c r="AP282" s="127">
        <v>0.94</v>
      </c>
      <c r="AQ282" s="132">
        <f t="shared" si="34"/>
        <v>1821</v>
      </c>
      <c r="AR282" s="134">
        <f t="shared" si="35"/>
        <v>0.9522240527182867</v>
      </c>
      <c r="AS282" s="134">
        <f t="shared" si="36"/>
        <v>4.7775947281713346E-2</v>
      </c>
      <c r="AT282" s="134">
        <f t="shared" si="37"/>
        <v>0</v>
      </c>
      <c r="AU282" s="43">
        <f>IF(AND(F282&lt;&gt;"",Y282&lt;&gt;""),AA282/(F282/2/Y282),"")</f>
        <v>7.8594950603732158E-2</v>
      </c>
      <c r="AV282" s="43">
        <f>IF(AND(F282&lt;&gt;"",AJ282&lt;&gt;""),AL282/(F282/2/AJ282),"")</f>
        <v>7.5740944017563108E-2</v>
      </c>
      <c r="AW282" s="41">
        <f>IF(AND(AP282&lt;&gt;"",1-(AP282/N282)&gt;0),1-(AP282/N282),"")</f>
        <v>0.76381909547738691</v>
      </c>
      <c r="AX282" s="41">
        <f>IF(AND(AE282&lt;&gt;"",1-(AE282/N282)&gt;0),1-(AE282/N282),"")</f>
        <v>0.76884422110552764</v>
      </c>
      <c r="AY282" s="136" t="str">
        <f>IF(P282="","",IF(P282&lt;2.5,"Alc. Bruta &lt; 2,5 mg/L",IF(P282&lt;5,"2,5 ≤ Alc. Bruta &lt; 5,0 mg/L",IF(P282&lt;7.5,"5,0 ≤ Alc. Bruta &lt; 7,5 mg/L",IF(P282&lt;10,"7,5 ≤ Alc. Bruta &lt; 10,0 mg/L",IF(P282&lt;15,"10,0 ≤ Alca. Bruta &lt; 15,0 mg/L","Alc. Bruta &gt; 15 mg/L"))))))</f>
        <v>2,5 ≤ Alc. Bruta &lt; 5,0 mg/L</v>
      </c>
      <c r="AZ282" s="136" t="str">
        <f>IF(O282="","",IF(O282&lt;5,"Cor &lt;5 uC",IF(O282&lt;10,"5 ≤ Cor &lt; 10 uC",IF(O282&lt;15,"10 ≤ Cor &lt;15 uC",IF(O282&lt;30,"15 ≤ Cor &lt; 30 uC",IF(O282&lt;50,"30 ≤ Cor &lt; 50 uC","Cor &gt; 50 uC"))))))</f>
        <v>15 ≤ Cor &lt; 30 uC</v>
      </c>
      <c r="BA282" s="137" t="str">
        <f>IF(N282="","",IF(N282&lt;2.5,"Turbidez &lt; 2,5 uT",IF(N282&lt;5,"2,5 ≤ Turb &lt; 5,0 uT",IF(N282&lt;7.5,"5,0 ≤ Turb &lt; 7,5 uT",IF(N282&lt;10,"7,5 ≤ Turb &lt; 10,0 uT",IF(N282&lt;15,"10,0 ≤ Turb &lt; 15,0 uT","Turb &gt; 15 uT"))))))</f>
        <v>2,5 ≤ Turb &lt; 5,0 uT</v>
      </c>
      <c r="BB282" s="138" t="str">
        <f>IF(AND(C282&gt;D282,D282&gt;E282),"TOR &gt; SM &gt; BNN",IF(AND(C282&gt;E282,E282&gt;D282),"TOR &gt; BNN &gt; SM",IF(AND(D282&gt;C282,C282&gt;E282),"SM &gt; TOR &gt; BNN",IF(AND(D282&gt;E282,E282&gt;C282),"SM &gt; BNN &gt; TOR",IF(AND(C282=D282,D282=E282),"TOR = SM = BNN","Comb. diferentes")))))</f>
        <v>TOR &gt; SM &gt; BNN</v>
      </c>
      <c r="BC282" s="137" t="str">
        <f>IF(OR(AD282="",AP282="-"),"",IF(AD282&lt;=0.25,"Tipo 1 (≤0,25) uT",IF(AD282&lt;=0.5,"Tipo 2 (0,25-0,50) uT",IF(AD282&lt;=0.75,"Tipo 3 (0,50-0,75) uT","Tipo 4 (&gt;0,75) uT"))))</f>
        <v>Tipo 1 (≤0,25) uT</v>
      </c>
      <c r="BD282" s="137" t="str">
        <f>IF(OR(AO282="",AY282="-"),"",IF(AO282&lt;=0.25,"Tipo 1 (≤0,25) uT",IF(AO282&lt;=0.5,"Tipo 2 (0,25-0,50) uT",IF(AO282&lt;=0.75,"Tipo 3 (0,50-0,75) uT","Tipo 4 (&gt;0,75) uT"))))</f>
        <v>Tipo 1 (≤0,25) uT</v>
      </c>
      <c r="BE282" s="137" t="str">
        <f>IF(OR(AE282="",AP282="-"),"",IF(AE282&lt;=0.25,"Tipo 1 (≤0,25) uT",IF(AE282&lt;=0.5,"Tipo 2 (0,25-0,50) uT",IF(AE282&lt;=0.75,"Tipo 3 (0,50-0,75) uT","Tipo 4 (&gt;0,75) uT"))))</f>
        <v>Tipo 4 (&gt;0,75) uT</v>
      </c>
      <c r="BF282" s="137" t="str">
        <f>IF(OR(AP282="",AP282="-"),"",IF(AP282&lt;=0.25,"Tipo 1 (≤0,25) uT",IF(AP282&lt;=0.5,"Tipo 2 (0,25-0,50) uT",IF(AP282&lt;=0.75,"Tipo 3 (0,50-0,75) uT","Tipo 4 (&gt;0,75) uT"))))</f>
        <v>Tipo 4 (&gt;0,75) uT</v>
      </c>
      <c r="BG282" s="137" t="str">
        <f>IF(OR(Q282="",Q282="-"),"",IF(Q282&lt;=0.25,"Tipo 1 (≤0,25) uT",IF(Q282&lt;=0.5,"Tipo 2 (0,25-0,50) uT",IF(Q282&lt;=0.75,"Tipo 3 (0,50-0,75) uT","Tipo 4 (&gt;0,75) uT"))))</f>
        <v>Tipo 4 (&gt;0,75) uT</v>
      </c>
    </row>
    <row r="283" spans="1:59" x14ac:dyDescent="0.3">
      <c r="A283" s="26">
        <v>46157</v>
      </c>
      <c r="B283" s="107">
        <v>6.25E-2</v>
      </c>
      <c r="C283" s="116">
        <v>1438</v>
      </c>
      <c r="D283" s="116">
        <v>782</v>
      </c>
      <c r="E283" s="116">
        <v>0</v>
      </c>
      <c r="F283" s="116">
        <v>2252</v>
      </c>
      <c r="G283" s="10" t="s">
        <v>34</v>
      </c>
      <c r="H283" s="122">
        <v>6.2</v>
      </c>
      <c r="I283" s="116">
        <v>90</v>
      </c>
      <c r="J283" s="116">
        <v>90</v>
      </c>
      <c r="K283" s="116">
        <v>90</v>
      </c>
      <c r="L283" s="122">
        <v>24.5</v>
      </c>
      <c r="M283" s="122">
        <v>6.7</v>
      </c>
      <c r="N283" s="79">
        <v>3.42</v>
      </c>
      <c r="O283" s="116">
        <v>17</v>
      </c>
      <c r="P283" s="122">
        <v>5.4</v>
      </c>
      <c r="Q283" s="79">
        <v>0.61</v>
      </c>
      <c r="R283" s="79">
        <v>22.36</v>
      </c>
      <c r="S283" s="79">
        <v>0.88</v>
      </c>
      <c r="T283" s="79">
        <v>0.7</v>
      </c>
      <c r="U283" s="85">
        <f t="shared" si="28"/>
        <v>1556.6949999999997</v>
      </c>
      <c r="V283" s="79">
        <f t="shared" si="29"/>
        <v>1447.5097159327995</v>
      </c>
      <c r="W283" s="79">
        <f t="shared" si="30"/>
        <v>0.92986083717928036</v>
      </c>
      <c r="X283" s="116">
        <v>3</v>
      </c>
      <c r="Y283" s="116">
        <v>4</v>
      </c>
      <c r="Z283" s="122">
        <v>6.52</v>
      </c>
      <c r="AA283" s="116">
        <v>17.86</v>
      </c>
      <c r="AB283" s="122">
        <v>6.5</v>
      </c>
      <c r="AC283" s="122">
        <v>4.2</v>
      </c>
      <c r="AD283" s="10">
        <v>0.65</v>
      </c>
      <c r="AE283" s="79">
        <v>0.8</v>
      </c>
      <c r="AF283" s="85">
        <f t="shared" si="31"/>
        <v>1556.6949999999997</v>
      </c>
      <c r="AG283" s="85">
        <f t="shared" si="32"/>
        <v>1819.8173541911999</v>
      </c>
      <c r="AH283" s="85">
        <f t="shared" si="33"/>
        <v>1.1690262730921601</v>
      </c>
      <c r="AI283" s="116">
        <v>3</v>
      </c>
      <c r="AJ283" s="116">
        <v>4</v>
      </c>
      <c r="AK283" s="79">
        <v>6.42</v>
      </c>
      <c r="AL283" s="79">
        <v>22.89</v>
      </c>
      <c r="AM283" s="122">
        <v>6.4</v>
      </c>
      <c r="AN283" s="122">
        <v>4.2</v>
      </c>
      <c r="AO283" s="79">
        <v>0.3</v>
      </c>
      <c r="AP283" s="127">
        <v>0.5</v>
      </c>
      <c r="AQ283" s="132">
        <f t="shared" si="34"/>
        <v>2220</v>
      </c>
      <c r="AR283" s="134">
        <f t="shared" si="35"/>
        <v>0.64774774774774779</v>
      </c>
      <c r="AS283" s="134">
        <f t="shared" si="36"/>
        <v>0.35225225225225226</v>
      </c>
      <c r="AT283" s="134">
        <f t="shared" si="37"/>
        <v>0</v>
      </c>
      <c r="AU283" s="43">
        <f>IF(AND(F283&lt;&gt;"",Y283&lt;&gt;""),AA283/(F283/2/Y283),"")</f>
        <v>6.3445825932504432E-2</v>
      </c>
      <c r="AV283" s="43">
        <f>IF(AND(F283&lt;&gt;"",AJ283&lt;&gt;""),AL283/(F283/2/AJ283),"")</f>
        <v>8.1314387211367675E-2</v>
      </c>
      <c r="AW283" s="41">
        <f>IF(AND(AP283&lt;&gt;"",1-(AP283/N283)&gt;0),1-(AP283/N283),"")</f>
        <v>0.85380116959064334</v>
      </c>
      <c r="AX283" s="41">
        <f>IF(AND(AE283&lt;&gt;"",1-(AE283/N283)&gt;0),1-(AE283/N283),"")</f>
        <v>0.76608187134502925</v>
      </c>
      <c r="AY283" s="136" t="str">
        <f>IF(P283="","",IF(P283&lt;2.5,"Alc. Bruta &lt; 2,5 mg/L",IF(P283&lt;5,"2,5 ≤ Alc. Bruta &lt; 5,0 mg/L",IF(P283&lt;7.5,"5,0 ≤ Alc. Bruta &lt; 7,5 mg/L",IF(P283&lt;10,"7,5 ≤ Alc. Bruta &lt; 10,0 mg/L",IF(P283&lt;15,"10,0 ≤ Alca. Bruta &lt; 15,0 mg/L","Alc. Bruta &gt; 15 mg/L"))))))</f>
        <v>5,0 ≤ Alc. Bruta &lt; 7,5 mg/L</v>
      </c>
      <c r="AZ283" s="136" t="str">
        <f>IF(O283="","",IF(O283&lt;5,"Cor &lt;5 uC",IF(O283&lt;10,"5 ≤ Cor &lt; 10 uC",IF(O283&lt;15,"10 ≤ Cor &lt;15 uC",IF(O283&lt;30,"15 ≤ Cor &lt; 30 uC",IF(O283&lt;50,"30 ≤ Cor &lt; 50 uC","Cor &gt; 50 uC"))))))</f>
        <v>15 ≤ Cor &lt; 30 uC</v>
      </c>
      <c r="BA283" s="137" t="str">
        <f>IF(N283="","",IF(N283&lt;2.5,"Turbidez &lt; 2,5 uT",IF(N283&lt;5,"2,5 ≤ Turb &lt; 5,0 uT",IF(N283&lt;7.5,"5,0 ≤ Turb &lt; 7,5 uT",IF(N283&lt;10,"7,5 ≤ Turb &lt; 10,0 uT",IF(N283&lt;15,"10,0 ≤ Turb &lt; 15,0 uT","Turb &gt; 15 uT"))))))</f>
        <v>2,5 ≤ Turb &lt; 5,0 uT</v>
      </c>
      <c r="BB283" s="138" t="str">
        <f>IF(AND(C283&gt;D283,D283&gt;E283),"TOR &gt; SM &gt; BNN",IF(AND(C283&gt;E283,E283&gt;D283),"TOR &gt; BNN &gt; SM",IF(AND(D283&gt;C283,C283&gt;E283),"SM &gt; TOR &gt; BNN",IF(AND(D283&gt;E283,E283&gt;C283),"SM &gt; BNN &gt; TOR",IF(AND(C283=D283,D283=E283),"TOR = SM = BNN","Comb. diferentes")))))</f>
        <v>TOR &gt; SM &gt; BNN</v>
      </c>
      <c r="BC283" s="137" t="str">
        <f>IF(OR(AD283="",AP283="-"),"",IF(AD283&lt;=0.25,"Tipo 1 (≤0,25) uT",IF(AD283&lt;=0.5,"Tipo 2 (0,25-0,50) uT",IF(AD283&lt;=0.75,"Tipo 3 (0,50-0,75) uT","Tipo 4 (&gt;0,75) uT"))))</f>
        <v>Tipo 3 (0,50-0,75) uT</v>
      </c>
      <c r="BD283" s="137" t="str">
        <f>IF(OR(AO283="",AY283="-"),"",IF(AO283&lt;=0.25,"Tipo 1 (≤0,25) uT",IF(AO283&lt;=0.5,"Tipo 2 (0,25-0,50) uT",IF(AO283&lt;=0.75,"Tipo 3 (0,50-0,75) uT","Tipo 4 (&gt;0,75) uT"))))</f>
        <v>Tipo 2 (0,25-0,50) uT</v>
      </c>
      <c r="BE283" s="137" t="str">
        <f>IF(OR(AE283="",AP283="-"),"",IF(AE283&lt;=0.25,"Tipo 1 (≤0,25) uT",IF(AE283&lt;=0.5,"Tipo 2 (0,25-0,50) uT",IF(AE283&lt;=0.75,"Tipo 3 (0,50-0,75) uT","Tipo 4 (&gt;0,75) uT"))))</f>
        <v>Tipo 4 (&gt;0,75) uT</v>
      </c>
      <c r="BF283" s="137" t="str">
        <f>IF(OR(AP283="",AP283="-"),"",IF(AP283&lt;=0.25,"Tipo 1 (≤0,25) uT",IF(AP283&lt;=0.5,"Tipo 2 (0,25-0,50) uT",IF(AP283&lt;=0.75,"Tipo 3 (0,50-0,75) uT","Tipo 4 (&gt;0,75) uT"))))</f>
        <v>Tipo 2 (0,25-0,50) uT</v>
      </c>
      <c r="BG283" s="137" t="str">
        <f>IF(OR(Q283="",Q283="-"),"",IF(Q283&lt;=0.25,"Tipo 1 (≤0,25) uT",IF(Q283&lt;=0.5,"Tipo 2 (0,25-0,50) uT",IF(Q283&lt;=0.75,"Tipo 3 (0,50-0,75) uT","Tipo 4 (&gt;0,75) uT"))))</f>
        <v>Tipo 3 (0,50-0,75) uT</v>
      </c>
    </row>
    <row r="284" spans="1:59" x14ac:dyDescent="0.3">
      <c r="A284" s="26">
        <v>46157</v>
      </c>
      <c r="B284" s="107">
        <v>0.14583333333333334</v>
      </c>
      <c r="C284" s="116">
        <v>1443</v>
      </c>
      <c r="D284" s="116">
        <v>775</v>
      </c>
      <c r="E284" s="116">
        <v>0</v>
      </c>
      <c r="F284" s="116">
        <v>2178</v>
      </c>
      <c r="G284" s="10" t="s">
        <v>34</v>
      </c>
      <c r="H284" s="122">
        <v>6.2</v>
      </c>
      <c r="I284" s="116">
        <v>90</v>
      </c>
      <c r="J284" s="116">
        <v>90</v>
      </c>
      <c r="K284" s="116">
        <v>90</v>
      </c>
      <c r="L284" s="122">
        <v>24.2</v>
      </c>
      <c r="M284" s="122">
        <v>6.6</v>
      </c>
      <c r="N284" s="79">
        <v>3.08</v>
      </c>
      <c r="O284" s="116">
        <v>16</v>
      </c>
      <c r="P284" s="122">
        <v>3.3</v>
      </c>
      <c r="Q284" s="79">
        <v>1</v>
      </c>
      <c r="R284" s="79">
        <v>22.36</v>
      </c>
      <c r="S284" s="79">
        <v>0.88</v>
      </c>
      <c r="T284" s="79">
        <v>0.7</v>
      </c>
      <c r="U284" s="85">
        <f t="shared" si="28"/>
        <v>1412.9775</v>
      </c>
      <c r="V284" s="79">
        <f t="shared" si="29"/>
        <v>1448.7952641083998</v>
      </c>
      <c r="W284" s="79">
        <f t="shared" si="30"/>
        <v>1.0253491397480849</v>
      </c>
      <c r="X284" s="116">
        <v>3</v>
      </c>
      <c r="Y284" s="116">
        <v>4</v>
      </c>
      <c r="Z284" s="122">
        <v>6.51</v>
      </c>
      <c r="AA284" s="116">
        <v>17.91</v>
      </c>
      <c r="AB284" s="122">
        <v>6.4</v>
      </c>
      <c r="AC284" s="122">
        <v>3</v>
      </c>
      <c r="AD284" s="10">
        <v>1.32</v>
      </c>
      <c r="AE284" s="79">
        <v>1.33</v>
      </c>
      <c r="AF284" s="85">
        <f t="shared" si="31"/>
        <v>1412.9775</v>
      </c>
      <c r="AG284" s="85">
        <f t="shared" si="32"/>
        <v>1829.2840393152003</v>
      </c>
      <c r="AH284" s="85">
        <f t="shared" si="33"/>
        <v>1.2946306925023225</v>
      </c>
      <c r="AI284" s="116">
        <v>3</v>
      </c>
      <c r="AJ284" s="116">
        <v>4</v>
      </c>
      <c r="AK284" s="79">
        <v>6.44</v>
      </c>
      <c r="AL284" s="79">
        <v>22.92</v>
      </c>
      <c r="AM284" s="122">
        <v>6.4</v>
      </c>
      <c r="AN284" s="122">
        <v>3</v>
      </c>
      <c r="AO284" s="79">
        <v>0.72</v>
      </c>
      <c r="AP284" s="127">
        <v>0.64</v>
      </c>
      <c r="AQ284" s="132">
        <f t="shared" si="34"/>
        <v>2218</v>
      </c>
      <c r="AR284" s="134">
        <f t="shared" si="35"/>
        <v>0.65058611361587015</v>
      </c>
      <c r="AS284" s="134">
        <f t="shared" si="36"/>
        <v>0.34941388638412985</v>
      </c>
      <c r="AT284" s="134">
        <f t="shared" si="37"/>
        <v>0</v>
      </c>
      <c r="AU284" s="43">
        <f>IF(AND(F284&lt;&gt;"",Y284&lt;&gt;""),AA284/(F284/2/Y284),"")</f>
        <v>6.5785123966942152E-2</v>
      </c>
      <c r="AV284" s="43">
        <f>IF(AND(F284&lt;&gt;"",AJ284&lt;&gt;""),AL284/(F284/2/AJ284),"")</f>
        <v>8.4187327823691468E-2</v>
      </c>
      <c r="AW284" s="41">
        <f>IF(AND(AP284&lt;&gt;"",1-(AP284/N284)&gt;0),1-(AP284/N284),"")</f>
        <v>0.79220779220779225</v>
      </c>
      <c r="AX284" s="41">
        <f>IF(AND(AE284&lt;&gt;"",1-(AE284/N284)&gt;0),1-(AE284/N284),"")</f>
        <v>0.56818181818181812</v>
      </c>
      <c r="AY284" s="136" t="str">
        <f>IF(P284="","",IF(P284&lt;2.5,"Alc. Bruta &lt; 2,5 mg/L",IF(P284&lt;5,"2,5 ≤ Alc. Bruta &lt; 5,0 mg/L",IF(P284&lt;7.5,"5,0 ≤ Alc. Bruta &lt; 7,5 mg/L",IF(P284&lt;10,"7,5 ≤ Alc. Bruta &lt; 10,0 mg/L",IF(P284&lt;15,"10,0 ≤ Alca. Bruta &lt; 15,0 mg/L","Alc. Bruta &gt; 15 mg/L"))))))</f>
        <v>2,5 ≤ Alc. Bruta &lt; 5,0 mg/L</v>
      </c>
      <c r="AZ284" s="136" t="str">
        <f>IF(O284="","",IF(O284&lt;5,"Cor &lt;5 uC",IF(O284&lt;10,"5 ≤ Cor &lt; 10 uC",IF(O284&lt;15,"10 ≤ Cor &lt;15 uC",IF(O284&lt;30,"15 ≤ Cor &lt; 30 uC",IF(O284&lt;50,"30 ≤ Cor &lt; 50 uC","Cor &gt; 50 uC"))))))</f>
        <v>15 ≤ Cor &lt; 30 uC</v>
      </c>
      <c r="BA284" s="137" t="str">
        <f>IF(N284="","",IF(N284&lt;2.5,"Turbidez &lt; 2,5 uT",IF(N284&lt;5,"2,5 ≤ Turb &lt; 5,0 uT",IF(N284&lt;7.5,"5,0 ≤ Turb &lt; 7,5 uT",IF(N284&lt;10,"7,5 ≤ Turb &lt; 10,0 uT",IF(N284&lt;15,"10,0 ≤ Turb &lt; 15,0 uT","Turb &gt; 15 uT"))))))</f>
        <v>2,5 ≤ Turb &lt; 5,0 uT</v>
      </c>
      <c r="BB284" s="138" t="str">
        <f>IF(AND(C284&gt;D284,D284&gt;E284),"TOR &gt; SM &gt; BNN",IF(AND(C284&gt;E284,E284&gt;D284),"TOR &gt; BNN &gt; SM",IF(AND(D284&gt;C284,C284&gt;E284),"SM &gt; TOR &gt; BNN",IF(AND(D284&gt;E284,E284&gt;C284),"SM &gt; BNN &gt; TOR",IF(AND(C284=D284,D284=E284),"TOR = SM = BNN","Comb. diferentes")))))</f>
        <v>TOR &gt; SM &gt; BNN</v>
      </c>
      <c r="BC284" s="137" t="str">
        <f>IF(OR(AD284="",AP284="-"),"",IF(AD284&lt;=0.25,"Tipo 1 (≤0,25) uT",IF(AD284&lt;=0.5,"Tipo 2 (0,25-0,50) uT",IF(AD284&lt;=0.75,"Tipo 3 (0,50-0,75) uT","Tipo 4 (&gt;0,75) uT"))))</f>
        <v>Tipo 4 (&gt;0,75) uT</v>
      </c>
      <c r="BD284" s="137" t="str">
        <f>IF(OR(AO284="",AY284="-"),"",IF(AO284&lt;=0.25,"Tipo 1 (≤0,25) uT",IF(AO284&lt;=0.5,"Tipo 2 (0,25-0,50) uT",IF(AO284&lt;=0.75,"Tipo 3 (0,50-0,75) uT","Tipo 4 (&gt;0,75) uT"))))</f>
        <v>Tipo 3 (0,50-0,75) uT</v>
      </c>
      <c r="BE284" s="137" t="str">
        <f>IF(OR(AE284="",AP284="-"),"",IF(AE284&lt;=0.25,"Tipo 1 (≤0,25) uT",IF(AE284&lt;=0.5,"Tipo 2 (0,25-0,50) uT",IF(AE284&lt;=0.75,"Tipo 3 (0,50-0,75) uT","Tipo 4 (&gt;0,75) uT"))))</f>
        <v>Tipo 4 (&gt;0,75) uT</v>
      </c>
      <c r="BF284" s="137" t="str">
        <f>IF(OR(AP284="",AP284="-"),"",IF(AP284&lt;=0.25,"Tipo 1 (≤0,25) uT",IF(AP284&lt;=0.5,"Tipo 2 (0,25-0,50) uT",IF(AP284&lt;=0.75,"Tipo 3 (0,50-0,75) uT","Tipo 4 (&gt;0,75) uT"))))</f>
        <v>Tipo 3 (0,50-0,75) uT</v>
      </c>
      <c r="BG284" s="137" t="str">
        <f>IF(OR(Q284="",Q284="-"),"",IF(Q284&lt;=0.25,"Tipo 1 (≤0,25) uT",IF(Q284&lt;=0.5,"Tipo 2 (0,25-0,50) uT",IF(Q284&lt;=0.75,"Tipo 3 (0,50-0,75) uT","Tipo 4 (&gt;0,75) uT"))))</f>
        <v>Tipo 4 (&gt;0,75) uT</v>
      </c>
    </row>
    <row r="285" spans="1:59" ht="15" thickBot="1" x14ac:dyDescent="0.35">
      <c r="A285" s="26">
        <v>46157</v>
      </c>
      <c r="B285" s="110">
        <v>0.22916666666666666</v>
      </c>
      <c r="C285" s="117">
        <v>1750</v>
      </c>
      <c r="D285" s="117">
        <v>88</v>
      </c>
      <c r="E285" s="117">
        <v>0</v>
      </c>
      <c r="F285" s="117">
        <v>1873</v>
      </c>
      <c r="G285" s="11" t="s">
        <v>34</v>
      </c>
      <c r="H285" s="123">
        <v>6.5</v>
      </c>
      <c r="I285" s="117">
        <v>90</v>
      </c>
      <c r="J285" s="117">
        <v>90</v>
      </c>
      <c r="K285" s="117">
        <v>90</v>
      </c>
      <c r="L285" s="123">
        <v>24.1</v>
      </c>
      <c r="M285" s="123">
        <v>6.6</v>
      </c>
      <c r="N285" s="80">
        <v>3.09</v>
      </c>
      <c r="O285" s="117">
        <v>16</v>
      </c>
      <c r="P285" s="123">
        <v>3.7</v>
      </c>
      <c r="Q285" s="80">
        <v>1.98</v>
      </c>
      <c r="R285" s="79">
        <v>22.36</v>
      </c>
      <c r="S285" s="79">
        <v>0.88</v>
      </c>
      <c r="T285" s="79">
        <v>0.7</v>
      </c>
      <c r="U285" s="85">
        <f t="shared" si="28"/>
        <v>1651.3616666666667</v>
      </c>
      <c r="V285" s="79">
        <f t="shared" si="29"/>
        <v>1442.6468613439997</v>
      </c>
      <c r="W285" s="79">
        <f t="shared" si="30"/>
        <v>0.87361048186133239</v>
      </c>
      <c r="X285" s="117">
        <v>2</v>
      </c>
      <c r="Y285" s="117">
        <v>3</v>
      </c>
      <c r="Z285" s="123">
        <v>6.52</v>
      </c>
      <c r="AA285" s="117">
        <v>17.8</v>
      </c>
      <c r="AB285" s="123">
        <v>6.3</v>
      </c>
      <c r="AC285" s="123">
        <v>2.8</v>
      </c>
      <c r="AD285" s="11">
        <v>0.47</v>
      </c>
      <c r="AE285" s="80">
        <v>1.9</v>
      </c>
      <c r="AF285" s="85">
        <f t="shared" si="31"/>
        <v>1238.52125</v>
      </c>
      <c r="AG285" s="85">
        <f t="shared" si="32"/>
        <v>1842.7752959199995</v>
      </c>
      <c r="AH285" s="85">
        <f t="shared" si="33"/>
        <v>1.4878834706469506</v>
      </c>
      <c r="AI285" s="117">
        <v>2</v>
      </c>
      <c r="AJ285" s="117">
        <v>4</v>
      </c>
      <c r="AK285" s="80">
        <v>6.46</v>
      </c>
      <c r="AL285" s="80">
        <v>23</v>
      </c>
      <c r="AM285" s="123">
        <v>6.3</v>
      </c>
      <c r="AN285" s="123">
        <v>2.5</v>
      </c>
      <c r="AO285" s="80">
        <v>0.49</v>
      </c>
      <c r="AP285" s="128">
        <v>1.26</v>
      </c>
      <c r="AQ285" s="132">
        <f t="shared" si="34"/>
        <v>1838</v>
      </c>
      <c r="AR285" s="134">
        <f t="shared" si="35"/>
        <v>0.95212187159956474</v>
      </c>
      <c r="AS285" s="134">
        <f t="shared" si="36"/>
        <v>4.7878128400435253E-2</v>
      </c>
      <c r="AT285" s="134">
        <f t="shared" si="37"/>
        <v>0</v>
      </c>
      <c r="AU285" s="43">
        <f>IF(AND(F285&lt;&gt;"",Y285&lt;&gt;""),AA285/(F285/2/Y285),"")</f>
        <v>5.7020822210357716E-2</v>
      </c>
      <c r="AV285" s="43">
        <f>IF(AND(F285&lt;&gt;"",AJ285&lt;&gt;""),AL285/(F285/2/AJ285),"")</f>
        <v>9.8238120662039505E-2</v>
      </c>
      <c r="AW285" s="41">
        <f>IF(AND(AP285&lt;&gt;"",1-(AP285/N285)&gt;0),1-(AP285/N285),"")</f>
        <v>0.59223300970873782</v>
      </c>
      <c r="AX285" s="41">
        <f>IF(AND(AE285&lt;&gt;"",1-(AE285/N285)&gt;0),1-(AE285/N285),"")</f>
        <v>0.38511326860841422</v>
      </c>
      <c r="AY285" s="136" t="str">
        <f>IF(P285="","",IF(P285&lt;2.5,"Alc. Bruta &lt; 2,5 mg/L",IF(P285&lt;5,"2,5 ≤ Alc. Bruta &lt; 5,0 mg/L",IF(P285&lt;7.5,"5,0 ≤ Alc. Bruta &lt; 7,5 mg/L",IF(P285&lt;10,"7,5 ≤ Alc. Bruta &lt; 10,0 mg/L",IF(P285&lt;15,"10,0 ≤ Alca. Bruta &lt; 15,0 mg/L","Alc. Bruta &gt; 15 mg/L"))))))</f>
        <v>2,5 ≤ Alc. Bruta &lt; 5,0 mg/L</v>
      </c>
      <c r="AZ285" s="136" t="str">
        <f>IF(O285="","",IF(O285&lt;5,"Cor &lt;5 uC",IF(O285&lt;10,"5 ≤ Cor &lt; 10 uC",IF(O285&lt;15,"10 ≤ Cor &lt;15 uC",IF(O285&lt;30,"15 ≤ Cor &lt; 30 uC",IF(O285&lt;50,"30 ≤ Cor &lt; 50 uC","Cor &gt; 50 uC"))))))</f>
        <v>15 ≤ Cor &lt; 30 uC</v>
      </c>
      <c r="BA285" s="137" t="str">
        <f>IF(N285="","",IF(N285&lt;2.5,"Turbidez &lt; 2,5 uT",IF(N285&lt;5,"2,5 ≤ Turb &lt; 5,0 uT",IF(N285&lt;7.5,"5,0 ≤ Turb &lt; 7,5 uT",IF(N285&lt;10,"7,5 ≤ Turb &lt; 10,0 uT",IF(N285&lt;15,"10,0 ≤ Turb &lt; 15,0 uT","Turb &gt; 15 uT"))))))</f>
        <v>2,5 ≤ Turb &lt; 5,0 uT</v>
      </c>
      <c r="BB285" s="138" t="str">
        <f>IF(AND(C285&gt;D285,D285&gt;E285),"TOR &gt; SM &gt; BNN",IF(AND(C285&gt;E285,E285&gt;D285),"TOR &gt; BNN &gt; SM",IF(AND(D285&gt;C285,C285&gt;E285),"SM &gt; TOR &gt; BNN",IF(AND(D285&gt;E285,E285&gt;C285),"SM &gt; BNN &gt; TOR",IF(AND(C285=D285,D285=E285),"TOR = SM = BNN","Comb. diferentes")))))</f>
        <v>TOR &gt; SM &gt; BNN</v>
      </c>
      <c r="BC285" s="137" t="str">
        <f>IF(OR(AD285="",AP285="-"),"",IF(AD285&lt;=0.25,"Tipo 1 (≤0,25) uT",IF(AD285&lt;=0.5,"Tipo 2 (0,25-0,50) uT",IF(AD285&lt;=0.75,"Tipo 3 (0,50-0,75) uT","Tipo 4 (&gt;0,75) uT"))))</f>
        <v>Tipo 2 (0,25-0,50) uT</v>
      </c>
      <c r="BD285" s="137" t="str">
        <f>IF(OR(AO285="",AY285="-"),"",IF(AO285&lt;=0.25,"Tipo 1 (≤0,25) uT",IF(AO285&lt;=0.5,"Tipo 2 (0,25-0,50) uT",IF(AO285&lt;=0.75,"Tipo 3 (0,50-0,75) uT","Tipo 4 (&gt;0,75) uT"))))</f>
        <v>Tipo 2 (0,25-0,50) uT</v>
      </c>
      <c r="BE285" s="137" t="str">
        <f>IF(OR(AE285="",AP285="-"),"",IF(AE285&lt;=0.25,"Tipo 1 (≤0,25) uT",IF(AE285&lt;=0.5,"Tipo 2 (0,25-0,50) uT",IF(AE285&lt;=0.75,"Tipo 3 (0,50-0,75) uT","Tipo 4 (&gt;0,75) uT"))))</f>
        <v>Tipo 4 (&gt;0,75) uT</v>
      </c>
      <c r="BF285" s="137" t="str">
        <f>IF(OR(AP285="",AP285="-"),"",IF(AP285&lt;=0.25,"Tipo 1 (≤0,25) uT",IF(AP285&lt;=0.5,"Tipo 2 (0,25-0,50) uT",IF(AP285&lt;=0.75,"Tipo 3 (0,50-0,75) uT","Tipo 4 (&gt;0,75) uT"))))</f>
        <v>Tipo 4 (&gt;0,75) uT</v>
      </c>
      <c r="BG285" s="137" t="str">
        <f>IF(OR(Q285="",Q285="-"),"",IF(Q285&lt;=0.25,"Tipo 1 (≤0,25) uT",IF(Q285&lt;=0.5,"Tipo 2 (0,25-0,50) uT",IF(Q285&lt;=0.75,"Tipo 3 (0,50-0,75) uT","Tipo 4 (&gt;0,75) uT"))))</f>
        <v>Tipo 4 (&gt;0,75) uT</v>
      </c>
    </row>
    <row r="286" spans="1:59" x14ac:dyDescent="0.3">
      <c r="A286" s="26">
        <v>46157</v>
      </c>
      <c r="B286" s="111">
        <v>0.3125</v>
      </c>
      <c r="C286" s="118">
        <v>1697</v>
      </c>
      <c r="D286" s="116">
        <v>88</v>
      </c>
      <c r="E286" s="118">
        <v>0</v>
      </c>
      <c r="F286" s="118">
        <v>1925</v>
      </c>
      <c r="G286" s="9" t="s">
        <v>34</v>
      </c>
      <c r="H286" s="124">
        <v>6.5</v>
      </c>
      <c r="I286" s="118">
        <v>90</v>
      </c>
      <c r="J286" s="118">
        <v>90</v>
      </c>
      <c r="K286" s="118">
        <v>90</v>
      </c>
      <c r="L286" s="124">
        <v>23.8</v>
      </c>
      <c r="M286" s="124">
        <v>6.6</v>
      </c>
      <c r="N286" s="81">
        <v>2.61</v>
      </c>
      <c r="O286" s="118">
        <v>14</v>
      </c>
      <c r="P286" s="124">
        <v>5.0999999999999996</v>
      </c>
      <c r="Q286" s="81">
        <v>1.66</v>
      </c>
      <c r="R286" s="79">
        <v>22.36</v>
      </c>
      <c r="S286" s="79">
        <v>0.88</v>
      </c>
      <c r="T286" s="79">
        <v>0.7</v>
      </c>
      <c r="U286" s="85">
        <f t="shared" si="28"/>
        <v>1543.208333333333</v>
      </c>
      <c r="V286" s="79">
        <f t="shared" si="29"/>
        <v>1534.0335140000002</v>
      </c>
      <c r="W286" s="79">
        <f t="shared" si="30"/>
        <v>0.9940547111267114</v>
      </c>
      <c r="X286" s="118">
        <v>2</v>
      </c>
      <c r="Y286" s="118">
        <v>3</v>
      </c>
      <c r="Z286" s="124">
        <v>6.5</v>
      </c>
      <c r="AA286" s="118">
        <v>19</v>
      </c>
      <c r="AB286" s="124">
        <v>6.5</v>
      </c>
      <c r="AC286" s="124">
        <v>5.5</v>
      </c>
      <c r="AD286" s="9">
        <v>0.36</v>
      </c>
      <c r="AE286" s="81">
        <v>1.1100000000000001</v>
      </c>
      <c r="AF286" s="85">
        <f t="shared" si="31"/>
        <v>1157.40625</v>
      </c>
      <c r="AG286" s="85">
        <f t="shared" si="32"/>
        <v>1759.2559555999999</v>
      </c>
      <c r="AH286" s="85">
        <f t="shared" si="33"/>
        <v>1.5199986656370654</v>
      </c>
      <c r="AI286" s="118">
        <v>2</v>
      </c>
      <c r="AJ286" s="118">
        <v>4</v>
      </c>
      <c r="AK286" s="81">
        <v>6.45</v>
      </c>
      <c r="AL286" s="81">
        <v>22</v>
      </c>
      <c r="AM286" s="124">
        <v>6.5</v>
      </c>
      <c r="AN286" s="124">
        <v>5.3</v>
      </c>
      <c r="AO286" s="81">
        <v>0.24</v>
      </c>
      <c r="AP286" s="129">
        <v>0.96</v>
      </c>
      <c r="AQ286" s="132">
        <f t="shared" si="34"/>
        <v>1785</v>
      </c>
      <c r="AR286" s="134">
        <f t="shared" si="35"/>
        <v>0.95070028011204477</v>
      </c>
      <c r="AS286" s="134">
        <f t="shared" si="36"/>
        <v>4.929971988795518E-2</v>
      </c>
      <c r="AT286" s="134">
        <f t="shared" si="37"/>
        <v>0</v>
      </c>
      <c r="AU286" s="43">
        <f>IF(AND(F286&lt;&gt;"",Y286&lt;&gt;""),AA286/(F286/2/Y286),"")</f>
        <v>5.9220779220779222E-2</v>
      </c>
      <c r="AV286" s="43">
        <f>IF(AND(F286&lt;&gt;"",AJ286&lt;&gt;""),AL286/(F286/2/AJ286),"")</f>
        <v>9.1428571428571428E-2</v>
      </c>
      <c r="AW286" s="41">
        <f>IF(AND(AP286&lt;&gt;"",1-(AP286/N286)&gt;0),1-(AP286/N286),"")</f>
        <v>0.63218390804597702</v>
      </c>
      <c r="AX286" s="41">
        <f>IF(AND(AE286&lt;&gt;"",1-(AE286/N286)&gt;0),1-(AE286/N286),"")</f>
        <v>0.57471264367816088</v>
      </c>
      <c r="AY286" s="136" t="str">
        <f>IF(P286="","",IF(P286&lt;2.5,"Alc. Bruta &lt; 2,5 mg/L",IF(P286&lt;5,"2,5 ≤ Alc. Bruta &lt; 5,0 mg/L",IF(P286&lt;7.5,"5,0 ≤ Alc. Bruta &lt; 7,5 mg/L",IF(P286&lt;10,"7,5 ≤ Alc. Bruta &lt; 10,0 mg/L",IF(P286&lt;15,"10,0 ≤ Alca. Bruta &lt; 15,0 mg/L","Alc. Bruta &gt; 15 mg/L"))))))</f>
        <v>5,0 ≤ Alc. Bruta &lt; 7,5 mg/L</v>
      </c>
      <c r="AZ286" s="136" t="str">
        <f>IF(O286="","",IF(O286&lt;5,"Cor &lt;5 uC",IF(O286&lt;10,"5 ≤ Cor &lt; 10 uC",IF(O286&lt;15,"10 ≤ Cor &lt;15 uC",IF(O286&lt;30,"15 ≤ Cor &lt; 30 uC",IF(O286&lt;50,"30 ≤ Cor &lt; 50 uC","Cor &gt; 50 uC"))))))</f>
        <v>10 ≤ Cor &lt;15 uC</v>
      </c>
      <c r="BA286" s="137" t="str">
        <f>IF(N286="","",IF(N286&lt;2.5,"Turbidez &lt; 2,5 uT",IF(N286&lt;5,"2,5 ≤ Turb &lt; 5,0 uT",IF(N286&lt;7.5,"5,0 ≤ Turb &lt; 7,5 uT",IF(N286&lt;10,"7,5 ≤ Turb &lt; 10,0 uT",IF(N286&lt;15,"10,0 ≤ Turb &lt; 15,0 uT","Turb &gt; 15 uT"))))))</f>
        <v>2,5 ≤ Turb &lt; 5,0 uT</v>
      </c>
      <c r="BB286" s="138" t="str">
        <f>IF(AND(C286&gt;D286,D286&gt;E286),"TOR &gt; SM &gt; BNN",IF(AND(C286&gt;E286,E286&gt;D286),"TOR &gt; BNN &gt; SM",IF(AND(D286&gt;C286,C286&gt;E286),"SM &gt; TOR &gt; BNN",IF(AND(D286&gt;E286,E286&gt;C286),"SM &gt; BNN &gt; TOR",IF(AND(C286=D286,D286=E286),"TOR = SM = BNN","Comb. diferentes")))))</f>
        <v>TOR &gt; SM &gt; BNN</v>
      </c>
      <c r="BC286" s="137" t="str">
        <f>IF(OR(AD286="",AP286="-"),"",IF(AD286&lt;=0.25,"Tipo 1 (≤0,25) uT",IF(AD286&lt;=0.5,"Tipo 2 (0,25-0,50) uT",IF(AD286&lt;=0.75,"Tipo 3 (0,50-0,75) uT","Tipo 4 (&gt;0,75) uT"))))</f>
        <v>Tipo 2 (0,25-0,50) uT</v>
      </c>
      <c r="BD286" s="137" t="str">
        <f>IF(OR(AO286="",AY286="-"),"",IF(AO286&lt;=0.25,"Tipo 1 (≤0,25) uT",IF(AO286&lt;=0.5,"Tipo 2 (0,25-0,50) uT",IF(AO286&lt;=0.75,"Tipo 3 (0,50-0,75) uT","Tipo 4 (&gt;0,75) uT"))))</f>
        <v>Tipo 1 (≤0,25) uT</v>
      </c>
      <c r="BE286" s="137" t="str">
        <f>IF(OR(AE286="",AP286="-"),"",IF(AE286&lt;=0.25,"Tipo 1 (≤0,25) uT",IF(AE286&lt;=0.5,"Tipo 2 (0,25-0,50) uT",IF(AE286&lt;=0.75,"Tipo 3 (0,50-0,75) uT","Tipo 4 (&gt;0,75) uT"))))</f>
        <v>Tipo 4 (&gt;0,75) uT</v>
      </c>
      <c r="BF286" s="137" t="str">
        <f>IF(OR(AP286="",AP286="-"),"",IF(AP286&lt;=0.25,"Tipo 1 (≤0,25) uT",IF(AP286&lt;=0.5,"Tipo 2 (0,25-0,50) uT",IF(AP286&lt;=0.75,"Tipo 3 (0,50-0,75) uT","Tipo 4 (&gt;0,75) uT"))))</f>
        <v>Tipo 4 (&gt;0,75) uT</v>
      </c>
      <c r="BG286" s="137" t="str">
        <f>IF(OR(Q286="",Q286="-"),"",IF(Q286&lt;=0.25,"Tipo 1 (≤0,25) uT",IF(Q286&lt;=0.5,"Tipo 2 (0,25-0,50) uT",IF(Q286&lt;=0.75,"Tipo 3 (0,50-0,75) uT","Tipo 4 (&gt;0,75) uT"))))</f>
        <v>Tipo 4 (&gt;0,75) uT</v>
      </c>
    </row>
    <row r="287" spans="1:59" x14ac:dyDescent="0.3">
      <c r="A287" s="26">
        <v>46157</v>
      </c>
      <c r="B287" s="107">
        <v>0.39583333333333331</v>
      </c>
      <c r="C287" s="116">
        <v>1505</v>
      </c>
      <c r="D287" s="116">
        <v>92</v>
      </c>
      <c r="E287" s="116">
        <v>0</v>
      </c>
      <c r="F287" s="116">
        <v>1922</v>
      </c>
      <c r="G287" s="10" t="s">
        <v>34</v>
      </c>
      <c r="H287" s="122">
        <v>6</v>
      </c>
      <c r="I287" s="116">
        <v>90</v>
      </c>
      <c r="J287" s="116">
        <v>90</v>
      </c>
      <c r="K287" s="116">
        <v>90</v>
      </c>
      <c r="L287" s="122">
        <v>23.5</v>
      </c>
      <c r="M287" s="122">
        <v>6.6</v>
      </c>
      <c r="N287" s="79">
        <v>3.4</v>
      </c>
      <c r="O287" s="116">
        <v>19</v>
      </c>
      <c r="P287" s="122">
        <v>3.9</v>
      </c>
      <c r="Q287" s="79">
        <v>0.3</v>
      </c>
      <c r="R287" s="79">
        <v>22.36</v>
      </c>
      <c r="S287" s="79">
        <v>0.88</v>
      </c>
      <c r="T287" s="79">
        <v>0.7</v>
      </c>
      <c r="U287" s="85">
        <f t="shared" si="28"/>
        <v>1745.8166666666664</v>
      </c>
      <c r="V287" s="79">
        <f t="shared" si="29"/>
        <v>1525.2278553200001</v>
      </c>
      <c r="W287" s="79">
        <f t="shared" si="30"/>
        <v>0.87364720731653789</v>
      </c>
      <c r="X287" s="116">
        <v>2</v>
      </c>
      <c r="Y287" s="116">
        <v>3</v>
      </c>
      <c r="Z287" s="122">
        <v>6.47</v>
      </c>
      <c r="AA287" s="116">
        <v>19</v>
      </c>
      <c r="AB287" s="122">
        <v>6.4</v>
      </c>
      <c r="AC287" s="122">
        <v>3.7</v>
      </c>
      <c r="AD287" s="10">
        <v>0.28999999999999998</v>
      </c>
      <c r="AE287" s="79">
        <v>0.42</v>
      </c>
      <c r="AF287" s="85">
        <f t="shared" si="31"/>
        <v>1309.3624999999997</v>
      </c>
      <c r="AG287" s="85">
        <f t="shared" si="32"/>
        <v>1849.8816169599997</v>
      </c>
      <c r="AH287" s="85">
        <f t="shared" si="33"/>
        <v>1.412810903748962</v>
      </c>
      <c r="AI287" s="116">
        <v>2</v>
      </c>
      <c r="AJ287" s="116">
        <v>4</v>
      </c>
      <c r="AK287" s="79">
        <v>6.48</v>
      </c>
      <c r="AL287" s="79">
        <v>23</v>
      </c>
      <c r="AM287" s="122">
        <v>6.4</v>
      </c>
      <c r="AN287" s="122">
        <v>3.9</v>
      </c>
      <c r="AO287" s="79">
        <v>0.4</v>
      </c>
      <c r="AP287" s="127">
        <v>0.28000000000000003</v>
      </c>
      <c r="AQ287" s="132">
        <f t="shared" si="34"/>
        <v>1597</v>
      </c>
      <c r="AR287" s="134">
        <f t="shared" si="35"/>
        <v>0.94239198497182219</v>
      </c>
      <c r="AS287" s="134">
        <f t="shared" si="36"/>
        <v>5.7608015028177834E-2</v>
      </c>
      <c r="AT287" s="134">
        <f t="shared" si="37"/>
        <v>0</v>
      </c>
      <c r="AU287" s="43">
        <f>IF(AND(F287&lt;&gt;"",Y287&lt;&gt;""),AA287/(F287/2/Y287),"")</f>
        <v>5.9313215400624356E-2</v>
      </c>
      <c r="AV287" s="43">
        <f>IF(AND(F287&lt;&gt;"",AJ287&lt;&gt;""),AL287/(F287/2/AJ287),"")</f>
        <v>9.5733610822060347E-2</v>
      </c>
      <c r="AW287" s="41">
        <f>IF(AND(AP287&lt;&gt;"",1-(AP287/N287)&gt;0),1-(AP287/N287),"")</f>
        <v>0.91764705882352937</v>
      </c>
      <c r="AX287" s="41">
        <f>IF(AND(AE287&lt;&gt;"",1-(AE287/N287)&gt;0),1-(AE287/N287),"")</f>
        <v>0.87647058823529411</v>
      </c>
      <c r="AY287" s="136" t="str">
        <f>IF(P287="","",IF(P287&lt;2.5,"Alc. Bruta &lt; 2,5 mg/L",IF(P287&lt;5,"2,5 ≤ Alc. Bruta &lt; 5,0 mg/L",IF(P287&lt;7.5,"5,0 ≤ Alc. Bruta &lt; 7,5 mg/L",IF(P287&lt;10,"7,5 ≤ Alc. Bruta &lt; 10,0 mg/L",IF(P287&lt;15,"10,0 ≤ Alca. Bruta &lt; 15,0 mg/L","Alc. Bruta &gt; 15 mg/L"))))))</f>
        <v>2,5 ≤ Alc. Bruta &lt; 5,0 mg/L</v>
      </c>
      <c r="AZ287" s="136" t="str">
        <f>IF(O287="","",IF(O287&lt;5,"Cor &lt;5 uC",IF(O287&lt;10,"5 ≤ Cor &lt; 10 uC",IF(O287&lt;15,"10 ≤ Cor &lt;15 uC",IF(O287&lt;30,"15 ≤ Cor &lt; 30 uC",IF(O287&lt;50,"30 ≤ Cor &lt; 50 uC","Cor &gt; 50 uC"))))))</f>
        <v>15 ≤ Cor &lt; 30 uC</v>
      </c>
      <c r="BA287" s="137" t="str">
        <f>IF(N287="","",IF(N287&lt;2.5,"Turbidez &lt; 2,5 uT",IF(N287&lt;5,"2,5 ≤ Turb &lt; 5,0 uT",IF(N287&lt;7.5,"5,0 ≤ Turb &lt; 7,5 uT",IF(N287&lt;10,"7,5 ≤ Turb &lt; 10,0 uT",IF(N287&lt;15,"10,0 ≤ Turb &lt; 15,0 uT","Turb &gt; 15 uT"))))))</f>
        <v>2,5 ≤ Turb &lt; 5,0 uT</v>
      </c>
      <c r="BB287" s="138" t="str">
        <f>IF(AND(C287&gt;D287,D287&gt;E287),"TOR &gt; SM &gt; BNN",IF(AND(C287&gt;E287,E287&gt;D287),"TOR &gt; BNN &gt; SM",IF(AND(D287&gt;C287,C287&gt;E287),"SM &gt; TOR &gt; BNN",IF(AND(D287&gt;E287,E287&gt;C287),"SM &gt; BNN &gt; TOR",IF(AND(C287=D287,D287=E287),"TOR = SM = BNN","Comb. diferentes")))))</f>
        <v>TOR &gt; SM &gt; BNN</v>
      </c>
      <c r="BC287" s="137" t="str">
        <f>IF(OR(AD287="",AP287="-"),"",IF(AD287&lt;=0.25,"Tipo 1 (≤0,25) uT",IF(AD287&lt;=0.5,"Tipo 2 (0,25-0,50) uT",IF(AD287&lt;=0.75,"Tipo 3 (0,50-0,75) uT","Tipo 4 (&gt;0,75) uT"))))</f>
        <v>Tipo 2 (0,25-0,50) uT</v>
      </c>
      <c r="BD287" s="137" t="str">
        <f>IF(OR(AO287="",AY287="-"),"",IF(AO287&lt;=0.25,"Tipo 1 (≤0,25) uT",IF(AO287&lt;=0.5,"Tipo 2 (0,25-0,50) uT",IF(AO287&lt;=0.75,"Tipo 3 (0,50-0,75) uT","Tipo 4 (&gt;0,75) uT"))))</f>
        <v>Tipo 2 (0,25-0,50) uT</v>
      </c>
      <c r="BE287" s="137" t="str">
        <f>IF(OR(AE287="",AP287="-"),"",IF(AE287&lt;=0.25,"Tipo 1 (≤0,25) uT",IF(AE287&lt;=0.5,"Tipo 2 (0,25-0,50) uT",IF(AE287&lt;=0.75,"Tipo 3 (0,50-0,75) uT","Tipo 4 (&gt;0,75) uT"))))</f>
        <v>Tipo 2 (0,25-0,50) uT</v>
      </c>
      <c r="BF287" s="137" t="str">
        <f>IF(OR(AP287="",AP287="-"),"",IF(AP287&lt;=0.25,"Tipo 1 (≤0,25) uT",IF(AP287&lt;=0.5,"Tipo 2 (0,25-0,50) uT",IF(AP287&lt;=0.75,"Tipo 3 (0,50-0,75) uT","Tipo 4 (&gt;0,75) uT"))))</f>
        <v>Tipo 2 (0,25-0,50) uT</v>
      </c>
      <c r="BG287" s="137" t="str">
        <f>IF(OR(Q287="",Q287="-"),"",IF(Q287&lt;=0.25,"Tipo 1 (≤0,25) uT",IF(Q287&lt;=0.5,"Tipo 2 (0,25-0,50) uT",IF(Q287&lt;=0.75,"Tipo 3 (0,50-0,75) uT","Tipo 4 (&gt;0,75) uT"))))</f>
        <v>Tipo 2 (0,25-0,50) uT</v>
      </c>
    </row>
    <row r="288" spans="1:59" x14ac:dyDescent="0.3">
      <c r="A288" s="26">
        <v>46157</v>
      </c>
      <c r="B288" s="107">
        <v>0.47916666666666669</v>
      </c>
      <c r="C288" s="116">
        <v>1546</v>
      </c>
      <c r="D288" s="116">
        <v>680</v>
      </c>
      <c r="E288" s="116">
        <v>0</v>
      </c>
      <c r="F288" s="116">
        <v>2340</v>
      </c>
      <c r="G288" s="10" t="s">
        <v>34</v>
      </c>
      <c r="H288" s="122">
        <v>5</v>
      </c>
      <c r="I288" s="116">
        <v>90</v>
      </c>
      <c r="J288" s="116">
        <v>90</v>
      </c>
      <c r="K288" s="116">
        <v>90</v>
      </c>
      <c r="L288" s="122">
        <v>24.9</v>
      </c>
      <c r="M288" s="122">
        <v>6.7</v>
      </c>
      <c r="N288" s="79">
        <v>3.61</v>
      </c>
      <c r="O288" s="116">
        <v>21</v>
      </c>
      <c r="P288" s="122">
        <v>4.2</v>
      </c>
      <c r="Q288" s="79">
        <v>2.2799999999999998</v>
      </c>
      <c r="R288" s="79">
        <v>22.36</v>
      </c>
      <c r="S288" s="79">
        <v>0.88</v>
      </c>
      <c r="T288" s="79">
        <v>0.7</v>
      </c>
      <c r="U288" s="85">
        <f t="shared" si="28"/>
        <v>1567.7999999999997</v>
      </c>
      <c r="V288" s="79">
        <f t="shared" si="29"/>
        <v>1444.9527050400002</v>
      </c>
      <c r="W288" s="79">
        <f t="shared" si="30"/>
        <v>0.92164351641791076</v>
      </c>
      <c r="X288" s="116">
        <v>3</v>
      </c>
      <c r="Y288" s="116">
        <v>4</v>
      </c>
      <c r="Z288" s="122">
        <v>6.47</v>
      </c>
      <c r="AA288" s="116">
        <v>18</v>
      </c>
      <c r="AB288" s="122">
        <v>6.5</v>
      </c>
      <c r="AC288" s="122">
        <v>3.2</v>
      </c>
      <c r="AD288" s="10">
        <v>1.1000000000000001</v>
      </c>
      <c r="AE288" s="79">
        <v>2.0499999999999998</v>
      </c>
      <c r="AF288" s="85">
        <f t="shared" si="31"/>
        <v>1567.7999999999997</v>
      </c>
      <c r="AG288" s="85">
        <f t="shared" si="32"/>
        <v>1835.6689748800002</v>
      </c>
      <c r="AH288" s="85">
        <f t="shared" si="33"/>
        <v>1.1708565983416255</v>
      </c>
      <c r="AI288" s="116">
        <v>3</v>
      </c>
      <c r="AJ288" s="116">
        <v>4</v>
      </c>
      <c r="AK288" s="79">
        <v>6.44</v>
      </c>
      <c r="AL288" s="79">
        <v>23</v>
      </c>
      <c r="AM288" s="122">
        <v>6.5</v>
      </c>
      <c r="AN288" s="122">
        <v>3.4</v>
      </c>
      <c r="AO288" s="79">
        <v>1.03</v>
      </c>
      <c r="AP288" s="127">
        <v>1.44</v>
      </c>
      <c r="AQ288" s="132">
        <f t="shared" si="34"/>
        <v>2226</v>
      </c>
      <c r="AR288" s="134">
        <f t="shared" si="35"/>
        <v>0.6945193171608266</v>
      </c>
      <c r="AS288" s="134">
        <f t="shared" si="36"/>
        <v>0.3054806828391734</v>
      </c>
      <c r="AT288" s="134">
        <f t="shared" si="37"/>
        <v>0</v>
      </c>
      <c r="AU288" s="43">
        <f>IF(AND(F288&lt;&gt;"",Y288&lt;&gt;""),AA288/(F288/2/Y288),"")</f>
        <v>6.1538461538461542E-2</v>
      </c>
      <c r="AV288" s="43">
        <f>IF(AND(F288&lt;&gt;"",AJ288&lt;&gt;""),AL288/(F288/2/AJ288),"")</f>
        <v>7.8632478632478631E-2</v>
      </c>
      <c r="AW288" s="41">
        <f>IF(AND(AP288&lt;&gt;"",1-(AP288/N288)&gt;0),1-(AP288/N288),"")</f>
        <v>0.60110803324099726</v>
      </c>
      <c r="AX288" s="41">
        <f>IF(AND(AE288&lt;&gt;"",1-(AE288/N288)&gt;0),1-(AE288/N288),"")</f>
        <v>0.43213296398891965</v>
      </c>
      <c r="AY288" s="136" t="str">
        <f>IF(P288="","",IF(P288&lt;2.5,"Alc. Bruta &lt; 2,5 mg/L",IF(P288&lt;5,"2,5 ≤ Alc. Bruta &lt; 5,0 mg/L",IF(P288&lt;7.5,"5,0 ≤ Alc. Bruta &lt; 7,5 mg/L",IF(P288&lt;10,"7,5 ≤ Alc. Bruta &lt; 10,0 mg/L",IF(P288&lt;15,"10,0 ≤ Alca. Bruta &lt; 15,0 mg/L","Alc. Bruta &gt; 15 mg/L"))))))</f>
        <v>2,5 ≤ Alc. Bruta &lt; 5,0 mg/L</v>
      </c>
      <c r="AZ288" s="136" t="str">
        <f>IF(O288="","",IF(O288&lt;5,"Cor &lt;5 uC",IF(O288&lt;10,"5 ≤ Cor &lt; 10 uC",IF(O288&lt;15,"10 ≤ Cor &lt;15 uC",IF(O288&lt;30,"15 ≤ Cor &lt; 30 uC",IF(O288&lt;50,"30 ≤ Cor &lt; 50 uC","Cor &gt; 50 uC"))))))</f>
        <v>15 ≤ Cor &lt; 30 uC</v>
      </c>
      <c r="BA288" s="137" t="str">
        <f>IF(N288="","",IF(N288&lt;2.5,"Turbidez &lt; 2,5 uT",IF(N288&lt;5,"2,5 ≤ Turb &lt; 5,0 uT",IF(N288&lt;7.5,"5,0 ≤ Turb &lt; 7,5 uT",IF(N288&lt;10,"7,5 ≤ Turb &lt; 10,0 uT",IF(N288&lt;15,"10,0 ≤ Turb &lt; 15,0 uT","Turb &gt; 15 uT"))))))</f>
        <v>2,5 ≤ Turb &lt; 5,0 uT</v>
      </c>
      <c r="BB288" s="138" t="str">
        <f>IF(AND(C288&gt;D288,D288&gt;E288),"TOR &gt; SM &gt; BNN",IF(AND(C288&gt;E288,E288&gt;D288),"TOR &gt; BNN &gt; SM",IF(AND(D288&gt;C288,C288&gt;E288),"SM &gt; TOR &gt; BNN",IF(AND(D288&gt;E288,E288&gt;C288),"SM &gt; BNN &gt; TOR",IF(AND(C288=D288,D288=E288),"TOR = SM = BNN","Comb. diferentes")))))</f>
        <v>TOR &gt; SM &gt; BNN</v>
      </c>
      <c r="BC288" s="137" t="str">
        <f>IF(OR(AD288="",AP288="-"),"",IF(AD288&lt;=0.25,"Tipo 1 (≤0,25) uT",IF(AD288&lt;=0.5,"Tipo 2 (0,25-0,50) uT",IF(AD288&lt;=0.75,"Tipo 3 (0,50-0,75) uT","Tipo 4 (&gt;0,75) uT"))))</f>
        <v>Tipo 4 (&gt;0,75) uT</v>
      </c>
      <c r="BD288" s="137" t="str">
        <f>IF(OR(AO288="",AY288="-"),"",IF(AO288&lt;=0.25,"Tipo 1 (≤0,25) uT",IF(AO288&lt;=0.5,"Tipo 2 (0,25-0,50) uT",IF(AO288&lt;=0.75,"Tipo 3 (0,50-0,75) uT","Tipo 4 (&gt;0,75) uT"))))</f>
        <v>Tipo 4 (&gt;0,75) uT</v>
      </c>
      <c r="BE288" s="137" t="str">
        <f>IF(OR(AE288="",AP288="-"),"",IF(AE288&lt;=0.25,"Tipo 1 (≤0,25) uT",IF(AE288&lt;=0.5,"Tipo 2 (0,25-0,50) uT",IF(AE288&lt;=0.75,"Tipo 3 (0,50-0,75) uT","Tipo 4 (&gt;0,75) uT"))))</f>
        <v>Tipo 4 (&gt;0,75) uT</v>
      </c>
      <c r="BF288" s="137" t="str">
        <f>IF(OR(AP288="",AP288="-"),"",IF(AP288&lt;=0.25,"Tipo 1 (≤0,25) uT",IF(AP288&lt;=0.5,"Tipo 2 (0,25-0,50) uT",IF(AP288&lt;=0.75,"Tipo 3 (0,50-0,75) uT","Tipo 4 (&gt;0,75) uT"))))</f>
        <v>Tipo 4 (&gt;0,75) uT</v>
      </c>
      <c r="BG288" s="137" t="str">
        <f>IF(OR(Q288="",Q288="-"),"",IF(Q288&lt;=0.25,"Tipo 1 (≤0,25) uT",IF(Q288&lt;=0.5,"Tipo 2 (0,25-0,50) uT",IF(Q288&lt;=0.75,"Tipo 3 (0,50-0,75) uT","Tipo 4 (&gt;0,75) uT"))))</f>
        <v>Tipo 4 (&gt;0,75) uT</v>
      </c>
    </row>
    <row r="289" spans="1:59" x14ac:dyDescent="0.3">
      <c r="A289" s="26">
        <v>46157</v>
      </c>
      <c r="B289" s="107">
        <v>0.5625</v>
      </c>
      <c r="C289" s="116">
        <v>1410</v>
      </c>
      <c r="D289" s="116">
        <v>690</v>
      </c>
      <c r="E289" s="116">
        <v>0</v>
      </c>
      <c r="F289" s="116">
        <v>2334</v>
      </c>
      <c r="G289" s="10" t="s">
        <v>34</v>
      </c>
      <c r="H289" s="122">
        <v>5</v>
      </c>
      <c r="I289" s="116">
        <v>90</v>
      </c>
      <c r="J289" s="116">
        <v>90</v>
      </c>
      <c r="K289" s="116">
        <v>90</v>
      </c>
      <c r="L289" s="122">
        <v>24.9</v>
      </c>
      <c r="M289" s="122">
        <v>6.7</v>
      </c>
      <c r="N289" s="79">
        <v>2.78</v>
      </c>
      <c r="O289" s="116">
        <v>17</v>
      </c>
      <c r="P289" s="122">
        <v>4</v>
      </c>
      <c r="Q289" s="79">
        <v>3.2</v>
      </c>
      <c r="R289" s="79">
        <v>22.36</v>
      </c>
      <c r="S289" s="79">
        <v>0.88</v>
      </c>
      <c r="T289" s="79">
        <v>0.7</v>
      </c>
      <c r="U289" s="85">
        <f t="shared" si="28"/>
        <v>1321.6274999999998</v>
      </c>
      <c r="V289" s="79">
        <f t="shared" si="29"/>
        <v>1447.7334393599999</v>
      </c>
      <c r="W289" s="79">
        <f t="shared" si="30"/>
        <v>1.095417157527367</v>
      </c>
      <c r="X289" s="116">
        <v>3</v>
      </c>
      <c r="Y289" s="116">
        <v>4</v>
      </c>
      <c r="Z289" s="122">
        <v>6.48</v>
      </c>
      <c r="AA289" s="116">
        <v>18</v>
      </c>
      <c r="AB289" s="122">
        <v>6.9</v>
      </c>
      <c r="AC289" s="122">
        <v>4.4000000000000004</v>
      </c>
      <c r="AD289" s="10">
        <v>1.1399999999999999</v>
      </c>
      <c r="AE289" s="79">
        <v>2.75</v>
      </c>
      <c r="AF289" s="85">
        <f t="shared" si="31"/>
        <v>1321.6274999999998</v>
      </c>
      <c r="AG289" s="85">
        <f t="shared" si="32"/>
        <v>1835.6689748800002</v>
      </c>
      <c r="AH289" s="85">
        <f t="shared" si="33"/>
        <v>1.3889458072565837</v>
      </c>
      <c r="AI289" s="116">
        <v>3</v>
      </c>
      <c r="AJ289" s="116">
        <v>4</v>
      </c>
      <c r="AK289" s="79">
        <v>6.44</v>
      </c>
      <c r="AL289" s="79">
        <v>23</v>
      </c>
      <c r="AM289" s="122">
        <v>7.2</v>
      </c>
      <c r="AN289" s="122">
        <v>4.9000000000000004</v>
      </c>
      <c r="AO289" s="79">
        <v>1.46</v>
      </c>
      <c r="AP289" s="127">
        <v>2.2999999999999998</v>
      </c>
      <c r="AQ289" s="132">
        <f t="shared" si="34"/>
        <v>2100</v>
      </c>
      <c r="AR289" s="134">
        <f t="shared" si="35"/>
        <v>0.67142857142857137</v>
      </c>
      <c r="AS289" s="134">
        <f t="shared" si="36"/>
        <v>0.32857142857142857</v>
      </c>
      <c r="AT289" s="134">
        <f t="shared" si="37"/>
        <v>0</v>
      </c>
      <c r="AU289" s="43">
        <f>IF(AND(F289&lt;&gt;"",Y289&lt;&gt;""),AA289/(F289/2/Y289),"")</f>
        <v>6.1696658097686374E-2</v>
      </c>
      <c r="AV289" s="43">
        <f>IF(AND(F289&lt;&gt;"",AJ289&lt;&gt;""),AL289/(F289/2/AJ289),"")</f>
        <v>7.8834618680377042E-2</v>
      </c>
      <c r="AW289" s="41">
        <f>IF(AND(AP289&lt;&gt;"",1-(AP289/N289)&gt;0),1-(AP289/N289),"")</f>
        <v>0.17266187050359716</v>
      </c>
      <c r="AX289" s="41">
        <f>IF(AND(AE289&lt;&gt;"",1-(AE289/N289)&gt;0),1-(AE289/N289),"")</f>
        <v>1.0791366906474753E-2</v>
      </c>
      <c r="AY289" s="136" t="str">
        <f>IF(P289="","",IF(P289&lt;2.5,"Alc. Bruta &lt; 2,5 mg/L",IF(P289&lt;5,"2,5 ≤ Alc. Bruta &lt; 5,0 mg/L",IF(P289&lt;7.5,"5,0 ≤ Alc. Bruta &lt; 7,5 mg/L",IF(P289&lt;10,"7,5 ≤ Alc. Bruta &lt; 10,0 mg/L",IF(P289&lt;15,"10,0 ≤ Alca. Bruta &lt; 15,0 mg/L","Alc. Bruta &gt; 15 mg/L"))))))</f>
        <v>2,5 ≤ Alc. Bruta &lt; 5,0 mg/L</v>
      </c>
      <c r="AZ289" s="136" t="str">
        <f>IF(O289="","",IF(O289&lt;5,"Cor &lt;5 uC",IF(O289&lt;10,"5 ≤ Cor &lt; 10 uC",IF(O289&lt;15,"10 ≤ Cor &lt;15 uC",IF(O289&lt;30,"15 ≤ Cor &lt; 30 uC",IF(O289&lt;50,"30 ≤ Cor &lt; 50 uC","Cor &gt; 50 uC"))))))</f>
        <v>15 ≤ Cor &lt; 30 uC</v>
      </c>
      <c r="BA289" s="137" t="str">
        <f>IF(N289="","",IF(N289&lt;2.5,"Turbidez &lt; 2,5 uT",IF(N289&lt;5,"2,5 ≤ Turb &lt; 5,0 uT",IF(N289&lt;7.5,"5,0 ≤ Turb &lt; 7,5 uT",IF(N289&lt;10,"7,5 ≤ Turb &lt; 10,0 uT",IF(N289&lt;15,"10,0 ≤ Turb &lt; 15,0 uT","Turb &gt; 15 uT"))))))</f>
        <v>2,5 ≤ Turb &lt; 5,0 uT</v>
      </c>
      <c r="BB289" s="138" t="str">
        <f>IF(AND(C289&gt;D289,D289&gt;E289),"TOR &gt; SM &gt; BNN",IF(AND(C289&gt;E289,E289&gt;D289),"TOR &gt; BNN &gt; SM",IF(AND(D289&gt;C289,C289&gt;E289),"SM &gt; TOR &gt; BNN",IF(AND(D289&gt;E289,E289&gt;C289),"SM &gt; BNN &gt; TOR",IF(AND(C289=D289,D289=E289),"TOR = SM = BNN","Comb. diferentes")))))</f>
        <v>TOR &gt; SM &gt; BNN</v>
      </c>
      <c r="BC289" s="137" t="str">
        <f>IF(OR(AD289="",AP289="-"),"",IF(AD289&lt;=0.25,"Tipo 1 (≤0,25) uT",IF(AD289&lt;=0.5,"Tipo 2 (0,25-0,50) uT",IF(AD289&lt;=0.75,"Tipo 3 (0,50-0,75) uT","Tipo 4 (&gt;0,75) uT"))))</f>
        <v>Tipo 4 (&gt;0,75) uT</v>
      </c>
      <c r="BD289" s="137" t="str">
        <f>IF(OR(AO289="",AY289="-"),"",IF(AO289&lt;=0.25,"Tipo 1 (≤0,25) uT",IF(AO289&lt;=0.5,"Tipo 2 (0,25-0,50) uT",IF(AO289&lt;=0.75,"Tipo 3 (0,50-0,75) uT","Tipo 4 (&gt;0,75) uT"))))</f>
        <v>Tipo 4 (&gt;0,75) uT</v>
      </c>
      <c r="BE289" s="137" t="str">
        <f>IF(OR(AE289="",AP289="-"),"",IF(AE289&lt;=0.25,"Tipo 1 (≤0,25) uT",IF(AE289&lt;=0.5,"Tipo 2 (0,25-0,50) uT",IF(AE289&lt;=0.75,"Tipo 3 (0,50-0,75) uT","Tipo 4 (&gt;0,75) uT"))))</f>
        <v>Tipo 4 (&gt;0,75) uT</v>
      </c>
      <c r="BF289" s="137" t="str">
        <f>IF(OR(AP289="",AP289="-"),"",IF(AP289&lt;=0.25,"Tipo 1 (≤0,25) uT",IF(AP289&lt;=0.5,"Tipo 2 (0,25-0,50) uT",IF(AP289&lt;=0.75,"Tipo 3 (0,50-0,75) uT","Tipo 4 (&gt;0,75) uT"))))</f>
        <v>Tipo 4 (&gt;0,75) uT</v>
      </c>
      <c r="BG289" s="137" t="str">
        <f>IF(OR(Q289="",Q289="-"),"",IF(Q289&lt;=0.25,"Tipo 1 (≤0,25) uT",IF(Q289&lt;=0.5,"Tipo 2 (0,25-0,50) uT",IF(Q289&lt;=0.75,"Tipo 3 (0,50-0,75) uT","Tipo 4 (&gt;0,75) uT"))))</f>
        <v>Tipo 4 (&gt;0,75) uT</v>
      </c>
    </row>
    <row r="290" spans="1:59" x14ac:dyDescent="0.3">
      <c r="A290" s="26">
        <v>46157</v>
      </c>
      <c r="B290" s="107">
        <v>0.64583333333333337</v>
      </c>
      <c r="C290" s="116">
        <v>1417</v>
      </c>
      <c r="D290" s="116">
        <v>685</v>
      </c>
      <c r="E290" s="116">
        <v>0</v>
      </c>
      <c r="F290" s="116">
        <v>2337</v>
      </c>
      <c r="G290" s="10" t="s">
        <v>100</v>
      </c>
      <c r="H290" s="122">
        <v>6.5</v>
      </c>
      <c r="I290" s="116">
        <v>90</v>
      </c>
      <c r="J290" s="116">
        <v>90</v>
      </c>
      <c r="K290" s="116">
        <v>90</v>
      </c>
      <c r="L290" s="122">
        <v>26.7</v>
      </c>
      <c r="M290" s="122">
        <v>6.9</v>
      </c>
      <c r="N290" s="79">
        <v>3.01</v>
      </c>
      <c r="O290" s="116">
        <v>14</v>
      </c>
      <c r="P290" s="122">
        <v>3.6</v>
      </c>
      <c r="Q290" s="79">
        <v>3.16</v>
      </c>
      <c r="R290" s="79">
        <v>22.36</v>
      </c>
      <c r="S290" s="79">
        <v>0.88</v>
      </c>
      <c r="T290" s="79">
        <v>0.7</v>
      </c>
      <c r="U290" s="85">
        <f t="shared" si="28"/>
        <v>1521.9712500000001</v>
      </c>
      <c r="V290" s="79">
        <f t="shared" si="29"/>
        <v>1442.1719707199995</v>
      </c>
      <c r="W290" s="79">
        <f t="shared" si="30"/>
        <v>0.94756847129668154</v>
      </c>
      <c r="X290" s="116">
        <v>3</v>
      </c>
      <c r="Y290" s="116">
        <v>4</v>
      </c>
      <c r="Z290" s="122">
        <v>6.46</v>
      </c>
      <c r="AA290" s="116">
        <v>18</v>
      </c>
      <c r="AB290" s="122">
        <v>6.3</v>
      </c>
      <c r="AC290" s="122">
        <v>3.9</v>
      </c>
      <c r="AD290" s="10">
        <v>0.95</v>
      </c>
      <c r="AE290" s="79">
        <v>2.5099999999999998</v>
      </c>
      <c r="AF290" s="85">
        <f t="shared" si="31"/>
        <v>1521.9712500000001</v>
      </c>
      <c r="AG290" s="85">
        <f t="shared" si="32"/>
        <v>1853.4347774799999</v>
      </c>
      <c r="AH290" s="85">
        <f t="shared" si="33"/>
        <v>1.2177856693942148</v>
      </c>
      <c r="AI290" s="116">
        <v>3</v>
      </c>
      <c r="AJ290" s="116">
        <v>4</v>
      </c>
      <c r="AK290" s="79">
        <v>6.49</v>
      </c>
      <c r="AL290" s="79">
        <v>23</v>
      </c>
      <c r="AM290" s="122">
        <v>6.3</v>
      </c>
      <c r="AN290" s="122">
        <v>2.9</v>
      </c>
      <c r="AO290" s="79">
        <v>0.91</v>
      </c>
      <c r="AP290" s="127">
        <v>2.75</v>
      </c>
      <c r="AQ290" s="132">
        <f t="shared" si="34"/>
        <v>2102</v>
      </c>
      <c r="AR290" s="134">
        <f t="shared" si="35"/>
        <v>0.67411988582302573</v>
      </c>
      <c r="AS290" s="134">
        <f t="shared" si="36"/>
        <v>0.32588011417697432</v>
      </c>
      <c r="AT290" s="134">
        <f t="shared" si="37"/>
        <v>0</v>
      </c>
      <c r="AU290" s="43">
        <f>IF(AND(F290&lt;&gt;"",Y290&lt;&gt;""),AA290/(F290/2/Y290),"")</f>
        <v>6.1617458279845959E-2</v>
      </c>
      <c r="AV290" s="43">
        <f>IF(AND(F290&lt;&gt;"",AJ290&lt;&gt;""),AL290/(F290/2/AJ290),"")</f>
        <v>7.8733418913136496E-2</v>
      </c>
      <c r="AW290" s="41">
        <f>IF(AND(AP290&lt;&gt;"",1-(AP290/N290)&gt;0),1-(AP290/N290),"")</f>
        <v>8.6378737541528139E-2</v>
      </c>
      <c r="AX290" s="41">
        <f>IF(AND(AE290&lt;&gt;"",1-(AE290/N290)&gt;0),1-(AE290/N290),"")</f>
        <v>0.16611295681063121</v>
      </c>
      <c r="AY290" s="136" t="str">
        <f>IF(P290="","",IF(P290&lt;2.5,"Alc. Bruta &lt; 2,5 mg/L",IF(P290&lt;5,"2,5 ≤ Alc. Bruta &lt; 5,0 mg/L",IF(P290&lt;7.5,"5,0 ≤ Alc. Bruta &lt; 7,5 mg/L",IF(P290&lt;10,"7,5 ≤ Alc. Bruta &lt; 10,0 mg/L",IF(P290&lt;15,"10,0 ≤ Alca. Bruta &lt; 15,0 mg/L","Alc. Bruta &gt; 15 mg/L"))))))</f>
        <v>2,5 ≤ Alc. Bruta &lt; 5,0 mg/L</v>
      </c>
      <c r="AZ290" s="136" t="str">
        <f>IF(O290="","",IF(O290&lt;5,"Cor &lt;5 uC",IF(O290&lt;10,"5 ≤ Cor &lt; 10 uC",IF(O290&lt;15,"10 ≤ Cor &lt;15 uC",IF(O290&lt;30,"15 ≤ Cor &lt; 30 uC",IF(O290&lt;50,"30 ≤ Cor &lt; 50 uC","Cor &gt; 50 uC"))))))</f>
        <v>10 ≤ Cor &lt;15 uC</v>
      </c>
      <c r="BA290" s="137" t="str">
        <f>IF(N290="","",IF(N290&lt;2.5,"Turbidez &lt; 2,5 uT",IF(N290&lt;5,"2,5 ≤ Turb &lt; 5,0 uT",IF(N290&lt;7.5,"5,0 ≤ Turb &lt; 7,5 uT",IF(N290&lt;10,"7,5 ≤ Turb &lt; 10,0 uT",IF(N290&lt;15,"10,0 ≤ Turb &lt; 15,0 uT","Turb &gt; 15 uT"))))))</f>
        <v>2,5 ≤ Turb &lt; 5,0 uT</v>
      </c>
      <c r="BB290" s="138" t="str">
        <f>IF(AND(C290&gt;D290,D290&gt;E290),"TOR &gt; SM &gt; BNN",IF(AND(C290&gt;E290,E290&gt;D290),"TOR &gt; BNN &gt; SM",IF(AND(D290&gt;C290,C290&gt;E290),"SM &gt; TOR &gt; BNN",IF(AND(D290&gt;E290,E290&gt;C290),"SM &gt; BNN &gt; TOR",IF(AND(C290=D290,D290=E290),"TOR = SM = BNN","Comb. diferentes")))))</f>
        <v>TOR &gt; SM &gt; BNN</v>
      </c>
      <c r="BC290" s="137" t="str">
        <f>IF(OR(AD290="",AP290="-"),"",IF(AD290&lt;=0.25,"Tipo 1 (≤0,25) uT",IF(AD290&lt;=0.5,"Tipo 2 (0,25-0,50) uT",IF(AD290&lt;=0.75,"Tipo 3 (0,50-0,75) uT","Tipo 4 (&gt;0,75) uT"))))</f>
        <v>Tipo 4 (&gt;0,75) uT</v>
      </c>
      <c r="BD290" s="137" t="str">
        <f>IF(OR(AO290="",AY290="-"),"",IF(AO290&lt;=0.25,"Tipo 1 (≤0,25) uT",IF(AO290&lt;=0.5,"Tipo 2 (0,25-0,50) uT",IF(AO290&lt;=0.75,"Tipo 3 (0,50-0,75) uT","Tipo 4 (&gt;0,75) uT"))))</f>
        <v>Tipo 4 (&gt;0,75) uT</v>
      </c>
      <c r="BE290" s="137" t="str">
        <f>IF(OR(AE290="",AP290="-"),"",IF(AE290&lt;=0.25,"Tipo 1 (≤0,25) uT",IF(AE290&lt;=0.5,"Tipo 2 (0,25-0,50) uT",IF(AE290&lt;=0.75,"Tipo 3 (0,50-0,75) uT","Tipo 4 (&gt;0,75) uT"))))</f>
        <v>Tipo 4 (&gt;0,75) uT</v>
      </c>
      <c r="BF290" s="137" t="str">
        <f>IF(OR(AP290="",AP290="-"),"",IF(AP290&lt;=0.25,"Tipo 1 (≤0,25) uT",IF(AP290&lt;=0.5,"Tipo 2 (0,25-0,50) uT",IF(AP290&lt;=0.75,"Tipo 3 (0,50-0,75) uT","Tipo 4 (&gt;0,75) uT"))))</f>
        <v>Tipo 4 (&gt;0,75) uT</v>
      </c>
      <c r="BG290" s="137" t="str">
        <f>IF(OR(Q290="",Q290="-"),"",IF(Q290&lt;=0.25,"Tipo 1 (≤0,25) uT",IF(Q290&lt;=0.5,"Tipo 2 (0,25-0,50) uT",IF(Q290&lt;=0.75,"Tipo 3 (0,50-0,75) uT","Tipo 4 (&gt;0,75) uT"))))</f>
        <v>Tipo 4 (&gt;0,75) uT</v>
      </c>
    </row>
    <row r="291" spans="1:59" x14ac:dyDescent="0.3">
      <c r="A291" s="26">
        <v>46157</v>
      </c>
      <c r="B291" s="107">
        <v>0.72916666666666663</v>
      </c>
      <c r="C291" s="116">
        <v>1503</v>
      </c>
      <c r="D291" s="116">
        <v>89</v>
      </c>
      <c r="E291" s="116">
        <v>500</v>
      </c>
      <c r="F291" s="116">
        <v>2304</v>
      </c>
      <c r="G291" s="10" t="s">
        <v>100</v>
      </c>
      <c r="H291" s="122">
        <v>8.5</v>
      </c>
      <c r="I291" s="116">
        <v>90</v>
      </c>
      <c r="J291" s="116">
        <v>90</v>
      </c>
      <c r="K291" s="116">
        <v>90</v>
      </c>
      <c r="L291" s="122">
        <v>26.4</v>
      </c>
      <c r="M291" s="122">
        <v>6.7</v>
      </c>
      <c r="N291" s="79">
        <v>2.72</v>
      </c>
      <c r="O291" s="116">
        <v>22</v>
      </c>
      <c r="P291" s="122">
        <v>3.8</v>
      </c>
      <c r="Q291" s="79">
        <v>0.67</v>
      </c>
      <c r="R291" s="79">
        <v>22.36</v>
      </c>
      <c r="S291" s="79">
        <v>0.88</v>
      </c>
      <c r="T291" s="79">
        <v>0.7</v>
      </c>
      <c r="U291" s="85">
        <f t="shared" si="28"/>
        <v>1589.7599999999998</v>
      </c>
      <c r="V291" s="79">
        <f t="shared" si="29"/>
        <v>1444.9527050400002</v>
      </c>
      <c r="W291" s="79">
        <f t="shared" si="30"/>
        <v>0.90891248052536255</v>
      </c>
      <c r="X291" s="116">
        <v>3</v>
      </c>
      <c r="Y291" s="116">
        <v>4</v>
      </c>
      <c r="Z291" s="122">
        <v>6.47</v>
      </c>
      <c r="AA291" s="116">
        <v>18</v>
      </c>
      <c r="AB291" s="122">
        <v>6.1</v>
      </c>
      <c r="AC291" s="122">
        <v>2.9</v>
      </c>
      <c r="AD291" s="10">
        <v>0.24</v>
      </c>
      <c r="AE291" s="79">
        <v>0.48</v>
      </c>
      <c r="AF291" s="85">
        <f t="shared" si="31"/>
        <v>1589.7599999999998</v>
      </c>
      <c r="AG291" s="85">
        <f t="shared" si="32"/>
        <v>1839.2221353999998</v>
      </c>
      <c r="AH291" s="85">
        <f t="shared" si="33"/>
        <v>1.1569181105324076</v>
      </c>
      <c r="AI291" s="116">
        <v>3</v>
      </c>
      <c r="AJ291" s="116">
        <v>4</v>
      </c>
      <c r="AK291" s="79">
        <v>6.45</v>
      </c>
      <c r="AL291" s="79">
        <v>23</v>
      </c>
      <c r="AM291" s="122">
        <v>6.2</v>
      </c>
      <c r="AN291" s="122">
        <v>2.8</v>
      </c>
      <c r="AO291" s="79">
        <v>0.36</v>
      </c>
      <c r="AP291" s="127">
        <v>0.34</v>
      </c>
      <c r="AQ291" s="132">
        <f t="shared" si="34"/>
        <v>2092</v>
      </c>
      <c r="AR291" s="134">
        <f t="shared" si="35"/>
        <v>0.71845124282982786</v>
      </c>
      <c r="AS291" s="134">
        <f t="shared" si="36"/>
        <v>4.2543021032504777E-2</v>
      </c>
      <c r="AT291" s="134">
        <f t="shared" si="37"/>
        <v>0.23900573613766729</v>
      </c>
      <c r="AU291" s="43">
        <f>IF(AND(F291&lt;&gt;"",Y291&lt;&gt;""),AA291/(F291/2/Y291),"")</f>
        <v>6.25E-2</v>
      </c>
      <c r="AV291" s="43">
        <f>IF(AND(F291&lt;&gt;"",AJ291&lt;&gt;""),AL291/(F291/2/AJ291),"")</f>
        <v>7.9861111111111105E-2</v>
      </c>
      <c r="AW291" s="41">
        <f>IF(AND(AP291&lt;&gt;"",1-(AP291/N291)&gt;0),1-(AP291/N291),"")</f>
        <v>0.875</v>
      </c>
      <c r="AX291" s="41">
        <f>IF(AND(AE291&lt;&gt;"",1-(AE291/N291)&gt;0),1-(AE291/N291),"")</f>
        <v>0.82352941176470584</v>
      </c>
      <c r="AY291" s="136" t="str">
        <f>IF(P291="","",IF(P291&lt;2.5,"Alc. Bruta &lt; 2,5 mg/L",IF(P291&lt;5,"2,5 ≤ Alc. Bruta &lt; 5,0 mg/L",IF(P291&lt;7.5,"5,0 ≤ Alc. Bruta &lt; 7,5 mg/L",IF(P291&lt;10,"7,5 ≤ Alc. Bruta &lt; 10,0 mg/L",IF(P291&lt;15,"10,0 ≤ Alca. Bruta &lt; 15,0 mg/L","Alc. Bruta &gt; 15 mg/L"))))))</f>
        <v>2,5 ≤ Alc. Bruta &lt; 5,0 mg/L</v>
      </c>
      <c r="AZ291" s="136" t="str">
        <f>IF(O291="","",IF(O291&lt;5,"Cor &lt;5 uC",IF(O291&lt;10,"5 ≤ Cor &lt; 10 uC",IF(O291&lt;15,"10 ≤ Cor &lt;15 uC",IF(O291&lt;30,"15 ≤ Cor &lt; 30 uC",IF(O291&lt;50,"30 ≤ Cor &lt; 50 uC","Cor &gt; 50 uC"))))))</f>
        <v>15 ≤ Cor &lt; 30 uC</v>
      </c>
      <c r="BA291" s="137" t="str">
        <f>IF(N291="","",IF(N291&lt;2.5,"Turbidez &lt; 2,5 uT",IF(N291&lt;5,"2,5 ≤ Turb &lt; 5,0 uT",IF(N291&lt;7.5,"5,0 ≤ Turb &lt; 7,5 uT",IF(N291&lt;10,"7,5 ≤ Turb &lt; 10,0 uT",IF(N291&lt;15,"10,0 ≤ Turb &lt; 15,0 uT","Turb &gt; 15 uT"))))))</f>
        <v>2,5 ≤ Turb &lt; 5,0 uT</v>
      </c>
      <c r="BB291" s="138" t="str">
        <f>IF(AND(C291&gt;D291,D291&gt;E291),"TOR &gt; SM &gt; BNN",IF(AND(C291&gt;E291,E291&gt;D291),"TOR &gt; BNN &gt; SM",IF(AND(D291&gt;C291,C291&gt;E291),"SM &gt; TOR &gt; BNN",IF(AND(D291&gt;E291,E291&gt;C291),"SM &gt; BNN &gt; TOR",IF(AND(C291=D291,D291=E291),"TOR = SM = BNN","Comb. diferentes")))))</f>
        <v>TOR &gt; BNN &gt; SM</v>
      </c>
      <c r="BC291" s="137" t="str">
        <f>IF(OR(AD291="",AP291="-"),"",IF(AD291&lt;=0.25,"Tipo 1 (≤0,25) uT",IF(AD291&lt;=0.5,"Tipo 2 (0,25-0,50) uT",IF(AD291&lt;=0.75,"Tipo 3 (0,50-0,75) uT","Tipo 4 (&gt;0,75) uT"))))</f>
        <v>Tipo 1 (≤0,25) uT</v>
      </c>
      <c r="BD291" s="137" t="str">
        <f>IF(OR(AO291="",AY291="-"),"",IF(AO291&lt;=0.25,"Tipo 1 (≤0,25) uT",IF(AO291&lt;=0.5,"Tipo 2 (0,25-0,50) uT",IF(AO291&lt;=0.75,"Tipo 3 (0,50-0,75) uT","Tipo 4 (&gt;0,75) uT"))))</f>
        <v>Tipo 2 (0,25-0,50) uT</v>
      </c>
      <c r="BE291" s="137" t="str">
        <f>IF(OR(AE291="",AP291="-"),"",IF(AE291&lt;=0.25,"Tipo 1 (≤0,25) uT",IF(AE291&lt;=0.5,"Tipo 2 (0,25-0,50) uT",IF(AE291&lt;=0.75,"Tipo 3 (0,50-0,75) uT","Tipo 4 (&gt;0,75) uT"))))</f>
        <v>Tipo 2 (0,25-0,50) uT</v>
      </c>
      <c r="BF291" s="137" t="str">
        <f>IF(OR(AP291="",AP291="-"),"",IF(AP291&lt;=0.25,"Tipo 1 (≤0,25) uT",IF(AP291&lt;=0.5,"Tipo 2 (0,25-0,50) uT",IF(AP291&lt;=0.75,"Tipo 3 (0,50-0,75) uT","Tipo 4 (&gt;0,75) uT"))))</f>
        <v>Tipo 2 (0,25-0,50) uT</v>
      </c>
      <c r="BG291" s="137" t="str">
        <f>IF(OR(Q291="",Q291="-"),"",IF(Q291&lt;=0.25,"Tipo 1 (≤0,25) uT",IF(Q291&lt;=0.5,"Tipo 2 (0,25-0,50) uT",IF(Q291&lt;=0.75,"Tipo 3 (0,50-0,75) uT","Tipo 4 (&gt;0,75) uT"))))</f>
        <v>Tipo 3 (0,50-0,75) uT</v>
      </c>
    </row>
    <row r="292" spans="1:59" x14ac:dyDescent="0.3">
      <c r="A292" s="26">
        <v>46157</v>
      </c>
      <c r="B292" s="107">
        <v>0.8125</v>
      </c>
      <c r="C292" s="116">
        <v>1130</v>
      </c>
      <c r="D292" s="116">
        <v>90</v>
      </c>
      <c r="E292" s="116">
        <v>500</v>
      </c>
      <c r="F292" s="116">
        <v>1879</v>
      </c>
      <c r="G292" s="10" t="s">
        <v>100</v>
      </c>
      <c r="H292" s="122">
        <v>8.5</v>
      </c>
      <c r="I292" s="116">
        <v>90</v>
      </c>
      <c r="J292" s="116">
        <v>90</v>
      </c>
      <c r="K292" s="116">
        <v>90</v>
      </c>
      <c r="L292" s="122">
        <v>25.1</v>
      </c>
      <c r="M292" s="122">
        <v>6.7</v>
      </c>
      <c r="N292" s="79">
        <v>3.04</v>
      </c>
      <c r="O292" s="116">
        <v>13</v>
      </c>
      <c r="P292" s="122">
        <v>7.1</v>
      </c>
      <c r="Q292" s="79">
        <v>0.16</v>
      </c>
      <c r="R292" s="79">
        <v>22.36</v>
      </c>
      <c r="S292" s="79">
        <v>0.88</v>
      </c>
      <c r="T292" s="79">
        <v>0.7</v>
      </c>
      <c r="U292" s="85">
        <f t="shared" ref="U292:U355" si="38">(N292+0.3*H292+0.25)*(F292/2/Y292)</f>
        <v>1371.67</v>
      </c>
      <c r="V292" s="79">
        <f t="shared" ref="V292:V355" si="39">R292*(T292*Z292*0.987-S292)*AA292</f>
        <v>1545.7743922399998</v>
      </c>
      <c r="W292" s="79">
        <f t="shared" ref="W292:W355" si="40">V292/U292</f>
        <v>1.1269287745886398</v>
      </c>
      <c r="X292" s="116">
        <v>3</v>
      </c>
      <c r="Y292" s="116">
        <v>4</v>
      </c>
      <c r="Z292" s="122">
        <v>6.54</v>
      </c>
      <c r="AA292" s="116">
        <v>19</v>
      </c>
      <c r="AB292" s="122">
        <v>5.4</v>
      </c>
      <c r="AC292" s="122">
        <v>5.0999999999999996</v>
      </c>
      <c r="AD292" s="10">
        <v>0.37</v>
      </c>
      <c r="AE292" s="79">
        <v>0.1</v>
      </c>
      <c r="AF292" s="85">
        <f t="shared" si="31"/>
        <v>1371.67</v>
      </c>
      <c r="AG292" s="85">
        <f t="shared" si="32"/>
        <v>1839.2221353999998</v>
      </c>
      <c r="AH292" s="85">
        <f t="shared" si="33"/>
        <v>1.3408634258968992</v>
      </c>
      <c r="AI292" s="116">
        <v>3</v>
      </c>
      <c r="AJ292" s="116">
        <v>4</v>
      </c>
      <c r="AK292" s="79">
        <v>6.45</v>
      </c>
      <c r="AL292" s="79">
        <v>23</v>
      </c>
      <c r="AM292" s="122">
        <v>6.5</v>
      </c>
      <c r="AN292" s="122">
        <v>4.8</v>
      </c>
      <c r="AO292" s="79">
        <v>0.31</v>
      </c>
      <c r="AP292" s="127">
        <v>0.13</v>
      </c>
      <c r="AQ292" s="132">
        <f t="shared" si="34"/>
        <v>1720</v>
      </c>
      <c r="AR292" s="134">
        <f t="shared" si="35"/>
        <v>0.65697674418604646</v>
      </c>
      <c r="AS292" s="134">
        <f t="shared" si="36"/>
        <v>5.232558139534884E-2</v>
      </c>
      <c r="AT292" s="134">
        <f t="shared" si="37"/>
        <v>0.29069767441860467</v>
      </c>
      <c r="AU292" s="43">
        <f>IF(AND(F292&lt;&gt;"",Y292&lt;&gt;""),AA292/(F292/2/Y292),"")</f>
        <v>8.0894092602448106E-2</v>
      </c>
      <c r="AV292" s="43">
        <f>IF(AND(F292&lt;&gt;"",AJ292&lt;&gt;""),AL292/(F292/2/AJ292),"")</f>
        <v>9.7924427887174023E-2</v>
      </c>
      <c r="AW292" s="41">
        <f>IF(AND(AP292&lt;&gt;"",1-(AP292/N292)&gt;0),1-(AP292/N292),"")</f>
        <v>0.95723684210526316</v>
      </c>
      <c r="AX292" s="41">
        <f>IF(AND(AE292&lt;&gt;"",1-(AE292/N292)&gt;0),1-(AE292/N292),"")</f>
        <v>0.96710526315789469</v>
      </c>
      <c r="AY292" s="136" t="str">
        <f>IF(P292="","",IF(P292&lt;2.5,"Alc. Bruta &lt; 2,5 mg/L",IF(P292&lt;5,"2,5 ≤ Alc. Bruta &lt; 5,0 mg/L",IF(P292&lt;7.5,"5,0 ≤ Alc. Bruta &lt; 7,5 mg/L",IF(P292&lt;10,"7,5 ≤ Alc. Bruta &lt; 10,0 mg/L",IF(P292&lt;15,"10,0 ≤ Alca. Bruta &lt; 15,0 mg/L","Alc. Bruta &gt; 15 mg/L"))))))</f>
        <v>5,0 ≤ Alc. Bruta &lt; 7,5 mg/L</v>
      </c>
      <c r="AZ292" s="136" t="str">
        <f>IF(O292="","",IF(O292&lt;5,"Cor &lt;5 uC",IF(O292&lt;10,"5 ≤ Cor &lt; 10 uC",IF(O292&lt;15,"10 ≤ Cor &lt;15 uC",IF(O292&lt;30,"15 ≤ Cor &lt; 30 uC",IF(O292&lt;50,"30 ≤ Cor &lt; 50 uC","Cor &gt; 50 uC"))))))</f>
        <v>10 ≤ Cor &lt;15 uC</v>
      </c>
      <c r="BA292" s="137" t="str">
        <f>IF(N292="","",IF(N292&lt;2.5,"Turbidez &lt; 2,5 uT",IF(N292&lt;5,"2,5 ≤ Turb &lt; 5,0 uT",IF(N292&lt;7.5,"5,0 ≤ Turb &lt; 7,5 uT",IF(N292&lt;10,"7,5 ≤ Turb &lt; 10,0 uT",IF(N292&lt;15,"10,0 ≤ Turb &lt; 15,0 uT","Turb &gt; 15 uT"))))))</f>
        <v>2,5 ≤ Turb &lt; 5,0 uT</v>
      </c>
      <c r="BB292" s="138" t="str">
        <f>IF(AND(C292&gt;D292,D292&gt;E292),"TOR &gt; SM &gt; BNN",IF(AND(C292&gt;E292,E292&gt;D292),"TOR &gt; BNN &gt; SM",IF(AND(D292&gt;C292,C292&gt;E292),"SM &gt; TOR &gt; BNN",IF(AND(D292&gt;E292,E292&gt;C292),"SM &gt; BNN &gt; TOR",IF(AND(C292=D292,D292=E292),"TOR = SM = BNN","Comb. diferentes")))))</f>
        <v>TOR &gt; BNN &gt; SM</v>
      </c>
      <c r="BC292" s="137" t="str">
        <f>IF(OR(AD292="",AP292="-"),"",IF(AD292&lt;=0.25,"Tipo 1 (≤0,25) uT",IF(AD292&lt;=0.5,"Tipo 2 (0,25-0,50) uT",IF(AD292&lt;=0.75,"Tipo 3 (0,50-0,75) uT","Tipo 4 (&gt;0,75) uT"))))</f>
        <v>Tipo 2 (0,25-0,50) uT</v>
      </c>
      <c r="BD292" s="137" t="str">
        <f>IF(OR(AO292="",AY292="-"),"",IF(AO292&lt;=0.25,"Tipo 1 (≤0,25) uT",IF(AO292&lt;=0.5,"Tipo 2 (0,25-0,50) uT",IF(AO292&lt;=0.75,"Tipo 3 (0,50-0,75) uT","Tipo 4 (&gt;0,75) uT"))))</f>
        <v>Tipo 2 (0,25-0,50) uT</v>
      </c>
      <c r="BE292" s="137" t="str">
        <f>IF(OR(AE292="",AP292="-"),"",IF(AE292&lt;=0.25,"Tipo 1 (≤0,25) uT",IF(AE292&lt;=0.5,"Tipo 2 (0,25-0,50) uT",IF(AE292&lt;=0.75,"Tipo 3 (0,50-0,75) uT","Tipo 4 (&gt;0,75) uT"))))</f>
        <v>Tipo 1 (≤0,25) uT</v>
      </c>
      <c r="BF292" s="137" t="str">
        <f>IF(OR(AP292="",AP292="-"),"",IF(AP292&lt;=0.25,"Tipo 1 (≤0,25) uT",IF(AP292&lt;=0.5,"Tipo 2 (0,25-0,50) uT",IF(AP292&lt;=0.75,"Tipo 3 (0,50-0,75) uT","Tipo 4 (&gt;0,75) uT"))))</f>
        <v>Tipo 1 (≤0,25) uT</v>
      </c>
      <c r="BG292" s="137" t="str">
        <f>IF(OR(Q292="",Q292="-"),"",IF(Q292&lt;=0.25,"Tipo 1 (≤0,25) uT",IF(Q292&lt;=0.5,"Tipo 2 (0,25-0,50) uT",IF(Q292&lt;=0.75,"Tipo 3 (0,50-0,75) uT","Tipo 4 (&gt;0,75) uT"))))</f>
        <v>Tipo 1 (≤0,25) uT</v>
      </c>
    </row>
    <row r="293" spans="1:59" x14ac:dyDescent="0.3">
      <c r="A293" s="26">
        <v>46157</v>
      </c>
      <c r="B293" s="107">
        <v>0.89583333333333337</v>
      </c>
      <c r="C293" s="116">
        <v>1170</v>
      </c>
      <c r="D293" s="116">
        <v>86</v>
      </c>
      <c r="E293" s="116">
        <v>500</v>
      </c>
      <c r="F293" s="116">
        <v>1882</v>
      </c>
      <c r="G293" s="10" t="s">
        <v>100</v>
      </c>
      <c r="H293" s="122">
        <v>8.5</v>
      </c>
      <c r="I293" s="116">
        <v>90</v>
      </c>
      <c r="J293" s="116">
        <v>90</v>
      </c>
      <c r="K293" s="116">
        <v>90</v>
      </c>
      <c r="L293" s="122">
        <v>25.5</v>
      </c>
      <c r="M293" s="122">
        <v>6.7</v>
      </c>
      <c r="N293" s="79">
        <v>2.93</v>
      </c>
      <c r="O293" s="116">
        <v>14</v>
      </c>
      <c r="P293" s="122">
        <v>5.5</v>
      </c>
      <c r="Q293" s="79">
        <v>0.06</v>
      </c>
      <c r="R293" s="79">
        <v>22.36</v>
      </c>
      <c r="S293" s="79">
        <v>0.88</v>
      </c>
      <c r="T293" s="79">
        <v>0.7</v>
      </c>
      <c r="U293" s="85">
        <f t="shared" si="38"/>
        <v>1797.3100000000002</v>
      </c>
      <c r="V293" s="79">
        <f t="shared" si="39"/>
        <v>1536.9687335599997</v>
      </c>
      <c r="W293" s="79">
        <f t="shared" si="40"/>
        <v>0.85514949205201085</v>
      </c>
      <c r="X293" s="116">
        <v>3</v>
      </c>
      <c r="Y293" s="116">
        <v>3</v>
      </c>
      <c r="Z293" s="122">
        <v>6.51</v>
      </c>
      <c r="AA293" s="116">
        <v>19</v>
      </c>
      <c r="AB293" s="122">
        <v>6.4</v>
      </c>
      <c r="AC293" s="122">
        <v>5.5</v>
      </c>
      <c r="AD293" s="10">
        <v>0.11</v>
      </c>
      <c r="AE293" s="79">
        <v>0.06</v>
      </c>
      <c r="AF293" s="85">
        <f t="shared" ref="AF293:AF356" si="41">(N293+0.3*H293+0.25)*(F293/2/AJ293)</f>
        <v>1347.9825000000001</v>
      </c>
      <c r="AG293" s="85">
        <f t="shared" ref="AG293:AG356" si="42">R293*(T293*AK293*0.987-S293)*AL293</f>
        <v>1846.3284564400001</v>
      </c>
      <c r="AH293" s="85">
        <f t="shared" ref="AH293:AH356" si="43">AG293/AF293</f>
        <v>1.3696976455109766</v>
      </c>
      <c r="AI293" s="116">
        <v>3</v>
      </c>
      <c r="AJ293" s="116">
        <v>4</v>
      </c>
      <c r="AK293" s="79">
        <v>6.47</v>
      </c>
      <c r="AL293" s="79">
        <v>23</v>
      </c>
      <c r="AM293" s="122">
        <v>6.5</v>
      </c>
      <c r="AN293" s="122">
        <v>5.0999999999999996</v>
      </c>
      <c r="AO293" s="79">
        <v>0.1</v>
      </c>
      <c r="AP293" s="127">
        <v>0.06</v>
      </c>
      <c r="AQ293" s="132">
        <f t="shared" si="34"/>
        <v>1756</v>
      </c>
      <c r="AR293" s="134">
        <f t="shared" si="35"/>
        <v>0.66628701594533024</v>
      </c>
      <c r="AS293" s="134">
        <f t="shared" si="36"/>
        <v>4.8974943052391799E-2</v>
      </c>
      <c r="AT293" s="134">
        <f t="shared" si="37"/>
        <v>0.2847380410022779</v>
      </c>
      <c r="AU293" s="43">
        <f>IF(AND(F293&lt;&gt;"",Y293&lt;&gt;""),AA293/(F293/2/Y293),"")</f>
        <v>6.0573857598299675E-2</v>
      </c>
      <c r="AV293" s="43">
        <f>IF(AND(F293&lt;&gt;"",AJ293&lt;&gt;""),AL293/(F293/2/AJ293),"")</f>
        <v>9.7768331562167909E-2</v>
      </c>
      <c r="AW293" s="41">
        <f>IF(AND(AP293&lt;&gt;"",1-(AP293/N293)&gt;0),1-(AP293/N293),"")</f>
        <v>0.97952218430034133</v>
      </c>
      <c r="AX293" s="41">
        <f>IF(AND(AE293&lt;&gt;"",1-(AE293/N293)&gt;0),1-(AE293/N293),"")</f>
        <v>0.97952218430034133</v>
      </c>
      <c r="AY293" s="136" t="str">
        <f>IF(P293="","",IF(P293&lt;2.5,"Alc. Bruta &lt; 2,5 mg/L",IF(P293&lt;5,"2,5 ≤ Alc. Bruta &lt; 5,0 mg/L",IF(P293&lt;7.5,"5,0 ≤ Alc. Bruta &lt; 7,5 mg/L",IF(P293&lt;10,"7,5 ≤ Alc. Bruta &lt; 10,0 mg/L",IF(P293&lt;15,"10,0 ≤ Alca. Bruta &lt; 15,0 mg/L","Alc. Bruta &gt; 15 mg/L"))))))</f>
        <v>5,0 ≤ Alc. Bruta &lt; 7,5 mg/L</v>
      </c>
      <c r="AZ293" s="136" t="str">
        <f>IF(O293="","",IF(O293&lt;5,"Cor &lt;5 uC",IF(O293&lt;10,"5 ≤ Cor &lt; 10 uC",IF(O293&lt;15,"10 ≤ Cor &lt;15 uC",IF(O293&lt;30,"15 ≤ Cor &lt; 30 uC",IF(O293&lt;50,"30 ≤ Cor &lt; 50 uC","Cor &gt; 50 uC"))))))</f>
        <v>10 ≤ Cor &lt;15 uC</v>
      </c>
      <c r="BA293" s="137" t="str">
        <f>IF(N293="","",IF(N293&lt;2.5,"Turbidez &lt; 2,5 uT",IF(N293&lt;5,"2,5 ≤ Turb &lt; 5,0 uT",IF(N293&lt;7.5,"5,0 ≤ Turb &lt; 7,5 uT",IF(N293&lt;10,"7,5 ≤ Turb &lt; 10,0 uT",IF(N293&lt;15,"10,0 ≤ Turb &lt; 15,0 uT","Turb &gt; 15 uT"))))))</f>
        <v>2,5 ≤ Turb &lt; 5,0 uT</v>
      </c>
      <c r="BB293" s="138" t="str">
        <f>IF(AND(C293&gt;D293,D293&gt;E293),"TOR &gt; SM &gt; BNN",IF(AND(C293&gt;E293,E293&gt;D293),"TOR &gt; BNN &gt; SM",IF(AND(D293&gt;C293,C293&gt;E293),"SM &gt; TOR &gt; BNN",IF(AND(D293&gt;E293,E293&gt;C293),"SM &gt; BNN &gt; TOR",IF(AND(C293=D293,D293=E293),"TOR = SM = BNN","Comb. diferentes")))))</f>
        <v>TOR &gt; BNN &gt; SM</v>
      </c>
      <c r="BC293" s="137" t="str">
        <f>IF(OR(AD293="",AP293="-"),"",IF(AD293&lt;=0.25,"Tipo 1 (≤0,25) uT",IF(AD293&lt;=0.5,"Tipo 2 (0,25-0,50) uT",IF(AD293&lt;=0.75,"Tipo 3 (0,50-0,75) uT","Tipo 4 (&gt;0,75) uT"))))</f>
        <v>Tipo 1 (≤0,25) uT</v>
      </c>
      <c r="BD293" s="137" t="str">
        <f>IF(OR(AO293="",AY293="-"),"",IF(AO293&lt;=0.25,"Tipo 1 (≤0,25) uT",IF(AO293&lt;=0.5,"Tipo 2 (0,25-0,50) uT",IF(AO293&lt;=0.75,"Tipo 3 (0,50-0,75) uT","Tipo 4 (&gt;0,75) uT"))))</f>
        <v>Tipo 1 (≤0,25) uT</v>
      </c>
      <c r="BE293" s="137" t="str">
        <f>IF(OR(AE293="",AP293="-"),"",IF(AE293&lt;=0.25,"Tipo 1 (≤0,25) uT",IF(AE293&lt;=0.5,"Tipo 2 (0,25-0,50) uT",IF(AE293&lt;=0.75,"Tipo 3 (0,50-0,75) uT","Tipo 4 (&gt;0,75) uT"))))</f>
        <v>Tipo 1 (≤0,25) uT</v>
      </c>
      <c r="BF293" s="137" t="str">
        <f>IF(OR(AP293="",AP293="-"),"",IF(AP293&lt;=0.25,"Tipo 1 (≤0,25) uT",IF(AP293&lt;=0.5,"Tipo 2 (0,25-0,50) uT",IF(AP293&lt;=0.75,"Tipo 3 (0,50-0,75) uT","Tipo 4 (&gt;0,75) uT"))))</f>
        <v>Tipo 1 (≤0,25) uT</v>
      </c>
      <c r="BG293" s="137" t="str">
        <f>IF(OR(Q293="",Q293="-"),"",IF(Q293&lt;=0.25,"Tipo 1 (≤0,25) uT",IF(Q293&lt;=0.5,"Tipo 2 (0,25-0,50) uT",IF(Q293&lt;=0.75,"Tipo 3 (0,50-0,75) uT","Tipo 4 (&gt;0,75) uT"))))</f>
        <v>Tipo 1 (≤0,25) uT</v>
      </c>
    </row>
    <row r="294" spans="1:59" x14ac:dyDescent="0.3">
      <c r="A294" s="26">
        <v>46157</v>
      </c>
      <c r="B294" s="107">
        <v>0.97916666666666663</v>
      </c>
      <c r="C294" s="116">
        <v>1084</v>
      </c>
      <c r="D294" s="116">
        <v>788</v>
      </c>
      <c r="E294" s="116">
        <v>500</v>
      </c>
      <c r="F294" s="116">
        <v>2529</v>
      </c>
      <c r="G294" s="10" t="s">
        <v>100</v>
      </c>
      <c r="H294" s="122">
        <v>8.5</v>
      </c>
      <c r="I294" s="116">
        <v>90</v>
      </c>
      <c r="J294" s="116">
        <v>90</v>
      </c>
      <c r="K294" s="116">
        <v>90</v>
      </c>
      <c r="L294" s="122">
        <v>25.1</v>
      </c>
      <c r="M294" s="122">
        <v>6.6</v>
      </c>
      <c r="N294" s="79">
        <v>3.2</v>
      </c>
      <c r="O294" s="116">
        <v>15</v>
      </c>
      <c r="P294" s="122">
        <v>6.4</v>
      </c>
      <c r="Q294" s="79">
        <v>0.11</v>
      </c>
      <c r="R294" s="79">
        <v>22.36</v>
      </c>
      <c r="S294" s="79">
        <v>0.88</v>
      </c>
      <c r="T294" s="79">
        <v>0.7</v>
      </c>
      <c r="U294" s="85">
        <f t="shared" si="38"/>
        <v>1896.75</v>
      </c>
      <c r="V294" s="79">
        <f t="shared" si="39"/>
        <v>1458.8563766399996</v>
      </c>
      <c r="W294" s="79">
        <f t="shared" si="40"/>
        <v>0.76913477086595472</v>
      </c>
      <c r="X294" s="116">
        <v>3</v>
      </c>
      <c r="Y294" s="116">
        <v>4</v>
      </c>
      <c r="Z294" s="122">
        <v>6.52</v>
      </c>
      <c r="AA294" s="116">
        <v>18</v>
      </c>
      <c r="AB294" s="122">
        <v>6.7</v>
      </c>
      <c r="AC294" s="122">
        <v>6.2</v>
      </c>
      <c r="AD294" s="10">
        <v>1.1299999999999999</v>
      </c>
      <c r="AE294" s="79">
        <v>0.54</v>
      </c>
      <c r="AF294" s="85">
        <f t="shared" si="41"/>
        <v>1896.75</v>
      </c>
      <c r="AG294" s="85">
        <f t="shared" si="42"/>
        <v>1860.5410985199997</v>
      </c>
      <c r="AH294" s="85">
        <f t="shared" si="43"/>
        <v>0.98091002953473028</v>
      </c>
      <c r="AI294" s="116">
        <v>2</v>
      </c>
      <c r="AJ294" s="116">
        <v>4</v>
      </c>
      <c r="AK294" s="79">
        <v>6.51</v>
      </c>
      <c r="AL294" s="79">
        <v>23</v>
      </c>
      <c r="AM294" s="122">
        <v>6.7</v>
      </c>
      <c r="AN294" s="122">
        <v>6.4</v>
      </c>
      <c r="AO294" s="79">
        <v>1.0900000000000001</v>
      </c>
      <c r="AP294" s="127">
        <v>0.39</v>
      </c>
      <c r="AQ294" s="132">
        <f t="shared" si="34"/>
        <v>2372</v>
      </c>
      <c r="AR294" s="134">
        <f t="shared" si="35"/>
        <v>0.45699831365935917</v>
      </c>
      <c r="AS294" s="134">
        <f t="shared" si="36"/>
        <v>0.33220910623946037</v>
      </c>
      <c r="AT294" s="134">
        <f t="shared" si="37"/>
        <v>0.21079258010118043</v>
      </c>
      <c r="AU294" s="43">
        <f>IF(AND(F294&lt;&gt;"",Y294&lt;&gt;""),AA294/(F294/2/Y294),"")</f>
        <v>5.6939501779359428E-2</v>
      </c>
      <c r="AV294" s="43">
        <f>IF(AND(F294&lt;&gt;"",AJ294&lt;&gt;""),AL294/(F294/2/AJ294),"")</f>
        <v>7.2756030051403714E-2</v>
      </c>
      <c r="AW294" s="41">
        <f>IF(AND(AP294&lt;&gt;"",1-(AP294/N294)&gt;0),1-(AP294/N294),"")</f>
        <v>0.87812500000000004</v>
      </c>
      <c r="AX294" s="41">
        <f>IF(AND(AE294&lt;&gt;"",1-(AE294/N294)&gt;0),1-(AE294/N294),"")</f>
        <v>0.83125000000000004</v>
      </c>
      <c r="AY294" s="136" t="str">
        <f>IF(P294="","",IF(P294&lt;2.5,"Alc. Bruta &lt; 2,5 mg/L",IF(P294&lt;5,"2,5 ≤ Alc. Bruta &lt; 5,0 mg/L",IF(P294&lt;7.5,"5,0 ≤ Alc. Bruta &lt; 7,5 mg/L",IF(P294&lt;10,"7,5 ≤ Alc. Bruta &lt; 10,0 mg/L",IF(P294&lt;15,"10,0 ≤ Alca. Bruta &lt; 15,0 mg/L","Alc. Bruta &gt; 15 mg/L"))))))</f>
        <v>5,0 ≤ Alc. Bruta &lt; 7,5 mg/L</v>
      </c>
      <c r="AZ294" s="136" t="str">
        <f>IF(O294="","",IF(O294&lt;5,"Cor &lt;5 uC",IF(O294&lt;10,"5 ≤ Cor &lt; 10 uC",IF(O294&lt;15,"10 ≤ Cor &lt;15 uC",IF(O294&lt;30,"15 ≤ Cor &lt; 30 uC",IF(O294&lt;50,"30 ≤ Cor &lt; 50 uC","Cor &gt; 50 uC"))))))</f>
        <v>15 ≤ Cor &lt; 30 uC</v>
      </c>
      <c r="BA294" s="137" t="str">
        <f>IF(N294="","",IF(N294&lt;2.5,"Turbidez &lt; 2,5 uT",IF(N294&lt;5,"2,5 ≤ Turb &lt; 5,0 uT",IF(N294&lt;7.5,"5,0 ≤ Turb &lt; 7,5 uT",IF(N294&lt;10,"7,5 ≤ Turb &lt; 10,0 uT",IF(N294&lt;15,"10,0 ≤ Turb &lt; 15,0 uT","Turb &gt; 15 uT"))))))</f>
        <v>2,5 ≤ Turb &lt; 5,0 uT</v>
      </c>
      <c r="BB294" s="138" t="str">
        <f>IF(AND(C294&gt;D294,D294&gt;E294),"TOR &gt; SM &gt; BNN",IF(AND(C294&gt;E294,E294&gt;D294),"TOR &gt; BNN &gt; SM",IF(AND(D294&gt;C294,C294&gt;E294),"SM &gt; TOR &gt; BNN",IF(AND(D294&gt;E294,E294&gt;C294),"SM &gt; BNN &gt; TOR",IF(AND(C294=D294,D294=E294),"TOR = SM = BNN","Comb. diferentes")))))</f>
        <v>TOR &gt; SM &gt; BNN</v>
      </c>
      <c r="BC294" s="137" t="str">
        <f>IF(OR(AD294="",AP294="-"),"",IF(AD294&lt;=0.25,"Tipo 1 (≤0,25) uT",IF(AD294&lt;=0.5,"Tipo 2 (0,25-0,50) uT",IF(AD294&lt;=0.75,"Tipo 3 (0,50-0,75) uT","Tipo 4 (&gt;0,75) uT"))))</f>
        <v>Tipo 4 (&gt;0,75) uT</v>
      </c>
      <c r="BD294" s="137" t="str">
        <f>IF(OR(AO294="",AY294="-"),"",IF(AO294&lt;=0.25,"Tipo 1 (≤0,25) uT",IF(AO294&lt;=0.5,"Tipo 2 (0,25-0,50) uT",IF(AO294&lt;=0.75,"Tipo 3 (0,50-0,75) uT","Tipo 4 (&gt;0,75) uT"))))</f>
        <v>Tipo 4 (&gt;0,75) uT</v>
      </c>
      <c r="BE294" s="137" t="str">
        <f>IF(OR(AE294="",AP294="-"),"",IF(AE294&lt;=0.25,"Tipo 1 (≤0,25) uT",IF(AE294&lt;=0.5,"Tipo 2 (0,25-0,50) uT",IF(AE294&lt;=0.75,"Tipo 3 (0,50-0,75) uT","Tipo 4 (&gt;0,75) uT"))))</f>
        <v>Tipo 3 (0,50-0,75) uT</v>
      </c>
      <c r="BF294" s="137" t="str">
        <f>IF(OR(AP294="",AP294="-"),"",IF(AP294&lt;=0.25,"Tipo 1 (≤0,25) uT",IF(AP294&lt;=0.5,"Tipo 2 (0,25-0,50) uT",IF(AP294&lt;=0.75,"Tipo 3 (0,50-0,75) uT","Tipo 4 (&gt;0,75) uT"))))</f>
        <v>Tipo 2 (0,25-0,50) uT</v>
      </c>
      <c r="BG294" s="137" t="str">
        <f>IF(OR(Q294="",Q294="-"),"",IF(Q294&lt;=0.25,"Tipo 1 (≤0,25) uT",IF(Q294&lt;=0.5,"Tipo 2 (0,25-0,50) uT",IF(Q294&lt;=0.75,"Tipo 3 (0,50-0,75) uT","Tipo 4 (&gt;0,75) uT"))))</f>
        <v>Tipo 1 (≤0,25) uT</v>
      </c>
    </row>
    <row r="295" spans="1:59" x14ac:dyDescent="0.3">
      <c r="A295" s="26">
        <v>46158</v>
      </c>
      <c r="B295" s="107">
        <v>6.25E-2</v>
      </c>
      <c r="C295" s="116">
        <v>1215</v>
      </c>
      <c r="D295" s="116">
        <v>705</v>
      </c>
      <c r="E295" s="116">
        <v>480</v>
      </c>
      <c r="F295" s="116">
        <v>2467</v>
      </c>
      <c r="G295" s="10" t="s">
        <v>100</v>
      </c>
      <c r="H295" s="122">
        <v>8.5</v>
      </c>
      <c r="I295" s="116">
        <v>90</v>
      </c>
      <c r="J295" s="116">
        <v>90</v>
      </c>
      <c r="K295" s="116">
        <v>90</v>
      </c>
      <c r="L295" s="122">
        <v>24.9</v>
      </c>
      <c r="M295" s="122">
        <v>6.6</v>
      </c>
      <c r="N295" s="79">
        <v>2.69</v>
      </c>
      <c r="O295" s="116">
        <v>12</v>
      </c>
      <c r="P295" s="122">
        <v>6.3</v>
      </c>
      <c r="Q295" s="79">
        <v>0.45</v>
      </c>
      <c r="R295" s="79">
        <v>22.36</v>
      </c>
      <c r="S295" s="79">
        <v>0.88</v>
      </c>
      <c r="T295" s="79">
        <v>0.7</v>
      </c>
      <c r="U295" s="85">
        <f t="shared" si="38"/>
        <v>1692.97875</v>
      </c>
      <c r="V295" s="79">
        <f t="shared" si="39"/>
        <v>1456.0756423199998</v>
      </c>
      <c r="W295" s="79">
        <f t="shared" si="40"/>
        <v>0.86006728809797517</v>
      </c>
      <c r="X295" s="116">
        <v>3</v>
      </c>
      <c r="Y295" s="116">
        <v>4</v>
      </c>
      <c r="Z295" s="122">
        <v>6.51</v>
      </c>
      <c r="AA295" s="116">
        <v>18</v>
      </c>
      <c r="AB295" s="122">
        <v>6.4</v>
      </c>
      <c r="AC295" s="122">
        <v>4.5999999999999996</v>
      </c>
      <c r="AD295" s="10">
        <v>0.36</v>
      </c>
      <c r="AE295" s="79">
        <v>0.26</v>
      </c>
      <c r="AF295" s="85">
        <f t="shared" si="41"/>
        <v>1692.97875</v>
      </c>
      <c r="AG295" s="85">
        <f t="shared" si="42"/>
        <v>2045.5000669999999</v>
      </c>
      <c r="AH295" s="85">
        <f t="shared" si="43"/>
        <v>1.2082254824521572</v>
      </c>
      <c r="AI295" s="116">
        <v>3</v>
      </c>
      <c r="AJ295" s="116">
        <v>4</v>
      </c>
      <c r="AK295" s="79">
        <v>6.57</v>
      </c>
      <c r="AL295" s="79">
        <v>25</v>
      </c>
      <c r="AM295" s="122">
        <v>6.4</v>
      </c>
      <c r="AN295" s="122">
        <v>4.7</v>
      </c>
      <c r="AO295" s="79">
        <v>0.46</v>
      </c>
      <c r="AP295" s="127">
        <v>0.27</v>
      </c>
      <c r="AQ295" s="132">
        <f t="shared" si="34"/>
        <v>2400</v>
      </c>
      <c r="AR295" s="134">
        <f t="shared" si="35"/>
        <v>0.50624999999999998</v>
      </c>
      <c r="AS295" s="134">
        <f t="shared" si="36"/>
        <v>0.29375000000000001</v>
      </c>
      <c r="AT295" s="134">
        <f t="shared" si="37"/>
        <v>0.2</v>
      </c>
      <c r="AU295" s="43">
        <f>IF(AND(F295&lt;&gt;"",Y295&lt;&gt;""),AA295/(F295/2/Y295),"")</f>
        <v>5.8370490474260232E-2</v>
      </c>
      <c r="AV295" s="43">
        <f>IF(AND(F295&lt;&gt;"",AJ295&lt;&gt;""),AL295/(F295/2/AJ295),"")</f>
        <v>8.1070125658694772E-2</v>
      </c>
      <c r="AW295" s="41">
        <f>IF(AND(AP295&lt;&gt;"",1-(AP295/N295)&gt;0),1-(AP295/N295),"")</f>
        <v>0.8996282527881041</v>
      </c>
      <c r="AX295" s="41">
        <f>IF(AND(AE295&lt;&gt;"",1-(AE295/N295)&gt;0),1-(AE295/N295),"")</f>
        <v>0.90334572490706322</v>
      </c>
      <c r="AY295" s="136" t="str">
        <f>IF(P295="","",IF(P295&lt;2.5,"Alc. Bruta &lt; 2,5 mg/L",IF(P295&lt;5,"2,5 ≤ Alc. Bruta &lt; 5,0 mg/L",IF(P295&lt;7.5,"5,0 ≤ Alc. Bruta &lt; 7,5 mg/L",IF(P295&lt;10,"7,5 ≤ Alc. Bruta &lt; 10,0 mg/L",IF(P295&lt;15,"10,0 ≤ Alca. Bruta &lt; 15,0 mg/L","Alc. Bruta &gt; 15 mg/L"))))))</f>
        <v>5,0 ≤ Alc. Bruta &lt; 7,5 mg/L</v>
      </c>
      <c r="AZ295" s="136" t="str">
        <f>IF(O295="","",IF(O295&lt;5,"Cor &lt;5 uC",IF(O295&lt;10,"5 ≤ Cor &lt; 10 uC",IF(O295&lt;15,"10 ≤ Cor &lt;15 uC",IF(O295&lt;30,"15 ≤ Cor &lt; 30 uC",IF(O295&lt;50,"30 ≤ Cor &lt; 50 uC","Cor &gt; 50 uC"))))))</f>
        <v>10 ≤ Cor &lt;15 uC</v>
      </c>
      <c r="BA295" s="137" t="str">
        <f>IF(N295="","",IF(N295&lt;2.5,"Turbidez &lt; 2,5 uT",IF(N295&lt;5,"2,5 ≤ Turb &lt; 5,0 uT",IF(N295&lt;7.5,"5,0 ≤ Turb &lt; 7,5 uT",IF(N295&lt;10,"7,5 ≤ Turb &lt; 10,0 uT",IF(N295&lt;15,"10,0 ≤ Turb &lt; 15,0 uT","Turb &gt; 15 uT"))))))</f>
        <v>2,5 ≤ Turb &lt; 5,0 uT</v>
      </c>
      <c r="BB295" s="138" t="str">
        <f>IF(AND(C295&gt;D295,D295&gt;E295),"TOR &gt; SM &gt; BNN",IF(AND(C295&gt;E295,E295&gt;D295),"TOR &gt; BNN &gt; SM",IF(AND(D295&gt;C295,C295&gt;E295),"SM &gt; TOR &gt; BNN",IF(AND(D295&gt;E295,E295&gt;C295),"SM &gt; BNN &gt; TOR",IF(AND(C295=D295,D295=E295),"TOR = SM = BNN","Comb. diferentes")))))</f>
        <v>TOR &gt; SM &gt; BNN</v>
      </c>
      <c r="BC295" s="137" t="str">
        <f>IF(OR(AD295="",AP295="-"),"",IF(AD295&lt;=0.25,"Tipo 1 (≤0,25) uT",IF(AD295&lt;=0.5,"Tipo 2 (0,25-0,50) uT",IF(AD295&lt;=0.75,"Tipo 3 (0,50-0,75) uT","Tipo 4 (&gt;0,75) uT"))))</f>
        <v>Tipo 2 (0,25-0,50) uT</v>
      </c>
      <c r="BD295" s="137" t="str">
        <f>IF(OR(AO295="",AY295="-"),"",IF(AO295&lt;=0.25,"Tipo 1 (≤0,25) uT",IF(AO295&lt;=0.5,"Tipo 2 (0,25-0,50) uT",IF(AO295&lt;=0.75,"Tipo 3 (0,50-0,75) uT","Tipo 4 (&gt;0,75) uT"))))</f>
        <v>Tipo 2 (0,25-0,50) uT</v>
      </c>
      <c r="BE295" s="137" t="str">
        <f>IF(OR(AE295="",AP295="-"),"",IF(AE295&lt;=0.25,"Tipo 1 (≤0,25) uT",IF(AE295&lt;=0.5,"Tipo 2 (0,25-0,50) uT",IF(AE295&lt;=0.75,"Tipo 3 (0,50-0,75) uT","Tipo 4 (&gt;0,75) uT"))))</f>
        <v>Tipo 2 (0,25-0,50) uT</v>
      </c>
      <c r="BF295" s="137" t="str">
        <f>IF(OR(AP295="",AP295="-"),"",IF(AP295&lt;=0.25,"Tipo 1 (≤0,25) uT",IF(AP295&lt;=0.5,"Tipo 2 (0,25-0,50) uT",IF(AP295&lt;=0.75,"Tipo 3 (0,50-0,75) uT","Tipo 4 (&gt;0,75) uT"))))</f>
        <v>Tipo 2 (0,25-0,50) uT</v>
      </c>
      <c r="BG295" s="137" t="str">
        <f>IF(OR(Q295="",Q295="-"),"",IF(Q295&lt;=0.25,"Tipo 1 (≤0,25) uT",IF(Q295&lt;=0.5,"Tipo 2 (0,25-0,50) uT",IF(Q295&lt;=0.75,"Tipo 3 (0,50-0,75) uT","Tipo 4 (&gt;0,75) uT"))))</f>
        <v>Tipo 2 (0,25-0,50) uT</v>
      </c>
    </row>
    <row r="296" spans="1:59" x14ac:dyDescent="0.3">
      <c r="A296" s="26">
        <v>46158</v>
      </c>
      <c r="B296" s="107">
        <v>0.14583333333333334</v>
      </c>
      <c r="C296" s="116">
        <v>1170</v>
      </c>
      <c r="D296" s="116">
        <v>700</v>
      </c>
      <c r="E296" s="116">
        <v>280</v>
      </c>
      <c r="F296" s="116">
        <v>2289</v>
      </c>
      <c r="G296" s="10" t="s">
        <v>100</v>
      </c>
      <c r="H296" s="122">
        <v>8.5</v>
      </c>
      <c r="I296" s="116">
        <v>90</v>
      </c>
      <c r="J296" s="116">
        <v>90</v>
      </c>
      <c r="K296" s="116">
        <v>90</v>
      </c>
      <c r="L296" s="122">
        <v>24.9</v>
      </c>
      <c r="M296" s="122">
        <v>6.6</v>
      </c>
      <c r="N296" s="79">
        <v>2.66</v>
      </c>
      <c r="O296" s="116">
        <v>13</v>
      </c>
      <c r="P296" s="122">
        <v>4.5999999999999996</v>
      </c>
      <c r="Q296" s="79">
        <v>7.0000000000000007E-2</v>
      </c>
      <c r="R296" s="79">
        <v>22.36</v>
      </c>
      <c r="S296" s="79">
        <v>0.88</v>
      </c>
      <c r="T296" s="79">
        <v>0.7</v>
      </c>
      <c r="U296" s="85">
        <f t="shared" si="38"/>
        <v>1562.2425000000001</v>
      </c>
      <c r="V296" s="79">
        <f t="shared" si="39"/>
        <v>1456.0756423199998</v>
      </c>
      <c r="W296" s="79">
        <f t="shared" si="40"/>
        <v>0.9320420116083129</v>
      </c>
      <c r="X296" s="116">
        <v>3</v>
      </c>
      <c r="Y296" s="116">
        <v>4</v>
      </c>
      <c r="Z296" s="122">
        <v>6.51</v>
      </c>
      <c r="AA296" s="116">
        <v>18</v>
      </c>
      <c r="AB296" s="122">
        <v>6.3</v>
      </c>
      <c r="AC296" s="122">
        <v>4.0999999999999996</v>
      </c>
      <c r="AD296" s="10">
        <v>0.22</v>
      </c>
      <c r="AE296" s="79">
        <v>0.11</v>
      </c>
      <c r="AF296" s="85">
        <f t="shared" si="41"/>
        <v>1562.2425000000001</v>
      </c>
      <c r="AG296" s="85">
        <f t="shared" si="42"/>
        <v>1828.5626538399999</v>
      </c>
      <c r="AH296" s="85">
        <f t="shared" si="43"/>
        <v>1.1704729924067485</v>
      </c>
      <c r="AI296" s="116">
        <v>3</v>
      </c>
      <c r="AJ296" s="116">
        <v>4</v>
      </c>
      <c r="AK296" s="79">
        <v>6.42</v>
      </c>
      <c r="AL296" s="79">
        <v>23</v>
      </c>
      <c r="AM296" s="122">
        <v>6.2</v>
      </c>
      <c r="AN296" s="122">
        <v>4.5999999999999996</v>
      </c>
      <c r="AO296" s="79">
        <v>0.22</v>
      </c>
      <c r="AP296" s="127">
        <v>0.11</v>
      </c>
      <c r="AQ296" s="132">
        <f t="shared" si="34"/>
        <v>2150</v>
      </c>
      <c r="AR296" s="134">
        <f t="shared" si="35"/>
        <v>0.54418604651162794</v>
      </c>
      <c r="AS296" s="134">
        <f t="shared" si="36"/>
        <v>0.32558139534883723</v>
      </c>
      <c r="AT296" s="134">
        <f t="shared" si="37"/>
        <v>0.13023255813953488</v>
      </c>
      <c r="AU296" s="43">
        <f>IF(AND(F296&lt;&gt;"",Y296&lt;&gt;""),AA296/(F296/2/Y296),"")</f>
        <v>6.2909567496723454E-2</v>
      </c>
      <c r="AV296" s="43">
        <f>IF(AND(F296&lt;&gt;"",AJ296&lt;&gt;""),AL296/(F296/2/AJ296),"")</f>
        <v>8.0384447356924418E-2</v>
      </c>
      <c r="AW296" s="41">
        <f>IF(AND(AP296&lt;&gt;"",1-(AP296/N296)&gt;0),1-(AP296/N296),"")</f>
        <v>0.95864661654135341</v>
      </c>
      <c r="AX296" s="41">
        <f>IF(AND(AE296&lt;&gt;"",1-(AE296/N296)&gt;0),1-(AE296/N296),"")</f>
        <v>0.95864661654135341</v>
      </c>
      <c r="AY296" s="136" t="str">
        <f>IF(P296="","",IF(P296&lt;2.5,"Alc. Bruta &lt; 2,5 mg/L",IF(P296&lt;5,"2,5 ≤ Alc. Bruta &lt; 5,0 mg/L",IF(P296&lt;7.5,"5,0 ≤ Alc. Bruta &lt; 7,5 mg/L",IF(P296&lt;10,"7,5 ≤ Alc. Bruta &lt; 10,0 mg/L",IF(P296&lt;15,"10,0 ≤ Alca. Bruta &lt; 15,0 mg/L","Alc. Bruta &gt; 15 mg/L"))))))</f>
        <v>2,5 ≤ Alc. Bruta &lt; 5,0 mg/L</v>
      </c>
      <c r="AZ296" s="136" t="str">
        <f>IF(O296="","",IF(O296&lt;5,"Cor &lt;5 uC",IF(O296&lt;10,"5 ≤ Cor &lt; 10 uC",IF(O296&lt;15,"10 ≤ Cor &lt;15 uC",IF(O296&lt;30,"15 ≤ Cor &lt; 30 uC",IF(O296&lt;50,"30 ≤ Cor &lt; 50 uC","Cor &gt; 50 uC"))))))</f>
        <v>10 ≤ Cor &lt;15 uC</v>
      </c>
      <c r="BA296" s="137" t="str">
        <f>IF(N296="","",IF(N296&lt;2.5,"Turbidez &lt; 2,5 uT",IF(N296&lt;5,"2,5 ≤ Turb &lt; 5,0 uT",IF(N296&lt;7.5,"5,0 ≤ Turb &lt; 7,5 uT",IF(N296&lt;10,"7,5 ≤ Turb &lt; 10,0 uT",IF(N296&lt;15,"10,0 ≤ Turb &lt; 15,0 uT","Turb &gt; 15 uT"))))))</f>
        <v>2,5 ≤ Turb &lt; 5,0 uT</v>
      </c>
      <c r="BB296" s="138" t="str">
        <f>IF(AND(C296&gt;D296,D296&gt;E296),"TOR &gt; SM &gt; BNN",IF(AND(C296&gt;E296,E296&gt;D296),"TOR &gt; BNN &gt; SM",IF(AND(D296&gt;C296,C296&gt;E296),"SM &gt; TOR &gt; BNN",IF(AND(D296&gt;E296,E296&gt;C296),"SM &gt; BNN &gt; TOR",IF(AND(C296=D296,D296=E296),"TOR = SM = BNN","Comb. diferentes")))))</f>
        <v>TOR &gt; SM &gt; BNN</v>
      </c>
      <c r="BC296" s="137" t="str">
        <f>IF(OR(AD296="",AP296="-"),"",IF(AD296&lt;=0.25,"Tipo 1 (≤0,25) uT",IF(AD296&lt;=0.5,"Tipo 2 (0,25-0,50) uT",IF(AD296&lt;=0.75,"Tipo 3 (0,50-0,75) uT","Tipo 4 (&gt;0,75) uT"))))</f>
        <v>Tipo 1 (≤0,25) uT</v>
      </c>
      <c r="BD296" s="137" t="str">
        <f>IF(OR(AO296="",AY296="-"),"",IF(AO296&lt;=0.25,"Tipo 1 (≤0,25) uT",IF(AO296&lt;=0.5,"Tipo 2 (0,25-0,50) uT",IF(AO296&lt;=0.75,"Tipo 3 (0,50-0,75) uT","Tipo 4 (&gt;0,75) uT"))))</f>
        <v>Tipo 1 (≤0,25) uT</v>
      </c>
      <c r="BE296" s="137" t="str">
        <f>IF(OR(AE296="",AP296="-"),"",IF(AE296&lt;=0.25,"Tipo 1 (≤0,25) uT",IF(AE296&lt;=0.5,"Tipo 2 (0,25-0,50) uT",IF(AE296&lt;=0.75,"Tipo 3 (0,50-0,75) uT","Tipo 4 (&gt;0,75) uT"))))</f>
        <v>Tipo 1 (≤0,25) uT</v>
      </c>
      <c r="BF296" s="137" t="str">
        <f>IF(OR(AP296="",AP296="-"),"",IF(AP296&lt;=0.25,"Tipo 1 (≤0,25) uT",IF(AP296&lt;=0.5,"Tipo 2 (0,25-0,50) uT",IF(AP296&lt;=0.75,"Tipo 3 (0,50-0,75) uT","Tipo 4 (&gt;0,75) uT"))))</f>
        <v>Tipo 1 (≤0,25) uT</v>
      </c>
      <c r="BG296" s="137" t="str">
        <f>IF(OR(Q296="",Q296="-"),"",IF(Q296&lt;=0.25,"Tipo 1 (≤0,25) uT",IF(Q296&lt;=0.5,"Tipo 2 (0,25-0,50) uT",IF(Q296&lt;=0.75,"Tipo 3 (0,50-0,75) uT","Tipo 4 (&gt;0,75) uT"))))</f>
        <v>Tipo 1 (≤0,25) uT</v>
      </c>
    </row>
    <row r="297" spans="1:59" ht="15" thickBot="1" x14ac:dyDescent="0.35">
      <c r="A297" s="26">
        <v>46158</v>
      </c>
      <c r="B297" s="110">
        <v>0.22916666666666666</v>
      </c>
      <c r="C297" s="117">
        <v>1160</v>
      </c>
      <c r="D297" s="117">
        <v>84</v>
      </c>
      <c r="E297" s="117">
        <v>590</v>
      </c>
      <c r="F297" s="117">
        <v>1920</v>
      </c>
      <c r="G297" s="11" t="s">
        <v>100</v>
      </c>
      <c r="H297" s="123">
        <v>8.5</v>
      </c>
      <c r="I297" s="117">
        <v>90</v>
      </c>
      <c r="J297" s="117">
        <v>90</v>
      </c>
      <c r="K297" s="117">
        <v>90</v>
      </c>
      <c r="L297" s="123">
        <v>24.9</v>
      </c>
      <c r="M297" s="123">
        <v>6.5</v>
      </c>
      <c r="N297" s="80">
        <v>2.56</v>
      </c>
      <c r="O297" s="117">
        <v>16</v>
      </c>
      <c r="P297" s="123">
        <v>4</v>
      </c>
      <c r="Q297" s="80">
        <v>0.06</v>
      </c>
      <c r="R297" s="79">
        <v>22.36</v>
      </c>
      <c r="S297" s="79">
        <v>0.88</v>
      </c>
      <c r="T297" s="79">
        <v>0.7</v>
      </c>
      <c r="U297" s="85">
        <f t="shared" si="38"/>
        <v>1286.3999999999999</v>
      </c>
      <c r="V297" s="79">
        <f t="shared" si="39"/>
        <v>1456.0756423199998</v>
      </c>
      <c r="W297" s="79">
        <f t="shared" si="40"/>
        <v>1.1318995975746269</v>
      </c>
      <c r="X297" s="117">
        <v>3</v>
      </c>
      <c r="Y297" s="117">
        <v>4</v>
      </c>
      <c r="Z297" s="123">
        <v>6.51</v>
      </c>
      <c r="AA297" s="117">
        <v>18</v>
      </c>
      <c r="AB297" s="123">
        <v>5.9</v>
      </c>
      <c r="AC297" s="123">
        <v>3.1</v>
      </c>
      <c r="AD297" s="11">
        <v>0.19</v>
      </c>
      <c r="AE297" s="80">
        <v>0.1</v>
      </c>
      <c r="AF297" s="85">
        <f t="shared" si="41"/>
        <v>1286.3999999999999</v>
      </c>
      <c r="AG297" s="85">
        <f t="shared" si="42"/>
        <v>1825.0094933200003</v>
      </c>
      <c r="AH297" s="85">
        <f t="shared" si="43"/>
        <v>1.4186951907027368</v>
      </c>
      <c r="AI297" s="117">
        <v>3</v>
      </c>
      <c r="AJ297" s="117">
        <v>4</v>
      </c>
      <c r="AK297" s="80">
        <v>6.41</v>
      </c>
      <c r="AL297" s="80">
        <v>23</v>
      </c>
      <c r="AM297" s="123">
        <v>5.9</v>
      </c>
      <c r="AN297" s="123">
        <v>2.9</v>
      </c>
      <c r="AO297" s="80">
        <v>0.11</v>
      </c>
      <c r="AP297" s="128">
        <v>0.11</v>
      </c>
      <c r="AQ297" s="132">
        <f t="shared" si="34"/>
        <v>1834</v>
      </c>
      <c r="AR297" s="134">
        <f t="shared" si="35"/>
        <v>0.63249727371864772</v>
      </c>
      <c r="AS297" s="134">
        <f t="shared" si="36"/>
        <v>4.5801526717557252E-2</v>
      </c>
      <c r="AT297" s="134">
        <f t="shared" si="37"/>
        <v>0.321701199563795</v>
      </c>
      <c r="AU297" s="43">
        <f>IF(AND(F297&lt;&gt;"",Y297&lt;&gt;""),AA297/(F297/2/Y297),"")</f>
        <v>7.4999999999999997E-2</v>
      </c>
      <c r="AV297" s="43">
        <f>IF(AND(F297&lt;&gt;"",AJ297&lt;&gt;""),AL297/(F297/2/AJ297),"")</f>
        <v>9.583333333333334E-2</v>
      </c>
      <c r="AW297" s="41">
        <f>IF(AND(AP297&lt;&gt;"",1-(AP297/N297)&gt;0),1-(AP297/N297),"")</f>
        <v>0.95703125</v>
      </c>
      <c r="AX297" s="41">
        <f>IF(AND(AE297&lt;&gt;"",1-(AE297/N297)&gt;0),1-(AE297/N297),"")</f>
        <v>0.9609375</v>
      </c>
      <c r="AY297" s="136" t="str">
        <f>IF(P297="","",IF(P297&lt;2.5,"Alc. Bruta &lt; 2,5 mg/L",IF(P297&lt;5,"2,5 ≤ Alc. Bruta &lt; 5,0 mg/L",IF(P297&lt;7.5,"5,0 ≤ Alc. Bruta &lt; 7,5 mg/L",IF(P297&lt;10,"7,5 ≤ Alc. Bruta &lt; 10,0 mg/L",IF(P297&lt;15,"10,0 ≤ Alca. Bruta &lt; 15,0 mg/L","Alc. Bruta &gt; 15 mg/L"))))))</f>
        <v>2,5 ≤ Alc. Bruta &lt; 5,0 mg/L</v>
      </c>
      <c r="AZ297" s="136" t="str">
        <f>IF(O297="","",IF(O297&lt;5,"Cor &lt;5 uC",IF(O297&lt;10,"5 ≤ Cor &lt; 10 uC",IF(O297&lt;15,"10 ≤ Cor &lt;15 uC",IF(O297&lt;30,"15 ≤ Cor &lt; 30 uC",IF(O297&lt;50,"30 ≤ Cor &lt; 50 uC","Cor &gt; 50 uC"))))))</f>
        <v>15 ≤ Cor &lt; 30 uC</v>
      </c>
      <c r="BA297" s="137" t="str">
        <f>IF(N297="","",IF(N297&lt;2.5,"Turbidez &lt; 2,5 uT",IF(N297&lt;5,"2,5 ≤ Turb &lt; 5,0 uT",IF(N297&lt;7.5,"5,0 ≤ Turb &lt; 7,5 uT",IF(N297&lt;10,"7,5 ≤ Turb &lt; 10,0 uT",IF(N297&lt;15,"10,0 ≤ Turb &lt; 15,0 uT","Turb &gt; 15 uT"))))))</f>
        <v>2,5 ≤ Turb &lt; 5,0 uT</v>
      </c>
      <c r="BB297" s="138" t="str">
        <f>IF(AND(C297&gt;D297,D297&gt;E297),"TOR &gt; SM &gt; BNN",IF(AND(C297&gt;E297,E297&gt;D297),"TOR &gt; BNN &gt; SM",IF(AND(D297&gt;C297,C297&gt;E297),"SM &gt; TOR &gt; BNN",IF(AND(D297&gt;E297,E297&gt;C297),"SM &gt; BNN &gt; TOR",IF(AND(C297=D297,D297=E297),"TOR = SM = BNN","Comb. diferentes")))))</f>
        <v>TOR &gt; BNN &gt; SM</v>
      </c>
      <c r="BC297" s="137" t="str">
        <f>IF(OR(AD297="",AP297="-"),"",IF(AD297&lt;=0.25,"Tipo 1 (≤0,25) uT",IF(AD297&lt;=0.5,"Tipo 2 (0,25-0,50) uT",IF(AD297&lt;=0.75,"Tipo 3 (0,50-0,75) uT","Tipo 4 (&gt;0,75) uT"))))</f>
        <v>Tipo 1 (≤0,25) uT</v>
      </c>
      <c r="BD297" s="137" t="str">
        <f>IF(OR(AO297="",AY297="-"),"",IF(AO297&lt;=0.25,"Tipo 1 (≤0,25) uT",IF(AO297&lt;=0.5,"Tipo 2 (0,25-0,50) uT",IF(AO297&lt;=0.75,"Tipo 3 (0,50-0,75) uT","Tipo 4 (&gt;0,75) uT"))))</f>
        <v>Tipo 1 (≤0,25) uT</v>
      </c>
      <c r="BE297" s="137" t="str">
        <f>IF(OR(AE297="",AP297="-"),"",IF(AE297&lt;=0.25,"Tipo 1 (≤0,25) uT",IF(AE297&lt;=0.5,"Tipo 2 (0,25-0,50) uT",IF(AE297&lt;=0.75,"Tipo 3 (0,50-0,75) uT","Tipo 4 (&gt;0,75) uT"))))</f>
        <v>Tipo 1 (≤0,25) uT</v>
      </c>
      <c r="BF297" s="137" t="str">
        <f>IF(OR(AP297="",AP297="-"),"",IF(AP297&lt;=0.25,"Tipo 1 (≤0,25) uT",IF(AP297&lt;=0.5,"Tipo 2 (0,25-0,50) uT",IF(AP297&lt;=0.75,"Tipo 3 (0,50-0,75) uT","Tipo 4 (&gt;0,75) uT"))))</f>
        <v>Tipo 1 (≤0,25) uT</v>
      </c>
      <c r="BG297" s="137" t="str">
        <f>IF(OR(Q297="",Q297="-"),"",IF(Q297&lt;=0.25,"Tipo 1 (≤0,25) uT",IF(Q297&lt;=0.5,"Tipo 2 (0,25-0,50) uT",IF(Q297&lt;=0.75,"Tipo 3 (0,50-0,75) uT","Tipo 4 (&gt;0,75) uT"))))</f>
        <v>Tipo 1 (≤0,25) uT</v>
      </c>
    </row>
    <row r="298" spans="1:59" x14ac:dyDescent="0.3">
      <c r="A298" s="26">
        <v>46158</v>
      </c>
      <c r="B298" s="111">
        <v>0.3125</v>
      </c>
      <c r="C298" s="118">
        <v>1128</v>
      </c>
      <c r="D298" s="116">
        <v>93</v>
      </c>
      <c r="E298" s="118">
        <v>590</v>
      </c>
      <c r="F298" s="118">
        <v>1913</v>
      </c>
      <c r="G298" s="9" t="s">
        <v>100</v>
      </c>
      <c r="H298" s="124">
        <v>8.5</v>
      </c>
      <c r="I298" s="118">
        <v>90</v>
      </c>
      <c r="J298" s="118">
        <v>90</v>
      </c>
      <c r="K298" s="118">
        <v>90</v>
      </c>
      <c r="L298" s="124">
        <v>24.5</v>
      </c>
      <c r="M298" s="124">
        <v>6.6</v>
      </c>
      <c r="N298" s="81">
        <v>2.36</v>
      </c>
      <c r="O298" s="118">
        <v>13</v>
      </c>
      <c r="P298" s="124">
        <v>4.8</v>
      </c>
      <c r="Q298" s="81">
        <v>0.08</v>
      </c>
      <c r="R298" s="79">
        <v>22.36</v>
      </c>
      <c r="S298" s="79">
        <v>0.88</v>
      </c>
      <c r="T298" s="79">
        <v>0.7</v>
      </c>
      <c r="U298" s="85">
        <f t="shared" si="38"/>
        <v>1233.885</v>
      </c>
      <c r="V298" s="79">
        <f t="shared" si="39"/>
        <v>1453.2949080000001</v>
      </c>
      <c r="W298" s="79">
        <f t="shared" si="40"/>
        <v>1.1778203868269734</v>
      </c>
      <c r="X298" s="118">
        <v>3</v>
      </c>
      <c r="Y298" s="118">
        <v>4</v>
      </c>
      <c r="Z298" s="124">
        <v>6.5</v>
      </c>
      <c r="AA298" s="118">
        <v>18</v>
      </c>
      <c r="AB298" s="124">
        <v>6.9</v>
      </c>
      <c r="AC298" s="124">
        <v>5.0999999999999996</v>
      </c>
      <c r="AD298" s="9">
        <v>0.09</v>
      </c>
      <c r="AE298" s="81">
        <v>0.17</v>
      </c>
      <c r="AF298" s="85">
        <f t="shared" si="41"/>
        <v>1645.1799999999998</v>
      </c>
      <c r="AG298" s="85">
        <f t="shared" si="42"/>
        <v>1832.1158143599996</v>
      </c>
      <c r="AH298" s="85">
        <f t="shared" si="43"/>
        <v>1.1136263596445373</v>
      </c>
      <c r="AI298" s="118">
        <v>3</v>
      </c>
      <c r="AJ298" s="118">
        <v>3</v>
      </c>
      <c r="AK298" s="81">
        <v>6.43</v>
      </c>
      <c r="AL298" s="81">
        <v>23</v>
      </c>
      <c r="AM298" s="124">
        <v>6.4</v>
      </c>
      <c r="AN298" s="124">
        <v>5.8</v>
      </c>
      <c r="AO298" s="81">
        <v>0.11</v>
      </c>
      <c r="AP298" s="129">
        <v>0.14000000000000001</v>
      </c>
      <c r="AQ298" s="132">
        <f t="shared" si="34"/>
        <v>1811</v>
      </c>
      <c r="AR298" s="134">
        <f t="shared" si="35"/>
        <v>0.62286029817780231</v>
      </c>
      <c r="AS298" s="134">
        <f t="shared" si="36"/>
        <v>5.135284373274434E-2</v>
      </c>
      <c r="AT298" s="134">
        <f t="shared" si="37"/>
        <v>0.32578685808945335</v>
      </c>
      <c r="AU298" s="43">
        <f>IF(AND(F298&lt;&gt;"",Y298&lt;&gt;""),AA298/(F298/2/Y298),"")</f>
        <v>7.5274438055410356E-2</v>
      </c>
      <c r="AV298" s="43">
        <f>IF(AND(F298&lt;&gt;"",AJ298&lt;&gt;""),AL298/(F298/2/AJ298),"")</f>
        <v>7.2138003136434925E-2</v>
      </c>
      <c r="AW298" s="41">
        <f>IF(AND(AP298&lt;&gt;"",1-(AP298/N298)&gt;0),1-(AP298/N298),"")</f>
        <v>0.94067796610169485</v>
      </c>
      <c r="AX298" s="41">
        <f>IF(AND(AE298&lt;&gt;"",1-(AE298/N298)&gt;0),1-(AE298/N298),"")</f>
        <v>0.92796610169491522</v>
      </c>
      <c r="AY298" s="136" t="str">
        <f>IF(P298="","",IF(P298&lt;2.5,"Alc. Bruta &lt; 2,5 mg/L",IF(P298&lt;5,"2,5 ≤ Alc. Bruta &lt; 5,0 mg/L",IF(P298&lt;7.5,"5,0 ≤ Alc. Bruta &lt; 7,5 mg/L",IF(P298&lt;10,"7,5 ≤ Alc. Bruta &lt; 10,0 mg/L",IF(P298&lt;15,"10,0 ≤ Alca. Bruta &lt; 15,0 mg/L","Alc. Bruta &gt; 15 mg/L"))))))</f>
        <v>2,5 ≤ Alc. Bruta &lt; 5,0 mg/L</v>
      </c>
      <c r="AZ298" s="136" t="str">
        <f>IF(O298="","",IF(O298&lt;5,"Cor &lt;5 uC",IF(O298&lt;10,"5 ≤ Cor &lt; 10 uC",IF(O298&lt;15,"10 ≤ Cor &lt;15 uC",IF(O298&lt;30,"15 ≤ Cor &lt; 30 uC",IF(O298&lt;50,"30 ≤ Cor &lt; 50 uC","Cor &gt; 50 uC"))))))</f>
        <v>10 ≤ Cor &lt;15 uC</v>
      </c>
      <c r="BA298" s="137" t="str">
        <f>IF(N298="","",IF(N298&lt;2.5,"Turbidez &lt; 2,5 uT",IF(N298&lt;5,"2,5 ≤ Turb &lt; 5,0 uT",IF(N298&lt;7.5,"5,0 ≤ Turb &lt; 7,5 uT",IF(N298&lt;10,"7,5 ≤ Turb &lt; 10,0 uT",IF(N298&lt;15,"10,0 ≤ Turb &lt; 15,0 uT","Turb &gt; 15 uT"))))))</f>
        <v>Turbidez &lt; 2,5 uT</v>
      </c>
      <c r="BB298" s="138" t="str">
        <f>IF(AND(C298&gt;D298,D298&gt;E298),"TOR &gt; SM &gt; BNN",IF(AND(C298&gt;E298,E298&gt;D298),"TOR &gt; BNN &gt; SM",IF(AND(D298&gt;C298,C298&gt;E298),"SM &gt; TOR &gt; BNN",IF(AND(D298&gt;E298,E298&gt;C298),"SM &gt; BNN &gt; TOR",IF(AND(C298=D298,D298=E298),"TOR = SM = BNN","Comb. diferentes")))))</f>
        <v>TOR &gt; BNN &gt; SM</v>
      </c>
      <c r="BC298" s="137" t="str">
        <f>IF(OR(AD298="",AP298="-"),"",IF(AD298&lt;=0.25,"Tipo 1 (≤0,25) uT",IF(AD298&lt;=0.5,"Tipo 2 (0,25-0,50) uT",IF(AD298&lt;=0.75,"Tipo 3 (0,50-0,75) uT","Tipo 4 (&gt;0,75) uT"))))</f>
        <v>Tipo 1 (≤0,25) uT</v>
      </c>
      <c r="BD298" s="137" t="str">
        <f>IF(OR(AO298="",AY298="-"),"",IF(AO298&lt;=0.25,"Tipo 1 (≤0,25) uT",IF(AO298&lt;=0.5,"Tipo 2 (0,25-0,50) uT",IF(AO298&lt;=0.75,"Tipo 3 (0,50-0,75) uT","Tipo 4 (&gt;0,75) uT"))))</f>
        <v>Tipo 1 (≤0,25) uT</v>
      </c>
      <c r="BE298" s="137" t="str">
        <f>IF(OR(AE298="",AP298="-"),"",IF(AE298&lt;=0.25,"Tipo 1 (≤0,25) uT",IF(AE298&lt;=0.5,"Tipo 2 (0,25-0,50) uT",IF(AE298&lt;=0.75,"Tipo 3 (0,50-0,75) uT","Tipo 4 (&gt;0,75) uT"))))</f>
        <v>Tipo 1 (≤0,25) uT</v>
      </c>
      <c r="BF298" s="137" t="str">
        <f>IF(OR(AP298="",AP298="-"),"",IF(AP298&lt;=0.25,"Tipo 1 (≤0,25) uT",IF(AP298&lt;=0.5,"Tipo 2 (0,25-0,50) uT",IF(AP298&lt;=0.75,"Tipo 3 (0,50-0,75) uT","Tipo 4 (&gt;0,75) uT"))))</f>
        <v>Tipo 1 (≤0,25) uT</v>
      </c>
      <c r="BG298" s="137" t="str">
        <f>IF(OR(Q298="",Q298="-"),"",IF(Q298&lt;=0.25,"Tipo 1 (≤0,25) uT",IF(Q298&lt;=0.5,"Tipo 2 (0,25-0,50) uT",IF(Q298&lt;=0.75,"Tipo 3 (0,50-0,75) uT","Tipo 4 (&gt;0,75) uT"))))</f>
        <v>Tipo 1 (≤0,25) uT</v>
      </c>
    </row>
    <row r="299" spans="1:59" x14ac:dyDescent="0.3">
      <c r="A299" s="26">
        <v>46158</v>
      </c>
      <c r="B299" s="107">
        <v>0.39583333333333331</v>
      </c>
      <c r="C299" s="116">
        <v>1140</v>
      </c>
      <c r="D299" s="116">
        <v>92</v>
      </c>
      <c r="E299" s="116">
        <v>589</v>
      </c>
      <c r="F299" s="116">
        <v>1833</v>
      </c>
      <c r="G299" s="10" t="s">
        <v>100</v>
      </c>
      <c r="H299" s="122">
        <v>8.1999999999999993</v>
      </c>
      <c r="I299" s="116">
        <v>90</v>
      </c>
      <c r="J299" s="116">
        <v>90</v>
      </c>
      <c r="K299" s="116">
        <v>90</v>
      </c>
      <c r="L299" s="122">
        <v>24.7</v>
      </c>
      <c r="M299" s="122">
        <v>6.7</v>
      </c>
      <c r="N299" s="79">
        <v>2.4</v>
      </c>
      <c r="O299" s="116">
        <v>11</v>
      </c>
      <c r="P299" s="122">
        <v>6.9</v>
      </c>
      <c r="Q299" s="79">
        <v>0.06</v>
      </c>
      <c r="R299" s="79">
        <v>22.36</v>
      </c>
      <c r="S299" s="79">
        <v>0.88</v>
      </c>
      <c r="T299" s="79">
        <v>0.7</v>
      </c>
      <c r="U299" s="85">
        <f t="shared" si="38"/>
        <v>1170.8287499999999</v>
      </c>
      <c r="V299" s="79">
        <f t="shared" si="39"/>
        <v>1453.2949080000001</v>
      </c>
      <c r="W299" s="79">
        <f t="shared" si="40"/>
        <v>1.2412531789982097</v>
      </c>
      <c r="X299" s="116">
        <v>3</v>
      </c>
      <c r="Y299" s="116">
        <v>4</v>
      </c>
      <c r="Z299" s="122">
        <v>6.5</v>
      </c>
      <c r="AA299" s="116">
        <v>18</v>
      </c>
      <c r="AB299" s="122">
        <v>6.5</v>
      </c>
      <c r="AC299" s="122">
        <v>5.6</v>
      </c>
      <c r="AD299" s="10">
        <v>0.13</v>
      </c>
      <c r="AE299" s="79">
        <v>0.2</v>
      </c>
      <c r="AF299" s="85">
        <f t="shared" si="41"/>
        <v>1561.1049999999998</v>
      </c>
      <c r="AG299" s="85">
        <f t="shared" si="42"/>
        <v>1825.0094933200003</v>
      </c>
      <c r="AH299" s="85">
        <f t="shared" si="43"/>
        <v>1.1690498033892662</v>
      </c>
      <c r="AI299" s="116">
        <v>3</v>
      </c>
      <c r="AJ299" s="116">
        <v>3</v>
      </c>
      <c r="AK299" s="79">
        <v>6.41</v>
      </c>
      <c r="AL299" s="79">
        <v>23</v>
      </c>
      <c r="AM299" s="122">
        <v>6.5</v>
      </c>
      <c r="AN299" s="122">
        <v>6.1</v>
      </c>
      <c r="AO299" s="79">
        <v>0.21</v>
      </c>
      <c r="AP299" s="127">
        <v>0.18</v>
      </c>
      <c r="AQ299" s="132">
        <f t="shared" si="34"/>
        <v>1821</v>
      </c>
      <c r="AR299" s="134">
        <f t="shared" si="35"/>
        <v>0.62602965403624378</v>
      </c>
      <c r="AS299" s="134">
        <f t="shared" si="36"/>
        <v>5.0521691378363535E-2</v>
      </c>
      <c r="AT299" s="134">
        <f t="shared" si="37"/>
        <v>0.32344865458539263</v>
      </c>
      <c r="AU299" s="43">
        <f>IF(AND(F299&lt;&gt;"",Y299&lt;&gt;""),AA299/(F299/2/Y299),"")</f>
        <v>7.855973813420622E-2</v>
      </c>
      <c r="AV299" s="43">
        <f>IF(AND(F299&lt;&gt;"",AJ299&lt;&gt;""),AL299/(F299/2/AJ299),"")</f>
        <v>7.5286415711947621E-2</v>
      </c>
      <c r="AW299" s="41">
        <f>IF(AND(AP299&lt;&gt;"",1-(AP299/N299)&gt;0),1-(AP299/N299),"")</f>
        <v>0.92500000000000004</v>
      </c>
      <c r="AX299" s="41">
        <f>IF(AND(AE299&lt;&gt;"",1-(AE299/N299)&gt;0),1-(AE299/N299),"")</f>
        <v>0.91666666666666663</v>
      </c>
      <c r="AY299" s="136" t="str">
        <f>IF(P299="","",IF(P299&lt;2.5,"Alc. Bruta &lt; 2,5 mg/L",IF(P299&lt;5,"2,5 ≤ Alc. Bruta &lt; 5,0 mg/L",IF(P299&lt;7.5,"5,0 ≤ Alc. Bruta &lt; 7,5 mg/L",IF(P299&lt;10,"7,5 ≤ Alc. Bruta &lt; 10,0 mg/L",IF(P299&lt;15,"10,0 ≤ Alca. Bruta &lt; 15,0 mg/L","Alc. Bruta &gt; 15 mg/L"))))))</f>
        <v>5,0 ≤ Alc. Bruta &lt; 7,5 mg/L</v>
      </c>
      <c r="AZ299" s="136" t="str">
        <f>IF(O299="","",IF(O299&lt;5,"Cor &lt;5 uC",IF(O299&lt;10,"5 ≤ Cor &lt; 10 uC",IF(O299&lt;15,"10 ≤ Cor &lt;15 uC",IF(O299&lt;30,"15 ≤ Cor &lt; 30 uC",IF(O299&lt;50,"30 ≤ Cor &lt; 50 uC","Cor &gt; 50 uC"))))))</f>
        <v>10 ≤ Cor &lt;15 uC</v>
      </c>
      <c r="BA299" s="137" t="str">
        <f>IF(N299="","",IF(N299&lt;2.5,"Turbidez &lt; 2,5 uT",IF(N299&lt;5,"2,5 ≤ Turb &lt; 5,0 uT",IF(N299&lt;7.5,"5,0 ≤ Turb &lt; 7,5 uT",IF(N299&lt;10,"7,5 ≤ Turb &lt; 10,0 uT",IF(N299&lt;15,"10,0 ≤ Turb &lt; 15,0 uT","Turb &gt; 15 uT"))))))</f>
        <v>Turbidez &lt; 2,5 uT</v>
      </c>
      <c r="BB299" s="138" t="str">
        <f>IF(AND(C299&gt;D299,D299&gt;E299),"TOR &gt; SM &gt; BNN",IF(AND(C299&gt;E299,E299&gt;D299),"TOR &gt; BNN &gt; SM",IF(AND(D299&gt;C299,C299&gt;E299),"SM &gt; TOR &gt; BNN",IF(AND(D299&gt;E299,E299&gt;C299),"SM &gt; BNN &gt; TOR",IF(AND(C299=D299,D299=E299),"TOR = SM = BNN","Comb. diferentes")))))</f>
        <v>TOR &gt; BNN &gt; SM</v>
      </c>
      <c r="BC299" s="137" t="str">
        <f>IF(OR(AD299="",AP299="-"),"",IF(AD299&lt;=0.25,"Tipo 1 (≤0,25) uT",IF(AD299&lt;=0.5,"Tipo 2 (0,25-0,50) uT",IF(AD299&lt;=0.75,"Tipo 3 (0,50-0,75) uT","Tipo 4 (&gt;0,75) uT"))))</f>
        <v>Tipo 1 (≤0,25) uT</v>
      </c>
      <c r="BD299" s="137" t="str">
        <f>IF(OR(AO299="",AY299="-"),"",IF(AO299&lt;=0.25,"Tipo 1 (≤0,25) uT",IF(AO299&lt;=0.5,"Tipo 2 (0,25-0,50) uT",IF(AO299&lt;=0.75,"Tipo 3 (0,50-0,75) uT","Tipo 4 (&gt;0,75) uT"))))</f>
        <v>Tipo 1 (≤0,25) uT</v>
      </c>
      <c r="BE299" s="137" t="str">
        <f>IF(OR(AE299="",AP299="-"),"",IF(AE299&lt;=0.25,"Tipo 1 (≤0,25) uT",IF(AE299&lt;=0.5,"Tipo 2 (0,25-0,50) uT",IF(AE299&lt;=0.75,"Tipo 3 (0,50-0,75) uT","Tipo 4 (&gt;0,75) uT"))))</f>
        <v>Tipo 1 (≤0,25) uT</v>
      </c>
      <c r="BF299" s="137" t="str">
        <f>IF(OR(AP299="",AP299="-"),"",IF(AP299&lt;=0.25,"Tipo 1 (≤0,25) uT",IF(AP299&lt;=0.5,"Tipo 2 (0,25-0,50) uT",IF(AP299&lt;=0.75,"Tipo 3 (0,50-0,75) uT","Tipo 4 (&gt;0,75) uT"))))</f>
        <v>Tipo 1 (≤0,25) uT</v>
      </c>
      <c r="BG299" s="137" t="str">
        <f>IF(OR(Q299="",Q299="-"),"",IF(Q299&lt;=0.25,"Tipo 1 (≤0,25) uT",IF(Q299&lt;=0.5,"Tipo 2 (0,25-0,50) uT",IF(Q299&lt;=0.75,"Tipo 3 (0,50-0,75) uT","Tipo 4 (&gt;0,75) uT"))))</f>
        <v>Tipo 1 (≤0,25) uT</v>
      </c>
    </row>
    <row r="300" spans="1:59" x14ac:dyDescent="0.3">
      <c r="A300" s="26">
        <v>46158</v>
      </c>
      <c r="B300" s="107">
        <v>0.47916666666666669</v>
      </c>
      <c r="C300" s="116">
        <v>1145</v>
      </c>
      <c r="D300" s="116">
        <v>91</v>
      </c>
      <c r="E300" s="116">
        <v>589</v>
      </c>
      <c r="F300" s="116">
        <v>1891</v>
      </c>
      <c r="G300" s="10" t="s">
        <v>100</v>
      </c>
      <c r="H300" s="122">
        <v>7.8</v>
      </c>
      <c r="I300" s="116">
        <v>90</v>
      </c>
      <c r="J300" s="116">
        <v>90</v>
      </c>
      <c r="K300" s="116">
        <v>90</v>
      </c>
      <c r="L300" s="122">
        <v>24.9</v>
      </c>
      <c r="M300" s="122">
        <v>6.7</v>
      </c>
      <c r="N300" s="79">
        <v>2.65</v>
      </c>
      <c r="O300" s="116">
        <v>14</v>
      </c>
      <c r="P300" s="122">
        <v>7.4</v>
      </c>
      <c r="Q300" s="79">
        <v>0.05</v>
      </c>
      <c r="R300" s="79">
        <v>22.36</v>
      </c>
      <c r="S300" s="79">
        <v>0.88</v>
      </c>
      <c r="T300" s="79">
        <v>0.7</v>
      </c>
      <c r="U300" s="85">
        <f t="shared" si="38"/>
        <v>1238.605</v>
      </c>
      <c r="V300" s="79">
        <f t="shared" si="39"/>
        <v>1453.2949080000001</v>
      </c>
      <c r="W300" s="79">
        <f t="shared" si="40"/>
        <v>1.1733320211043876</v>
      </c>
      <c r="X300" s="116">
        <v>3</v>
      </c>
      <c r="Y300" s="116">
        <v>4</v>
      </c>
      <c r="Z300" s="122">
        <v>6.5</v>
      </c>
      <c r="AA300" s="116">
        <v>18</v>
      </c>
      <c r="AB300" s="122">
        <v>6.4</v>
      </c>
      <c r="AC300" s="122">
        <v>5.5</v>
      </c>
      <c r="AD300" s="10">
        <v>0.11</v>
      </c>
      <c r="AE300" s="79">
        <v>0.23</v>
      </c>
      <c r="AF300" s="85">
        <f t="shared" si="41"/>
        <v>1651.4733333333336</v>
      </c>
      <c r="AG300" s="85">
        <f t="shared" si="42"/>
        <v>1825.0094933200003</v>
      </c>
      <c r="AH300" s="85">
        <f t="shared" si="43"/>
        <v>1.1050796016405553</v>
      </c>
      <c r="AI300" s="116">
        <v>3</v>
      </c>
      <c r="AJ300" s="116">
        <v>3</v>
      </c>
      <c r="AK300" s="79">
        <v>6.41</v>
      </c>
      <c r="AL300" s="79">
        <v>23</v>
      </c>
      <c r="AM300" s="122">
        <v>6.4</v>
      </c>
      <c r="AN300" s="122">
        <v>5.4</v>
      </c>
      <c r="AO300" s="79">
        <v>0.2</v>
      </c>
      <c r="AP300" s="127">
        <v>0.15</v>
      </c>
      <c r="AQ300" s="132">
        <f t="shared" si="34"/>
        <v>1825</v>
      </c>
      <c r="AR300" s="134">
        <f t="shared" si="35"/>
        <v>0.62739726027397258</v>
      </c>
      <c r="AS300" s="134">
        <f t="shared" si="36"/>
        <v>4.9863013698630138E-2</v>
      </c>
      <c r="AT300" s="134">
        <f t="shared" si="37"/>
        <v>0.32273972602739726</v>
      </c>
      <c r="AU300" s="43">
        <f>IF(AND(F300&lt;&gt;"",Y300&lt;&gt;""),AA300/(F300/2/Y300),"")</f>
        <v>7.615018508725542E-2</v>
      </c>
      <c r="AV300" s="43">
        <f>IF(AND(F300&lt;&gt;"",AJ300&lt;&gt;""),AL300/(F300/2/AJ300),"")</f>
        <v>7.2977260708619776E-2</v>
      </c>
      <c r="AW300" s="41">
        <f>IF(AND(AP300&lt;&gt;"",1-(AP300/N300)&gt;0),1-(AP300/N300),"")</f>
        <v>0.94339622641509435</v>
      </c>
      <c r="AX300" s="41">
        <f>IF(AND(AE300&lt;&gt;"",1-(AE300/N300)&gt;0),1-(AE300/N300),"")</f>
        <v>0.91320754716981134</v>
      </c>
      <c r="AY300" s="136" t="str">
        <f>IF(P300="","",IF(P300&lt;2.5,"Alc. Bruta &lt; 2,5 mg/L",IF(P300&lt;5,"2,5 ≤ Alc. Bruta &lt; 5,0 mg/L",IF(P300&lt;7.5,"5,0 ≤ Alc. Bruta &lt; 7,5 mg/L",IF(P300&lt;10,"7,5 ≤ Alc. Bruta &lt; 10,0 mg/L",IF(P300&lt;15,"10,0 ≤ Alca. Bruta &lt; 15,0 mg/L","Alc. Bruta &gt; 15 mg/L"))))))</f>
        <v>5,0 ≤ Alc. Bruta &lt; 7,5 mg/L</v>
      </c>
      <c r="AZ300" s="136" t="str">
        <f>IF(O300="","",IF(O300&lt;5,"Cor &lt;5 uC",IF(O300&lt;10,"5 ≤ Cor &lt; 10 uC",IF(O300&lt;15,"10 ≤ Cor &lt;15 uC",IF(O300&lt;30,"15 ≤ Cor &lt; 30 uC",IF(O300&lt;50,"30 ≤ Cor &lt; 50 uC","Cor &gt; 50 uC"))))))</f>
        <v>10 ≤ Cor &lt;15 uC</v>
      </c>
      <c r="BA300" s="137" t="str">
        <f>IF(N300="","",IF(N300&lt;2.5,"Turbidez &lt; 2,5 uT",IF(N300&lt;5,"2,5 ≤ Turb &lt; 5,0 uT",IF(N300&lt;7.5,"5,0 ≤ Turb &lt; 7,5 uT",IF(N300&lt;10,"7,5 ≤ Turb &lt; 10,0 uT",IF(N300&lt;15,"10,0 ≤ Turb &lt; 15,0 uT","Turb &gt; 15 uT"))))))</f>
        <v>2,5 ≤ Turb &lt; 5,0 uT</v>
      </c>
      <c r="BB300" s="138" t="str">
        <f>IF(AND(C300&gt;D300,D300&gt;E300),"TOR &gt; SM &gt; BNN",IF(AND(C300&gt;E300,E300&gt;D300),"TOR &gt; BNN &gt; SM",IF(AND(D300&gt;C300,C300&gt;E300),"SM &gt; TOR &gt; BNN",IF(AND(D300&gt;E300,E300&gt;C300),"SM &gt; BNN &gt; TOR",IF(AND(C300=D300,D300=E300),"TOR = SM = BNN","Comb. diferentes")))))</f>
        <v>TOR &gt; BNN &gt; SM</v>
      </c>
      <c r="BC300" s="137" t="str">
        <f>IF(OR(AD300="",AP300="-"),"",IF(AD300&lt;=0.25,"Tipo 1 (≤0,25) uT",IF(AD300&lt;=0.5,"Tipo 2 (0,25-0,50) uT",IF(AD300&lt;=0.75,"Tipo 3 (0,50-0,75) uT","Tipo 4 (&gt;0,75) uT"))))</f>
        <v>Tipo 1 (≤0,25) uT</v>
      </c>
      <c r="BD300" s="137" t="str">
        <f>IF(OR(AO300="",AY300="-"),"",IF(AO300&lt;=0.25,"Tipo 1 (≤0,25) uT",IF(AO300&lt;=0.5,"Tipo 2 (0,25-0,50) uT",IF(AO300&lt;=0.75,"Tipo 3 (0,50-0,75) uT","Tipo 4 (&gt;0,75) uT"))))</f>
        <v>Tipo 1 (≤0,25) uT</v>
      </c>
      <c r="BE300" s="137" t="str">
        <f>IF(OR(AE300="",AP300="-"),"",IF(AE300&lt;=0.25,"Tipo 1 (≤0,25) uT",IF(AE300&lt;=0.5,"Tipo 2 (0,25-0,50) uT",IF(AE300&lt;=0.75,"Tipo 3 (0,50-0,75) uT","Tipo 4 (&gt;0,75) uT"))))</f>
        <v>Tipo 1 (≤0,25) uT</v>
      </c>
      <c r="BF300" s="137" t="str">
        <f>IF(OR(AP300="",AP300="-"),"",IF(AP300&lt;=0.25,"Tipo 1 (≤0,25) uT",IF(AP300&lt;=0.5,"Tipo 2 (0,25-0,50) uT",IF(AP300&lt;=0.75,"Tipo 3 (0,50-0,75) uT","Tipo 4 (&gt;0,75) uT"))))</f>
        <v>Tipo 1 (≤0,25) uT</v>
      </c>
      <c r="BG300" s="137" t="str">
        <f>IF(OR(Q300="",Q300="-"),"",IF(Q300&lt;=0.25,"Tipo 1 (≤0,25) uT",IF(Q300&lt;=0.5,"Tipo 2 (0,25-0,50) uT",IF(Q300&lt;=0.75,"Tipo 3 (0,50-0,75) uT","Tipo 4 (&gt;0,75) uT"))))</f>
        <v>Tipo 1 (≤0,25) uT</v>
      </c>
    </row>
    <row r="301" spans="1:59" x14ac:dyDescent="0.3">
      <c r="A301" s="26">
        <v>46158</v>
      </c>
      <c r="B301" s="107">
        <v>0.64583333333333337</v>
      </c>
      <c r="C301" s="116">
        <v>1202</v>
      </c>
      <c r="D301" s="116">
        <v>83</v>
      </c>
      <c r="E301" s="116">
        <v>588</v>
      </c>
      <c r="F301" s="116">
        <v>1895</v>
      </c>
      <c r="G301" s="10" t="s">
        <v>100</v>
      </c>
      <c r="H301" s="122">
        <v>6.9</v>
      </c>
      <c r="I301" s="116">
        <v>90</v>
      </c>
      <c r="J301" s="116">
        <v>90</v>
      </c>
      <c r="K301" s="116">
        <v>90</v>
      </c>
      <c r="L301" s="122">
        <v>25.5</v>
      </c>
      <c r="M301" s="122">
        <v>6.7</v>
      </c>
      <c r="N301" s="79">
        <v>2.86</v>
      </c>
      <c r="O301" s="116">
        <v>14</v>
      </c>
      <c r="P301" s="122">
        <v>7</v>
      </c>
      <c r="Q301" s="79">
        <v>0.06</v>
      </c>
      <c r="R301" s="79">
        <v>22.36</v>
      </c>
      <c r="S301" s="79">
        <v>0.88</v>
      </c>
      <c r="T301" s="79">
        <v>0.7</v>
      </c>
      <c r="U301" s="85">
        <f t="shared" si="38"/>
        <v>1227.0125</v>
      </c>
      <c r="V301" s="79">
        <f t="shared" si="39"/>
        <v>1447.7334393599999</v>
      </c>
      <c r="W301" s="79">
        <f t="shared" si="40"/>
        <v>1.1798848335774899</v>
      </c>
      <c r="X301" s="116">
        <v>3</v>
      </c>
      <c r="Y301" s="116">
        <v>4</v>
      </c>
      <c r="Z301" s="122">
        <v>6.48</v>
      </c>
      <c r="AA301" s="116">
        <v>18</v>
      </c>
      <c r="AB301" s="122">
        <v>6.5</v>
      </c>
      <c r="AC301" s="122">
        <v>5.4</v>
      </c>
      <c r="AD301" s="10">
        <v>0.18</v>
      </c>
      <c r="AE301" s="79">
        <v>0.24</v>
      </c>
      <c r="AF301" s="85">
        <f t="shared" si="41"/>
        <v>1636.0166666666664</v>
      </c>
      <c r="AG301" s="85">
        <f t="shared" si="42"/>
        <v>1825.0094933200003</v>
      </c>
      <c r="AH301" s="85">
        <f t="shared" si="43"/>
        <v>1.1155201108301671</v>
      </c>
      <c r="AI301" s="116">
        <v>3</v>
      </c>
      <c r="AJ301" s="116">
        <v>3</v>
      </c>
      <c r="AK301" s="79">
        <v>6.41</v>
      </c>
      <c r="AL301" s="79">
        <v>23</v>
      </c>
      <c r="AM301" s="122">
        <v>6.5</v>
      </c>
      <c r="AN301" s="122">
        <v>6</v>
      </c>
      <c r="AO301" s="79">
        <v>0.16</v>
      </c>
      <c r="AP301" s="127">
        <v>0.16</v>
      </c>
      <c r="AQ301" s="132">
        <f t="shared" si="34"/>
        <v>1873</v>
      </c>
      <c r="AR301" s="134">
        <f t="shared" si="35"/>
        <v>0.64175120128136676</v>
      </c>
      <c r="AS301" s="134">
        <f t="shared" si="36"/>
        <v>4.4313934863854779E-2</v>
      </c>
      <c r="AT301" s="134">
        <f t="shared" si="37"/>
        <v>0.31393486385477842</v>
      </c>
      <c r="AU301" s="43">
        <f>IF(AND(F301&lt;&gt;"",Y301&lt;&gt;""),AA301/(F301/2/Y301),"")</f>
        <v>7.5989445910290235E-2</v>
      </c>
      <c r="AV301" s="43">
        <f>IF(AND(F301&lt;&gt;"",AJ301&lt;&gt;""),AL301/(F301/2/AJ301),"")</f>
        <v>7.282321899736148E-2</v>
      </c>
      <c r="AW301" s="41">
        <f>IF(AND(AP301&lt;&gt;"",1-(AP301/N301)&gt;0),1-(AP301/N301),"")</f>
        <v>0.94405594405594406</v>
      </c>
      <c r="AX301" s="41">
        <f>IF(AND(AE301&lt;&gt;"",1-(AE301/N301)&gt;0),1-(AE301/N301),"")</f>
        <v>0.91608391608391604</v>
      </c>
      <c r="AY301" s="136" t="str">
        <f>IF(P301="","",IF(P301&lt;2.5,"Alc. Bruta &lt; 2,5 mg/L",IF(P301&lt;5,"2,5 ≤ Alc. Bruta &lt; 5,0 mg/L",IF(P301&lt;7.5,"5,0 ≤ Alc. Bruta &lt; 7,5 mg/L",IF(P301&lt;10,"7,5 ≤ Alc. Bruta &lt; 10,0 mg/L",IF(P301&lt;15,"10,0 ≤ Alca. Bruta &lt; 15,0 mg/L","Alc. Bruta &gt; 15 mg/L"))))))</f>
        <v>5,0 ≤ Alc. Bruta &lt; 7,5 mg/L</v>
      </c>
      <c r="AZ301" s="136" t="str">
        <f>IF(O301="","",IF(O301&lt;5,"Cor &lt;5 uC",IF(O301&lt;10,"5 ≤ Cor &lt; 10 uC",IF(O301&lt;15,"10 ≤ Cor &lt;15 uC",IF(O301&lt;30,"15 ≤ Cor &lt; 30 uC",IF(O301&lt;50,"30 ≤ Cor &lt; 50 uC","Cor &gt; 50 uC"))))))</f>
        <v>10 ≤ Cor &lt;15 uC</v>
      </c>
      <c r="BA301" s="137" t="str">
        <f>IF(N301="","",IF(N301&lt;2.5,"Turbidez &lt; 2,5 uT",IF(N301&lt;5,"2,5 ≤ Turb &lt; 5,0 uT",IF(N301&lt;7.5,"5,0 ≤ Turb &lt; 7,5 uT",IF(N301&lt;10,"7,5 ≤ Turb &lt; 10,0 uT",IF(N301&lt;15,"10,0 ≤ Turb &lt; 15,0 uT","Turb &gt; 15 uT"))))))</f>
        <v>2,5 ≤ Turb &lt; 5,0 uT</v>
      </c>
      <c r="BB301" s="138" t="str">
        <f>IF(AND(C301&gt;D301,D301&gt;E301),"TOR &gt; SM &gt; BNN",IF(AND(C301&gt;E301,E301&gt;D301),"TOR &gt; BNN &gt; SM",IF(AND(D301&gt;C301,C301&gt;E301),"SM &gt; TOR &gt; BNN",IF(AND(D301&gt;E301,E301&gt;C301),"SM &gt; BNN &gt; TOR",IF(AND(C301=D301,D301=E301),"TOR = SM = BNN","Comb. diferentes")))))</f>
        <v>TOR &gt; BNN &gt; SM</v>
      </c>
      <c r="BC301" s="137" t="str">
        <f>IF(OR(AD301="",AP301="-"),"",IF(AD301&lt;=0.25,"Tipo 1 (≤0,25) uT",IF(AD301&lt;=0.5,"Tipo 2 (0,25-0,50) uT",IF(AD301&lt;=0.75,"Tipo 3 (0,50-0,75) uT","Tipo 4 (&gt;0,75) uT"))))</f>
        <v>Tipo 1 (≤0,25) uT</v>
      </c>
      <c r="BD301" s="137" t="str">
        <f>IF(OR(AO301="",AY301="-"),"",IF(AO301&lt;=0.25,"Tipo 1 (≤0,25) uT",IF(AO301&lt;=0.5,"Tipo 2 (0,25-0,50) uT",IF(AO301&lt;=0.75,"Tipo 3 (0,50-0,75) uT","Tipo 4 (&gt;0,75) uT"))))</f>
        <v>Tipo 1 (≤0,25) uT</v>
      </c>
      <c r="BE301" s="137" t="str">
        <f>IF(OR(AE301="",AP301="-"),"",IF(AE301&lt;=0.25,"Tipo 1 (≤0,25) uT",IF(AE301&lt;=0.5,"Tipo 2 (0,25-0,50) uT",IF(AE301&lt;=0.75,"Tipo 3 (0,50-0,75) uT","Tipo 4 (&gt;0,75) uT"))))</f>
        <v>Tipo 1 (≤0,25) uT</v>
      </c>
      <c r="BF301" s="137" t="str">
        <f>IF(OR(AP301="",AP301="-"),"",IF(AP301&lt;=0.25,"Tipo 1 (≤0,25) uT",IF(AP301&lt;=0.5,"Tipo 2 (0,25-0,50) uT",IF(AP301&lt;=0.75,"Tipo 3 (0,50-0,75) uT","Tipo 4 (&gt;0,75) uT"))))</f>
        <v>Tipo 1 (≤0,25) uT</v>
      </c>
      <c r="BG301" s="137" t="str">
        <f>IF(OR(Q301="",Q301="-"),"",IF(Q301&lt;=0.25,"Tipo 1 (≤0,25) uT",IF(Q301&lt;=0.5,"Tipo 2 (0,25-0,50) uT",IF(Q301&lt;=0.75,"Tipo 3 (0,50-0,75) uT","Tipo 4 (&gt;0,75) uT"))))</f>
        <v>Tipo 1 (≤0,25) uT</v>
      </c>
    </row>
    <row r="302" spans="1:59" x14ac:dyDescent="0.3">
      <c r="A302" s="26">
        <v>46158</v>
      </c>
      <c r="B302" s="107">
        <v>0.72916666666666663</v>
      </c>
      <c r="C302" s="116">
        <v>1072</v>
      </c>
      <c r="D302" s="116">
        <v>87</v>
      </c>
      <c r="E302" s="116">
        <v>588</v>
      </c>
      <c r="F302" s="116">
        <v>1930</v>
      </c>
      <c r="G302" s="10" t="s">
        <v>100</v>
      </c>
      <c r="H302" s="122">
        <v>6.5</v>
      </c>
      <c r="I302" s="116">
        <v>90</v>
      </c>
      <c r="J302" s="116">
        <v>90</v>
      </c>
      <c r="K302" s="116">
        <v>90</v>
      </c>
      <c r="L302" s="122">
        <v>26.3</v>
      </c>
      <c r="M302" s="122">
        <v>6.6</v>
      </c>
      <c r="N302" s="79">
        <v>2.62</v>
      </c>
      <c r="O302" s="116">
        <v>12</v>
      </c>
      <c r="P302" s="122">
        <v>7</v>
      </c>
      <c r="Q302" s="79">
        <v>0.08</v>
      </c>
      <c r="R302" s="79">
        <v>22.36</v>
      </c>
      <c r="S302" s="79">
        <v>0.88</v>
      </c>
      <c r="T302" s="79">
        <v>0.7</v>
      </c>
      <c r="U302" s="85">
        <f t="shared" si="38"/>
        <v>1162.825</v>
      </c>
      <c r="V302" s="79">
        <f t="shared" si="39"/>
        <v>1447.7334393599999</v>
      </c>
      <c r="W302" s="79">
        <f t="shared" si="40"/>
        <v>1.2450140299357169</v>
      </c>
      <c r="X302" s="116">
        <v>3</v>
      </c>
      <c r="Y302" s="116">
        <v>4</v>
      </c>
      <c r="Z302" s="122">
        <v>6.48</v>
      </c>
      <c r="AA302" s="116">
        <v>18</v>
      </c>
      <c r="AB302" s="122">
        <v>6.6</v>
      </c>
      <c r="AC302" s="122">
        <v>6.1</v>
      </c>
      <c r="AD302" s="10">
        <v>0.33</v>
      </c>
      <c r="AE302" s="79">
        <v>0.27</v>
      </c>
      <c r="AF302" s="85">
        <f t="shared" si="41"/>
        <v>1550.4333333333336</v>
      </c>
      <c r="AG302" s="85">
        <f t="shared" si="42"/>
        <v>1825.0094933200003</v>
      </c>
      <c r="AH302" s="85">
        <f t="shared" si="43"/>
        <v>1.177096398847634</v>
      </c>
      <c r="AI302" s="116">
        <v>3</v>
      </c>
      <c r="AJ302" s="116">
        <v>3</v>
      </c>
      <c r="AK302" s="79">
        <v>6.41</v>
      </c>
      <c r="AL302" s="79">
        <v>23</v>
      </c>
      <c r="AM302" s="122">
        <v>6.6</v>
      </c>
      <c r="AN302" s="122">
        <v>5.5</v>
      </c>
      <c r="AO302" s="79">
        <v>0.4</v>
      </c>
      <c r="AP302" s="127">
        <v>0.18</v>
      </c>
      <c r="AQ302" s="132">
        <f t="shared" si="34"/>
        <v>1747</v>
      </c>
      <c r="AR302" s="134">
        <f t="shared" si="35"/>
        <v>0.61362335432169435</v>
      </c>
      <c r="AS302" s="134">
        <f t="shared" si="36"/>
        <v>4.9799656554092728E-2</v>
      </c>
      <c r="AT302" s="134">
        <f t="shared" si="37"/>
        <v>0.33657698912421291</v>
      </c>
      <c r="AU302" s="43">
        <f>IF(AND(F302&lt;&gt;"",Y302&lt;&gt;""),AA302/(F302/2/Y302),"")</f>
        <v>7.4611398963730563E-2</v>
      </c>
      <c r="AV302" s="43">
        <f>IF(AND(F302&lt;&gt;"",AJ302&lt;&gt;""),AL302/(F302/2/AJ302),"")</f>
        <v>7.1502590673575131E-2</v>
      </c>
      <c r="AW302" s="41">
        <f>IF(AND(AP302&lt;&gt;"",1-(AP302/N302)&gt;0),1-(AP302/N302),"")</f>
        <v>0.93129770992366412</v>
      </c>
      <c r="AX302" s="41">
        <f>IF(AND(AE302&lt;&gt;"",1-(AE302/N302)&gt;0),1-(AE302/N302),"")</f>
        <v>0.89694656488549618</v>
      </c>
      <c r="AY302" s="136" t="str">
        <f>IF(P302="","",IF(P302&lt;2.5,"Alc. Bruta &lt; 2,5 mg/L",IF(P302&lt;5,"2,5 ≤ Alc. Bruta &lt; 5,0 mg/L",IF(P302&lt;7.5,"5,0 ≤ Alc. Bruta &lt; 7,5 mg/L",IF(P302&lt;10,"7,5 ≤ Alc. Bruta &lt; 10,0 mg/L",IF(P302&lt;15,"10,0 ≤ Alca. Bruta &lt; 15,0 mg/L","Alc. Bruta &gt; 15 mg/L"))))))</f>
        <v>5,0 ≤ Alc. Bruta &lt; 7,5 mg/L</v>
      </c>
      <c r="AZ302" s="136" t="str">
        <f>IF(O302="","",IF(O302&lt;5,"Cor &lt;5 uC",IF(O302&lt;10,"5 ≤ Cor &lt; 10 uC",IF(O302&lt;15,"10 ≤ Cor &lt;15 uC",IF(O302&lt;30,"15 ≤ Cor &lt; 30 uC",IF(O302&lt;50,"30 ≤ Cor &lt; 50 uC","Cor &gt; 50 uC"))))))</f>
        <v>10 ≤ Cor &lt;15 uC</v>
      </c>
      <c r="BA302" s="137" t="str">
        <f>IF(N302="","",IF(N302&lt;2.5,"Turbidez &lt; 2,5 uT",IF(N302&lt;5,"2,5 ≤ Turb &lt; 5,0 uT",IF(N302&lt;7.5,"5,0 ≤ Turb &lt; 7,5 uT",IF(N302&lt;10,"7,5 ≤ Turb &lt; 10,0 uT",IF(N302&lt;15,"10,0 ≤ Turb &lt; 15,0 uT","Turb &gt; 15 uT"))))))</f>
        <v>2,5 ≤ Turb &lt; 5,0 uT</v>
      </c>
      <c r="BB302" s="138" t="str">
        <f>IF(AND(C302&gt;D302,D302&gt;E302),"TOR &gt; SM &gt; BNN",IF(AND(C302&gt;E302,E302&gt;D302),"TOR &gt; BNN &gt; SM",IF(AND(D302&gt;C302,C302&gt;E302),"SM &gt; TOR &gt; BNN",IF(AND(D302&gt;E302,E302&gt;C302),"SM &gt; BNN &gt; TOR",IF(AND(C302=D302,D302=E302),"TOR = SM = BNN","Comb. diferentes")))))</f>
        <v>TOR &gt; BNN &gt; SM</v>
      </c>
      <c r="BC302" s="137" t="str">
        <f>IF(OR(AD302="",AP302="-"),"",IF(AD302&lt;=0.25,"Tipo 1 (≤0,25) uT",IF(AD302&lt;=0.5,"Tipo 2 (0,25-0,50) uT",IF(AD302&lt;=0.75,"Tipo 3 (0,50-0,75) uT","Tipo 4 (&gt;0,75) uT"))))</f>
        <v>Tipo 2 (0,25-0,50) uT</v>
      </c>
      <c r="BD302" s="137" t="str">
        <f>IF(OR(AO302="",AY302="-"),"",IF(AO302&lt;=0.25,"Tipo 1 (≤0,25) uT",IF(AO302&lt;=0.5,"Tipo 2 (0,25-0,50) uT",IF(AO302&lt;=0.75,"Tipo 3 (0,50-0,75) uT","Tipo 4 (&gt;0,75) uT"))))</f>
        <v>Tipo 2 (0,25-0,50) uT</v>
      </c>
      <c r="BE302" s="137" t="str">
        <f>IF(OR(AE302="",AP302="-"),"",IF(AE302&lt;=0.25,"Tipo 1 (≤0,25) uT",IF(AE302&lt;=0.5,"Tipo 2 (0,25-0,50) uT",IF(AE302&lt;=0.75,"Tipo 3 (0,50-0,75) uT","Tipo 4 (&gt;0,75) uT"))))</f>
        <v>Tipo 2 (0,25-0,50) uT</v>
      </c>
      <c r="BF302" s="137" t="str">
        <f>IF(OR(AP302="",AP302="-"),"",IF(AP302&lt;=0.25,"Tipo 1 (≤0,25) uT",IF(AP302&lt;=0.5,"Tipo 2 (0,25-0,50) uT",IF(AP302&lt;=0.75,"Tipo 3 (0,50-0,75) uT","Tipo 4 (&gt;0,75) uT"))))</f>
        <v>Tipo 1 (≤0,25) uT</v>
      </c>
      <c r="BG302" s="137" t="str">
        <f>IF(OR(Q302="",Q302="-"),"",IF(Q302&lt;=0.25,"Tipo 1 (≤0,25) uT",IF(Q302&lt;=0.5,"Tipo 2 (0,25-0,50) uT",IF(Q302&lt;=0.75,"Tipo 3 (0,50-0,75) uT","Tipo 4 (&gt;0,75) uT"))))</f>
        <v>Tipo 1 (≤0,25) uT</v>
      </c>
    </row>
    <row r="303" spans="1:59" x14ac:dyDescent="0.3">
      <c r="A303" s="26">
        <v>46158</v>
      </c>
      <c r="B303" s="107">
        <v>0.8125</v>
      </c>
      <c r="C303" s="116">
        <v>1156</v>
      </c>
      <c r="D303" s="116">
        <v>88</v>
      </c>
      <c r="E303" s="116">
        <v>588</v>
      </c>
      <c r="F303" s="116">
        <v>1968</v>
      </c>
      <c r="G303" s="10" t="s">
        <v>100</v>
      </c>
      <c r="H303" s="122">
        <v>6.9</v>
      </c>
      <c r="I303" s="116">
        <v>90</v>
      </c>
      <c r="J303" s="116">
        <v>90</v>
      </c>
      <c r="K303" s="116">
        <v>90</v>
      </c>
      <c r="L303" s="122">
        <v>26.4</v>
      </c>
      <c r="M303" s="122">
        <v>6.7</v>
      </c>
      <c r="N303" s="79">
        <v>2.48</v>
      </c>
      <c r="O303" s="116">
        <v>11</v>
      </c>
      <c r="P303" s="122">
        <v>6.1</v>
      </c>
      <c r="Q303" s="79">
        <v>0.37</v>
      </c>
      <c r="R303" s="79">
        <v>22.36</v>
      </c>
      <c r="S303" s="79">
        <v>0.88</v>
      </c>
      <c r="T303" s="79">
        <v>0.7</v>
      </c>
      <c r="U303" s="85">
        <f t="shared" si="38"/>
        <v>1180.8</v>
      </c>
      <c r="V303" s="79">
        <f t="shared" si="39"/>
        <v>1456.0756423199998</v>
      </c>
      <c r="W303" s="79">
        <f t="shared" si="40"/>
        <v>1.2331263908536585</v>
      </c>
      <c r="X303" s="116">
        <v>2</v>
      </c>
      <c r="Y303" s="116">
        <v>4</v>
      </c>
      <c r="Z303" s="122">
        <v>6.51</v>
      </c>
      <c r="AA303" s="116">
        <v>18</v>
      </c>
      <c r="AB303" s="122">
        <v>6.6</v>
      </c>
      <c r="AC303" s="122">
        <v>6</v>
      </c>
      <c r="AD303" s="10">
        <v>0.3</v>
      </c>
      <c r="AE303" s="79">
        <v>0.48</v>
      </c>
      <c r="AF303" s="85">
        <f t="shared" si="41"/>
        <v>1574.3999999999999</v>
      </c>
      <c r="AG303" s="85">
        <f t="shared" si="42"/>
        <v>1749.0599297599999</v>
      </c>
      <c r="AH303" s="85">
        <f t="shared" si="43"/>
        <v>1.1109374553861788</v>
      </c>
      <c r="AI303" s="116">
        <v>2</v>
      </c>
      <c r="AJ303" s="116">
        <v>3</v>
      </c>
      <c r="AK303" s="79">
        <v>6.42</v>
      </c>
      <c r="AL303" s="79">
        <v>22</v>
      </c>
      <c r="AM303" s="122">
        <v>6.6</v>
      </c>
      <c r="AN303" s="122">
        <v>5.7</v>
      </c>
      <c r="AO303" s="79">
        <v>0.41</v>
      </c>
      <c r="AP303" s="127">
        <v>0.41</v>
      </c>
      <c r="AQ303" s="132">
        <f t="shared" si="34"/>
        <v>1832</v>
      </c>
      <c r="AR303" s="134">
        <f t="shared" si="35"/>
        <v>0.63100436681222705</v>
      </c>
      <c r="AS303" s="134">
        <f t="shared" si="36"/>
        <v>4.8034934497816595E-2</v>
      </c>
      <c r="AT303" s="134">
        <f t="shared" si="37"/>
        <v>0.32096069868995636</v>
      </c>
      <c r="AU303" s="43">
        <f>IF(AND(F303&lt;&gt;"",Y303&lt;&gt;""),AA303/(F303/2/Y303),"")</f>
        <v>7.3170731707317069E-2</v>
      </c>
      <c r="AV303" s="43">
        <f>IF(AND(F303&lt;&gt;"",AJ303&lt;&gt;""),AL303/(F303/2/AJ303),"")</f>
        <v>6.7073170731707321E-2</v>
      </c>
      <c r="AW303" s="41">
        <f>IF(AND(AP303&lt;&gt;"",1-(AP303/N303)&gt;0),1-(AP303/N303),"")</f>
        <v>0.83467741935483875</v>
      </c>
      <c r="AX303" s="41">
        <f>IF(AND(AE303&lt;&gt;"",1-(AE303/N303)&gt;0),1-(AE303/N303),"")</f>
        <v>0.80645161290322576</v>
      </c>
      <c r="AY303" s="136" t="str">
        <f>IF(P303="","",IF(P303&lt;2.5,"Alc. Bruta &lt; 2,5 mg/L",IF(P303&lt;5,"2,5 ≤ Alc. Bruta &lt; 5,0 mg/L",IF(P303&lt;7.5,"5,0 ≤ Alc. Bruta &lt; 7,5 mg/L",IF(P303&lt;10,"7,5 ≤ Alc. Bruta &lt; 10,0 mg/L",IF(P303&lt;15,"10,0 ≤ Alca. Bruta &lt; 15,0 mg/L","Alc. Bruta &gt; 15 mg/L"))))))</f>
        <v>5,0 ≤ Alc. Bruta &lt; 7,5 mg/L</v>
      </c>
      <c r="AZ303" s="136" t="str">
        <f>IF(O303="","",IF(O303&lt;5,"Cor &lt;5 uC",IF(O303&lt;10,"5 ≤ Cor &lt; 10 uC",IF(O303&lt;15,"10 ≤ Cor &lt;15 uC",IF(O303&lt;30,"15 ≤ Cor &lt; 30 uC",IF(O303&lt;50,"30 ≤ Cor &lt; 50 uC","Cor &gt; 50 uC"))))))</f>
        <v>10 ≤ Cor &lt;15 uC</v>
      </c>
      <c r="BA303" s="137" t="str">
        <f>IF(N303="","",IF(N303&lt;2.5,"Turbidez &lt; 2,5 uT",IF(N303&lt;5,"2,5 ≤ Turb &lt; 5,0 uT",IF(N303&lt;7.5,"5,0 ≤ Turb &lt; 7,5 uT",IF(N303&lt;10,"7,5 ≤ Turb &lt; 10,0 uT",IF(N303&lt;15,"10,0 ≤ Turb &lt; 15,0 uT","Turb &gt; 15 uT"))))))</f>
        <v>Turbidez &lt; 2,5 uT</v>
      </c>
      <c r="BB303" s="138" t="str">
        <f>IF(AND(C303&gt;D303,D303&gt;E303),"TOR &gt; SM &gt; BNN",IF(AND(C303&gt;E303,E303&gt;D303),"TOR &gt; BNN &gt; SM",IF(AND(D303&gt;C303,C303&gt;E303),"SM &gt; TOR &gt; BNN",IF(AND(D303&gt;E303,E303&gt;C303),"SM &gt; BNN &gt; TOR",IF(AND(C303=D303,D303=E303),"TOR = SM = BNN","Comb. diferentes")))))</f>
        <v>TOR &gt; BNN &gt; SM</v>
      </c>
      <c r="BC303" s="137" t="str">
        <f>IF(OR(AD303="",AP303="-"),"",IF(AD303&lt;=0.25,"Tipo 1 (≤0,25) uT",IF(AD303&lt;=0.5,"Tipo 2 (0,25-0,50) uT",IF(AD303&lt;=0.75,"Tipo 3 (0,50-0,75) uT","Tipo 4 (&gt;0,75) uT"))))</f>
        <v>Tipo 2 (0,25-0,50) uT</v>
      </c>
      <c r="BD303" s="137" t="str">
        <f>IF(OR(AO303="",AY303="-"),"",IF(AO303&lt;=0.25,"Tipo 1 (≤0,25) uT",IF(AO303&lt;=0.5,"Tipo 2 (0,25-0,50) uT",IF(AO303&lt;=0.75,"Tipo 3 (0,50-0,75) uT","Tipo 4 (&gt;0,75) uT"))))</f>
        <v>Tipo 2 (0,25-0,50) uT</v>
      </c>
      <c r="BE303" s="137" t="str">
        <f>IF(OR(AE303="",AP303="-"),"",IF(AE303&lt;=0.25,"Tipo 1 (≤0,25) uT",IF(AE303&lt;=0.5,"Tipo 2 (0,25-0,50) uT",IF(AE303&lt;=0.75,"Tipo 3 (0,50-0,75) uT","Tipo 4 (&gt;0,75) uT"))))</f>
        <v>Tipo 2 (0,25-0,50) uT</v>
      </c>
      <c r="BF303" s="137" t="str">
        <f>IF(OR(AP303="",AP303="-"),"",IF(AP303&lt;=0.25,"Tipo 1 (≤0,25) uT",IF(AP303&lt;=0.5,"Tipo 2 (0,25-0,50) uT",IF(AP303&lt;=0.75,"Tipo 3 (0,50-0,75) uT","Tipo 4 (&gt;0,75) uT"))))</f>
        <v>Tipo 2 (0,25-0,50) uT</v>
      </c>
      <c r="BG303" s="137" t="str">
        <f>IF(OR(Q303="",Q303="-"),"",IF(Q303&lt;=0.25,"Tipo 1 (≤0,25) uT",IF(Q303&lt;=0.5,"Tipo 2 (0,25-0,50) uT",IF(Q303&lt;=0.75,"Tipo 3 (0,50-0,75) uT","Tipo 4 (&gt;0,75) uT"))))</f>
        <v>Tipo 2 (0,25-0,50) uT</v>
      </c>
    </row>
    <row r="304" spans="1:59" x14ac:dyDescent="0.3">
      <c r="A304" s="26">
        <v>46158</v>
      </c>
      <c r="B304" s="107">
        <v>0.89583333333333337</v>
      </c>
      <c r="C304" s="116">
        <v>1167</v>
      </c>
      <c r="D304" s="116">
        <v>88</v>
      </c>
      <c r="E304" s="116">
        <v>588</v>
      </c>
      <c r="F304" s="116">
        <v>1965</v>
      </c>
      <c r="G304" s="10" t="s">
        <v>100</v>
      </c>
      <c r="H304" s="122">
        <v>6.9</v>
      </c>
      <c r="I304" s="116">
        <v>90</v>
      </c>
      <c r="J304" s="116">
        <v>90</v>
      </c>
      <c r="K304" s="116">
        <v>90</v>
      </c>
      <c r="L304" s="122">
        <v>25.9</v>
      </c>
      <c r="M304" s="122">
        <v>6.6</v>
      </c>
      <c r="N304" s="79">
        <v>2.4300000000000002</v>
      </c>
      <c r="O304" s="116">
        <v>17</v>
      </c>
      <c r="P304" s="122">
        <v>6.8</v>
      </c>
      <c r="Q304" s="79">
        <v>0.3</v>
      </c>
      <c r="R304" s="79">
        <v>22.36</v>
      </c>
      <c r="S304" s="79">
        <v>0.88</v>
      </c>
      <c r="T304" s="79">
        <v>0.7</v>
      </c>
      <c r="U304" s="85">
        <f t="shared" si="38"/>
        <v>1166.71875</v>
      </c>
      <c r="V304" s="79">
        <f t="shared" si="39"/>
        <v>1458.8563766399996</v>
      </c>
      <c r="W304" s="79">
        <f t="shared" si="40"/>
        <v>1.2503925017404576</v>
      </c>
      <c r="X304" s="116">
        <v>3</v>
      </c>
      <c r="Y304" s="116">
        <v>4</v>
      </c>
      <c r="Z304" s="122">
        <v>6.52</v>
      </c>
      <c r="AA304" s="116">
        <v>18</v>
      </c>
      <c r="AB304" s="122">
        <v>6.5</v>
      </c>
      <c r="AC304" s="122">
        <v>6</v>
      </c>
      <c r="AD304" s="10">
        <v>0.21</v>
      </c>
      <c r="AE304" s="79">
        <v>0.47</v>
      </c>
      <c r="AF304" s="85">
        <f t="shared" si="41"/>
        <v>1555.625</v>
      </c>
      <c r="AG304" s="85">
        <f t="shared" si="42"/>
        <v>1749.0599297599999</v>
      </c>
      <c r="AH304" s="85">
        <f t="shared" si="43"/>
        <v>1.1243454751370028</v>
      </c>
      <c r="AI304" s="116">
        <v>3</v>
      </c>
      <c r="AJ304" s="116">
        <v>3</v>
      </c>
      <c r="AK304" s="79">
        <v>6.42</v>
      </c>
      <c r="AL304" s="79">
        <v>22</v>
      </c>
      <c r="AM304" s="122">
        <v>6.6</v>
      </c>
      <c r="AN304" s="122">
        <v>5.9</v>
      </c>
      <c r="AO304" s="79">
        <v>0.34</v>
      </c>
      <c r="AP304" s="127">
        <v>0.39</v>
      </c>
      <c r="AQ304" s="132">
        <f t="shared" si="34"/>
        <v>1843</v>
      </c>
      <c r="AR304" s="134">
        <f t="shared" si="35"/>
        <v>0.63320672816060775</v>
      </c>
      <c r="AS304" s="134">
        <f t="shared" si="36"/>
        <v>4.7748236570808462E-2</v>
      </c>
      <c r="AT304" s="134">
        <f t="shared" si="37"/>
        <v>0.31904503526858385</v>
      </c>
      <c r="AU304" s="43">
        <f>IF(AND(F304&lt;&gt;"",Y304&lt;&gt;""),AA304/(F304/2/Y304),"")</f>
        <v>7.3282442748091606E-2</v>
      </c>
      <c r="AV304" s="43">
        <f>IF(AND(F304&lt;&gt;"",AJ304&lt;&gt;""),AL304/(F304/2/AJ304),"")</f>
        <v>6.7175572519083973E-2</v>
      </c>
      <c r="AW304" s="41">
        <f>IF(AND(AP304&lt;&gt;"",1-(AP304/N304)&gt;0),1-(AP304/N304),"")</f>
        <v>0.83950617283950613</v>
      </c>
      <c r="AX304" s="41">
        <f>IF(AND(AE304&lt;&gt;"",1-(AE304/N304)&gt;0),1-(AE304/N304),"")</f>
        <v>0.80658436213991769</v>
      </c>
      <c r="AY304" s="136" t="str">
        <f>IF(P304="","",IF(P304&lt;2.5,"Alc. Bruta &lt; 2,5 mg/L",IF(P304&lt;5,"2,5 ≤ Alc. Bruta &lt; 5,0 mg/L",IF(P304&lt;7.5,"5,0 ≤ Alc. Bruta &lt; 7,5 mg/L",IF(P304&lt;10,"7,5 ≤ Alc. Bruta &lt; 10,0 mg/L",IF(P304&lt;15,"10,0 ≤ Alca. Bruta &lt; 15,0 mg/L","Alc. Bruta &gt; 15 mg/L"))))))</f>
        <v>5,0 ≤ Alc. Bruta &lt; 7,5 mg/L</v>
      </c>
      <c r="AZ304" s="136" t="str">
        <f>IF(O304="","",IF(O304&lt;5,"Cor &lt;5 uC",IF(O304&lt;10,"5 ≤ Cor &lt; 10 uC",IF(O304&lt;15,"10 ≤ Cor &lt;15 uC",IF(O304&lt;30,"15 ≤ Cor &lt; 30 uC",IF(O304&lt;50,"30 ≤ Cor &lt; 50 uC","Cor &gt; 50 uC"))))))</f>
        <v>15 ≤ Cor &lt; 30 uC</v>
      </c>
      <c r="BA304" s="137" t="str">
        <f>IF(N304="","",IF(N304&lt;2.5,"Turbidez &lt; 2,5 uT",IF(N304&lt;5,"2,5 ≤ Turb &lt; 5,0 uT",IF(N304&lt;7.5,"5,0 ≤ Turb &lt; 7,5 uT",IF(N304&lt;10,"7,5 ≤ Turb &lt; 10,0 uT",IF(N304&lt;15,"10,0 ≤ Turb &lt; 15,0 uT","Turb &gt; 15 uT"))))))</f>
        <v>Turbidez &lt; 2,5 uT</v>
      </c>
      <c r="BB304" s="138" t="str">
        <f>IF(AND(C304&gt;D304,D304&gt;E304),"TOR &gt; SM &gt; BNN",IF(AND(C304&gt;E304,E304&gt;D304),"TOR &gt; BNN &gt; SM",IF(AND(D304&gt;C304,C304&gt;E304),"SM &gt; TOR &gt; BNN",IF(AND(D304&gt;E304,E304&gt;C304),"SM &gt; BNN &gt; TOR",IF(AND(C304=D304,D304=E304),"TOR = SM = BNN","Comb. diferentes")))))</f>
        <v>TOR &gt; BNN &gt; SM</v>
      </c>
      <c r="BC304" s="137" t="str">
        <f>IF(OR(AD304="",AP304="-"),"",IF(AD304&lt;=0.25,"Tipo 1 (≤0,25) uT",IF(AD304&lt;=0.5,"Tipo 2 (0,25-0,50) uT",IF(AD304&lt;=0.75,"Tipo 3 (0,50-0,75) uT","Tipo 4 (&gt;0,75) uT"))))</f>
        <v>Tipo 1 (≤0,25) uT</v>
      </c>
      <c r="BD304" s="137" t="str">
        <f>IF(OR(AO304="",AY304="-"),"",IF(AO304&lt;=0.25,"Tipo 1 (≤0,25) uT",IF(AO304&lt;=0.5,"Tipo 2 (0,25-0,50) uT",IF(AO304&lt;=0.75,"Tipo 3 (0,50-0,75) uT","Tipo 4 (&gt;0,75) uT"))))</f>
        <v>Tipo 2 (0,25-0,50) uT</v>
      </c>
      <c r="BE304" s="137" t="str">
        <f>IF(OR(AE304="",AP304="-"),"",IF(AE304&lt;=0.25,"Tipo 1 (≤0,25) uT",IF(AE304&lt;=0.5,"Tipo 2 (0,25-0,50) uT",IF(AE304&lt;=0.75,"Tipo 3 (0,50-0,75) uT","Tipo 4 (&gt;0,75) uT"))))</f>
        <v>Tipo 2 (0,25-0,50) uT</v>
      </c>
      <c r="BF304" s="137" t="str">
        <f>IF(OR(AP304="",AP304="-"),"",IF(AP304&lt;=0.25,"Tipo 1 (≤0,25) uT",IF(AP304&lt;=0.5,"Tipo 2 (0,25-0,50) uT",IF(AP304&lt;=0.75,"Tipo 3 (0,50-0,75) uT","Tipo 4 (&gt;0,75) uT"))))</f>
        <v>Tipo 2 (0,25-0,50) uT</v>
      </c>
      <c r="BG304" s="137" t="str">
        <f>IF(OR(Q304="",Q304="-"),"",IF(Q304&lt;=0.25,"Tipo 1 (≤0,25) uT",IF(Q304&lt;=0.5,"Tipo 2 (0,25-0,50) uT",IF(Q304&lt;=0.75,"Tipo 3 (0,50-0,75) uT","Tipo 4 (&gt;0,75) uT"))))</f>
        <v>Tipo 2 (0,25-0,50) uT</v>
      </c>
    </row>
    <row r="305" spans="1:59" x14ac:dyDescent="0.3">
      <c r="A305" s="26">
        <v>46159</v>
      </c>
      <c r="B305" s="107">
        <v>6.25E-2</v>
      </c>
      <c r="C305" s="116">
        <v>1087</v>
      </c>
      <c r="D305" s="116">
        <v>88</v>
      </c>
      <c r="E305" s="116">
        <v>588</v>
      </c>
      <c r="F305" s="116">
        <v>1965</v>
      </c>
      <c r="G305" s="10" t="s">
        <v>100</v>
      </c>
      <c r="H305" s="122">
        <v>6.9</v>
      </c>
      <c r="I305" s="116">
        <v>90</v>
      </c>
      <c r="J305" s="116">
        <v>90</v>
      </c>
      <c r="K305" s="116">
        <v>90</v>
      </c>
      <c r="L305" s="122">
        <v>25.1</v>
      </c>
      <c r="M305" s="122">
        <v>6.7</v>
      </c>
      <c r="N305" s="79">
        <v>2.74</v>
      </c>
      <c r="O305" s="116">
        <v>11</v>
      </c>
      <c r="P305" s="122">
        <v>6.6</v>
      </c>
      <c r="Q305" s="79">
        <v>0.3</v>
      </c>
      <c r="R305" s="79">
        <v>22.36</v>
      </c>
      <c r="S305" s="79">
        <v>0.88</v>
      </c>
      <c r="T305" s="79">
        <v>0.7</v>
      </c>
      <c r="U305" s="85">
        <f t="shared" si="38"/>
        <v>1242.8625000000002</v>
      </c>
      <c r="V305" s="79">
        <f t="shared" si="39"/>
        <v>1377.8088001599995</v>
      </c>
      <c r="W305" s="79">
        <f t="shared" si="40"/>
        <v>1.1085770148829812</v>
      </c>
      <c r="X305" s="116">
        <v>2</v>
      </c>
      <c r="Y305" s="116">
        <v>4</v>
      </c>
      <c r="Z305" s="122">
        <v>6.52</v>
      </c>
      <c r="AA305" s="116">
        <v>17</v>
      </c>
      <c r="AB305" s="122">
        <v>6.5</v>
      </c>
      <c r="AC305" s="122">
        <v>5.6</v>
      </c>
      <c r="AD305" s="10">
        <v>0.3</v>
      </c>
      <c r="AE305" s="79">
        <v>0.6</v>
      </c>
      <c r="AF305" s="85">
        <f t="shared" si="41"/>
        <v>1657.15</v>
      </c>
      <c r="AG305" s="85">
        <f t="shared" si="42"/>
        <v>1814.3500117599995</v>
      </c>
      <c r="AH305" s="85">
        <f t="shared" si="43"/>
        <v>1.0948616671755722</v>
      </c>
      <c r="AI305" s="116">
        <v>2</v>
      </c>
      <c r="AJ305" s="116">
        <v>3</v>
      </c>
      <c r="AK305" s="79">
        <v>6.38</v>
      </c>
      <c r="AL305" s="79">
        <v>23</v>
      </c>
      <c r="AM305" s="122">
        <v>6.5</v>
      </c>
      <c r="AN305" s="122">
        <v>6</v>
      </c>
      <c r="AO305" s="79">
        <v>0.39</v>
      </c>
      <c r="AP305" s="127">
        <v>0.4</v>
      </c>
      <c r="AQ305" s="132">
        <f t="shared" si="34"/>
        <v>1763</v>
      </c>
      <c r="AR305" s="134">
        <f t="shared" si="35"/>
        <v>0.6165626772546795</v>
      </c>
      <c r="AS305" s="134">
        <f t="shared" si="36"/>
        <v>4.9914917753828704E-2</v>
      </c>
      <c r="AT305" s="134">
        <f t="shared" si="37"/>
        <v>0.33352240499149177</v>
      </c>
      <c r="AU305" s="43">
        <f>IF(AND(F305&lt;&gt;"",Y305&lt;&gt;""),AA305/(F305/2/Y305),"")</f>
        <v>6.9211195928753175E-2</v>
      </c>
      <c r="AV305" s="43">
        <f>IF(AND(F305&lt;&gt;"",AJ305&lt;&gt;""),AL305/(F305/2/AJ305),"")</f>
        <v>7.0229007633587789E-2</v>
      </c>
      <c r="AW305" s="41">
        <f>IF(AND(AP305&lt;&gt;"",1-(AP305/N305)&gt;0),1-(AP305/N305),"")</f>
        <v>0.85401459854014594</v>
      </c>
      <c r="AX305" s="41">
        <f>IF(AND(AE305&lt;&gt;"",1-(AE305/N305)&gt;0),1-(AE305/N305),"")</f>
        <v>0.78102189781021902</v>
      </c>
      <c r="AY305" s="136" t="str">
        <f>IF(P305="","",IF(P305&lt;2.5,"Alc. Bruta &lt; 2,5 mg/L",IF(P305&lt;5,"2,5 ≤ Alc. Bruta &lt; 5,0 mg/L",IF(P305&lt;7.5,"5,0 ≤ Alc. Bruta &lt; 7,5 mg/L",IF(P305&lt;10,"7,5 ≤ Alc. Bruta &lt; 10,0 mg/L",IF(P305&lt;15,"10,0 ≤ Alca. Bruta &lt; 15,0 mg/L","Alc. Bruta &gt; 15 mg/L"))))))</f>
        <v>5,0 ≤ Alc. Bruta &lt; 7,5 mg/L</v>
      </c>
      <c r="AZ305" s="136" t="str">
        <f>IF(O305="","",IF(O305&lt;5,"Cor &lt;5 uC",IF(O305&lt;10,"5 ≤ Cor &lt; 10 uC",IF(O305&lt;15,"10 ≤ Cor &lt;15 uC",IF(O305&lt;30,"15 ≤ Cor &lt; 30 uC",IF(O305&lt;50,"30 ≤ Cor &lt; 50 uC","Cor &gt; 50 uC"))))))</f>
        <v>10 ≤ Cor &lt;15 uC</v>
      </c>
      <c r="BA305" s="137" t="str">
        <f>IF(N305="","",IF(N305&lt;2.5,"Turbidez &lt; 2,5 uT",IF(N305&lt;5,"2,5 ≤ Turb &lt; 5,0 uT",IF(N305&lt;7.5,"5,0 ≤ Turb &lt; 7,5 uT",IF(N305&lt;10,"7,5 ≤ Turb &lt; 10,0 uT",IF(N305&lt;15,"10,0 ≤ Turb &lt; 15,0 uT","Turb &gt; 15 uT"))))))</f>
        <v>2,5 ≤ Turb &lt; 5,0 uT</v>
      </c>
      <c r="BB305" s="138" t="str">
        <f>IF(AND(C305&gt;D305,D305&gt;E305),"TOR &gt; SM &gt; BNN",IF(AND(C305&gt;E305,E305&gt;D305),"TOR &gt; BNN &gt; SM",IF(AND(D305&gt;C305,C305&gt;E305),"SM &gt; TOR &gt; BNN",IF(AND(D305&gt;E305,E305&gt;C305),"SM &gt; BNN &gt; TOR",IF(AND(C305=D305,D305=E305),"TOR = SM = BNN","Comb. diferentes")))))</f>
        <v>TOR &gt; BNN &gt; SM</v>
      </c>
      <c r="BC305" s="137" t="str">
        <f>IF(OR(AD305="",AP305="-"),"",IF(AD305&lt;=0.25,"Tipo 1 (≤0,25) uT",IF(AD305&lt;=0.5,"Tipo 2 (0,25-0,50) uT",IF(AD305&lt;=0.75,"Tipo 3 (0,50-0,75) uT","Tipo 4 (&gt;0,75) uT"))))</f>
        <v>Tipo 2 (0,25-0,50) uT</v>
      </c>
      <c r="BD305" s="137" t="str">
        <f>IF(OR(AO305="",AY305="-"),"",IF(AO305&lt;=0.25,"Tipo 1 (≤0,25) uT",IF(AO305&lt;=0.5,"Tipo 2 (0,25-0,50) uT",IF(AO305&lt;=0.75,"Tipo 3 (0,50-0,75) uT","Tipo 4 (&gt;0,75) uT"))))</f>
        <v>Tipo 2 (0,25-0,50) uT</v>
      </c>
      <c r="BE305" s="137" t="str">
        <f>IF(OR(AE305="",AP305="-"),"",IF(AE305&lt;=0.25,"Tipo 1 (≤0,25) uT",IF(AE305&lt;=0.5,"Tipo 2 (0,25-0,50) uT",IF(AE305&lt;=0.75,"Tipo 3 (0,50-0,75) uT","Tipo 4 (&gt;0,75) uT"))))</f>
        <v>Tipo 3 (0,50-0,75) uT</v>
      </c>
      <c r="BF305" s="137" t="str">
        <f>IF(OR(AP305="",AP305="-"),"",IF(AP305&lt;=0.25,"Tipo 1 (≤0,25) uT",IF(AP305&lt;=0.5,"Tipo 2 (0,25-0,50) uT",IF(AP305&lt;=0.75,"Tipo 3 (0,50-0,75) uT","Tipo 4 (&gt;0,75) uT"))))</f>
        <v>Tipo 2 (0,25-0,50) uT</v>
      </c>
      <c r="BG305" s="137" t="str">
        <f>IF(OR(Q305="",Q305="-"),"",IF(Q305&lt;=0.25,"Tipo 1 (≤0,25) uT",IF(Q305&lt;=0.5,"Tipo 2 (0,25-0,50) uT",IF(Q305&lt;=0.75,"Tipo 3 (0,50-0,75) uT","Tipo 4 (&gt;0,75) uT"))))</f>
        <v>Tipo 2 (0,25-0,50) uT</v>
      </c>
    </row>
    <row r="306" spans="1:59" x14ac:dyDescent="0.3">
      <c r="A306" s="26">
        <v>46159</v>
      </c>
      <c r="B306" s="107">
        <v>0.14583333333333334</v>
      </c>
      <c r="C306" s="116">
        <v>565</v>
      </c>
      <c r="D306" s="116">
        <v>91</v>
      </c>
      <c r="E306" s="116">
        <v>600</v>
      </c>
      <c r="F306" s="116">
        <v>1417</v>
      </c>
      <c r="G306" s="10" t="s">
        <v>100</v>
      </c>
      <c r="H306" s="122">
        <v>6.9</v>
      </c>
      <c r="I306" s="116">
        <v>90</v>
      </c>
      <c r="J306" s="116">
        <v>90</v>
      </c>
      <c r="K306" s="116">
        <v>90</v>
      </c>
      <c r="L306" s="122">
        <v>23.9</v>
      </c>
      <c r="M306" s="122">
        <v>6.7</v>
      </c>
      <c r="N306" s="79">
        <v>2.75</v>
      </c>
      <c r="O306" s="116">
        <v>10</v>
      </c>
      <c r="P306" s="122">
        <v>6.4</v>
      </c>
      <c r="Q306" s="79">
        <v>0.2</v>
      </c>
      <c r="R306" s="79">
        <v>22.36</v>
      </c>
      <c r="S306" s="79">
        <v>0.88</v>
      </c>
      <c r="T306" s="79">
        <v>0.7</v>
      </c>
      <c r="U306" s="85">
        <f t="shared" si="38"/>
        <v>1796.0475000000001</v>
      </c>
      <c r="V306" s="79">
        <f t="shared" si="39"/>
        <v>1375.1825510799999</v>
      </c>
      <c r="W306" s="79">
        <f t="shared" si="40"/>
        <v>0.76567159336264756</v>
      </c>
      <c r="X306" s="116">
        <v>2</v>
      </c>
      <c r="Y306" s="116">
        <v>2</v>
      </c>
      <c r="Z306" s="122">
        <v>6.51</v>
      </c>
      <c r="AA306" s="116">
        <v>17</v>
      </c>
      <c r="AB306" s="122">
        <v>6.6</v>
      </c>
      <c r="AC306" s="122">
        <v>5.9</v>
      </c>
      <c r="AD306" s="10">
        <v>0.27</v>
      </c>
      <c r="AE306" s="79">
        <v>0.35</v>
      </c>
      <c r="AF306" s="85">
        <f t="shared" si="41"/>
        <v>1197.365</v>
      </c>
      <c r="AG306" s="85">
        <f t="shared" si="42"/>
        <v>1825.0094933200003</v>
      </c>
      <c r="AH306" s="85">
        <f t="shared" si="43"/>
        <v>1.5241881074860215</v>
      </c>
      <c r="AI306" s="116">
        <v>2</v>
      </c>
      <c r="AJ306" s="116">
        <v>3</v>
      </c>
      <c r="AK306" s="79">
        <v>6.41</v>
      </c>
      <c r="AL306" s="79">
        <v>23</v>
      </c>
      <c r="AM306" s="122">
        <v>6.5</v>
      </c>
      <c r="AN306" s="122">
        <v>6</v>
      </c>
      <c r="AO306" s="79">
        <v>0.32</v>
      </c>
      <c r="AP306" s="127">
        <v>0.4</v>
      </c>
      <c r="AQ306" s="132">
        <f t="shared" si="34"/>
        <v>1256</v>
      </c>
      <c r="AR306" s="134">
        <f t="shared" si="35"/>
        <v>0.44984076433121017</v>
      </c>
      <c r="AS306" s="134">
        <f t="shared" si="36"/>
        <v>7.2452229299363055E-2</v>
      </c>
      <c r="AT306" s="134">
        <f t="shared" si="37"/>
        <v>0.47770700636942676</v>
      </c>
      <c r="AU306" s="43">
        <f>IF(AND(F306&lt;&gt;"",Y306&lt;&gt;""),AA306/(F306/2/Y306),"")</f>
        <v>4.7988708539167257E-2</v>
      </c>
      <c r="AV306" s="43">
        <f>IF(AND(F306&lt;&gt;"",AJ306&lt;&gt;""),AL306/(F306/2/AJ306),"")</f>
        <v>9.7388849682427669E-2</v>
      </c>
      <c r="AW306" s="41">
        <f>IF(AND(AP306&lt;&gt;"",1-(AP306/N306)&gt;0),1-(AP306/N306),"")</f>
        <v>0.8545454545454545</v>
      </c>
      <c r="AX306" s="41">
        <f>IF(AND(AE306&lt;&gt;"",1-(AE306/N306)&gt;0),1-(AE306/N306),"")</f>
        <v>0.8727272727272728</v>
      </c>
      <c r="AY306" s="136" t="str">
        <f>IF(P306="","",IF(P306&lt;2.5,"Alc. Bruta &lt; 2,5 mg/L",IF(P306&lt;5,"2,5 ≤ Alc. Bruta &lt; 5,0 mg/L",IF(P306&lt;7.5,"5,0 ≤ Alc. Bruta &lt; 7,5 mg/L",IF(P306&lt;10,"7,5 ≤ Alc. Bruta &lt; 10,0 mg/L",IF(P306&lt;15,"10,0 ≤ Alca. Bruta &lt; 15,0 mg/L","Alc. Bruta &gt; 15 mg/L"))))))</f>
        <v>5,0 ≤ Alc. Bruta &lt; 7,5 mg/L</v>
      </c>
      <c r="AZ306" s="136" t="str">
        <f>IF(O306="","",IF(O306&lt;5,"Cor &lt;5 uC",IF(O306&lt;10,"5 ≤ Cor &lt; 10 uC",IF(O306&lt;15,"10 ≤ Cor &lt;15 uC",IF(O306&lt;30,"15 ≤ Cor &lt; 30 uC",IF(O306&lt;50,"30 ≤ Cor &lt; 50 uC","Cor &gt; 50 uC"))))))</f>
        <v>10 ≤ Cor &lt;15 uC</v>
      </c>
      <c r="BA306" s="137" t="str">
        <f>IF(N306="","",IF(N306&lt;2.5,"Turbidez &lt; 2,5 uT",IF(N306&lt;5,"2,5 ≤ Turb &lt; 5,0 uT",IF(N306&lt;7.5,"5,0 ≤ Turb &lt; 7,5 uT",IF(N306&lt;10,"7,5 ≤ Turb &lt; 10,0 uT",IF(N306&lt;15,"10,0 ≤ Turb &lt; 15,0 uT","Turb &gt; 15 uT"))))))</f>
        <v>2,5 ≤ Turb &lt; 5,0 uT</v>
      </c>
      <c r="BB306" s="138" t="str">
        <f>IF(AND(C306&gt;D306,D306&gt;E306),"TOR &gt; SM &gt; BNN",IF(AND(C306&gt;E306,E306&gt;D306),"TOR &gt; BNN &gt; SM",IF(AND(D306&gt;C306,C306&gt;E306),"SM &gt; TOR &gt; BNN",IF(AND(D306&gt;E306,E306&gt;C306),"SM &gt; BNN &gt; TOR",IF(AND(C306=D306,D306=E306),"TOR = SM = BNN","Comb. diferentes")))))</f>
        <v>Comb. diferentes</v>
      </c>
      <c r="BC306" s="137" t="str">
        <f>IF(OR(AD306="",AP306="-"),"",IF(AD306&lt;=0.25,"Tipo 1 (≤0,25) uT",IF(AD306&lt;=0.5,"Tipo 2 (0,25-0,50) uT",IF(AD306&lt;=0.75,"Tipo 3 (0,50-0,75) uT","Tipo 4 (&gt;0,75) uT"))))</f>
        <v>Tipo 2 (0,25-0,50) uT</v>
      </c>
      <c r="BD306" s="137" t="str">
        <f>IF(OR(AO306="",AY306="-"),"",IF(AO306&lt;=0.25,"Tipo 1 (≤0,25) uT",IF(AO306&lt;=0.5,"Tipo 2 (0,25-0,50) uT",IF(AO306&lt;=0.75,"Tipo 3 (0,50-0,75) uT","Tipo 4 (&gt;0,75) uT"))))</f>
        <v>Tipo 2 (0,25-0,50) uT</v>
      </c>
      <c r="BE306" s="137" t="str">
        <f>IF(OR(AE306="",AP306="-"),"",IF(AE306&lt;=0.25,"Tipo 1 (≤0,25) uT",IF(AE306&lt;=0.5,"Tipo 2 (0,25-0,50) uT",IF(AE306&lt;=0.75,"Tipo 3 (0,50-0,75) uT","Tipo 4 (&gt;0,75) uT"))))</f>
        <v>Tipo 2 (0,25-0,50) uT</v>
      </c>
      <c r="BF306" s="137" t="str">
        <f>IF(OR(AP306="",AP306="-"),"",IF(AP306&lt;=0.25,"Tipo 1 (≤0,25) uT",IF(AP306&lt;=0.5,"Tipo 2 (0,25-0,50) uT",IF(AP306&lt;=0.75,"Tipo 3 (0,50-0,75) uT","Tipo 4 (&gt;0,75) uT"))))</f>
        <v>Tipo 2 (0,25-0,50) uT</v>
      </c>
      <c r="BG306" s="137" t="str">
        <f>IF(OR(Q306="",Q306="-"),"",IF(Q306&lt;=0.25,"Tipo 1 (≤0,25) uT",IF(Q306&lt;=0.5,"Tipo 2 (0,25-0,50) uT",IF(Q306&lt;=0.75,"Tipo 3 (0,50-0,75) uT","Tipo 4 (&gt;0,75) uT"))))</f>
        <v>Tipo 1 (≤0,25) uT</v>
      </c>
    </row>
    <row r="307" spans="1:59" ht="15" thickBot="1" x14ac:dyDescent="0.35">
      <c r="A307" s="26">
        <v>46159</v>
      </c>
      <c r="B307" s="110">
        <v>0.22916666666666666</v>
      </c>
      <c r="C307" s="117">
        <v>570</v>
      </c>
      <c r="D307" s="117">
        <v>91</v>
      </c>
      <c r="E307" s="117">
        <v>621</v>
      </c>
      <c r="F307" s="117">
        <v>1416</v>
      </c>
      <c r="G307" s="11" t="s">
        <v>100</v>
      </c>
      <c r="H307" s="123">
        <v>6.9</v>
      </c>
      <c r="I307" s="117">
        <v>90</v>
      </c>
      <c r="J307" s="117">
        <v>90</v>
      </c>
      <c r="K307" s="117">
        <v>90</v>
      </c>
      <c r="L307" s="123">
        <v>23.7</v>
      </c>
      <c r="M307" s="123">
        <v>6.7</v>
      </c>
      <c r="N307" s="80">
        <v>2.67</v>
      </c>
      <c r="O307" s="117">
        <v>10</v>
      </c>
      <c r="P307" s="123">
        <v>6.6</v>
      </c>
      <c r="Q307" s="80">
        <v>0.22</v>
      </c>
      <c r="R307" s="79">
        <v>22.36</v>
      </c>
      <c r="S307" s="79">
        <v>0.88</v>
      </c>
      <c r="T307" s="79">
        <v>0.7</v>
      </c>
      <c r="U307" s="85">
        <f t="shared" si="38"/>
        <v>1766.46</v>
      </c>
      <c r="V307" s="79">
        <f t="shared" si="39"/>
        <v>1458.8563766399996</v>
      </c>
      <c r="W307" s="79">
        <f t="shared" si="40"/>
        <v>0.82586437091131393</v>
      </c>
      <c r="X307" s="117">
        <v>2</v>
      </c>
      <c r="Y307" s="117">
        <v>2</v>
      </c>
      <c r="Z307" s="123">
        <v>6.52</v>
      </c>
      <c r="AA307" s="117">
        <v>18</v>
      </c>
      <c r="AB307" s="123">
        <v>6.5</v>
      </c>
      <c r="AC307" s="123">
        <v>5.7</v>
      </c>
      <c r="AD307" s="11">
        <v>0.31</v>
      </c>
      <c r="AE307" s="80">
        <v>0.36</v>
      </c>
      <c r="AF307" s="85">
        <f t="shared" si="41"/>
        <v>1177.6400000000001</v>
      </c>
      <c r="AG307" s="85">
        <f t="shared" si="42"/>
        <v>1821.4563327999999</v>
      </c>
      <c r="AH307" s="85">
        <f t="shared" si="43"/>
        <v>1.5467004626201555</v>
      </c>
      <c r="AI307" s="117">
        <v>2</v>
      </c>
      <c r="AJ307" s="117">
        <v>3</v>
      </c>
      <c r="AK307" s="80">
        <v>6.4</v>
      </c>
      <c r="AL307" s="80">
        <v>23</v>
      </c>
      <c r="AM307" s="123">
        <v>6.6</v>
      </c>
      <c r="AN307" s="123">
        <v>5.9</v>
      </c>
      <c r="AO307" s="80">
        <v>0.34</v>
      </c>
      <c r="AP307" s="128">
        <v>0.36</v>
      </c>
      <c r="AQ307" s="132">
        <f t="shared" si="34"/>
        <v>1282</v>
      </c>
      <c r="AR307" s="134">
        <f t="shared" si="35"/>
        <v>0.44461778471138846</v>
      </c>
      <c r="AS307" s="134">
        <f t="shared" si="36"/>
        <v>7.0982839313572549E-2</v>
      </c>
      <c r="AT307" s="134">
        <f t="shared" si="37"/>
        <v>0.48439937597503901</v>
      </c>
      <c r="AU307" s="43">
        <f>IF(AND(F307&lt;&gt;"",Y307&lt;&gt;""),AA307/(F307/2/Y307),"")</f>
        <v>5.0847457627118647E-2</v>
      </c>
      <c r="AV307" s="43">
        <f>IF(AND(F307&lt;&gt;"",AJ307&lt;&gt;""),AL307/(F307/2/AJ307),"")</f>
        <v>9.7457627118644072E-2</v>
      </c>
      <c r="AW307" s="41">
        <f>IF(AND(AP307&lt;&gt;"",1-(AP307/N307)&gt;0),1-(AP307/N307),"")</f>
        <v>0.8651685393258427</v>
      </c>
      <c r="AX307" s="41">
        <f>IF(AND(AE307&lt;&gt;"",1-(AE307/N307)&gt;0),1-(AE307/N307),"")</f>
        <v>0.8651685393258427</v>
      </c>
      <c r="AY307" s="136" t="str">
        <f>IF(P307="","",IF(P307&lt;2.5,"Alc. Bruta &lt; 2,5 mg/L",IF(P307&lt;5,"2,5 ≤ Alc. Bruta &lt; 5,0 mg/L",IF(P307&lt;7.5,"5,0 ≤ Alc. Bruta &lt; 7,5 mg/L",IF(P307&lt;10,"7,5 ≤ Alc. Bruta &lt; 10,0 mg/L",IF(P307&lt;15,"10,0 ≤ Alca. Bruta &lt; 15,0 mg/L","Alc. Bruta &gt; 15 mg/L"))))))</f>
        <v>5,0 ≤ Alc. Bruta &lt; 7,5 mg/L</v>
      </c>
      <c r="AZ307" s="136" t="str">
        <f>IF(O307="","",IF(O307&lt;5,"Cor &lt;5 uC",IF(O307&lt;10,"5 ≤ Cor &lt; 10 uC",IF(O307&lt;15,"10 ≤ Cor &lt;15 uC",IF(O307&lt;30,"15 ≤ Cor &lt; 30 uC",IF(O307&lt;50,"30 ≤ Cor &lt; 50 uC","Cor &gt; 50 uC"))))))</f>
        <v>10 ≤ Cor &lt;15 uC</v>
      </c>
      <c r="BA307" s="137" t="str">
        <f>IF(N307="","",IF(N307&lt;2.5,"Turbidez &lt; 2,5 uT",IF(N307&lt;5,"2,5 ≤ Turb &lt; 5,0 uT",IF(N307&lt;7.5,"5,0 ≤ Turb &lt; 7,5 uT",IF(N307&lt;10,"7,5 ≤ Turb &lt; 10,0 uT",IF(N307&lt;15,"10,0 ≤ Turb &lt; 15,0 uT","Turb &gt; 15 uT"))))))</f>
        <v>2,5 ≤ Turb &lt; 5,0 uT</v>
      </c>
      <c r="BB307" s="138" t="str">
        <f>IF(AND(C307&gt;D307,D307&gt;E307),"TOR &gt; SM &gt; BNN",IF(AND(C307&gt;E307,E307&gt;D307),"TOR &gt; BNN &gt; SM",IF(AND(D307&gt;C307,C307&gt;E307),"SM &gt; TOR &gt; BNN",IF(AND(D307&gt;E307,E307&gt;C307),"SM &gt; BNN &gt; TOR",IF(AND(C307=D307,D307=E307),"TOR = SM = BNN","Comb. diferentes")))))</f>
        <v>Comb. diferentes</v>
      </c>
      <c r="BC307" s="137" t="str">
        <f>IF(OR(AD307="",AP307="-"),"",IF(AD307&lt;=0.25,"Tipo 1 (≤0,25) uT",IF(AD307&lt;=0.5,"Tipo 2 (0,25-0,50) uT",IF(AD307&lt;=0.75,"Tipo 3 (0,50-0,75) uT","Tipo 4 (&gt;0,75) uT"))))</f>
        <v>Tipo 2 (0,25-0,50) uT</v>
      </c>
      <c r="BD307" s="137" t="str">
        <f>IF(OR(AO307="",AY307="-"),"",IF(AO307&lt;=0.25,"Tipo 1 (≤0,25) uT",IF(AO307&lt;=0.5,"Tipo 2 (0,25-0,50) uT",IF(AO307&lt;=0.75,"Tipo 3 (0,50-0,75) uT","Tipo 4 (&gt;0,75) uT"))))</f>
        <v>Tipo 2 (0,25-0,50) uT</v>
      </c>
      <c r="BE307" s="137" t="str">
        <f>IF(OR(AE307="",AP307="-"),"",IF(AE307&lt;=0.25,"Tipo 1 (≤0,25) uT",IF(AE307&lt;=0.5,"Tipo 2 (0,25-0,50) uT",IF(AE307&lt;=0.75,"Tipo 3 (0,50-0,75) uT","Tipo 4 (&gt;0,75) uT"))))</f>
        <v>Tipo 2 (0,25-0,50) uT</v>
      </c>
      <c r="BF307" s="137" t="str">
        <f>IF(OR(AP307="",AP307="-"),"",IF(AP307&lt;=0.25,"Tipo 1 (≤0,25) uT",IF(AP307&lt;=0.5,"Tipo 2 (0,25-0,50) uT",IF(AP307&lt;=0.75,"Tipo 3 (0,50-0,75) uT","Tipo 4 (&gt;0,75) uT"))))</f>
        <v>Tipo 2 (0,25-0,50) uT</v>
      </c>
      <c r="BG307" s="137" t="str">
        <f>IF(OR(Q307="",Q307="-"),"",IF(Q307&lt;=0.25,"Tipo 1 (≤0,25) uT",IF(Q307&lt;=0.5,"Tipo 2 (0,25-0,50) uT",IF(Q307&lt;=0.75,"Tipo 3 (0,50-0,75) uT","Tipo 4 (&gt;0,75) uT"))))</f>
        <v>Tipo 1 (≤0,25) uT</v>
      </c>
    </row>
    <row r="308" spans="1:59" x14ac:dyDescent="0.3">
      <c r="A308" s="26">
        <v>46159</v>
      </c>
      <c r="B308" s="111">
        <v>0.3125</v>
      </c>
      <c r="C308" s="118">
        <v>571</v>
      </c>
      <c r="D308" s="116">
        <v>87</v>
      </c>
      <c r="E308" s="118">
        <v>619</v>
      </c>
      <c r="F308" s="118">
        <v>1363</v>
      </c>
      <c r="G308" s="9" t="s">
        <v>100</v>
      </c>
      <c r="H308" s="124">
        <v>6.9</v>
      </c>
      <c r="I308" s="118">
        <v>90</v>
      </c>
      <c r="J308" s="118">
        <v>90</v>
      </c>
      <c r="K308" s="118">
        <v>90</v>
      </c>
      <c r="L308" s="124">
        <v>24.2</v>
      </c>
      <c r="M308" s="124">
        <v>6.9</v>
      </c>
      <c r="N308" s="81">
        <v>2.4300000000000002</v>
      </c>
      <c r="O308" s="118">
        <v>11</v>
      </c>
      <c r="P308" s="124">
        <v>8.1</v>
      </c>
      <c r="Q308" s="81">
        <v>0.11</v>
      </c>
      <c r="R308" s="79">
        <v>22.36</v>
      </c>
      <c r="S308" s="79">
        <v>0.88</v>
      </c>
      <c r="T308" s="79">
        <v>0.7</v>
      </c>
      <c r="U308" s="85">
        <f t="shared" si="38"/>
        <v>1618.5625</v>
      </c>
      <c r="V308" s="79">
        <f t="shared" si="39"/>
        <v>1437.1471868000001</v>
      </c>
      <c r="W308" s="79">
        <f t="shared" si="40"/>
        <v>0.88791578131829951</v>
      </c>
      <c r="X308" s="118">
        <v>1</v>
      </c>
      <c r="Y308" s="118">
        <v>2</v>
      </c>
      <c r="Z308" s="124">
        <v>6.5</v>
      </c>
      <c r="AA308" s="118">
        <v>17.8</v>
      </c>
      <c r="AB308" s="124">
        <v>6.6</v>
      </c>
      <c r="AC308" s="124">
        <v>6</v>
      </c>
      <c r="AD308" s="9">
        <v>0.31</v>
      </c>
      <c r="AE308" s="81">
        <v>0.26</v>
      </c>
      <c r="AF308" s="85">
        <f t="shared" si="41"/>
        <v>1079.0416666666665</v>
      </c>
      <c r="AG308" s="85">
        <f t="shared" si="42"/>
        <v>1872.6184366240002</v>
      </c>
      <c r="AH308" s="85">
        <f t="shared" si="43"/>
        <v>1.7354459002577909</v>
      </c>
      <c r="AI308" s="118">
        <v>1</v>
      </c>
      <c r="AJ308" s="118">
        <v>3</v>
      </c>
      <c r="AK308" s="81">
        <v>6.41</v>
      </c>
      <c r="AL308" s="81">
        <v>23.6</v>
      </c>
      <c r="AM308" s="124">
        <v>6.7</v>
      </c>
      <c r="AN308" s="124">
        <v>7.5</v>
      </c>
      <c r="AO308" s="81">
        <v>0.32</v>
      </c>
      <c r="AP308" s="129">
        <v>0.32</v>
      </c>
      <c r="AQ308" s="132">
        <f t="shared" si="34"/>
        <v>1277</v>
      </c>
      <c r="AR308" s="134">
        <f t="shared" si="35"/>
        <v>0.44714173844949101</v>
      </c>
      <c r="AS308" s="134">
        <f t="shared" si="36"/>
        <v>6.8128425998433828E-2</v>
      </c>
      <c r="AT308" s="134">
        <f t="shared" si="37"/>
        <v>0.48472983555207516</v>
      </c>
      <c r="AU308" s="43">
        <f>IF(AND(F308&lt;&gt;"",Y308&lt;&gt;""),AA308/(F308/2/Y308),"")</f>
        <v>5.2237710931768162E-2</v>
      </c>
      <c r="AV308" s="43">
        <f>IF(AND(F308&lt;&gt;"",AJ308&lt;&gt;""),AL308/(F308/2/AJ308),"")</f>
        <v>0.10388848129126926</v>
      </c>
      <c r="AW308" s="41">
        <f>IF(AND(AP308&lt;&gt;"",1-(AP308/N308)&gt;0),1-(AP308/N308),"")</f>
        <v>0.86831275720164613</v>
      </c>
      <c r="AX308" s="41">
        <f>IF(AND(AE308&lt;&gt;"",1-(AE308/N308)&gt;0),1-(AE308/N308),"")</f>
        <v>0.89300411522633749</v>
      </c>
      <c r="AY308" s="136" t="str">
        <f>IF(P308="","",IF(P308&lt;2.5,"Alc. Bruta &lt; 2,5 mg/L",IF(P308&lt;5,"2,5 ≤ Alc. Bruta &lt; 5,0 mg/L",IF(P308&lt;7.5,"5,0 ≤ Alc. Bruta &lt; 7,5 mg/L",IF(P308&lt;10,"7,5 ≤ Alc. Bruta &lt; 10,0 mg/L",IF(P308&lt;15,"10,0 ≤ Alca. Bruta &lt; 15,0 mg/L","Alc. Bruta &gt; 15 mg/L"))))))</f>
        <v>7,5 ≤ Alc. Bruta &lt; 10,0 mg/L</v>
      </c>
      <c r="AZ308" s="136" t="str">
        <f>IF(O308="","",IF(O308&lt;5,"Cor &lt;5 uC",IF(O308&lt;10,"5 ≤ Cor &lt; 10 uC",IF(O308&lt;15,"10 ≤ Cor &lt;15 uC",IF(O308&lt;30,"15 ≤ Cor &lt; 30 uC",IF(O308&lt;50,"30 ≤ Cor &lt; 50 uC","Cor &gt; 50 uC"))))))</f>
        <v>10 ≤ Cor &lt;15 uC</v>
      </c>
      <c r="BA308" s="137" t="str">
        <f>IF(N308="","",IF(N308&lt;2.5,"Turbidez &lt; 2,5 uT",IF(N308&lt;5,"2,5 ≤ Turb &lt; 5,0 uT",IF(N308&lt;7.5,"5,0 ≤ Turb &lt; 7,5 uT",IF(N308&lt;10,"7,5 ≤ Turb &lt; 10,0 uT",IF(N308&lt;15,"10,0 ≤ Turb &lt; 15,0 uT","Turb &gt; 15 uT"))))))</f>
        <v>Turbidez &lt; 2,5 uT</v>
      </c>
      <c r="BB308" s="138" t="str">
        <f>IF(AND(C308&gt;D308,D308&gt;E308),"TOR &gt; SM &gt; BNN",IF(AND(C308&gt;E308,E308&gt;D308),"TOR &gt; BNN &gt; SM",IF(AND(D308&gt;C308,C308&gt;E308),"SM &gt; TOR &gt; BNN",IF(AND(D308&gt;E308,E308&gt;C308),"SM &gt; BNN &gt; TOR",IF(AND(C308=D308,D308=E308),"TOR = SM = BNN","Comb. diferentes")))))</f>
        <v>Comb. diferentes</v>
      </c>
      <c r="BC308" s="137" t="str">
        <f>IF(OR(AD308="",AP308="-"),"",IF(AD308&lt;=0.25,"Tipo 1 (≤0,25) uT",IF(AD308&lt;=0.5,"Tipo 2 (0,25-0,50) uT",IF(AD308&lt;=0.75,"Tipo 3 (0,50-0,75) uT","Tipo 4 (&gt;0,75) uT"))))</f>
        <v>Tipo 2 (0,25-0,50) uT</v>
      </c>
      <c r="BD308" s="137" t="str">
        <f>IF(OR(AO308="",AY308="-"),"",IF(AO308&lt;=0.25,"Tipo 1 (≤0,25) uT",IF(AO308&lt;=0.5,"Tipo 2 (0,25-0,50) uT",IF(AO308&lt;=0.75,"Tipo 3 (0,50-0,75) uT","Tipo 4 (&gt;0,75) uT"))))</f>
        <v>Tipo 2 (0,25-0,50) uT</v>
      </c>
      <c r="BE308" s="137" t="str">
        <f>IF(OR(AE308="",AP308="-"),"",IF(AE308&lt;=0.25,"Tipo 1 (≤0,25) uT",IF(AE308&lt;=0.5,"Tipo 2 (0,25-0,50) uT",IF(AE308&lt;=0.75,"Tipo 3 (0,50-0,75) uT","Tipo 4 (&gt;0,75) uT"))))</f>
        <v>Tipo 2 (0,25-0,50) uT</v>
      </c>
      <c r="BF308" s="137" t="str">
        <f>IF(OR(AP308="",AP308="-"),"",IF(AP308&lt;=0.25,"Tipo 1 (≤0,25) uT",IF(AP308&lt;=0.5,"Tipo 2 (0,25-0,50) uT",IF(AP308&lt;=0.75,"Tipo 3 (0,50-0,75) uT","Tipo 4 (&gt;0,75) uT"))))</f>
        <v>Tipo 2 (0,25-0,50) uT</v>
      </c>
      <c r="BG308" s="137" t="str">
        <f>IF(OR(Q308="",Q308="-"),"",IF(Q308&lt;=0.25,"Tipo 1 (≤0,25) uT",IF(Q308&lt;=0.5,"Tipo 2 (0,25-0,50) uT",IF(Q308&lt;=0.75,"Tipo 3 (0,50-0,75) uT","Tipo 4 (&gt;0,75) uT"))))</f>
        <v>Tipo 1 (≤0,25) uT</v>
      </c>
    </row>
    <row r="309" spans="1:59" x14ac:dyDescent="0.3">
      <c r="A309" s="26">
        <v>46159</v>
      </c>
      <c r="B309" s="107">
        <v>0.39583333333333331</v>
      </c>
      <c r="C309" s="116">
        <v>549</v>
      </c>
      <c r="D309" s="116">
        <v>89</v>
      </c>
      <c r="E309" s="116">
        <v>619</v>
      </c>
      <c r="F309" s="116">
        <v>1317</v>
      </c>
      <c r="G309" s="10" t="s">
        <v>100</v>
      </c>
      <c r="H309" s="122">
        <v>6.9</v>
      </c>
      <c r="I309" s="116">
        <v>90</v>
      </c>
      <c r="J309" s="116">
        <v>90</v>
      </c>
      <c r="K309" s="116">
        <v>90</v>
      </c>
      <c r="L309" s="122">
        <v>24.4</v>
      </c>
      <c r="M309" s="122">
        <v>6.9</v>
      </c>
      <c r="N309" s="79">
        <v>2.4700000000000002</v>
      </c>
      <c r="O309" s="116">
        <v>13</v>
      </c>
      <c r="P309" s="122">
        <v>8.4</v>
      </c>
      <c r="Q309" s="79">
        <v>0.12</v>
      </c>
      <c r="R309" s="79">
        <v>22.36</v>
      </c>
      <c r="S309" s="79">
        <v>0.88</v>
      </c>
      <c r="T309" s="79">
        <v>0.7</v>
      </c>
      <c r="U309" s="85">
        <f t="shared" si="38"/>
        <v>1577.1075000000001</v>
      </c>
      <c r="V309" s="79">
        <f t="shared" si="39"/>
        <v>1423.6680466319999</v>
      </c>
      <c r="W309" s="79">
        <f t="shared" si="40"/>
        <v>0.9027083103922845</v>
      </c>
      <c r="X309" s="116">
        <v>1</v>
      </c>
      <c r="Y309" s="116">
        <v>2</v>
      </c>
      <c r="Z309" s="122">
        <v>6.57</v>
      </c>
      <c r="AA309" s="116">
        <v>17.399999999999999</v>
      </c>
      <c r="AB309" s="122">
        <v>6.5</v>
      </c>
      <c r="AC309" s="122">
        <v>6.9</v>
      </c>
      <c r="AD309" s="10">
        <v>0.27</v>
      </c>
      <c r="AE309" s="79">
        <v>0.33</v>
      </c>
      <c r="AF309" s="85">
        <f t="shared" si="41"/>
        <v>1051.405</v>
      </c>
      <c r="AG309" s="85">
        <f t="shared" si="42"/>
        <v>1714.3453925000001</v>
      </c>
      <c r="AH309" s="85">
        <f t="shared" si="43"/>
        <v>1.6305280957385595</v>
      </c>
      <c r="AI309" s="116">
        <v>1</v>
      </c>
      <c r="AJ309" s="116">
        <v>3</v>
      </c>
      <c r="AK309" s="79">
        <v>6.25</v>
      </c>
      <c r="AL309" s="79">
        <v>22.3</v>
      </c>
      <c r="AM309" s="122">
        <v>6.6</v>
      </c>
      <c r="AN309" s="122">
        <v>7.4</v>
      </c>
      <c r="AO309" s="79">
        <v>0.38</v>
      </c>
      <c r="AP309" s="127">
        <v>0.28000000000000003</v>
      </c>
      <c r="AQ309" s="132">
        <f t="shared" si="34"/>
        <v>1257</v>
      </c>
      <c r="AR309" s="134">
        <f t="shared" si="35"/>
        <v>0.43675417661097854</v>
      </c>
      <c r="AS309" s="134">
        <f t="shared" si="36"/>
        <v>7.0803500397772473E-2</v>
      </c>
      <c r="AT309" s="134">
        <f t="shared" si="37"/>
        <v>0.49244232299124902</v>
      </c>
      <c r="AU309" s="43">
        <f>IF(AND(F309&lt;&gt;"",Y309&lt;&gt;""),AA309/(F309/2/Y309),"")</f>
        <v>5.2847380410022772E-2</v>
      </c>
      <c r="AV309" s="43">
        <f>IF(AND(F309&lt;&gt;"",AJ309&lt;&gt;""),AL309/(F309/2/AJ309),"")</f>
        <v>0.10159453302961276</v>
      </c>
      <c r="AW309" s="41">
        <f>IF(AND(AP309&lt;&gt;"",1-(AP309/N309)&gt;0),1-(AP309/N309),"")</f>
        <v>0.88663967611336036</v>
      </c>
      <c r="AX309" s="41">
        <f>IF(AND(AE309&lt;&gt;"",1-(AE309/N309)&gt;0),1-(AE309/N309),"")</f>
        <v>0.8663967611336032</v>
      </c>
      <c r="AY309" s="136" t="str">
        <f>IF(P309="","",IF(P309&lt;2.5,"Alc. Bruta &lt; 2,5 mg/L",IF(P309&lt;5,"2,5 ≤ Alc. Bruta &lt; 5,0 mg/L",IF(P309&lt;7.5,"5,0 ≤ Alc. Bruta &lt; 7,5 mg/L",IF(P309&lt;10,"7,5 ≤ Alc. Bruta &lt; 10,0 mg/L",IF(P309&lt;15,"10,0 ≤ Alca. Bruta &lt; 15,0 mg/L","Alc. Bruta &gt; 15 mg/L"))))))</f>
        <v>7,5 ≤ Alc. Bruta &lt; 10,0 mg/L</v>
      </c>
      <c r="AZ309" s="136" t="str">
        <f>IF(O309="","",IF(O309&lt;5,"Cor &lt;5 uC",IF(O309&lt;10,"5 ≤ Cor &lt; 10 uC",IF(O309&lt;15,"10 ≤ Cor &lt;15 uC",IF(O309&lt;30,"15 ≤ Cor &lt; 30 uC",IF(O309&lt;50,"30 ≤ Cor &lt; 50 uC","Cor &gt; 50 uC"))))))</f>
        <v>10 ≤ Cor &lt;15 uC</v>
      </c>
      <c r="BA309" s="137" t="str">
        <f>IF(N309="","",IF(N309&lt;2.5,"Turbidez &lt; 2,5 uT",IF(N309&lt;5,"2,5 ≤ Turb &lt; 5,0 uT",IF(N309&lt;7.5,"5,0 ≤ Turb &lt; 7,5 uT",IF(N309&lt;10,"7,5 ≤ Turb &lt; 10,0 uT",IF(N309&lt;15,"10,0 ≤ Turb &lt; 15,0 uT","Turb &gt; 15 uT"))))))</f>
        <v>Turbidez &lt; 2,5 uT</v>
      </c>
      <c r="BB309" s="138" t="str">
        <f>IF(AND(C309&gt;D309,D309&gt;E309),"TOR &gt; SM &gt; BNN",IF(AND(C309&gt;E309,E309&gt;D309),"TOR &gt; BNN &gt; SM",IF(AND(D309&gt;C309,C309&gt;E309),"SM &gt; TOR &gt; BNN",IF(AND(D309&gt;E309,E309&gt;C309),"SM &gt; BNN &gt; TOR",IF(AND(C309=D309,D309=E309),"TOR = SM = BNN","Comb. diferentes")))))</f>
        <v>Comb. diferentes</v>
      </c>
      <c r="BC309" s="137" t="str">
        <f>IF(OR(AD309="",AP309="-"),"",IF(AD309&lt;=0.25,"Tipo 1 (≤0,25) uT",IF(AD309&lt;=0.5,"Tipo 2 (0,25-0,50) uT",IF(AD309&lt;=0.75,"Tipo 3 (0,50-0,75) uT","Tipo 4 (&gt;0,75) uT"))))</f>
        <v>Tipo 2 (0,25-0,50) uT</v>
      </c>
      <c r="BD309" s="137" t="str">
        <f>IF(OR(AO309="",AY309="-"),"",IF(AO309&lt;=0.25,"Tipo 1 (≤0,25) uT",IF(AO309&lt;=0.5,"Tipo 2 (0,25-0,50) uT",IF(AO309&lt;=0.75,"Tipo 3 (0,50-0,75) uT","Tipo 4 (&gt;0,75) uT"))))</f>
        <v>Tipo 2 (0,25-0,50) uT</v>
      </c>
      <c r="BE309" s="137" t="str">
        <f>IF(OR(AE309="",AP309="-"),"",IF(AE309&lt;=0.25,"Tipo 1 (≤0,25) uT",IF(AE309&lt;=0.5,"Tipo 2 (0,25-0,50) uT",IF(AE309&lt;=0.75,"Tipo 3 (0,50-0,75) uT","Tipo 4 (&gt;0,75) uT"))))</f>
        <v>Tipo 2 (0,25-0,50) uT</v>
      </c>
      <c r="BF309" s="137" t="str">
        <f>IF(OR(AP309="",AP309="-"),"",IF(AP309&lt;=0.25,"Tipo 1 (≤0,25) uT",IF(AP309&lt;=0.5,"Tipo 2 (0,25-0,50) uT",IF(AP309&lt;=0.75,"Tipo 3 (0,50-0,75) uT","Tipo 4 (&gt;0,75) uT"))))</f>
        <v>Tipo 2 (0,25-0,50) uT</v>
      </c>
      <c r="BG309" s="137" t="str">
        <f>IF(OR(Q309="",Q309="-"),"",IF(Q309&lt;=0.25,"Tipo 1 (≤0,25) uT",IF(Q309&lt;=0.5,"Tipo 2 (0,25-0,50) uT",IF(Q309&lt;=0.75,"Tipo 3 (0,50-0,75) uT","Tipo 4 (&gt;0,75) uT"))))</f>
        <v>Tipo 1 (≤0,25) uT</v>
      </c>
    </row>
    <row r="310" spans="1:59" x14ac:dyDescent="0.3">
      <c r="A310" s="26">
        <v>46159</v>
      </c>
      <c r="B310" s="107">
        <v>0.47916666666666669</v>
      </c>
      <c r="C310" s="116">
        <v>555</v>
      </c>
      <c r="D310" s="116">
        <v>86</v>
      </c>
      <c r="E310" s="116">
        <v>620</v>
      </c>
      <c r="F310" s="116">
        <v>1291</v>
      </c>
      <c r="G310" s="10" t="s">
        <v>100</v>
      </c>
      <c r="H310" s="122">
        <v>6.9</v>
      </c>
      <c r="I310" s="116">
        <v>90</v>
      </c>
      <c r="J310" s="116">
        <v>90</v>
      </c>
      <c r="K310" s="116">
        <v>90</v>
      </c>
      <c r="L310" s="122">
        <v>25.2</v>
      </c>
      <c r="M310" s="122">
        <v>6.8</v>
      </c>
      <c r="N310" s="79">
        <v>2.2999999999999998</v>
      </c>
      <c r="O310" s="116">
        <v>10</v>
      </c>
      <c r="P310" s="122">
        <v>8.9</v>
      </c>
      <c r="Q310" s="79">
        <v>0.21</v>
      </c>
      <c r="R310" s="79">
        <v>22.36</v>
      </c>
      <c r="S310" s="79">
        <v>0.88</v>
      </c>
      <c r="T310" s="79">
        <v>0.7</v>
      </c>
      <c r="U310" s="85">
        <f t="shared" si="38"/>
        <v>1491.1049999999998</v>
      </c>
      <c r="V310" s="79">
        <f t="shared" si="39"/>
        <v>1445.2210473999999</v>
      </c>
      <c r="W310" s="79">
        <f t="shared" si="40"/>
        <v>0.96922822162087852</v>
      </c>
      <c r="X310" s="116">
        <v>1</v>
      </c>
      <c r="Y310" s="116">
        <v>2</v>
      </c>
      <c r="Z310" s="122">
        <v>6.5</v>
      </c>
      <c r="AA310" s="116">
        <v>17.899999999999999</v>
      </c>
      <c r="AB310" s="122">
        <v>6.7</v>
      </c>
      <c r="AC310" s="122">
        <v>7.5</v>
      </c>
      <c r="AD310" s="10">
        <v>0.2</v>
      </c>
      <c r="AE310" s="79">
        <v>0.36</v>
      </c>
      <c r="AF310" s="85">
        <f t="shared" si="41"/>
        <v>994.06999999999982</v>
      </c>
      <c r="AG310" s="85">
        <f t="shared" si="42"/>
        <v>1785.3353739000001</v>
      </c>
      <c r="AH310" s="85">
        <f t="shared" si="43"/>
        <v>1.7959855683201389</v>
      </c>
      <c r="AI310" s="116">
        <v>1</v>
      </c>
      <c r="AJ310" s="116">
        <v>3</v>
      </c>
      <c r="AK310" s="79">
        <v>6.41</v>
      </c>
      <c r="AL310" s="79">
        <v>22.5</v>
      </c>
      <c r="AM310" s="122">
        <v>6.8</v>
      </c>
      <c r="AN310" s="122">
        <v>7.1</v>
      </c>
      <c r="AO310" s="79">
        <v>0.46</v>
      </c>
      <c r="AP310" s="127">
        <v>0.26</v>
      </c>
      <c r="AQ310" s="132">
        <f t="shared" si="34"/>
        <v>1261</v>
      </c>
      <c r="AR310" s="134">
        <f t="shared" si="35"/>
        <v>0.44012688342585249</v>
      </c>
      <c r="AS310" s="134">
        <f t="shared" si="36"/>
        <v>6.8199841395717678E-2</v>
      </c>
      <c r="AT310" s="134">
        <f t="shared" si="37"/>
        <v>0.49167327517842979</v>
      </c>
      <c r="AU310" s="43">
        <f>IF(AND(F310&lt;&gt;"",Y310&lt;&gt;""),AA310/(F310/2/Y310),"")</f>
        <v>5.5460883036405881E-2</v>
      </c>
      <c r="AV310" s="43">
        <f>IF(AND(F310&lt;&gt;"",AJ310&lt;&gt;""),AL310/(F310/2/AJ310),"")</f>
        <v>0.104570100697134</v>
      </c>
      <c r="AW310" s="41">
        <f>IF(AND(AP310&lt;&gt;"",1-(AP310/N310)&gt;0),1-(AP310/N310),"")</f>
        <v>0.88695652173913042</v>
      </c>
      <c r="AX310" s="41">
        <f>IF(AND(AE310&lt;&gt;"",1-(AE310/N310)&gt;0),1-(AE310/N310),"")</f>
        <v>0.84347826086956523</v>
      </c>
      <c r="AY310" s="136" t="str">
        <f>IF(P310="","",IF(P310&lt;2.5,"Alc. Bruta &lt; 2,5 mg/L",IF(P310&lt;5,"2,5 ≤ Alc. Bruta &lt; 5,0 mg/L",IF(P310&lt;7.5,"5,0 ≤ Alc. Bruta &lt; 7,5 mg/L",IF(P310&lt;10,"7,5 ≤ Alc. Bruta &lt; 10,0 mg/L",IF(P310&lt;15,"10,0 ≤ Alca. Bruta &lt; 15,0 mg/L","Alc. Bruta &gt; 15 mg/L"))))))</f>
        <v>7,5 ≤ Alc. Bruta &lt; 10,0 mg/L</v>
      </c>
      <c r="AZ310" s="136" t="str">
        <f>IF(O310="","",IF(O310&lt;5,"Cor &lt;5 uC",IF(O310&lt;10,"5 ≤ Cor &lt; 10 uC",IF(O310&lt;15,"10 ≤ Cor &lt;15 uC",IF(O310&lt;30,"15 ≤ Cor &lt; 30 uC",IF(O310&lt;50,"30 ≤ Cor &lt; 50 uC","Cor &gt; 50 uC"))))))</f>
        <v>10 ≤ Cor &lt;15 uC</v>
      </c>
      <c r="BA310" s="137" t="str">
        <f>IF(N310="","",IF(N310&lt;2.5,"Turbidez &lt; 2,5 uT",IF(N310&lt;5,"2,5 ≤ Turb &lt; 5,0 uT",IF(N310&lt;7.5,"5,0 ≤ Turb &lt; 7,5 uT",IF(N310&lt;10,"7,5 ≤ Turb &lt; 10,0 uT",IF(N310&lt;15,"10,0 ≤ Turb &lt; 15,0 uT","Turb &gt; 15 uT"))))))</f>
        <v>Turbidez &lt; 2,5 uT</v>
      </c>
      <c r="BB310" s="138" t="str">
        <f>IF(AND(C310&gt;D310,D310&gt;E310),"TOR &gt; SM &gt; BNN",IF(AND(C310&gt;E310,E310&gt;D310),"TOR &gt; BNN &gt; SM",IF(AND(D310&gt;C310,C310&gt;E310),"SM &gt; TOR &gt; BNN",IF(AND(D310&gt;E310,E310&gt;C310),"SM &gt; BNN &gt; TOR",IF(AND(C310=D310,D310=E310),"TOR = SM = BNN","Comb. diferentes")))))</f>
        <v>Comb. diferentes</v>
      </c>
      <c r="BC310" s="137" t="str">
        <f>IF(OR(AD310="",AP310="-"),"",IF(AD310&lt;=0.25,"Tipo 1 (≤0,25) uT",IF(AD310&lt;=0.5,"Tipo 2 (0,25-0,50) uT",IF(AD310&lt;=0.75,"Tipo 3 (0,50-0,75) uT","Tipo 4 (&gt;0,75) uT"))))</f>
        <v>Tipo 1 (≤0,25) uT</v>
      </c>
      <c r="BD310" s="137" t="str">
        <f>IF(OR(AO310="",AY310="-"),"",IF(AO310&lt;=0.25,"Tipo 1 (≤0,25) uT",IF(AO310&lt;=0.5,"Tipo 2 (0,25-0,50) uT",IF(AO310&lt;=0.75,"Tipo 3 (0,50-0,75) uT","Tipo 4 (&gt;0,75) uT"))))</f>
        <v>Tipo 2 (0,25-0,50) uT</v>
      </c>
      <c r="BE310" s="137" t="str">
        <f>IF(OR(AE310="",AP310="-"),"",IF(AE310&lt;=0.25,"Tipo 1 (≤0,25) uT",IF(AE310&lt;=0.5,"Tipo 2 (0,25-0,50) uT",IF(AE310&lt;=0.75,"Tipo 3 (0,50-0,75) uT","Tipo 4 (&gt;0,75) uT"))))</f>
        <v>Tipo 2 (0,25-0,50) uT</v>
      </c>
      <c r="BF310" s="137" t="str">
        <f>IF(OR(AP310="",AP310="-"),"",IF(AP310&lt;=0.25,"Tipo 1 (≤0,25) uT",IF(AP310&lt;=0.5,"Tipo 2 (0,25-0,50) uT",IF(AP310&lt;=0.75,"Tipo 3 (0,50-0,75) uT","Tipo 4 (&gt;0,75) uT"))))</f>
        <v>Tipo 2 (0,25-0,50) uT</v>
      </c>
      <c r="BG310" s="137" t="str">
        <f>IF(OR(Q310="",Q310="-"),"",IF(Q310&lt;=0.25,"Tipo 1 (≤0,25) uT",IF(Q310&lt;=0.5,"Tipo 2 (0,25-0,50) uT",IF(Q310&lt;=0.75,"Tipo 3 (0,50-0,75) uT","Tipo 4 (&gt;0,75) uT"))))</f>
        <v>Tipo 1 (≤0,25) uT</v>
      </c>
    </row>
    <row r="311" spans="1:59" x14ac:dyDescent="0.3">
      <c r="A311" s="26">
        <v>46159</v>
      </c>
      <c r="B311" s="107">
        <v>0.64583333333333337</v>
      </c>
      <c r="C311" s="116">
        <v>1188</v>
      </c>
      <c r="D311" s="116">
        <v>87</v>
      </c>
      <c r="E311" s="116">
        <v>590</v>
      </c>
      <c r="F311" s="116">
        <v>1805</v>
      </c>
      <c r="G311" s="10" t="s">
        <v>100</v>
      </c>
      <c r="H311" s="122">
        <v>6.9</v>
      </c>
      <c r="I311" s="116">
        <v>90</v>
      </c>
      <c r="J311" s="116">
        <v>90</v>
      </c>
      <c r="K311" s="116">
        <v>90</v>
      </c>
      <c r="L311" s="122">
        <v>26.6</v>
      </c>
      <c r="M311" s="122">
        <v>6.9</v>
      </c>
      <c r="N311" s="79">
        <v>2.4700000000000002</v>
      </c>
      <c r="O311" s="116">
        <v>11</v>
      </c>
      <c r="P311" s="122">
        <v>8.1</v>
      </c>
      <c r="Q311" s="79">
        <v>0.49</v>
      </c>
      <c r="R311" s="79">
        <v>22.36</v>
      </c>
      <c r="S311" s="79">
        <v>0.88</v>
      </c>
      <c r="T311" s="79">
        <v>0.7</v>
      </c>
      <c r="U311" s="85">
        <f t="shared" si="38"/>
        <v>1440.9916666666666</v>
      </c>
      <c r="V311" s="79">
        <f t="shared" si="39"/>
        <v>1404.7956677560001</v>
      </c>
      <c r="W311" s="79">
        <f t="shared" si="40"/>
        <v>0.97488118790138745</v>
      </c>
      <c r="X311" s="116">
        <v>2</v>
      </c>
      <c r="Y311" s="116">
        <v>3</v>
      </c>
      <c r="Z311" s="122">
        <v>6.53</v>
      </c>
      <c r="AA311" s="116">
        <v>17.3</v>
      </c>
      <c r="AB311" s="122">
        <v>6.8</v>
      </c>
      <c r="AC311" s="122">
        <v>8.5</v>
      </c>
      <c r="AD311" s="10">
        <v>0.67</v>
      </c>
      <c r="AE311" s="79">
        <v>0.71</v>
      </c>
      <c r="AF311" s="85">
        <f t="shared" si="41"/>
        <v>1440.9916666666666</v>
      </c>
      <c r="AG311" s="85">
        <f t="shared" si="42"/>
        <v>1772.9107469839998</v>
      </c>
      <c r="AH311" s="85">
        <f t="shared" si="43"/>
        <v>1.2303407354777671</v>
      </c>
      <c r="AI311" s="116">
        <v>2</v>
      </c>
      <c r="AJ311" s="116">
        <v>3</v>
      </c>
      <c r="AK311" s="79">
        <v>6.42</v>
      </c>
      <c r="AL311" s="79">
        <v>22.3</v>
      </c>
      <c r="AM311" s="122">
        <v>6.9</v>
      </c>
      <c r="AN311" s="122">
        <v>7.9</v>
      </c>
      <c r="AO311" s="79">
        <v>0.42</v>
      </c>
      <c r="AP311" s="127">
        <v>0.5</v>
      </c>
      <c r="AQ311" s="132">
        <f t="shared" si="34"/>
        <v>1865</v>
      </c>
      <c r="AR311" s="134">
        <f t="shared" si="35"/>
        <v>0.63699731903485257</v>
      </c>
      <c r="AS311" s="134">
        <f t="shared" si="36"/>
        <v>4.6648793565683647E-2</v>
      </c>
      <c r="AT311" s="134">
        <f t="shared" si="37"/>
        <v>0.3163538873994638</v>
      </c>
      <c r="AU311" s="43">
        <f>IF(AND(F311&lt;&gt;"",Y311&lt;&gt;""),AA311/(F311/2/Y311),"")</f>
        <v>5.7506925207756236E-2</v>
      </c>
      <c r="AV311" s="43">
        <f>IF(AND(F311&lt;&gt;"",AJ311&lt;&gt;""),AL311/(F311/2/AJ311),"")</f>
        <v>7.4127423822714686E-2</v>
      </c>
      <c r="AW311" s="41">
        <f>IF(AND(AP311&lt;&gt;"",1-(AP311/N311)&gt;0),1-(AP311/N311),"")</f>
        <v>0.79757085020242913</v>
      </c>
      <c r="AX311" s="41">
        <f>IF(AND(AE311&lt;&gt;"",1-(AE311/N311)&gt;0),1-(AE311/N311),"")</f>
        <v>0.71255060728744946</v>
      </c>
      <c r="AY311" s="136" t="str">
        <f>IF(P311="","",IF(P311&lt;2.5,"Alc. Bruta &lt; 2,5 mg/L",IF(P311&lt;5,"2,5 ≤ Alc. Bruta &lt; 5,0 mg/L",IF(P311&lt;7.5,"5,0 ≤ Alc. Bruta &lt; 7,5 mg/L",IF(P311&lt;10,"7,5 ≤ Alc. Bruta &lt; 10,0 mg/L",IF(P311&lt;15,"10,0 ≤ Alca. Bruta &lt; 15,0 mg/L","Alc. Bruta &gt; 15 mg/L"))))))</f>
        <v>7,5 ≤ Alc. Bruta &lt; 10,0 mg/L</v>
      </c>
      <c r="AZ311" s="136" t="str">
        <f>IF(O311="","",IF(O311&lt;5,"Cor &lt;5 uC",IF(O311&lt;10,"5 ≤ Cor &lt; 10 uC",IF(O311&lt;15,"10 ≤ Cor &lt;15 uC",IF(O311&lt;30,"15 ≤ Cor &lt; 30 uC",IF(O311&lt;50,"30 ≤ Cor &lt; 50 uC","Cor &gt; 50 uC"))))))</f>
        <v>10 ≤ Cor &lt;15 uC</v>
      </c>
      <c r="BA311" s="137" t="str">
        <f>IF(N311="","",IF(N311&lt;2.5,"Turbidez &lt; 2,5 uT",IF(N311&lt;5,"2,5 ≤ Turb &lt; 5,0 uT",IF(N311&lt;7.5,"5,0 ≤ Turb &lt; 7,5 uT",IF(N311&lt;10,"7,5 ≤ Turb &lt; 10,0 uT",IF(N311&lt;15,"10,0 ≤ Turb &lt; 15,0 uT","Turb &gt; 15 uT"))))))</f>
        <v>Turbidez &lt; 2,5 uT</v>
      </c>
      <c r="BB311" s="138" t="str">
        <f>IF(AND(C311&gt;D311,D311&gt;E311),"TOR &gt; SM &gt; BNN",IF(AND(C311&gt;E311,E311&gt;D311),"TOR &gt; BNN &gt; SM",IF(AND(D311&gt;C311,C311&gt;E311),"SM &gt; TOR &gt; BNN",IF(AND(D311&gt;E311,E311&gt;C311),"SM &gt; BNN &gt; TOR",IF(AND(C311=D311,D311=E311),"TOR = SM = BNN","Comb. diferentes")))))</f>
        <v>TOR &gt; BNN &gt; SM</v>
      </c>
      <c r="BC311" s="137" t="str">
        <f>IF(OR(AD311="",AP311="-"),"",IF(AD311&lt;=0.25,"Tipo 1 (≤0,25) uT",IF(AD311&lt;=0.5,"Tipo 2 (0,25-0,50) uT",IF(AD311&lt;=0.75,"Tipo 3 (0,50-0,75) uT","Tipo 4 (&gt;0,75) uT"))))</f>
        <v>Tipo 3 (0,50-0,75) uT</v>
      </c>
      <c r="BD311" s="137" t="str">
        <f>IF(OR(AO311="",AY311="-"),"",IF(AO311&lt;=0.25,"Tipo 1 (≤0,25) uT",IF(AO311&lt;=0.5,"Tipo 2 (0,25-0,50) uT",IF(AO311&lt;=0.75,"Tipo 3 (0,50-0,75) uT","Tipo 4 (&gt;0,75) uT"))))</f>
        <v>Tipo 2 (0,25-0,50) uT</v>
      </c>
      <c r="BE311" s="137" t="str">
        <f>IF(OR(AE311="",AP311="-"),"",IF(AE311&lt;=0.25,"Tipo 1 (≤0,25) uT",IF(AE311&lt;=0.5,"Tipo 2 (0,25-0,50) uT",IF(AE311&lt;=0.75,"Tipo 3 (0,50-0,75) uT","Tipo 4 (&gt;0,75) uT"))))</f>
        <v>Tipo 3 (0,50-0,75) uT</v>
      </c>
      <c r="BF311" s="137" t="str">
        <f>IF(OR(AP311="",AP311="-"),"",IF(AP311&lt;=0.25,"Tipo 1 (≤0,25) uT",IF(AP311&lt;=0.5,"Tipo 2 (0,25-0,50) uT",IF(AP311&lt;=0.75,"Tipo 3 (0,50-0,75) uT","Tipo 4 (&gt;0,75) uT"))))</f>
        <v>Tipo 2 (0,25-0,50) uT</v>
      </c>
      <c r="BG311" s="137" t="str">
        <f>IF(OR(Q311="",Q311="-"),"",IF(Q311&lt;=0.25,"Tipo 1 (≤0,25) uT",IF(Q311&lt;=0.5,"Tipo 2 (0,25-0,50) uT",IF(Q311&lt;=0.75,"Tipo 3 (0,50-0,75) uT","Tipo 4 (&gt;0,75) uT"))))</f>
        <v>Tipo 2 (0,25-0,50) uT</v>
      </c>
    </row>
    <row r="312" spans="1:59" x14ac:dyDescent="0.3">
      <c r="A312" s="26">
        <v>46159</v>
      </c>
      <c r="B312" s="107">
        <v>0.72916666666666663</v>
      </c>
      <c r="C312" s="116">
        <v>1176</v>
      </c>
      <c r="D312" s="116">
        <v>87</v>
      </c>
      <c r="E312" s="116">
        <v>588</v>
      </c>
      <c r="F312" s="116">
        <v>1846</v>
      </c>
      <c r="G312" s="10" t="s">
        <v>100</v>
      </c>
      <c r="H312" s="122">
        <v>6.9</v>
      </c>
      <c r="I312" s="116">
        <v>90</v>
      </c>
      <c r="J312" s="116">
        <v>90</v>
      </c>
      <c r="K312" s="116">
        <v>90</v>
      </c>
      <c r="L312" s="122">
        <v>27.5</v>
      </c>
      <c r="M312" s="122">
        <v>6.8</v>
      </c>
      <c r="N312" s="79">
        <v>2.52</v>
      </c>
      <c r="O312" s="116">
        <v>12</v>
      </c>
      <c r="P312" s="122">
        <v>8.1999999999999993</v>
      </c>
      <c r="Q312" s="79">
        <v>0.75</v>
      </c>
      <c r="R312" s="79">
        <v>22.36</v>
      </c>
      <c r="S312" s="79">
        <v>0.88</v>
      </c>
      <c r="T312" s="79">
        <v>0.7</v>
      </c>
      <c r="U312" s="85">
        <f t="shared" si="38"/>
        <v>1489.1066666666668</v>
      </c>
      <c r="V312" s="79">
        <f t="shared" si="39"/>
        <v>1448.2140474359999</v>
      </c>
      <c r="W312" s="79">
        <f t="shared" si="40"/>
        <v>0.97253882468862751</v>
      </c>
      <c r="X312" s="116">
        <v>2</v>
      </c>
      <c r="Y312" s="116">
        <v>3</v>
      </c>
      <c r="Z312" s="122">
        <v>6.57</v>
      </c>
      <c r="AA312" s="116">
        <v>17.7</v>
      </c>
      <c r="AB312" s="122">
        <v>6.7</v>
      </c>
      <c r="AC312" s="122">
        <v>8.3000000000000007</v>
      </c>
      <c r="AD312" s="10">
        <v>0.89</v>
      </c>
      <c r="AE312" s="79">
        <v>1.1499999999999999</v>
      </c>
      <c r="AF312" s="85">
        <f t="shared" si="41"/>
        <v>1489.1066666666668</v>
      </c>
      <c r="AG312" s="85">
        <f t="shared" si="42"/>
        <v>1767.0191418879995</v>
      </c>
      <c r="AH312" s="85">
        <f t="shared" si="43"/>
        <v>1.1866303344430214</v>
      </c>
      <c r="AI312" s="116">
        <v>2</v>
      </c>
      <c r="AJ312" s="116">
        <v>3</v>
      </c>
      <c r="AK312" s="79">
        <v>6.38</v>
      </c>
      <c r="AL312" s="79">
        <v>22.4</v>
      </c>
      <c r="AM312" s="122">
        <v>6.8</v>
      </c>
      <c r="AN312" s="122">
        <v>7.7</v>
      </c>
      <c r="AO312" s="79">
        <v>0.45</v>
      </c>
      <c r="AP312" s="127">
        <v>0.43</v>
      </c>
      <c r="AQ312" s="132">
        <f t="shared" si="34"/>
        <v>1851</v>
      </c>
      <c r="AR312" s="134">
        <f t="shared" si="35"/>
        <v>0.63533225283630468</v>
      </c>
      <c r="AS312" s="134">
        <f t="shared" si="36"/>
        <v>4.7001620745542948E-2</v>
      </c>
      <c r="AT312" s="134">
        <f t="shared" si="37"/>
        <v>0.31766612641815234</v>
      </c>
      <c r="AU312" s="43">
        <f>IF(AND(F312&lt;&gt;"",Y312&lt;&gt;""),AA312/(F312/2/Y312),"")</f>
        <v>5.7529794149512453E-2</v>
      </c>
      <c r="AV312" s="43">
        <f>IF(AND(F312&lt;&gt;"",AJ312&lt;&gt;""),AL312/(F312/2/AJ312),"")</f>
        <v>7.2806067172264344E-2</v>
      </c>
      <c r="AW312" s="41">
        <f>IF(AND(AP312&lt;&gt;"",1-(AP312/N312)&gt;0),1-(AP312/N312),"")</f>
        <v>0.82936507936507931</v>
      </c>
      <c r="AX312" s="41">
        <f>IF(AND(AE312&lt;&gt;"",1-(AE312/N312)&gt;0),1-(AE312/N312),"")</f>
        <v>0.54365079365079372</v>
      </c>
      <c r="AY312" s="136" t="str">
        <f>IF(P312="","",IF(P312&lt;2.5,"Alc. Bruta &lt; 2,5 mg/L",IF(P312&lt;5,"2,5 ≤ Alc. Bruta &lt; 5,0 mg/L",IF(P312&lt;7.5,"5,0 ≤ Alc. Bruta &lt; 7,5 mg/L",IF(P312&lt;10,"7,5 ≤ Alc. Bruta &lt; 10,0 mg/L",IF(P312&lt;15,"10,0 ≤ Alca. Bruta &lt; 15,0 mg/L","Alc. Bruta &gt; 15 mg/L"))))))</f>
        <v>7,5 ≤ Alc. Bruta &lt; 10,0 mg/L</v>
      </c>
      <c r="AZ312" s="136" t="str">
        <f>IF(O312="","",IF(O312&lt;5,"Cor &lt;5 uC",IF(O312&lt;10,"5 ≤ Cor &lt; 10 uC",IF(O312&lt;15,"10 ≤ Cor &lt;15 uC",IF(O312&lt;30,"15 ≤ Cor &lt; 30 uC",IF(O312&lt;50,"30 ≤ Cor &lt; 50 uC","Cor &gt; 50 uC"))))))</f>
        <v>10 ≤ Cor &lt;15 uC</v>
      </c>
      <c r="BA312" s="137" t="str">
        <f>IF(N312="","",IF(N312&lt;2.5,"Turbidez &lt; 2,5 uT",IF(N312&lt;5,"2,5 ≤ Turb &lt; 5,0 uT",IF(N312&lt;7.5,"5,0 ≤ Turb &lt; 7,5 uT",IF(N312&lt;10,"7,5 ≤ Turb &lt; 10,0 uT",IF(N312&lt;15,"10,0 ≤ Turb &lt; 15,0 uT","Turb &gt; 15 uT"))))))</f>
        <v>2,5 ≤ Turb &lt; 5,0 uT</v>
      </c>
      <c r="BB312" s="138" t="str">
        <f>IF(AND(C312&gt;D312,D312&gt;E312),"TOR &gt; SM &gt; BNN",IF(AND(C312&gt;E312,E312&gt;D312),"TOR &gt; BNN &gt; SM",IF(AND(D312&gt;C312,C312&gt;E312),"SM &gt; TOR &gt; BNN",IF(AND(D312&gt;E312,E312&gt;C312),"SM &gt; BNN &gt; TOR",IF(AND(C312=D312,D312=E312),"TOR = SM = BNN","Comb. diferentes")))))</f>
        <v>TOR &gt; BNN &gt; SM</v>
      </c>
      <c r="BC312" s="137" t="str">
        <f>IF(OR(AD312="",AP312="-"),"",IF(AD312&lt;=0.25,"Tipo 1 (≤0,25) uT",IF(AD312&lt;=0.5,"Tipo 2 (0,25-0,50) uT",IF(AD312&lt;=0.75,"Tipo 3 (0,50-0,75) uT","Tipo 4 (&gt;0,75) uT"))))</f>
        <v>Tipo 4 (&gt;0,75) uT</v>
      </c>
      <c r="BD312" s="137" t="str">
        <f>IF(OR(AO312="",AY312="-"),"",IF(AO312&lt;=0.25,"Tipo 1 (≤0,25) uT",IF(AO312&lt;=0.5,"Tipo 2 (0,25-0,50) uT",IF(AO312&lt;=0.75,"Tipo 3 (0,50-0,75) uT","Tipo 4 (&gt;0,75) uT"))))</f>
        <v>Tipo 2 (0,25-0,50) uT</v>
      </c>
      <c r="BE312" s="137" t="str">
        <f>IF(OR(AE312="",AP312="-"),"",IF(AE312&lt;=0.25,"Tipo 1 (≤0,25) uT",IF(AE312&lt;=0.5,"Tipo 2 (0,25-0,50) uT",IF(AE312&lt;=0.75,"Tipo 3 (0,50-0,75) uT","Tipo 4 (&gt;0,75) uT"))))</f>
        <v>Tipo 4 (&gt;0,75) uT</v>
      </c>
      <c r="BF312" s="137" t="str">
        <f>IF(OR(AP312="",AP312="-"),"",IF(AP312&lt;=0.25,"Tipo 1 (≤0,25) uT",IF(AP312&lt;=0.5,"Tipo 2 (0,25-0,50) uT",IF(AP312&lt;=0.75,"Tipo 3 (0,50-0,75) uT","Tipo 4 (&gt;0,75) uT"))))</f>
        <v>Tipo 2 (0,25-0,50) uT</v>
      </c>
      <c r="BG312" s="137" t="str">
        <f>IF(OR(Q312="",Q312="-"),"",IF(Q312&lt;=0.25,"Tipo 1 (≤0,25) uT",IF(Q312&lt;=0.5,"Tipo 2 (0,25-0,50) uT",IF(Q312&lt;=0.75,"Tipo 3 (0,50-0,75) uT","Tipo 4 (&gt;0,75) uT"))))</f>
        <v>Tipo 3 (0,50-0,75) uT</v>
      </c>
    </row>
    <row r="313" spans="1:59" x14ac:dyDescent="0.3">
      <c r="A313" s="26">
        <v>46159</v>
      </c>
      <c r="B313" s="107">
        <v>0.8125</v>
      </c>
      <c r="C313" s="116">
        <v>1096</v>
      </c>
      <c r="D313" s="116">
        <v>87</v>
      </c>
      <c r="E313" s="116">
        <v>588</v>
      </c>
      <c r="F313" s="116">
        <v>1771</v>
      </c>
      <c r="G313" s="10" t="s">
        <v>100</v>
      </c>
      <c r="H313" s="122">
        <v>6.9</v>
      </c>
      <c r="I313" s="116">
        <v>90</v>
      </c>
      <c r="J313" s="116">
        <v>90</v>
      </c>
      <c r="K313" s="116">
        <v>90</v>
      </c>
      <c r="L313" s="122">
        <v>25.1</v>
      </c>
      <c r="M313" s="122">
        <v>6.7</v>
      </c>
      <c r="N313" s="79">
        <v>2.39</v>
      </c>
      <c r="O313" s="116">
        <v>11</v>
      </c>
      <c r="P313" s="122">
        <v>6.7</v>
      </c>
      <c r="Q313" s="79">
        <v>0.69</v>
      </c>
      <c r="R313" s="79">
        <v>22.36</v>
      </c>
      <c r="S313" s="79">
        <v>0.88</v>
      </c>
      <c r="T313" s="79">
        <v>0.7</v>
      </c>
      <c r="U313" s="85">
        <f t="shared" si="38"/>
        <v>1390.2350000000001</v>
      </c>
      <c r="V313" s="79">
        <f t="shared" si="39"/>
        <v>1372.556302</v>
      </c>
      <c r="W313" s="79">
        <f t="shared" si="40"/>
        <v>0.98728366211467833</v>
      </c>
      <c r="X313" s="116">
        <v>2</v>
      </c>
      <c r="Y313" s="116">
        <v>3</v>
      </c>
      <c r="Z313" s="122">
        <v>6.5</v>
      </c>
      <c r="AA313" s="116">
        <v>17</v>
      </c>
      <c r="AB313" s="122">
        <v>6.6</v>
      </c>
      <c r="AC313" s="122">
        <v>6.3</v>
      </c>
      <c r="AD313" s="10">
        <v>0.75</v>
      </c>
      <c r="AE313" s="79">
        <v>1.06</v>
      </c>
      <c r="AF313" s="85">
        <f t="shared" si="41"/>
        <v>1042.67625</v>
      </c>
      <c r="AG313" s="85">
        <f t="shared" si="42"/>
        <v>1832.1158143599996</v>
      </c>
      <c r="AH313" s="85">
        <f t="shared" si="43"/>
        <v>1.7571281731601729</v>
      </c>
      <c r="AI313" s="116">
        <v>2</v>
      </c>
      <c r="AJ313" s="116">
        <v>4</v>
      </c>
      <c r="AK313" s="79">
        <v>6.43</v>
      </c>
      <c r="AL313" s="79">
        <v>23</v>
      </c>
      <c r="AM313" s="122">
        <v>6.6</v>
      </c>
      <c r="AN313" s="122">
        <v>6</v>
      </c>
      <c r="AO313" s="79">
        <v>0.32</v>
      </c>
      <c r="AP313" s="127">
        <v>0.4</v>
      </c>
      <c r="AQ313" s="132">
        <f t="shared" si="34"/>
        <v>1771</v>
      </c>
      <c r="AR313" s="134">
        <f t="shared" si="35"/>
        <v>0.61885940146809715</v>
      </c>
      <c r="AS313" s="134">
        <f t="shared" si="36"/>
        <v>4.912478825522304E-2</v>
      </c>
      <c r="AT313" s="134">
        <f t="shared" si="37"/>
        <v>0.33201581027667987</v>
      </c>
      <c r="AU313" s="43">
        <f>IF(AND(F313&lt;&gt;"",Y313&lt;&gt;""),AA313/(F313/2/Y313),"")</f>
        <v>5.7594579333709768E-2</v>
      </c>
      <c r="AV313" s="43">
        <f>IF(AND(F313&lt;&gt;"",AJ313&lt;&gt;""),AL313/(F313/2/AJ313),"")</f>
        <v>0.1038961038961039</v>
      </c>
      <c r="AW313" s="41">
        <f>IF(AND(AP313&lt;&gt;"",1-(AP313/N313)&gt;0),1-(AP313/N313),"")</f>
        <v>0.83263598326359833</v>
      </c>
      <c r="AX313" s="41">
        <f>IF(AND(AE313&lt;&gt;"",1-(AE313/N313)&gt;0),1-(AE313/N313),"")</f>
        <v>0.55648535564853563</v>
      </c>
      <c r="AY313" s="136" t="str">
        <f>IF(P313="","",IF(P313&lt;2.5,"Alc. Bruta &lt; 2,5 mg/L",IF(P313&lt;5,"2,5 ≤ Alc. Bruta &lt; 5,0 mg/L",IF(P313&lt;7.5,"5,0 ≤ Alc. Bruta &lt; 7,5 mg/L",IF(P313&lt;10,"7,5 ≤ Alc. Bruta &lt; 10,0 mg/L",IF(P313&lt;15,"10,0 ≤ Alca. Bruta &lt; 15,0 mg/L","Alc. Bruta &gt; 15 mg/L"))))))</f>
        <v>5,0 ≤ Alc. Bruta &lt; 7,5 mg/L</v>
      </c>
      <c r="AZ313" s="136" t="str">
        <f>IF(O313="","",IF(O313&lt;5,"Cor &lt;5 uC",IF(O313&lt;10,"5 ≤ Cor &lt; 10 uC",IF(O313&lt;15,"10 ≤ Cor &lt;15 uC",IF(O313&lt;30,"15 ≤ Cor &lt; 30 uC",IF(O313&lt;50,"30 ≤ Cor &lt; 50 uC","Cor &gt; 50 uC"))))))</f>
        <v>10 ≤ Cor &lt;15 uC</v>
      </c>
      <c r="BA313" s="137" t="str">
        <f>IF(N313="","",IF(N313&lt;2.5,"Turbidez &lt; 2,5 uT",IF(N313&lt;5,"2,5 ≤ Turb &lt; 5,0 uT",IF(N313&lt;7.5,"5,0 ≤ Turb &lt; 7,5 uT",IF(N313&lt;10,"7,5 ≤ Turb &lt; 10,0 uT",IF(N313&lt;15,"10,0 ≤ Turb &lt; 15,0 uT","Turb &gt; 15 uT"))))))</f>
        <v>Turbidez &lt; 2,5 uT</v>
      </c>
      <c r="BB313" s="138" t="str">
        <f>IF(AND(C313&gt;D313,D313&gt;E313),"TOR &gt; SM &gt; BNN",IF(AND(C313&gt;E313,E313&gt;D313),"TOR &gt; BNN &gt; SM",IF(AND(D313&gt;C313,C313&gt;E313),"SM &gt; TOR &gt; BNN",IF(AND(D313&gt;E313,E313&gt;C313),"SM &gt; BNN &gt; TOR",IF(AND(C313=D313,D313=E313),"TOR = SM = BNN","Comb. diferentes")))))</f>
        <v>TOR &gt; BNN &gt; SM</v>
      </c>
      <c r="BC313" s="137" t="str">
        <f>IF(OR(AD313="",AP313="-"),"",IF(AD313&lt;=0.25,"Tipo 1 (≤0,25) uT",IF(AD313&lt;=0.5,"Tipo 2 (0,25-0,50) uT",IF(AD313&lt;=0.75,"Tipo 3 (0,50-0,75) uT","Tipo 4 (&gt;0,75) uT"))))</f>
        <v>Tipo 3 (0,50-0,75) uT</v>
      </c>
      <c r="BD313" s="137" t="str">
        <f>IF(OR(AO313="",AY313="-"),"",IF(AO313&lt;=0.25,"Tipo 1 (≤0,25) uT",IF(AO313&lt;=0.5,"Tipo 2 (0,25-0,50) uT",IF(AO313&lt;=0.75,"Tipo 3 (0,50-0,75) uT","Tipo 4 (&gt;0,75) uT"))))</f>
        <v>Tipo 2 (0,25-0,50) uT</v>
      </c>
      <c r="BE313" s="137" t="str">
        <f>IF(OR(AE313="",AP313="-"),"",IF(AE313&lt;=0.25,"Tipo 1 (≤0,25) uT",IF(AE313&lt;=0.5,"Tipo 2 (0,25-0,50) uT",IF(AE313&lt;=0.75,"Tipo 3 (0,50-0,75) uT","Tipo 4 (&gt;0,75) uT"))))</f>
        <v>Tipo 4 (&gt;0,75) uT</v>
      </c>
      <c r="BF313" s="137" t="str">
        <f>IF(OR(AP313="",AP313="-"),"",IF(AP313&lt;=0.25,"Tipo 1 (≤0,25) uT",IF(AP313&lt;=0.5,"Tipo 2 (0,25-0,50) uT",IF(AP313&lt;=0.75,"Tipo 3 (0,50-0,75) uT","Tipo 4 (&gt;0,75) uT"))))</f>
        <v>Tipo 2 (0,25-0,50) uT</v>
      </c>
      <c r="BG313" s="137" t="str">
        <f>IF(OR(Q313="",Q313="-"),"",IF(Q313&lt;=0.25,"Tipo 1 (≤0,25) uT",IF(Q313&lt;=0.5,"Tipo 2 (0,25-0,50) uT",IF(Q313&lt;=0.75,"Tipo 3 (0,50-0,75) uT","Tipo 4 (&gt;0,75) uT"))))</f>
        <v>Tipo 3 (0,50-0,75) uT</v>
      </c>
    </row>
    <row r="314" spans="1:59" x14ac:dyDescent="0.3">
      <c r="A314" s="26">
        <v>46159</v>
      </c>
      <c r="B314" s="107">
        <v>0.89583333333333337</v>
      </c>
      <c r="C314" s="116">
        <v>1201</v>
      </c>
      <c r="D314" s="116">
        <v>88</v>
      </c>
      <c r="E314" s="116">
        <v>587</v>
      </c>
      <c r="F314" s="116">
        <v>1876</v>
      </c>
      <c r="G314" s="10" t="s">
        <v>100</v>
      </c>
      <c r="H314" s="122">
        <v>6.9</v>
      </c>
      <c r="I314" s="116">
        <v>90</v>
      </c>
      <c r="J314" s="116">
        <v>90</v>
      </c>
      <c r="K314" s="116">
        <v>90</v>
      </c>
      <c r="L314" s="122">
        <v>24.8</v>
      </c>
      <c r="M314" s="122">
        <v>6.7</v>
      </c>
      <c r="N314" s="79">
        <v>3.09</v>
      </c>
      <c r="O314" s="116">
        <v>13</v>
      </c>
      <c r="P314" s="122">
        <v>6.9</v>
      </c>
      <c r="Q314" s="79">
        <v>0.49</v>
      </c>
      <c r="R314" s="79">
        <v>22.36</v>
      </c>
      <c r="S314" s="79">
        <v>0.88</v>
      </c>
      <c r="T314" s="79">
        <v>0.7</v>
      </c>
      <c r="U314" s="85">
        <f t="shared" si="38"/>
        <v>1691.5266666666669</v>
      </c>
      <c r="V314" s="79">
        <f t="shared" si="39"/>
        <v>1367.3038038399998</v>
      </c>
      <c r="W314" s="79">
        <f t="shared" si="40"/>
        <v>0.80832530209790743</v>
      </c>
      <c r="X314" s="116">
        <v>2</v>
      </c>
      <c r="Y314" s="116">
        <v>3</v>
      </c>
      <c r="Z314" s="122">
        <v>6.48</v>
      </c>
      <c r="AA314" s="116">
        <v>17</v>
      </c>
      <c r="AB314" s="122">
        <v>6.6</v>
      </c>
      <c r="AC314" s="122">
        <v>6.1</v>
      </c>
      <c r="AD314" s="10">
        <v>0.37</v>
      </c>
      <c r="AE314" s="79">
        <v>0.76</v>
      </c>
      <c r="AF314" s="85">
        <f t="shared" si="41"/>
        <v>1268.645</v>
      </c>
      <c r="AG314" s="85">
        <f t="shared" si="42"/>
        <v>1821.4563327999999</v>
      </c>
      <c r="AH314" s="85">
        <f t="shared" si="43"/>
        <v>1.4357494277753036</v>
      </c>
      <c r="AI314" s="116">
        <v>2</v>
      </c>
      <c r="AJ314" s="116">
        <v>4</v>
      </c>
      <c r="AK314" s="79">
        <v>6.4</v>
      </c>
      <c r="AL314" s="79">
        <v>23</v>
      </c>
      <c r="AM314" s="122">
        <v>6.5</v>
      </c>
      <c r="AN314" s="122">
        <v>6.2</v>
      </c>
      <c r="AO314" s="79">
        <v>0.28000000000000003</v>
      </c>
      <c r="AP314" s="127">
        <v>0.38</v>
      </c>
      <c r="AQ314" s="132">
        <f t="shared" si="34"/>
        <v>1876</v>
      </c>
      <c r="AR314" s="134">
        <f t="shared" si="35"/>
        <v>0.64019189765458417</v>
      </c>
      <c r="AS314" s="134">
        <f t="shared" si="36"/>
        <v>4.6908315565031986E-2</v>
      </c>
      <c r="AT314" s="134">
        <f t="shared" si="37"/>
        <v>0.31289978678038377</v>
      </c>
      <c r="AU314" s="43">
        <f>IF(AND(F314&lt;&gt;"",Y314&lt;&gt;""),AA314/(F314/2/Y314),"")</f>
        <v>5.4371002132196158E-2</v>
      </c>
      <c r="AV314" s="43">
        <f>IF(AND(F314&lt;&gt;"",AJ314&lt;&gt;""),AL314/(F314/2/AJ314),"")</f>
        <v>9.8081023454157784E-2</v>
      </c>
      <c r="AW314" s="41">
        <f>IF(AND(AP314&lt;&gt;"",1-(AP314/N314)&gt;0),1-(AP314/N314),"")</f>
        <v>0.87702265372168287</v>
      </c>
      <c r="AX314" s="41">
        <f>IF(AND(AE314&lt;&gt;"",1-(AE314/N314)&gt;0),1-(AE314/N314),"")</f>
        <v>0.75404530744336573</v>
      </c>
      <c r="AY314" s="136" t="str">
        <f>IF(P314="","",IF(P314&lt;2.5,"Alc. Bruta &lt; 2,5 mg/L",IF(P314&lt;5,"2,5 ≤ Alc. Bruta &lt; 5,0 mg/L",IF(P314&lt;7.5,"5,0 ≤ Alc. Bruta &lt; 7,5 mg/L",IF(P314&lt;10,"7,5 ≤ Alc. Bruta &lt; 10,0 mg/L",IF(P314&lt;15,"10,0 ≤ Alca. Bruta &lt; 15,0 mg/L","Alc. Bruta &gt; 15 mg/L"))))))</f>
        <v>5,0 ≤ Alc. Bruta &lt; 7,5 mg/L</v>
      </c>
      <c r="AZ314" s="136" t="str">
        <f>IF(O314="","",IF(O314&lt;5,"Cor &lt;5 uC",IF(O314&lt;10,"5 ≤ Cor &lt; 10 uC",IF(O314&lt;15,"10 ≤ Cor &lt;15 uC",IF(O314&lt;30,"15 ≤ Cor &lt; 30 uC",IF(O314&lt;50,"30 ≤ Cor &lt; 50 uC","Cor &gt; 50 uC"))))))</f>
        <v>10 ≤ Cor &lt;15 uC</v>
      </c>
      <c r="BA314" s="137" t="str">
        <f>IF(N314="","",IF(N314&lt;2.5,"Turbidez &lt; 2,5 uT",IF(N314&lt;5,"2,5 ≤ Turb &lt; 5,0 uT",IF(N314&lt;7.5,"5,0 ≤ Turb &lt; 7,5 uT",IF(N314&lt;10,"7,5 ≤ Turb &lt; 10,0 uT",IF(N314&lt;15,"10,0 ≤ Turb &lt; 15,0 uT","Turb &gt; 15 uT"))))))</f>
        <v>2,5 ≤ Turb &lt; 5,0 uT</v>
      </c>
      <c r="BB314" s="138" t="str">
        <f>IF(AND(C314&gt;D314,D314&gt;E314),"TOR &gt; SM &gt; BNN",IF(AND(C314&gt;E314,E314&gt;D314),"TOR &gt; BNN &gt; SM",IF(AND(D314&gt;C314,C314&gt;E314),"SM &gt; TOR &gt; BNN",IF(AND(D314&gt;E314,E314&gt;C314),"SM &gt; BNN &gt; TOR",IF(AND(C314=D314,D314=E314),"TOR = SM = BNN","Comb. diferentes")))))</f>
        <v>TOR &gt; BNN &gt; SM</v>
      </c>
      <c r="BC314" s="137" t="str">
        <f>IF(OR(AD314="",AP314="-"),"",IF(AD314&lt;=0.25,"Tipo 1 (≤0,25) uT",IF(AD314&lt;=0.5,"Tipo 2 (0,25-0,50) uT",IF(AD314&lt;=0.75,"Tipo 3 (0,50-0,75) uT","Tipo 4 (&gt;0,75) uT"))))</f>
        <v>Tipo 2 (0,25-0,50) uT</v>
      </c>
      <c r="BD314" s="137" t="str">
        <f>IF(OR(AO314="",AY314="-"),"",IF(AO314&lt;=0.25,"Tipo 1 (≤0,25) uT",IF(AO314&lt;=0.5,"Tipo 2 (0,25-0,50) uT",IF(AO314&lt;=0.75,"Tipo 3 (0,50-0,75) uT","Tipo 4 (&gt;0,75) uT"))))</f>
        <v>Tipo 2 (0,25-0,50) uT</v>
      </c>
      <c r="BE314" s="137" t="str">
        <f>IF(OR(AE314="",AP314="-"),"",IF(AE314&lt;=0.25,"Tipo 1 (≤0,25) uT",IF(AE314&lt;=0.5,"Tipo 2 (0,25-0,50) uT",IF(AE314&lt;=0.75,"Tipo 3 (0,50-0,75) uT","Tipo 4 (&gt;0,75) uT"))))</f>
        <v>Tipo 4 (&gt;0,75) uT</v>
      </c>
      <c r="BF314" s="137" t="str">
        <f>IF(OR(AP314="",AP314="-"),"",IF(AP314&lt;=0.25,"Tipo 1 (≤0,25) uT",IF(AP314&lt;=0.5,"Tipo 2 (0,25-0,50) uT",IF(AP314&lt;=0.75,"Tipo 3 (0,50-0,75) uT","Tipo 4 (&gt;0,75) uT"))))</f>
        <v>Tipo 2 (0,25-0,50) uT</v>
      </c>
      <c r="BG314" s="137" t="str">
        <f>IF(OR(Q314="",Q314="-"),"",IF(Q314&lt;=0.25,"Tipo 1 (≤0,25) uT",IF(Q314&lt;=0.5,"Tipo 2 (0,25-0,50) uT",IF(Q314&lt;=0.75,"Tipo 3 (0,50-0,75) uT","Tipo 4 (&gt;0,75) uT"))))</f>
        <v>Tipo 2 (0,25-0,50) uT</v>
      </c>
    </row>
    <row r="315" spans="1:59" x14ac:dyDescent="0.3">
      <c r="A315" s="26">
        <v>46160</v>
      </c>
      <c r="B315" s="107">
        <v>6.25E-2</v>
      </c>
      <c r="C315" s="116">
        <v>1203</v>
      </c>
      <c r="D315" s="116">
        <v>88</v>
      </c>
      <c r="E315" s="116">
        <v>588</v>
      </c>
      <c r="F315" s="116">
        <v>1879</v>
      </c>
      <c r="G315" s="10" t="s">
        <v>100</v>
      </c>
      <c r="H315" s="122">
        <v>6.9</v>
      </c>
      <c r="I315" s="116">
        <v>90</v>
      </c>
      <c r="J315" s="116">
        <v>90</v>
      </c>
      <c r="K315" s="116">
        <v>90</v>
      </c>
      <c r="L315" s="122">
        <v>24.8</v>
      </c>
      <c r="M315" s="122">
        <v>6.7</v>
      </c>
      <c r="N315" s="79">
        <v>2.38</v>
      </c>
      <c r="O315" s="116">
        <v>11</v>
      </c>
      <c r="P315" s="122">
        <v>7.2</v>
      </c>
      <c r="Q315" s="79">
        <v>0.42</v>
      </c>
      <c r="R315" s="79">
        <v>22.36</v>
      </c>
      <c r="S315" s="79">
        <v>0.88</v>
      </c>
      <c r="T315" s="79">
        <v>0.7</v>
      </c>
      <c r="U315" s="85">
        <f t="shared" si="38"/>
        <v>1471.8833333333332</v>
      </c>
      <c r="V315" s="79">
        <f t="shared" si="39"/>
        <v>1372.556302</v>
      </c>
      <c r="W315" s="79">
        <f t="shared" si="40"/>
        <v>0.93251704867912999</v>
      </c>
      <c r="X315" s="116">
        <v>2</v>
      </c>
      <c r="Y315" s="116">
        <v>3</v>
      </c>
      <c r="Z315" s="122">
        <v>6.5</v>
      </c>
      <c r="AA315" s="116">
        <v>17</v>
      </c>
      <c r="AB315" s="122">
        <v>6.6</v>
      </c>
      <c r="AC315" s="122">
        <v>6.1</v>
      </c>
      <c r="AD315" s="10">
        <v>0.64</v>
      </c>
      <c r="AE315" s="79">
        <v>0.8</v>
      </c>
      <c r="AF315" s="85">
        <f t="shared" si="41"/>
        <v>1103.9124999999999</v>
      </c>
      <c r="AG315" s="85">
        <f t="shared" si="42"/>
        <v>1825.0094933200003</v>
      </c>
      <c r="AH315" s="85">
        <f t="shared" si="43"/>
        <v>1.6532193387791156</v>
      </c>
      <c r="AI315" s="116">
        <v>2</v>
      </c>
      <c r="AJ315" s="116">
        <v>4</v>
      </c>
      <c r="AK315" s="79">
        <v>6.41</v>
      </c>
      <c r="AL315" s="79">
        <v>23</v>
      </c>
      <c r="AM315" s="122">
        <v>6.5</v>
      </c>
      <c r="AN315" s="122">
        <v>6.2</v>
      </c>
      <c r="AO315" s="79">
        <v>0.24</v>
      </c>
      <c r="AP315" s="127">
        <v>0.28999999999999998</v>
      </c>
      <c r="AQ315" s="132">
        <f t="shared" si="34"/>
        <v>1879</v>
      </c>
      <c r="AR315" s="134">
        <f t="shared" si="35"/>
        <v>0.64023416711016501</v>
      </c>
      <c r="AS315" s="134">
        <f t="shared" si="36"/>
        <v>4.6833422032996272E-2</v>
      </c>
      <c r="AT315" s="134">
        <f t="shared" si="37"/>
        <v>0.31293241085683876</v>
      </c>
      <c r="AU315" s="43">
        <f>IF(AND(F315&lt;&gt;"",Y315&lt;&gt;""),AA315/(F315/2/Y315),"")</f>
        <v>5.4284193720063857E-2</v>
      </c>
      <c r="AV315" s="43">
        <f>IF(AND(F315&lt;&gt;"",AJ315&lt;&gt;""),AL315/(F315/2/AJ315),"")</f>
        <v>9.7924427887174023E-2</v>
      </c>
      <c r="AW315" s="41">
        <f>IF(AND(AP315&lt;&gt;"",1-(AP315/N315)&gt;0),1-(AP315/N315),"")</f>
        <v>0.87815126050420167</v>
      </c>
      <c r="AX315" s="41">
        <f>IF(AND(AE315&lt;&gt;"",1-(AE315/N315)&gt;0),1-(AE315/N315),"")</f>
        <v>0.66386554621848737</v>
      </c>
      <c r="AY315" s="136" t="str">
        <f>IF(P315="","",IF(P315&lt;2.5,"Alc. Bruta &lt; 2,5 mg/L",IF(P315&lt;5,"2,5 ≤ Alc. Bruta &lt; 5,0 mg/L",IF(P315&lt;7.5,"5,0 ≤ Alc. Bruta &lt; 7,5 mg/L",IF(P315&lt;10,"7,5 ≤ Alc. Bruta &lt; 10,0 mg/L",IF(P315&lt;15,"10,0 ≤ Alca. Bruta &lt; 15,0 mg/L","Alc. Bruta &gt; 15 mg/L"))))))</f>
        <v>5,0 ≤ Alc. Bruta &lt; 7,5 mg/L</v>
      </c>
      <c r="AZ315" s="136" t="str">
        <f>IF(O315="","",IF(O315&lt;5,"Cor &lt;5 uC",IF(O315&lt;10,"5 ≤ Cor &lt; 10 uC",IF(O315&lt;15,"10 ≤ Cor &lt;15 uC",IF(O315&lt;30,"15 ≤ Cor &lt; 30 uC",IF(O315&lt;50,"30 ≤ Cor &lt; 50 uC","Cor &gt; 50 uC"))))))</f>
        <v>10 ≤ Cor &lt;15 uC</v>
      </c>
      <c r="BA315" s="137" t="str">
        <f>IF(N315="","",IF(N315&lt;2.5,"Turbidez &lt; 2,5 uT",IF(N315&lt;5,"2,5 ≤ Turb &lt; 5,0 uT",IF(N315&lt;7.5,"5,0 ≤ Turb &lt; 7,5 uT",IF(N315&lt;10,"7,5 ≤ Turb &lt; 10,0 uT",IF(N315&lt;15,"10,0 ≤ Turb &lt; 15,0 uT","Turb &gt; 15 uT"))))))</f>
        <v>Turbidez &lt; 2,5 uT</v>
      </c>
      <c r="BB315" s="138" t="str">
        <f>IF(AND(C315&gt;D315,D315&gt;E315),"TOR &gt; SM &gt; BNN",IF(AND(C315&gt;E315,E315&gt;D315),"TOR &gt; BNN &gt; SM",IF(AND(D315&gt;C315,C315&gt;E315),"SM &gt; TOR &gt; BNN",IF(AND(D315&gt;E315,E315&gt;C315),"SM &gt; BNN &gt; TOR",IF(AND(C315=D315,D315=E315),"TOR = SM = BNN","Comb. diferentes")))))</f>
        <v>TOR &gt; BNN &gt; SM</v>
      </c>
      <c r="BC315" s="137" t="str">
        <f>IF(OR(AD315="",AP315="-"),"",IF(AD315&lt;=0.25,"Tipo 1 (≤0,25) uT",IF(AD315&lt;=0.5,"Tipo 2 (0,25-0,50) uT",IF(AD315&lt;=0.75,"Tipo 3 (0,50-0,75) uT","Tipo 4 (&gt;0,75) uT"))))</f>
        <v>Tipo 3 (0,50-0,75) uT</v>
      </c>
      <c r="BD315" s="137" t="str">
        <f>IF(OR(AO315="",AY315="-"),"",IF(AO315&lt;=0.25,"Tipo 1 (≤0,25) uT",IF(AO315&lt;=0.5,"Tipo 2 (0,25-0,50) uT",IF(AO315&lt;=0.75,"Tipo 3 (0,50-0,75) uT","Tipo 4 (&gt;0,75) uT"))))</f>
        <v>Tipo 1 (≤0,25) uT</v>
      </c>
      <c r="BE315" s="137" t="str">
        <f>IF(OR(AE315="",AP315="-"),"",IF(AE315&lt;=0.25,"Tipo 1 (≤0,25) uT",IF(AE315&lt;=0.5,"Tipo 2 (0,25-0,50) uT",IF(AE315&lt;=0.75,"Tipo 3 (0,50-0,75) uT","Tipo 4 (&gt;0,75) uT"))))</f>
        <v>Tipo 4 (&gt;0,75) uT</v>
      </c>
      <c r="BF315" s="137" t="str">
        <f>IF(OR(AP315="",AP315="-"),"",IF(AP315&lt;=0.25,"Tipo 1 (≤0,25) uT",IF(AP315&lt;=0.5,"Tipo 2 (0,25-0,50) uT",IF(AP315&lt;=0.75,"Tipo 3 (0,50-0,75) uT","Tipo 4 (&gt;0,75) uT"))))</f>
        <v>Tipo 2 (0,25-0,50) uT</v>
      </c>
      <c r="BG315" s="137" t="str">
        <f>IF(OR(Q315="",Q315="-"),"",IF(Q315&lt;=0.25,"Tipo 1 (≤0,25) uT",IF(Q315&lt;=0.5,"Tipo 2 (0,25-0,50) uT",IF(Q315&lt;=0.75,"Tipo 3 (0,50-0,75) uT","Tipo 4 (&gt;0,75) uT"))))</f>
        <v>Tipo 2 (0,25-0,50) uT</v>
      </c>
    </row>
    <row r="316" spans="1:59" x14ac:dyDescent="0.3">
      <c r="A316" s="26">
        <v>46160</v>
      </c>
      <c r="B316" s="107">
        <v>0.14583333333333334</v>
      </c>
      <c r="C316" s="116">
        <v>1038</v>
      </c>
      <c r="D316" s="116">
        <v>88</v>
      </c>
      <c r="E316" s="116">
        <v>588</v>
      </c>
      <c r="F316" s="116">
        <v>1714</v>
      </c>
      <c r="G316" s="10" t="s">
        <v>100</v>
      </c>
      <c r="H316" s="122">
        <v>6.9</v>
      </c>
      <c r="I316" s="116">
        <v>90</v>
      </c>
      <c r="J316" s="116">
        <v>90</v>
      </c>
      <c r="K316" s="116">
        <v>90</v>
      </c>
      <c r="L316" s="122">
        <v>24.8</v>
      </c>
      <c r="M316" s="122">
        <v>6.7</v>
      </c>
      <c r="N316" s="79">
        <v>2.5</v>
      </c>
      <c r="O316" s="116">
        <v>12</v>
      </c>
      <c r="P316" s="122">
        <v>6.4</v>
      </c>
      <c r="Q316" s="79">
        <v>0.39</v>
      </c>
      <c r="R316" s="79">
        <v>22.36</v>
      </c>
      <c r="S316" s="79">
        <v>0.88</v>
      </c>
      <c r="T316" s="79">
        <v>0.7</v>
      </c>
      <c r="U316" s="85">
        <f t="shared" si="38"/>
        <v>1376.9133333333334</v>
      </c>
      <c r="V316" s="79">
        <f t="shared" si="39"/>
        <v>1372.556302</v>
      </c>
      <c r="W316" s="79">
        <f t="shared" si="40"/>
        <v>0.99683565317594414</v>
      </c>
      <c r="X316" s="116">
        <v>2</v>
      </c>
      <c r="Y316" s="116">
        <v>3</v>
      </c>
      <c r="Z316" s="122">
        <v>6.5</v>
      </c>
      <c r="AA316" s="116">
        <v>17</v>
      </c>
      <c r="AB316" s="122">
        <v>6.5</v>
      </c>
      <c r="AC316" s="122">
        <v>5.6</v>
      </c>
      <c r="AD316" s="10">
        <v>0.18</v>
      </c>
      <c r="AE316" s="79">
        <v>0.38</v>
      </c>
      <c r="AF316" s="85">
        <f t="shared" si="41"/>
        <v>1032.6850000000002</v>
      </c>
      <c r="AG316" s="85">
        <f t="shared" si="42"/>
        <v>1832.1158143599996</v>
      </c>
      <c r="AH316" s="85">
        <f t="shared" si="43"/>
        <v>1.7741284267322555</v>
      </c>
      <c r="AI316" s="116">
        <v>2</v>
      </c>
      <c r="AJ316" s="116">
        <v>4</v>
      </c>
      <c r="AK316" s="79">
        <v>6.43</v>
      </c>
      <c r="AL316" s="79">
        <v>23</v>
      </c>
      <c r="AM316" s="122">
        <v>6.6</v>
      </c>
      <c r="AN316" s="122">
        <v>5.8</v>
      </c>
      <c r="AO316" s="79">
        <v>0.99</v>
      </c>
      <c r="AP316" s="127">
        <v>0.71</v>
      </c>
      <c r="AQ316" s="132">
        <f t="shared" si="34"/>
        <v>1714</v>
      </c>
      <c r="AR316" s="134">
        <f t="shared" si="35"/>
        <v>0.60560093348891486</v>
      </c>
      <c r="AS316" s="134">
        <f t="shared" si="36"/>
        <v>5.1341890315052506E-2</v>
      </c>
      <c r="AT316" s="134">
        <f t="shared" si="37"/>
        <v>0.34305717619603265</v>
      </c>
      <c r="AU316" s="43">
        <f>IF(AND(F316&lt;&gt;"",Y316&lt;&gt;""),AA316/(F316/2/Y316),"")</f>
        <v>5.9509918319719947E-2</v>
      </c>
      <c r="AV316" s="43">
        <f>IF(AND(F316&lt;&gt;"",AJ316&lt;&gt;""),AL316/(F316/2/AJ316),"")</f>
        <v>0.10735122520420071</v>
      </c>
      <c r="AW316" s="41">
        <f>IF(AND(AP316&lt;&gt;"",1-(AP316/N316)&gt;0),1-(AP316/N316),"")</f>
        <v>0.71599999999999997</v>
      </c>
      <c r="AX316" s="41">
        <f>IF(AND(AE316&lt;&gt;"",1-(AE316/N316)&gt;0),1-(AE316/N316),"")</f>
        <v>0.84799999999999998</v>
      </c>
      <c r="AY316" s="136" t="str">
        <f>IF(P316="","",IF(P316&lt;2.5,"Alc. Bruta &lt; 2,5 mg/L",IF(P316&lt;5,"2,5 ≤ Alc. Bruta &lt; 5,0 mg/L",IF(P316&lt;7.5,"5,0 ≤ Alc. Bruta &lt; 7,5 mg/L",IF(P316&lt;10,"7,5 ≤ Alc. Bruta &lt; 10,0 mg/L",IF(P316&lt;15,"10,0 ≤ Alca. Bruta &lt; 15,0 mg/L","Alc. Bruta &gt; 15 mg/L"))))))</f>
        <v>5,0 ≤ Alc. Bruta &lt; 7,5 mg/L</v>
      </c>
      <c r="AZ316" s="136" t="str">
        <f>IF(O316="","",IF(O316&lt;5,"Cor &lt;5 uC",IF(O316&lt;10,"5 ≤ Cor &lt; 10 uC",IF(O316&lt;15,"10 ≤ Cor &lt;15 uC",IF(O316&lt;30,"15 ≤ Cor &lt; 30 uC",IF(O316&lt;50,"30 ≤ Cor &lt; 50 uC","Cor &gt; 50 uC"))))))</f>
        <v>10 ≤ Cor &lt;15 uC</v>
      </c>
      <c r="BA316" s="137" t="str">
        <f>IF(N316="","",IF(N316&lt;2.5,"Turbidez &lt; 2,5 uT",IF(N316&lt;5,"2,5 ≤ Turb &lt; 5,0 uT",IF(N316&lt;7.5,"5,0 ≤ Turb &lt; 7,5 uT",IF(N316&lt;10,"7,5 ≤ Turb &lt; 10,0 uT",IF(N316&lt;15,"10,0 ≤ Turb &lt; 15,0 uT","Turb &gt; 15 uT"))))))</f>
        <v>2,5 ≤ Turb &lt; 5,0 uT</v>
      </c>
      <c r="BB316" s="138" t="str">
        <f>IF(AND(C316&gt;D316,D316&gt;E316),"TOR &gt; SM &gt; BNN",IF(AND(C316&gt;E316,E316&gt;D316),"TOR &gt; BNN &gt; SM",IF(AND(D316&gt;C316,C316&gt;E316),"SM &gt; TOR &gt; BNN",IF(AND(D316&gt;E316,E316&gt;C316),"SM &gt; BNN &gt; TOR",IF(AND(C316=D316,D316=E316),"TOR = SM = BNN","Comb. diferentes")))))</f>
        <v>TOR &gt; BNN &gt; SM</v>
      </c>
      <c r="BC316" s="137" t="str">
        <f>IF(OR(AD316="",AP316="-"),"",IF(AD316&lt;=0.25,"Tipo 1 (≤0,25) uT",IF(AD316&lt;=0.5,"Tipo 2 (0,25-0,50) uT",IF(AD316&lt;=0.75,"Tipo 3 (0,50-0,75) uT","Tipo 4 (&gt;0,75) uT"))))</f>
        <v>Tipo 1 (≤0,25) uT</v>
      </c>
      <c r="BD316" s="137" t="str">
        <f>IF(OR(AO316="",AY316="-"),"",IF(AO316&lt;=0.25,"Tipo 1 (≤0,25) uT",IF(AO316&lt;=0.5,"Tipo 2 (0,25-0,50) uT",IF(AO316&lt;=0.75,"Tipo 3 (0,50-0,75) uT","Tipo 4 (&gt;0,75) uT"))))</f>
        <v>Tipo 4 (&gt;0,75) uT</v>
      </c>
      <c r="BE316" s="137" t="str">
        <f>IF(OR(AE316="",AP316="-"),"",IF(AE316&lt;=0.25,"Tipo 1 (≤0,25) uT",IF(AE316&lt;=0.5,"Tipo 2 (0,25-0,50) uT",IF(AE316&lt;=0.75,"Tipo 3 (0,50-0,75) uT","Tipo 4 (&gt;0,75) uT"))))</f>
        <v>Tipo 2 (0,25-0,50) uT</v>
      </c>
      <c r="BF316" s="137" t="str">
        <f>IF(OR(AP316="",AP316="-"),"",IF(AP316&lt;=0.25,"Tipo 1 (≤0,25) uT",IF(AP316&lt;=0.5,"Tipo 2 (0,25-0,50) uT",IF(AP316&lt;=0.75,"Tipo 3 (0,50-0,75) uT","Tipo 4 (&gt;0,75) uT"))))</f>
        <v>Tipo 3 (0,50-0,75) uT</v>
      </c>
      <c r="BG316" s="137" t="str">
        <f>IF(OR(Q316="",Q316="-"),"",IF(Q316&lt;=0.25,"Tipo 1 (≤0,25) uT",IF(Q316&lt;=0.5,"Tipo 2 (0,25-0,50) uT",IF(Q316&lt;=0.75,"Tipo 3 (0,50-0,75) uT","Tipo 4 (&gt;0,75) uT"))))</f>
        <v>Tipo 2 (0,25-0,50) uT</v>
      </c>
    </row>
    <row r="317" spans="1:59" ht="15" thickBot="1" x14ac:dyDescent="0.35">
      <c r="A317" s="26">
        <v>46160</v>
      </c>
      <c r="B317" s="110">
        <v>0.22916666666666666</v>
      </c>
      <c r="C317" s="117">
        <v>1177</v>
      </c>
      <c r="D317" s="117">
        <v>84</v>
      </c>
      <c r="E317" s="117">
        <v>588</v>
      </c>
      <c r="F317" s="117">
        <v>1849</v>
      </c>
      <c r="G317" s="11" t="s">
        <v>100</v>
      </c>
      <c r="H317" s="123">
        <v>6.9</v>
      </c>
      <c r="I317" s="117">
        <v>90</v>
      </c>
      <c r="J317" s="117">
        <v>90</v>
      </c>
      <c r="K317" s="117">
        <v>90</v>
      </c>
      <c r="L317" s="123">
        <v>24.4</v>
      </c>
      <c r="M317" s="123">
        <v>6.7</v>
      </c>
      <c r="N317" s="80">
        <v>2.35</v>
      </c>
      <c r="O317" s="117">
        <v>11</v>
      </c>
      <c r="P317" s="123">
        <v>6.9</v>
      </c>
      <c r="Q317" s="80">
        <v>0.45</v>
      </c>
      <c r="R317" s="79">
        <v>22.36</v>
      </c>
      <c r="S317" s="79">
        <v>0.88</v>
      </c>
      <c r="T317" s="79">
        <v>0.7</v>
      </c>
      <c r="U317" s="85">
        <f t="shared" si="38"/>
        <v>1439.1383333333333</v>
      </c>
      <c r="V317" s="79">
        <f t="shared" si="39"/>
        <v>1369.9300529199998</v>
      </c>
      <c r="W317" s="79">
        <f t="shared" si="40"/>
        <v>0.95190991803197034</v>
      </c>
      <c r="X317" s="117">
        <v>2</v>
      </c>
      <c r="Y317" s="117">
        <v>3</v>
      </c>
      <c r="Z317" s="123">
        <v>6.49</v>
      </c>
      <c r="AA317" s="117">
        <v>17</v>
      </c>
      <c r="AB317" s="123">
        <v>6.6</v>
      </c>
      <c r="AC317" s="123">
        <v>5.8</v>
      </c>
      <c r="AD317" s="11">
        <v>0.35</v>
      </c>
      <c r="AE317" s="80">
        <v>0.47</v>
      </c>
      <c r="AF317" s="85">
        <f t="shared" si="41"/>
        <v>1079.35375</v>
      </c>
      <c r="AG317" s="85">
        <f t="shared" si="42"/>
        <v>1825.0094933200003</v>
      </c>
      <c r="AH317" s="85">
        <f t="shared" si="43"/>
        <v>1.690835366366217</v>
      </c>
      <c r="AI317" s="117">
        <v>2</v>
      </c>
      <c r="AJ317" s="117">
        <v>4</v>
      </c>
      <c r="AK317" s="80">
        <v>6.41</v>
      </c>
      <c r="AL317" s="80">
        <v>23</v>
      </c>
      <c r="AM317" s="123">
        <v>6.6</v>
      </c>
      <c r="AN317" s="123">
        <v>5.9</v>
      </c>
      <c r="AO317" s="80">
        <v>0.44</v>
      </c>
      <c r="AP317" s="128">
        <v>0.39</v>
      </c>
      <c r="AQ317" s="132">
        <f t="shared" si="34"/>
        <v>1849</v>
      </c>
      <c r="AR317" s="134">
        <f t="shared" si="35"/>
        <v>0.6365603028664143</v>
      </c>
      <c r="AS317" s="134">
        <f t="shared" si="36"/>
        <v>4.5429962141698213E-2</v>
      </c>
      <c r="AT317" s="134">
        <f t="shared" si="37"/>
        <v>0.3180097349918875</v>
      </c>
      <c r="AU317" s="43">
        <f>IF(AND(F317&lt;&gt;"",Y317&lt;&gt;""),AA317/(F317/2/Y317),"")</f>
        <v>5.5164954029204974E-2</v>
      </c>
      <c r="AV317" s="43">
        <f>IF(AND(F317&lt;&gt;"",AJ317&lt;&gt;""),AL317/(F317/2/AJ317),"")</f>
        <v>9.9513250405624656E-2</v>
      </c>
      <c r="AW317" s="41">
        <f>IF(AND(AP317&lt;&gt;"",1-(AP317/N317)&gt;0),1-(AP317/N317),"")</f>
        <v>0.83404255319148934</v>
      </c>
      <c r="AX317" s="41">
        <f>IF(AND(AE317&lt;&gt;"",1-(AE317/N317)&gt;0),1-(AE317/N317),"")</f>
        <v>0.8</v>
      </c>
      <c r="AY317" s="136" t="str">
        <f>IF(P317="","",IF(P317&lt;2.5,"Alc. Bruta &lt; 2,5 mg/L",IF(P317&lt;5,"2,5 ≤ Alc. Bruta &lt; 5,0 mg/L",IF(P317&lt;7.5,"5,0 ≤ Alc. Bruta &lt; 7,5 mg/L",IF(P317&lt;10,"7,5 ≤ Alc. Bruta &lt; 10,0 mg/L",IF(P317&lt;15,"10,0 ≤ Alca. Bruta &lt; 15,0 mg/L","Alc. Bruta &gt; 15 mg/L"))))))</f>
        <v>5,0 ≤ Alc. Bruta &lt; 7,5 mg/L</v>
      </c>
      <c r="AZ317" s="136" t="str">
        <f>IF(O317="","",IF(O317&lt;5,"Cor &lt;5 uC",IF(O317&lt;10,"5 ≤ Cor &lt; 10 uC",IF(O317&lt;15,"10 ≤ Cor &lt;15 uC",IF(O317&lt;30,"15 ≤ Cor &lt; 30 uC",IF(O317&lt;50,"30 ≤ Cor &lt; 50 uC","Cor &gt; 50 uC"))))))</f>
        <v>10 ≤ Cor &lt;15 uC</v>
      </c>
      <c r="BA317" s="137" t="str">
        <f>IF(N317="","",IF(N317&lt;2.5,"Turbidez &lt; 2,5 uT",IF(N317&lt;5,"2,5 ≤ Turb &lt; 5,0 uT",IF(N317&lt;7.5,"5,0 ≤ Turb &lt; 7,5 uT",IF(N317&lt;10,"7,5 ≤ Turb &lt; 10,0 uT",IF(N317&lt;15,"10,0 ≤ Turb &lt; 15,0 uT","Turb &gt; 15 uT"))))))</f>
        <v>Turbidez &lt; 2,5 uT</v>
      </c>
      <c r="BB317" s="138" t="str">
        <f>IF(AND(C317&gt;D317,D317&gt;E317),"TOR &gt; SM &gt; BNN",IF(AND(C317&gt;E317,E317&gt;D317),"TOR &gt; BNN &gt; SM",IF(AND(D317&gt;C317,C317&gt;E317),"SM &gt; TOR &gt; BNN",IF(AND(D317&gt;E317,E317&gt;C317),"SM &gt; BNN &gt; TOR",IF(AND(C317=D317,D317=E317),"TOR = SM = BNN","Comb. diferentes")))))</f>
        <v>TOR &gt; BNN &gt; SM</v>
      </c>
      <c r="BC317" s="137" t="str">
        <f>IF(OR(AD317="",AP317="-"),"",IF(AD317&lt;=0.25,"Tipo 1 (≤0,25) uT",IF(AD317&lt;=0.5,"Tipo 2 (0,25-0,50) uT",IF(AD317&lt;=0.75,"Tipo 3 (0,50-0,75) uT","Tipo 4 (&gt;0,75) uT"))))</f>
        <v>Tipo 2 (0,25-0,50) uT</v>
      </c>
      <c r="BD317" s="137" t="str">
        <f>IF(OR(AO317="",AY317="-"),"",IF(AO317&lt;=0.25,"Tipo 1 (≤0,25) uT",IF(AO317&lt;=0.5,"Tipo 2 (0,25-0,50) uT",IF(AO317&lt;=0.75,"Tipo 3 (0,50-0,75) uT","Tipo 4 (&gt;0,75) uT"))))</f>
        <v>Tipo 2 (0,25-0,50) uT</v>
      </c>
      <c r="BE317" s="137" t="str">
        <f>IF(OR(AE317="",AP317="-"),"",IF(AE317&lt;=0.25,"Tipo 1 (≤0,25) uT",IF(AE317&lt;=0.5,"Tipo 2 (0,25-0,50) uT",IF(AE317&lt;=0.75,"Tipo 3 (0,50-0,75) uT","Tipo 4 (&gt;0,75) uT"))))</f>
        <v>Tipo 2 (0,25-0,50) uT</v>
      </c>
      <c r="BF317" s="137" t="str">
        <f>IF(OR(AP317="",AP317="-"),"",IF(AP317&lt;=0.25,"Tipo 1 (≤0,25) uT",IF(AP317&lt;=0.5,"Tipo 2 (0,25-0,50) uT",IF(AP317&lt;=0.75,"Tipo 3 (0,50-0,75) uT","Tipo 4 (&gt;0,75) uT"))))</f>
        <v>Tipo 2 (0,25-0,50) uT</v>
      </c>
      <c r="BG317" s="137" t="str">
        <f>IF(OR(Q317="",Q317="-"),"",IF(Q317&lt;=0.25,"Tipo 1 (≤0,25) uT",IF(Q317&lt;=0.5,"Tipo 2 (0,25-0,50) uT",IF(Q317&lt;=0.75,"Tipo 3 (0,50-0,75) uT","Tipo 4 (&gt;0,75) uT"))))</f>
        <v>Tipo 2 (0,25-0,50) uT</v>
      </c>
    </row>
    <row r="318" spans="1:59" x14ac:dyDescent="0.3">
      <c r="A318" s="26">
        <v>46160</v>
      </c>
      <c r="B318" s="111">
        <v>0.3125</v>
      </c>
      <c r="C318" s="118">
        <v>1159</v>
      </c>
      <c r="D318" s="116">
        <v>88</v>
      </c>
      <c r="E318" s="118">
        <v>589</v>
      </c>
      <c r="F318" s="118">
        <v>1939</v>
      </c>
      <c r="G318" s="9" t="s">
        <v>100</v>
      </c>
      <c r="H318" s="124">
        <v>6.9</v>
      </c>
      <c r="I318" s="118">
        <v>90</v>
      </c>
      <c r="J318" s="118">
        <v>90</v>
      </c>
      <c r="K318" s="118">
        <v>90</v>
      </c>
      <c r="L318" s="124">
        <v>24.2</v>
      </c>
      <c r="M318" s="124">
        <v>6.8</v>
      </c>
      <c r="N318" s="81">
        <v>2.95</v>
      </c>
      <c r="O318" s="118">
        <v>14</v>
      </c>
      <c r="P318" s="124">
        <v>6.9</v>
      </c>
      <c r="Q318" s="81">
        <v>0.44</v>
      </c>
      <c r="R318" s="79">
        <v>22.36</v>
      </c>
      <c r="S318" s="79">
        <v>0.88</v>
      </c>
      <c r="T318" s="79">
        <v>0.7</v>
      </c>
      <c r="U318" s="85">
        <f t="shared" si="38"/>
        <v>1703.0883333333334</v>
      </c>
      <c r="V318" s="79">
        <f t="shared" si="39"/>
        <v>1365.1628579887999</v>
      </c>
      <c r="W318" s="79">
        <f t="shared" si="40"/>
        <v>0.80158077022162677</v>
      </c>
      <c r="X318" s="118">
        <v>2</v>
      </c>
      <c r="Y318" s="118">
        <v>3</v>
      </c>
      <c r="Z318" s="124">
        <v>6.54</v>
      </c>
      <c r="AA318" s="118">
        <v>16.78</v>
      </c>
      <c r="AB318" s="124">
        <v>6.6</v>
      </c>
      <c r="AC318" s="124">
        <v>6.9</v>
      </c>
      <c r="AD318" s="9">
        <v>0.44</v>
      </c>
      <c r="AE318" s="81">
        <v>0.55000000000000004</v>
      </c>
      <c r="AF318" s="85">
        <f t="shared" si="41"/>
        <v>1277.3162499999999</v>
      </c>
      <c r="AG318" s="85">
        <f t="shared" si="42"/>
        <v>1842.3146989260001</v>
      </c>
      <c r="AH318" s="85">
        <f t="shared" si="43"/>
        <v>1.4423324677236355</v>
      </c>
      <c r="AI318" s="118">
        <v>2</v>
      </c>
      <c r="AJ318" s="118">
        <v>4</v>
      </c>
      <c r="AK318" s="81">
        <v>6.47</v>
      </c>
      <c r="AL318" s="81">
        <v>22.95</v>
      </c>
      <c r="AM318" s="124">
        <v>6.6</v>
      </c>
      <c r="AN318" s="124">
        <v>6.8</v>
      </c>
      <c r="AO318" s="81">
        <v>0.39</v>
      </c>
      <c r="AP318" s="129">
        <v>0.42</v>
      </c>
      <c r="AQ318" s="132">
        <f t="shared" si="34"/>
        <v>1836</v>
      </c>
      <c r="AR318" s="134">
        <f t="shared" si="35"/>
        <v>0.63126361655773422</v>
      </c>
      <c r="AS318" s="134">
        <f t="shared" si="36"/>
        <v>4.793028322440087E-2</v>
      </c>
      <c r="AT318" s="134">
        <f t="shared" si="37"/>
        <v>0.32080610021786493</v>
      </c>
      <c r="AU318" s="43">
        <f>IF(AND(F318&lt;&gt;"",Y318&lt;&gt;""),AA318/(F318/2/Y318),"")</f>
        <v>5.1923671995874165E-2</v>
      </c>
      <c r="AV318" s="43">
        <f>IF(AND(F318&lt;&gt;"",AJ318&lt;&gt;""),AL318/(F318/2/AJ318),"")</f>
        <v>9.4687983496647754E-2</v>
      </c>
      <c r="AW318" s="41">
        <f>IF(AND(AP318&lt;&gt;"",1-(AP318/N318)&gt;0),1-(AP318/N318),"")</f>
        <v>0.85762711864406782</v>
      </c>
      <c r="AX318" s="41">
        <f>IF(AND(AE318&lt;&gt;"",1-(AE318/N318)&gt;0),1-(AE318/N318),"")</f>
        <v>0.81355932203389836</v>
      </c>
      <c r="AY318" s="136" t="str">
        <f>IF(P318="","",IF(P318&lt;2.5,"Alc. Bruta &lt; 2,5 mg/L",IF(P318&lt;5,"2,5 ≤ Alc. Bruta &lt; 5,0 mg/L",IF(P318&lt;7.5,"5,0 ≤ Alc. Bruta &lt; 7,5 mg/L",IF(P318&lt;10,"7,5 ≤ Alc. Bruta &lt; 10,0 mg/L",IF(P318&lt;15,"10,0 ≤ Alca. Bruta &lt; 15,0 mg/L","Alc. Bruta &gt; 15 mg/L"))))))</f>
        <v>5,0 ≤ Alc. Bruta &lt; 7,5 mg/L</v>
      </c>
      <c r="AZ318" s="136" t="str">
        <f>IF(O318="","",IF(O318&lt;5,"Cor &lt;5 uC",IF(O318&lt;10,"5 ≤ Cor &lt; 10 uC",IF(O318&lt;15,"10 ≤ Cor &lt;15 uC",IF(O318&lt;30,"15 ≤ Cor &lt; 30 uC",IF(O318&lt;50,"30 ≤ Cor &lt; 50 uC","Cor &gt; 50 uC"))))))</f>
        <v>10 ≤ Cor &lt;15 uC</v>
      </c>
      <c r="BA318" s="137" t="str">
        <f>IF(N318="","",IF(N318&lt;2.5,"Turbidez &lt; 2,5 uT",IF(N318&lt;5,"2,5 ≤ Turb &lt; 5,0 uT",IF(N318&lt;7.5,"5,0 ≤ Turb &lt; 7,5 uT",IF(N318&lt;10,"7,5 ≤ Turb &lt; 10,0 uT",IF(N318&lt;15,"10,0 ≤ Turb &lt; 15,0 uT","Turb &gt; 15 uT"))))))</f>
        <v>2,5 ≤ Turb &lt; 5,0 uT</v>
      </c>
      <c r="BB318" s="138" t="str">
        <f>IF(AND(C318&gt;D318,D318&gt;E318),"TOR &gt; SM &gt; BNN",IF(AND(C318&gt;E318,E318&gt;D318),"TOR &gt; BNN &gt; SM",IF(AND(D318&gt;C318,C318&gt;E318),"SM &gt; TOR &gt; BNN",IF(AND(D318&gt;E318,E318&gt;C318),"SM &gt; BNN &gt; TOR",IF(AND(C318=D318,D318=E318),"TOR = SM = BNN","Comb. diferentes")))))</f>
        <v>TOR &gt; BNN &gt; SM</v>
      </c>
      <c r="BC318" s="137" t="str">
        <f>IF(OR(AD318="",AP318="-"),"",IF(AD318&lt;=0.25,"Tipo 1 (≤0,25) uT",IF(AD318&lt;=0.5,"Tipo 2 (0,25-0,50) uT",IF(AD318&lt;=0.75,"Tipo 3 (0,50-0,75) uT","Tipo 4 (&gt;0,75) uT"))))</f>
        <v>Tipo 2 (0,25-0,50) uT</v>
      </c>
      <c r="BD318" s="137" t="str">
        <f>IF(OR(AO318="",AY318="-"),"",IF(AO318&lt;=0.25,"Tipo 1 (≤0,25) uT",IF(AO318&lt;=0.5,"Tipo 2 (0,25-0,50) uT",IF(AO318&lt;=0.75,"Tipo 3 (0,50-0,75) uT","Tipo 4 (&gt;0,75) uT"))))</f>
        <v>Tipo 2 (0,25-0,50) uT</v>
      </c>
      <c r="BE318" s="137" t="str">
        <f>IF(OR(AE318="",AP318="-"),"",IF(AE318&lt;=0.25,"Tipo 1 (≤0,25) uT",IF(AE318&lt;=0.5,"Tipo 2 (0,25-0,50) uT",IF(AE318&lt;=0.75,"Tipo 3 (0,50-0,75) uT","Tipo 4 (&gt;0,75) uT"))))</f>
        <v>Tipo 3 (0,50-0,75) uT</v>
      </c>
      <c r="BF318" s="137" t="str">
        <f>IF(OR(AP318="",AP318="-"),"",IF(AP318&lt;=0.25,"Tipo 1 (≤0,25) uT",IF(AP318&lt;=0.5,"Tipo 2 (0,25-0,50) uT",IF(AP318&lt;=0.75,"Tipo 3 (0,50-0,75) uT","Tipo 4 (&gt;0,75) uT"))))</f>
        <v>Tipo 2 (0,25-0,50) uT</v>
      </c>
      <c r="BG318" s="137" t="str">
        <f>IF(OR(Q318="",Q318="-"),"",IF(Q318&lt;=0.25,"Tipo 1 (≤0,25) uT",IF(Q318&lt;=0.5,"Tipo 2 (0,25-0,50) uT",IF(Q318&lt;=0.75,"Tipo 3 (0,50-0,75) uT","Tipo 4 (&gt;0,75) uT"))))</f>
        <v>Tipo 2 (0,25-0,50) uT</v>
      </c>
    </row>
    <row r="319" spans="1:59" x14ac:dyDescent="0.3">
      <c r="A319" s="26">
        <v>46160</v>
      </c>
      <c r="B319" s="107">
        <v>0.39583333333333331</v>
      </c>
      <c r="C319" s="116">
        <v>1225</v>
      </c>
      <c r="D319" s="116">
        <v>85</v>
      </c>
      <c r="E319" s="116">
        <v>589</v>
      </c>
      <c r="F319" s="116">
        <v>1907</v>
      </c>
      <c r="G319" s="10" t="s">
        <v>100</v>
      </c>
      <c r="H319" s="122">
        <v>6.9</v>
      </c>
      <c r="I319" s="116">
        <v>90</v>
      </c>
      <c r="J319" s="116">
        <v>90</v>
      </c>
      <c r="K319" s="116">
        <v>90</v>
      </c>
      <c r="L319" s="122">
        <v>24</v>
      </c>
      <c r="M319" s="122">
        <v>6.8</v>
      </c>
      <c r="N319" s="79">
        <v>3</v>
      </c>
      <c r="O319" s="116">
        <v>14</v>
      </c>
      <c r="P319" s="122">
        <v>6.9</v>
      </c>
      <c r="Q319" s="79">
        <v>0.48</v>
      </c>
      <c r="R319" s="79">
        <v>22.36</v>
      </c>
      <c r="S319" s="79">
        <v>0.88</v>
      </c>
      <c r="T319" s="79">
        <v>0.7</v>
      </c>
      <c r="U319" s="85">
        <f t="shared" si="38"/>
        <v>1690.8733333333332</v>
      </c>
      <c r="V319" s="79">
        <f t="shared" si="39"/>
        <v>1583.0259635216</v>
      </c>
      <c r="W319" s="79">
        <f t="shared" si="40"/>
        <v>0.93621794862710006</v>
      </c>
      <c r="X319" s="116">
        <v>2</v>
      </c>
      <c r="Y319" s="116">
        <v>3</v>
      </c>
      <c r="Z319" s="122">
        <v>6.47</v>
      </c>
      <c r="AA319" s="116">
        <v>19.72</v>
      </c>
      <c r="AB319" s="122">
        <v>6.6</v>
      </c>
      <c r="AC319" s="122">
        <v>6.4</v>
      </c>
      <c r="AD319" s="10">
        <v>0.25</v>
      </c>
      <c r="AE319" s="79">
        <v>0.56999999999999995</v>
      </c>
      <c r="AF319" s="85">
        <f t="shared" si="41"/>
        <v>1268.155</v>
      </c>
      <c r="AG319" s="85">
        <f t="shared" si="42"/>
        <v>1864.9047348047995</v>
      </c>
      <c r="AH319" s="85">
        <f t="shared" si="43"/>
        <v>1.4705652974634802</v>
      </c>
      <c r="AI319" s="116">
        <v>2</v>
      </c>
      <c r="AJ319" s="116">
        <v>4</v>
      </c>
      <c r="AK319" s="79">
        <v>6.52</v>
      </c>
      <c r="AL319" s="79">
        <v>23.01</v>
      </c>
      <c r="AM319" s="122">
        <v>6.6</v>
      </c>
      <c r="AN319" s="122">
        <v>6.5</v>
      </c>
      <c r="AO319" s="79">
        <v>0.55000000000000004</v>
      </c>
      <c r="AP319" s="127">
        <v>0.46</v>
      </c>
      <c r="AQ319" s="132">
        <f t="shared" si="34"/>
        <v>1899</v>
      </c>
      <c r="AR319" s="134">
        <f t="shared" si="35"/>
        <v>0.64507635597682988</v>
      </c>
      <c r="AS319" s="134">
        <f t="shared" si="36"/>
        <v>4.476040021063718E-2</v>
      </c>
      <c r="AT319" s="134">
        <f t="shared" si="37"/>
        <v>0.31016324381253291</v>
      </c>
      <c r="AU319" s="43">
        <f>IF(AND(F319&lt;&gt;"",Y319&lt;&gt;""),AA319/(F319/2/Y319),"")</f>
        <v>6.204509701101206E-2</v>
      </c>
      <c r="AV319" s="43">
        <f>IF(AND(F319&lt;&gt;"",AJ319&lt;&gt;""),AL319/(F319/2/AJ319),"")</f>
        <v>9.6528578919769278E-2</v>
      </c>
      <c r="AW319" s="41">
        <f>IF(AND(AP319&lt;&gt;"",1-(AP319/N319)&gt;0),1-(AP319/N319),"")</f>
        <v>0.84666666666666668</v>
      </c>
      <c r="AX319" s="41">
        <f>IF(AND(AE319&lt;&gt;"",1-(AE319/N319)&gt;0),1-(AE319/N319),"")</f>
        <v>0.81</v>
      </c>
      <c r="AY319" s="136" t="str">
        <f>IF(P319="","",IF(P319&lt;2.5,"Alc. Bruta &lt; 2,5 mg/L",IF(P319&lt;5,"2,5 ≤ Alc. Bruta &lt; 5,0 mg/L",IF(P319&lt;7.5,"5,0 ≤ Alc. Bruta &lt; 7,5 mg/L",IF(P319&lt;10,"7,5 ≤ Alc. Bruta &lt; 10,0 mg/L",IF(P319&lt;15,"10,0 ≤ Alca. Bruta &lt; 15,0 mg/L","Alc. Bruta &gt; 15 mg/L"))))))</f>
        <v>5,0 ≤ Alc. Bruta &lt; 7,5 mg/L</v>
      </c>
      <c r="AZ319" s="136" t="str">
        <f>IF(O319="","",IF(O319&lt;5,"Cor &lt;5 uC",IF(O319&lt;10,"5 ≤ Cor &lt; 10 uC",IF(O319&lt;15,"10 ≤ Cor &lt;15 uC",IF(O319&lt;30,"15 ≤ Cor &lt; 30 uC",IF(O319&lt;50,"30 ≤ Cor &lt; 50 uC","Cor &gt; 50 uC"))))))</f>
        <v>10 ≤ Cor &lt;15 uC</v>
      </c>
      <c r="BA319" s="137" t="str">
        <f>IF(N319="","",IF(N319&lt;2.5,"Turbidez &lt; 2,5 uT",IF(N319&lt;5,"2,5 ≤ Turb &lt; 5,0 uT",IF(N319&lt;7.5,"5,0 ≤ Turb &lt; 7,5 uT",IF(N319&lt;10,"7,5 ≤ Turb &lt; 10,0 uT",IF(N319&lt;15,"10,0 ≤ Turb &lt; 15,0 uT","Turb &gt; 15 uT"))))))</f>
        <v>2,5 ≤ Turb &lt; 5,0 uT</v>
      </c>
      <c r="BB319" s="138" t="str">
        <f>IF(AND(C319&gt;D319,D319&gt;E319),"TOR &gt; SM &gt; BNN",IF(AND(C319&gt;E319,E319&gt;D319),"TOR &gt; BNN &gt; SM",IF(AND(D319&gt;C319,C319&gt;E319),"SM &gt; TOR &gt; BNN",IF(AND(D319&gt;E319,E319&gt;C319),"SM &gt; BNN &gt; TOR",IF(AND(C319=D319,D319=E319),"TOR = SM = BNN","Comb. diferentes")))))</f>
        <v>TOR &gt; BNN &gt; SM</v>
      </c>
      <c r="BC319" s="137" t="str">
        <f>IF(OR(AD319="",AP319="-"),"",IF(AD319&lt;=0.25,"Tipo 1 (≤0,25) uT",IF(AD319&lt;=0.5,"Tipo 2 (0,25-0,50) uT",IF(AD319&lt;=0.75,"Tipo 3 (0,50-0,75) uT","Tipo 4 (&gt;0,75) uT"))))</f>
        <v>Tipo 1 (≤0,25) uT</v>
      </c>
      <c r="BD319" s="137" t="str">
        <f>IF(OR(AO319="",AY319="-"),"",IF(AO319&lt;=0.25,"Tipo 1 (≤0,25) uT",IF(AO319&lt;=0.5,"Tipo 2 (0,25-0,50) uT",IF(AO319&lt;=0.75,"Tipo 3 (0,50-0,75) uT","Tipo 4 (&gt;0,75) uT"))))</f>
        <v>Tipo 3 (0,50-0,75) uT</v>
      </c>
      <c r="BE319" s="137" t="str">
        <f>IF(OR(AE319="",AP319="-"),"",IF(AE319&lt;=0.25,"Tipo 1 (≤0,25) uT",IF(AE319&lt;=0.5,"Tipo 2 (0,25-0,50) uT",IF(AE319&lt;=0.75,"Tipo 3 (0,50-0,75) uT","Tipo 4 (&gt;0,75) uT"))))</f>
        <v>Tipo 3 (0,50-0,75) uT</v>
      </c>
      <c r="BF319" s="137" t="str">
        <f>IF(OR(AP319="",AP319="-"),"",IF(AP319&lt;=0.25,"Tipo 1 (≤0,25) uT",IF(AP319&lt;=0.5,"Tipo 2 (0,25-0,50) uT",IF(AP319&lt;=0.75,"Tipo 3 (0,50-0,75) uT","Tipo 4 (&gt;0,75) uT"))))</f>
        <v>Tipo 2 (0,25-0,50) uT</v>
      </c>
      <c r="BG319" s="137" t="str">
        <f>IF(OR(Q319="",Q319="-"),"",IF(Q319&lt;=0.25,"Tipo 1 (≤0,25) uT",IF(Q319&lt;=0.5,"Tipo 2 (0,25-0,50) uT",IF(Q319&lt;=0.75,"Tipo 3 (0,50-0,75) uT","Tipo 4 (&gt;0,75) uT"))))</f>
        <v>Tipo 2 (0,25-0,50) uT</v>
      </c>
    </row>
    <row r="320" spans="1:59" x14ac:dyDescent="0.3">
      <c r="A320" s="26">
        <v>46160</v>
      </c>
      <c r="B320" s="107">
        <v>0.47916666666666669</v>
      </c>
      <c r="C320" s="116">
        <v>1145</v>
      </c>
      <c r="D320" s="116">
        <v>90</v>
      </c>
      <c r="E320" s="116">
        <v>587</v>
      </c>
      <c r="F320" s="116">
        <v>1815</v>
      </c>
      <c r="G320" s="10" t="s">
        <v>100</v>
      </c>
      <c r="H320" s="122">
        <v>7.2</v>
      </c>
      <c r="I320" s="116">
        <v>90</v>
      </c>
      <c r="J320" s="116">
        <v>90</v>
      </c>
      <c r="K320" s="116">
        <v>90</v>
      </c>
      <c r="L320" s="122">
        <v>24</v>
      </c>
      <c r="M320" s="122">
        <v>6.7</v>
      </c>
      <c r="N320" s="79">
        <v>3.17</v>
      </c>
      <c r="O320" s="116">
        <v>14</v>
      </c>
      <c r="P320" s="122">
        <v>7.6</v>
      </c>
      <c r="Q320" s="79">
        <v>0.99</v>
      </c>
      <c r="R320" s="79">
        <v>22.36</v>
      </c>
      <c r="S320" s="79">
        <v>0.88</v>
      </c>
      <c r="T320" s="79">
        <v>0.7</v>
      </c>
      <c r="U320" s="85">
        <f t="shared" si="38"/>
        <v>1687.95</v>
      </c>
      <c r="V320" s="79">
        <f t="shared" si="39"/>
        <v>1584.2838141415998</v>
      </c>
      <c r="W320" s="79">
        <f t="shared" si="40"/>
        <v>0.93858456360768971</v>
      </c>
      <c r="X320" s="116">
        <v>2</v>
      </c>
      <c r="Y320" s="116">
        <v>3</v>
      </c>
      <c r="Z320" s="122">
        <v>6.49</v>
      </c>
      <c r="AA320" s="116">
        <v>19.66</v>
      </c>
      <c r="AB320" s="122">
        <v>6.7</v>
      </c>
      <c r="AC320" s="122">
        <v>6.4</v>
      </c>
      <c r="AD320" s="10">
        <v>0.53</v>
      </c>
      <c r="AE320" s="79">
        <v>0.88</v>
      </c>
      <c r="AF320" s="85">
        <f t="shared" si="41"/>
        <v>1265.9625000000001</v>
      </c>
      <c r="AG320" s="85">
        <f t="shared" si="42"/>
        <v>1896.0681411620003</v>
      </c>
      <c r="AH320" s="85">
        <f t="shared" si="43"/>
        <v>1.4977285197326147</v>
      </c>
      <c r="AI320" s="116">
        <v>2</v>
      </c>
      <c r="AJ320" s="116">
        <v>4</v>
      </c>
      <c r="AK320" s="79">
        <v>6.53</v>
      </c>
      <c r="AL320" s="79">
        <v>23.35</v>
      </c>
      <c r="AM320" s="122">
        <v>6.7</v>
      </c>
      <c r="AN320" s="122">
        <v>6.5</v>
      </c>
      <c r="AO320" s="79">
        <v>0.48</v>
      </c>
      <c r="AP320" s="127">
        <v>0.81</v>
      </c>
      <c r="AQ320" s="132">
        <f t="shared" si="34"/>
        <v>1822</v>
      </c>
      <c r="AR320" s="134">
        <f t="shared" si="35"/>
        <v>0.62843029637760706</v>
      </c>
      <c r="AS320" s="134">
        <f t="shared" si="36"/>
        <v>4.9396267837541162E-2</v>
      </c>
      <c r="AT320" s="134">
        <f t="shared" si="37"/>
        <v>0.3221734357848518</v>
      </c>
      <c r="AU320" s="43">
        <f>IF(AND(F320&lt;&gt;"",Y320&lt;&gt;""),AA320/(F320/2/Y320),"")</f>
        <v>6.4991735537190079E-2</v>
      </c>
      <c r="AV320" s="43">
        <f>IF(AND(F320&lt;&gt;"",AJ320&lt;&gt;""),AL320/(F320/2/AJ320),"")</f>
        <v>0.10292011019283748</v>
      </c>
      <c r="AW320" s="41">
        <f>IF(AND(AP320&lt;&gt;"",1-(AP320/N320)&gt;0),1-(AP320/N320),"")</f>
        <v>0.74447949526813884</v>
      </c>
      <c r="AX320" s="41">
        <f>IF(AND(AE320&lt;&gt;"",1-(AE320/N320)&gt;0),1-(AE320/N320),"")</f>
        <v>0.72239747634069396</v>
      </c>
      <c r="AY320" s="136" t="str">
        <f>IF(P320="","",IF(P320&lt;2.5,"Alc. Bruta &lt; 2,5 mg/L",IF(P320&lt;5,"2,5 ≤ Alc. Bruta &lt; 5,0 mg/L",IF(P320&lt;7.5,"5,0 ≤ Alc. Bruta &lt; 7,5 mg/L",IF(P320&lt;10,"7,5 ≤ Alc. Bruta &lt; 10,0 mg/L",IF(P320&lt;15,"10,0 ≤ Alca. Bruta &lt; 15,0 mg/L","Alc. Bruta &gt; 15 mg/L"))))))</f>
        <v>7,5 ≤ Alc. Bruta &lt; 10,0 mg/L</v>
      </c>
      <c r="AZ320" s="136" t="str">
        <f>IF(O320="","",IF(O320&lt;5,"Cor &lt;5 uC",IF(O320&lt;10,"5 ≤ Cor &lt; 10 uC",IF(O320&lt;15,"10 ≤ Cor &lt;15 uC",IF(O320&lt;30,"15 ≤ Cor &lt; 30 uC",IF(O320&lt;50,"30 ≤ Cor &lt; 50 uC","Cor &gt; 50 uC"))))))</f>
        <v>10 ≤ Cor &lt;15 uC</v>
      </c>
      <c r="BA320" s="137" t="str">
        <f>IF(N320="","",IF(N320&lt;2.5,"Turbidez &lt; 2,5 uT",IF(N320&lt;5,"2,5 ≤ Turb &lt; 5,0 uT",IF(N320&lt;7.5,"5,0 ≤ Turb &lt; 7,5 uT",IF(N320&lt;10,"7,5 ≤ Turb &lt; 10,0 uT",IF(N320&lt;15,"10,0 ≤ Turb &lt; 15,0 uT","Turb &gt; 15 uT"))))))</f>
        <v>2,5 ≤ Turb &lt; 5,0 uT</v>
      </c>
      <c r="BB320" s="138" t="str">
        <f>IF(AND(C320&gt;D320,D320&gt;E320),"TOR &gt; SM &gt; BNN",IF(AND(C320&gt;E320,E320&gt;D320),"TOR &gt; BNN &gt; SM",IF(AND(D320&gt;C320,C320&gt;E320),"SM &gt; TOR &gt; BNN",IF(AND(D320&gt;E320,E320&gt;C320),"SM &gt; BNN &gt; TOR",IF(AND(C320=D320,D320=E320),"TOR = SM = BNN","Comb. diferentes")))))</f>
        <v>TOR &gt; BNN &gt; SM</v>
      </c>
      <c r="BC320" s="137" t="str">
        <f>IF(OR(AD320="",AP320="-"),"",IF(AD320&lt;=0.25,"Tipo 1 (≤0,25) uT",IF(AD320&lt;=0.5,"Tipo 2 (0,25-0,50) uT",IF(AD320&lt;=0.75,"Tipo 3 (0,50-0,75) uT","Tipo 4 (&gt;0,75) uT"))))</f>
        <v>Tipo 3 (0,50-0,75) uT</v>
      </c>
      <c r="BD320" s="137" t="str">
        <f>IF(OR(AO320="",AY320="-"),"",IF(AO320&lt;=0.25,"Tipo 1 (≤0,25) uT",IF(AO320&lt;=0.5,"Tipo 2 (0,25-0,50) uT",IF(AO320&lt;=0.75,"Tipo 3 (0,50-0,75) uT","Tipo 4 (&gt;0,75) uT"))))</f>
        <v>Tipo 2 (0,25-0,50) uT</v>
      </c>
      <c r="BE320" s="137" t="str">
        <f>IF(OR(AE320="",AP320="-"),"",IF(AE320&lt;=0.25,"Tipo 1 (≤0,25) uT",IF(AE320&lt;=0.5,"Tipo 2 (0,25-0,50) uT",IF(AE320&lt;=0.75,"Tipo 3 (0,50-0,75) uT","Tipo 4 (&gt;0,75) uT"))))</f>
        <v>Tipo 4 (&gt;0,75) uT</v>
      </c>
      <c r="BF320" s="137" t="str">
        <f>IF(OR(AP320="",AP320="-"),"",IF(AP320&lt;=0.25,"Tipo 1 (≤0,25) uT",IF(AP320&lt;=0.5,"Tipo 2 (0,25-0,50) uT",IF(AP320&lt;=0.75,"Tipo 3 (0,50-0,75) uT","Tipo 4 (&gt;0,75) uT"))))</f>
        <v>Tipo 4 (&gt;0,75) uT</v>
      </c>
      <c r="BG320" s="137" t="str">
        <f>IF(OR(Q320="",Q320="-"),"",IF(Q320&lt;=0.25,"Tipo 1 (≤0,25) uT",IF(Q320&lt;=0.5,"Tipo 2 (0,25-0,50) uT",IF(Q320&lt;=0.75,"Tipo 3 (0,50-0,75) uT","Tipo 4 (&gt;0,75) uT"))))</f>
        <v>Tipo 4 (&gt;0,75) uT</v>
      </c>
    </row>
    <row r="321" spans="1:59" x14ac:dyDescent="0.3">
      <c r="A321" s="26">
        <v>46160</v>
      </c>
      <c r="B321" s="107">
        <v>0.64583333333333337</v>
      </c>
      <c r="C321" s="116">
        <v>1182</v>
      </c>
      <c r="D321" s="116">
        <v>87</v>
      </c>
      <c r="E321" s="116">
        <v>587</v>
      </c>
      <c r="F321" s="116">
        <v>1884</v>
      </c>
      <c r="G321" s="10" t="s">
        <v>100</v>
      </c>
      <c r="H321" s="122">
        <v>7.5</v>
      </c>
      <c r="I321" s="116">
        <v>90</v>
      </c>
      <c r="J321" s="116">
        <v>90</v>
      </c>
      <c r="K321" s="116">
        <v>90</v>
      </c>
      <c r="L321" s="122">
        <v>24.4</v>
      </c>
      <c r="M321" s="122">
        <v>6.7</v>
      </c>
      <c r="N321" s="79">
        <v>3.43</v>
      </c>
      <c r="O321" s="116">
        <v>15</v>
      </c>
      <c r="P321" s="122">
        <v>7.8</v>
      </c>
      <c r="Q321" s="79">
        <v>0.21</v>
      </c>
      <c r="R321" s="79">
        <v>22.36</v>
      </c>
      <c r="S321" s="79">
        <v>0.88</v>
      </c>
      <c r="T321" s="79">
        <v>0.7</v>
      </c>
      <c r="U321" s="85">
        <f t="shared" si="38"/>
        <v>1862.02</v>
      </c>
      <c r="V321" s="79">
        <f t="shared" si="39"/>
        <v>1575.9734813367998</v>
      </c>
      <c r="W321" s="79">
        <f t="shared" si="40"/>
        <v>0.84637838548286259</v>
      </c>
      <c r="X321" s="116">
        <v>2</v>
      </c>
      <c r="Y321" s="116">
        <v>3</v>
      </c>
      <c r="Z321" s="122">
        <v>6.46</v>
      </c>
      <c r="AA321" s="116">
        <v>19.670000000000002</v>
      </c>
      <c r="AB321" s="122">
        <v>6.6</v>
      </c>
      <c r="AC321" s="122">
        <v>6.3</v>
      </c>
      <c r="AD321" s="10">
        <v>0.26</v>
      </c>
      <c r="AE321" s="79">
        <v>0.41</v>
      </c>
      <c r="AF321" s="85">
        <f t="shared" si="41"/>
        <v>1396.5149999999999</v>
      </c>
      <c r="AG321" s="85">
        <f t="shared" si="42"/>
        <v>1821.7124147247998</v>
      </c>
      <c r="AH321" s="85">
        <f t="shared" si="43"/>
        <v>1.3044703527887636</v>
      </c>
      <c r="AI321" s="116">
        <v>2</v>
      </c>
      <c r="AJ321" s="116">
        <v>4</v>
      </c>
      <c r="AK321" s="79">
        <v>6.51</v>
      </c>
      <c r="AL321" s="79">
        <v>22.52</v>
      </c>
      <c r="AM321" s="122">
        <v>6.5</v>
      </c>
      <c r="AN321" s="122">
        <v>6.1</v>
      </c>
      <c r="AO321" s="79">
        <v>0.42</v>
      </c>
      <c r="AP321" s="127">
        <v>0.3</v>
      </c>
      <c r="AQ321" s="132">
        <f t="shared" si="34"/>
        <v>1856</v>
      </c>
      <c r="AR321" s="134">
        <f t="shared" si="35"/>
        <v>0.6368534482758621</v>
      </c>
      <c r="AS321" s="134">
        <f t="shared" si="36"/>
        <v>4.6875E-2</v>
      </c>
      <c r="AT321" s="134">
        <f t="shared" si="37"/>
        <v>0.31627155172413796</v>
      </c>
      <c r="AU321" s="43">
        <f>IF(AND(F321&lt;&gt;"",Y321&lt;&gt;""),AA321/(F321/2/Y321),"")</f>
        <v>6.2643312101910834E-2</v>
      </c>
      <c r="AV321" s="43">
        <f>IF(AND(F321&lt;&gt;"",AJ321&lt;&gt;""),AL321/(F321/2/AJ321),"")</f>
        <v>9.5626326963906577E-2</v>
      </c>
      <c r="AW321" s="41">
        <f>IF(AND(AP321&lt;&gt;"",1-(AP321/N321)&gt;0),1-(AP321/N321),"")</f>
        <v>0.91253644314868809</v>
      </c>
      <c r="AX321" s="41">
        <f>IF(AND(AE321&lt;&gt;"",1-(AE321/N321)&gt;0),1-(AE321/N321),"")</f>
        <v>0.88046647230320696</v>
      </c>
      <c r="AY321" s="136" t="str">
        <f>IF(P321="","",IF(P321&lt;2.5,"Alc. Bruta &lt; 2,5 mg/L",IF(P321&lt;5,"2,5 ≤ Alc. Bruta &lt; 5,0 mg/L",IF(P321&lt;7.5,"5,0 ≤ Alc. Bruta &lt; 7,5 mg/L",IF(P321&lt;10,"7,5 ≤ Alc. Bruta &lt; 10,0 mg/L",IF(P321&lt;15,"10,0 ≤ Alca. Bruta &lt; 15,0 mg/L","Alc. Bruta &gt; 15 mg/L"))))))</f>
        <v>7,5 ≤ Alc. Bruta &lt; 10,0 mg/L</v>
      </c>
      <c r="AZ321" s="136" t="str">
        <f>IF(O321="","",IF(O321&lt;5,"Cor &lt;5 uC",IF(O321&lt;10,"5 ≤ Cor &lt; 10 uC",IF(O321&lt;15,"10 ≤ Cor &lt;15 uC",IF(O321&lt;30,"15 ≤ Cor &lt; 30 uC",IF(O321&lt;50,"30 ≤ Cor &lt; 50 uC","Cor &gt; 50 uC"))))))</f>
        <v>15 ≤ Cor &lt; 30 uC</v>
      </c>
      <c r="BA321" s="137" t="str">
        <f>IF(N321="","",IF(N321&lt;2.5,"Turbidez &lt; 2,5 uT",IF(N321&lt;5,"2,5 ≤ Turb &lt; 5,0 uT",IF(N321&lt;7.5,"5,0 ≤ Turb &lt; 7,5 uT",IF(N321&lt;10,"7,5 ≤ Turb &lt; 10,0 uT",IF(N321&lt;15,"10,0 ≤ Turb &lt; 15,0 uT","Turb &gt; 15 uT"))))))</f>
        <v>2,5 ≤ Turb &lt; 5,0 uT</v>
      </c>
      <c r="BB321" s="138" t="str">
        <f>IF(AND(C321&gt;D321,D321&gt;E321),"TOR &gt; SM &gt; BNN",IF(AND(C321&gt;E321,E321&gt;D321),"TOR &gt; BNN &gt; SM",IF(AND(D321&gt;C321,C321&gt;E321),"SM &gt; TOR &gt; BNN",IF(AND(D321&gt;E321,E321&gt;C321),"SM &gt; BNN &gt; TOR",IF(AND(C321=D321,D321=E321),"TOR = SM = BNN","Comb. diferentes")))))</f>
        <v>TOR &gt; BNN &gt; SM</v>
      </c>
      <c r="BC321" s="137" t="str">
        <f>IF(OR(AD321="",AP321="-"),"",IF(AD321&lt;=0.25,"Tipo 1 (≤0,25) uT",IF(AD321&lt;=0.5,"Tipo 2 (0,25-0,50) uT",IF(AD321&lt;=0.75,"Tipo 3 (0,50-0,75) uT","Tipo 4 (&gt;0,75) uT"))))</f>
        <v>Tipo 2 (0,25-0,50) uT</v>
      </c>
      <c r="BD321" s="137" t="str">
        <f>IF(OR(AO321="",AY321="-"),"",IF(AO321&lt;=0.25,"Tipo 1 (≤0,25) uT",IF(AO321&lt;=0.5,"Tipo 2 (0,25-0,50) uT",IF(AO321&lt;=0.75,"Tipo 3 (0,50-0,75) uT","Tipo 4 (&gt;0,75) uT"))))</f>
        <v>Tipo 2 (0,25-0,50) uT</v>
      </c>
      <c r="BE321" s="137" t="str">
        <f>IF(OR(AE321="",AP321="-"),"",IF(AE321&lt;=0.25,"Tipo 1 (≤0,25) uT",IF(AE321&lt;=0.5,"Tipo 2 (0,25-0,50) uT",IF(AE321&lt;=0.75,"Tipo 3 (0,50-0,75) uT","Tipo 4 (&gt;0,75) uT"))))</f>
        <v>Tipo 2 (0,25-0,50) uT</v>
      </c>
      <c r="BF321" s="137" t="str">
        <f>IF(OR(AP321="",AP321="-"),"",IF(AP321&lt;=0.25,"Tipo 1 (≤0,25) uT",IF(AP321&lt;=0.5,"Tipo 2 (0,25-0,50) uT",IF(AP321&lt;=0.75,"Tipo 3 (0,50-0,75) uT","Tipo 4 (&gt;0,75) uT"))))</f>
        <v>Tipo 2 (0,25-0,50) uT</v>
      </c>
      <c r="BG321" s="137" t="str">
        <f>IF(OR(Q321="",Q321="-"),"",IF(Q321&lt;=0.25,"Tipo 1 (≤0,25) uT",IF(Q321&lt;=0.5,"Tipo 2 (0,25-0,50) uT",IF(Q321&lt;=0.75,"Tipo 3 (0,50-0,75) uT","Tipo 4 (&gt;0,75) uT"))))</f>
        <v>Tipo 1 (≤0,25) uT</v>
      </c>
    </row>
    <row r="322" spans="1:59" x14ac:dyDescent="0.3">
      <c r="A322" s="26">
        <v>46160</v>
      </c>
      <c r="B322" s="107">
        <v>0.72916666666666663</v>
      </c>
      <c r="C322" s="116">
        <v>1208</v>
      </c>
      <c r="D322" s="116">
        <v>86</v>
      </c>
      <c r="E322" s="116">
        <v>588</v>
      </c>
      <c r="F322" s="116">
        <v>1916</v>
      </c>
      <c r="G322" s="10" t="s">
        <v>100</v>
      </c>
      <c r="H322" s="122">
        <v>7</v>
      </c>
      <c r="I322" s="116">
        <v>90</v>
      </c>
      <c r="J322" s="116">
        <v>90</v>
      </c>
      <c r="K322" s="116">
        <v>90</v>
      </c>
      <c r="L322" s="122">
        <v>24.8</v>
      </c>
      <c r="M322" s="122">
        <v>6.8</v>
      </c>
      <c r="N322" s="79">
        <v>3.31</v>
      </c>
      <c r="O322" s="116">
        <v>15</v>
      </c>
      <c r="P322" s="122">
        <v>7.1</v>
      </c>
      <c r="Q322" s="79">
        <v>0.15</v>
      </c>
      <c r="R322" s="79">
        <v>22.36</v>
      </c>
      <c r="S322" s="79">
        <v>0.88</v>
      </c>
      <c r="T322" s="79">
        <v>0.7</v>
      </c>
      <c r="U322" s="85">
        <f t="shared" si="38"/>
        <v>1807.4266666666665</v>
      </c>
      <c r="V322" s="79">
        <f t="shared" si="39"/>
        <v>1580.6177090132003</v>
      </c>
      <c r="W322" s="79">
        <f t="shared" si="40"/>
        <v>0.87451277452282095</v>
      </c>
      <c r="X322" s="116">
        <v>2</v>
      </c>
      <c r="Y322" s="116">
        <v>3</v>
      </c>
      <c r="Z322" s="122">
        <v>6.47</v>
      </c>
      <c r="AA322" s="116">
        <v>19.690000000000001</v>
      </c>
      <c r="AB322" s="122">
        <v>6.7</v>
      </c>
      <c r="AC322" s="122">
        <v>6.4</v>
      </c>
      <c r="AD322" s="10">
        <v>0.35</v>
      </c>
      <c r="AE322" s="79">
        <v>0.25</v>
      </c>
      <c r="AF322" s="85">
        <f t="shared" si="41"/>
        <v>1355.57</v>
      </c>
      <c r="AG322" s="85">
        <f t="shared" si="42"/>
        <v>1766.8371672639996</v>
      </c>
      <c r="AH322" s="85">
        <f t="shared" si="43"/>
        <v>1.3033905790656326</v>
      </c>
      <c r="AI322" s="116">
        <v>2</v>
      </c>
      <c r="AJ322" s="116">
        <v>4</v>
      </c>
      <c r="AK322" s="79">
        <v>6.52</v>
      </c>
      <c r="AL322" s="79">
        <v>21.8</v>
      </c>
      <c r="AM322" s="122">
        <v>6.6</v>
      </c>
      <c r="AN322" s="122">
        <v>6.4</v>
      </c>
      <c r="AO322" s="79">
        <v>0.33</v>
      </c>
      <c r="AP322" s="127">
        <v>0.28000000000000003</v>
      </c>
      <c r="AQ322" s="132">
        <f t="shared" ref="AQ322:AQ385" si="44">SUM(C322:E322)</f>
        <v>1882</v>
      </c>
      <c r="AR322" s="134">
        <f t="shared" ref="AR322:AR385" si="45">C322/AQ322</f>
        <v>0.64187035069075449</v>
      </c>
      <c r="AS322" s="134">
        <f t="shared" ref="AS322:AS385" si="46">D322/AQ322</f>
        <v>4.5696068012752389E-2</v>
      </c>
      <c r="AT322" s="134">
        <f t="shared" ref="AT322:AT385" si="47">E322/AQ322</f>
        <v>0.31243358129649307</v>
      </c>
      <c r="AU322" s="43">
        <f>IF(AND(F322&lt;&gt;"",Y322&lt;&gt;""),AA322/(F322/2/Y322),"")</f>
        <v>6.1659707724425895E-2</v>
      </c>
      <c r="AV322" s="43">
        <f>IF(AND(F322&lt;&gt;"",AJ322&lt;&gt;""),AL322/(F322/2/AJ322),"")</f>
        <v>9.102296450939458E-2</v>
      </c>
      <c r="AW322" s="41">
        <f>IF(AND(AP322&lt;&gt;"",1-(AP322/N322)&gt;0),1-(AP322/N322),"")</f>
        <v>0.9154078549848943</v>
      </c>
      <c r="AX322" s="41">
        <f>IF(AND(AE322&lt;&gt;"",1-(AE322/N322)&gt;0),1-(AE322/N322),"")</f>
        <v>0.92447129909365555</v>
      </c>
      <c r="AY322" s="136" t="str">
        <f>IF(P322="","",IF(P322&lt;2.5,"Alc. Bruta &lt; 2,5 mg/L",IF(P322&lt;5,"2,5 ≤ Alc. Bruta &lt; 5,0 mg/L",IF(P322&lt;7.5,"5,0 ≤ Alc. Bruta &lt; 7,5 mg/L",IF(P322&lt;10,"7,5 ≤ Alc. Bruta &lt; 10,0 mg/L",IF(P322&lt;15,"10,0 ≤ Alca. Bruta &lt; 15,0 mg/L","Alc. Bruta &gt; 15 mg/L"))))))</f>
        <v>5,0 ≤ Alc. Bruta &lt; 7,5 mg/L</v>
      </c>
      <c r="AZ322" s="136" t="str">
        <f>IF(O322="","",IF(O322&lt;5,"Cor &lt;5 uC",IF(O322&lt;10,"5 ≤ Cor &lt; 10 uC",IF(O322&lt;15,"10 ≤ Cor &lt;15 uC",IF(O322&lt;30,"15 ≤ Cor &lt; 30 uC",IF(O322&lt;50,"30 ≤ Cor &lt; 50 uC","Cor &gt; 50 uC"))))))</f>
        <v>15 ≤ Cor &lt; 30 uC</v>
      </c>
      <c r="BA322" s="137" t="str">
        <f>IF(N322="","",IF(N322&lt;2.5,"Turbidez &lt; 2,5 uT",IF(N322&lt;5,"2,5 ≤ Turb &lt; 5,0 uT",IF(N322&lt;7.5,"5,0 ≤ Turb &lt; 7,5 uT",IF(N322&lt;10,"7,5 ≤ Turb &lt; 10,0 uT",IF(N322&lt;15,"10,0 ≤ Turb &lt; 15,0 uT","Turb &gt; 15 uT"))))))</f>
        <v>2,5 ≤ Turb &lt; 5,0 uT</v>
      </c>
      <c r="BB322" s="138" t="str">
        <f>IF(AND(C322&gt;D322,D322&gt;E322),"TOR &gt; SM &gt; BNN",IF(AND(C322&gt;E322,E322&gt;D322),"TOR &gt; BNN &gt; SM",IF(AND(D322&gt;C322,C322&gt;E322),"SM &gt; TOR &gt; BNN",IF(AND(D322&gt;E322,E322&gt;C322),"SM &gt; BNN &gt; TOR",IF(AND(C322=D322,D322=E322),"TOR = SM = BNN","Comb. diferentes")))))</f>
        <v>TOR &gt; BNN &gt; SM</v>
      </c>
      <c r="BC322" s="137" t="str">
        <f>IF(OR(AD322="",AP322="-"),"",IF(AD322&lt;=0.25,"Tipo 1 (≤0,25) uT",IF(AD322&lt;=0.5,"Tipo 2 (0,25-0,50) uT",IF(AD322&lt;=0.75,"Tipo 3 (0,50-0,75) uT","Tipo 4 (&gt;0,75) uT"))))</f>
        <v>Tipo 2 (0,25-0,50) uT</v>
      </c>
      <c r="BD322" s="137" t="str">
        <f>IF(OR(AO322="",AY322="-"),"",IF(AO322&lt;=0.25,"Tipo 1 (≤0,25) uT",IF(AO322&lt;=0.5,"Tipo 2 (0,25-0,50) uT",IF(AO322&lt;=0.75,"Tipo 3 (0,50-0,75) uT","Tipo 4 (&gt;0,75) uT"))))</f>
        <v>Tipo 2 (0,25-0,50) uT</v>
      </c>
      <c r="BE322" s="137" t="str">
        <f>IF(OR(AE322="",AP322="-"),"",IF(AE322&lt;=0.25,"Tipo 1 (≤0,25) uT",IF(AE322&lt;=0.5,"Tipo 2 (0,25-0,50) uT",IF(AE322&lt;=0.75,"Tipo 3 (0,50-0,75) uT","Tipo 4 (&gt;0,75) uT"))))</f>
        <v>Tipo 1 (≤0,25) uT</v>
      </c>
      <c r="BF322" s="137" t="str">
        <f>IF(OR(AP322="",AP322="-"),"",IF(AP322&lt;=0.25,"Tipo 1 (≤0,25) uT",IF(AP322&lt;=0.5,"Tipo 2 (0,25-0,50) uT",IF(AP322&lt;=0.75,"Tipo 3 (0,50-0,75) uT","Tipo 4 (&gt;0,75) uT"))))</f>
        <v>Tipo 2 (0,25-0,50) uT</v>
      </c>
      <c r="BG322" s="137" t="str">
        <f>IF(OR(Q322="",Q322="-"),"",IF(Q322&lt;=0.25,"Tipo 1 (≤0,25) uT",IF(Q322&lt;=0.5,"Tipo 2 (0,25-0,50) uT",IF(Q322&lt;=0.75,"Tipo 3 (0,50-0,75) uT","Tipo 4 (&gt;0,75) uT"))))</f>
        <v>Tipo 1 (≤0,25) uT</v>
      </c>
    </row>
    <row r="323" spans="1:59" x14ac:dyDescent="0.3">
      <c r="A323" s="26">
        <v>46160</v>
      </c>
      <c r="B323" s="107">
        <v>0.8125</v>
      </c>
      <c r="C323" s="116">
        <v>1196</v>
      </c>
      <c r="D323" s="116">
        <v>88</v>
      </c>
      <c r="E323" s="116">
        <v>588</v>
      </c>
      <c r="F323" s="116">
        <v>1863</v>
      </c>
      <c r="G323" s="10" t="s">
        <v>100</v>
      </c>
      <c r="H323" s="122">
        <v>6.8</v>
      </c>
      <c r="I323" s="116">
        <v>90</v>
      </c>
      <c r="J323" s="116">
        <v>90</v>
      </c>
      <c r="K323" s="116">
        <v>90</v>
      </c>
      <c r="L323" s="122">
        <v>25.3</v>
      </c>
      <c r="M323" s="122">
        <v>6.8</v>
      </c>
      <c r="N323" s="79">
        <v>3.12</v>
      </c>
      <c r="O323" s="116">
        <v>15</v>
      </c>
      <c r="P323" s="122">
        <v>7</v>
      </c>
      <c r="Q323" s="79">
        <v>0.21</v>
      </c>
      <c r="R323" s="79">
        <v>22.36</v>
      </c>
      <c r="S323" s="79">
        <v>0.88</v>
      </c>
      <c r="T323" s="79">
        <v>0.7</v>
      </c>
      <c r="U323" s="85">
        <f t="shared" si="38"/>
        <v>1679.8050000000001</v>
      </c>
      <c r="V323" s="79">
        <f t="shared" si="39"/>
        <v>1487.9482571199999</v>
      </c>
      <c r="W323" s="79">
        <f t="shared" si="40"/>
        <v>0.88578630086230237</v>
      </c>
      <c r="X323" s="116">
        <v>2</v>
      </c>
      <c r="Y323" s="116">
        <v>3</v>
      </c>
      <c r="Z323" s="122">
        <v>6.48</v>
      </c>
      <c r="AA323" s="116">
        <v>18.5</v>
      </c>
      <c r="AB323" s="122">
        <v>6.6</v>
      </c>
      <c r="AC323" s="122">
        <v>6.4</v>
      </c>
      <c r="AD323" s="10">
        <v>0.28000000000000003</v>
      </c>
      <c r="AE323" s="79">
        <v>0.3</v>
      </c>
      <c r="AF323" s="85">
        <f t="shared" si="41"/>
        <v>1259.85375</v>
      </c>
      <c r="AG323" s="85">
        <f t="shared" si="42"/>
        <v>1900.6500864</v>
      </c>
      <c r="AH323" s="85">
        <f t="shared" si="43"/>
        <v>1.508627558079658</v>
      </c>
      <c r="AI323" s="116">
        <v>2</v>
      </c>
      <c r="AJ323" s="116">
        <v>4</v>
      </c>
      <c r="AK323" s="79">
        <v>6.4</v>
      </c>
      <c r="AL323" s="79">
        <v>24</v>
      </c>
      <c r="AM323" s="122">
        <v>6.6</v>
      </c>
      <c r="AN323" s="122">
        <v>5.4</v>
      </c>
      <c r="AO323" s="79">
        <v>0.34</v>
      </c>
      <c r="AP323" s="127">
        <v>0.24</v>
      </c>
      <c r="AQ323" s="132">
        <f t="shared" si="44"/>
        <v>1872</v>
      </c>
      <c r="AR323" s="134">
        <f t="shared" si="45"/>
        <v>0.63888888888888884</v>
      </c>
      <c r="AS323" s="134">
        <f t="shared" si="46"/>
        <v>4.7008547008547008E-2</v>
      </c>
      <c r="AT323" s="134">
        <f t="shared" si="47"/>
        <v>0.3141025641025641</v>
      </c>
      <c r="AU323" s="43">
        <f>IF(AND(F323&lt;&gt;"",Y323&lt;&gt;""),AA323/(F323/2/Y323),"")</f>
        <v>5.9581320450885669E-2</v>
      </c>
      <c r="AV323" s="43">
        <f>IF(AND(F323&lt;&gt;"",AJ323&lt;&gt;""),AL323/(F323/2/AJ323),"")</f>
        <v>0.10305958132045089</v>
      </c>
      <c r="AW323" s="41">
        <f>IF(AND(AP323&lt;&gt;"",1-(AP323/N323)&gt;0),1-(AP323/N323),"")</f>
        <v>0.92307692307692313</v>
      </c>
      <c r="AX323" s="41">
        <f>IF(AND(AE323&lt;&gt;"",1-(AE323/N323)&gt;0),1-(AE323/N323),"")</f>
        <v>0.90384615384615385</v>
      </c>
      <c r="AY323" s="136" t="str">
        <f>IF(P323="","",IF(P323&lt;2.5,"Alc. Bruta &lt; 2,5 mg/L",IF(P323&lt;5,"2,5 ≤ Alc. Bruta &lt; 5,0 mg/L",IF(P323&lt;7.5,"5,0 ≤ Alc. Bruta &lt; 7,5 mg/L",IF(P323&lt;10,"7,5 ≤ Alc. Bruta &lt; 10,0 mg/L",IF(P323&lt;15,"10,0 ≤ Alca. Bruta &lt; 15,0 mg/L","Alc. Bruta &gt; 15 mg/L"))))))</f>
        <v>5,0 ≤ Alc. Bruta &lt; 7,5 mg/L</v>
      </c>
      <c r="AZ323" s="136" t="str">
        <f>IF(O323="","",IF(O323&lt;5,"Cor &lt;5 uC",IF(O323&lt;10,"5 ≤ Cor &lt; 10 uC",IF(O323&lt;15,"10 ≤ Cor &lt;15 uC",IF(O323&lt;30,"15 ≤ Cor &lt; 30 uC",IF(O323&lt;50,"30 ≤ Cor &lt; 50 uC","Cor &gt; 50 uC"))))))</f>
        <v>15 ≤ Cor &lt; 30 uC</v>
      </c>
      <c r="BA323" s="137" t="str">
        <f>IF(N323="","",IF(N323&lt;2.5,"Turbidez &lt; 2,5 uT",IF(N323&lt;5,"2,5 ≤ Turb &lt; 5,0 uT",IF(N323&lt;7.5,"5,0 ≤ Turb &lt; 7,5 uT",IF(N323&lt;10,"7,5 ≤ Turb &lt; 10,0 uT",IF(N323&lt;15,"10,0 ≤ Turb &lt; 15,0 uT","Turb &gt; 15 uT"))))))</f>
        <v>2,5 ≤ Turb &lt; 5,0 uT</v>
      </c>
      <c r="BB323" s="138" t="str">
        <f>IF(AND(C323&gt;D323,D323&gt;E323),"TOR &gt; SM &gt; BNN",IF(AND(C323&gt;E323,E323&gt;D323),"TOR &gt; BNN &gt; SM",IF(AND(D323&gt;C323,C323&gt;E323),"SM &gt; TOR &gt; BNN",IF(AND(D323&gt;E323,E323&gt;C323),"SM &gt; BNN &gt; TOR",IF(AND(C323=D323,D323=E323),"TOR = SM = BNN","Comb. diferentes")))))</f>
        <v>TOR &gt; BNN &gt; SM</v>
      </c>
      <c r="BC323" s="137" t="str">
        <f>IF(OR(AD323="",AP323="-"),"",IF(AD323&lt;=0.25,"Tipo 1 (≤0,25) uT",IF(AD323&lt;=0.5,"Tipo 2 (0,25-0,50) uT",IF(AD323&lt;=0.75,"Tipo 3 (0,50-0,75) uT","Tipo 4 (&gt;0,75) uT"))))</f>
        <v>Tipo 2 (0,25-0,50) uT</v>
      </c>
      <c r="BD323" s="137" t="str">
        <f>IF(OR(AO323="",AY323="-"),"",IF(AO323&lt;=0.25,"Tipo 1 (≤0,25) uT",IF(AO323&lt;=0.5,"Tipo 2 (0,25-0,50) uT",IF(AO323&lt;=0.75,"Tipo 3 (0,50-0,75) uT","Tipo 4 (&gt;0,75) uT"))))</f>
        <v>Tipo 2 (0,25-0,50) uT</v>
      </c>
      <c r="BE323" s="137" t="str">
        <f>IF(OR(AE323="",AP323="-"),"",IF(AE323&lt;=0.25,"Tipo 1 (≤0,25) uT",IF(AE323&lt;=0.5,"Tipo 2 (0,25-0,50) uT",IF(AE323&lt;=0.75,"Tipo 3 (0,50-0,75) uT","Tipo 4 (&gt;0,75) uT"))))</f>
        <v>Tipo 2 (0,25-0,50) uT</v>
      </c>
      <c r="BF323" s="137" t="str">
        <f>IF(OR(AP323="",AP323="-"),"",IF(AP323&lt;=0.25,"Tipo 1 (≤0,25) uT",IF(AP323&lt;=0.5,"Tipo 2 (0,25-0,50) uT",IF(AP323&lt;=0.75,"Tipo 3 (0,50-0,75) uT","Tipo 4 (&gt;0,75) uT"))))</f>
        <v>Tipo 1 (≤0,25) uT</v>
      </c>
      <c r="BG323" s="137" t="str">
        <f>IF(OR(Q323="",Q323="-"),"",IF(Q323&lt;=0.25,"Tipo 1 (≤0,25) uT",IF(Q323&lt;=0.5,"Tipo 2 (0,25-0,50) uT",IF(Q323&lt;=0.75,"Tipo 3 (0,50-0,75) uT","Tipo 4 (&gt;0,75) uT"))))</f>
        <v>Tipo 1 (≤0,25) uT</v>
      </c>
    </row>
    <row r="324" spans="1:59" x14ac:dyDescent="0.3">
      <c r="A324" s="26">
        <v>46160</v>
      </c>
      <c r="B324" s="107">
        <v>0.89583333333333337</v>
      </c>
      <c r="C324" s="116">
        <v>1168</v>
      </c>
      <c r="D324" s="116">
        <v>87</v>
      </c>
      <c r="E324" s="116">
        <v>589</v>
      </c>
      <c r="F324" s="116">
        <v>1937</v>
      </c>
      <c r="G324" s="10" t="s">
        <v>100</v>
      </c>
      <c r="H324" s="122">
        <v>6.8</v>
      </c>
      <c r="I324" s="116">
        <v>90</v>
      </c>
      <c r="J324" s="116">
        <v>90</v>
      </c>
      <c r="K324" s="116">
        <v>90</v>
      </c>
      <c r="L324" s="122">
        <v>25</v>
      </c>
      <c r="M324" s="122">
        <v>6.8</v>
      </c>
      <c r="N324" s="79">
        <v>3.32</v>
      </c>
      <c r="O324" s="116">
        <v>13</v>
      </c>
      <c r="P324" s="122">
        <v>7.5</v>
      </c>
      <c r="Q324" s="79">
        <v>0.25</v>
      </c>
      <c r="R324" s="79">
        <v>22.36</v>
      </c>
      <c r="S324" s="79">
        <v>0.88</v>
      </c>
      <c r="T324" s="79">
        <v>0.7</v>
      </c>
      <c r="U324" s="85">
        <f t="shared" si="38"/>
        <v>1811.0949999999998</v>
      </c>
      <c r="V324" s="79">
        <f t="shared" si="39"/>
        <v>1586.2369695328002</v>
      </c>
      <c r="W324" s="79">
        <f t="shared" si="40"/>
        <v>0.87584415479740174</v>
      </c>
      <c r="X324" s="116">
        <v>2</v>
      </c>
      <c r="Y324" s="116">
        <v>3</v>
      </c>
      <c r="Z324" s="122">
        <v>6.47</v>
      </c>
      <c r="AA324" s="116">
        <v>19.760000000000002</v>
      </c>
      <c r="AB324" s="122">
        <v>6.6</v>
      </c>
      <c r="AC324" s="122">
        <v>6.9</v>
      </c>
      <c r="AD324" s="10">
        <v>0.27</v>
      </c>
      <c r="AE324" s="79">
        <v>0.37</v>
      </c>
      <c r="AF324" s="85">
        <f t="shared" si="41"/>
        <v>1358.32125</v>
      </c>
      <c r="AG324" s="85">
        <f t="shared" si="42"/>
        <v>1828.1329538939995</v>
      </c>
      <c r="AH324" s="85">
        <f t="shared" si="43"/>
        <v>1.3458767238560094</v>
      </c>
      <c r="AI324" s="116">
        <v>2</v>
      </c>
      <c r="AJ324" s="116">
        <v>4</v>
      </c>
      <c r="AK324" s="79">
        <v>6.43</v>
      </c>
      <c r="AL324" s="79">
        <v>22.95</v>
      </c>
      <c r="AM324" s="122">
        <v>6.7</v>
      </c>
      <c r="AN324" s="122">
        <v>6.6</v>
      </c>
      <c r="AO324" s="79">
        <v>0.28999999999999998</v>
      </c>
      <c r="AP324" s="127">
        <v>0.22</v>
      </c>
      <c r="AQ324" s="132">
        <f t="shared" si="44"/>
        <v>1844</v>
      </c>
      <c r="AR324" s="134">
        <f t="shared" si="45"/>
        <v>0.63340563991323207</v>
      </c>
      <c r="AS324" s="134">
        <f t="shared" si="46"/>
        <v>4.7180043383947941E-2</v>
      </c>
      <c r="AT324" s="134">
        <f t="shared" si="47"/>
        <v>0.31941431670281994</v>
      </c>
      <c r="AU324" s="43">
        <f>IF(AND(F324&lt;&gt;"",Y324&lt;&gt;""),AA324/(F324/2/Y324),"")</f>
        <v>6.1208053691275174E-2</v>
      </c>
      <c r="AV324" s="43">
        <f>IF(AND(F324&lt;&gt;"",AJ324&lt;&gt;""),AL324/(F324/2/AJ324),"")</f>
        <v>9.478575116159009E-2</v>
      </c>
      <c r="AW324" s="41">
        <f>IF(AND(AP324&lt;&gt;"",1-(AP324/N324)&gt;0),1-(AP324/N324),"")</f>
        <v>0.9337349397590361</v>
      </c>
      <c r="AX324" s="41">
        <f>IF(AND(AE324&lt;&gt;"",1-(AE324/N324)&gt;0),1-(AE324/N324),"")</f>
        <v>0.88855421686746983</v>
      </c>
      <c r="AY324" s="136" t="str">
        <f>IF(P324="","",IF(P324&lt;2.5,"Alc. Bruta &lt; 2,5 mg/L",IF(P324&lt;5,"2,5 ≤ Alc. Bruta &lt; 5,0 mg/L",IF(P324&lt;7.5,"5,0 ≤ Alc. Bruta &lt; 7,5 mg/L",IF(P324&lt;10,"7,5 ≤ Alc. Bruta &lt; 10,0 mg/L",IF(P324&lt;15,"10,0 ≤ Alca. Bruta &lt; 15,0 mg/L","Alc. Bruta &gt; 15 mg/L"))))))</f>
        <v>7,5 ≤ Alc. Bruta &lt; 10,0 mg/L</v>
      </c>
      <c r="AZ324" s="136" t="str">
        <f>IF(O324="","",IF(O324&lt;5,"Cor &lt;5 uC",IF(O324&lt;10,"5 ≤ Cor &lt; 10 uC",IF(O324&lt;15,"10 ≤ Cor &lt;15 uC",IF(O324&lt;30,"15 ≤ Cor &lt; 30 uC",IF(O324&lt;50,"30 ≤ Cor &lt; 50 uC","Cor &gt; 50 uC"))))))</f>
        <v>10 ≤ Cor &lt;15 uC</v>
      </c>
      <c r="BA324" s="137" t="str">
        <f>IF(N324="","",IF(N324&lt;2.5,"Turbidez &lt; 2,5 uT",IF(N324&lt;5,"2,5 ≤ Turb &lt; 5,0 uT",IF(N324&lt;7.5,"5,0 ≤ Turb &lt; 7,5 uT",IF(N324&lt;10,"7,5 ≤ Turb &lt; 10,0 uT",IF(N324&lt;15,"10,0 ≤ Turb &lt; 15,0 uT","Turb &gt; 15 uT"))))))</f>
        <v>2,5 ≤ Turb &lt; 5,0 uT</v>
      </c>
      <c r="BB324" s="138" t="str">
        <f>IF(AND(C324&gt;D324,D324&gt;E324),"TOR &gt; SM &gt; BNN",IF(AND(C324&gt;E324,E324&gt;D324),"TOR &gt; BNN &gt; SM",IF(AND(D324&gt;C324,C324&gt;E324),"SM &gt; TOR &gt; BNN",IF(AND(D324&gt;E324,E324&gt;C324),"SM &gt; BNN &gt; TOR",IF(AND(C324=D324,D324=E324),"TOR = SM = BNN","Comb. diferentes")))))</f>
        <v>TOR &gt; BNN &gt; SM</v>
      </c>
      <c r="BC324" s="137" t="str">
        <f>IF(OR(AD324="",AP324="-"),"",IF(AD324&lt;=0.25,"Tipo 1 (≤0,25) uT",IF(AD324&lt;=0.5,"Tipo 2 (0,25-0,50) uT",IF(AD324&lt;=0.75,"Tipo 3 (0,50-0,75) uT","Tipo 4 (&gt;0,75) uT"))))</f>
        <v>Tipo 2 (0,25-0,50) uT</v>
      </c>
      <c r="BD324" s="137" t="str">
        <f>IF(OR(AO324="",AY324="-"),"",IF(AO324&lt;=0.25,"Tipo 1 (≤0,25) uT",IF(AO324&lt;=0.5,"Tipo 2 (0,25-0,50) uT",IF(AO324&lt;=0.75,"Tipo 3 (0,50-0,75) uT","Tipo 4 (&gt;0,75) uT"))))</f>
        <v>Tipo 2 (0,25-0,50) uT</v>
      </c>
      <c r="BE324" s="137" t="str">
        <f>IF(OR(AE324="",AP324="-"),"",IF(AE324&lt;=0.25,"Tipo 1 (≤0,25) uT",IF(AE324&lt;=0.5,"Tipo 2 (0,25-0,50) uT",IF(AE324&lt;=0.75,"Tipo 3 (0,50-0,75) uT","Tipo 4 (&gt;0,75) uT"))))</f>
        <v>Tipo 2 (0,25-0,50) uT</v>
      </c>
      <c r="BF324" s="137" t="str">
        <f>IF(OR(AP324="",AP324="-"),"",IF(AP324&lt;=0.25,"Tipo 1 (≤0,25) uT",IF(AP324&lt;=0.5,"Tipo 2 (0,25-0,50) uT",IF(AP324&lt;=0.75,"Tipo 3 (0,50-0,75) uT","Tipo 4 (&gt;0,75) uT"))))</f>
        <v>Tipo 1 (≤0,25) uT</v>
      </c>
      <c r="BG324" s="137" t="str">
        <f>IF(OR(Q324="",Q324="-"),"",IF(Q324&lt;=0.25,"Tipo 1 (≤0,25) uT",IF(Q324&lt;=0.5,"Tipo 2 (0,25-0,50) uT",IF(Q324&lt;=0.75,"Tipo 3 (0,50-0,75) uT","Tipo 4 (&gt;0,75) uT"))))</f>
        <v>Tipo 1 (≤0,25) uT</v>
      </c>
    </row>
    <row r="325" spans="1:59" x14ac:dyDescent="0.3">
      <c r="A325" s="26">
        <v>46160</v>
      </c>
      <c r="B325" s="107">
        <v>0.97916666666666663</v>
      </c>
      <c r="C325" s="116">
        <v>1196</v>
      </c>
      <c r="D325" s="116">
        <v>89</v>
      </c>
      <c r="E325" s="116">
        <v>588</v>
      </c>
      <c r="F325" s="116">
        <v>1940</v>
      </c>
      <c r="G325" s="10" t="s">
        <v>100</v>
      </c>
      <c r="H325" s="122">
        <v>6.8</v>
      </c>
      <c r="I325" s="116">
        <v>90</v>
      </c>
      <c r="J325" s="116">
        <v>90</v>
      </c>
      <c r="K325" s="116">
        <v>90</v>
      </c>
      <c r="L325" s="122">
        <v>24.2</v>
      </c>
      <c r="M325" s="122">
        <v>6.8</v>
      </c>
      <c r="N325" s="79">
        <v>3.48</v>
      </c>
      <c r="O325" s="116">
        <v>14</v>
      </c>
      <c r="P325" s="122">
        <v>7</v>
      </c>
      <c r="Q325" s="79">
        <v>0.26</v>
      </c>
      <c r="R325" s="79">
        <v>22.36</v>
      </c>
      <c r="S325" s="79">
        <v>0.88</v>
      </c>
      <c r="T325" s="79">
        <v>0.7</v>
      </c>
      <c r="U325" s="85">
        <f t="shared" si="38"/>
        <v>1865.633333333333</v>
      </c>
      <c r="V325" s="79">
        <f t="shared" si="39"/>
        <v>1367.3038038399998</v>
      </c>
      <c r="W325" s="79">
        <f t="shared" si="40"/>
        <v>0.73288988753059736</v>
      </c>
      <c r="X325" s="116">
        <v>2</v>
      </c>
      <c r="Y325" s="116">
        <v>3</v>
      </c>
      <c r="Z325" s="122">
        <v>6.48</v>
      </c>
      <c r="AA325" s="116">
        <v>17</v>
      </c>
      <c r="AB325" s="122">
        <v>6.6</v>
      </c>
      <c r="AC325" s="122">
        <v>5.4</v>
      </c>
      <c r="AD325" s="10">
        <v>0.26</v>
      </c>
      <c r="AE325" s="79">
        <v>0.37</v>
      </c>
      <c r="AF325" s="85">
        <f t="shared" si="41"/>
        <v>1399.2249999999999</v>
      </c>
      <c r="AG325" s="85">
        <f t="shared" si="42"/>
        <v>1900.6500864</v>
      </c>
      <c r="AH325" s="85">
        <f t="shared" si="43"/>
        <v>1.3583591533884829</v>
      </c>
      <c r="AI325" s="116">
        <v>2</v>
      </c>
      <c r="AJ325" s="116">
        <v>4</v>
      </c>
      <c r="AK325" s="79">
        <v>6.4</v>
      </c>
      <c r="AL325" s="79">
        <v>24</v>
      </c>
      <c r="AM325" s="122">
        <v>6.5</v>
      </c>
      <c r="AN325" s="122">
        <v>5</v>
      </c>
      <c r="AO325" s="79">
        <v>0.21</v>
      </c>
      <c r="AP325" s="127">
        <v>0.21</v>
      </c>
      <c r="AQ325" s="132">
        <f t="shared" si="44"/>
        <v>1873</v>
      </c>
      <c r="AR325" s="134">
        <f t="shared" si="45"/>
        <v>0.63854778430325676</v>
      </c>
      <c r="AS325" s="134">
        <f t="shared" si="46"/>
        <v>4.7517351841964761E-2</v>
      </c>
      <c r="AT325" s="134">
        <f t="shared" si="47"/>
        <v>0.31393486385477842</v>
      </c>
      <c r="AU325" s="43">
        <f>IF(AND(F325&lt;&gt;"",Y325&lt;&gt;""),AA325/(F325/2/Y325),"")</f>
        <v>5.2577319587628867E-2</v>
      </c>
      <c r="AV325" s="43">
        <f>IF(AND(F325&lt;&gt;"",AJ325&lt;&gt;""),AL325/(F325/2/AJ325),"")</f>
        <v>9.8969072164948449E-2</v>
      </c>
      <c r="AW325" s="41">
        <f>IF(AND(AP325&lt;&gt;"",1-(AP325/N325)&gt;0),1-(AP325/N325),"")</f>
        <v>0.93965517241379315</v>
      </c>
      <c r="AX325" s="41">
        <f>IF(AND(AE325&lt;&gt;"",1-(AE325/N325)&gt;0),1-(AE325/N325),"")</f>
        <v>0.89367816091954022</v>
      </c>
      <c r="AY325" s="136" t="str">
        <f>IF(P325="","",IF(P325&lt;2.5,"Alc. Bruta &lt; 2,5 mg/L",IF(P325&lt;5,"2,5 ≤ Alc. Bruta &lt; 5,0 mg/L",IF(P325&lt;7.5,"5,0 ≤ Alc. Bruta &lt; 7,5 mg/L",IF(P325&lt;10,"7,5 ≤ Alc. Bruta &lt; 10,0 mg/L",IF(P325&lt;15,"10,0 ≤ Alca. Bruta &lt; 15,0 mg/L","Alc. Bruta &gt; 15 mg/L"))))))</f>
        <v>5,0 ≤ Alc. Bruta &lt; 7,5 mg/L</v>
      </c>
      <c r="AZ325" s="136" t="str">
        <f>IF(O325="","",IF(O325&lt;5,"Cor &lt;5 uC",IF(O325&lt;10,"5 ≤ Cor &lt; 10 uC",IF(O325&lt;15,"10 ≤ Cor &lt;15 uC",IF(O325&lt;30,"15 ≤ Cor &lt; 30 uC",IF(O325&lt;50,"30 ≤ Cor &lt; 50 uC","Cor &gt; 50 uC"))))))</f>
        <v>10 ≤ Cor &lt;15 uC</v>
      </c>
      <c r="BA325" s="137" t="str">
        <f>IF(N325="","",IF(N325&lt;2.5,"Turbidez &lt; 2,5 uT",IF(N325&lt;5,"2,5 ≤ Turb &lt; 5,0 uT",IF(N325&lt;7.5,"5,0 ≤ Turb &lt; 7,5 uT",IF(N325&lt;10,"7,5 ≤ Turb &lt; 10,0 uT",IF(N325&lt;15,"10,0 ≤ Turb &lt; 15,0 uT","Turb &gt; 15 uT"))))))</f>
        <v>2,5 ≤ Turb &lt; 5,0 uT</v>
      </c>
      <c r="BB325" s="138" t="str">
        <f>IF(AND(C325&gt;D325,D325&gt;E325),"TOR &gt; SM &gt; BNN",IF(AND(C325&gt;E325,E325&gt;D325),"TOR &gt; BNN &gt; SM",IF(AND(D325&gt;C325,C325&gt;E325),"SM &gt; TOR &gt; BNN",IF(AND(D325&gt;E325,E325&gt;C325),"SM &gt; BNN &gt; TOR",IF(AND(C325=D325,D325=E325),"TOR = SM = BNN","Comb. diferentes")))))</f>
        <v>TOR &gt; BNN &gt; SM</v>
      </c>
      <c r="BC325" s="137" t="str">
        <f>IF(OR(AD325="",AP325="-"),"",IF(AD325&lt;=0.25,"Tipo 1 (≤0,25) uT",IF(AD325&lt;=0.5,"Tipo 2 (0,25-0,50) uT",IF(AD325&lt;=0.75,"Tipo 3 (0,50-0,75) uT","Tipo 4 (&gt;0,75) uT"))))</f>
        <v>Tipo 2 (0,25-0,50) uT</v>
      </c>
      <c r="BD325" s="137" t="str">
        <f>IF(OR(AO325="",AY325="-"),"",IF(AO325&lt;=0.25,"Tipo 1 (≤0,25) uT",IF(AO325&lt;=0.5,"Tipo 2 (0,25-0,50) uT",IF(AO325&lt;=0.75,"Tipo 3 (0,50-0,75) uT","Tipo 4 (&gt;0,75) uT"))))</f>
        <v>Tipo 1 (≤0,25) uT</v>
      </c>
      <c r="BE325" s="137" t="str">
        <f>IF(OR(AE325="",AP325="-"),"",IF(AE325&lt;=0.25,"Tipo 1 (≤0,25) uT",IF(AE325&lt;=0.5,"Tipo 2 (0,25-0,50) uT",IF(AE325&lt;=0.75,"Tipo 3 (0,50-0,75) uT","Tipo 4 (&gt;0,75) uT"))))</f>
        <v>Tipo 2 (0,25-0,50) uT</v>
      </c>
      <c r="BF325" s="137" t="str">
        <f>IF(OR(AP325="",AP325="-"),"",IF(AP325&lt;=0.25,"Tipo 1 (≤0,25) uT",IF(AP325&lt;=0.5,"Tipo 2 (0,25-0,50) uT",IF(AP325&lt;=0.75,"Tipo 3 (0,50-0,75) uT","Tipo 4 (&gt;0,75) uT"))))</f>
        <v>Tipo 1 (≤0,25) uT</v>
      </c>
      <c r="BG325" s="137" t="str">
        <f>IF(OR(Q325="",Q325="-"),"",IF(Q325&lt;=0.25,"Tipo 1 (≤0,25) uT",IF(Q325&lt;=0.5,"Tipo 2 (0,25-0,50) uT",IF(Q325&lt;=0.75,"Tipo 3 (0,50-0,75) uT","Tipo 4 (&gt;0,75) uT"))))</f>
        <v>Tipo 2 (0,25-0,50) uT</v>
      </c>
    </row>
    <row r="326" spans="1:59" x14ac:dyDescent="0.3">
      <c r="A326" s="26">
        <v>46161</v>
      </c>
      <c r="B326" s="107">
        <v>6.25E-2</v>
      </c>
      <c r="C326" s="116">
        <v>1210</v>
      </c>
      <c r="D326" s="116">
        <v>92</v>
      </c>
      <c r="E326" s="116">
        <v>589</v>
      </c>
      <c r="F326" s="116">
        <v>1960</v>
      </c>
      <c r="G326" s="10" t="s">
        <v>100</v>
      </c>
      <c r="H326" s="122">
        <v>6.8</v>
      </c>
      <c r="I326" s="116">
        <v>90</v>
      </c>
      <c r="J326" s="116">
        <v>90</v>
      </c>
      <c r="K326" s="116">
        <v>90</v>
      </c>
      <c r="L326" s="122">
        <v>24.1</v>
      </c>
      <c r="M326" s="122">
        <v>6.8</v>
      </c>
      <c r="N326" s="79">
        <v>3.66</v>
      </c>
      <c r="O326" s="116">
        <v>14</v>
      </c>
      <c r="P326" s="122">
        <v>6.9</v>
      </c>
      <c r="Q326" s="79">
        <v>0.3</v>
      </c>
      <c r="R326" s="79">
        <v>22.36</v>
      </c>
      <c r="S326" s="79">
        <v>0.88</v>
      </c>
      <c r="T326" s="79">
        <v>0.7</v>
      </c>
      <c r="U326" s="85">
        <f t="shared" si="38"/>
        <v>1943.6666666666667</v>
      </c>
      <c r="V326" s="79">
        <f t="shared" si="39"/>
        <v>1410.2221132999998</v>
      </c>
      <c r="W326" s="79">
        <f t="shared" si="40"/>
        <v>0.72554730576230475</v>
      </c>
      <c r="X326" s="116">
        <v>2</v>
      </c>
      <c r="Y326" s="116">
        <v>3</v>
      </c>
      <c r="Z326" s="122">
        <v>6.49</v>
      </c>
      <c r="AA326" s="116">
        <v>17.5</v>
      </c>
      <c r="AB326" s="122">
        <v>6.7</v>
      </c>
      <c r="AC326" s="122">
        <v>5.6</v>
      </c>
      <c r="AD326" s="10">
        <v>0.28999999999999998</v>
      </c>
      <c r="AE326" s="79">
        <v>0.38</v>
      </c>
      <c r="AF326" s="85">
        <f t="shared" si="41"/>
        <v>1457.75</v>
      </c>
      <c r="AG326" s="85">
        <f t="shared" si="42"/>
        <v>1905.4311016000001</v>
      </c>
      <c r="AH326" s="85">
        <f t="shared" si="43"/>
        <v>1.3071041684788203</v>
      </c>
      <c r="AI326" s="116">
        <v>2</v>
      </c>
      <c r="AJ326" s="116">
        <v>4</v>
      </c>
      <c r="AK326" s="79">
        <v>6.5</v>
      </c>
      <c r="AL326" s="79">
        <v>23.6</v>
      </c>
      <c r="AM326" s="122">
        <v>6.6</v>
      </c>
      <c r="AN326" s="122">
        <v>5.5</v>
      </c>
      <c r="AO326" s="79">
        <v>0.26</v>
      </c>
      <c r="AP326" s="127">
        <v>0.19</v>
      </c>
      <c r="AQ326" s="132">
        <f t="shared" si="44"/>
        <v>1891</v>
      </c>
      <c r="AR326" s="134">
        <f t="shared" si="45"/>
        <v>0.63987308302485457</v>
      </c>
      <c r="AS326" s="134">
        <f t="shared" si="46"/>
        <v>4.8651507139079855E-2</v>
      </c>
      <c r="AT326" s="134">
        <f t="shared" si="47"/>
        <v>0.31147540983606559</v>
      </c>
      <c r="AU326" s="43">
        <f>IF(AND(F326&lt;&gt;"",Y326&lt;&gt;""),AA326/(F326/2/Y326),"")</f>
        <v>5.3571428571428568E-2</v>
      </c>
      <c r="AV326" s="43">
        <f>IF(AND(F326&lt;&gt;"",AJ326&lt;&gt;""),AL326/(F326/2/AJ326),"")</f>
        <v>9.6326530612244901E-2</v>
      </c>
      <c r="AW326" s="41">
        <f>IF(AND(AP326&lt;&gt;"",1-(AP326/N326)&gt;0),1-(AP326/N326),"")</f>
        <v>0.94808743169398912</v>
      </c>
      <c r="AX326" s="41">
        <f>IF(AND(AE326&lt;&gt;"",1-(AE326/N326)&gt;0),1-(AE326/N326),"")</f>
        <v>0.89617486338797814</v>
      </c>
      <c r="AY326" s="136" t="str">
        <f>IF(P326="","",IF(P326&lt;2.5,"Alc. Bruta &lt; 2,5 mg/L",IF(P326&lt;5,"2,5 ≤ Alc. Bruta &lt; 5,0 mg/L",IF(P326&lt;7.5,"5,0 ≤ Alc. Bruta &lt; 7,5 mg/L",IF(P326&lt;10,"7,5 ≤ Alc. Bruta &lt; 10,0 mg/L",IF(P326&lt;15,"10,0 ≤ Alca. Bruta &lt; 15,0 mg/L","Alc. Bruta &gt; 15 mg/L"))))))</f>
        <v>5,0 ≤ Alc. Bruta &lt; 7,5 mg/L</v>
      </c>
      <c r="AZ326" s="136" t="str">
        <f>IF(O326="","",IF(O326&lt;5,"Cor &lt;5 uC",IF(O326&lt;10,"5 ≤ Cor &lt; 10 uC",IF(O326&lt;15,"10 ≤ Cor &lt;15 uC",IF(O326&lt;30,"15 ≤ Cor &lt; 30 uC",IF(O326&lt;50,"30 ≤ Cor &lt; 50 uC","Cor &gt; 50 uC"))))))</f>
        <v>10 ≤ Cor &lt;15 uC</v>
      </c>
      <c r="BA326" s="137" t="str">
        <f>IF(N326="","",IF(N326&lt;2.5,"Turbidez &lt; 2,5 uT",IF(N326&lt;5,"2,5 ≤ Turb &lt; 5,0 uT",IF(N326&lt;7.5,"5,0 ≤ Turb &lt; 7,5 uT",IF(N326&lt;10,"7,5 ≤ Turb &lt; 10,0 uT",IF(N326&lt;15,"10,0 ≤ Turb &lt; 15,0 uT","Turb &gt; 15 uT"))))))</f>
        <v>2,5 ≤ Turb &lt; 5,0 uT</v>
      </c>
      <c r="BB326" s="138" t="str">
        <f>IF(AND(C326&gt;D326,D326&gt;E326),"TOR &gt; SM &gt; BNN",IF(AND(C326&gt;E326,E326&gt;D326),"TOR &gt; BNN &gt; SM",IF(AND(D326&gt;C326,C326&gt;E326),"SM &gt; TOR &gt; BNN",IF(AND(D326&gt;E326,E326&gt;C326),"SM &gt; BNN &gt; TOR",IF(AND(C326=D326,D326=E326),"TOR = SM = BNN","Comb. diferentes")))))</f>
        <v>TOR &gt; BNN &gt; SM</v>
      </c>
      <c r="BC326" s="137" t="str">
        <f>IF(OR(AD326="",AP326="-"),"",IF(AD326&lt;=0.25,"Tipo 1 (≤0,25) uT",IF(AD326&lt;=0.5,"Tipo 2 (0,25-0,50) uT",IF(AD326&lt;=0.75,"Tipo 3 (0,50-0,75) uT","Tipo 4 (&gt;0,75) uT"))))</f>
        <v>Tipo 2 (0,25-0,50) uT</v>
      </c>
      <c r="BD326" s="137" t="str">
        <f>IF(OR(AO326="",AY326="-"),"",IF(AO326&lt;=0.25,"Tipo 1 (≤0,25) uT",IF(AO326&lt;=0.5,"Tipo 2 (0,25-0,50) uT",IF(AO326&lt;=0.75,"Tipo 3 (0,50-0,75) uT","Tipo 4 (&gt;0,75) uT"))))</f>
        <v>Tipo 2 (0,25-0,50) uT</v>
      </c>
      <c r="BE326" s="137" t="str">
        <f>IF(OR(AE326="",AP326="-"),"",IF(AE326&lt;=0.25,"Tipo 1 (≤0,25) uT",IF(AE326&lt;=0.5,"Tipo 2 (0,25-0,50) uT",IF(AE326&lt;=0.75,"Tipo 3 (0,50-0,75) uT","Tipo 4 (&gt;0,75) uT"))))</f>
        <v>Tipo 2 (0,25-0,50) uT</v>
      </c>
      <c r="BF326" s="137" t="str">
        <f>IF(OR(AP326="",AP326="-"),"",IF(AP326&lt;=0.25,"Tipo 1 (≤0,25) uT",IF(AP326&lt;=0.5,"Tipo 2 (0,25-0,50) uT",IF(AP326&lt;=0.75,"Tipo 3 (0,50-0,75) uT","Tipo 4 (&gt;0,75) uT"))))</f>
        <v>Tipo 1 (≤0,25) uT</v>
      </c>
      <c r="BG326" s="137" t="str">
        <f>IF(OR(Q326="",Q326="-"),"",IF(Q326&lt;=0.25,"Tipo 1 (≤0,25) uT",IF(Q326&lt;=0.5,"Tipo 2 (0,25-0,50) uT",IF(Q326&lt;=0.75,"Tipo 3 (0,50-0,75) uT","Tipo 4 (&gt;0,75) uT"))))</f>
        <v>Tipo 2 (0,25-0,50) uT</v>
      </c>
    </row>
    <row r="327" spans="1:59" x14ac:dyDescent="0.3">
      <c r="A327" s="26">
        <v>46161</v>
      </c>
      <c r="B327" s="107">
        <v>0.14583333333333334</v>
      </c>
      <c r="C327" s="116">
        <v>1550</v>
      </c>
      <c r="D327" s="116">
        <v>94</v>
      </c>
      <c r="E327" s="116">
        <v>539</v>
      </c>
      <c r="F327" s="116">
        <v>2295</v>
      </c>
      <c r="G327" s="10" t="s">
        <v>100</v>
      </c>
      <c r="H327" s="122">
        <v>6.8</v>
      </c>
      <c r="I327" s="116">
        <v>90</v>
      </c>
      <c r="J327" s="116">
        <v>90</v>
      </c>
      <c r="K327" s="116">
        <v>90</v>
      </c>
      <c r="L327" s="122">
        <v>23.6</v>
      </c>
      <c r="M327" s="122">
        <v>6.7</v>
      </c>
      <c r="N327" s="79">
        <v>3.61</v>
      </c>
      <c r="O327" s="116">
        <v>14</v>
      </c>
      <c r="P327" s="122">
        <v>5.7</v>
      </c>
      <c r="Q327" s="79">
        <v>0.27</v>
      </c>
      <c r="R327" s="79">
        <v>22.36</v>
      </c>
      <c r="S327" s="79">
        <v>0.88</v>
      </c>
      <c r="T327" s="79">
        <v>0.7</v>
      </c>
      <c r="U327" s="85">
        <f t="shared" si="38"/>
        <v>1692.5625</v>
      </c>
      <c r="V327" s="79">
        <f t="shared" si="39"/>
        <v>1452.0309877579998</v>
      </c>
      <c r="W327" s="79">
        <f t="shared" si="40"/>
        <v>0.8578891401398766</v>
      </c>
      <c r="X327" s="116">
        <v>3</v>
      </c>
      <c r="Y327" s="116">
        <v>4</v>
      </c>
      <c r="Z327" s="122">
        <v>6.51</v>
      </c>
      <c r="AA327" s="116">
        <v>17.95</v>
      </c>
      <c r="AB327" s="122">
        <v>6.7</v>
      </c>
      <c r="AC327" s="122">
        <v>5</v>
      </c>
      <c r="AD327" s="10">
        <v>0.41</v>
      </c>
      <c r="AE327" s="79">
        <v>0.49</v>
      </c>
      <c r="AF327" s="85">
        <f t="shared" si="41"/>
        <v>1692.5625</v>
      </c>
      <c r="AG327" s="85">
        <f t="shared" si="42"/>
        <v>1829.7260980803994</v>
      </c>
      <c r="AH327" s="85">
        <f t="shared" si="43"/>
        <v>1.0810390151503413</v>
      </c>
      <c r="AI327" s="116">
        <v>3</v>
      </c>
      <c r="AJ327" s="116">
        <v>4</v>
      </c>
      <c r="AK327" s="79">
        <v>6.43</v>
      </c>
      <c r="AL327" s="79">
        <v>22.97</v>
      </c>
      <c r="AM327" s="122">
        <v>6.5</v>
      </c>
      <c r="AN327" s="122">
        <v>4.7</v>
      </c>
      <c r="AO327" s="79">
        <v>0.19</v>
      </c>
      <c r="AP327" s="127">
        <v>0.23</v>
      </c>
      <c r="AQ327" s="132">
        <f t="shared" si="44"/>
        <v>2183</v>
      </c>
      <c r="AR327" s="134">
        <f t="shared" si="45"/>
        <v>0.71003206596426938</v>
      </c>
      <c r="AS327" s="134">
        <f t="shared" si="46"/>
        <v>4.3060009161704077E-2</v>
      </c>
      <c r="AT327" s="134">
        <f t="shared" si="47"/>
        <v>0.24690792487402657</v>
      </c>
      <c r="AU327" s="43">
        <f>IF(AND(F327&lt;&gt;"",Y327&lt;&gt;""),AA327/(F327/2/Y327),"")</f>
        <v>6.2570806100217868E-2</v>
      </c>
      <c r="AV327" s="43">
        <f>IF(AND(F327&lt;&gt;"",AJ327&lt;&gt;""),AL327/(F327/2/AJ327),"")</f>
        <v>8.0069716775599126E-2</v>
      </c>
      <c r="AW327" s="41">
        <f>IF(AND(AP327&lt;&gt;"",1-(AP327/N327)&gt;0),1-(AP327/N327),"")</f>
        <v>0.93628808864265922</v>
      </c>
      <c r="AX327" s="41">
        <f>IF(AND(AE327&lt;&gt;"",1-(AE327/N327)&gt;0),1-(AE327/N327),"")</f>
        <v>0.8642659279778393</v>
      </c>
      <c r="AY327" s="136" t="str">
        <f>IF(P327="","",IF(P327&lt;2.5,"Alc. Bruta &lt; 2,5 mg/L",IF(P327&lt;5,"2,5 ≤ Alc. Bruta &lt; 5,0 mg/L",IF(P327&lt;7.5,"5,0 ≤ Alc. Bruta &lt; 7,5 mg/L",IF(P327&lt;10,"7,5 ≤ Alc. Bruta &lt; 10,0 mg/L",IF(P327&lt;15,"10,0 ≤ Alca. Bruta &lt; 15,0 mg/L","Alc. Bruta &gt; 15 mg/L"))))))</f>
        <v>5,0 ≤ Alc. Bruta &lt; 7,5 mg/L</v>
      </c>
      <c r="AZ327" s="136" t="str">
        <f>IF(O327="","",IF(O327&lt;5,"Cor &lt;5 uC",IF(O327&lt;10,"5 ≤ Cor &lt; 10 uC",IF(O327&lt;15,"10 ≤ Cor &lt;15 uC",IF(O327&lt;30,"15 ≤ Cor &lt; 30 uC",IF(O327&lt;50,"30 ≤ Cor &lt; 50 uC","Cor &gt; 50 uC"))))))</f>
        <v>10 ≤ Cor &lt;15 uC</v>
      </c>
      <c r="BA327" s="137" t="str">
        <f>IF(N327="","",IF(N327&lt;2.5,"Turbidez &lt; 2,5 uT",IF(N327&lt;5,"2,5 ≤ Turb &lt; 5,0 uT",IF(N327&lt;7.5,"5,0 ≤ Turb &lt; 7,5 uT",IF(N327&lt;10,"7,5 ≤ Turb &lt; 10,0 uT",IF(N327&lt;15,"10,0 ≤ Turb &lt; 15,0 uT","Turb &gt; 15 uT"))))))</f>
        <v>2,5 ≤ Turb &lt; 5,0 uT</v>
      </c>
      <c r="BB327" s="138" t="str">
        <f>IF(AND(C327&gt;D327,D327&gt;E327),"TOR &gt; SM &gt; BNN",IF(AND(C327&gt;E327,E327&gt;D327),"TOR &gt; BNN &gt; SM",IF(AND(D327&gt;C327,C327&gt;E327),"SM &gt; TOR &gt; BNN",IF(AND(D327&gt;E327,E327&gt;C327),"SM &gt; BNN &gt; TOR",IF(AND(C327=D327,D327=E327),"TOR = SM = BNN","Comb. diferentes")))))</f>
        <v>TOR &gt; BNN &gt; SM</v>
      </c>
      <c r="BC327" s="137" t="str">
        <f>IF(OR(AD327="",AP327="-"),"",IF(AD327&lt;=0.25,"Tipo 1 (≤0,25) uT",IF(AD327&lt;=0.5,"Tipo 2 (0,25-0,50) uT",IF(AD327&lt;=0.75,"Tipo 3 (0,50-0,75) uT","Tipo 4 (&gt;0,75) uT"))))</f>
        <v>Tipo 2 (0,25-0,50) uT</v>
      </c>
      <c r="BD327" s="137" t="str">
        <f>IF(OR(AO327="",AY327="-"),"",IF(AO327&lt;=0.25,"Tipo 1 (≤0,25) uT",IF(AO327&lt;=0.5,"Tipo 2 (0,25-0,50) uT",IF(AO327&lt;=0.75,"Tipo 3 (0,50-0,75) uT","Tipo 4 (&gt;0,75) uT"))))</f>
        <v>Tipo 1 (≤0,25) uT</v>
      </c>
      <c r="BE327" s="137" t="str">
        <f>IF(OR(AE327="",AP327="-"),"",IF(AE327&lt;=0.25,"Tipo 1 (≤0,25) uT",IF(AE327&lt;=0.5,"Tipo 2 (0,25-0,50) uT",IF(AE327&lt;=0.75,"Tipo 3 (0,50-0,75) uT","Tipo 4 (&gt;0,75) uT"))))</f>
        <v>Tipo 2 (0,25-0,50) uT</v>
      </c>
      <c r="BF327" s="137" t="str">
        <f>IF(OR(AP327="",AP327="-"),"",IF(AP327&lt;=0.25,"Tipo 1 (≤0,25) uT",IF(AP327&lt;=0.5,"Tipo 2 (0,25-0,50) uT",IF(AP327&lt;=0.75,"Tipo 3 (0,50-0,75) uT","Tipo 4 (&gt;0,75) uT"))))</f>
        <v>Tipo 1 (≤0,25) uT</v>
      </c>
      <c r="BG327" s="137" t="str">
        <f>IF(OR(Q327="",Q327="-"),"",IF(Q327&lt;=0.25,"Tipo 1 (≤0,25) uT",IF(Q327&lt;=0.5,"Tipo 2 (0,25-0,50) uT",IF(Q327&lt;=0.75,"Tipo 3 (0,50-0,75) uT","Tipo 4 (&gt;0,75) uT"))))</f>
        <v>Tipo 2 (0,25-0,50) uT</v>
      </c>
    </row>
    <row r="328" spans="1:59" ht="15" thickBot="1" x14ac:dyDescent="0.35">
      <c r="A328" s="26">
        <v>46161</v>
      </c>
      <c r="B328" s="110">
        <v>0.22916666666666666</v>
      </c>
      <c r="C328" s="117">
        <v>1566</v>
      </c>
      <c r="D328" s="117">
        <v>90</v>
      </c>
      <c r="E328" s="117">
        <v>539</v>
      </c>
      <c r="F328" s="117">
        <v>2302</v>
      </c>
      <c r="G328" s="11" t="s">
        <v>100</v>
      </c>
      <c r="H328" s="123">
        <v>6.8</v>
      </c>
      <c r="I328" s="117">
        <v>90</v>
      </c>
      <c r="J328" s="117">
        <v>90</v>
      </c>
      <c r="K328" s="117">
        <v>90</v>
      </c>
      <c r="L328" s="123">
        <v>23.2</v>
      </c>
      <c r="M328" s="123">
        <v>6.8</v>
      </c>
      <c r="N328" s="80">
        <v>3.97</v>
      </c>
      <c r="O328" s="117">
        <v>14</v>
      </c>
      <c r="P328" s="123">
        <v>5.5</v>
      </c>
      <c r="Q328" s="80">
        <v>0.4</v>
      </c>
      <c r="R328" s="79">
        <v>22.36</v>
      </c>
      <c r="S328" s="79">
        <v>0.88</v>
      </c>
      <c r="T328" s="79">
        <v>0.7</v>
      </c>
      <c r="U328" s="85">
        <f t="shared" si="38"/>
        <v>1801.3149999999998</v>
      </c>
      <c r="V328" s="79">
        <f t="shared" si="39"/>
        <v>1487.1976784287999</v>
      </c>
      <c r="W328" s="79">
        <f t="shared" si="40"/>
        <v>0.8256177728097529</v>
      </c>
      <c r="X328" s="117">
        <v>3</v>
      </c>
      <c r="Y328" s="117">
        <v>4</v>
      </c>
      <c r="Z328" s="123">
        <v>6.54</v>
      </c>
      <c r="AA328" s="117">
        <v>18.28</v>
      </c>
      <c r="AB328" s="123">
        <v>6.6</v>
      </c>
      <c r="AC328" s="123">
        <v>5.3</v>
      </c>
      <c r="AD328" s="11">
        <v>0.41</v>
      </c>
      <c r="AE328" s="80">
        <v>0.35</v>
      </c>
      <c r="AF328" s="85">
        <f t="shared" si="41"/>
        <v>1801.3149999999998</v>
      </c>
      <c r="AG328" s="85">
        <f t="shared" si="42"/>
        <v>1843.4472461184</v>
      </c>
      <c r="AH328" s="85">
        <f t="shared" si="43"/>
        <v>1.0233897159122087</v>
      </c>
      <c r="AI328" s="117">
        <v>3</v>
      </c>
      <c r="AJ328" s="117">
        <v>4</v>
      </c>
      <c r="AK328" s="80">
        <v>6.48</v>
      </c>
      <c r="AL328" s="80">
        <v>22.92</v>
      </c>
      <c r="AM328" s="123">
        <v>6.5</v>
      </c>
      <c r="AN328" s="123">
        <v>5</v>
      </c>
      <c r="AO328" s="80">
        <v>0.2</v>
      </c>
      <c r="AP328" s="128">
        <v>0.23</v>
      </c>
      <c r="AQ328" s="132">
        <f t="shared" si="44"/>
        <v>2195</v>
      </c>
      <c r="AR328" s="134">
        <f t="shared" si="45"/>
        <v>0.71343963553530754</v>
      </c>
      <c r="AS328" s="134">
        <f t="shared" si="46"/>
        <v>4.1002277904328019E-2</v>
      </c>
      <c r="AT328" s="134">
        <f t="shared" si="47"/>
        <v>0.24555808656036446</v>
      </c>
      <c r="AU328" s="43">
        <f>IF(AND(F328&lt;&gt;"",Y328&lt;&gt;""),AA328/(F328/2/Y328),"")</f>
        <v>6.352736750651608E-2</v>
      </c>
      <c r="AV328" s="43">
        <f>IF(AND(F328&lt;&gt;"",AJ328&lt;&gt;""),AL328/(F328/2/AJ328),"")</f>
        <v>7.9652476107732406E-2</v>
      </c>
      <c r="AW328" s="41">
        <f>IF(AND(AP328&lt;&gt;"",1-(AP328/N328)&gt;0),1-(AP328/N328),"")</f>
        <v>0.94206549118387906</v>
      </c>
      <c r="AX328" s="41">
        <f>IF(AND(AE328&lt;&gt;"",1-(AE328/N328)&gt;0),1-(AE328/N328),"")</f>
        <v>0.91183879093198994</v>
      </c>
      <c r="AY328" s="136" t="str">
        <f>IF(P328="","",IF(P328&lt;2.5,"Alc. Bruta &lt; 2,5 mg/L",IF(P328&lt;5,"2,5 ≤ Alc. Bruta &lt; 5,0 mg/L",IF(P328&lt;7.5,"5,0 ≤ Alc. Bruta &lt; 7,5 mg/L",IF(P328&lt;10,"7,5 ≤ Alc. Bruta &lt; 10,0 mg/L",IF(P328&lt;15,"10,0 ≤ Alca. Bruta &lt; 15,0 mg/L","Alc. Bruta &gt; 15 mg/L"))))))</f>
        <v>5,0 ≤ Alc. Bruta &lt; 7,5 mg/L</v>
      </c>
      <c r="AZ328" s="136" t="str">
        <f>IF(O328="","",IF(O328&lt;5,"Cor &lt;5 uC",IF(O328&lt;10,"5 ≤ Cor &lt; 10 uC",IF(O328&lt;15,"10 ≤ Cor &lt;15 uC",IF(O328&lt;30,"15 ≤ Cor &lt; 30 uC",IF(O328&lt;50,"30 ≤ Cor &lt; 50 uC","Cor &gt; 50 uC"))))))</f>
        <v>10 ≤ Cor &lt;15 uC</v>
      </c>
      <c r="BA328" s="137" t="str">
        <f>IF(N328="","",IF(N328&lt;2.5,"Turbidez &lt; 2,5 uT",IF(N328&lt;5,"2,5 ≤ Turb &lt; 5,0 uT",IF(N328&lt;7.5,"5,0 ≤ Turb &lt; 7,5 uT",IF(N328&lt;10,"7,5 ≤ Turb &lt; 10,0 uT",IF(N328&lt;15,"10,0 ≤ Turb &lt; 15,0 uT","Turb &gt; 15 uT"))))))</f>
        <v>2,5 ≤ Turb &lt; 5,0 uT</v>
      </c>
      <c r="BB328" s="138" t="str">
        <f>IF(AND(C328&gt;D328,D328&gt;E328),"TOR &gt; SM &gt; BNN",IF(AND(C328&gt;E328,E328&gt;D328),"TOR &gt; BNN &gt; SM",IF(AND(D328&gt;C328,C328&gt;E328),"SM &gt; TOR &gt; BNN",IF(AND(D328&gt;E328,E328&gt;C328),"SM &gt; BNN &gt; TOR",IF(AND(C328=D328,D328=E328),"TOR = SM = BNN","Comb. diferentes")))))</f>
        <v>TOR &gt; BNN &gt; SM</v>
      </c>
      <c r="BC328" s="137" t="str">
        <f>IF(OR(AD328="",AP328="-"),"",IF(AD328&lt;=0.25,"Tipo 1 (≤0,25) uT",IF(AD328&lt;=0.5,"Tipo 2 (0,25-0,50) uT",IF(AD328&lt;=0.75,"Tipo 3 (0,50-0,75) uT","Tipo 4 (&gt;0,75) uT"))))</f>
        <v>Tipo 2 (0,25-0,50) uT</v>
      </c>
      <c r="BD328" s="137" t="str">
        <f>IF(OR(AO328="",AY328="-"),"",IF(AO328&lt;=0.25,"Tipo 1 (≤0,25) uT",IF(AO328&lt;=0.5,"Tipo 2 (0,25-0,50) uT",IF(AO328&lt;=0.75,"Tipo 3 (0,50-0,75) uT","Tipo 4 (&gt;0,75) uT"))))</f>
        <v>Tipo 1 (≤0,25) uT</v>
      </c>
      <c r="BE328" s="137" t="str">
        <f>IF(OR(AE328="",AP328="-"),"",IF(AE328&lt;=0.25,"Tipo 1 (≤0,25) uT",IF(AE328&lt;=0.5,"Tipo 2 (0,25-0,50) uT",IF(AE328&lt;=0.75,"Tipo 3 (0,50-0,75) uT","Tipo 4 (&gt;0,75) uT"))))</f>
        <v>Tipo 2 (0,25-0,50) uT</v>
      </c>
      <c r="BF328" s="137" t="str">
        <f>IF(OR(AP328="",AP328="-"),"",IF(AP328&lt;=0.25,"Tipo 1 (≤0,25) uT",IF(AP328&lt;=0.5,"Tipo 2 (0,25-0,50) uT",IF(AP328&lt;=0.75,"Tipo 3 (0,50-0,75) uT","Tipo 4 (&gt;0,75) uT"))))</f>
        <v>Tipo 1 (≤0,25) uT</v>
      </c>
      <c r="BG328" s="137" t="str">
        <f>IF(OR(Q328="",Q328="-"),"",IF(Q328&lt;=0.25,"Tipo 1 (≤0,25) uT",IF(Q328&lt;=0.5,"Tipo 2 (0,25-0,50) uT",IF(Q328&lt;=0.75,"Tipo 3 (0,50-0,75) uT","Tipo 4 (&gt;0,75) uT"))))</f>
        <v>Tipo 2 (0,25-0,50) uT</v>
      </c>
    </row>
    <row r="329" spans="1:59" x14ac:dyDescent="0.3">
      <c r="A329" s="26">
        <v>46161</v>
      </c>
      <c r="B329" s="107">
        <v>0.39583333333333331</v>
      </c>
      <c r="C329" s="116">
        <v>1714</v>
      </c>
      <c r="D329" s="116">
        <v>90</v>
      </c>
      <c r="E329" s="116">
        <v>501</v>
      </c>
      <c r="F329" s="116">
        <v>2248</v>
      </c>
      <c r="G329" s="10" t="s">
        <v>100</v>
      </c>
      <c r="H329" s="122">
        <v>7.3</v>
      </c>
      <c r="I329" s="116">
        <v>90</v>
      </c>
      <c r="J329" s="116">
        <v>90</v>
      </c>
      <c r="K329" s="116">
        <v>90</v>
      </c>
      <c r="L329" s="122">
        <v>24.1</v>
      </c>
      <c r="M329" s="122">
        <v>6.8</v>
      </c>
      <c r="N329" s="79">
        <v>3.1</v>
      </c>
      <c r="O329" s="116">
        <v>16</v>
      </c>
      <c r="P329" s="122">
        <v>5.3</v>
      </c>
      <c r="Q329" s="79">
        <v>0.15</v>
      </c>
      <c r="R329" s="79">
        <v>22.36</v>
      </c>
      <c r="S329" s="79">
        <v>0.88</v>
      </c>
      <c r="T329" s="79">
        <v>0.7</v>
      </c>
      <c r="U329" s="85">
        <f t="shared" si="38"/>
        <v>1556.74</v>
      </c>
      <c r="V329" s="79">
        <f t="shared" si="39"/>
        <v>1425.4875648</v>
      </c>
      <c r="W329" s="79">
        <f t="shared" si="40"/>
        <v>0.91568763235993167</v>
      </c>
      <c r="X329" s="116">
        <v>3</v>
      </c>
      <c r="Y329" s="116">
        <v>4</v>
      </c>
      <c r="Z329" s="122">
        <v>6.4</v>
      </c>
      <c r="AA329" s="116">
        <v>18</v>
      </c>
      <c r="AB329" s="122">
        <v>6.6</v>
      </c>
      <c r="AC329" s="122">
        <v>6</v>
      </c>
      <c r="AD329" s="10">
        <v>0.24</v>
      </c>
      <c r="AE329" s="79">
        <v>0.27</v>
      </c>
      <c r="AF329" s="85">
        <f t="shared" si="41"/>
        <v>1556.74</v>
      </c>
      <c r="AG329" s="85">
        <f t="shared" si="42"/>
        <v>1871.2005800799998</v>
      </c>
      <c r="AH329" s="85">
        <f t="shared" si="43"/>
        <v>1.2019994219201664</v>
      </c>
      <c r="AI329" s="116">
        <v>3</v>
      </c>
      <c r="AJ329" s="116">
        <v>4</v>
      </c>
      <c r="AK329" s="79">
        <v>6.54</v>
      </c>
      <c r="AL329" s="79">
        <v>23</v>
      </c>
      <c r="AM329" s="122">
        <v>6.6</v>
      </c>
      <c r="AN329" s="122">
        <v>5.5</v>
      </c>
      <c r="AO329" s="79">
        <v>0.21</v>
      </c>
      <c r="AP329" s="127">
        <v>0.17</v>
      </c>
      <c r="AQ329" s="132">
        <f t="shared" si="44"/>
        <v>2305</v>
      </c>
      <c r="AR329" s="134">
        <f t="shared" si="45"/>
        <v>0.74360086767895883</v>
      </c>
      <c r="AS329" s="134">
        <f t="shared" si="46"/>
        <v>3.9045553145336226E-2</v>
      </c>
      <c r="AT329" s="134">
        <f t="shared" si="47"/>
        <v>0.217353579175705</v>
      </c>
      <c r="AU329" s="43">
        <f>IF(AND(F329&lt;&gt;"",Y329&lt;&gt;""),AA329/(F329/2/Y329),"")</f>
        <v>6.4056939501779361E-2</v>
      </c>
      <c r="AV329" s="43">
        <f>IF(AND(F329&lt;&gt;"",AJ329&lt;&gt;""),AL329/(F329/2/AJ329),"")</f>
        <v>8.1850533807829182E-2</v>
      </c>
      <c r="AW329" s="41">
        <f>IF(AND(AP329&lt;&gt;"",1-(AP329/N329)&gt;0),1-(AP329/N329),"")</f>
        <v>0.94516129032258067</v>
      </c>
      <c r="AX329" s="41">
        <f>IF(AND(AE329&lt;&gt;"",1-(AE329/N329)&gt;0),1-(AE329/N329),"")</f>
        <v>0.91290322580645156</v>
      </c>
      <c r="AY329" s="136" t="str">
        <f>IF(P329="","",IF(P329&lt;2.5,"Alc. Bruta &lt; 2,5 mg/L",IF(P329&lt;5,"2,5 ≤ Alc. Bruta &lt; 5,0 mg/L",IF(P329&lt;7.5,"5,0 ≤ Alc. Bruta &lt; 7,5 mg/L",IF(P329&lt;10,"7,5 ≤ Alc. Bruta &lt; 10,0 mg/L",IF(P329&lt;15,"10,0 ≤ Alca. Bruta &lt; 15,0 mg/L","Alc. Bruta &gt; 15 mg/L"))))))</f>
        <v>5,0 ≤ Alc. Bruta &lt; 7,5 mg/L</v>
      </c>
      <c r="AZ329" s="136" t="str">
        <f>IF(O329="","",IF(O329&lt;5,"Cor &lt;5 uC",IF(O329&lt;10,"5 ≤ Cor &lt; 10 uC",IF(O329&lt;15,"10 ≤ Cor &lt;15 uC",IF(O329&lt;30,"15 ≤ Cor &lt; 30 uC",IF(O329&lt;50,"30 ≤ Cor &lt; 50 uC","Cor &gt; 50 uC"))))))</f>
        <v>15 ≤ Cor &lt; 30 uC</v>
      </c>
      <c r="BA329" s="137" t="str">
        <f>IF(N329="","",IF(N329&lt;2.5,"Turbidez &lt; 2,5 uT",IF(N329&lt;5,"2,5 ≤ Turb &lt; 5,0 uT",IF(N329&lt;7.5,"5,0 ≤ Turb &lt; 7,5 uT",IF(N329&lt;10,"7,5 ≤ Turb &lt; 10,0 uT",IF(N329&lt;15,"10,0 ≤ Turb &lt; 15,0 uT","Turb &gt; 15 uT"))))))</f>
        <v>2,5 ≤ Turb &lt; 5,0 uT</v>
      </c>
      <c r="BB329" s="138" t="str">
        <f>IF(AND(C329&gt;D329,D329&gt;E329),"TOR &gt; SM &gt; BNN",IF(AND(C329&gt;E329,E329&gt;D329),"TOR &gt; BNN &gt; SM",IF(AND(D329&gt;C329,C329&gt;E329),"SM &gt; TOR &gt; BNN",IF(AND(D329&gt;E329,E329&gt;C329),"SM &gt; BNN &gt; TOR",IF(AND(C329=D329,D329=E329),"TOR = SM = BNN","Comb. diferentes")))))</f>
        <v>TOR &gt; BNN &gt; SM</v>
      </c>
      <c r="BC329" s="137" t="str">
        <f>IF(OR(AD329="",AP329="-"),"",IF(AD329&lt;=0.25,"Tipo 1 (≤0,25) uT",IF(AD329&lt;=0.5,"Tipo 2 (0,25-0,50) uT",IF(AD329&lt;=0.75,"Tipo 3 (0,50-0,75) uT","Tipo 4 (&gt;0,75) uT"))))</f>
        <v>Tipo 1 (≤0,25) uT</v>
      </c>
      <c r="BD329" s="137" t="str">
        <f>IF(OR(AO329="",AY329="-"),"",IF(AO329&lt;=0.25,"Tipo 1 (≤0,25) uT",IF(AO329&lt;=0.5,"Tipo 2 (0,25-0,50) uT",IF(AO329&lt;=0.75,"Tipo 3 (0,50-0,75) uT","Tipo 4 (&gt;0,75) uT"))))</f>
        <v>Tipo 1 (≤0,25) uT</v>
      </c>
      <c r="BE329" s="137" t="str">
        <f>IF(OR(AE329="",AP329="-"),"",IF(AE329&lt;=0.25,"Tipo 1 (≤0,25) uT",IF(AE329&lt;=0.5,"Tipo 2 (0,25-0,50) uT",IF(AE329&lt;=0.75,"Tipo 3 (0,50-0,75) uT","Tipo 4 (&gt;0,75) uT"))))</f>
        <v>Tipo 2 (0,25-0,50) uT</v>
      </c>
      <c r="BF329" s="137" t="str">
        <f>IF(OR(AP329="",AP329="-"),"",IF(AP329&lt;=0.25,"Tipo 1 (≤0,25) uT",IF(AP329&lt;=0.5,"Tipo 2 (0,25-0,50) uT",IF(AP329&lt;=0.75,"Tipo 3 (0,50-0,75) uT","Tipo 4 (&gt;0,75) uT"))))</f>
        <v>Tipo 1 (≤0,25) uT</v>
      </c>
      <c r="BG329" s="137" t="str">
        <f>IF(OR(Q329="",Q329="-"),"",IF(Q329&lt;=0.25,"Tipo 1 (≤0,25) uT",IF(Q329&lt;=0.5,"Tipo 2 (0,25-0,50) uT",IF(Q329&lt;=0.75,"Tipo 3 (0,50-0,75) uT","Tipo 4 (&gt;0,75) uT"))))</f>
        <v>Tipo 1 (≤0,25) uT</v>
      </c>
    </row>
    <row r="330" spans="1:59" x14ac:dyDescent="0.3">
      <c r="A330" s="26">
        <v>46161</v>
      </c>
      <c r="B330" s="107">
        <v>0.47916666666666669</v>
      </c>
      <c r="C330" s="116">
        <v>1750</v>
      </c>
      <c r="D330" s="116">
        <v>88</v>
      </c>
      <c r="E330" s="116">
        <v>500</v>
      </c>
      <c r="F330" s="116">
        <v>2216</v>
      </c>
      <c r="G330" s="10" t="s">
        <v>100</v>
      </c>
      <c r="H330" s="122">
        <v>7.6</v>
      </c>
      <c r="I330" s="116">
        <v>90</v>
      </c>
      <c r="J330" s="116">
        <v>90</v>
      </c>
      <c r="K330" s="116">
        <v>90</v>
      </c>
      <c r="L330" s="122">
        <v>24.9</v>
      </c>
      <c r="M330" s="122">
        <v>6.7</v>
      </c>
      <c r="N330" s="79">
        <v>2.81</v>
      </c>
      <c r="O330" s="116">
        <v>14</v>
      </c>
      <c r="P330" s="122">
        <v>4.9000000000000004</v>
      </c>
      <c r="Q330" s="79">
        <v>0.16</v>
      </c>
      <c r="R330" s="79">
        <v>22.36</v>
      </c>
      <c r="S330" s="79">
        <v>0.88</v>
      </c>
      <c r="T330" s="79">
        <v>0.7</v>
      </c>
      <c r="U330" s="85">
        <f t="shared" si="38"/>
        <v>1479.18</v>
      </c>
      <c r="V330" s="79">
        <f t="shared" si="39"/>
        <v>1422.70683048</v>
      </c>
      <c r="W330" s="79">
        <f t="shared" si="40"/>
        <v>0.9618212999634933</v>
      </c>
      <c r="X330" s="116">
        <v>3</v>
      </c>
      <c r="Y330" s="116">
        <v>4</v>
      </c>
      <c r="Z330" s="122">
        <v>6.39</v>
      </c>
      <c r="AA330" s="116">
        <v>18</v>
      </c>
      <c r="AB330" s="122">
        <v>6.5</v>
      </c>
      <c r="AC330" s="122">
        <v>4.9000000000000004</v>
      </c>
      <c r="AD330" s="10">
        <v>0.25</v>
      </c>
      <c r="AE330" s="79">
        <v>0.31</v>
      </c>
      <c r="AF330" s="85">
        <f t="shared" si="41"/>
        <v>1479.18</v>
      </c>
      <c r="AG330" s="85">
        <f t="shared" si="42"/>
        <v>1864.0942590399995</v>
      </c>
      <c r="AH330" s="85">
        <f t="shared" si="43"/>
        <v>1.2602213787639094</v>
      </c>
      <c r="AI330" s="116">
        <v>3</v>
      </c>
      <c r="AJ330" s="116">
        <v>4</v>
      </c>
      <c r="AK330" s="79">
        <v>6.52</v>
      </c>
      <c r="AL330" s="79">
        <v>23</v>
      </c>
      <c r="AM330" s="122">
        <v>6.5</v>
      </c>
      <c r="AN330" s="122">
        <v>5.7</v>
      </c>
      <c r="AO330" s="79">
        <v>0.09</v>
      </c>
      <c r="AP330" s="127">
        <v>0.13</v>
      </c>
      <c r="AQ330" s="132">
        <f t="shared" si="44"/>
        <v>2338</v>
      </c>
      <c r="AR330" s="134">
        <f t="shared" si="45"/>
        <v>0.74850299401197606</v>
      </c>
      <c r="AS330" s="134">
        <f t="shared" si="46"/>
        <v>3.7639007698887936E-2</v>
      </c>
      <c r="AT330" s="134">
        <f t="shared" si="47"/>
        <v>0.21385799828913601</v>
      </c>
      <c r="AU330" s="43">
        <f>IF(AND(F330&lt;&gt;"",Y330&lt;&gt;""),AA330/(F330/2/Y330),"")</f>
        <v>6.4981949458483748E-2</v>
      </c>
      <c r="AV330" s="43">
        <f>IF(AND(F330&lt;&gt;"",AJ330&lt;&gt;""),AL330/(F330/2/AJ330),"")</f>
        <v>8.3032490974729242E-2</v>
      </c>
      <c r="AW330" s="41">
        <f>IF(AND(AP330&lt;&gt;"",1-(AP330/N330)&gt;0),1-(AP330/N330),"")</f>
        <v>0.9537366548042705</v>
      </c>
      <c r="AX330" s="41">
        <f>IF(AND(AE330&lt;&gt;"",1-(AE330/N330)&gt;0),1-(AE330/N330),"")</f>
        <v>0.88967971530249113</v>
      </c>
      <c r="AY330" s="136" t="str">
        <f>IF(P330="","",IF(P330&lt;2.5,"Alc. Bruta &lt; 2,5 mg/L",IF(P330&lt;5,"2,5 ≤ Alc. Bruta &lt; 5,0 mg/L",IF(P330&lt;7.5,"5,0 ≤ Alc. Bruta &lt; 7,5 mg/L",IF(P330&lt;10,"7,5 ≤ Alc. Bruta &lt; 10,0 mg/L",IF(P330&lt;15,"10,0 ≤ Alca. Bruta &lt; 15,0 mg/L","Alc. Bruta &gt; 15 mg/L"))))))</f>
        <v>2,5 ≤ Alc. Bruta &lt; 5,0 mg/L</v>
      </c>
      <c r="AZ330" s="136" t="str">
        <f>IF(O330="","",IF(O330&lt;5,"Cor &lt;5 uC",IF(O330&lt;10,"5 ≤ Cor &lt; 10 uC",IF(O330&lt;15,"10 ≤ Cor &lt;15 uC",IF(O330&lt;30,"15 ≤ Cor &lt; 30 uC",IF(O330&lt;50,"30 ≤ Cor &lt; 50 uC","Cor &gt; 50 uC"))))))</f>
        <v>10 ≤ Cor &lt;15 uC</v>
      </c>
      <c r="BA330" s="137" t="str">
        <f>IF(N330="","",IF(N330&lt;2.5,"Turbidez &lt; 2,5 uT",IF(N330&lt;5,"2,5 ≤ Turb &lt; 5,0 uT",IF(N330&lt;7.5,"5,0 ≤ Turb &lt; 7,5 uT",IF(N330&lt;10,"7,5 ≤ Turb &lt; 10,0 uT",IF(N330&lt;15,"10,0 ≤ Turb &lt; 15,0 uT","Turb &gt; 15 uT"))))))</f>
        <v>2,5 ≤ Turb &lt; 5,0 uT</v>
      </c>
      <c r="BB330" s="138" t="str">
        <f>IF(AND(C330&gt;D330,D330&gt;E330),"TOR &gt; SM &gt; BNN",IF(AND(C330&gt;E330,E330&gt;D330),"TOR &gt; BNN &gt; SM",IF(AND(D330&gt;C330,C330&gt;E330),"SM &gt; TOR &gt; BNN",IF(AND(D330&gt;E330,E330&gt;C330),"SM &gt; BNN &gt; TOR",IF(AND(C330=D330,D330=E330),"TOR = SM = BNN","Comb. diferentes")))))</f>
        <v>TOR &gt; BNN &gt; SM</v>
      </c>
      <c r="BC330" s="137" t="str">
        <f>IF(OR(AD330="",AP330="-"),"",IF(AD330&lt;=0.25,"Tipo 1 (≤0,25) uT",IF(AD330&lt;=0.5,"Tipo 2 (0,25-0,50) uT",IF(AD330&lt;=0.75,"Tipo 3 (0,50-0,75) uT","Tipo 4 (&gt;0,75) uT"))))</f>
        <v>Tipo 1 (≤0,25) uT</v>
      </c>
      <c r="BD330" s="137" t="str">
        <f>IF(OR(AO330="",AY330="-"),"",IF(AO330&lt;=0.25,"Tipo 1 (≤0,25) uT",IF(AO330&lt;=0.5,"Tipo 2 (0,25-0,50) uT",IF(AO330&lt;=0.75,"Tipo 3 (0,50-0,75) uT","Tipo 4 (&gt;0,75) uT"))))</f>
        <v>Tipo 1 (≤0,25) uT</v>
      </c>
      <c r="BE330" s="137" t="str">
        <f>IF(OR(AE330="",AP330="-"),"",IF(AE330&lt;=0.25,"Tipo 1 (≤0,25) uT",IF(AE330&lt;=0.5,"Tipo 2 (0,25-0,50) uT",IF(AE330&lt;=0.75,"Tipo 3 (0,50-0,75) uT","Tipo 4 (&gt;0,75) uT"))))</f>
        <v>Tipo 2 (0,25-0,50) uT</v>
      </c>
      <c r="BF330" s="137" t="str">
        <f>IF(OR(AP330="",AP330="-"),"",IF(AP330&lt;=0.25,"Tipo 1 (≤0,25) uT",IF(AP330&lt;=0.5,"Tipo 2 (0,25-0,50) uT",IF(AP330&lt;=0.75,"Tipo 3 (0,50-0,75) uT","Tipo 4 (&gt;0,75) uT"))))</f>
        <v>Tipo 1 (≤0,25) uT</v>
      </c>
      <c r="BG330" s="137" t="str">
        <f>IF(OR(Q330="",Q330="-"),"",IF(Q330&lt;=0.25,"Tipo 1 (≤0,25) uT",IF(Q330&lt;=0.5,"Tipo 2 (0,25-0,50) uT",IF(Q330&lt;=0.75,"Tipo 3 (0,50-0,75) uT","Tipo 4 (&gt;0,75) uT"))))</f>
        <v>Tipo 1 (≤0,25) uT</v>
      </c>
    </row>
    <row r="331" spans="1:59" x14ac:dyDescent="0.3">
      <c r="A331" s="26">
        <v>46161</v>
      </c>
      <c r="B331" s="107">
        <v>0.64583333333333337</v>
      </c>
      <c r="C331" s="116">
        <v>1526</v>
      </c>
      <c r="D331" s="116">
        <v>84</v>
      </c>
      <c r="E331" s="116">
        <v>500</v>
      </c>
      <c r="F331" s="116">
        <v>2198</v>
      </c>
      <c r="G331" s="10" t="s">
        <v>100</v>
      </c>
      <c r="H331" s="122">
        <v>7.8</v>
      </c>
      <c r="I331" s="116">
        <v>90</v>
      </c>
      <c r="J331" s="116">
        <v>90</v>
      </c>
      <c r="K331" s="116">
        <v>90</v>
      </c>
      <c r="L331" s="122">
        <v>25.9</v>
      </c>
      <c r="M331" s="122">
        <v>6.7</v>
      </c>
      <c r="N331" s="79">
        <v>3.02</v>
      </c>
      <c r="O331" s="116">
        <v>15</v>
      </c>
      <c r="P331" s="122">
        <v>4.9000000000000004</v>
      </c>
      <c r="Q331" s="79">
        <v>0.4</v>
      </c>
      <c r="R331" s="79">
        <v>22.36</v>
      </c>
      <c r="S331" s="79">
        <v>0.88</v>
      </c>
      <c r="T331" s="79">
        <v>0.7</v>
      </c>
      <c r="U331" s="85">
        <f t="shared" si="38"/>
        <v>1541.3474999999999</v>
      </c>
      <c r="V331" s="79">
        <f t="shared" si="39"/>
        <v>1428.2682991200002</v>
      </c>
      <c r="W331" s="79">
        <f t="shared" si="40"/>
        <v>0.92663614085726953</v>
      </c>
      <c r="X331" s="116">
        <v>3</v>
      </c>
      <c r="Y331" s="116">
        <v>4</v>
      </c>
      <c r="Z331" s="122">
        <v>6.41</v>
      </c>
      <c r="AA331" s="116">
        <v>18</v>
      </c>
      <c r="AB331" s="122">
        <v>6.6</v>
      </c>
      <c r="AC331" s="122">
        <v>5.4</v>
      </c>
      <c r="AD331" s="10">
        <v>0.27</v>
      </c>
      <c r="AE331" s="79">
        <v>0.53</v>
      </c>
      <c r="AF331" s="85">
        <f t="shared" si="41"/>
        <v>1541.3474999999999</v>
      </c>
      <c r="AG331" s="85">
        <f t="shared" si="42"/>
        <v>1860.5410985199997</v>
      </c>
      <c r="AH331" s="85">
        <f t="shared" si="43"/>
        <v>1.2070873690196402</v>
      </c>
      <c r="AI331" s="116">
        <v>3</v>
      </c>
      <c r="AJ331" s="116">
        <v>4</v>
      </c>
      <c r="AK331" s="79">
        <v>6.51</v>
      </c>
      <c r="AL331" s="79">
        <v>23</v>
      </c>
      <c r="AM331" s="122">
        <v>6.6</v>
      </c>
      <c r="AN331" s="122">
        <v>4.8</v>
      </c>
      <c r="AO331" s="79">
        <v>0.11</v>
      </c>
      <c r="AP331" s="127">
        <v>0.15</v>
      </c>
      <c r="AQ331" s="132">
        <f t="shared" si="44"/>
        <v>2110</v>
      </c>
      <c r="AR331" s="134">
        <f t="shared" si="45"/>
        <v>0.72322274881516591</v>
      </c>
      <c r="AS331" s="134">
        <f t="shared" si="46"/>
        <v>3.9810426540284362E-2</v>
      </c>
      <c r="AT331" s="134">
        <f t="shared" si="47"/>
        <v>0.23696682464454977</v>
      </c>
      <c r="AU331" s="43">
        <f>IF(AND(F331&lt;&gt;"",Y331&lt;&gt;""),AA331/(F331/2/Y331),"")</f>
        <v>6.5514103730664242E-2</v>
      </c>
      <c r="AV331" s="43">
        <f>IF(AND(F331&lt;&gt;"",AJ331&lt;&gt;""),AL331/(F331/2/AJ331),"")</f>
        <v>8.3712465878070977E-2</v>
      </c>
      <c r="AW331" s="41">
        <f>IF(AND(AP331&lt;&gt;"",1-(AP331/N331)&gt;0),1-(AP331/N331),"")</f>
        <v>0.95033112582781454</v>
      </c>
      <c r="AX331" s="41">
        <f>IF(AND(AE331&lt;&gt;"",1-(AE331/N331)&gt;0),1-(AE331/N331),"")</f>
        <v>0.82450331125827814</v>
      </c>
      <c r="AY331" s="136" t="str">
        <f>IF(P331="","",IF(P331&lt;2.5,"Alc. Bruta &lt; 2,5 mg/L",IF(P331&lt;5,"2,5 ≤ Alc. Bruta &lt; 5,0 mg/L",IF(P331&lt;7.5,"5,0 ≤ Alc. Bruta &lt; 7,5 mg/L",IF(P331&lt;10,"7,5 ≤ Alc. Bruta &lt; 10,0 mg/L",IF(P331&lt;15,"10,0 ≤ Alca. Bruta &lt; 15,0 mg/L","Alc. Bruta &gt; 15 mg/L"))))))</f>
        <v>2,5 ≤ Alc. Bruta &lt; 5,0 mg/L</v>
      </c>
      <c r="AZ331" s="136" t="str">
        <f>IF(O331="","",IF(O331&lt;5,"Cor &lt;5 uC",IF(O331&lt;10,"5 ≤ Cor &lt; 10 uC",IF(O331&lt;15,"10 ≤ Cor &lt;15 uC",IF(O331&lt;30,"15 ≤ Cor &lt; 30 uC",IF(O331&lt;50,"30 ≤ Cor &lt; 50 uC","Cor &gt; 50 uC"))))))</f>
        <v>15 ≤ Cor &lt; 30 uC</v>
      </c>
      <c r="BA331" s="137" t="str">
        <f>IF(N331="","",IF(N331&lt;2.5,"Turbidez &lt; 2,5 uT",IF(N331&lt;5,"2,5 ≤ Turb &lt; 5,0 uT",IF(N331&lt;7.5,"5,0 ≤ Turb &lt; 7,5 uT",IF(N331&lt;10,"7,5 ≤ Turb &lt; 10,0 uT",IF(N331&lt;15,"10,0 ≤ Turb &lt; 15,0 uT","Turb &gt; 15 uT"))))))</f>
        <v>2,5 ≤ Turb &lt; 5,0 uT</v>
      </c>
      <c r="BB331" s="138" t="str">
        <f>IF(AND(C331&gt;D331,D331&gt;E331),"TOR &gt; SM &gt; BNN",IF(AND(C331&gt;E331,E331&gt;D331),"TOR &gt; BNN &gt; SM",IF(AND(D331&gt;C331,C331&gt;E331),"SM &gt; TOR &gt; BNN",IF(AND(D331&gt;E331,E331&gt;C331),"SM &gt; BNN &gt; TOR",IF(AND(C331=D331,D331=E331),"TOR = SM = BNN","Comb. diferentes")))))</f>
        <v>TOR &gt; BNN &gt; SM</v>
      </c>
      <c r="BC331" s="137" t="str">
        <f>IF(OR(AD331="",AP331="-"),"",IF(AD331&lt;=0.25,"Tipo 1 (≤0,25) uT",IF(AD331&lt;=0.5,"Tipo 2 (0,25-0,50) uT",IF(AD331&lt;=0.75,"Tipo 3 (0,50-0,75) uT","Tipo 4 (&gt;0,75) uT"))))</f>
        <v>Tipo 2 (0,25-0,50) uT</v>
      </c>
      <c r="BD331" s="137" t="str">
        <f>IF(OR(AO331="",AY331="-"),"",IF(AO331&lt;=0.25,"Tipo 1 (≤0,25) uT",IF(AO331&lt;=0.5,"Tipo 2 (0,25-0,50) uT",IF(AO331&lt;=0.75,"Tipo 3 (0,50-0,75) uT","Tipo 4 (&gt;0,75) uT"))))</f>
        <v>Tipo 1 (≤0,25) uT</v>
      </c>
      <c r="BE331" s="137" t="str">
        <f>IF(OR(AE331="",AP331="-"),"",IF(AE331&lt;=0.25,"Tipo 1 (≤0,25) uT",IF(AE331&lt;=0.5,"Tipo 2 (0,25-0,50) uT",IF(AE331&lt;=0.75,"Tipo 3 (0,50-0,75) uT","Tipo 4 (&gt;0,75) uT"))))</f>
        <v>Tipo 3 (0,50-0,75) uT</v>
      </c>
      <c r="BF331" s="137" t="str">
        <f>IF(OR(AP331="",AP331="-"),"",IF(AP331&lt;=0.25,"Tipo 1 (≤0,25) uT",IF(AP331&lt;=0.5,"Tipo 2 (0,25-0,50) uT",IF(AP331&lt;=0.75,"Tipo 3 (0,50-0,75) uT","Tipo 4 (&gt;0,75) uT"))))</f>
        <v>Tipo 1 (≤0,25) uT</v>
      </c>
      <c r="BG331" s="137" t="str">
        <f>IF(OR(Q331="",Q331="-"),"",IF(Q331&lt;=0.25,"Tipo 1 (≤0,25) uT",IF(Q331&lt;=0.5,"Tipo 2 (0,25-0,50) uT",IF(Q331&lt;=0.75,"Tipo 3 (0,50-0,75) uT","Tipo 4 (&gt;0,75) uT"))))</f>
        <v>Tipo 2 (0,25-0,50) uT</v>
      </c>
    </row>
    <row r="332" spans="1:59" x14ac:dyDescent="0.3">
      <c r="A332" s="26">
        <v>46161</v>
      </c>
      <c r="B332" s="107">
        <v>0.72916666666666663</v>
      </c>
      <c r="C332" s="116">
        <v>1520</v>
      </c>
      <c r="D332" s="116">
        <v>88</v>
      </c>
      <c r="E332" s="116">
        <v>500</v>
      </c>
      <c r="F332" s="116">
        <v>2160</v>
      </c>
      <c r="G332" s="10" t="s">
        <v>100</v>
      </c>
      <c r="H332" s="122">
        <v>7.6</v>
      </c>
      <c r="I332" s="116">
        <v>90</v>
      </c>
      <c r="J332" s="116">
        <v>90</v>
      </c>
      <c r="K332" s="116">
        <v>90</v>
      </c>
      <c r="L332" s="122">
        <v>26</v>
      </c>
      <c r="M332" s="122">
        <v>6.8</v>
      </c>
      <c r="N332" s="79">
        <v>2.9</v>
      </c>
      <c r="O332" s="116">
        <v>15</v>
      </c>
      <c r="P332" s="122">
        <v>5.0999999999999996</v>
      </c>
      <c r="Q332" s="79">
        <v>0.15</v>
      </c>
      <c r="R332" s="79">
        <v>22.36</v>
      </c>
      <c r="S332" s="79">
        <v>0.88</v>
      </c>
      <c r="T332" s="79">
        <v>0.7</v>
      </c>
      <c r="U332" s="85">
        <f t="shared" si="38"/>
        <v>1466.1</v>
      </c>
      <c r="V332" s="79">
        <f t="shared" si="39"/>
        <v>1422.70683048</v>
      </c>
      <c r="W332" s="79">
        <f t="shared" si="40"/>
        <v>0.97040231258440768</v>
      </c>
      <c r="X332" s="116">
        <v>3</v>
      </c>
      <c r="Y332" s="116">
        <v>4</v>
      </c>
      <c r="Z332" s="122">
        <v>6.39</v>
      </c>
      <c r="AA332" s="116">
        <v>18</v>
      </c>
      <c r="AB332" s="122">
        <v>6.5</v>
      </c>
      <c r="AC332" s="122">
        <v>5.5</v>
      </c>
      <c r="AD332" s="10">
        <v>0.3</v>
      </c>
      <c r="AE332" s="79">
        <v>0.36</v>
      </c>
      <c r="AF332" s="85">
        <f t="shared" si="41"/>
        <v>1466.1</v>
      </c>
      <c r="AG332" s="85">
        <f t="shared" si="42"/>
        <v>1856.9879380000002</v>
      </c>
      <c r="AH332" s="85">
        <f t="shared" si="43"/>
        <v>1.2666175144942367</v>
      </c>
      <c r="AI332" s="116">
        <v>3</v>
      </c>
      <c r="AJ332" s="116">
        <v>4</v>
      </c>
      <c r="AK332" s="79">
        <v>6.5</v>
      </c>
      <c r="AL332" s="79">
        <v>23</v>
      </c>
      <c r="AM332" s="122">
        <v>6.6</v>
      </c>
      <c r="AN332" s="122">
        <v>5.5</v>
      </c>
      <c r="AO332" s="79">
        <v>0.21</v>
      </c>
      <c r="AP332" s="127">
        <v>0.38</v>
      </c>
      <c r="AQ332" s="132">
        <f t="shared" si="44"/>
        <v>2108</v>
      </c>
      <c r="AR332" s="134">
        <f t="shared" si="45"/>
        <v>0.72106261859582543</v>
      </c>
      <c r="AS332" s="134">
        <f t="shared" si="46"/>
        <v>4.1745730550284632E-2</v>
      </c>
      <c r="AT332" s="134">
        <f t="shared" si="47"/>
        <v>0.23719165085388993</v>
      </c>
      <c r="AU332" s="43">
        <f>IF(AND(F332&lt;&gt;"",Y332&lt;&gt;""),AA332/(F332/2/Y332),"")</f>
        <v>6.6666666666666666E-2</v>
      </c>
      <c r="AV332" s="43">
        <f>IF(AND(F332&lt;&gt;"",AJ332&lt;&gt;""),AL332/(F332/2/AJ332),"")</f>
        <v>8.5185185185185183E-2</v>
      </c>
      <c r="AW332" s="41">
        <f>IF(AND(AP332&lt;&gt;"",1-(AP332/N332)&gt;0),1-(AP332/N332),"")</f>
        <v>0.86896551724137927</v>
      </c>
      <c r="AX332" s="41">
        <f>IF(AND(AE332&lt;&gt;"",1-(AE332/N332)&gt;0),1-(AE332/N332),"")</f>
        <v>0.87586206896551722</v>
      </c>
      <c r="AY332" s="136" t="str">
        <f>IF(P332="","",IF(P332&lt;2.5,"Alc. Bruta &lt; 2,5 mg/L",IF(P332&lt;5,"2,5 ≤ Alc. Bruta &lt; 5,0 mg/L",IF(P332&lt;7.5,"5,0 ≤ Alc. Bruta &lt; 7,5 mg/L",IF(P332&lt;10,"7,5 ≤ Alc. Bruta &lt; 10,0 mg/L",IF(P332&lt;15,"10,0 ≤ Alca. Bruta &lt; 15,0 mg/L","Alc. Bruta &gt; 15 mg/L"))))))</f>
        <v>5,0 ≤ Alc. Bruta &lt; 7,5 mg/L</v>
      </c>
      <c r="AZ332" s="136" t="str">
        <f>IF(O332="","",IF(O332&lt;5,"Cor &lt;5 uC",IF(O332&lt;10,"5 ≤ Cor &lt; 10 uC",IF(O332&lt;15,"10 ≤ Cor &lt;15 uC",IF(O332&lt;30,"15 ≤ Cor &lt; 30 uC",IF(O332&lt;50,"30 ≤ Cor &lt; 50 uC","Cor &gt; 50 uC"))))))</f>
        <v>15 ≤ Cor &lt; 30 uC</v>
      </c>
      <c r="BA332" s="137" t="str">
        <f>IF(N332="","",IF(N332&lt;2.5,"Turbidez &lt; 2,5 uT",IF(N332&lt;5,"2,5 ≤ Turb &lt; 5,0 uT",IF(N332&lt;7.5,"5,0 ≤ Turb &lt; 7,5 uT",IF(N332&lt;10,"7,5 ≤ Turb &lt; 10,0 uT",IF(N332&lt;15,"10,0 ≤ Turb &lt; 15,0 uT","Turb &gt; 15 uT"))))))</f>
        <v>2,5 ≤ Turb &lt; 5,0 uT</v>
      </c>
      <c r="BB332" s="138" t="str">
        <f>IF(AND(C332&gt;D332,D332&gt;E332),"TOR &gt; SM &gt; BNN",IF(AND(C332&gt;E332,E332&gt;D332),"TOR &gt; BNN &gt; SM",IF(AND(D332&gt;C332,C332&gt;E332),"SM &gt; TOR &gt; BNN",IF(AND(D332&gt;E332,E332&gt;C332),"SM &gt; BNN &gt; TOR",IF(AND(C332=D332,D332=E332),"TOR = SM = BNN","Comb. diferentes")))))</f>
        <v>TOR &gt; BNN &gt; SM</v>
      </c>
      <c r="BC332" s="137" t="str">
        <f>IF(OR(AD332="",AP332="-"),"",IF(AD332&lt;=0.25,"Tipo 1 (≤0,25) uT",IF(AD332&lt;=0.5,"Tipo 2 (0,25-0,50) uT",IF(AD332&lt;=0.75,"Tipo 3 (0,50-0,75) uT","Tipo 4 (&gt;0,75) uT"))))</f>
        <v>Tipo 2 (0,25-0,50) uT</v>
      </c>
      <c r="BD332" s="137" t="str">
        <f>IF(OR(AO332="",AY332="-"),"",IF(AO332&lt;=0.25,"Tipo 1 (≤0,25) uT",IF(AO332&lt;=0.5,"Tipo 2 (0,25-0,50) uT",IF(AO332&lt;=0.75,"Tipo 3 (0,50-0,75) uT","Tipo 4 (&gt;0,75) uT"))))</f>
        <v>Tipo 1 (≤0,25) uT</v>
      </c>
      <c r="BE332" s="137" t="str">
        <f>IF(OR(AE332="",AP332="-"),"",IF(AE332&lt;=0.25,"Tipo 1 (≤0,25) uT",IF(AE332&lt;=0.5,"Tipo 2 (0,25-0,50) uT",IF(AE332&lt;=0.75,"Tipo 3 (0,50-0,75) uT","Tipo 4 (&gt;0,75) uT"))))</f>
        <v>Tipo 2 (0,25-0,50) uT</v>
      </c>
      <c r="BF332" s="137" t="str">
        <f>IF(OR(AP332="",AP332="-"),"",IF(AP332&lt;=0.25,"Tipo 1 (≤0,25) uT",IF(AP332&lt;=0.5,"Tipo 2 (0,25-0,50) uT",IF(AP332&lt;=0.75,"Tipo 3 (0,50-0,75) uT","Tipo 4 (&gt;0,75) uT"))))</f>
        <v>Tipo 2 (0,25-0,50) uT</v>
      </c>
      <c r="BG332" s="137" t="str">
        <f>IF(OR(Q332="",Q332="-"),"",IF(Q332&lt;=0.25,"Tipo 1 (≤0,25) uT",IF(Q332&lt;=0.5,"Tipo 2 (0,25-0,50) uT",IF(Q332&lt;=0.75,"Tipo 3 (0,50-0,75) uT","Tipo 4 (&gt;0,75) uT"))))</f>
        <v>Tipo 1 (≤0,25) uT</v>
      </c>
    </row>
    <row r="333" spans="1:59" x14ac:dyDescent="0.3">
      <c r="A333" s="26">
        <v>46161</v>
      </c>
      <c r="B333" s="107">
        <v>0.8125</v>
      </c>
      <c r="C333" s="116">
        <v>1583</v>
      </c>
      <c r="D333" s="116">
        <v>92</v>
      </c>
      <c r="E333" s="116">
        <v>500</v>
      </c>
      <c r="F333" s="116">
        <v>2176</v>
      </c>
      <c r="G333" s="10" t="s">
        <v>100</v>
      </c>
      <c r="H333" s="122">
        <v>7.6</v>
      </c>
      <c r="I333" s="116">
        <v>90</v>
      </c>
      <c r="J333" s="116">
        <v>90</v>
      </c>
      <c r="K333" s="116">
        <v>90</v>
      </c>
      <c r="L333" s="122">
        <v>25</v>
      </c>
      <c r="M333" s="122">
        <v>6.6</v>
      </c>
      <c r="N333" s="79">
        <v>2.97</v>
      </c>
      <c r="O333" s="116">
        <v>14</v>
      </c>
      <c r="P333" s="122">
        <v>7.2</v>
      </c>
      <c r="Q333" s="79">
        <v>0.09</v>
      </c>
      <c r="R333" s="79">
        <v>22.36</v>
      </c>
      <c r="S333" s="79">
        <v>0.88</v>
      </c>
      <c r="T333" s="79">
        <v>0.7</v>
      </c>
      <c r="U333" s="85">
        <f t="shared" si="38"/>
        <v>1496</v>
      </c>
      <c r="V333" s="79">
        <f t="shared" si="39"/>
        <v>1372.556302</v>
      </c>
      <c r="W333" s="79">
        <f t="shared" si="40"/>
        <v>0.91748415909090908</v>
      </c>
      <c r="X333" s="116">
        <v>3</v>
      </c>
      <c r="Y333" s="116">
        <v>4</v>
      </c>
      <c r="Z333" s="122">
        <v>6.5</v>
      </c>
      <c r="AA333" s="116">
        <v>17</v>
      </c>
      <c r="AB333" s="122">
        <v>6.5</v>
      </c>
      <c r="AC333" s="122">
        <v>5.4</v>
      </c>
      <c r="AD333" s="10">
        <v>2.14</v>
      </c>
      <c r="AE333" s="79">
        <v>2.16</v>
      </c>
      <c r="AF333" s="85">
        <f t="shared" si="41"/>
        <v>1496</v>
      </c>
      <c r="AG333" s="85">
        <f t="shared" si="42"/>
        <v>1749.0599297599999</v>
      </c>
      <c r="AH333" s="85">
        <f t="shared" si="43"/>
        <v>1.1691577070588235</v>
      </c>
      <c r="AI333" s="116">
        <v>3</v>
      </c>
      <c r="AJ333" s="116">
        <v>4</v>
      </c>
      <c r="AK333" s="79">
        <v>6.42</v>
      </c>
      <c r="AL333" s="79">
        <v>22</v>
      </c>
      <c r="AM333" s="122">
        <v>6.5</v>
      </c>
      <c r="AN333" s="122">
        <v>5.2</v>
      </c>
      <c r="AO333" s="79">
        <v>0.2</v>
      </c>
      <c r="AP333" s="127">
        <v>0.31</v>
      </c>
      <c r="AQ333" s="132">
        <f t="shared" si="44"/>
        <v>2175</v>
      </c>
      <c r="AR333" s="134">
        <f t="shared" si="45"/>
        <v>0.72781609195402297</v>
      </c>
      <c r="AS333" s="134">
        <f t="shared" si="46"/>
        <v>4.2298850574712644E-2</v>
      </c>
      <c r="AT333" s="134">
        <f t="shared" si="47"/>
        <v>0.22988505747126436</v>
      </c>
      <c r="AU333" s="43">
        <f>IF(AND(F333&lt;&gt;"",Y333&lt;&gt;""),AA333/(F333/2/Y333),"")</f>
        <v>6.25E-2</v>
      </c>
      <c r="AV333" s="43">
        <f>IF(AND(F333&lt;&gt;"",AJ333&lt;&gt;""),AL333/(F333/2/AJ333),"")</f>
        <v>8.0882352941176475E-2</v>
      </c>
      <c r="AW333" s="41">
        <f>IF(AND(AP333&lt;&gt;"",1-(AP333/N333)&gt;0),1-(AP333/N333),"")</f>
        <v>0.89562289562289565</v>
      </c>
      <c r="AX333" s="41">
        <f>IF(AND(AE333&lt;&gt;"",1-(AE333/N333)&gt;0),1-(AE333/N333),"")</f>
        <v>0.27272727272727271</v>
      </c>
      <c r="AY333" s="136" t="str">
        <f>IF(P333="","",IF(P333&lt;2.5,"Alc. Bruta &lt; 2,5 mg/L",IF(P333&lt;5,"2,5 ≤ Alc. Bruta &lt; 5,0 mg/L",IF(P333&lt;7.5,"5,0 ≤ Alc. Bruta &lt; 7,5 mg/L",IF(P333&lt;10,"7,5 ≤ Alc. Bruta &lt; 10,0 mg/L",IF(P333&lt;15,"10,0 ≤ Alca. Bruta &lt; 15,0 mg/L","Alc. Bruta &gt; 15 mg/L"))))))</f>
        <v>5,0 ≤ Alc. Bruta &lt; 7,5 mg/L</v>
      </c>
      <c r="AZ333" s="136" t="str">
        <f>IF(O333="","",IF(O333&lt;5,"Cor &lt;5 uC",IF(O333&lt;10,"5 ≤ Cor &lt; 10 uC",IF(O333&lt;15,"10 ≤ Cor &lt;15 uC",IF(O333&lt;30,"15 ≤ Cor &lt; 30 uC",IF(O333&lt;50,"30 ≤ Cor &lt; 50 uC","Cor &gt; 50 uC"))))))</f>
        <v>10 ≤ Cor &lt;15 uC</v>
      </c>
      <c r="BA333" s="137" t="str">
        <f>IF(N333="","",IF(N333&lt;2.5,"Turbidez &lt; 2,5 uT",IF(N333&lt;5,"2,5 ≤ Turb &lt; 5,0 uT",IF(N333&lt;7.5,"5,0 ≤ Turb &lt; 7,5 uT",IF(N333&lt;10,"7,5 ≤ Turb &lt; 10,0 uT",IF(N333&lt;15,"10,0 ≤ Turb &lt; 15,0 uT","Turb &gt; 15 uT"))))))</f>
        <v>2,5 ≤ Turb &lt; 5,0 uT</v>
      </c>
      <c r="BB333" s="138" t="str">
        <f>IF(AND(C333&gt;D333,D333&gt;E333),"TOR &gt; SM &gt; BNN",IF(AND(C333&gt;E333,E333&gt;D333),"TOR &gt; BNN &gt; SM",IF(AND(D333&gt;C333,C333&gt;E333),"SM &gt; TOR &gt; BNN",IF(AND(D333&gt;E333,E333&gt;C333),"SM &gt; BNN &gt; TOR",IF(AND(C333=D333,D333=E333),"TOR = SM = BNN","Comb. diferentes")))))</f>
        <v>TOR &gt; BNN &gt; SM</v>
      </c>
      <c r="BC333" s="137" t="str">
        <f>IF(OR(AD333="",AP333="-"),"",IF(AD333&lt;=0.25,"Tipo 1 (≤0,25) uT",IF(AD333&lt;=0.5,"Tipo 2 (0,25-0,50) uT",IF(AD333&lt;=0.75,"Tipo 3 (0,50-0,75) uT","Tipo 4 (&gt;0,75) uT"))))</f>
        <v>Tipo 4 (&gt;0,75) uT</v>
      </c>
      <c r="BD333" s="137" t="str">
        <f>IF(OR(AO333="",AY333="-"),"",IF(AO333&lt;=0.25,"Tipo 1 (≤0,25) uT",IF(AO333&lt;=0.5,"Tipo 2 (0,25-0,50) uT",IF(AO333&lt;=0.75,"Tipo 3 (0,50-0,75) uT","Tipo 4 (&gt;0,75) uT"))))</f>
        <v>Tipo 1 (≤0,25) uT</v>
      </c>
      <c r="BE333" s="137" t="str">
        <f>IF(OR(AE333="",AP333="-"),"",IF(AE333&lt;=0.25,"Tipo 1 (≤0,25) uT",IF(AE333&lt;=0.5,"Tipo 2 (0,25-0,50) uT",IF(AE333&lt;=0.75,"Tipo 3 (0,50-0,75) uT","Tipo 4 (&gt;0,75) uT"))))</f>
        <v>Tipo 4 (&gt;0,75) uT</v>
      </c>
      <c r="BF333" s="137" t="str">
        <f>IF(OR(AP333="",AP333="-"),"",IF(AP333&lt;=0.25,"Tipo 1 (≤0,25) uT",IF(AP333&lt;=0.5,"Tipo 2 (0,25-0,50) uT",IF(AP333&lt;=0.75,"Tipo 3 (0,50-0,75) uT","Tipo 4 (&gt;0,75) uT"))))</f>
        <v>Tipo 2 (0,25-0,50) uT</v>
      </c>
      <c r="BG333" s="137" t="str">
        <f>IF(OR(Q333="",Q333="-"),"",IF(Q333&lt;=0.25,"Tipo 1 (≤0,25) uT",IF(Q333&lt;=0.5,"Tipo 2 (0,25-0,50) uT",IF(Q333&lt;=0.75,"Tipo 3 (0,50-0,75) uT","Tipo 4 (&gt;0,75) uT"))))</f>
        <v>Tipo 1 (≤0,25) uT</v>
      </c>
    </row>
    <row r="334" spans="1:59" x14ac:dyDescent="0.3">
      <c r="A334" s="26">
        <v>46161</v>
      </c>
      <c r="B334" s="107">
        <v>0.89583333333333337</v>
      </c>
      <c r="C334" s="116">
        <v>1463</v>
      </c>
      <c r="D334" s="116">
        <v>86</v>
      </c>
      <c r="E334" s="116">
        <v>500</v>
      </c>
      <c r="F334" s="116">
        <v>2263</v>
      </c>
      <c r="G334" s="10" t="s">
        <v>100</v>
      </c>
      <c r="H334" s="122">
        <v>7.4</v>
      </c>
      <c r="I334" s="116">
        <v>90</v>
      </c>
      <c r="J334" s="116">
        <v>90</v>
      </c>
      <c r="K334" s="116">
        <v>90</v>
      </c>
      <c r="L334" s="122">
        <v>24.1</v>
      </c>
      <c r="M334" s="122">
        <v>6.6</v>
      </c>
      <c r="N334" s="79">
        <v>2.78</v>
      </c>
      <c r="O334" s="116">
        <v>14</v>
      </c>
      <c r="P334" s="122">
        <v>7.9</v>
      </c>
      <c r="Q334" s="79">
        <v>0.12</v>
      </c>
      <c r="R334" s="79">
        <v>22.36</v>
      </c>
      <c r="S334" s="79">
        <v>0.88</v>
      </c>
      <c r="T334" s="79">
        <v>0.7</v>
      </c>
      <c r="U334" s="85">
        <f t="shared" si="38"/>
        <v>1485.09375</v>
      </c>
      <c r="V334" s="79">
        <f t="shared" si="39"/>
        <v>1512.1215243263996</v>
      </c>
      <c r="W334" s="79">
        <f t="shared" si="40"/>
        <v>1.0181993724816361</v>
      </c>
      <c r="X334" s="116">
        <v>3</v>
      </c>
      <c r="Y334" s="116">
        <v>4</v>
      </c>
      <c r="Z334" s="122">
        <v>6.64</v>
      </c>
      <c r="AA334" s="116">
        <v>18.239999999999998</v>
      </c>
      <c r="AB334" s="122">
        <v>6.4</v>
      </c>
      <c r="AC334" s="122">
        <v>6.6</v>
      </c>
      <c r="AD334" s="10">
        <v>0.3</v>
      </c>
      <c r="AE334" s="79">
        <v>0.16</v>
      </c>
      <c r="AF334" s="85">
        <f t="shared" si="41"/>
        <v>1485.09375</v>
      </c>
      <c r="AG334" s="85">
        <f t="shared" si="42"/>
        <v>1828.4859223696001</v>
      </c>
      <c r="AH334" s="85">
        <f t="shared" si="43"/>
        <v>1.2312259225180902</v>
      </c>
      <c r="AI334" s="116">
        <v>3</v>
      </c>
      <c r="AJ334" s="116">
        <v>4</v>
      </c>
      <c r="AK334" s="79">
        <v>6.44</v>
      </c>
      <c r="AL334" s="79">
        <v>22.91</v>
      </c>
      <c r="AM334" s="122">
        <v>6.5</v>
      </c>
      <c r="AN334" s="122">
        <v>5.7</v>
      </c>
      <c r="AO334" s="79">
        <v>0.5</v>
      </c>
      <c r="AP334" s="127">
        <v>0.41</v>
      </c>
      <c r="AQ334" s="132">
        <f t="shared" si="44"/>
        <v>2049</v>
      </c>
      <c r="AR334" s="134">
        <f t="shared" si="45"/>
        <v>0.71400683260126896</v>
      </c>
      <c r="AS334" s="134">
        <f t="shared" si="46"/>
        <v>4.1971693509028796E-2</v>
      </c>
      <c r="AT334" s="134">
        <f t="shared" si="47"/>
        <v>0.2440214738897023</v>
      </c>
      <c r="AU334" s="43">
        <f>IF(AND(F334&lt;&gt;"",Y334&lt;&gt;""),AA334/(F334/2/Y334),"")</f>
        <v>6.4480777728678745E-2</v>
      </c>
      <c r="AV334" s="43">
        <f>IF(AND(F334&lt;&gt;"",AJ334&lt;&gt;""),AL334/(F334/2/AJ334),"")</f>
        <v>8.0989836500220944E-2</v>
      </c>
      <c r="AW334" s="41">
        <f>IF(AND(AP334&lt;&gt;"",1-(AP334/N334)&gt;0),1-(AP334/N334),"")</f>
        <v>0.85251798561151082</v>
      </c>
      <c r="AX334" s="41">
        <f>IF(AND(AE334&lt;&gt;"",1-(AE334/N334)&gt;0),1-(AE334/N334),"")</f>
        <v>0.94244604316546765</v>
      </c>
      <c r="AY334" s="136" t="str">
        <f>IF(P334="","",IF(P334&lt;2.5,"Alc. Bruta &lt; 2,5 mg/L",IF(P334&lt;5,"2,5 ≤ Alc. Bruta &lt; 5,0 mg/L",IF(P334&lt;7.5,"5,0 ≤ Alc. Bruta &lt; 7,5 mg/L",IF(P334&lt;10,"7,5 ≤ Alc. Bruta &lt; 10,0 mg/L",IF(P334&lt;15,"10,0 ≤ Alca. Bruta &lt; 15,0 mg/L","Alc. Bruta &gt; 15 mg/L"))))))</f>
        <v>7,5 ≤ Alc. Bruta &lt; 10,0 mg/L</v>
      </c>
      <c r="AZ334" s="136" t="str">
        <f>IF(O334="","",IF(O334&lt;5,"Cor &lt;5 uC",IF(O334&lt;10,"5 ≤ Cor &lt; 10 uC",IF(O334&lt;15,"10 ≤ Cor &lt;15 uC",IF(O334&lt;30,"15 ≤ Cor &lt; 30 uC",IF(O334&lt;50,"30 ≤ Cor &lt; 50 uC","Cor &gt; 50 uC"))))))</f>
        <v>10 ≤ Cor &lt;15 uC</v>
      </c>
      <c r="BA334" s="137" t="str">
        <f>IF(N334="","",IF(N334&lt;2.5,"Turbidez &lt; 2,5 uT",IF(N334&lt;5,"2,5 ≤ Turb &lt; 5,0 uT",IF(N334&lt;7.5,"5,0 ≤ Turb &lt; 7,5 uT",IF(N334&lt;10,"7,5 ≤ Turb &lt; 10,0 uT",IF(N334&lt;15,"10,0 ≤ Turb &lt; 15,0 uT","Turb &gt; 15 uT"))))))</f>
        <v>2,5 ≤ Turb &lt; 5,0 uT</v>
      </c>
      <c r="BB334" s="138" t="str">
        <f>IF(AND(C334&gt;D334,D334&gt;E334),"TOR &gt; SM &gt; BNN",IF(AND(C334&gt;E334,E334&gt;D334),"TOR &gt; BNN &gt; SM",IF(AND(D334&gt;C334,C334&gt;E334),"SM &gt; TOR &gt; BNN",IF(AND(D334&gt;E334,E334&gt;C334),"SM &gt; BNN &gt; TOR",IF(AND(C334=D334,D334=E334),"TOR = SM = BNN","Comb. diferentes")))))</f>
        <v>TOR &gt; BNN &gt; SM</v>
      </c>
      <c r="BC334" s="137" t="str">
        <f>IF(OR(AD334="",AP334="-"),"",IF(AD334&lt;=0.25,"Tipo 1 (≤0,25) uT",IF(AD334&lt;=0.5,"Tipo 2 (0,25-0,50) uT",IF(AD334&lt;=0.75,"Tipo 3 (0,50-0,75) uT","Tipo 4 (&gt;0,75) uT"))))</f>
        <v>Tipo 2 (0,25-0,50) uT</v>
      </c>
      <c r="BD334" s="137" t="str">
        <f>IF(OR(AO334="",AY334="-"),"",IF(AO334&lt;=0.25,"Tipo 1 (≤0,25) uT",IF(AO334&lt;=0.5,"Tipo 2 (0,25-0,50) uT",IF(AO334&lt;=0.75,"Tipo 3 (0,50-0,75) uT","Tipo 4 (&gt;0,75) uT"))))</f>
        <v>Tipo 2 (0,25-0,50) uT</v>
      </c>
      <c r="BE334" s="137" t="str">
        <f>IF(OR(AE334="",AP334="-"),"",IF(AE334&lt;=0.25,"Tipo 1 (≤0,25) uT",IF(AE334&lt;=0.5,"Tipo 2 (0,25-0,50) uT",IF(AE334&lt;=0.75,"Tipo 3 (0,50-0,75) uT","Tipo 4 (&gt;0,75) uT"))))</f>
        <v>Tipo 1 (≤0,25) uT</v>
      </c>
      <c r="BF334" s="137" t="str">
        <f>IF(OR(AP334="",AP334="-"),"",IF(AP334&lt;=0.25,"Tipo 1 (≤0,25) uT",IF(AP334&lt;=0.5,"Tipo 2 (0,25-0,50) uT",IF(AP334&lt;=0.75,"Tipo 3 (0,50-0,75) uT","Tipo 4 (&gt;0,75) uT"))))</f>
        <v>Tipo 2 (0,25-0,50) uT</v>
      </c>
      <c r="BG334" s="137" t="str">
        <f>IF(OR(Q334="",Q334="-"),"",IF(Q334&lt;=0.25,"Tipo 1 (≤0,25) uT",IF(Q334&lt;=0.5,"Tipo 2 (0,25-0,50) uT",IF(Q334&lt;=0.75,"Tipo 3 (0,50-0,75) uT","Tipo 4 (&gt;0,75) uT"))))</f>
        <v>Tipo 1 (≤0,25) uT</v>
      </c>
    </row>
    <row r="335" spans="1:59" x14ac:dyDescent="0.3">
      <c r="A335" s="26">
        <v>46161</v>
      </c>
      <c r="B335" s="107">
        <v>0.97916666666666663</v>
      </c>
      <c r="C335" s="116">
        <v>1510</v>
      </c>
      <c r="D335" s="116">
        <v>89</v>
      </c>
      <c r="E335" s="116">
        <v>500</v>
      </c>
      <c r="F335" s="116">
        <v>2198</v>
      </c>
      <c r="G335" s="10" t="s">
        <v>100</v>
      </c>
      <c r="H335" s="122">
        <v>7.2</v>
      </c>
      <c r="I335" s="116">
        <v>90</v>
      </c>
      <c r="J335" s="116">
        <v>90</v>
      </c>
      <c r="K335" s="116">
        <v>90</v>
      </c>
      <c r="L335" s="122">
        <v>24.5</v>
      </c>
      <c r="M335" s="122">
        <v>6.5</v>
      </c>
      <c r="N335" s="79">
        <v>3.02</v>
      </c>
      <c r="O335" s="116">
        <v>14</v>
      </c>
      <c r="P335" s="122">
        <v>7.6</v>
      </c>
      <c r="Q335" s="79">
        <v>0.13</v>
      </c>
      <c r="R335" s="79">
        <v>22.36</v>
      </c>
      <c r="S335" s="79">
        <v>0.88</v>
      </c>
      <c r="T335" s="79">
        <v>0.7</v>
      </c>
      <c r="U335" s="85">
        <f t="shared" si="38"/>
        <v>1491.8924999999999</v>
      </c>
      <c r="V335" s="79">
        <f t="shared" si="39"/>
        <v>1438.2791622472</v>
      </c>
      <c r="W335" s="79">
        <f t="shared" si="40"/>
        <v>0.96406353825573898</v>
      </c>
      <c r="X335" s="116">
        <v>3</v>
      </c>
      <c r="Y335" s="116">
        <v>4</v>
      </c>
      <c r="Z335" s="122">
        <v>6.51</v>
      </c>
      <c r="AA335" s="116">
        <v>17.78</v>
      </c>
      <c r="AB335" s="122">
        <v>6.5</v>
      </c>
      <c r="AC335" s="122">
        <v>6.8</v>
      </c>
      <c r="AD335" s="10">
        <v>2.17</v>
      </c>
      <c r="AE335" s="79">
        <v>2.13</v>
      </c>
      <c r="AF335" s="85">
        <f t="shared" si="41"/>
        <v>1491.8924999999999</v>
      </c>
      <c r="AG335" s="85">
        <f t="shared" si="42"/>
        <v>1820.9638050551994</v>
      </c>
      <c r="AH335" s="85">
        <f t="shared" si="43"/>
        <v>1.2205730674664559</v>
      </c>
      <c r="AI335" s="116">
        <v>3</v>
      </c>
      <c r="AJ335" s="116">
        <v>4</v>
      </c>
      <c r="AK335" s="79">
        <v>6.43</v>
      </c>
      <c r="AL335" s="79">
        <v>22.86</v>
      </c>
      <c r="AM335" s="122">
        <v>6.5</v>
      </c>
      <c r="AN335" s="122">
        <v>6.3</v>
      </c>
      <c r="AO335" s="79">
        <v>2.4</v>
      </c>
      <c r="AP335" s="127">
        <v>0.39</v>
      </c>
      <c r="AQ335" s="132">
        <f t="shared" si="44"/>
        <v>2099</v>
      </c>
      <c r="AR335" s="134">
        <f t="shared" si="45"/>
        <v>0.71939018580276326</v>
      </c>
      <c r="AS335" s="134">
        <f t="shared" si="46"/>
        <v>4.2401143401619816E-2</v>
      </c>
      <c r="AT335" s="134">
        <f t="shared" si="47"/>
        <v>0.23820867079561697</v>
      </c>
      <c r="AU335" s="43">
        <f>IF(AND(F335&lt;&gt;"",Y335&lt;&gt;""),AA335/(F335/2/Y335),"")</f>
        <v>6.4713375796178349E-2</v>
      </c>
      <c r="AV335" s="43">
        <f>IF(AND(F335&lt;&gt;"",AJ335&lt;&gt;""),AL335/(F335/2/AJ335),"")</f>
        <v>8.3202911737943586E-2</v>
      </c>
      <c r="AW335" s="41">
        <f>IF(AND(AP335&lt;&gt;"",1-(AP335/N335)&gt;0),1-(AP335/N335),"")</f>
        <v>0.87086092715231789</v>
      </c>
      <c r="AX335" s="41">
        <f>IF(AND(AE335&lt;&gt;"",1-(AE335/N335)&gt;0),1-(AE335/N335),"")</f>
        <v>0.29470198675496695</v>
      </c>
      <c r="AY335" s="136" t="str">
        <f>IF(P335="","",IF(P335&lt;2.5,"Alc. Bruta &lt; 2,5 mg/L",IF(P335&lt;5,"2,5 ≤ Alc. Bruta &lt; 5,0 mg/L",IF(P335&lt;7.5,"5,0 ≤ Alc. Bruta &lt; 7,5 mg/L",IF(P335&lt;10,"7,5 ≤ Alc. Bruta &lt; 10,0 mg/L",IF(P335&lt;15,"10,0 ≤ Alca. Bruta &lt; 15,0 mg/L","Alc. Bruta &gt; 15 mg/L"))))))</f>
        <v>7,5 ≤ Alc. Bruta &lt; 10,0 mg/L</v>
      </c>
      <c r="AZ335" s="136" t="str">
        <f>IF(O335="","",IF(O335&lt;5,"Cor &lt;5 uC",IF(O335&lt;10,"5 ≤ Cor &lt; 10 uC",IF(O335&lt;15,"10 ≤ Cor &lt;15 uC",IF(O335&lt;30,"15 ≤ Cor &lt; 30 uC",IF(O335&lt;50,"30 ≤ Cor &lt; 50 uC","Cor &gt; 50 uC"))))))</f>
        <v>10 ≤ Cor &lt;15 uC</v>
      </c>
      <c r="BA335" s="137" t="str">
        <f>IF(N335="","",IF(N335&lt;2.5,"Turbidez &lt; 2,5 uT",IF(N335&lt;5,"2,5 ≤ Turb &lt; 5,0 uT",IF(N335&lt;7.5,"5,0 ≤ Turb &lt; 7,5 uT",IF(N335&lt;10,"7,5 ≤ Turb &lt; 10,0 uT",IF(N335&lt;15,"10,0 ≤ Turb &lt; 15,0 uT","Turb &gt; 15 uT"))))))</f>
        <v>2,5 ≤ Turb &lt; 5,0 uT</v>
      </c>
      <c r="BB335" s="138" t="str">
        <f>IF(AND(C335&gt;D335,D335&gt;E335),"TOR &gt; SM &gt; BNN",IF(AND(C335&gt;E335,E335&gt;D335),"TOR &gt; BNN &gt; SM",IF(AND(D335&gt;C335,C335&gt;E335),"SM &gt; TOR &gt; BNN",IF(AND(D335&gt;E335,E335&gt;C335),"SM &gt; BNN &gt; TOR",IF(AND(C335=D335,D335=E335),"TOR = SM = BNN","Comb. diferentes")))))</f>
        <v>TOR &gt; BNN &gt; SM</v>
      </c>
      <c r="BC335" s="137" t="str">
        <f>IF(OR(AD335="",AP335="-"),"",IF(AD335&lt;=0.25,"Tipo 1 (≤0,25) uT",IF(AD335&lt;=0.5,"Tipo 2 (0,25-0,50) uT",IF(AD335&lt;=0.75,"Tipo 3 (0,50-0,75) uT","Tipo 4 (&gt;0,75) uT"))))</f>
        <v>Tipo 4 (&gt;0,75) uT</v>
      </c>
      <c r="BD335" s="137" t="str">
        <f>IF(OR(AO335="",AY335="-"),"",IF(AO335&lt;=0.25,"Tipo 1 (≤0,25) uT",IF(AO335&lt;=0.5,"Tipo 2 (0,25-0,50) uT",IF(AO335&lt;=0.75,"Tipo 3 (0,50-0,75) uT","Tipo 4 (&gt;0,75) uT"))))</f>
        <v>Tipo 4 (&gt;0,75) uT</v>
      </c>
      <c r="BE335" s="137" t="str">
        <f>IF(OR(AE335="",AP335="-"),"",IF(AE335&lt;=0.25,"Tipo 1 (≤0,25) uT",IF(AE335&lt;=0.5,"Tipo 2 (0,25-0,50) uT",IF(AE335&lt;=0.75,"Tipo 3 (0,50-0,75) uT","Tipo 4 (&gt;0,75) uT"))))</f>
        <v>Tipo 4 (&gt;0,75) uT</v>
      </c>
      <c r="BF335" s="137" t="str">
        <f>IF(OR(AP335="",AP335="-"),"",IF(AP335&lt;=0.25,"Tipo 1 (≤0,25) uT",IF(AP335&lt;=0.5,"Tipo 2 (0,25-0,50) uT",IF(AP335&lt;=0.75,"Tipo 3 (0,50-0,75) uT","Tipo 4 (&gt;0,75) uT"))))</f>
        <v>Tipo 2 (0,25-0,50) uT</v>
      </c>
      <c r="BG335" s="137" t="str">
        <f>IF(OR(Q335="",Q335="-"),"",IF(Q335&lt;=0.25,"Tipo 1 (≤0,25) uT",IF(Q335&lt;=0.5,"Tipo 2 (0,25-0,50) uT",IF(Q335&lt;=0.75,"Tipo 3 (0,50-0,75) uT","Tipo 4 (&gt;0,75) uT"))))</f>
        <v>Tipo 1 (≤0,25) uT</v>
      </c>
    </row>
    <row r="336" spans="1:59" x14ac:dyDescent="0.3">
      <c r="A336" s="26">
        <v>46162</v>
      </c>
      <c r="B336" s="107">
        <v>6.25E-2</v>
      </c>
      <c r="C336" s="116">
        <v>1117</v>
      </c>
      <c r="D336" s="116">
        <v>85</v>
      </c>
      <c r="E336" s="116">
        <v>500</v>
      </c>
      <c r="F336" s="116">
        <v>1777</v>
      </c>
      <c r="G336" s="10" t="s">
        <v>100</v>
      </c>
      <c r="H336" s="122">
        <v>7</v>
      </c>
      <c r="I336" s="116">
        <v>90</v>
      </c>
      <c r="J336" s="116">
        <v>90</v>
      </c>
      <c r="K336" s="116">
        <v>90</v>
      </c>
      <c r="L336" s="122">
        <v>23.9</v>
      </c>
      <c r="M336" s="122">
        <v>6.7</v>
      </c>
      <c r="N336" s="79">
        <v>2.76</v>
      </c>
      <c r="O336" s="116">
        <v>14</v>
      </c>
      <c r="P336" s="122">
        <v>7.1</v>
      </c>
      <c r="Q336" s="79">
        <v>0.12</v>
      </c>
      <c r="R336" s="79">
        <v>22.36</v>
      </c>
      <c r="S336" s="79">
        <v>0.88</v>
      </c>
      <c r="T336" s="79">
        <v>0.7</v>
      </c>
      <c r="U336" s="85">
        <f t="shared" si="38"/>
        <v>1135.0587499999999</v>
      </c>
      <c r="V336" s="79">
        <f t="shared" si="39"/>
        <v>1425.3466310615995</v>
      </c>
      <c r="W336" s="79">
        <f t="shared" si="40"/>
        <v>1.2557470096253605</v>
      </c>
      <c r="X336" s="116">
        <v>2</v>
      </c>
      <c r="Y336" s="116">
        <v>4</v>
      </c>
      <c r="Z336" s="122">
        <v>6.46</v>
      </c>
      <c r="AA336" s="116">
        <v>17.79</v>
      </c>
      <c r="AB336" s="122">
        <v>6.6</v>
      </c>
      <c r="AC336" s="122">
        <v>6.7</v>
      </c>
      <c r="AD336" s="10">
        <v>2.2200000000000002</v>
      </c>
      <c r="AE336" s="79">
        <v>2.15</v>
      </c>
      <c r="AF336" s="85">
        <f t="shared" si="41"/>
        <v>1513.4116666666666</v>
      </c>
      <c r="AG336" s="85">
        <f t="shared" si="42"/>
        <v>1824.9466655211995</v>
      </c>
      <c r="AH336" s="85">
        <f t="shared" si="43"/>
        <v>1.2058494761975094</v>
      </c>
      <c r="AI336" s="116">
        <v>2</v>
      </c>
      <c r="AJ336" s="116">
        <v>3</v>
      </c>
      <c r="AK336" s="79">
        <v>6.43</v>
      </c>
      <c r="AL336" s="79">
        <v>22.91</v>
      </c>
      <c r="AM336" s="122">
        <v>6.5</v>
      </c>
      <c r="AN336" s="122">
        <v>5.4</v>
      </c>
      <c r="AO336" s="79">
        <v>0.24</v>
      </c>
      <c r="AP336" s="127">
        <v>0.37</v>
      </c>
      <c r="AQ336" s="132">
        <f t="shared" si="44"/>
        <v>1702</v>
      </c>
      <c r="AR336" s="134">
        <f t="shared" si="45"/>
        <v>0.65628672150411282</v>
      </c>
      <c r="AS336" s="134">
        <f t="shared" si="46"/>
        <v>4.9941245593419503E-2</v>
      </c>
      <c r="AT336" s="134">
        <f t="shared" si="47"/>
        <v>0.29377203290246767</v>
      </c>
      <c r="AU336" s="43">
        <f>IF(AND(F336&lt;&gt;"",Y336&lt;&gt;""),AA336/(F336/2/Y336),"")</f>
        <v>8.0090039392234094E-2</v>
      </c>
      <c r="AV336" s="43">
        <f>IF(AND(F336&lt;&gt;"",AJ336&lt;&gt;""),AL336/(F336/2/AJ336),"")</f>
        <v>7.7355092853123239E-2</v>
      </c>
      <c r="AW336" s="41">
        <f>IF(AND(AP336&lt;&gt;"",1-(AP336/N336)&gt;0),1-(AP336/N336),"")</f>
        <v>0.86594202898550721</v>
      </c>
      <c r="AX336" s="41">
        <f>IF(AND(AE336&lt;&gt;"",1-(AE336/N336)&gt;0),1-(AE336/N336),"")</f>
        <v>0.22101449275362317</v>
      </c>
      <c r="AY336" s="136" t="str">
        <f>IF(P336="","",IF(P336&lt;2.5,"Alc. Bruta &lt; 2,5 mg/L",IF(P336&lt;5,"2,5 ≤ Alc. Bruta &lt; 5,0 mg/L",IF(P336&lt;7.5,"5,0 ≤ Alc. Bruta &lt; 7,5 mg/L",IF(P336&lt;10,"7,5 ≤ Alc. Bruta &lt; 10,0 mg/L",IF(P336&lt;15,"10,0 ≤ Alca. Bruta &lt; 15,0 mg/L","Alc. Bruta &gt; 15 mg/L"))))))</f>
        <v>5,0 ≤ Alc. Bruta &lt; 7,5 mg/L</v>
      </c>
      <c r="AZ336" s="136" t="str">
        <f>IF(O336="","",IF(O336&lt;5,"Cor &lt;5 uC",IF(O336&lt;10,"5 ≤ Cor &lt; 10 uC",IF(O336&lt;15,"10 ≤ Cor &lt;15 uC",IF(O336&lt;30,"15 ≤ Cor &lt; 30 uC",IF(O336&lt;50,"30 ≤ Cor &lt; 50 uC","Cor &gt; 50 uC"))))))</f>
        <v>10 ≤ Cor &lt;15 uC</v>
      </c>
      <c r="BA336" s="137" t="str">
        <f>IF(N336="","",IF(N336&lt;2.5,"Turbidez &lt; 2,5 uT",IF(N336&lt;5,"2,5 ≤ Turb &lt; 5,0 uT",IF(N336&lt;7.5,"5,0 ≤ Turb &lt; 7,5 uT",IF(N336&lt;10,"7,5 ≤ Turb &lt; 10,0 uT",IF(N336&lt;15,"10,0 ≤ Turb &lt; 15,0 uT","Turb &gt; 15 uT"))))))</f>
        <v>2,5 ≤ Turb &lt; 5,0 uT</v>
      </c>
      <c r="BB336" s="138" t="str">
        <f>IF(AND(C336&gt;D336,D336&gt;E336),"TOR &gt; SM &gt; BNN",IF(AND(C336&gt;E336,E336&gt;D336),"TOR &gt; BNN &gt; SM",IF(AND(D336&gt;C336,C336&gt;E336),"SM &gt; TOR &gt; BNN",IF(AND(D336&gt;E336,E336&gt;C336),"SM &gt; BNN &gt; TOR",IF(AND(C336=D336,D336=E336),"TOR = SM = BNN","Comb. diferentes")))))</f>
        <v>TOR &gt; BNN &gt; SM</v>
      </c>
      <c r="BC336" s="137" t="str">
        <f>IF(OR(AD336="",AP336="-"),"",IF(AD336&lt;=0.25,"Tipo 1 (≤0,25) uT",IF(AD336&lt;=0.5,"Tipo 2 (0,25-0,50) uT",IF(AD336&lt;=0.75,"Tipo 3 (0,50-0,75) uT","Tipo 4 (&gt;0,75) uT"))))</f>
        <v>Tipo 4 (&gt;0,75) uT</v>
      </c>
      <c r="BD336" s="137" t="str">
        <f>IF(OR(AO336="",AY336="-"),"",IF(AO336&lt;=0.25,"Tipo 1 (≤0,25) uT",IF(AO336&lt;=0.5,"Tipo 2 (0,25-0,50) uT",IF(AO336&lt;=0.75,"Tipo 3 (0,50-0,75) uT","Tipo 4 (&gt;0,75) uT"))))</f>
        <v>Tipo 1 (≤0,25) uT</v>
      </c>
      <c r="BE336" s="137" t="str">
        <f>IF(OR(AE336="",AP336="-"),"",IF(AE336&lt;=0.25,"Tipo 1 (≤0,25) uT",IF(AE336&lt;=0.5,"Tipo 2 (0,25-0,50) uT",IF(AE336&lt;=0.75,"Tipo 3 (0,50-0,75) uT","Tipo 4 (&gt;0,75) uT"))))</f>
        <v>Tipo 4 (&gt;0,75) uT</v>
      </c>
      <c r="BF336" s="137" t="str">
        <f>IF(OR(AP336="",AP336="-"),"",IF(AP336&lt;=0.25,"Tipo 1 (≤0,25) uT",IF(AP336&lt;=0.5,"Tipo 2 (0,25-0,50) uT",IF(AP336&lt;=0.75,"Tipo 3 (0,50-0,75) uT","Tipo 4 (&gt;0,75) uT"))))</f>
        <v>Tipo 2 (0,25-0,50) uT</v>
      </c>
      <c r="BG336" s="137" t="str">
        <f>IF(OR(Q336="",Q336="-"),"",IF(Q336&lt;=0.25,"Tipo 1 (≤0,25) uT",IF(Q336&lt;=0.5,"Tipo 2 (0,25-0,50) uT",IF(Q336&lt;=0.75,"Tipo 3 (0,50-0,75) uT","Tipo 4 (&gt;0,75) uT"))))</f>
        <v>Tipo 1 (≤0,25) uT</v>
      </c>
    </row>
    <row r="337" spans="1:59" x14ac:dyDescent="0.3">
      <c r="A337" s="26">
        <v>46162</v>
      </c>
      <c r="B337" s="107">
        <v>0.14583333333333334</v>
      </c>
      <c r="C337" s="116">
        <v>1211</v>
      </c>
      <c r="D337" s="116">
        <v>88</v>
      </c>
      <c r="E337" s="116">
        <v>499</v>
      </c>
      <c r="F337" s="116">
        <v>1779</v>
      </c>
      <c r="G337" s="10" t="s">
        <v>100</v>
      </c>
      <c r="H337" s="122">
        <v>6.8</v>
      </c>
      <c r="I337" s="116">
        <v>90</v>
      </c>
      <c r="J337" s="116">
        <v>90</v>
      </c>
      <c r="K337" s="116">
        <v>90</v>
      </c>
      <c r="L337" s="122">
        <v>23.7</v>
      </c>
      <c r="M337" s="122">
        <v>6.7</v>
      </c>
      <c r="N337" s="79">
        <v>2.66</v>
      </c>
      <c r="O337" s="116">
        <v>14</v>
      </c>
      <c r="P337" s="122">
        <v>7.5</v>
      </c>
      <c r="Q337" s="79">
        <v>0.14000000000000001</v>
      </c>
      <c r="R337" s="79">
        <v>22.36</v>
      </c>
      <c r="S337" s="79">
        <v>0.88</v>
      </c>
      <c r="T337" s="79">
        <v>0.7</v>
      </c>
      <c r="U337" s="85">
        <f t="shared" si="38"/>
        <v>1100.7562500000001</v>
      </c>
      <c r="V337" s="79">
        <f t="shared" si="39"/>
        <v>1488.3887104371997</v>
      </c>
      <c r="W337" s="79">
        <f t="shared" si="40"/>
        <v>1.3521510420106173</v>
      </c>
      <c r="X337" s="116">
        <v>2</v>
      </c>
      <c r="Y337" s="116">
        <v>4</v>
      </c>
      <c r="Z337" s="122">
        <v>6.49</v>
      </c>
      <c r="AA337" s="116">
        <v>18.47</v>
      </c>
      <c r="AB337" s="122">
        <v>6.5</v>
      </c>
      <c r="AC337" s="122">
        <v>6.5</v>
      </c>
      <c r="AD337" s="10">
        <v>0.19</v>
      </c>
      <c r="AE337" s="79">
        <v>0.14000000000000001</v>
      </c>
      <c r="AF337" s="85">
        <f t="shared" si="41"/>
        <v>1467.675</v>
      </c>
      <c r="AG337" s="85">
        <f t="shared" si="42"/>
        <v>1809.2088527603999</v>
      </c>
      <c r="AH337" s="85">
        <f t="shared" si="43"/>
        <v>1.232704006513976</v>
      </c>
      <c r="AI337" s="116">
        <v>2</v>
      </c>
      <c r="AJ337" s="116">
        <v>3</v>
      </c>
      <c r="AK337" s="79">
        <v>6.39</v>
      </c>
      <c r="AL337" s="79">
        <v>22.89</v>
      </c>
      <c r="AM337" s="122">
        <v>6.6</v>
      </c>
      <c r="AN337" s="122">
        <v>6</v>
      </c>
      <c r="AO337" s="79">
        <v>0.23</v>
      </c>
      <c r="AP337" s="127">
        <v>0.41</v>
      </c>
      <c r="AQ337" s="132">
        <f t="shared" si="44"/>
        <v>1798</v>
      </c>
      <c r="AR337" s="134">
        <f t="shared" si="45"/>
        <v>0.67352614015572854</v>
      </c>
      <c r="AS337" s="134">
        <f t="shared" si="46"/>
        <v>4.8943270300333706E-2</v>
      </c>
      <c r="AT337" s="134">
        <f t="shared" si="47"/>
        <v>0.27753058954393772</v>
      </c>
      <c r="AU337" s="43">
        <f>IF(AND(F337&lt;&gt;"",Y337&lt;&gt;""),AA337/(F337/2/Y337),"")</f>
        <v>8.3057897695334448E-2</v>
      </c>
      <c r="AV337" s="43">
        <f>IF(AND(F337&lt;&gt;"",AJ337&lt;&gt;""),AL337/(F337/2/AJ337),"")</f>
        <v>7.7200674536256328E-2</v>
      </c>
      <c r="AW337" s="41">
        <f>IF(AND(AP337&lt;&gt;"",1-(AP337/N337)&gt;0),1-(AP337/N337),"")</f>
        <v>0.84586466165413532</v>
      </c>
      <c r="AX337" s="41">
        <f>IF(AND(AE337&lt;&gt;"",1-(AE337/N337)&gt;0),1-(AE337/N337),"")</f>
        <v>0.94736842105263153</v>
      </c>
      <c r="AY337" s="136" t="str">
        <f>IF(P337="","",IF(P337&lt;2.5,"Alc. Bruta &lt; 2,5 mg/L",IF(P337&lt;5,"2,5 ≤ Alc. Bruta &lt; 5,0 mg/L",IF(P337&lt;7.5,"5,0 ≤ Alc. Bruta &lt; 7,5 mg/L",IF(P337&lt;10,"7,5 ≤ Alc. Bruta &lt; 10,0 mg/L",IF(P337&lt;15,"10,0 ≤ Alca. Bruta &lt; 15,0 mg/L","Alc. Bruta &gt; 15 mg/L"))))))</f>
        <v>7,5 ≤ Alc. Bruta &lt; 10,0 mg/L</v>
      </c>
      <c r="AZ337" s="136" t="str">
        <f>IF(O337="","",IF(O337&lt;5,"Cor &lt;5 uC",IF(O337&lt;10,"5 ≤ Cor &lt; 10 uC",IF(O337&lt;15,"10 ≤ Cor &lt;15 uC",IF(O337&lt;30,"15 ≤ Cor &lt; 30 uC",IF(O337&lt;50,"30 ≤ Cor &lt; 50 uC","Cor &gt; 50 uC"))))))</f>
        <v>10 ≤ Cor &lt;15 uC</v>
      </c>
      <c r="BA337" s="137" t="str">
        <f>IF(N337="","",IF(N337&lt;2.5,"Turbidez &lt; 2,5 uT",IF(N337&lt;5,"2,5 ≤ Turb &lt; 5,0 uT",IF(N337&lt;7.5,"5,0 ≤ Turb &lt; 7,5 uT",IF(N337&lt;10,"7,5 ≤ Turb &lt; 10,0 uT",IF(N337&lt;15,"10,0 ≤ Turb &lt; 15,0 uT","Turb &gt; 15 uT"))))))</f>
        <v>2,5 ≤ Turb &lt; 5,0 uT</v>
      </c>
      <c r="BB337" s="138" t="str">
        <f>IF(AND(C337&gt;D337,D337&gt;E337),"TOR &gt; SM &gt; BNN",IF(AND(C337&gt;E337,E337&gt;D337),"TOR &gt; BNN &gt; SM",IF(AND(D337&gt;C337,C337&gt;E337),"SM &gt; TOR &gt; BNN",IF(AND(D337&gt;E337,E337&gt;C337),"SM &gt; BNN &gt; TOR",IF(AND(C337=D337,D337=E337),"TOR = SM = BNN","Comb. diferentes")))))</f>
        <v>TOR &gt; BNN &gt; SM</v>
      </c>
      <c r="BC337" s="137" t="str">
        <f>IF(OR(AD337="",AP337="-"),"",IF(AD337&lt;=0.25,"Tipo 1 (≤0,25) uT",IF(AD337&lt;=0.5,"Tipo 2 (0,25-0,50) uT",IF(AD337&lt;=0.75,"Tipo 3 (0,50-0,75) uT","Tipo 4 (&gt;0,75) uT"))))</f>
        <v>Tipo 1 (≤0,25) uT</v>
      </c>
      <c r="BD337" s="137" t="str">
        <f>IF(OR(AO337="",AY337="-"),"",IF(AO337&lt;=0.25,"Tipo 1 (≤0,25) uT",IF(AO337&lt;=0.5,"Tipo 2 (0,25-0,50) uT",IF(AO337&lt;=0.75,"Tipo 3 (0,50-0,75) uT","Tipo 4 (&gt;0,75) uT"))))</f>
        <v>Tipo 1 (≤0,25) uT</v>
      </c>
      <c r="BE337" s="137" t="str">
        <f>IF(OR(AE337="",AP337="-"),"",IF(AE337&lt;=0.25,"Tipo 1 (≤0,25) uT",IF(AE337&lt;=0.5,"Tipo 2 (0,25-0,50) uT",IF(AE337&lt;=0.75,"Tipo 3 (0,50-0,75) uT","Tipo 4 (&gt;0,75) uT"))))</f>
        <v>Tipo 1 (≤0,25) uT</v>
      </c>
      <c r="BF337" s="137" t="str">
        <f>IF(OR(AP337="",AP337="-"),"",IF(AP337&lt;=0.25,"Tipo 1 (≤0,25) uT",IF(AP337&lt;=0.5,"Tipo 2 (0,25-0,50) uT",IF(AP337&lt;=0.75,"Tipo 3 (0,50-0,75) uT","Tipo 4 (&gt;0,75) uT"))))</f>
        <v>Tipo 2 (0,25-0,50) uT</v>
      </c>
      <c r="BG337" s="137" t="str">
        <f>IF(OR(Q337="",Q337="-"),"",IF(Q337&lt;=0.25,"Tipo 1 (≤0,25) uT",IF(Q337&lt;=0.5,"Tipo 2 (0,25-0,50) uT",IF(Q337&lt;=0.75,"Tipo 3 (0,50-0,75) uT","Tipo 4 (&gt;0,75) uT"))))</f>
        <v>Tipo 1 (≤0,25) uT</v>
      </c>
    </row>
    <row r="338" spans="1:59" ht="15" thickBot="1" x14ac:dyDescent="0.35">
      <c r="A338" s="26">
        <v>46162</v>
      </c>
      <c r="B338" s="110">
        <v>0.22916666666666666</v>
      </c>
      <c r="C338" s="117">
        <v>1171</v>
      </c>
      <c r="D338" s="117">
        <v>93</v>
      </c>
      <c r="E338" s="117">
        <v>500</v>
      </c>
      <c r="F338" s="117">
        <v>1846</v>
      </c>
      <c r="G338" s="11" t="s">
        <v>100</v>
      </c>
      <c r="H338" s="123">
        <v>6.8</v>
      </c>
      <c r="I338" s="117">
        <v>90</v>
      </c>
      <c r="J338" s="117">
        <v>90</v>
      </c>
      <c r="K338" s="117">
        <v>90</v>
      </c>
      <c r="L338" s="123">
        <v>22.9</v>
      </c>
      <c r="M338" s="123">
        <v>6.7</v>
      </c>
      <c r="N338" s="80">
        <v>3.04</v>
      </c>
      <c r="O338" s="117">
        <v>13</v>
      </c>
      <c r="P338" s="123">
        <v>6.9</v>
      </c>
      <c r="Q338" s="80">
        <v>0.2</v>
      </c>
      <c r="R338" s="79">
        <v>22.36</v>
      </c>
      <c r="S338" s="79">
        <v>0.88</v>
      </c>
      <c r="T338" s="79">
        <v>0.7</v>
      </c>
      <c r="U338" s="85">
        <f t="shared" si="38"/>
        <v>1229.8975</v>
      </c>
      <c r="V338" s="79">
        <f t="shared" si="39"/>
        <v>1440.0108811919997</v>
      </c>
      <c r="W338" s="79">
        <f t="shared" si="40"/>
        <v>1.1708381236582721</v>
      </c>
      <c r="X338" s="117">
        <v>2</v>
      </c>
      <c r="Y338" s="117">
        <v>4</v>
      </c>
      <c r="Z338" s="123">
        <v>6.54</v>
      </c>
      <c r="AA338" s="117">
        <v>17.7</v>
      </c>
      <c r="AB338" s="123">
        <v>6.5</v>
      </c>
      <c r="AC338" s="123">
        <v>7.1</v>
      </c>
      <c r="AD338" s="11">
        <v>0.24</v>
      </c>
      <c r="AE338" s="80">
        <v>0.15</v>
      </c>
      <c r="AF338" s="85">
        <f t="shared" si="41"/>
        <v>1639.8633333333335</v>
      </c>
      <c r="AG338" s="85">
        <f t="shared" si="42"/>
        <v>1814.6942222708003</v>
      </c>
      <c r="AH338" s="85">
        <f t="shared" si="43"/>
        <v>1.1066130849953757</v>
      </c>
      <c r="AI338" s="117">
        <v>2</v>
      </c>
      <c r="AJ338" s="117">
        <v>3</v>
      </c>
      <c r="AK338" s="80">
        <v>6.41</v>
      </c>
      <c r="AL338" s="80">
        <v>22.87</v>
      </c>
      <c r="AM338" s="123">
        <v>6.4</v>
      </c>
      <c r="AN338" s="123">
        <v>5.6</v>
      </c>
      <c r="AO338" s="80">
        <v>0.22</v>
      </c>
      <c r="AP338" s="128">
        <v>0.46</v>
      </c>
      <c r="AQ338" s="132">
        <f t="shared" si="44"/>
        <v>1764</v>
      </c>
      <c r="AR338" s="134">
        <f t="shared" si="45"/>
        <v>0.66383219954648531</v>
      </c>
      <c r="AS338" s="134">
        <f t="shared" si="46"/>
        <v>5.2721088435374153E-2</v>
      </c>
      <c r="AT338" s="134">
        <f t="shared" si="47"/>
        <v>0.28344671201814059</v>
      </c>
      <c r="AU338" s="43">
        <f>IF(AND(F338&lt;&gt;"",Y338&lt;&gt;""),AA338/(F338/2/Y338),"")</f>
        <v>7.6706392199349938E-2</v>
      </c>
      <c r="AV338" s="43">
        <f>IF(AND(F338&lt;&gt;"",AJ338&lt;&gt;""),AL338/(F338/2/AJ338),"")</f>
        <v>7.4333694474539538E-2</v>
      </c>
      <c r="AW338" s="41">
        <f>IF(AND(AP338&lt;&gt;"",1-(AP338/N338)&gt;0),1-(AP338/N338),"")</f>
        <v>0.84868421052631582</v>
      </c>
      <c r="AX338" s="41">
        <f>IF(AND(AE338&lt;&gt;"",1-(AE338/N338)&gt;0),1-(AE338/N338),"")</f>
        <v>0.95065789473684215</v>
      </c>
      <c r="AY338" s="136" t="str">
        <f>IF(P338="","",IF(P338&lt;2.5,"Alc. Bruta &lt; 2,5 mg/L",IF(P338&lt;5,"2,5 ≤ Alc. Bruta &lt; 5,0 mg/L",IF(P338&lt;7.5,"5,0 ≤ Alc. Bruta &lt; 7,5 mg/L",IF(P338&lt;10,"7,5 ≤ Alc. Bruta &lt; 10,0 mg/L",IF(P338&lt;15,"10,0 ≤ Alca. Bruta &lt; 15,0 mg/L","Alc. Bruta &gt; 15 mg/L"))))))</f>
        <v>5,0 ≤ Alc. Bruta &lt; 7,5 mg/L</v>
      </c>
      <c r="AZ338" s="136" t="str">
        <f>IF(O338="","",IF(O338&lt;5,"Cor &lt;5 uC",IF(O338&lt;10,"5 ≤ Cor &lt; 10 uC",IF(O338&lt;15,"10 ≤ Cor &lt;15 uC",IF(O338&lt;30,"15 ≤ Cor &lt; 30 uC",IF(O338&lt;50,"30 ≤ Cor &lt; 50 uC","Cor &gt; 50 uC"))))))</f>
        <v>10 ≤ Cor &lt;15 uC</v>
      </c>
      <c r="BA338" s="137" t="str">
        <f>IF(N338="","",IF(N338&lt;2.5,"Turbidez &lt; 2,5 uT",IF(N338&lt;5,"2,5 ≤ Turb &lt; 5,0 uT",IF(N338&lt;7.5,"5,0 ≤ Turb &lt; 7,5 uT",IF(N338&lt;10,"7,5 ≤ Turb &lt; 10,0 uT",IF(N338&lt;15,"10,0 ≤ Turb &lt; 15,0 uT","Turb &gt; 15 uT"))))))</f>
        <v>2,5 ≤ Turb &lt; 5,0 uT</v>
      </c>
      <c r="BB338" s="138" t="str">
        <f>IF(AND(C338&gt;D338,D338&gt;E338),"TOR &gt; SM &gt; BNN",IF(AND(C338&gt;E338,E338&gt;D338),"TOR &gt; BNN &gt; SM",IF(AND(D338&gt;C338,C338&gt;E338),"SM &gt; TOR &gt; BNN",IF(AND(D338&gt;E338,E338&gt;C338),"SM &gt; BNN &gt; TOR",IF(AND(C338=D338,D338=E338),"TOR = SM = BNN","Comb. diferentes")))))</f>
        <v>TOR &gt; BNN &gt; SM</v>
      </c>
      <c r="BC338" s="137" t="str">
        <f>IF(OR(AD338="",AP338="-"),"",IF(AD338&lt;=0.25,"Tipo 1 (≤0,25) uT",IF(AD338&lt;=0.5,"Tipo 2 (0,25-0,50) uT",IF(AD338&lt;=0.75,"Tipo 3 (0,50-0,75) uT","Tipo 4 (&gt;0,75) uT"))))</f>
        <v>Tipo 1 (≤0,25) uT</v>
      </c>
      <c r="BD338" s="137" t="str">
        <f>IF(OR(AO338="",AY338="-"),"",IF(AO338&lt;=0.25,"Tipo 1 (≤0,25) uT",IF(AO338&lt;=0.5,"Tipo 2 (0,25-0,50) uT",IF(AO338&lt;=0.75,"Tipo 3 (0,50-0,75) uT","Tipo 4 (&gt;0,75) uT"))))</f>
        <v>Tipo 1 (≤0,25) uT</v>
      </c>
      <c r="BE338" s="137" t="str">
        <f>IF(OR(AE338="",AP338="-"),"",IF(AE338&lt;=0.25,"Tipo 1 (≤0,25) uT",IF(AE338&lt;=0.5,"Tipo 2 (0,25-0,50) uT",IF(AE338&lt;=0.75,"Tipo 3 (0,50-0,75) uT","Tipo 4 (&gt;0,75) uT"))))</f>
        <v>Tipo 1 (≤0,25) uT</v>
      </c>
      <c r="BF338" s="137" t="str">
        <f>IF(OR(AP338="",AP338="-"),"",IF(AP338&lt;=0.25,"Tipo 1 (≤0,25) uT",IF(AP338&lt;=0.5,"Tipo 2 (0,25-0,50) uT",IF(AP338&lt;=0.75,"Tipo 3 (0,50-0,75) uT","Tipo 4 (&gt;0,75) uT"))))</f>
        <v>Tipo 2 (0,25-0,50) uT</v>
      </c>
      <c r="BG338" s="137" t="str">
        <f>IF(OR(Q338="",Q338="-"),"",IF(Q338&lt;=0.25,"Tipo 1 (≤0,25) uT",IF(Q338&lt;=0.5,"Tipo 2 (0,25-0,50) uT",IF(Q338&lt;=0.75,"Tipo 3 (0,50-0,75) uT","Tipo 4 (&gt;0,75) uT"))))</f>
        <v>Tipo 1 (≤0,25) uT</v>
      </c>
    </row>
    <row r="339" spans="1:59" x14ac:dyDescent="0.3">
      <c r="A339" s="26">
        <v>46162</v>
      </c>
      <c r="B339" s="111">
        <v>0.3125</v>
      </c>
      <c r="C339" s="118">
        <v>1161</v>
      </c>
      <c r="D339" s="116">
        <v>81</v>
      </c>
      <c r="E339" s="118">
        <v>500</v>
      </c>
      <c r="F339" s="118">
        <v>1967</v>
      </c>
      <c r="G339" s="9" t="s">
        <v>100</v>
      </c>
      <c r="H339" s="124">
        <v>6.8</v>
      </c>
      <c r="I339" s="118">
        <v>90</v>
      </c>
      <c r="J339" s="118">
        <v>90</v>
      </c>
      <c r="K339" s="118">
        <v>90</v>
      </c>
      <c r="L339" s="124">
        <v>22.9</v>
      </c>
      <c r="M339" s="124">
        <v>6.7</v>
      </c>
      <c r="N339" s="81">
        <v>2.77</v>
      </c>
      <c r="O339" s="118">
        <v>17</v>
      </c>
      <c r="P339" s="124">
        <v>6.1</v>
      </c>
      <c r="Q339" s="81">
        <v>0.23</v>
      </c>
      <c r="R339" s="79">
        <v>22.36</v>
      </c>
      <c r="S339" s="79">
        <v>0.88</v>
      </c>
      <c r="T339" s="79">
        <v>0.7</v>
      </c>
      <c r="U339" s="85">
        <f t="shared" si="38"/>
        <v>1244.1275000000001</v>
      </c>
      <c r="V339" s="79">
        <f t="shared" si="39"/>
        <v>1434.1599042159994</v>
      </c>
      <c r="W339" s="79">
        <f t="shared" si="40"/>
        <v>1.1527435123940266</v>
      </c>
      <c r="X339" s="118">
        <v>2</v>
      </c>
      <c r="Y339" s="118">
        <v>4</v>
      </c>
      <c r="Z339" s="124">
        <v>6.46</v>
      </c>
      <c r="AA339" s="118">
        <v>17.899999999999999</v>
      </c>
      <c r="AB339" s="124">
        <v>6.5</v>
      </c>
      <c r="AC339" s="124">
        <v>5.2</v>
      </c>
      <c r="AD339" s="9">
        <v>0.33</v>
      </c>
      <c r="AE339" s="81">
        <v>0.21</v>
      </c>
      <c r="AF339" s="85">
        <f t="shared" si="41"/>
        <v>1658.8366666666668</v>
      </c>
      <c r="AG339" s="85">
        <f t="shared" si="42"/>
        <v>1891.7095750072001</v>
      </c>
      <c r="AH339" s="85">
        <f t="shared" si="43"/>
        <v>1.1403832655860431</v>
      </c>
      <c r="AI339" s="118">
        <v>2</v>
      </c>
      <c r="AJ339" s="118">
        <v>3</v>
      </c>
      <c r="AK339" s="81">
        <v>6.34</v>
      </c>
      <c r="AL339" s="81">
        <v>24.17</v>
      </c>
      <c r="AM339" s="124">
        <v>6.6</v>
      </c>
      <c r="AN339" s="124">
        <v>5.4</v>
      </c>
      <c r="AO339" s="81">
        <v>0.49</v>
      </c>
      <c r="AP339" s="129">
        <v>0.48</v>
      </c>
      <c r="AQ339" s="132">
        <f t="shared" si="44"/>
        <v>1742</v>
      </c>
      <c r="AR339" s="134">
        <f t="shared" si="45"/>
        <v>0.66647531572904706</v>
      </c>
      <c r="AS339" s="134">
        <f t="shared" si="46"/>
        <v>4.6498277841561422E-2</v>
      </c>
      <c r="AT339" s="134">
        <f t="shared" si="47"/>
        <v>0.28702640642939148</v>
      </c>
      <c r="AU339" s="43">
        <f>IF(AND(F339&lt;&gt;"",Y339&lt;&gt;""),AA339/(F339/2/Y339),"")</f>
        <v>7.2801220132180974E-2</v>
      </c>
      <c r="AV339" s="43">
        <f>IF(AND(F339&lt;&gt;"",AJ339&lt;&gt;""),AL339/(F339/2/AJ339),"")</f>
        <v>7.3726487036095592E-2</v>
      </c>
      <c r="AW339" s="41">
        <f>IF(AND(AP339&lt;&gt;"",1-(AP339/N339)&gt;0),1-(AP339/N339),"")</f>
        <v>0.8267148014440433</v>
      </c>
      <c r="AX339" s="41">
        <f>IF(AND(AE339&lt;&gt;"",1-(AE339/N339)&gt;0),1-(AE339/N339),"")</f>
        <v>0.92418772563176899</v>
      </c>
      <c r="AY339" s="136" t="str">
        <f>IF(P339="","",IF(P339&lt;2.5,"Alc. Bruta &lt; 2,5 mg/L",IF(P339&lt;5,"2,5 ≤ Alc. Bruta &lt; 5,0 mg/L",IF(P339&lt;7.5,"5,0 ≤ Alc. Bruta &lt; 7,5 mg/L",IF(P339&lt;10,"7,5 ≤ Alc. Bruta &lt; 10,0 mg/L",IF(P339&lt;15,"10,0 ≤ Alca. Bruta &lt; 15,0 mg/L","Alc. Bruta &gt; 15 mg/L"))))))</f>
        <v>5,0 ≤ Alc. Bruta &lt; 7,5 mg/L</v>
      </c>
      <c r="AZ339" s="136" t="str">
        <f>IF(O339="","",IF(O339&lt;5,"Cor &lt;5 uC",IF(O339&lt;10,"5 ≤ Cor &lt; 10 uC",IF(O339&lt;15,"10 ≤ Cor &lt;15 uC",IF(O339&lt;30,"15 ≤ Cor &lt; 30 uC",IF(O339&lt;50,"30 ≤ Cor &lt; 50 uC","Cor &gt; 50 uC"))))))</f>
        <v>15 ≤ Cor &lt; 30 uC</v>
      </c>
      <c r="BA339" s="137" t="str">
        <f>IF(N339="","",IF(N339&lt;2.5,"Turbidez &lt; 2,5 uT",IF(N339&lt;5,"2,5 ≤ Turb &lt; 5,0 uT",IF(N339&lt;7.5,"5,0 ≤ Turb &lt; 7,5 uT",IF(N339&lt;10,"7,5 ≤ Turb &lt; 10,0 uT",IF(N339&lt;15,"10,0 ≤ Turb &lt; 15,0 uT","Turb &gt; 15 uT"))))))</f>
        <v>2,5 ≤ Turb &lt; 5,0 uT</v>
      </c>
      <c r="BB339" s="138" t="str">
        <f>IF(AND(C339&gt;D339,D339&gt;E339),"TOR &gt; SM &gt; BNN",IF(AND(C339&gt;E339,E339&gt;D339),"TOR &gt; BNN &gt; SM",IF(AND(D339&gt;C339,C339&gt;E339),"SM &gt; TOR &gt; BNN",IF(AND(D339&gt;E339,E339&gt;C339),"SM &gt; BNN &gt; TOR",IF(AND(C339=D339,D339=E339),"TOR = SM = BNN","Comb. diferentes")))))</f>
        <v>TOR &gt; BNN &gt; SM</v>
      </c>
      <c r="BC339" s="137" t="str">
        <f>IF(OR(AD339="",AP339="-"),"",IF(AD339&lt;=0.25,"Tipo 1 (≤0,25) uT",IF(AD339&lt;=0.5,"Tipo 2 (0,25-0,50) uT",IF(AD339&lt;=0.75,"Tipo 3 (0,50-0,75) uT","Tipo 4 (&gt;0,75) uT"))))</f>
        <v>Tipo 2 (0,25-0,50) uT</v>
      </c>
      <c r="BD339" s="137" t="str">
        <f>IF(OR(AO339="",AY339="-"),"",IF(AO339&lt;=0.25,"Tipo 1 (≤0,25) uT",IF(AO339&lt;=0.5,"Tipo 2 (0,25-0,50) uT",IF(AO339&lt;=0.75,"Tipo 3 (0,50-0,75) uT","Tipo 4 (&gt;0,75) uT"))))</f>
        <v>Tipo 2 (0,25-0,50) uT</v>
      </c>
      <c r="BE339" s="137" t="str">
        <f>IF(OR(AE339="",AP339="-"),"",IF(AE339&lt;=0.25,"Tipo 1 (≤0,25) uT",IF(AE339&lt;=0.5,"Tipo 2 (0,25-0,50) uT",IF(AE339&lt;=0.75,"Tipo 3 (0,50-0,75) uT","Tipo 4 (&gt;0,75) uT"))))</f>
        <v>Tipo 1 (≤0,25) uT</v>
      </c>
      <c r="BF339" s="137" t="str">
        <f>IF(OR(AP339="",AP339="-"),"",IF(AP339&lt;=0.25,"Tipo 1 (≤0,25) uT",IF(AP339&lt;=0.5,"Tipo 2 (0,25-0,50) uT",IF(AP339&lt;=0.75,"Tipo 3 (0,50-0,75) uT","Tipo 4 (&gt;0,75) uT"))))</f>
        <v>Tipo 2 (0,25-0,50) uT</v>
      </c>
      <c r="BG339" s="137" t="str">
        <f>IF(OR(Q339="",Q339="-"),"",IF(Q339&lt;=0.25,"Tipo 1 (≤0,25) uT",IF(Q339&lt;=0.5,"Tipo 2 (0,25-0,50) uT",IF(Q339&lt;=0.75,"Tipo 3 (0,50-0,75) uT","Tipo 4 (&gt;0,75) uT"))))</f>
        <v>Tipo 1 (≤0,25) uT</v>
      </c>
    </row>
    <row r="340" spans="1:59" x14ac:dyDescent="0.3">
      <c r="A340" s="26">
        <v>46162</v>
      </c>
      <c r="B340" s="107">
        <v>0.39583333333333331</v>
      </c>
      <c r="C340" s="116">
        <v>1150</v>
      </c>
      <c r="D340" s="116">
        <v>84</v>
      </c>
      <c r="E340" s="116">
        <v>500</v>
      </c>
      <c r="F340" s="116">
        <v>1952</v>
      </c>
      <c r="G340" s="10" t="s">
        <v>100</v>
      </c>
      <c r="H340" s="122">
        <v>7.3</v>
      </c>
      <c r="I340" s="116">
        <v>90</v>
      </c>
      <c r="J340" s="116">
        <v>90</v>
      </c>
      <c r="K340" s="116">
        <v>90</v>
      </c>
      <c r="L340" s="122">
        <v>24</v>
      </c>
      <c r="M340" s="122">
        <v>6.9</v>
      </c>
      <c r="N340" s="79">
        <v>2.93</v>
      </c>
      <c r="O340" s="116">
        <v>17</v>
      </c>
      <c r="P340" s="122">
        <v>6.8</v>
      </c>
      <c r="Q340" s="79">
        <v>0.23</v>
      </c>
      <c r="R340" s="79">
        <v>22.36</v>
      </c>
      <c r="S340" s="79">
        <v>0.88</v>
      </c>
      <c r="T340" s="79">
        <v>0.7</v>
      </c>
      <c r="U340" s="85">
        <f t="shared" si="38"/>
        <v>1310.28</v>
      </c>
      <c r="V340" s="79">
        <f t="shared" si="39"/>
        <v>1375.4182925599998</v>
      </c>
      <c r="W340" s="79">
        <f t="shared" si="40"/>
        <v>1.0497132617150531</v>
      </c>
      <c r="X340" s="116">
        <v>2</v>
      </c>
      <c r="Y340" s="116">
        <v>4</v>
      </c>
      <c r="Z340" s="122">
        <v>6.45</v>
      </c>
      <c r="AA340" s="116">
        <v>17.2</v>
      </c>
      <c r="AB340" s="122">
        <v>6.6</v>
      </c>
      <c r="AC340" s="122">
        <v>5</v>
      </c>
      <c r="AD340" s="10">
        <v>0.32</v>
      </c>
      <c r="AE340" s="79">
        <v>0.2</v>
      </c>
      <c r="AF340" s="85">
        <f t="shared" si="41"/>
        <v>1747.04</v>
      </c>
      <c r="AG340" s="85">
        <f t="shared" si="42"/>
        <v>1480.3689773599997</v>
      </c>
      <c r="AH340" s="85">
        <f t="shared" si="43"/>
        <v>0.8473583760875536</v>
      </c>
      <c r="AI340" s="116">
        <v>2</v>
      </c>
      <c r="AJ340" s="116">
        <v>3</v>
      </c>
      <c r="AK340" s="79">
        <v>5.3</v>
      </c>
      <c r="AL340" s="79">
        <v>23.8</v>
      </c>
      <c r="AM340" s="122">
        <v>6.4</v>
      </c>
      <c r="AN340" s="122">
        <v>5.3</v>
      </c>
      <c r="AO340" s="79">
        <v>0.3</v>
      </c>
      <c r="AP340" s="127">
        <v>0.48</v>
      </c>
      <c r="AQ340" s="132">
        <f t="shared" si="44"/>
        <v>1734</v>
      </c>
      <c r="AR340" s="134">
        <f t="shared" si="45"/>
        <v>0.66320645905420994</v>
      </c>
      <c r="AS340" s="134">
        <f t="shared" si="46"/>
        <v>4.8442906574394463E-2</v>
      </c>
      <c r="AT340" s="134">
        <f t="shared" si="47"/>
        <v>0.28835063437139563</v>
      </c>
      <c r="AU340" s="43">
        <f>IF(AND(F340&lt;&gt;"",Y340&lt;&gt;""),AA340/(F340/2/Y340),"")</f>
        <v>7.0491803278688522E-2</v>
      </c>
      <c r="AV340" s="43">
        <f>IF(AND(F340&lt;&gt;"",AJ340&lt;&gt;""),AL340/(F340/2/AJ340),"")</f>
        <v>7.3155737704918039E-2</v>
      </c>
      <c r="AW340" s="41">
        <f>IF(AND(AP340&lt;&gt;"",1-(AP340/N340)&gt;0),1-(AP340/N340),"")</f>
        <v>0.83617747440273038</v>
      </c>
      <c r="AX340" s="41">
        <f>IF(AND(AE340&lt;&gt;"",1-(AE340/N340)&gt;0),1-(AE340/N340),"")</f>
        <v>0.93174061433447097</v>
      </c>
      <c r="AY340" s="136" t="str">
        <f>IF(P340="","",IF(P340&lt;2.5,"Alc. Bruta &lt; 2,5 mg/L",IF(P340&lt;5,"2,5 ≤ Alc. Bruta &lt; 5,0 mg/L",IF(P340&lt;7.5,"5,0 ≤ Alc. Bruta &lt; 7,5 mg/L",IF(P340&lt;10,"7,5 ≤ Alc. Bruta &lt; 10,0 mg/L",IF(P340&lt;15,"10,0 ≤ Alca. Bruta &lt; 15,0 mg/L","Alc. Bruta &gt; 15 mg/L"))))))</f>
        <v>5,0 ≤ Alc. Bruta &lt; 7,5 mg/L</v>
      </c>
      <c r="AZ340" s="136" t="str">
        <f>IF(O340="","",IF(O340&lt;5,"Cor &lt;5 uC",IF(O340&lt;10,"5 ≤ Cor &lt; 10 uC",IF(O340&lt;15,"10 ≤ Cor &lt;15 uC",IF(O340&lt;30,"15 ≤ Cor &lt; 30 uC",IF(O340&lt;50,"30 ≤ Cor &lt; 50 uC","Cor &gt; 50 uC"))))))</f>
        <v>15 ≤ Cor &lt; 30 uC</v>
      </c>
      <c r="BA340" s="137" t="str">
        <f>IF(N340="","",IF(N340&lt;2.5,"Turbidez &lt; 2,5 uT",IF(N340&lt;5,"2,5 ≤ Turb &lt; 5,0 uT",IF(N340&lt;7.5,"5,0 ≤ Turb &lt; 7,5 uT",IF(N340&lt;10,"7,5 ≤ Turb &lt; 10,0 uT",IF(N340&lt;15,"10,0 ≤ Turb &lt; 15,0 uT","Turb &gt; 15 uT"))))))</f>
        <v>2,5 ≤ Turb &lt; 5,0 uT</v>
      </c>
      <c r="BB340" s="138" t="str">
        <f>IF(AND(C340&gt;D340,D340&gt;E340),"TOR &gt; SM &gt; BNN",IF(AND(C340&gt;E340,E340&gt;D340),"TOR &gt; BNN &gt; SM",IF(AND(D340&gt;C340,C340&gt;E340),"SM &gt; TOR &gt; BNN",IF(AND(D340&gt;E340,E340&gt;C340),"SM &gt; BNN &gt; TOR",IF(AND(C340=D340,D340=E340),"TOR = SM = BNN","Comb. diferentes")))))</f>
        <v>TOR &gt; BNN &gt; SM</v>
      </c>
      <c r="BC340" s="137" t="str">
        <f>IF(OR(AD340="",AP340="-"),"",IF(AD340&lt;=0.25,"Tipo 1 (≤0,25) uT",IF(AD340&lt;=0.5,"Tipo 2 (0,25-0,50) uT",IF(AD340&lt;=0.75,"Tipo 3 (0,50-0,75) uT","Tipo 4 (&gt;0,75) uT"))))</f>
        <v>Tipo 2 (0,25-0,50) uT</v>
      </c>
      <c r="BD340" s="137" t="str">
        <f>IF(OR(AO340="",AY340="-"),"",IF(AO340&lt;=0.25,"Tipo 1 (≤0,25) uT",IF(AO340&lt;=0.5,"Tipo 2 (0,25-0,50) uT",IF(AO340&lt;=0.75,"Tipo 3 (0,50-0,75) uT","Tipo 4 (&gt;0,75) uT"))))</f>
        <v>Tipo 2 (0,25-0,50) uT</v>
      </c>
      <c r="BE340" s="137" t="str">
        <f>IF(OR(AE340="",AP340="-"),"",IF(AE340&lt;=0.25,"Tipo 1 (≤0,25) uT",IF(AE340&lt;=0.5,"Tipo 2 (0,25-0,50) uT",IF(AE340&lt;=0.75,"Tipo 3 (0,50-0,75) uT","Tipo 4 (&gt;0,75) uT"))))</f>
        <v>Tipo 1 (≤0,25) uT</v>
      </c>
      <c r="BF340" s="137" t="str">
        <f>IF(OR(AP340="",AP340="-"),"",IF(AP340&lt;=0.25,"Tipo 1 (≤0,25) uT",IF(AP340&lt;=0.5,"Tipo 2 (0,25-0,50) uT",IF(AP340&lt;=0.75,"Tipo 3 (0,50-0,75) uT","Tipo 4 (&gt;0,75) uT"))))</f>
        <v>Tipo 2 (0,25-0,50) uT</v>
      </c>
      <c r="BG340" s="137" t="str">
        <f>IF(OR(Q340="",Q340="-"),"",IF(Q340&lt;=0.25,"Tipo 1 (≤0,25) uT",IF(Q340&lt;=0.5,"Tipo 2 (0,25-0,50) uT",IF(Q340&lt;=0.75,"Tipo 3 (0,50-0,75) uT","Tipo 4 (&gt;0,75) uT"))))</f>
        <v>Tipo 1 (≤0,25) uT</v>
      </c>
    </row>
    <row r="341" spans="1:59" x14ac:dyDescent="0.3">
      <c r="A341" s="26">
        <v>46162</v>
      </c>
      <c r="B341" s="107">
        <v>0.47916666666666669</v>
      </c>
      <c r="C341" s="116">
        <v>1628</v>
      </c>
      <c r="D341" s="116">
        <v>82</v>
      </c>
      <c r="E341" s="116">
        <v>499</v>
      </c>
      <c r="F341" s="116">
        <v>2307</v>
      </c>
      <c r="G341" s="10" t="s">
        <v>100</v>
      </c>
      <c r="H341" s="122">
        <v>7.3</v>
      </c>
      <c r="I341" s="116">
        <v>90</v>
      </c>
      <c r="J341" s="116">
        <v>90</v>
      </c>
      <c r="K341" s="116">
        <v>90</v>
      </c>
      <c r="L341" s="122">
        <v>24.9</v>
      </c>
      <c r="M341" s="122">
        <v>6.6</v>
      </c>
      <c r="N341" s="79">
        <v>2.87</v>
      </c>
      <c r="O341" s="116">
        <v>11</v>
      </c>
      <c r="P341" s="122">
        <v>6.9</v>
      </c>
      <c r="Q341" s="79">
        <v>0.19</v>
      </c>
      <c r="R341" s="79">
        <v>22.36</v>
      </c>
      <c r="S341" s="79">
        <v>0.88</v>
      </c>
      <c r="T341" s="79">
        <v>0.7</v>
      </c>
      <c r="U341" s="85">
        <f t="shared" si="38"/>
        <v>1531.2712500000002</v>
      </c>
      <c r="V341" s="79">
        <f t="shared" si="39"/>
        <v>1083.6689031999999</v>
      </c>
      <c r="W341" s="79">
        <f t="shared" si="40"/>
        <v>0.7076923198290308</v>
      </c>
      <c r="X341" s="116">
        <v>3</v>
      </c>
      <c r="Y341" s="116">
        <v>4</v>
      </c>
      <c r="Z341" s="122">
        <v>5.4</v>
      </c>
      <c r="AA341" s="116">
        <v>17</v>
      </c>
      <c r="AB341" s="122">
        <v>6.7</v>
      </c>
      <c r="AC341" s="122">
        <v>4.3</v>
      </c>
      <c r="AD341" s="10">
        <v>0.38</v>
      </c>
      <c r="AE341" s="79">
        <v>0.22</v>
      </c>
      <c r="AF341" s="85">
        <f t="shared" si="41"/>
        <v>1531.2712500000002</v>
      </c>
      <c r="AG341" s="85">
        <f t="shared" si="42"/>
        <v>1867.2812745599999</v>
      </c>
      <c r="AH341" s="85">
        <f t="shared" si="43"/>
        <v>1.2194320729002126</v>
      </c>
      <c r="AI341" s="116">
        <v>2</v>
      </c>
      <c r="AJ341" s="116">
        <v>4</v>
      </c>
      <c r="AK341" s="79">
        <v>6.31</v>
      </c>
      <c r="AL341" s="79">
        <v>24</v>
      </c>
      <c r="AM341" s="122">
        <v>6.6</v>
      </c>
      <c r="AN341" s="122">
        <v>5.5</v>
      </c>
      <c r="AO341" s="79">
        <v>0.18</v>
      </c>
      <c r="AP341" s="127">
        <v>0.32</v>
      </c>
      <c r="AQ341" s="132">
        <f t="shared" si="44"/>
        <v>2209</v>
      </c>
      <c r="AR341" s="134">
        <f t="shared" si="45"/>
        <v>0.73698506111362605</v>
      </c>
      <c r="AS341" s="134">
        <f t="shared" si="46"/>
        <v>3.7120869171570849E-2</v>
      </c>
      <c r="AT341" s="134">
        <f t="shared" si="47"/>
        <v>0.22589406971480308</v>
      </c>
      <c r="AU341" s="43">
        <f>IF(AND(F341&lt;&gt;"",Y341&lt;&gt;""),AA341/(F341/2/Y341),"")</f>
        <v>5.8951018638925011E-2</v>
      </c>
      <c r="AV341" s="43">
        <f>IF(AND(F341&lt;&gt;"",AJ341&lt;&gt;""),AL341/(F341/2/AJ341),"")</f>
        <v>8.3224967490247076E-2</v>
      </c>
      <c r="AW341" s="41">
        <f>IF(AND(AP341&lt;&gt;"",1-(AP341/N341)&gt;0),1-(AP341/N341),"")</f>
        <v>0.88850174216027877</v>
      </c>
      <c r="AX341" s="41">
        <f>IF(AND(AE341&lt;&gt;"",1-(AE341/N341)&gt;0),1-(AE341/N341),"")</f>
        <v>0.9233449477351916</v>
      </c>
      <c r="AY341" s="136" t="str">
        <f>IF(P341="","",IF(P341&lt;2.5,"Alc. Bruta &lt; 2,5 mg/L",IF(P341&lt;5,"2,5 ≤ Alc. Bruta &lt; 5,0 mg/L",IF(P341&lt;7.5,"5,0 ≤ Alc. Bruta &lt; 7,5 mg/L",IF(P341&lt;10,"7,5 ≤ Alc. Bruta &lt; 10,0 mg/L",IF(P341&lt;15,"10,0 ≤ Alca. Bruta &lt; 15,0 mg/L","Alc. Bruta &gt; 15 mg/L"))))))</f>
        <v>5,0 ≤ Alc. Bruta &lt; 7,5 mg/L</v>
      </c>
      <c r="AZ341" s="136" t="str">
        <f>IF(O341="","",IF(O341&lt;5,"Cor &lt;5 uC",IF(O341&lt;10,"5 ≤ Cor &lt; 10 uC",IF(O341&lt;15,"10 ≤ Cor &lt;15 uC",IF(O341&lt;30,"15 ≤ Cor &lt; 30 uC",IF(O341&lt;50,"30 ≤ Cor &lt; 50 uC","Cor &gt; 50 uC"))))))</f>
        <v>10 ≤ Cor &lt;15 uC</v>
      </c>
      <c r="BA341" s="137" t="str">
        <f>IF(N341="","",IF(N341&lt;2.5,"Turbidez &lt; 2,5 uT",IF(N341&lt;5,"2,5 ≤ Turb &lt; 5,0 uT",IF(N341&lt;7.5,"5,0 ≤ Turb &lt; 7,5 uT",IF(N341&lt;10,"7,5 ≤ Turb &lt; 10,0 uT",IF(N341&lt;15,"10,0 ≤ Turb &lt; 15,0 uT","Turb &gt; 15 uT"))))))</f>
        <v>2,5 ≤ Turb &lt; 5,0 uT</v>
      </c>
      <c r="BB341" s="138" t="str">
        <f>IF(AND(C341&gt;D341,D341&gt;E341),"TOR &gt; SM &gt; BNN",IF(AND(C341&gt;E341,E341&gt;D341),"TOR &gt; BNN &gt; SM",IF(AND(D341&gt;C341,C341&gt;E341),"SM &gt; TOR &gt; BNN",IF(AND(D341&gt;E341,E341&gt;C341),"SM &gt; BNN &gt; TOR",IF(AND(C341=D341,D341=E341),"TOR = SM = BNN","Comb. diferentes")))))</f>
        <v>TOR &gt; BNN &gt; SM</v>
      </c>
      <c r="BC341" s="137" t="str">
        <f>IF(OR(AD341="",AP341="-"),"",IF(AD341&lt;=0.25,"Tipo 1 (≤0,25) uT",IF(AD341&lt;=0.5,"Tipo 2 (0,25-0,50) uT",IF(AD341&lt;=0.75,"Tipo 3 (0,50-0,75) uT","Tipo 4 (&gt;0,75) uT"))))</f>
        <v>Tipo 2 (0,25-0,50) uT</v>
      </c>
      <c r="BD341" s="137" t="str">
        <f>IF(OR(AO341="",AY341="-"),"",IF(AO341&lt;=0.25,"Tipo 1 (≤0,25) uT",IF(AO341&lt;=0.5,"Tipo 2 (0,25-0,50) uT",IF(AO341&lt;=0.75,"Tipo 3 (0,50-0,75) uT","Tipo 4 (&gt;0,75) uT"))))</f>
        <v>Tipo 1 (≤0,25) uT</v>
      </c>
      <c r="BE341" s="137" t="str">
        <f>IF(OR(AE341="",AP341="-"),"",IF(AE341&lt;=0.25,"Tipo 1 (≤0,25) uT",IF(AE341&lt;=0.5,"Tipo 2 (0,25-0,50) uT",IF(AE341&lt;=0.75,"Tipo 3 (0,50-0,75) uT","Tipo 4 (&gt;0,75) uT"))))</f>
        <v>Tipo 1 (≤0,25) uT</v>
      </c>
      <c r="BF341" s="137" t="str">
        <f>IF(OR(AP341="",AP341="-"),"",IF(AP341&lt;=0.25,"Tipo 1 (≤0,25) uT",IF(AP341&lt;=0.5,"Tipo 2 (0,25-0,50) uT",IF(AP341&lt;=0.75,"Tipo 3 (0,50-0,75) uT","Tipo 4 (&gt;0,75) uT"))))</f>
        <v>Tipo 2 (0,25-0,50) uT</v>
      </c>
      <c r="BG341" s="137" t="str">
        <f>IF(OR(Q341="",Q341="-"),"",IF(Q341&lt;=0.25,"Tipo 1 (≤0,25) uT",IF(Q341&lt;=0.5,"Tipo 2 (0,25-0,50) uT",IF(Q341&lt;=0.75,"Tipo 3 (0,50-0,75) uT","Tipo 4 (&gt;0,75) uT"))))</f>
        <v>Tipo 1 (≤0,25) uT</v>
      </c>
    </row>
    <row r="342" spans="1:59" x14ac:dyDescent="0.3">
      <c r="A342" s="26">
        <v>46162</v>
      </c>
      <c r="B342" s="107">
        <v>0.64583333333333337</v>
      </c>
      <c r="C342" s="116">
        <v>1580</v>
      </c>
      <c r="D342" s="116">
        <v>85</v>
      </c>
      <c r="E342" s="116">
        <v>500</v>
      </c>
      <c r="F342" s="116">
        <v>2390</v>
      </c>
      <c r="G342" s="10" t="s">
        <v>100</v>
      </c>
      <c r="H342" s="122">
        <v>7.3</v>
      </c>
      <c r="I342" s="116">
        <v>90</v>
      </c>
      <c r="J342" s="116">
        <v>90</v>
      </c>
      <c r="K342" s="116">
        <v>90</v>
      </c>
      <c r="L342" s="122">
        <v>24.9</v>
      </c>
      <c r="M342" s="122">
        <v>6.8</v>
      </c>
      <c r="N342" s="79">
        <v>3.32</v>
      </c>
      <c r="O342" s="116">
        <v>19</v>
      </c>
      <c r="P342" s="122">
        <v>5.5</v>
      </c>
      <c r="Q342" s="79">
        <v>0.05</v>
      </c>
      <c r="R342" s="79">
        <v>22.36</v>
      </c>
      <c r="S342" s="79">
        <v>0.88</v>
      </c>
      <c r="T342" s="79">
        <v>0.7</v>
      </c>
      <c r="U342" s="85">
        <f t="shared" si="38"/>
        <v>1720.8</v>
      </c>
      <c r="V342" s="79">
        <f t="shared" si="39"/>
        <v>1172.44074168</v>
      </c>
      <c r="W342" s="79">
        <f t="shared" si="40"/>
        <v>0.68133469414225944</v>
      </c>
      <c r="X342" s="116">
        <v>3</v>
      </c>
      <c r="Y342" s="116">
        <v>4</v>
      </c>
      <c r="Z342" s="122">
        <v>5.49</v>
      </c>
      <c r="AA342" s="116">
        <v>18</v>
      </c>
      <c r="AB342" s="122">
        <v>6.6</v>
      </c>
      <c r="AC342" s="122">
        <v>4.9000000000000004</v>
      </c>
      <c r="AD342" s="10">
        <v>0.22</v>
      </c>
      <c r="AE342" s="79">
        <v>0.18</v>
      </c>
      <c r="AF342" s="85">
        <f t="shared" si="41"/>
        <v>1720.8</v>
      </c>
      <c r="AG342" s="85">
        <f t="shared" si="42"/>
        <v>1769.4519814399998</v>
      </c>
      <c r="AH342" s="85">
        <f t="shared" si="43"/>
        <v>1.0282728855416086</v>
      </c>
      <c r="AI342" s="116">
        <v>2</v>
      </c>
      <c r="AJ342" s="116">
        <v>4</v>
      </c>
      <c r="AK342" s="79">
        <v>6.48</v>
      </c>
      <c r="AL342" s="79">
        <v>22</v>
      </c>
      <c r="AM342" s="122">
        <v>6.6</v>
      </c>
      <c r="AN342" s="122">
        <v>4.7</v>
      </c>
      <c r="AO342" s="79">
        <v>0.16</v>
      </c>
      <c r="AP342" s="127">
        <v>0.32</v>
      </c>
      <c r="AQ342" s="132">
        <f t="shared" si="44"/>
        <v>2165</v>
      </c>
      <c r="AR342" s="134">
        <f t="shared" si="45"/>
        <v>0.72979214780600465</v>
      </c>
      <c r="AS342" s="134">
        <f t="shared" si="46"/>
        <v>3.9260969976905313E-2</v>
      </c>
      <c r="AT342" s="134">
        <f t="shared" si="47"/>
        <v>0.23094688221709006</v>
      </c>
      <c r="AU342" s="43">
        <f>IF(AND(F342&lt;&gt;"",Y342&lt;&gt;""),AA342/(F342/2/Y342),"")</f>
        <v>6.0251046025104602E-2</v>
      </c>
      <c r="AV342" s="43">
        <f>IF(AND(F342&lt;&gt;"",AJ342&lt;&gt;""),AL342/(F342/2/AJ342),"")</f>
        <v>7.364016736401674E-2</v>
      </c>
      <c r="AW342" s="41">
        <f>IF(AND(AP342&lt;&gt;"",1-(AP342/N342)&gt;0),1-(AP342/N342),"")</f>
        <v>0.90361445783132532</v>
      </c>
      <c r="AX342" s="41">
        <f>IF(AND(AE342&lt;&gt;"",1-(AE342/N342)&gt;0),1-(AE342/N342),"")</f>
        <v>0.94578313253012047</v>
      </c>
      <c r="AY342" s="136" t="str">
        <f>IF(P342="","",IF(P342&lt;2.5,"Alc. Bruta &lt; 2,5 mg/L",IF(P342&lt;5,"2,5 ≤ Alc. Bruta &lt; 5,0 mg/L",IF(P342&lt;7.5,"5,0 ≤ Alc. Bruta &lt; 7,5 mg/L",IF(P342&lt;10,"7,5 ≤ Alc. Bruta &lt; 10,0 mg/L",IF(P342&lt;15,"10,0 ≤ Alca. Bruta &lt; 15,0 mg/L","Alc. Bruta &gt; 15 mg/L"))))))</f>
        <v>5,0 ≤ Alc. Bruta &lt; 7,5 mg/L</v>
      </c>
      <c r="AZ342" s="136" t="str">
        <f>IF(O342="","",IF(O342&lt;5,"Cor &lt;5 uC",IF(O342&lt;10,"5 ≤ Cor &lt; 10 uC",IF(O342&lt;15,"10 ≤ Cor &lt;15 uC",IF(O342&lt;30,"15 ≤ Cor &lt; 30 uC",IF(O342&lt;50,"30 ≤ Cor &lt; 50 uC","Cor &gt; 50 uC"))))))</f>
        <v>15 ≤ Cor &lt; 30 uC</v>
      </c>
      <c r="BA342" s="137" t="str">
        <f>IF(N342="","",IF(N342&lt;2.5,"Turbidez &lt; 2,5 uT",IF(N342&lt;5,"2,5 ≤ Turb &lt; 5,0 uT",IF(N342&lt;7.5,"5,0 ≤ Turb &lt; 7,5 uT",IF(N342&lt;10,"7,5 ≤ Turb &lt; 10,0 uT",IF(N342&lt;15,"10,0 ≤ Turb &lt; 15,0 uT","Turb &gt; 15 uT"))))))</f>
        <v>2,5 ≤ Turb &lt; 5,0 uT</v>
      </c>
      <c r="BB342" s="138" t="str">
        <f>IF(AND(C342&gt;D342,D342&gt;E342),"TOR &gt; SM &gt; BNN",IF(AND(C342&gt;E342,E342&gt;D342),"TOR &gt; BNN &gt; SM",IF(AND(D342&gt;C342,C342&gt;E342),"SM &gt; TOR &gt; BNN",IF(AND(D342&gt;E342,E342&gt;C342),"SM &gt; BNN &gt; TOR",IF(AND(C342=D342,D342=E342),"TOR = SM = BNN","Comb. diferentes")))))</f>
        <v>TOR &gt; BNN &gt; SM</v>
      </c>
      <c r="BC342" s="137" t="str">
        <f>IF(OR(AD342="",AP342="-"),"",IF(AD342&lt;=0.25,"Tipo 1 (≤0,25) uT",IF(AD342&lt;=0.5,"Tipo 2 (0,25-0,50) uT",IF(AD342&lt;=0.75,"Tipo 3 (0,50-0,75) uT","Tipo 4 (&gt;0,75) uT"))))</f>
        <v>Tipo 1 (≤0,25) uT</v>
      </c>
      <c r="BD342" s="137" t="str">
        <f>IF(OR(AO342="",AY342="-"),"",IF(AO342&lt;=0.25,"Tipo 1 (≤0,25) uT",IF(AO342&lt;=0.5,"Tipo 2 (0,25-0,50) uT",IF(AO342&lt;=0.75,"Tipo 3 (0,50-0,75) uT","Tipo 4 (&gt;0,75) uT"))))</f>
        <v>Tipo 1 (≤0,25) uT</v>
      </c>
      <c r="BE342" s="137" t="str">
        <f>IF(OR(AE342="",AP342="-"),"",IF(AE342&lt;=0.25,"Tipo 1 (≤0,25) uT",IF(AE342&lt;=0.5,"Tipo 2 (0,25-0,50) uT",IF(AE342&lt;=0.75,"Tipo 3 (0,50-0,75) uT","Tipo 4 (&gt;0,75) uT"))))</f>
        <v>Tipo 1 (≤0,25) uT</v>
      </c>
      <c r="BF342" s="137" t="str">
        <f>IF(OR(AP342="",AP342="-"),"",IF(AP342&lt;=0.25,"Tipo 1 (≤0,25) uT",IF(AP342&lt;=0.5,"Tipo 2 (0,25-0,50) uT",IF(AP342&lt;=0.75,"Tipo 3 (0,50-0,75) uT","Tipo 4 (&gt;0,75) uT"))))</f>
        <v>Tipo 2 (0,25-0,50) uT</v>
      </c>
      <c r="BG342" s="137" t="str">
        <f>IF(OR(Q342="",Q342="-"),"",IF(Q342&lt;=0.25,"Tipo 1 (≤0,25) uT",IF(Q342&lt;=0.5,"Tipo 2 (0,25-0,50) uT",IF(Q342&lt;=0.75,"Tipo 3 (0,50-0,75) uT","Tipo 4 (&gt;0,75) uT"))))</f>
        <v>Tipo 1 (≤0,25) uT</v>
      </c>
    </row>
    <row r="343" spans="1:59" x14ac:dyDescent="0.3">
      <c r="A343" s="26">
        <v>46162</v>
      </c>
      <c r="B343" s="107">
        <v>0.72916666666666663</v>
      </c>
      <c r="C343" s="116">
        <v>1639</v>
      </c>
      <c r="D343" s="116">
        <v>84</v>
      </c>
      <c r="E343" s="116">
        <v>499</v>
      </c>
      <c r="F343" s="116">
        <v>2391</v>
      </c>
      <c r="G343" s="10" t="s">
        <v>100</v>
      </c>
      <c r="H343" s="122">
        <v>7.3</v>
      </c>
      <c r="I343" s="116">
        <v>90</v>
      </c>
      <c r="J343" s="116">
        <v>90</v>
      </c>
      <c r="K343" s="116">
        <v>90</v>
      </c>
      <c r="L343" s="122">
        <v>24.7</v>
      </c>
      <c r="M343" s="122">
        <v>6.7</v>
      </c>
      <c r="N343" s="79">
        <v>3.13</v>
      </c>
      <c r="O343" s="116">
        <v>16</v>
      </c>
      <c r="P343" s="122">
        <v>6.1</v>
      </c>
      <c r="Q343" s="79">
        <v>0.09</v>
      </c>
      <c r="R343" s="79">
        <v>22.36</v>
      </c>
      <c r="S343" s="79">
        <v>0.88</v>
      </c>
      <c r="T343" s="79">
        <v>0.7</v>
      </c>
      <c r="U343" s="85">
        <f t="shared" si="38"/>
        <v>1664.7337500000001</v>
      </c>
      <c r="V343" s="79">
        <f t="shared" si="39"/>
        <v>1362.0513056799996</v>
      </c>
      <c r="W343" s="79">
        <f t="shared" si="40"/>
        <v>0.81817966727712432</v>
      </c>
      <c r="X343" s="116">
        <v>3</v>
      </c>
      <c r="Y343" s="116">
        <v>4</v>
      </c>
      <c r="Z343" s="122">
        <v>6.46</v>
      </c>
      <c r="AA343" s="116">
        <v>17</v>
      </c>
      <c r="AB343" s="122">
        <v>6.5</v>
      </c>
      <c r="AC343" s="122">
        <v>5</v>
      </c>
      <c r="AD343" s="10">
        <v>0.18</v>
      </c>
      <c r="AE343" s="79">
        <v>0.17</v>
      </c>
      <c r="AF343" s="85">
        <f t="shared" si="41"/>
        <v>1664.7337500000001</v>
      </c>
      <c r="AG343" s="85">
        <f t="shared" si="42"/>
        <v>1828.5626538399999</v>
      </c>
      <c r="AH343" s="85">
        <f t="shared" si="43"/>
        <v>1.0984114750121452</v>
      </c>
      <c r="AI343" s="116">
        <v>2</v>
      </c>
      <c r="AJ343" s="116">
        <v>4</v>
      </c>
      <c r="AK343" s="79">
        <v>6.42</v>
      </c>
      <c r="AL343" s="79">
        <v>23</v>
      </c>
      <c r="AM343" s="122">
        <v>6.5</v>
      </c>
      <c r="AN343" s="122">
        <v>5.0999999999999996</v>
      </c>
      <c r="AO343" s="79">
        <v>0.16</v>
      </c>
      <c r="AP343" s="127">
        <v>0.33</v>
      </c>
      <c r="AQ343" s="132">
        <f t="shared" si="44"/>
        <v>2222</v>
      </c>
      <c r="AR343" s="134">
        <f t="shared" si="45"/>
        <v>0.73762376237623761</v>
      </c>
      <c r="AS343" s="134">
        <f t="shared" si="46"/>
        <v>3.7803780378037805E-2</v>
      </c>
      <c r="AT343" s="134">
        <f t="shared" si="47"/>
        <v>0.22457245724572458</v>
      </c>
      <c r="AU343" s="43">
        <f>IF(AND(F343&lt;&gt;"",Y343&lt;&gt;""),AA343/(F343/2/Y343),"")</f>
        <v>5.6879966541196154E-2</v>
      </c>
      <c r="AV343" s="43">
        <f>IF(AND(F343&lt;&gt;"",AJ343&lt;&gt;""),AL343/(F343/2/AJ343),"")</f>
        <v>7.6955248849853622E-2</v>
      </c>
      <c r="AW343" s="41">
        <f>IF(AND(AP343&lt;&gt;"",1-(AP343/N343)&gt;0),1-(AP343/N343),"")</f>
        <v>0.89456869009584661</v>
      </c>
      <c r="AX343" s="41">
        <f>IF(AND(AE343&lt;&gt;"",1-(AE343/N343)&gt;0),1-(AE343/N343),"")</f>
        <v>0.94568690095846641</v>
      </c>
      <c r="AY343" s="136" t="str">
        <f>IF(P343="","",IF(P343&lt;2.5,"Alc. Bruta &lt; 2,5 mg/L",IF(P343&lt;5,"2,5 ≤ Alc. Bruta &lt; 5,0 mg/L",IF(P343&lt;7.5,"5,0 ≤ Alc. Bruta &lt; 7,5 mg/L",IF(P343&lt;10,"7,5 ≤ Alc. Bruta &lt; 10,0 mg/L",IF(P343&lt;15,"10,0 ≤ Alca. Bruta &lt; 15,0 mg/L","Alc. Bruta &gt; 15 mg/L"))))))</f>
        <v>5,0 ≤ Alc. Bruta &lt; 7,5 mg/L</v>
      </c>
      <c r="AZ343" s="136" t="str">
        <f>IF(O343="","",IF(O343&lt;5,"Cor &lt;5 uC",IF(O343&lt;10,"5 ≤ Cor &lt; 10 uC",IF(O343&lt;15,"10 ≤ Cor &lt;15 uC",IF(O343&lt;30,"15 ≤ Cor &lt; 30 uC",IF(O343&lt;50,"30 ≤ Cor &lt; 50 uC","Cor &gt; 50 uC"))))))</f>
        <v>15 ≤ Cor &lt; 30 uC</v>
      </c>
      <c r="BA343" s="137" t="str">
        <f>IF(N343="","",IF(N343&lt;2.5,"Turbidez &lt; 2,5 uT",IF(N343&lt;5,"2,5 ≤ Turb &lt; 5,0 uT",IF(N343&lt;7.5,"5,0 ≤ Turb &lt; 7,5 uT",IF(N343&lt;10,"7,5 ≤ Turb &lt; 10,0 uT",IF(N343&lt;15,"10,0 ≤ Turb &lt; 15,0 uT","Turb &gt; 15 uT"))))))</f>
        <v>2,5 ≤ Turb &lt; 5,0 uT</v>
      </c>
      <c r="BB343" s="138" t="str">
        <f>IF(AND(C343&gt;D343,D343&gt;E343),"TOR &gt; SM &gt; BNN",IF(AND(C343&gt;E343,E343&gt;D343),"TOR &gt; BNN &gt; SM",IF(AND(D343&gt;C343,C343&gt;E343),"SM &gt; TOR &gt; BNN",IF(AND(D343&gt;E343,E343&gt;C343),"SM &gt; BNN &gt; TOR",IF(AND(C343=D343,D343=E343),"TOR = SM = BNN","Comb. diferentes")))))</f>
        <v>TOR &gt; BNN &gt; SM</v>
      </c>
      <c r="BC343" s="137" t="str">
        <f>IF(OR(AD343="",AP343="-"),"",IF(AD343&lt;=0.25,"Tipo 1 (≤0,25) uT",IF(AD343&lt;=0.5,"Tipo 2 (0,25-0,50) uT",IF(AD343&lt;=0.75,"Tipo 3 (0,50-0,75) uT","Tipo 4 (&gt;0,75) uT"))))</f>
        <v>Tipo 1 (≤0,25) uT</v>
      </c>
      <c r="BD343" s="137" t="str">
        <f>IF(OR(AO343="",AY343="-"),"",IF(AO343&lt;=0.25,"Tipo 1 (≤0,25) uT",IF(AO343&lt;=0.5,"Tipo 2 (0,25-0,50) uT",IF(AO343&lt;=0.75,"Tipo 3 (0,50-0,75) uT","Tipo 4 (&gt;0,75) uT"))))</f>
        <v>Tipo 1 (≤0,25) uT</v>
      </c>
      <c r="BE343" s="137" t="str">
        <f>IF(OR(AE343="",AP343="-"),"",IF(AE343&lt;=0.25,"Tipo 1 (≤0,25) uT",IF(AE343&lt;=0.5,"Tipo 2 (0,25-0,50) uT",IF(AE343&lt;=0.75,"Tipo 3 (0,50-0,75) uT","Tipo 4 (&gt;0,75) uT"))))</f>
        <v>Tipo 1 (≤0,25) uT</v>
      </c>
      <c r="BF343" s="137" t="str">
        <f>IF(OR(AP343="",AP343="-"),"",IF(AP343&lt;=0.25,"Tipo 1 (≤0,25) uT",IF(AP343&lt;=0.5,"Tipo 2 (0,25-0,50) uT",IF(AP343&lt;=0.75,"Tipo 3 (0,50-0,75) uT","Tipo 4 (&gt;0,75) uT"))))</f>
        <v>Tipo 2 (0,25-0,50) uT</v>
      </c>
      <c r="BG343" s="137" t="str">
        <f>IF(OR(Q343="",Q343="-"),"",IF(Q343&lt;=0.25,"Tipo 1 (≤0,25) uT",IF(Q343&lt;=0.5,"Tipo 2 (0,25-0,50) uT",IF(Q343&lt;=0.75,"Tipo 3 (0,50-0,75) uT","Tipo 4 (&gt;0,75) uT"))))</f>
        <v>Tipo 1 (≤0,25) uT</v>
      </c>
    </row>
    <row r="344" spans="1:59" x14ac:dyDescent="0.3">
      <c r="A344" s="26">
        <v>46162</v>
      </c>
      <c r="B344" s="107">
        <v>0.8125</v>
      </c>
      <c r="C344" s="116">
        <v>1545</v>
      </c>
      <c r="D344" s="116">
        <v>88</v>
      </c>
      <c r="E344" s="116">
        <v>498</v>
      </c>
      <c r="F344" s="116">
        <v>2258</v>
      </c>
      <c r="G344" s="10" t="s">
        <v>100</v>
      </c>
      <c r="H344" s="122">
        <v>7.3</v>
      </c>
      <c r="I344" s="116">
        <v>90</v>
      </c>
      <c r="J344" s="116">
        <v>90</v>
      </c>
      <c r="K344" s="116">
        <v>90</v>
      </c>
      <c r="L344" s="122">
        <v>24.9</v>
      </c>
      <c r="M344" s="122">
        <v>6.9</v>
      </c>
      <c r="N344" s="79">
        <v>3.88</v>
      </c>
      <c r="O344" s="116">
        <v>20</v>
      </c>
      <c r="P344" s="122">
        <v>4.9000000000000004</v>
      </c>
      <c r="Q344" s="79">
        <v>0.08</v>
      </c>
      <c r="R344" s="79">
        <v>22.36</v>
      </c>
      <c r="S344" s="79">
        <v>0.88</v>
      </c>
      <c r="T344" s="79">
        <v>0.7</v>
      </c>
      <c r="U344" s="85">
        <f t="shared" si="38"/>
        <v>1783.8200000000002</v>
      </c>
      <c r="V344" s="79">
        <f t="shared" si="39"/>
        <v>1447.7334393599999</v>
      </c>
      <c r="W344" s="79">
        <f t="shared" si="40"/>
        <v>0.81159166247715564</v>
      </c>
      <c r="X344" s="116">
        <v>3</v>
      </c>
      <c r="Y344" s="116">
        <v>4</v>
      </c>
      <c r="Z344" s="122">
        <v>6.48</v>
      </c>
      <c r="AA344" s="116">
        <v>18</v>
      </c>
      <c r="AB344" s="122">
        <v>6.5</v>
      </c>
      <c r="AC344" s="122">
        <v>5.3</v>
      </c>
      <c r="AD344" s="10">
        <v>0.15</v>
      </c>
      <c r="AE344" s="79">
        <v>0.17</v>
      </c>
      <c r="AF344" s="85">
        <f t="shared" si="41"/>
        <v>1783.8200000000002</v>
      </c>
      <c r="AG344" s="85">
        <f t="shared" si="42"/>
        <v>1842.7752959199995</v>
      </c>
      <c r="AH344" s="85">
        <f t="shared" si="43"/>
        <v>1.0330500251819126</v>
      </c>
      <c r="AI344" s="116">
        <v>2</v>
      </c>
      <c r="AJ344" s="116">
        <v>4</v>
      </c>
      <c r="AK344" s="79">
        <v>6.46</v>
      </c>
      <c r="AL344" s="79">
        <v>23</v>
      </c>
      <c r="AM344" s="122">
        <v>6.5</v>
      </c>
      <c r="AN344" s="122">
        <v>5.6</v>
      </c>
      <c r="AO344" s="79">
        <v>7.0000000000000007E-2</v>
      </c>
      <c r="AP344" s="127">
        <v>0.28000000000000003</v>
      </c>
      <c r="AQ344" s="132">
        <f t="shared" si="44"/>
        <v>2131</v>
      </c>
      <c r="AR344" s="134">
        <f t="shared" si="45"/>
        <v>0.72501173158141718</v>
      </c>
      <c r="AS344" s="134">
        <f t="shared" si="46"/>
        <v>4.1295166588456125E-2</v>
      </c>
      <c r="AT344" s="134">
        <f t="shared" si="47"/>
        <v>0.2336931018301267</v>
      </c>
      <c r="AU344" s="43">
        <f>IF(AND(F344&lt;&gt;"",Y344&lt;&gt;""),AA344/(F344/2/Y344),"")</f>
        <v>6.3773250664304698E-2</v>
      </c>
      <c r="AV344" s="43">
        <f>IF(AND(F344&lt;&gt;"",AJ344&lt;&gt;""),AL344/(F344/2/AJ344),"")</f>
        <v>8.1488042515500445E-2</v>
      </c>
      <c r="AW344" s="41">
        <f>IF(AND(AP344&lt;&gt;"",1-(AP344/N344)&gt;0),1-(AP344/N344),"")</f>
        <v>0.92783505154639179</v>
      </c>
      <c r="AX344" s="41">
        <f>IF(AND(AE344&lt;&gt;"",1-(AE344/N344)&gt;0),1-(AE344/N344),"")</f>
        <v>0.95618556701030932</v>
      </c>
      <c r="AY344" s="136" t="str">
        <f>IF(P344="","",IF(P344&lt;2.5,"Alc. Bruta &lt; 2,5 mg/L",IF(P344&lt;5,"2,5 ≤ Alc. Bruta &lt; 5,0 mg/L",IF(P344&lt;7.5,"5,0 ≤ Alc. Bruta &lt; 7,5 mg/L",IF(P344&lt;10,"7,5 ≤ Alc. Bruta &lt; 10,0 mg/L",IF(P344&lt;15,"10,0 ≤ Alca. Bruta &lt; 15,0 mg/L","Alc. Bruta &gt; 15 mg/L"))))))</f>
        <v>2,5 ≤ Alc. Bruta &lt; 5,0 mg/L</v>
      </c>
      <c r="AZ344" s="136" t="str">
        <f>IF(O344="","",IF(O344&lt;5,"Cor &lt;5 uC",IF(O344&lt;10,"5 ≤ Cor &lt; 10 uC",IF(O344&lt;15,"10 ≤ Cor &lt;15 uC",IF(O344&lt;30,"15 ≤ Cor &lt; 30 uC",IF(O344&lt;50,"30 ≤ Cor &lt; 50 uC","Cor &gt; 50 uC"))))))</f>
        <v>15 ≤ Cor &lt; 30 uC</v>
      </c>
      <c r="BA344" s="137" t="str">
        <f>IF(N344="","",IF(N344&lt;2.5,"Turbidez &lt; 2,5 uT",IF(N344&lt;5,"2,5 ≤ Turb &lt; 5,0 uT",IF(N344&lt;7.5,"5,0 ≤ Turb &lt; 7,5 uT",IF(N344&lt;10,"7,5 ≤ Turb &lt; 10,0 uT",IF(N344&lt;15,"10,0 ≤ Turb &lt; 15,0 uT","Turb &gt; 15 uT"))))))</f>
        <v>2,5 ≤ Turb &lt; 5,0 uT</v>
      </c>
      <c r="BB344" s="138" t="str">
        <f>IF(AND(C344&gt;D344,D344&gt;E344),"TOR &gt; SM &gt; BNN",IF(AND(C344&gt;E344,E344&gt;D344),"TOR &gt; BNN &gt; SM",IF(AND(D344&gt;C344,C344&gt;E344),"SM &gt; TOR &gt; BNN",IF(AND(D344&gt;E344,E344&gt;C344),"SM &gt; BNN &gt; TOR",IF(AND(C344=D344,D344=E344),"TOR = SM = BNN","Comb. diferentes")))))</f>
        <v>TOR &gt; BNN &gt; SM</v>
      </c>
      <c r="BC344" s="137" t="str">
        <f>IF(OR(AD344="",AP344="-"),"",IF(AD344&lt;=0.25,"Tipo 1 (≤0,25) uT",IF(AD344&lt;=0.5,"Tipo 2 (0,25-0,50) uT",IF(AD344&lt;=0.75,"Tipo 3 (0,50-0,75) uT","Tipo 4 (&gt;0,75) uT"))))</f>
        <v>Tipo 1 (≤0,25) uT</v>
      </c>
      <c r="BD344" s="137" t="str">
        <f>IF(OR(AO344="",AY344="-"),"",IF(AO344&lt;=0.25,"Tipo 1 (≤0,25) uT",IF(AO344&lt;=0.5,"Tipo 2 (0,25-0,50) uT",IF(AO344&lt;=0.75,"Tipo 3 (0,50-0,75) uT","Tipo 4 (&gt;0,75) uT"))))</f>
        <v>Tipo 1 (≤0,25) uT</v>
      </c>
      <c r="BE344" s="137" t="str">
        <f>IF(OR(AE344="",AP344="-"),"",IF(AE344&lt;=0.25,"Tipo 1 (≤0,25) uT",IF(AE344&lt;=0.5,"Tipo 2 (0,25-0,50) uT",IF(AE344&lt;=0.75,"Tipo 3 (0,50-0,75) uT","Tipo 4 (&gt;0,75) uT"))))</f>
        <v>Tipo 1 (≤0,25) uT</v>
      </c>
      <c r="BF344" s="137" t="str">
        <f>IF(OR(AP344="",AP344="-"),"",IF(AP344&lt;=0.25,"Tipo 1 (≤0,25) uT",IF(AP344&lt;=0.5,"Tipo 2 (0,25-0,50) uT",IF(AP344&lt;=0.75,"Tipo 3 (0,50-0,75) uT","Tipo 4 (&gt;0,75) uT"))))</f>
        <v>Tipo 2 (0,25-0,50) uT</v>
      </c>
      <c r="BG344" s="137" t="str">
        <f>IF(OR(Q344="",Q344="-"),"",IF(Q344&lt;=0.25,"Tipo 1 (≤0,25) uT",IF(Q344&lt;=0.5,"Tipo 2 (0,25-0,50) uT",IF(Q344&lt;=0.75,"Tipo 3 (0,50-0,75) uT","Tipo 4 (&gt;0,75) uT"))))</f>
        <v>Tipo 1 (≤0,25) uT</v>
      </c>
    </row>
    <row r="345" spans="1:59" x14ac:dyDescent="0.3">
      <c r="A345" s="26">
        <v>46162</v>
      </c>
      <c r="B345" s="107">
        <v>0.89583333333333337</v>
      </c>
      <c r="C345" s="116">
        <v>1480</v>
      </c>
      <c r="D345" s="116">
        <v>87</v>
      </c>
      <c r="E345" s="116">
        <v>499</v>
      </c>
      <c r="F345" s="116">
        <v>2261</v>
      </c>
      <c r="G345" s="10" t="s">
        <v>100</v>
      </c>
      <c r="H345" s="122">
        <v>7.3</v>
      </c>
      <c r="I345" s="116">
        <v>90</v>
      </c>
      <c r="J345" s="116">
        <v>90</v>
      </c>
      <c r="K345" s="116">
        <v>90</v>
      </c>
      <c r="L345" s="122">
        <v>24.3</v>
      </c>
      <c r="M345" s="122">
        <v>6.7</v>
      </c>
      <c r="N345" s="79">
        <v>3.23</v>
      </c>
      <c r="O345" s="116">
        <v>16</v>
      </c>
      <c r="P345" s="122">
        <v>5.8</v>
      </c>
      <c r="Q345" s="79">
        <v>0.08</v>
      </c>
      <c r="R345" s="79">
        <v>22.36</v>
      </c>
      <c r="S345" s="79">
        <v>0.88</v>
      </c>
      <c r="T345" s="79">
        <v>0.7</v>
      </c>
      <c r="U345" s="85">
        <f t="shared" si="38"/>
        <v>1602.4837499999999</v>
      </c>
      <c r="V345" s="79">
        <f t="shared" si="39"/>
        <v>1436.6105020800001</v>
      </c>
      <c r="W345" s="79">
        <f t="shared" si="40"/>
        <v>0.89648990330167166</v>
      </c>
      <c r="X345" s="116">
        <v>3</v>
      </c>
      <c r="Y345" s="116">
        <v>4</v>
      </c>
      <c r="Z345" s="122">
        <v>6.44</v>
      </c>
      <c r="AA345" s="116">
        <v>18</v>
      </c>
      <c r="AB345" s="122">
        <v>6.5</v>
      </c>
      <c r="AC345" s="122">
        <v>5.3</v>
      </c>
      <c r="AD345" s="10">
        <v>0.21</v>
      </c>
      <c r="AE345" s="79">
        <v>0.17</v>
      </c>
      <c r="AF345" s="85">
        <f t="shared" si="41"/>
        <v>1602.4837499999999</v>
      </c>
      <c r="AG345" s="85">
        <f t="shared" si="42"/>
        <v>1839.2221353999998</v>
      </c>
      <c r="AH345" s="85">
        <f t="shared" si="43"/>
        <v>1.1477321597800914</v>
      </c>
      <c r="AI345" s="116">
        <v>2</v>
      </c>
      <c r="AJ345" s="116">
        <v>4</v>
      </c>
      <c r="AK345" s="79">
        <v>6.45</v>
      </c>
      <c r="AL345" s="79">
        <v>23</v>
      </c>
      <c r="AM345" s="122">
        <v>6.5</v>
      </c>
      <c r="AN345" s="122">
        <v>5.5</v>
      </c>
      <c r="AO345" s="79">
        <v>0.13</v>
      </c>
      <c r="AP345" s="127">
        <v>0.2</v>
      </c>
      <c r="AQ345" s="132">
        <f t="shared" si="44"/>
        <v>2066</v>
      </c>
      <c r="AR345" s="134">
        <f t="shared" si="45"/>
        <v>0.7163601161665053</v>
      </c>
      <c r="AS345" s="134">
        <f t="shared" si="46"/>
        <v>4.211035818005808E-2</v>
      </c>
      <c r="AT345" s="134">
        <f t="shared" si="47"/>
        <v>0.24152952565343661</v>
      </c>
      <c r="AU345" s="43">
        <f>IF(AND(F345&lt;&gt;"",Y345&lt;&gt;""),AA345/(F345/2/Y345),"")</f>
        <v>6.3688633348076076E-2</v>
      </c>
      <c r="AV345" s="43">
        <f>IF(AND(F345&lt;&gt;"",AJ345&lt;&gt;""),AL345/(F345/2/AJ345),"")</f>
        <v>8.1379920389208313E-2</v>
      </c>
      <c r="AW345" s="41">
        <f>IF(AND(AP345&lt;&gt;"",1-(AP345/N345)&gt;0),1-(AP345/N345),"")</f>
        <v>0.9380804953560371</v>
      </c>
      <c r="AX345" s="41">
        <f>IF(AND(AE345&lt;&gt;"",1-(AE345/N345)&gt;0),1-(AE345/N345),"")</f>
        <v>0.94736842105263153</v>
      </c>
      <c r="AY345" s="136" t="str">
        <f>IF(P345="","",IF(P345&lt;2.5,"Alc. Bruta &lt; 2,5 mg/L",IF(P345&lt;5,"2,5 ≤ Alc. Bruta &lt; 5,0 mg/L",IF(P345&lt;7.5,"5,0 ≤ Alc. Bruta &lt; 7,5 mg/L",IF(P345&lt;10,"7,5 ≤ Alc. Bruta &lt; 10,0 mg/L",IF(P345&lt;15,"10,0 ≤ Alca. Bruta &lt; 15,0 mg/L","Alc. Bruta &gt; 15 mg/L"))))))</f>
        <v>5,0 ≤ Alc. Bruta &lt; 7,5 mg/L</v>
      </c>
      <c r="AZ345" s="136" t="str">
        <f>IF(O345="","",IF(O345&lt;5,"Cor &lt;5 uC",IF(O345&lt;10,"5 ≤ Cor &lt; 10 uC",IF(O345&lt;15,"10 ≤ Cor &lt;15 uC",IF(O345&lt;30,"15 ≤ Cor &lt; 30 uC",IF(O345&lt;50,"30 ≤ Cor &lt; 50 uC","Cor &gt; 50 uC"))))))</f>
        <v>15 ≤ Cor &lt; 30 uC</v>
      </c>
      <c r="BA345" s="137" t="str">
        <f>IF(N345="","",IF(N345&lt;2.5,"Turbidez &lt; 2,5 uT",IF(N345&lt;5,"2,5 ≤ Turb &lt; 5,0 uT",IF(N345&lt;7.5,"5,0 ≤ Turb &lt; 7,5 uT",IF(N345&lt;10,"7,5 ≤ Turb &lt; 10,0 uT",IF(N345&lt;15,"10,0 ≤ Turb &lt; 15,0 uT","Turb &gt; 15 uT"))))))</f>
        <v>2,5 ≤ Turb &lt; 5,0 uT</v>
      </c>
      <c r="BB345" s="138" t="str">
        <f>IF(AND(C345&gt;D345,D345&gt;E345),"TOR &gt; SM &gt; BNN",IF(AND(C345&gt;E345,E345&gt;D345),"TOR &gt; BNN &gt; SM",IF(AND(D345&gt;C345,C345&gt;E345),"SM &gt; TOR &gt; BNN",IF(AND(D345&gt;E345,E345&gt;C345),"SM &gt; BNN &gt; TOR",IF(AND(C345=D345,D345=E345),"TOR = SM = BNN","Comb. diferentes")))))</f>
        <v>TOR &gt; BNN &gt; SM</v>
      </c>
      <c r="BC345" s="137" t="str">
        <f>IF(OR(AD345="",AP345="-"),"",IF(AD345&lt;=0.25,"Tipo 1 (≤0,25) uT",IF(AD345&lt;=0.5,"Tipo 2 (0,25-0,50) uT",IF(AD345&lt;=0.75,"Tipo 3 (0,50-0,75) uT","Tipo 4 (&gt;0,75) uT"))))</f>
        <v>Tipo 1 (≤0,25) uT</v>
      </c>
      <c r="BD345" s="137" t="str">
        <f>IF(OR(AO345="",AY345="-"),"",IF(AO345&lt;=0.25,"Tipo 1 (≤0,25) uT",IF(AO345&lt;=0.5,"Tipo 2 (0,25-0,50) uT",IF(AO345&lt;=0.75,"Tipo 3 (0,50-0,75) uT","Tipo 4 (&gt;0,75) uT"))))</f>
        <v>Tipo 1 (≤0,25) uT</v>
      </c>
      <c r="BE345" s="137" t="str">
        <f>IF(OR(AE345="",AP345="-"),"",IF(AE345&lt;=0.25,"Tipo 1 (≤0,25) uT",IF(AE345&lt;=0.5,"Tipo 2 (0,25-0,50) uT",IF(AE345&lt;=0.75,"Tipo 3 (0,50-0,75) uT","Tipo 4 (&gt;0,75) uT"))))</f>
        <v>Tipo 1 (≤0,25) uT</v>
      </c>
      <c r="BF345" s="137" t="str">
        <f>IF(OR(AP345="",AP345="-"),"",IF(AP345&lt;=0.25,"Tipo 1 (≤0,25) uT",IF(AP345&lt;=0.5,"Tipo 2 (0,25-0,50) uT",IF(AP345&lt;=0.75,"Tipo 3 (0,50-0,75) uT","Tipo 4 (&gt;0,75) uT"))))</f>
        <v>Tipo 1 (≤0,25) uT</v>
      </c>
      <c r="BG345" s="137" t="str">
        <f>IF(OR(Q345="",Q345="-"),"",IF(Q345&lt;=0.25,"Tipo 1 (≤0,25) uT",IF(Q345&lt;=0.5,"Tipo 2 (0,25-0,50) uT",IF(Q345&lt;=0.75,"Tipo 3 (0,50-0,75) uT","Tipo 4 (&gt;0,75) uT"))))</f>
        <v>Tipo 1 (≤0,25) uT</v>
      </c>
    </row>
    <row r="346" spans="1:59" x14ac:dyDescent="0.3">
      <c r="A346" s="26">
        <v>46163</v>
      </c>
      <c r="B346" s="107">
        <v>6.25E-2</v>
      </c>
      <c r="C346" s="116">
        <v>1555</v>
      </c>
      <c r="D346" s="116">
        <v>83</v>
      </c>
      <c r="E346" s="116">
        <v>500</v>
      </c>
      <c r="F346" s="116">
        <v>2251</v>
      </c>
      <c r="G346" s="10" t="s">
        <v>100</v>
      </c>
      <c r="H346" s="122">
        <v>7.3</v>
      </c>
      <c r="I346" s="116">
        <v>90</v>
      </c>
      <c r="J346" s="116">
        <v>90</v>
      </c>
      <c r="K346" s="116">
        <v>90</v>
      </c>
      <c r="L346" s="122">
        <v>24.2</v>
      </c>
      <c r="M346" s="122">
        <v>6.7</v>
      </c>
      <c r="N346" s="79">
        <v>3.57</v>
      </c>
      <c r="O346" s="116">
        <v>15</v>
      </c>
      <c r="P346" s="122">
        <v>4.5</v>
      </c>
      <c r="Q346" s="79">
        <v>7.0000000000000007E-2</v>
      </c>
      <c r="R346" s="79">
        <v>22.36</v>
      </c>
      <c r="S346" s="79">
        <v>0.88</v>
      </c>
      <c r="T346" s="79">
        <v>0.7</v>
      </c>
      <c r="U346" s="85">
        <f t="shared" si="38"/>
        <v>1691.06375</v>
      </c>
      <c r="V346" s="79">
        <f t="shared" si="39"/>
        <v>1447.7334393599999</v>
      </c>
      <c r="W346" s="79">
        <f t="shared" si="40"/>
        <v>0.85610813865532853</v>
      </c>
      <c r="X346" s="116">
        <v>3</v>
      </c>
      <c r="Y346" s="116">
        <v>4</v>
      </c>
      <c r="Z346" s="122">
        <v>6.48</v>
      </c>
      <c r="AA346" s="116">
        <v>18</v>
      </c>
      <c r="AB346" s="122">
        <v>6.5</v>
      </c>
      <c r="AC346" s="122">
        <v>5.2</v>
      </c>
      <c r="AD346" s="10">
        <v>0.22</v>
      </c>
      <c r="AE346" s="79">
        <v>0.15</v>
      </c>
      <c r="AF346" s="85">
        <f t="shared" si="41"/>
        <v>1691.06375</v>
      </c>
      <c r="AG346" s="85">
        <f t="shared" si="42"/>
        <v>1828.5626538399999</v>
      </c>
      <c r="AH346" s="85">
        <f t="shared" si="43"/>
        <v>1.0813091190914594</v>
      </c>
      <c r="AI346" s="116">
        <v>2</v>
      </c>
      <c r="AJ346" s="116">
        <v>4</v>
      </c>
      <c r="AK346" s="79">
        <v>6.42</v>
      </c>
      <c r="AL346" s="79">
        <v>23</v>
      </c>
      <c r="AM346" s="122">
        <v>6.4</v>
      </c>
      <c r="AN346" s="122">
        <v>5.3</v>
      </c>
      <c r="AO346" s="79">
        <v>0.1</v>
      </c>
      <c r="AP346" s="127">
        <v>0.26</v>
      </c>
      <c r="AQ346" s="132">
        <f t="shared" si="44"/>
        <v>2138</v>
      </c>
      <c r="AR346" s="134">
        <f t="shared" si="45"/>
        <v>0.72731524789522917</v>
      </c>
      <c r="AS346" s="134">
        <f t="shared" si="46"/>
        <v>3.8821328344246959E-2</v>
      </c>
      <c r="AT346" s="134">
        <f t="shared" si="47"/>
        <v>0.23386342376052385</v>
      </c>
      <c r="AU346" s="43">
        <f>IF(AND(F346&lt;&gt;"",Y346&lt;&gt;""),AA346/(F346/2/Y346),"")</f>
        <v>6.3971568191914699E-2</v>
      </c>
      <c r="AV346" s="43">
        <f>IF(AND(F346&lt;&gt;"",AJ346&lt;&gt;""),AL346/(F346/2/AJ346),"")</f>
        <v>8.1741448245224349E-2</v>
      </c>
      <c r="AW346" s="41">
        <f>IF(AND(AP346&lt;&gt;"",1-(AP346/N346)&gt;0),1-(AP346/N346),"")</f>
        <v>0.92717086834733897</v>
      </c>
      <c r="AX346" s="41">
        <f>IF(AND(AE346&lt;&gt;"",1-(AE346/N346)&gt;0),1-(AE346/N346),"")</f>
        <v>0.95798319327731096</v>
      </c>
      <c r="AY346" s="136" t="str">
        <f>IF(P346="","",IF(P346&lt;2.5,"Alc. Bruta &lt; 2,5 mg/L",IF(P346&lt;5,"2,5 ≤ Alc. Bruta &lt; 5,0 mg/L",IF(P346&lt;7.5,"5,0 ≤ Alc. Bruta &lt; 7,5 mg/L",IF(P346&lt;10,"7,5 ≤ Alc. Bruta &lt; 10,0 mg/L",IF(P346&lt;15,"10,0 ≤ Alca. Bruta &lt; 15,0 mg/L","Alc. Bruta &gt; 15 mg/L"))))))</f>
        <v>2,5 ≤ Alc. Bruta &lt; 5,0 mg/L</v>
      </c>
      <c r="AZ346" s="136" t="str">
        <f>IF(O346="","",IF(O346&lt;5,"Cor &lt;5 uC",IF(O346&lt;10,"5 ≤ Cor &lt; 10 uC",IF(O346&lt;15,"10 ≤ Cor &lt;15 uC",IF(O346&lt;30,"15 ≤ Cor &lt; 30 uC",IF(O346&lt;50,"30 ≤ Cor &lt; 50 uC","Cor &gt; 50 uC"))))))</f>
        <v>15 ≤ Cor &lt; 30 uC</v>
      </c>
      <c r="BA346" s="137" t="str">
        <f>IF(N346="","",IF(N346&lt;2.5,"Turbidez &lt; 2,5 uT",IF(N346&lt;5,"2,5 ≤ Turb &lt; 5,0 uT",IF(N346&lt;7.5,"5,0 ≤ Turb &lt; 7,5 uT",IF(N346&lt;10,"7,5 ≤ Turb &lt; 10,0 uT",IF(N346&lt;15,"10,0 ≤ Turb &lt; 15,0 uT","Turb &gt; 15 uT"))))))</f>
        <v>2,5 ≤ Turb &lt; 5,0 uT</v>
      </c>
      <c r="BB346" s="138" t="str">
        <f>IF(AND(C346&gt;D346,D346&gt;E346),"TOR &gt; SM &gt; BNN",IF(AND(C346&gt;E346,E346&gt;D346),"TOR &gt; BNN &gt; SM",IF(AND(D346&gt;C346,C346&gt;E346),"SM &gt; TOR &gt; BNN",IF(AND(D346&gt;E346,E346&gt;C346),"SM &gt; BNN &gt; TOR",IF(AND(C346=D346,D346=E346),"TOR = SM = BNN","Comb. diferentes")))))</f>
        <v>TOR &gt; BNN &gt; SM</v>
      </c>
      <c r="BC346" s="137" t="str">
        <f>IF(OR(AD346="",AP346="-"),"",IF(AD346&lt;=0.25,"Tipo 1 (≤0,25) uT",IF(AD346&lt;=0.5,"Tipo 2 (0,25-0,50) uT",IF(AD346&lt;=0.75,"Tipo 3 (0,50-0,75) uT","Tipo 4 (&gt;0,75) uT"))))</f>
        <v>Tipo 1 (≤0,25) uT</v>
      </c>
      <c r="BD346" s="137" t="str">
        <f>IF(OR(AO346="",AY346="-"),"",IF(AO346&lt;=0.25,"Tipo 1 (≤0,25) uT",IF(AO346&lt;=0.5,"Tipo 2 (0,25-0,50) uT",IF(AO346&lt;=0.75,"Tipo 3 (0,50-0,75) uT","Tipo 4 (&gt;0,75) uT"))))</f>
        <v>Tipo 1 (≤0,25) uT</v>
      </c>
      <c r="BE346" s="137" t="str">
        <f>IF(OR(AE346="",AP346="-"),"",IF(AE346&lt;=0.25,"Tipo 1 (≤0,25) uT",IF(AE346&lt;=0.5,"Tipo 2 (0,25-0,50) uT",IF(AE346&lt;=0.75,"Tipo 3 (0,50-0,75) uT","Tipo 4 (&gt;0,75) uT"))))</f>
        <v>Tipo 1 (≤0,25) uT</v>
      </c>
      <c r="BF346" s="137" t="str">
        <f>IF(OR(AP346="",AP346="-"),"",IF(AP346&lt;=0.25,"Tipo 1 (≤0,25) uT",IF(AP346&lt;=0.5,"Tipo 2 (0,25-0,50) uT",IF(AP346&lt;=0.75,"Tipo 3 (0,50-0,75) uT","Tipo 4 (&gt;0,75) uT"))))</f>
        <v>Tipo 2 (0,25-0,50) uT</v>
      </c>
      <c r="BG346" s="137" t="str">
        <f>IF(OR(Q346="",Q346="-"),"",IF(Q346&lt;=0.25,"Tipo 1 (≤0,25) uT",IF(Q346&lt;=0.5,"Tipo 2 (0,25-0,50) uT",IF(Q346&lt;=0.75,"Tipo 3 (0,50-0,75) uT","Tipo 4 (&gt;0,75) uT"))))</f>
        <v>Tipo 1 (≤0,25) uT</v>
      </c>
    </row>
    <row r="347" spans="1:59" x14ac:dyDescent="0.3">
      <c r="A347" s="26">
        <v>46163</v>
      </c>
      <c r="B347" s="107">
        <v>0.14583333333333334</v>
      </c>
      <c r="C347" s="116">
        <v>1513</v>
      </c>
      <c r="D347" s="116">
        <v>79</v>
      </c>
      <c r="E347" s="116">
        <v>500</v>
      </c>
      <c r="F347" s="116">
        <v>2170</v>
      </c>
      <c r="G347" s="10" t="s">
        <v>100</v>
      </c>
      <c r="H347" s="122">
        <v>7.3</v>
      </c>
      <c r="I347" s="116">
        <v>90</v>
      </c>
      <c r="J347" s="116">
        <v>90</v>
      </c>
      <c r="K347" s="116">
        <v>90</v>
      </c>
      <c r="L347" s="122">
        <v>23.8</v>
      </c>
      <c r="M347" s="122">
        <v>6.8</v>
      </c>
      <c r="N347" s="79">
        <v>3.43</v>
      </c>
      <c r="O347" s="116">
        <v>18</v>
      </c>
      <c r="P347" s="122">
        <v>6.1</v>
      </c>
      <c r="Q347" s="79">
        <v>7.0000000000000007E-2</v>
      </c>
      <c r="R347" s="79">
        <v>22.36</v>
      </c>
      <c r="S347" s="79">
        <v>0.88</v>
      </c>
      <c r="T347" s="79">
        <v>0.7</v>
      </c>
      <c r="U347" s="85">
        <f t="shared" si="38"/>
        <v>1592.2375</v>
      </c>
      <c r="V347" s="79">
        <f t="shared" si="39"/>
        <v>1456.0756423199998</v>
      </c>
      <c r="W347" s="79">
        <f t="shared" si="40"/>
        <v>0.91448395250080461</v>
      </c>
      <c r="X347" s="116">
        <v>3</v>
      </c>
      <c r="Y347" s="116">
        <v>4</v>
      </c>
      <c r="Z347" s="122">
        <v>6.51</v>
      </c>
      <c r="AA347" s="116">
        <v>18</v>
      </c>
      <c r="AB347" s="122">
        <v>6.5</v>
      </c>
      <c r="AC347" s="122">
        <v>5.9</v>
      </c>
      <c r="AD347" s="10">
        <v>0.25</v>
      </c>
      <c r="AE347" s="79">
        <v>0.14000000000000001</v>
      </c>
      <c r="AF347" s="85">
        <f t="shared" si="41"/>
        <v>1592.2375</v>
      </c>
      <c r="AG347" s="85">
        <f t="shared" si="42"/>
        <v>1810.7968512399998</v>
      </c>
      <c r="AH347" s="85">
        <f t="shared" si="43"/>
        <v>1.1372655469049058</v>
      </c>
      <c r="AI347" s="116">
        <v>2</v>
      </c>
      <c r="AJ347" s="116">
        <v>4</v>
      </c>
      <c r="AK347" s="79">
        <v>6.37</v>
      </c>
      <c r="AL347" s="79">
        <v>23</v>
      </c>
      <c r="AM347" s="122">
        <v>6.5</v>
      </c>
      <c r="AN347" s="122">
        <v>4.7</v>
      </c>
      <c r="AO347" s="79">
        <v>0.09</v>
      </c>
      <c r="AP347" s="127">
        <v>0.23</v>
      </c>
      <c r="AQ347" s="132">
        <f t="shared" si="44"/>
        <v>2092</v>
      </c>
      <c r="AR347" s="134">
        <f t="shared" si="45"/>
        <v>0.72323135755258128</v>
      </c>
      <c r="AS347" s="134">
        <f t="shared" si="46"/>
        <v>3.7762906309751432E-2</v>
      </c>
      <c r="AT347" s="134">
        <f t="shared" si="47"/>
        <v>0.23900573613766729</v>
      </c>
      <c r="AU347" s="43">
        <f>IF(AND(F347&lt;&gt;"",Y347&lt;&gt;""),AA347/(F347/2/Y347),"")</f>
        <v>6.6359447004608302E-2</v>
      </c>
      <c r="AV347" s="43">
        <f>IF(AND(F347&lt;&gt;"",AJ347&lt;&gt;""),AL347/(F347/2/AJ347),"")</f>
        <v>8.4792626728110596E-2</v>
      </c>
      <c r="AW347" s="41">
        <f>IF(AND(AP347&lt;&gt;"",1-(AP347/N347)&gt;0),1-(AP347/N347),"")</f>
        <v>0.93294460641399413</v>
      </c>
      <c r="AX347" s="41">
        <f>IF(AND(AE347&lt;&gt;"",1-(AE347/N347)&gt;0),1-(AE347/N347),"")</f>
        <v>0.95918367346938771</v>
      </c>
      <c r="AY347" s="136" t="str">
        <f>IF(P347="","",IF(P347&lt;2.5,"Alc. Bruta &lt; 2,5 mg/L",IF(P347&lt;5,"2,5 ≤ Alc. Bruta &lt; 5,0 mg/L",IF(P347&lt;7.5,"5,0 ≤ Alc. Bruta &lt; 7,5 mg/L",IF(P347&lt;10,"7,5 ≤ Alc. Bruta &lt; 10,0 mg/L",IF(P347&lt;15,"10,0 ≤ Alca. Bruta &lt; 15,0 mg/L","Alc. Bruta &gt; 15 mg/L"))))))</f>
        <v>5,0 ≤ Alc. Bruta &lt; 7,5 mg/L</v>
      </c>
      <c r="AZ347" s="136" t="str">
        <f>IF(O347="","",IF(O347&lt;5,"Cor &lt;5 uC",IF(O347&lt;10,"5 ≤ Cor &lt; 10 uC",IF(O347&lt;15,"10 ≤ Cor &lt;15 uC",IF(O347&lt;30,"15 ≤ Cor &lt; 30 uC",IF(O347&lt;50,"30 ≤ Cor &lt; 50 uC","Cor &gt; 50 uC"))))))</f>
        <v>15 ≤ Cor &lt; 30 uC</v>
      </c>
      <c r="BA347" s="137" t="str">
        <f>IF(N347="","",IF(N347&lt;2.5,"Turbidez &lt; 2,5 uT",IF(N347&lt;5,"2,5 ≤ Turb &lt; 5,0 uT",IF(N347&lt;7.5,"5,0 ≤ Turb &lt; 7,5 uT",IF(N347&lt;10,"7,5 ≤ Turb &lt; 10,0 uT",IF(N347&lt;15,"10,0 ≤ Turb &lt; 15,0 uT","Turb &gt; 15 uT"))))))</f>
        <v>2,5 ≤ Turb &lt; 5,0 uT</v>
      </c>
      <c r="BB347" s="138" t="str">
        <f>IF(AND(C347&gt;D347,D347&gt;E347),"TOR &gt; SM &gt; BNN",IF(AND(C347&gt;E347,E347&gt;D347),"TOR &gt; BNN &gt; SM",IF(AND(D347&gt;C347,C347&gt;E347),"SM &gt; TOR &gt; BNN",IF(AND(D347&gt;E347,E347&gt;C347),"SM &gt; BNN &gt; TOR",IF(AND(C347=D347,D347=E347),"TOR = SM = BNN","Comb. diferentes")))))</f>
        <v>TOR &gt; BNN &gt; SM</v>
      </c>
      <c r="BC347" s="137" t="str">
        <f>IF(OR(AD347="",AP347="-"),"",IF(AD347&lt;=0.25,"Tipo 1 (≤0,25) uT",IF(AD347&lt;=0.5,"Tipo 2 (0,25-0,50) uT",IF(AD347&lt;=0.75,"Tipo 3 (0,50-0,75) uT","Tipo 4 (&gt;0,75) uT"))))</f>
        <v>Tipo 1 (≤0,25) uT</v>
      </c>
      <c r="BD347" s="137" t="str">
        <f>IF(OR(AO347="",AY347="-"),"",IF(AO347&lt;=0.25,"Tipo 1 (≤0,25) uT",IF(AO347&lt;=0.5,"Tipo 2 (0,25-0,50) uT",IF(AO347&lt;=0.75,"Tipo 3 (0,50-0,75) uT","Tipo 4 (&gt;0,75) uT"))))</f>
        <v>Tipo 1 (≤0,25) uT</v>
      </c>
      <c r="BE347" s="137" t="str">
        <f>IF(OR(AE347="",AP347="-"),"",IF(AE347&lt;=0.25,"Tipo 1 (≤0,25) uT",IF(AE347&lt;=0.5,"Tipo 2 (0,25-0,50) uT",IF(AE347&lt;=0.75,"Tipo 3 (0,50-0,75) uT","Tipo 4 (&gt;0,75) uT"))))</f>
        <v>Tipo 1 (≤0,25) uT</v>
      </c>
      <c r="BF347" s="137" t="str">
        <f>IF(OR(AP347="",AP347="-"),"",IF(AP347&lt;=0.25,"Tipo 1 (≤0,25) uT",IF(AP347&lt;=0.5,"Tipo 2 (0,25-0,50) uT",IF(AP347&lt;=0.75,"Tipo 3 (0,50-0,75) uT","Tipo 4 (&gt;0,75) uT"))))</f>
        <v>Tipo 1 (≤0,25) uT</v>
      </c>
      <c r="BG347" s="137" t="str">
        <f>IF(OR(Q347="",Q347="-"),"",IF(Q347&lt;=0.25,"Tipo 1 (≤0,25) uT",IF(Q347&lt;=0.5,"Tipo 2 (0,25-0,50) uT",IF(Q347&lt;=0.75,"Tipo 3 (0,50-0,75) uT","Tipo 4 (&gt;0,75) uT"))))</f>
        <v>Tipo 1 (≤0,25) uT</v>
      </c>
    </row>
    <row r="348" spans="1:59" ht="15" thickBot="1" x14ac:dyDescent="0.35">
      <c r="A348" s="26">
        <v>46163</v>
      </c>
      <c r="B348" s="110">
        <v>0.22916666666666666</v>
      </c>
      <c r="C348" s="117">
        <v>1493</v>
      </c>
      <c r="D348" s="117">
        <v>88</v>
      </c>
      <c r="E348" s="117">
        <v>499</v>
      </c>
      <c r="F348" s="117">
        <v>2166</v>
      </c>
      <c r="G348" s="11" t="s">
        <v>100</v>
      </c>
      <c r="H348" s="123">
        <v>7.3</v>
      </c>
      <c r="I348" s="117">
        <v>90</v>
      </c>
      <c r="J348" s="117">
        <v>90</v>
      </c>
      <c r="K348" s="117">
        <v>90</v>
      </c>
      <c r="L348" s="123">
        <v>23.4</v>
      </c>
      <c r="M348" s="123">
        <v>6.8</v>
      </c>
      <c r="N348" s="80">
        <v>3.79</v>
      </c>
      <c r="O348" s="117">
        <v>18</v>
      </c>
      <c r="P348" s="123">
        <v>6.6</v>
      </c>
      <c r="Q348" s="80">
        <v>0.06</v>
      </c>
      <c r="R348" s="79">
        <v>22.36</v>
      </c>
      <c r="S348" s="79">
        <v>0.88</v>
      </c>
      <c r="T348" s="79">
        <v>0.7</v>
      </c>
      <c r="U348" s="85">
        <f t="shared" si="38"/>
        <v>1686.7725</v>
      </c>
      <c r="V348" s="79">
        <f t="shared" si="39"/>
        <v>1453.2949080000001</v>
      </c>
      <c r="W348" s="79">
        <f t="shared" si="40"/>
        <v>0.86158323543927828</v>
      </c>
      <c r="X348" s="117">
        <v>3</v>
      </c>
      <c r="Y348" s="117">
        <v>4</v>
      </c>
      <c r="Z348" s="123">
        <v>6.5</v>
      </c>
      <c r="AA348" s="117">
        <v>18</v>
      </c>
      <c r="AB348" s="123">
        <v>6.5</v>
      </c>
      <c r="AC348" s="123">
        <v>5</v>
      </c>
      <c r="AD348" s="11">
        <v>0.13</v>
      </c>
      <c r="AE348" s="80">
        <v>0.13</v>
      </c>
      <c r="AF348" s="85">
        <f t="shared" si="41"/>
        <v>1686.7725</v>
      </c>
      <c r="AG348" s="85">
        <f t="shared" si="42"/>
        <v>1975.9817089999999</v>
      </c>
      <c r="AH348" s="85">
        <f t="shared" si="43"/>
        <v>1.1714571520462895</v>
      </c>
      <c r="AI348" s="117">
        <v>2</v>
      </c>
      <c r="AJ348" s="117">
        <v>4</v>
      </c>
      <c r="AK348" s="80">
        <v>6.39</v>
      </c>
      <c r="AL348" s="80">
        <v>25</v>
      </c>
      <c r="AM348" s="123">
        <v>6.5</v>
      </c>
      <c r="AN348" s="123">
        <v>4.7</v>
      </c>
      <c r="AO348" s="80">
        <v>0.16</v>
      </c>
      <c r="AP348" s="128">
        <v>0.25</v>
      </c>
      <c r="AQ348" s="132">
        <f t="shared" si="44"/>
        <v>2080</v>
      </c>
      <c r="AR348" s="134">
        <f t="shared" si="45"/>
        <v>0.71778846153846154</v>
      </c>
      <c r="AS348" s="134">
        <f t="shared" si="46"/>
        <v>4.230769230769231E-2</v>
      </c>
      <c r="AT348" s="134">
        <f t="shared" si="47"/>
        <v>0.23990384615384616</v>
      </c>
      <c r="AU348" s="43">
        <f>IF(AND(F348&lt;&gt;"",Y348&lt;&gt;""),AA348/(F348/2/Y348),"")</f>
        <v>6.6481994459833799E-2</v>
      </c>
      <c r="AV348" s="43">
        <f>IF(AND(F348&lt;&gt;"",AJ348&lt;&gt;""),AL348/(F348/2/AJ348),"")</f>
        <v>9.2336103416435833E-2</v>
      </c>
      <c r="AW348" s="41">
        <f>IF(AND(AP348&lt;&gt;"",1-(AP348/N348)&gt;0),1-(AP348/N348),"")</f>
        <v>0.93403693931398413</v>
      </c>
      <c r="AX348" s="41">
        <f>IF(AND(AE348&lt;&gt;"",1-(AE348/N348)&gt;0),1-(AE348/N348),"")</f>
        <v>0.96569920844327173</v>
      </c>
      <c r="AY348" s="136" t="str">
        <f>IF(P348="","",IF(P348&lt;2.5,"Alc. Bruta &lt; 2,5 mg/L",IF(P348&lt;5,"2,5 ≤ Alc. Bruta &lt; 5,0 mg/L",IF(P348&lt;7.5,"5,0 ≤ Alc. Bruta &lt; 7,5 mg/L",IF(P348&lt;10,"7,5 ≤ Alc. Bruta &lt; 10,0 mg/L",IF(P348&lt;15,"10,0 ≤ Alca. Bruta &lt; 15,0 mg/L","Alc. Bruta &gt; 15 mg/L"))))))</f>
        <v>5,0 ≤ Alc. Bruta &lt; 7,5 mg/L</v>
      </c>
      <c r="AZ348" s="136" t="str">
        <f>IF(O348="","",IF(O348&lt;5,"Cor &lt;5 uC",IF(O348&lt;10,"5 ≤ Cor &lt; 10 uC",IF(O348&lt;15,"10 ≤ Cor &lt;15 uC",IF(O348&lt;30,"15 ≤ Cor &lt; 30 uC",IF(O348&lt;50,"30 ≤ Cor &lt; 50 uC","Cor &gt; 50 uC"))))))</f>
        <v>15 ≤ Cor &lt; 30 uC</v>
      </c>
      <c r="BA348" s="137" t="str">
        <f>IF(N348="","",IF(N348&lt;2.5,"Turbidez &lt; 2,5 uT",IF(N348&lt;5,"2,5 ≤ Turb &lt; 5,0 uT",IF(N348&lt;7.5,"5,0 ≤ Turb &lt; 7,5 uT",IF(N348&lt;10,"7,5 ≤ Turb &lt; 10,0 uT",IF(N348&lt;15,"10,0 ≤ Turb &lt; 15,0 uT","Turb &gt; 15 uT"))))))</f>
        <v>2,5 ≤ Turb &lt; 5,0 uT</v>
      </c>
      <c r="BB348" s="138" t="str">
        <f>IF(AND(C348&gt;D348,D348&gt;E348),"TOR &gt; SM &gt; BNN",IF(AND(C348&gt;E348,E348&gt;D348),"TOR &gt; BNN &gt; SM",IF(AND(D348&gt;C348,C348&gt;E348),"SM &gt; TOR &gt; BNN",IF(AND(D348&gt;E348,E348&gt;C348),"SM &gt; BNN &gt; TOR",IF(AND(C348=D348,D348=E348),"TOR = SM = BNN","Comb. diferentes")))))</f>
        <v>TOR &gt; BNN &gt; SM</v>
      </c>
      <c r="BC348" s="137" t="str">
        <f>IF(OR(AD348="",AP348="-"),"",IF(AD348&lt;=0.25,"Tipo 1 (≤0,25) uT",IF(AD348&lt;=0.5,"Tipo 2 (0,25-0,50) uT",IF(AD348&lt;=0.75,"Tipo 3 (0,50-0,75) uT","Tipo 4 (&gt;0,75) uT"))))</f>
        <v>Tipo 1 (≤0,25) uT</v>
      </c>
      <c r="BD348" s="137" t="str">
        <f>IF(OR(AO348="",AY348="-"),"",IF(AO348&lt;=0.25,"Tipo 1 (≤0,25) uT",IF(AO348&lt;=0.5,"Tipo 2 (0,25-0,50) uT",IF(AO348&lt;=0.75,"Tipo 3 (0,50-0,75) uT","Tipo 4 (&gt;0,75) uT"))))</f>
        <v>Tipo 1 (≤0,25) uT</v>
      </c>
      <c r="BE348" s="137" t="str">
        <f>IF(OR(AE348="",AP348="-"),"",IF(AE348&lt;=0.25,"Tipo 1 (≤0,25) uT",IF(AE348&lt;=0.5,"Tipo 2 (0,25-0,50) uT",IF(AE348&lt;=0.75,"Tipo 3 (0,50-0,75) uT","Tipo 4 (&gt;0,75) uT"))))</f>
        <v>Tipo 1 (≤0,25) uT</v>
      </c>
      <c r="BF348" s="137" t="str">
        <f>IF(OR(AP348="",AP348="-"),"",IF(AP348&lt;=0.25,"Tipo 1 (≤0,25) uT",IF(AP348&lt;=0.5,"Tipo 2 (0,25-0,50) uT",IF(AP348&lt;=0.75,"Tipo 3 (0,50-0,75) uT","Tipo 4 (&gt;0,75) uT"))))</f>
        <v>Tipo 1 (≤0,25) uT</v>
      </c>
      <c r="BG348" s="137" t="str">
        <f>IF(OR(Q348="",Q348="-"),"",IF(Q348&lt;=0.25,"Tipo 1 (≤0,25) uT",IF(Q348&lt;=0.5,"Tipo 2 (0,25-0,50) uT",IF(Q348&lt;=0.75,"Tipo 3 (0,50-0,75) uT","Tipo 4 (&gt;0,75) uT"))))</f>
        <v>Tipo 1 (≤0,25) uT</v>
      </c>
    </row>
    <row r="349" spans="1:59" x14ac:dyDescent="0.3">
      <c r="A349" s="26">
        <v>46163</v>
      </c>
      <c r="B349" s="111">
        <v>0.3125</v>
      </c>
      <c r="C349" s="118">
        <v>1191</v>
      </c>
      <c r="D349" s="116">
        <v>87</v>
      </c>
      <c r="E349" s="118">
        <v>500</v>
      </c>
      <c r="F349" s="118">
        <v>1766</v>
      </c>
      <c r="G349" s="9" t="s">
        <v>100</v>
      </c>
      <c r="H349" s="124">
        <v>7.3</v>
      </c>
      <c r="I349" s="118">
        <v>90</v>
      </c>
      <c r="J349" s="118">
        <v>90</v>
      </c>
      <c r="K349" s="118">
        <v>90</v>
      </c>
      <c r="L349" s="124">
        <v>23.6</v>
      </c>
      <c r="M349" s="124">
        <v>6.8</v>
      </c>
      <c r="N349" s="81">
        <v>3.09</v>
      </c>
      <c r="O349" s="118">
        <v>15</v>
      </c>
      <c r="P349" s="124">
        <v>6.5</v>
      </c>
      <c r="Q349" s="81">
        <v>0.06</v>
      </c>
      <c r="R349" s="79">
        <v>22.36</v>
      </c>
      <c r="S349" s="79">
        <v>0.88</v>
      </c>
      <c r="T349" s="79">
        <v>0.7</v>
      </c>
      <c r="U349" s="85">
        <f t="shared" si="38"/>
        <v>1220.7474999999999</v>
      </c>
      <c r="V349" s="79">
        <f t="shared" si="39"/>
        <v>1413.002397066</v>
      </c>
      <c r="W349" s="79">
        <f t="shared" si="40"/>
        <v>1.1574894866186496</v>
      </c>
      <c r="X349" s="118">
        <v>2</v>
      </c>
      <c r="Y349" s="118">
        <v>4</v>
      </c>
      <c r="Z349" s="124">
        <v>6.45</v>
      </c>
      <c r="AA349" s="118">
        <v>17.670000000000002</v>
      </c>
      <c r="AB349" s="124">
        <v>6.5</v>
      </c>
      <c r="AC349" s="124">
        <v>6</v>
      </c>
      <c r="AD349" s="9">
        <v>0.16</v>
      </c>
      <c r="AE349" s="81">
        <v>0.13</v>
      </c>
      <c r="AF349" s="85">
        <f t="shared" si="41"/>
        <v>1627.663333333333</v>
      </c>
      <c r="AG349" s="85">
        <f t="shared" si="42"/>
        <v>1938.3801983519998</v>
      </c>
      <c r="AH349" s="85">
        <f t="shared" si="43"/>
        <v>1.1908975023614632</v>
      </c>
      <c r="AI349" s="118">
        <v>2</v>
      </c>
      <c r="AJ349" s="118">
        <v>3</v>
      </c>
      <c r="AK349" s="81">
        <v>6.45</v>
      </c>
      <c r="AL349" s="81">
        <v>24.24</v>
      </c>
      <c r="AM349" s="124">
        <v>6.4</v>
      </c>
      <c r="AN349" s="124">
        <v>5.9</v>
      </c>
      <c r="AO349" s="81">
        <v>0.21</v>
      </c>
      <c r="AP349" s="129">
        <v>0.22</v>
      </c>
      <c r="AQ349" s="132">
        <f t="shared" si="44"/>
        <v>1778</v>
      </c>
      <c r="AR349" s="134">
        <f t="shared" si="45"/>
        <v>0.66985376827896514</v>
      </c>
      <c r="AS349" s="134">
        <f t="shared" si="46"/>
        <v>4.8931383577052866E-2</v>
      </c>
      <c r="AT349" s="134">
        <f t="shared" si="47"/>
        <v>0.28121484814398201</v>
      </c>
      <c r="AU349" s="43">
        <f>IF(AND(F349&lt;&gt;"",Y349&lt;&gt;""),AA349/(F349/2/Y349),"")</f>
        <v>8.0045300113250284E-2</v>
      </c>
      <c r="AV349" s="43">
        <f>IF(AND(F349&lt;&gt;"",AJ349&lt;&gt;""),AL349/(F349/2/AJ349),"")</f>
        <v>8.2355605889014721E-2</v>
      </c>
      <c r="AW349" s="41">
        <f>IF(AND(AP349&lt;&gt;"",1-(AP349/N349)&gt;0),1-(AP349/N349),"")</f>
        <v>0.92880258899676371</v>
      </c>
      <c r="AX349" s="41">
        <f>IF(AND(AE349&lt;&gt;"",1-(AE349/N349)&gt;0),1-(AE349/N349),"")</f>
        <v>0.95792880258899671</v>
      </c>
      <c r="AY349" s="136" t="str">
        <f>IF(P349="","",IF(P349&lt;2.5,"Alc. Bruta &lt; 2,5 mg/L",IF(P349&lt;5,"2,5 ≤ Alc. Bruta &lt; 5,0 mg/L",IF(P349&lt;7.5,"5,0 ≤ Alc. Bruta &lt; 7,5 mg/L",IF(P349&lt;10,"7,5 ≤ Alc. Bruta &lt; 10,0 mg/L",IF(P349&lt;15,"10,0 ≤ Alca. Bruta &lt; 15,0 mg/L","Alc. Bruta &gt; 15 mg/L"))))))</f>
        <v>5,0 ≤ Alc. Bruta &lt; 7,5 mg/L</v>
      </c>
      <c r="AZ349" s="136" t="str">
        <f>IF(O349="","",IF(O349&lt;5,"Cor &lt;5 uC",IF(O349&lt;10,"5 ≤ Cor &lt; 10 uC",IF(O349&lt;15,"10 ≤ Cor &lt;15 uC",IF(O349&lt;30,"15 ≤ Cor &lt; 30 uC",IF(O349&lt;50,"30 ≤ Cor &lt; 50 uC","Cor &gt; 50 uC"))))))</f>
        <v>15 ≤ Cor &lt; 30 uC</v>
      </c>
      <c r="BA349" s="137" t="str">
        <f>IF(N349="","",IF(N349&lt;2.5,"Turbidez &lt; 2,5 uT",IF(N349&lt;5,"2,5 ≤ Turb &lt; 5,0 uT",IF(N349&lt;7.5,"5,0 ≤ Turb &lt; 7,5 uT",IF(N349&lt;10,"7,5 ≤ Turb &lt; 10,0 uT",IF(N349&lt;15,"10,0 ≤ Turb &lt; 15,0 uT","Turb &gt; 15 uT"))))))</f>
        <v>2,5 ≤ Turb &lt; 5,0 uT</v>
      </c>
      <c r="BB349" s="138" t="str">
        <f>IF(AND(C349&gt;D349,D349&gt;E349),"TOR &gt; SM &gt; BNN",IF(AND(C349&gt;E349,E349&gt;D349),"TOR &gt; BNN &gt; SM",IF(AND(D349&gt;C349,C349&gt;E349),"SM &gt; TOR &gt; BNN",IF(AND(D349&gt;E349,E349&gt;C349),"SM &gt; BNN &gt; TOR",IF(AND(C349=D349,D349=E349),"TOR = SM = BNN","Comb. diferentes")))))</f>
        <v>TOR &gt; BNN &gt; SM</v>
      </c>
      <c r="BC349" s="137" t="str">
        <f>IF(OR(AD349="",AP349="-"),"",IF(AD349&lt;=0.25,"Tipo 1 (≤0,25) uT",IF(AD349&lt;=0.5,"Tipo 2 (0,25-0,50) uT",IF(AD349&lt;=0.75,"Tipo 3 (0,50-0,75) uT","Tipo 4 (&gt;0,75) uT"))))</f>
        <v>Tipo 1 (≤0,25) uT</v>
      </c>
      <c r="BD349" s="137" t="str">
        <f>IF(OR(AO349="",AY349="-"),"",IF(AO349&lt;=0.25,"Tipo 1 (≤0,25) uT",IF(AO349&lt;=0.5,"Tipo 2 (0,25-0,50) uT",IF(AO349&lt;=0.75,"Tipo 3 (0,50-0,75) uT","Tipo 4 (&gt;0,75) uT"))))</f>
        <v>Tipo 1 (≤0,25) uT</v>
      </c>
      <c r="BE349" s="137" t="str">
        <f>IF(OR(AE349="",AP349="-"),"",IF(AE349&lt;=0.25,"Tipo 1 (≤0,25) uT",IF(AE349&lt;=0.5,"Tipo 2 (0,25-0,50) uT",IF(AE349&lt;=0.75,"Tipo 3 (0,50-0,75) uT","Tipo 4 (&gt;0,75) uT"))))</f>
        <v>Tipo 1 (≤0,25) uT</v>
      </c>
      <c r="BF349" s="137" t="str">
        <f>IF(OR(AP349="",AP349="-"),"",IF(AP349&lt;=0.25,"Tipo 1 (≤0,25) uT",IF(AP349&lt;=0.5,"Tipo 2 (0,25-0,50) uT",IF(AP349&lt;=0.75,"Tipo 3 (0,50-0,75) uT","Tipo 4 (&gt;0,75) uT"))))</f>
        <v>Tipo 1 (≤0,25) uT</v>
      </c>
      <c r="BG349" s="137" t="str">
        <f>IF(OR(Q349="",Q349="-"),"",IF(Q349&lt;=0.25,"Tipo 1 (≤0,25) uT",IF(Q349&lt;=0.5,"Tipo 2 (0,25-0,50) uT",IF(Q349&lt;=0.75,"Tipo 3 (0,50-0,75) uT","Tipo 4 (&gt;0,75) uT"))))</f>
        <v>Tipo 1 (≤0,25) uT</v>
      </c>
    </row>
    <row r="350" spans="1:59" x14ac:dyDescent="0.3">
      <c r="A350" s="26">
        <v>46163</v>
      </c>
      <c r="B350" s="107">
        <v>0.39583333333333331</v>
      </c>
      <c r="C350" s="116">
        <v>1182</v>
      </c>
      <c r="D350" s="116">
        <v>80</v>
      </c>
      <c r="E350" s="116">
        <v>500</v>
      </c>
      <c r="F350" s="116">
        <v>1803</v>
      </c>
      <c r="G350" s="10" t="s">
        <v>100</v>
      </c>
      <c r="H350" s="122">
        <v>7.3</v>
      </c>
      <c r="I350" s="116">
        <v>90</v>
      </c>
      <c r="J350" s="116">
        <v>90</v>
      </c>
      <c r="K350" s="116">
        <v>90</v>
      </c>
      <c r="L350" s="122">
        <v>23.4</v>
      </c>
      <c r="M350" s="122">
        <v>6.8</v>
      </c>
      <c r="N350" s="79">
        <v>3.32</v>
      </c>
      <c r="O350" s="116">
        <v>14</v>
      </c>
      <c r="P350" s="122">
        <v>7.8</v>
      </c>
      <c r="Q350" s="79">
        <v>0.09</v>
      </c>
      <c r="R350" s="79">
        <v>22.36</v>
      </c>
      <c r="S350" s="79">
        <v>0.88</v>
      </c>
      <c r="T350" s="79">
        <v>0.7</v>
      </c>
      <c r="U350" s="85">
        <f t="shared" si="38"/>
        <v>1298.1599999999999</v>
      </c>
      <c r="V350" s="79">
        <f t="shared" si="39"/>
        <v>1421.8068516600001</v>
      </c>
      <c r="W350" s="79">
        <f t="shared" si="40"/>
        <v>1.0952477750508414</v>
      </c>
      <c r="X350" s="116">
        <v>2</v>
      </c>
      <c r="Y350" s="116">
        <v>4</v>
      </c>
      <c r="Z350" s="122">
        <v>6.5</v>
      </c>
      <c r="AA350" s="116">
        <v>17.61</v>
      </c>
      <c r="AB350" s="122">
        <v>6.9</v>
      </c>
      <c r="AC350" s="122">
        <v>8.1999999999999993</v>
      </c>
      <c r="AD350" s="10">
        <v>0.42</v>
      </c>
      <c r="AE350" s="79">
        <v>2.14</v>
      </c>
      <c r="AF350" s="85">
        <f t="shared" si="41"/>
        <v>1730.8799999999999</v>
      </c>
      <c r="AG350" s="85">
        <f t="shared" si="42"/>
        <v>1937.3176806671995</v>
      </c>
      <c r="AH350" s="85">
        <f t="shared" si="43"/>
        <v>1.1192674712673321</v>
      </c>
      <c r="AI350" s="116">
        <v>2</v>
      </c>
      <c r="AJ350" s="116">
        <v>3</v>
      </c>
      <c r="AK350" s="79">
        <v>6.46</v>
      </c>
      <c r="AL350" s="79">
        <v>24.18</v>
      </c>
      <c r="AM350" s="122">
        <v>6.8</v>
      </c>
      <c r="AN350" s="122">
        <v>8</v>
      </c>
      <c r="AO350" s="79">
        <v>0.24</v>
      </c>
      <c r="AP350" s="127">
        <v>0.26</v>
      </c>
      <c r="AQ350" s="132">
        <f t="shared" si="44"/>
        <v>1762</v>
      </c>
      <c r="AR350" s="134">
        <f t="shared" si="45"/>
        <v>0.6708286038592508</v>
      </c>
      <c r="AS350" s="134">
        <f t="shared" si="46"/>
        <v>4.5402951191827468E-2</v>
      </c>
      <c r="AT350" s="134">
        <f t="shared" si="47"/>
        <v>0.28376844494892167</v>
      </c>
      <c r="AU350" s="43">
        <f>IF(AND(F350&lt;&gt;"",Y350&lt;&gt;""),AA350/(F350/2/Y350),"")</f>
        <v>7.8136439267886854E-2</v>
      </c>
      <c r="AV350" s="43">
        <f>IF(AND(F350&lt;&gt;"",AJ350&lt;&gt;""),AL350/(F350/2/AJ350),"")</f>
        <v>8.0465890183028285E-2</v>
      </c>
      <c r="AW350" s="41">
        <f>IF(AND(AP350&lt;&gt;"",1-(AP350/N350)&gt;0),1-(AP350/N350),"")</f>
        <v>0.92168674698795183</v>
      </c>
      <c r="AX350" s="41">
        <f>IF(AND(AE350&lt;&gt;"",1-(AE350/N350)&gt;0),1-(AE350/N350),"")</f>
        <v>0.35542168674698793</v>
      </c>
      <c r="AY350" s="136" t="str">
        <f>IF(P350="","",IF(P350&lt;2.5,"Alc. Bruta &lt; 2,5 mg/L",IF(P350&lt;5,"2,5 ≤ Alc. Bruta &lt; 5,0 mg/L",IF(P350&lt;7.5,"5,0 ≤ Alc. Bruta &lt; 7,5 mg/L",IF(P350&lt;10,"7,5 ≤ Alc. Bruta &lt; 10,0 mg/L",IF(P350&lt;15,"10,0 ≤ Alca. Bruta &lt; 15,0 mg/L","Alc. Bruta &gt; 15 mg/L"))))))</f>
        <v>7,5 ≤ Alc. Bruta &lt; 10,0 mg/L</v>
      </c>
      <c r="AZ350" s="136" t="str">
        <f>IF(O350="","",IF(O350&lt;5,"Cor &lt;5 uC",IF(O350&lt;10,"5 ≤ Cor &lt; 10 uC",IF(O350&lt;15,"10 ≤ Cor &lt;15 uC",IF(O350&lt;30,"15 ≤ Cor &lt; 30 uC",IF(O350&lt;50,"30 ≤ Cor &lt; 50 uC","Cor &gt; 50 uC"))))))</f>
        <v>10 ≤ Cor &lt;15 uC</v>
      </c>
      <c r="BA350" s="137" t="str">
        <f>IF(N350="","",IF(N350&lt;2.5,"Turbidez &lt; 2,5 uT",IF(N350&lt;5,"2,5 ≤ Turb &lt; 5,0 uT",IF(N350&lt;7.5,"5,0 ≤ Turb &lt; 7,5 uT",IF(N350&lt;10,"7,5 ≤ Turb &lt; 10,0 uT",IF(N350&lt;15,"10,0 ≤ Turb &lt; 15,0 uT","Turb &gt; 15 uT"))))))</f>
        <v>2,5 ≤ Turb &lt; 5,0 uT</v>
      </c>
      <c r="BB350" s="138" t="str">
        <f>IF(AND(C350&gt;D350,D350&gt;E350),"TOR &gt; SM &gt; BNN",IF(AND(C350&gt;E350,E350&gt;D350),"TOR &gt; BNN &gt; SM",IF(AND(D350&gt;C350,C350&gt;E350),"SM &gt; TOR &gt; BNN",IF(AND(D350&gt;E350,E350&gt;C350),"SM &gt; BNN &gt; TOR",IF(AND(C350=D350,D350=E350),"TOR = SM = BNN","Comb. diferentes")))))</f>
        <v>TOR &gt; BNN &gt; SM</v>
      </c>
      <c r="BC350" s="137" t="str">
        <f>IF(OR(AD350="",AP350="-"),"",IF(AD350&lt;=0.25,"Tipo 1 (≤0,25) uT",IF(AD350&lt;=0.5,"Tipo 2 (0,25-0,50) uT",IF(AD350&lt;=0.75,"Tipo 3 (0,50-0,75) uT","Tipo 4 (&gt;0,75) uT"))))</f>
        <v>Tipo 2 (0,25-0,50) uT</v>
      </c>
      <c r="BD350" s="137" t="str">
        <f>IF(OR(AO350="",AY350="-"),"",IF(AO350&lt;=0.25,"Tipo 1 (≤0,25) uT",IF(AO350&lt;=0.5,"Tipo 2 (0,25-0,50) uT",IF(AO350&lt;=0.75,"Tipo 3 (0,50-0,75) uT","Tipo 4 (&gt;0,75) uT"))))</f>
        <v>Tipo 1 (≤0,25) uT</v>
      </c>
      <c r="BE350" s="137" t="str">
        <f>IF(OR(AE350="",AP350="-"),"",IF(AE350&lt;=0.25,"Tipo 1 (≤0,25) uT",IF(AE350&lt;=0.5,"Tipo 2 (0,25-0,50) uT",IF(AE350&lt;=0.75,"Tipo 3 (0,50-0,75) uT","Tipo 4 (&gt;0,75) uT"))))</f>
        <v>Tipo 4 (&gt;0,75) uT</v>
      </c>
      <c r="BF350" s="137" t="str">
        <f>IF(OR(AP350="",AP350="-"),"",IF(AP350&lt;=0.25,"Tipo 1 (≤0,25) uT",IF(AP350&lt;=0.5,"Tipo 2 (0,25-0,50) uT",IF(AP350&lt;=0.75,"Tipo 3 (0,50-0,75) uT","Tipo 4 (&gt;0,75) uT"))))</f>
        <v>Tipo 2 (0,25-0,50) uT</v>
      </c>
      <c r="BG350" s="137" t="str">
        <f>IF(OR(Q350="",Q350="-"),"",IF(Q350&lt;=0.25,"Tipo 1 (≤0,25) uT",IF(Q350&lt;=0.5,"Tipo 2 (0,25-0,50) uT",IF(Q350&lt;=0.75,"Tipo 3 (0,50-0,75) uT","Tipo 4 (&gt;0,75) uT"))))</f>
        <v>Tipo 1 (≤0,25) uT</v>
      </c>
    </row>
    <row r="351" spans="1:59" x14ac:dyDescent="0.3">
      <c r="A351" s="26">
        <v>46163</v>
      </c>
      <c r="B351" s="107">
        <v>0.47916666666666669</v>
      </c>
      <c r="C351" s="116">
        <v>1214</v>
      </c>
      <c r="D351" s="116">
        <v>80</v>
      </c>
      <c r="E351" s="116">
        <v>500</v>
      </c>
      <c r="F351" s="116">
        <v>1727</v>
      </c>
      <c r="G351" s="10" t="s">
        <v>100</v>
      </c>
      <c r="H351" s="122">
        <v>7.5</v>
      </c>
      <c r="I351" s="116">
        <v>90</v>
      </c>
      <c r="J351" s="116">
        <v>90</v>
      </c>
      <c r="K351" s="116">
        <v>90</v>
      </c>
      <c r="L351" s="122">
        <v>24</v>
      </c>
      <c r="M351" s="122">
        <v>6.7</v>
      </c>
      <c r="N351" s="79">
        <v>3.05</v>
      </c>
      <c r="O351" s="116">
        <v>15</v>
      </c>
      <c r="P351" s="122">
        <v>7.4</v>
      </c>
      <c r="Q351" s="79">
        <v>0.09</v>
      </c>
      <c r="R351" s="79">
        <v>22.36</v>
      </c>
      <c r="S351" s="79">
        <v>0.88</v>
      </c>
      <c r="T351" s="79">
        <v>0.7</v>
      </c>
      <c r="U351" s="85">
        <f t="shared" si="38"/>
        <v>1198.10625</v>
      </c>
      <c r="V351" s="79">
        <f t="shared" si="39"/>
        <v>1419.6737512619998</v>
      </c>
      <c r="W351" s="79">
        <f t="shared" si="40"/>
        <v>1.1849314292968589</v>
      </c>
      <c r="X351" s="116">
        <v>2</v>
      </c>
      <c r="Y351" s="116">
        <v>4</v>
      </c>
      <c r="Z351" s="122">
        <v>6.51</v>
      </c>
      <c r="AA351" s="116">
        <v>17.55</v>
      </c>
      <c r="AB351" s="122">
        <v>6.7</v>
      </c>
      <c r="AC351" s="122">
        <v>6.4</v>
      </c>
      <c r="AD351" s="10">
        <v>0.15</v>
      </c>
      <c r="AE351" s="79">
        <v>0.19</v>
      </c>
      <c r="AF351" s="85">
        <f t="shared" si="41"/>
        <v>1597.4749999999999</v>
      </c>
      <c r="AG351" s="85">
        <f t="shared" si="42"/>
        <v>1958.7185815600003</v>
      </c>
      <c r="AH351" s="85">
        <f t="shared" si="43"/>
        <v>1.2261341063616022</v>
      </c>
      <c r="AI351" s="116">
        <v>2</v>
      </c>
      <c r="AJ351" s="116">
        <v>3</v>
      </c>
      <c r="AK351" s="79">
        <v>6.5</v>
      </c>
      <c r="AL351" s="79">
        <v>24.26</v>
      </c>
      <c r="AM351" s="122">
        <v>6.5</v>
      </c>
      <c r="AN351" s="122">
        <v>6.3</v>
      </c>
      <c r="AO351" s="79">
        <v>0.2</v>
      </c>
      <c r="AP351" s="127">
        <v>0.25</v>
      </c>
      <c r="AQ351" s="132">
        <f t="shared" si="44"/>
        <v>1794</v>
      </c>
      <c r="AR351" s="134">
        <f t="shared" si="45"/>
        <v>0.67670011148272013</v>
      </c>
      <c r="AS351" s="134">
        <f t="shared" si="46"/>
        <v>4.4593088071348944E-2</v>
      </c>
      <c r="AT351" s="134">
        <f t="shared" si="47"/>
        <v>0.27870680044593088</v>
      </c>
      <c r="AU351" s="43">
        <f>IF(AND(F351&lt;&gt;"",Y351&lt;&gt;""),AA351/(F351/2/Y351),"")</f>
        <v>8.1297046902142442E-2</v>
      </c>
      <c r="AV351" s="43">
        <f>IF(AND(F351&lt;&gt;"",AJ351&lt;&gt;""),AL351/(F351/2/AJ351),"")</f>
        <v>8.4284887087434868E-2</v>
      </c>
      <c r="AW351" s="41">
        <f>IF(AND(AP351&lt;&gt;"",1-(AP351/N351)&gt;0),1-(AP351/N351),"")</f>
        <v>0.91803278688524592</v>
      </c>
      <c r="AX351" s="41">
        <f>IF(AND(AE351&lt;&gt;"",1-(AE351/N351)&gt;0),1-(AE351/N351),"")</f>
        <v>0.93770491803278688</v>
      </c>
      <c r="AY351" s="136" t="str">
        <f>IF(P351="","",IF(P351&lt;2.5,"Alc. Bruta &lt; 2,5 mg/L",IF(P351&lt;5,"2,5 ≤ Alc. Bruta &lt; 5,0 mg/L",IF(P351&lt;7.5,"5,0 ≤ Alc. Bruta &lt; 7,5 mg/L",IF(P351&lt;10,"7,5 ≤ Alc. Bruta &lt; 10,0 mg/L",IF(P351&lt;15,"10,0 ≤ Alca. Bruta &lt; 15,0 mg/L","Alc. Bruta &gt; 15 mg/L"))))))</f>
        <v>5,0 ≤ Alc. Bruta &lt; 7,5 mg/L</v>
      </c>
      <c r="AZ351" s="136" t="str">
        <f>IF(O351="","",IF(O351&lt;5,"Cor &lt;5 uC",IF(O351&lt;10,"5 ≤ Cor &lt; 10 uC",IF(O351&lt;15,"10 ≤ Cor &lt;15 uC",IF(O351&lt;30,"15 ≤ Cor &lt; 30 uC",IF(O351&lt;50,"30 ≤ Cor &lt; 50 uC","Cor &gt; 50 uC"))))))</f>
        <v>15 ≤ Cor &lt; 30 uC</v>
      </c>
      <c r="BA351" s="137" t="str">
        <f>IF(N351="","",IF(N351&lt;2.5,"Turbidez &lt; 2,5 uT",IF(N351&lt;5,"2,5 ≤ Turb &lt; 5,0 uT",IF(N351&lt;7.5,"5,0 ≤ Turb &lt; 7,5 uT",IF(N351&lt;10,"7,5 ≤ Turb &lt; 10,0 uT",IF(N351&lt;15,"10,0 ≤ Turb &lt; 15,0 uT","Turb &gt; 15 uT"))))))</f>
        <v>2,5 ≤ Turb &lt; 5,0 uT</v>
      </c>
      <c r="BB351" s="138" t="str">
        <f>IF(AND(C351&gt;D351,D351&gt;E351),"TOR &gt; SM &gt; BNN",IF(AND(C351&gt;E351,E351&gt;D351),"TOR &gt; BNN &gt; SM",IF(AND(D351&gt;C351,C351&gt;E351),"SM &gt; TOR &gt; BNN",IF(AND(D351&gt;E351,E351&gt;C351),"SM &gt; BNN &gt; TOR",IF(AND(C351=D351,D351=E351),"TOR = SM = BNN","Comb. diferentes")))))</f>
        <v>TOR &gt; BNN &gt; SM</v>
      </c>
      <c r="BC351" s="137" t="str">
        <f>IF(OR(AD351="",AP351="-"),"",IF(AD351&lt;=0.25,"Tipo 1 (≤0,25) uT",IF(AD351&lt;=0.5,"Tipo 2 (0,25-0,50) uT",IF(AD351&lt;=0.75,"Tipo 3 (0,50-0,75) uT","Tipo 4 (&gt;0,75) uT"))))</f>
        <v>Tipo 1 (≤0,25) uT</v>
      </c>
      <c r="BD351" s="137" t="str">
        <f>IF(OR(AO351="",AY351="-"),"",IF(AO351&lt;=0.25,"Tipo 1 (≤0,25) uT",IF(AO351&lt;=0.5,"Tipo 2 (0,25-0,50) uT",IF(AO351&lt;=0.75,"Tipo 3 (0,50-0,75) uT","Tipo 4 (&gt;0,75) uT"))))</f>
        <v>Tipo 1 (≤0,25) uT</v>
      </c>
      <c r="BE351" s="137" t="str">
        <f>IF(OR(AE351="",AP351="-"),"",IF(AE351&lt;=0.25,"Tipo 1 (≤0,25) uT",IF(AE351&lt;=0.5,"Tipo 2 (0,25-0,50) uT",IF(AE351&lt;=0.75,"Tipo 3 (0,50-0,75) uT","Tipo 4 (&gt;0,75) uT"))))</f>
        <v>Tipo 1 (≤0,25) uT</v>
      </c>
      <c r="BF351" s="137" t="str">
        <f>IF(OR(AP351="",AP351="-"),"",IF(AP351&lt;=0.25,"Tipo 1 (≤0,25) uT",IF(AP351&lt;=0.5,"Tipo 2 (0,25-0,50) uT",IF(AP351&lt;=0.75,"Tipo 3 (0,50-0,75) uT","Tipo 4 (&gt;0,75) uT"))))</f>
        <v>Tipo 1 (≤0,25) uT</v>
      </c>
      <c r="BG351" s="137" t="str">
        <f>IF(OR(Q351="",Q351="-"),"",IF(Q351&lt;=0.25,"Tipo 1 (≤0,25) uT",IF(Q351&lt;=0.5,"Tipo 2 (0,25-0,50) uT",IF(Q351&lt;=0.75,"Tipo 3 (0,50-0,75) uT","Tipo 4 (&gt;0,75) uT"))))</f>
        <v>Tipo 1 (≤0,25) uT</v>
      </c>
    </row>
    <row r="352" spans="1:59" x14ac:dyDescent="0.3">
      <c r="A352" s="26">
        <v>46163</v>
      </c>
      <c r="B352" s="107">
        <v>0.64583333333333337</v>
      </c>
      <c r="C352" s="116">
        <v>1191</v>
      </c>
      <c r="D352" s="116">
        <v>82</v>
      </c>
      <c r="E352" s="116">
        <v>500</v>
      </c>
      <c r="F352" s="116">
        <v>1775</v>
      </c>
      <c r="G352" s="10" t="s">
        <v>100</v>
      </c>
      <c r="H352" s="122">
        <v>7.5</v>
      </c>
      <c r="I352" s="116">
        <v>90</v>
      </c>
      <c r="J352" s="116">
        <v>90</v>
      </c>
      <c r="K352" s="116">
        <v>90</v>
      </c>
      <c r="L352" s="122">
        <v>25.5</v>
      </c>
      <c r="M352" s="122">
        <v>6.8</v>
      </c>
      <c r="N352" s="79">
        <v>2.85</v>
      </c>
      <c r="O352" s="116">
        <v>13</v>
      </c>
      <c r="P352" s="122">
        <v>8.1999999999999993</v>
      </c>
      <c r="Q352" s="79">
        <v>0.12</v>
      </c>
      <c r="R352" s="79">
        <v>22.36</v>
      </c>
      <c r="S352" s="79">
        <v>0.88</v>
      </c>
      <c r="T352" s="79">
        <v>0.7</v>
      </c>
      <c r="U352" s="85">
        <f t="shared" si="38"/>
        <v>1187.03125</v>
      </c>
      <c r="V352" s="79">
        <f t="shared" si="39"/>
        <v>1429.0733262000001</v>
      </c>
      <c r="W352" s="79">
        <f t="shared" si="40"/>
        <v>1.2039053952454917</v>
      </c>
      <c r="X352" s="116">
        <v>2</v>
      </c>
      <c r="Y352" s="116">
        <v>4</v>
      </c>
      <c r="Z352" s="122">
        <v>6.5</v>
      </c>
      <c r="AA352" s="116">
        <v>17.7</v>
      </c>
      <c r="AB352" s="122">
        <v>6.7</v>
      </c>
      <c r="AC352" s="122">
        <v>6</v>
      </c>
      <c r="AD352" s="10">
        <v>0.39</v>
      </c>
      <c r="AE352" s="79">
        <v>0.19</v>
      </c>
      <c r="AF352" s="85">
        <f t="shared" si="41"/>
        <v>1582.708333333333</v>
      </c>
      <c r="AG352" s="85">
        <f t="shared" si="42"/>
        <v>1940.2222947536</v>
      </c>
      <c r="AH352" s="85">
        <f t="shared" si="43"/>
        <v>1.2258874575249812</v>
      </c>
      <c r="AI352" s="116">
        <v>2</v>
      </c>
      <c r="AJ352" s="116">
        <v>3</v>
      </c>
      <c r="AK352" s="79">
        <v>6.44</v>
      </c>
      <c r="AL352" s="79">
        <v>24.31</v>
      </c>
      <c r="AM352" s="122">
        <v>6.6</v>
      </c>
      <c r="AN352" s="122">
        <v>6.8</v>
      </c>
      <c r="AO352" s="79">
        <v>0.2</v>
      </c>
      <c r="AP352" s="127">
        <v>0.33</v>
      </c>
      <c r="AQ352" s="132">
        <f t="shared" si="44"/>
        <v>1773</v>
      </c>
      <c r="AR352" s="134">
        <f t="shared" si="45"/>
        <v>0.67174280879864634</v>
      </c>
      <c r="AS352" s="134">
        <f t="shared" si="46"/>
        <v>4.6249294980259446E-2</v>
      </c>
      <c r="AT352" s="134">
        <f t="shared" si="47"/>
        <v>0.28200789622109418</v>
      </c>
      <c r="AU352" s="43">
        <f>IF(AND(F352&lt;&gt;"",Y352&lt;&gt;""),AA352/(F352/2/Y352),"")</f>
        <v>7.9774647887323941E-2</v>
      </c>
      <c r="AV352" s="43">
        <f>IF(AND(F352&lt;&gt;"",AJ352&lt;&gt;""),AL352/(F352/2/AJ352),"")</f>
        <v>8.217464788732394E-2</v>
      </c>
      <c r="AW352" s="41">
        <f>IF(AND(AP352&lt;&gt;"",1-(AP352/N352)&gt;0),1-(AP352/N352),"")</f>
        <v>0.88421052631578945</v>
      </c>
      <c r="AX352" s="41">
        <f>IF(AND(AE352&lt;&gt;"",1-(AE352/N352)&gt;0),1-(AE352/N352),"")</f>
        <v>0.93333333333333335</v>
      </c>
      <c r="AY352" s="136" t="str">
        <f>IF(P352="","",IF(P352&lt;2.5,"Alc. Bruta &lt; 2,5 mg/L",IF(P352&lt;5,"2,5 ≤ Alc. Bruta &lt; 5,0 mg/L",IF(P352&lt;7.5,"5,0 ≤ Alc. Bruta &lt; 7,5 mg/L",IF(P352&lt;10,"7,5 ≤ Alc. Bruta &lt; 10,0 mg/L",IF(P352&lt;15,"10,0 ≤ Alca. Bruta &lt; 15,0 mg/L","Alc. Bruta &gt; 15 mg/L"))))))</f>
        <v>7,5 ≤ Alc. Bruta &lt; 10,0 mg/L</v>
      </c>
      <c r="AZ352" s="136" t="str">
        <f>IF(O352="","",IF(O352&lt;5,"Cor &lt;5 uC",IF(O352&lt;10,"5 ≤ Cor &lt; 10 uC",IF(O352&lt;15,"10 ≤ Cor &lt;15 uC",IF(O352&lt;30,"15 ≤ Cor &lt; 30 uC",IF(O352&lt;50,"30 ≤ Cor &lt; 50 uC","Cor &gt; 50 uC"))))))</f>
        <v>10 ≤ Cor &lt;15 uC</v>
      </c>
      <c r="BA352" s="137" t="str">
        <f>IF(N352="","",IF(N352&lt;2.5,"Turbidez &lt; 2,5 uT",IF(N352&lt;5,"2,5 ≤ Turb &lt; 5,0 uT",IF(N352&lt;7.5,"5,0 ≤ Turb &lt; 7,5 uT",IF(N352&lt;10,"7,5 ≤ Turb &lt; 10,0 uT",IF(N352&lt;15,"10,0 ≤ Turb &lt; 15,0 uT","Turb &gt; 15 uT"))))))</f>
        <v>2,5 ≤ Turb &lt; 5,0 uT</v>
      </c>
      <c r="BB352" s="138" t="str">
        <f>IF(AND(C352&gt;D352,D352&gt;E352),"TOR &gt; SM &gt; BNN",IF(AND(C352&gt;E352,E352&gt;D352),"TOR &gt; BNN &gt; SM",IF(AND(D352&gt;C352,C352&gt;E352),"SM &gt; TOR &gt; BNN",IF(AND(D352&gt;E352,E352&gt;C352),"SM &gt; BNN &gt; TOR",IF(AND(C352=D352,D352=E352),"TOR = SM = BNN","Comb. diferentes")))))</f>
        <v>TOR &gt; BNN &gt; SM</v>
      </c>
      <c r="BC352" s="137" t="str">
        <f>IF(OR(AD352="",AP352="-"),"",IF(AD352&lt;=0.25,"Tipo 1 (≤0,25) uT",IF(AD352&lt;=0.5,"Tipo 2 (0,25-0,50) uT",IF(AD352&lt;=0.75,"Tipo 3 (0,50-0,75) uT","Tipo 4 (&gt;0,75) uT"))))</f>
        <v>Tipo 2 (0,25-0,50) uT</v>
      </c>
      <c r="BD352" s="137" t="str">
        <f>IF(OR(AO352="",AY352="-"),"",IF(AO352&lt;=0.25,"Tipo 1 (≤0,25) uT",IF(AO352&lt;=0.5,"Tipo 2 (0,25-0,50) uT",IF(AO352&lt;=0.75,"Tipo 3 (0,50-0,75) uT","Tipo 4 (&gt;0,75) uT"))))</f>
        <v>Tipo 1 (≤0,25) uT</v>
      </c>
      <c r="BE352" s="137" t="str">
        <f>IF(OR(AE352="",AP352="-"),"",IF(AE352&lt;=0.25,"Tipo 1 (≤0,25) uT",IF(AE352&lt;=0.5,"Tipo 2 (0,25-0,50) uT",IF(AE352&lt;=0.75,"Tipo 3 (0,50-0,75) uT","Tipo 4 (&gt;0,75) uT"))))</f>
        <v>Tipo 1 (≤0,25) uT</v>
      </c>
      <c r="BF352" s="137" t="str">
        <f>IF(OR(AP352="",AP352="-"),"",IF(AP352&lt;=0.25,"Tipo 1 (≤0,25) uT",IF(AP352&lt;=0.5,"Tipo 2 (0,25-0,50) uT",IF(AP352&lt;=0.75,"Tipo 3 (0,50-0,75) uT","Tipo 4 (&gt;0,75) uT"))))</f>
        <v>Tipo 2 (0,25-0,50) uT</v>
      </c>
      <c r="BG352" s="137" t="str">
        <f>IF(OR(Q352="",Q352="-"),"",IF(Q352&lt;=0.25,"Tipo 1 (≤0,25) uT",IF(Q352&lt;=0.5,"Tipo 2 (0,25-0,50) uT",IF(Q352&lt;=0.75,"Tipo 3 (0,50-0,75) uT","Tipo 4 (&gt;0,75) uT"))))</f>
        <v>Tipo 1 (≤0,25) uT</v>
      </c>
    </row>
    <row r="353" spans="1:59" x14ac:dyDescent="0.3">
      <c r="A353" s="26">
        <v>46163</v>
      </c>
      <c r="B353" s="107">
        <v>0.72916666666666663</v>
      </c>
      <c r="C353" s="116">
        <v>1196</v>
      </c>
      <c r="D353" s="116">
        <v>83</v>
      </c>
      <c r="E353" s="116">
        <v>500</v>
      </c>
      <c r="F353" s="116">
        <v>1760</v>
      </c>
      <c r="G353" s="10" t="s">
        <v>100</v>
      </c>
      <c r="H353" s="122">
        <v>7.5</v>
      </c>
      <c r="I353" s="116">
        <v>90</v>
      </c>
      <c r="J353" s="116">
        <v>90</v>
      </c>
      <c r="K353" s="116">
        <v>90</v>
      </c>
      <c r="L353" s="122">
        <v>25</v>
      </c>
      <c r="M353" s="122">
        <v>6.8</v>
      </c>
      <c r="N353" s="79">
        <v>2.99</v>
      </c>
      <c r="O353" s="116">
        <v>13</v>
      </c>
      <c r="P353" s="122">
        <v>8.1</v>
      </c>
      <c r="Q353" s="79">
        <v>0.09</v>
      </c>
      <c r="R353" s="79">
        <v>22.36</v>
      </c>
      <c r="S353" s="79">
        <v>0.88</v>
      </c>
      <c r="T353" s="79">
        <v>0.7</v>
      </c>
      <c r="U353" s="85">
        <f t="shared" si="38"/>
        <v>1207.8</v>
      </c>
      <c r="V353" s="79">
        <f t="shared" si="39"/>
        <v>1424.7272550367998</v>
      </c>
      <c r="W353" s="79">
        <f t="shared" si="40"/>
        <v>1.1796052782222222</v>
      </c>
      <c r="X353" s="116">
        <v>2</v>
      </c>
      <c r="Y353" s="116">
        <v>4</v>
      </c>
      <c r="Z353" s="122">
        <v>6.49</v>
      </c>
      <c r="AA353" s="116">
        <v>17.68</v>
      </c>
      <c r="AB353" s="122">
        <v>6.7</v>
      </c>
      <c r="AC353" s="122">
        <v>6.1</v>
      </c>
      <c r="AD353" s="10">
        <v>0.39</v>
      </c>
      <c r="AE353" s="79">
        <v>0.17</v>
      </c>
      <c r="AF353" s="85">
        <f t="shared" si="41"/>
        <v>1610.3999999999999</v>
      </c>
      <c r="AG353" s="85">
        <f t="shared" si="42"/>
        <v>1946.1309538215994</v>
      </c>
      <c r="AH353" s="85">
        <f t="shared" si="43"/>
        <v>1.2084767472811722</v>
      </c>
      <c r="AI353" s="116">
        <v>2</v>
      </c>
      <c r="AJ353" s="116">
        <v>3</v>
      </c>
      <c r="AK353" s="79">
        <v>6.46</v>
      </c>
      <c r="AL353" s="79">
        <v>24.29</v>
      </c>
      <c r="AM353" s="122">
        <v>6.6</v>
      </c>
      <c r="AN353" s="122">
        <v>5.5</v>
      </c>
      <c r="AO353" s="79">
        <v>0.25</v>
      </c>
      <c r="AP353" s="127">
        <v>0.28000000000000003</v>
      </c>
      <c r="AQ353" s="132">
        <f t="shared" si="44"/>
        <v>1779</v>
      </c>
      <c r="AR353" s="134">
        <f t="shared" si="45"/>
        <v>0.67228780213603145</v>
      </c>
      <c r="AS353" s="134">
        <f t="shared" si="46"/>
        <v>4.6655424395727937E-2</v>
      </c>
      <c r="AT353" s="134">
        <f t="shared" si="47"/>
        <v>0.28105677346824059</v>
      </c>
      <c r="AU353" s="43">
        <f>IF(AND(F353&lt;&gt;"",Y353&lt;&gt;""),AA353/(F353/2/Y353),"")</f>
        <v>8.0363636363636359E-2</v>
      </c>
      <c r="AV353" s="43">
        <f>IF(AND(F353&lt;&gt;"",AJ353&lt;&gt;""),AL353/(F353/2/AJ353),"")</f>
        <v>8.280681818181819E-2</v>
      </c>
      <c r="AW353" s="41">
        <f>IF(AND(AP353&lt;&gt;"",1-(AP353/N353)&gt;0),1-(AP353/N353),"")</f>
        <v>0.90635451505016718</v>
      </c>
      <c r="AX353" s="41">
        <f>IF(AND(AE353&lt;&gt;"",1-(AE353/N353)&gt;0),1-(AE353/N353),"")</f>
        <v>0.94314381270903014</v>
      </c>
      <c r="AY353" s="136" t="str">
        <f>IF(P353="","",IF(P353&lt;2.5,"Alc. Bruta &lt; 2,5 mg/L",IF(P353&lt;5,"2,5 ≤ Alc. Bruta &lt; 5,0 mg/L",IF(P353&lt;7.5,"5,0 ≤ Alc. Bruta &lt; 7,5 mg/L",IF(P353&lt;10,"7,5 ≤ Alc. Bruta &lt; 10,0 mg/L",IF(P353&lt;15,"10,0 ≤ Alca. Bruta &lt; 15,0 mg/L","Alc. Bruta &gt; 15 mg/L"))))))</f>
        <v>7,5 ≤ Alc. Bruta &lt; 10,0 mg/L</v>
      </c>
      <c r="AZ353" s="136" t="str">
        <f>IF(O353="","",IF(O353&lt;5,"Cor &lt;5 uC",IF(O353&lt;10,"5 ≤ Cor &lt; 10 uC",IF(O353&lt;15,"10 ≤ Cor &lt;15 uC",IF(O353&lt;30,"15 ≤ Cor &lt; 30 uC",IF(O353&lt;50,"30 ≤ Cor &lt; 50 uC","Cor &gt; 50 uC"))))))</f>
        <v>10 ≤ Cor &lt;15 uC</v>
      </c>
      <c r="BA353" s="137" t="str">
        <f>IF(N353="","",IF(N353&lt;2.5,"Turbidez &lt; 2,5 uT",IF(N353&lt;5,"2,5 ≤ Turb &lt; 5,0 uT",IF(N353&lt;7.5,"5,0 ≤ Turb &lt; 7,5 uT",IF(N353&lt;10,"7,5 ≤ Turb &lt; 10,0 uT",IF(N353&lt;15,"10,0 ≤ Turb &lt; 15,0 uT","Turb &gt; 15 uT"))))))</f>
        <v>2,5 ≤ Turb &lt; 5,0 uT</v>
      </c>
      <c r="BB353" s="138" t="str">
        <f>IF(AND(C353&gt;D353,D353&gt;E353),"TOR &gt; SM &gt; BNN",IF(AND(C353&gt;E353,E353&gt;D353),"TOR &gt; BNN &gt; SM",IF(AND(D353&gt;C353,C353&gt;E353),"SM &gt; TOR &gt; BNN",IF(AND(D353&gt;E353,E353&gt;C353),"SM &gt; BNN &gt; TOR",IF(AND(C353=D353,D353=E353),"TOR = SM = BNN","Comb. diferentes")))))</f>
        <v>TOR &gt; BNN &gt; SM</v>
      </c>
      <c r="BC353" s="137" t="str">
        <f>IF(OR(AD353="",AP353="-"),"",IF(AD353&lt;=0.25,"Tipo 1 (≤0,25) uT",IF(AD353&lt;=0.5,"Tipo 2 (0,25-0,50) uT",IF(AD353&lt;=0.75,"Tipo 3 (0,50-0,75) uT","Tipo 4 (&gt;0,75) uT"))))</f>
        <v>Tipo 2 (0,25-0,50) uT</v>
      </c>
      <c r="BD353" s="137" t="str">
        <f>IF(OR(AO353="",AY353="-"),"",IF(AO353&lt;=0.25,"Tipo 1 (≤0,25) uT",IF(AO353&lt;=0.5,"Tipo 2 (0,25-0,50) uT",IF(AO353&lt;=0.75,"Tipo 3 (0,50-0,75) uT","Tipo 4 (&gt;0,75) uT"))))</f>
        <v>Tipo 1 (≤0,25) uT</v>
      </c>
      <c r="BE353" s="137" t="str">
        <f>IF(OR(AE353="",AP353="-"),"",IF(AE353&lt;=0.25,"Tipo 1 (≤0,25) uT",IF(AE353&lt;=0.5,"Tipo 2 (0,25-0,50) uT",IF(AE353&lt;=0.75,"Tipo 3 (0,50-0,75) uT","Tipo 4 (&gt;0,75) uT"))))</f>
        <v>Tipo 1 (≤0,25) uT</v>
      </c>
      <c r="BF353" s="137" t="str">
        <f>IF(OR(AP353="",AP353="-"),"",IF(AP353&lt;=0.25,"Tipo 1 (≤0,25) uT",IF(AP353&lt;=0.5,"Tipo 2 (0,25-0,50) uT",IF(AP353&lt;=0.75,"Tipo 3 (0,50-0,75) uT","Tipo 4 (&gt;0,75) uT"))))</f>
        <v>Tipo 2 (0,25-0,50) uT</v>
      </c>
      <c r="BG353" s="137" t="str">
        <f>IF(OR(Q353="",Q353="-"),"",IF(Q353&lt;=0.25,"Tipo 1 (≤0,25) uT",IF(Q353&lt;=0.5,"Tipo 2 (0,25-0,50) uT",IF(Q353&lt;=0.75,"Tipo 3 (0,50-0,75) uT","Tipo 4 (&gt;0,75) uT"))))</f>
        <v>Tipo 1 (≤0,25) uT</v>
      </c>
    </row>
    <row r="354" spans="1:59" x14ac:dyDescent="0.3">
      <c r="A354" s="26">
        <v>46163</v>
      </c>
      <c r="B354" s="107">
        <v>0.8125</v>
      </c>
      <c r="C354" s="116">
        <v>1176</v>
      </c>
      <c r="D354" s="116">
        <v>82</v>
      </c>
      <c r="E354" s="116">
        <v>500</v>
      </c>
      <c r="F354" s="116">
        <v>1956</v>
      </c>
      <c r="G354" s="10" t="s">
        <v>100</v>
      </c>
      <c r="H354" s="122">
        <v>7.5</v>
      </c>
      <c r="I354" s="116">
        <v>90</v>
      </c>
      <c r="J354" s="116">
        <v>90</v>
      </c>
      <c r="K354" s="116">
        <v>90</v>
      </c>
      <c r="L354" s="122">
        <v>23.5</v>
      </c>
      <c r="M354" s="122">
        <v>6.9</v>
      </c>
      <c r="N354" s="79">
        <v>2.89</v>
      </c>
      <c r="O354" s="116">
        <v>11</v>
      </c>
      <c r="P354" s="122">
        <v>5.5</v>
      </c>
      <c r="Q354" s="79">
        <v>7.0000000000000007E-2</v>
      </c>
      <c r="R354" s="79">
        <v>22.36</v>
      </c>
      <c r="S354" s="79">
        <v>0.88</v>
      </c>
      <c r="T354" s="79">
        <v>0.7</v>
      </c>
      <c r="U354" s="85">
        <f t="shared" si="38"/>
        <v>1317.8550000000002</v>
      </c>
      <c r="V354" s="79">
        <f t="shared" si="39"/>
        <v>1372.556302</v>
      </c>
      <c r="W354" s="79">
        <f t="shared" si="40"/>
        <v>1.0415078305276375</v>
      </c>
      <c r="X354" s="116">
        <v>2</v>
      </c>
      <c r="Y354" s="116">
        <v>4</v>
      </c>
      <c r="Z354" s="122">
        <v>6.5</v>
      </c>
      <c r="AA354" s="116">
        <v>17</v>
      </c>
      <c r="AB354" s="122">
        <v>6.6</v>
      </c>
      <c r="AC354" s="122">
        <v>4.7</v>
      </c>
      <c r="AD354" s="10">
        <v>0.26</v>
      </c>
      <c r="AE354" s="79">
        <v>0.14000000000000001</v>
      </c>
      <c r="AF354" s="85">
        <f t="shared" si="41"/>
        <v>1757.14</v>
      </c>
      <c r="AG354" s="85">
        <f t="shared" si="42"/>
        <v>1930.3112524799999</v>
      </c>
      <c r="AH354" s="85">
        <f t="shared" si="43"/>
        <v>1.0985529055624479</v>
      </c>
      <c r="AI354" s="116">
        <v>2</v>
      </c>
      <c r="AJ354" s="116">
        <v>3</v>
      </c>
      <c r="AK354" s="79">
        <v>6.48</v>
      </c>
      <c r="AL354" s="79">
        <v>24</v>
      </c>
      <c r="AM354" s="122">
        <v>6.5</v>
      </c>
      <c r="AN354" s="122">
        <v>4.5999999999999996</v>
      </c>
      <c r="AO354" s="79">
        <v>0.28000000000000003</v>
      </c>
      <c r="AP354" s="127">
        <v>0.22</v>
      </c>
      <c r="AQ354" s="132">
        <f t="shared" si="44"/>
        <v>1758</v>
      </c>
      <c r="AR354" s="134">
        <f t="shared" si="45"/>
        <v>0.66894197952218426</v>
      </c>
      <c r="AS354" s="134">
        <f t="shared" si="46"/>
        <v>4.6643913538111488E-2</v>
      </c>
      <c r="AT354" s="134">
        <f t="shared" si="47"/>
        <v>0.2844141069397042</v>
      </c>
      <c r="AU354" s="43">
        <f>IF(AND(F354&lt;&gt;"",Y354&lt;&gt;""),AA354/(F354/2/Y354),"")</f>
        <v>6.9529652351738247E-2</v>
      </c>
      <c r="AV354" s="43">
        <f>IF(AND(F354&lt;&gt;"",AJ354&lt;&gt;""),AL354/(F354/2/AJ354),"")</f>
        <v>7.3619631901840496E-2</v>
      </c>
      <c r="AW354" s="41">
        <f>IF(AND(AP354&lt;&gt;"",1-(AP354/N354)&gt;0),1-(AP354/N354),"")</f>
        <v>0.9238754325259515</v>
      </c>
      <c r="AX354" s="41">
        <f>IF(AND(AE354&lt;&gt;"",1-(AE354/N354)&gt;0),1-(AE354/N354),"")</f>
        <v>0.95155709342560557</v>
      </c>
      <c r="AY354" s="136" t="str">
        <f>IF(P354="","",IF(P354&lt;2.5,"Alc. Bruta &lt; 2,5 mg/L",IF(P354&lt;5,"2,5 ≤ Alc. Bruta &lt; 5,0 mg/L",IF(P354&lt;7.5,"5,0 ≤ Alc. Bruta &lt; 7,5 mg/L",IF(P354&lt;10,"7,5 ≤ Alc. Bruta &lt; 10,0 mg/L",IF(P354&lt;15,"10,0 ≤ Alca. Bruta &lt; 15,0 mg/L","Alc. Bruta &gt; 15 mg/L"))))))</f>
        <v>5,0 ≤ Alc. Bruta &lt; 7,5 mg/L</v>
      </c>
      <c r="AZ354" s="136" t="str">
        <f>IF(O354="","",IF(O354&lt;5,"Cor &lt;5 uC",IF(O354&lt;10,"5 ≤ Cor &lt; 10 uC",IF(O354&lt;15,"10 ≤ Cor &lt;15 uC",IF(O354&lt;30,"15 ≤ Cor &lt; 30 uC",IF(O354&lt;50,"30 ≤ Cor &lt; 50 uC","Cor &gt; 50 uC"))))))</f>
        <v>10 ≤ Cor &lt;15 uC</v>
      </c>
      <c r="BA354" s="137" t="str">
        <f>IF(N354="","",IF(N354&lt;2.5,"Turbidez &lt; 2,5 uT",IF(N354&lt;5,"2,5 ≤ Turb &lt; 5,0 uT",IF(N354&lt;7.5,"5,0 ≤ Turb &lt; 7,5 uT",IF(N354&lt;10,"7,5 ≤ Turb &lt; 10,0 uT",IF(N354&lt;15,"10,0 ≤ Turb &lt; 15,0 uT","Turb &gt; 15 uT"))))))</f>
        <v>2,5 ≤ Turb &lt; 5,0 uT</v>
      </c>
      <c r="BB354" s="138" t="str">
        <f>IF(AND(C354&gt;D354,D354&gt;E354),"TOR &gt; SM &gt; BNN",IF(AND(C354&gt;E354,E354&gt;D354),"TOR &gt; BNN &gt; SM",IF(AND(D354&gt;C354,C354&gt;E354),"SM &gt; TOR &gt; BNN",IF(AND(D354&gt;E354,E354&gt;C354),"SM &gt; BNN &gt; TOR",IF(AND(C354=D354,D354=E354),"TOR = SM = BNN","Comb. diferentes")))))</f>
        <v>TOR &gt; BNN &gt; SM</v>
      </c>
      <c r="BC354" s="137" t="str">
        <f>IF(OR(AD354="",AP354="-"),"",IF(AD354&lt;=0.25,"Tipo 1 (≤0,25) uT",IF(AD354&lt;=0.5,"Tipo 2 (0,25-0,50) uT",IF(AD354&lt;=0.75,"Tipo 3 (0,50-0,75) uT","Tipo 4 (&gt;0,75) uT"))))</f>
        <v>Tipo 2 (0,25-0,50) uT</v>
      </c>
      <c r="BD354" s="137" t="str">
        <f>IF(OR(AO354="",AY354="-"),"",IF(AO354&lt;=0.25,"Tipo 1 (≤0,25) uT",IF(AO354&lt;=0.5,"Tipo 2 (0,25-0,50) uT",IF(AO354&lt;=0.75,"Tipo 3 (0,50-0,75) uT","Tipo 4 (&gt;0,75) uT"))))</f>
        <v>Tipo 2 (0,25-0,50) uT</v>
      </c>
      <c r="BE354" s="137" t="str">
        <f>IF(OR(AE354="",AP354="-"),"",IF(AE354&lt;=0.25,"Tipo 1 (≤0,25) uT",IF(AE354&lt;=0.5,"Tipo 2 (0,25-0,50) uT",IF(AE354&lt;=0.75,"Tipo 3 (0,50-0,75) uT","Tipo 4 (&gt;0,75) uT"))))</f>
        <v>Tipo 1 (≤0,25) uT</v>
      </c>
      <c r="BF354" s="137" t="str">
        <f>IF(OR(AP354="",AP354="-"),"",IF(AP354&lt;=0.25,"Tipo 1 (≤0,25) uT",IF(AP354&lt;=0.5,"Tipo 2 (0,25-0,50) uT",IF(AP354&lt;=0.75,"Tipo 3 (0,50-0,75) uT","Tipo 4 (&gt;0,75) uT"))))</f>
        <v>Tipo 1 (≤0,25) uT</v>
      </c>
      <c r="BG354" s="137" t="str">
        <f>IF(OR(Q354="",Q354="-"),"",IF(Q354&lt;=0.25,"Tipo 1 (≤0,25) uT",IF(Q354&lt;=0.5,"Tipo 2 (0,25-0,50) uT",IF(Q354&lt;=0.75,"Tipo 3 (0,50-0,75) uT","Tipo 4 (&gt;0,75) uT"))))</f>
        <v>Tipo 1 (≤0,25) uT</v>
      </c>
    </row>
    <row r="355" spans="1:59" x14ac:dyDescent="0.3">
      <c r="A355" s="26">
        <v>46163</v>
      </c>
      <c r="B355" s="107">
        <v>0.89583333333333337</v>
      </c>
      <c r="C355" s="116">
        <v>1605</v>
      </c>
      <c r="D355" s="116">
        <v>86</v>
      </c>
      <c r="E355" s="116">
        <v>499</v>
      </c>
      <c r="F355" s="116">
        <v>2307</v>
      </c>
      <c r="G355" s="10" t="s">
        <v>100</v>
      </c>
      <c r="H355" s="122">
        <v>7.5</v>
      </c>
      <c r="I355" s="116">
        <v>90</v>
      </c>
      <c r="J355" s="116">
        <v>90</v>
      </c>
      <c r="K355" s="116">
        <v>90</v>
      </c>
      <c r="L355" s="122">
        <v>24.3</v>
      </c>
      <c r="M355" s="122">
        <v>6.9</v>
      </c>
      <c r="N355" s="79">
        <v>2.52</v>
      </c>
      <c r="O355" s="116">
        <v>12</v>
      </c>
      <c r="P355" s="122">
        <v>6</v>
      </c>
      <c r="Q355" s="79">
        <v>7.0000000000000007E-2</v>
      </c>
      <c r="R355" s="79">
        <v>22.36</v>
      </c>
      <c r="S355" s="79">
        <v>0.88</v>
      </c>
      <c r="T355" s="79">
        <v>0.7</v>
      </c>
      <c r="U355" s="85">
        <f t="shared" si="38"/>
        <v>1447.6424999999999</v>
      </c>
      <c r="V355" s="79">
        <f t="shared" si="39"/>
        <v>1444.9527050400002</v>
      </c>
      <c r="W355" s="79">
        <f t="shared" si="40"/>
        <v>0.99814194805692724</v>
      </c>
      <c r="X355" s="116">
        <v>3</v>
      </c>
      <c r="Y355" s="116">
        <v>4</v>
      </c>
      <c r="Z355" s="122">
        <v>6.47</v>
      </c>
      <c r="AA355" s="116">
        <v>18</v>
      </c>
      <c r="AB355" s="122">
        <v>6.7</v>
      </c>
      <c r="AC355" s="122">
        <v>4.9000000000000004</v>
      </c>
      <c r="AD355" s="10">
        <v>0.15</v>
      </c>
      <c r="AE355" s="79">
        <v>0.14000000000000001</v>
      </c>
      <c r="AF355" s="85">
        <f t="shared" si="41"/>
        <v>1447.6424999999999</v>
      </c>
      <c r="AG355" s="85">
        <f t="shared" si="42"/>
        <v>1849.8816169599997</v>
      </c>
      <c r="AH355" s="85">
        <f t="shared" si="43"/>
        <v>1.2778580464168465</v>
      </c>
      <c r="AI355" s="116">
        <v>2</v>
      </c>
      <c r="AJ355" s="116">
        <v>4</v>
      </c>
      <c r="AK355" s="79">
        <v>6.48</v>
      </c>
      <c r="AL355" s="79">
        <v>23</v>
      </c>
      <c r="AM355" s="122">
        <v>6.7</v>
      </c>
      <c r="AN355" s="122">
        <v>4.8</v>
      </c>
      <c r="AO355" s="79">
        <v>0.16</v>
      </c>
      <c r="AP355" s="127">
        <v>0.26</v>
      </c>
      <c r="AQ355" s="132">
        <f t="shared" si="44"/>
        <v>2190</v>
      </c>
      <c r="AR355" s="134">
        <f t="shared" si="45"/>
        <v>0.73287671232876717</v>
      </c>
      <c r="AS355" s="134">
        <f t="shared" si="46"/>
        <v>3.9269406392694065E-2</v>
      </c>
      <c r="AT355" s="134">
        <f t="shared" si="47"/>
        <v>0.22785388127853881</v>
      </c>
      <c r="AU355" s="43">
        <f>IF(AND(F355&lt;&gt;"",Y355&lt;&gt;""),AA355/(F355/2/Y355),"")</f>
        <v>6.2418725617685307E-2</v>
      </c>
      <c r="AV355" s="43">
        <f>IF(AND(F355&lt;&gt;"",AJ355&lt;&gt;""),AL355/(F355/2/AJ355),"")</f>
        <v>7.975726051148678E-2</v>
      </c>
      <c r="AW355" s="41">
        <f>IF(AND(AP355&lt;&gt;"",1-(AP355/N355)&gt;0),1-(AP355/N355),"")</f>
        <v>0.89682539682539686</v>
      </c>
      <c r="AX355" s="41">
        <f>IF(AND(AE355&lt;&gt;"",1-(AE355/N355)&gt;0),1-(AE355/N355),"")</f>
        <v>0.94444444444444442</v>
      </c>
      <c r="AY355" s="136" t="str">
        <f>IF(P355="","",IF(P355&lt;2.5,"Alc. Bruta &lt; 2,5 mg/L",IF(P355&lt;5,"2,5 ≤ Alc. Bruta &lt; 5,0 mg/L",IF(P355&lt;7.5,"5,0 ≤ Alc. Bruta &lt; 7,5 mg/L",IF(P355&lt;10,"7,5 ≤ Alc. Bruta &lt; 10,0 mg/L",IF(P355&lt;15,"10,0 ≤ Alca. Bruta &lt; 15,0 mg/L","Alc. Bruta &gt; 15 mg/L"))))))</f>
        <v>5,0 ≤ Alc. Bruta &lt; 7,5 mg/L</v>
      </c>
      <c r="AZ355" s="136" t="str">
        <f>IF(O355="","",IF(O355&lt;5,"Cor &lt;5 uC",IF(O355&lt;10,"5 ≤ Cor &lt; 10 uC",IF(O355&lt;15,"10 ≤ Cor &lt;15 uC",IF(O355&lt;30,"15 ≤ Cor &lt; 30 uC",IF(O355&lt;50,"30 ≤ Cor &lt; 50 uC","Cor &gt; 50 uC"))))))</f>
        <v>10 ≤ Cor &lt;15 uC</v>
      </c>
      <c r="BA355" s="137" t="str">
        <f>IF(N355="","",IF(N355&lt;2.5,"Turbidez &lt; 2,5 uT",IF(N355&lt;5,"2,5 ≤ Turb &lt; 5,0 uT",IF(N355&lt;7.5,"5,0 ≤ Turb &lt; 7,5 uT",IF(N355&lt;10,"7,5 ≤ Turb &lt; 10,0 uT",IF(N355&lt;15,"10,0 ≤ Turb &lt; 15,0 uT","Turb &gt; 15 uT"))))))</f>
        <v>2,5 ≤ Turb &lt; 5,0 uT</v>
      </c>
      <c r="BB355" s="138" t="str">
        <f>IF(AND(C355&gt;D355,D355&gt;E355),"TOR &gt; SM &gt; BNN",IF(AND(C355&gt;E355,E355&gt;D355),"TOR &gt; BNN &gt; SM",IF(AND(D355&gt;C355,C355&gt;E355),"SM &gt; TOR &gt; BNN",IF(AND(D355&gt;E355,E355&gt;C355),"SM &gt; BNN &gt; TOR",IF(AND(C355=D355,D355=E355),"TOR = SM = BNN","Comb. diferentes")))))</f>
        <v>TOR &gt; BNN &gt; SM</v>
      </c>
      <c r="BC355" s="137" t="str">
        <f>IF(OR(AD355="",AP355="-"),"",IF(AD355&lt;=0.25,"Tipo 1 (≤0,25) uT",IF(AD355&lt;=0.5,"Tipo 2 (0,25-0,50) uT",IF(AD355&lt;=0.75,"Tipo 3 (0,50-0,75) uT","Tipo 4 (&gt;0,75) uT"))))</f>
        <v>Tipo 1 (≤0,25) uT</v>
      </c>
      <c r="BD355" s="137" t="str">
        <f>IF(OR(AO355="",AY355="-"),"",IF(AO355&lt;=0.25,"Tipo 1 (≤0,25) uT",IF(AO355&lt;=0.5,"Tipo 2 (0,25-0,50) uT",IF(AO355&lt;=0.75,"Tipo 3 (0,50-0,75) uT","Tipo 4 (&gt;0,75) uT"))))</f>
        <v>Tipo 1 (≤0,25) uT</v>
      </c>
      <c r="BE355" s="137" t="str">
        <f>IF(OR(AE355="",AP355="-"),"",IF(AE355&lt;=0.25,"Tipo 1 (≤0,25) uT",IF(AE355&lt;=0.5,"Tipo 2 (0,25-0,50) uT",IF(AE355&lt;=0.75,"Tipo 3 (0,50-0,75) uT","Tipo 4 (&gt;0,75) uT"))))</f>
        <v>Tipo 1 (≤0,25) uT</v>
      </c>
      <c r="BF355" s="137" t="str">
        <f>IF(OR(AP355="",AP355="-"),"",IF(AP355&lt;=0.25,"Tipo 1 (≤0,25) uT",IF(AP355&lt;=0.5,"Tipo 2 (0,25-0,50) uT",IF(AP355&lt;=0.75,"Tipo 3 (0,50-0,75) uT","Tipo 4 (&gt;0,75) uT"))))</f>
        <v>Tipo 2 (0,25-0,50) uT</v>
      </c>
      <c r="BG355" s="137" t="str">
        <f>IF(OR(Q355="",Q355="-"),"",IF(Q355&lt;=0.25,"Tipo 1 (≤0,25) uT",IF(Q355&lt;=0.5,"Tipo 2 (0,25-0,50) uT",IF(Q355&lt;=0.75,"Tipo 3 (0,50-0,75) uT","Tipo 4 (&gt;0,75) uT"))))</f>
        <v>Tipo 1 (≤0,25) uT</v>
      </c>
    </row>
    <row r="356" spans="1:59" x14ac:dyDescent="0.3">
      <c r="A356" s="26">
        <v>46163</v>
      </c>
      <c r="B356" s="107">
        <v>0.97916666666666663</v>
      </c>
      <c r="C356" s="116">
        <v>1507</v>
      </c>
      <c r="D356" s="116">
        <v>79</v>
      </c>
      <c r="E356" s="116">
        <v>499</v>
      </c>
      <c r="F356" s="116">
        <v>2386</v>
      </c>
      <c r="G356" s="10" t="s">
        <v>100</v>
      </c>
      <c r="H356" s="122">
        <v>7.5</v>
      </c>
      <c r="I356" s="116">
        <v>90</v>
      </c>
      <c r="J356" s="116">
        <v>90</v>
      </c>
      <c r="K356" s="116">
        <v>90</v>
      </c>
      <c r="L356" s="122">
        <v>22.6</v>
      </c>
      <c r="M356" s="122">
        <v>6.7</v>
      </c>
      <c r="N356" s="79">
        <v>3.66</v>
      </c>
      <c r="O356" s="116">
        <v>18</v>
      </c>
      <c r="P356" s="122">
        <v>5.8</v>
      </c>
      <c r="Q356" s="79">
        <v>0.09</v>
      </c>
      <c r="R356" s="79">
        <v>22.36</v>
      </c>
      <c r="S356" s="79">
        <v>0.88</v>
      </c>
      <c r="T356" s="79">
        <v>0.7</v>
      </c>
      <c r="U356" s="85">
        <f t="shared" ref="U356:U419" si="48">(N356+0.3*H356+0.25)*(F356/2/Y356)</f>
        <v>1469.7760000000001</v>
      </c>
      <c r="V356" s="79">
        <f t="shared" ref="V356:V419" si="49">R356*(T356*Z356*0.987-S356)*AA356</f>
        <v>1444.9527050400002</v>
      </c>
      <c r="W356" s="79">
        <f t="shared" ref="W356:W419" si="50">V356/U356</f>
        <v>0.98311083120148923</v>
      </c>
      <c r="X356" s="116">
        <v>3</v>
      </c>
      <c r="Y356" s="116">
        <v>5</v>
      </c>
      <c r="Z356" s="122">
        <v>6.47</v>
      </c>
      <c r="AA356" s="116">
        <v>18</v>
      </c>
      <c r="AB356" s="122">
        <v>6.6</v>
      </c>
      <c r="AC356" s="122">
        <v>4.4000000000000004</v>
      </c>
      <c r="AD356" s="10">
        <v>0.28999999999999998</v>
      </c>
      <c r="AE356" s="79">
        <v>0.17</v>
      </c>
      <c r="AF356" s="85">
        <f t="shared" si="41"/>
        <v>1837.22</v>
      </c>
      <c r="AG356" s="85">
        <f t="shared" si="42"/>
        <v>1766.0533061600001</v>
      </c>
      <c r="AH356" s="85">
        <f t="shared" si="43"/>
        <v>0.9612639238414562</v>
      </c>
      <c r="AI356" s="116">
        <v>2</v>
      </c>
      <c r="AJ356" s="116">
        <v>4</v>
      </c>
      <c r="AK356" s="79">
        <v>6.47</v>
      </c>
      <c r="AL356" s="79">
        <v>22</v>
      </c>
      <c r="AM356" s="122">
        <v>6.4</v>
      </c>
      <c r="AN356" s="122">
        <v>4.5999999999999996</v>
      </c>
      <c r="AO356" s="79">
        <v>0.21</v>
      </c>
      <c r="AP356" s="127">
        <v>0.25</v>
      </c>
      <c r="AQ356" s="132">
        <f t="shared" si="44"/>
        <v>2085</v>
      </c>
      <c r="AR356" s="134">
        <f t="shared" si="45"/>
        <v>0.72278177458033577</v>
      </c>
      <c r="AS356" s="134">
        <f t="shared" si="46"/>
        <v>3.7889688249400477E-2</v>
      </c>
      <c r="AT356" s="134">
        <f t="shared" si="47"/>
        <v>0.23932853717026378</v>
      </c>
      <c r="AU356" s="43">
        <f>IF(AND(F356&lt;&gt;"",Y356&lt;&gt;""),AA356/(F356/2/Y356),"")</f>
        <v>7.5440067057837387E-2</v>
      </c>
      <c r="AV356" s="43">
        <f>IF(AND(F356&lt;&gt;"",AJ356&lt;&gt;""),AL356/(F356/2/AJ356),"")</f>
        <v>7.376362112321877E-2</v>
      </c>
      <c r="AW356" s="41">
        <f>IF(AND(AP356&lt;&gt;"",1-(AP356/N356)&gt;0),1-(AP356/N356),"")</f>
        <v>0.93169398907103829</v>
      </c>
      <c r="AX356" s="41">
        <f>IF(AND(AE356&lt;&gt;"",1-(AE356/N356)&gt;0),1-(AE356/N356),"")</f>
        <v>0.95355191256830596</v>
      </c>
      <c r="AY356" s="136" t="str">
        <f>IF(P356="","",IF(P356&lt;2.5,"Alc. Bruta &lt; 2,5 mg/L",IF(P356&lt;5,"2,5 ≤ Alc. Bruta &lt; 5,0 mg/L",IF(P356&lt;7.5,"5,0 ≤ Alc. Bruta &lt; 7,5 mg/L",IF(P356&lt;10,"7,5 ≤ Alc. Bruta &lt; 10,0 mg/L",IF(P356&lt;15,"10,0 ≤ Alca. Bruta &lt; 15,0 mg/L","Alc. Bruta &gt; 15 mg/L"))))))</f>
        <v>5,0 ≤ Alc. Bruta &lt; 7,5 mg/L</v>
      </c>
      <c r="AZ356" s="136" t="str">
        <f>IF(O356="","",IF(O356&lt;5,"Cor &lt;5 uC",IF(O356&lt;10,"5 ≤ Cor &lt; 10 uC",IF(O356&lt;15,"10 ≤ Cor &lt;15 uC",IF(O356&lt;30,"15 ≤ Cor &lt; 30 uC",IF(O356&lt;50,"30 ≤ Cor &lt; 50 uC","Cor &gt; 50 uC"))))))</f>
        <v>15 ≤ Cor &lt; 30 uC</v>
      </c>
      <c r="BA356" s="137" t="str">
        <f>IF(N356="","",IF(N356&lt;2.5,"Turbidez &lt; 2,5 uT",IF(N356&lt;5,"2,5 ≤ Turb &lt; 5,0 uT",IF(N356&lt;7.5,"5,0 ≤ Turb &lt; 7,5 uT",IF(N356&lt;10,"7,5 ≤ Turb &lt; 10,0 uT",IF(N356&lt;15,"10,0 ≤ Turb &lt; 15,0 uT","Turb &gt; 15 uT"))))))</f>
        <v>2,5 ≤ Turb &lt; 5,0 uT</v>
      </c>
      <c r="BB356" s="138" t="str">
        <f>IF(AND(C356&gt;D356,D356&gt;E356),"TOR &gt; SM &gt; BNN",IF(AND(C356&gt;E356,E356&gt;D356),"TOR &gt; BNN &gt; SM",IF(AND(D356&gt;C356,C356&gt;E356),"SM &gt; TOR &gt; BNN",IF(AND(D356&gt;E356,E356&gt;C356),"SM &gt; BNN &gt; TOR",IF(AND(C356=D356,D356=E356),"TOR = SM = BNN","Comb. diferentes")))))</f>
        <v>TOR &gt; BNN &gt; SM</v>
      </c>
      <c r="BC356" s="137" t="str">
        <f>IF(OR(AD356="",AP356="-"),"",IF(AD356&lt;=0.25,"Tipo 1 (≤0,25) uT",IF(AD356&lt;=0.5,"Tipo 2 (0,25-0,50) uT",IF(AD356&lt;=0.75,"Tipo 3 (0,50-0,75) uT","Tipo 4 (&gt;0,75) uT"))))</f>
        <v>Tipo 2 (0,25-0,50) uT</v>
      </c>
      <c r="BD356" s="137" t="str">
        <f>IF(OR(AO356="",AY356="-"),"",IF(AO356&lt;=0.25,"Tipo 1 (≤0,25) uT",IF(AO356&lt;=0.5,"Tipo 2 (0,25-0,50) uT",IF(AO356&lt;=0.75,"Tipo 3 (0,50-0,75) uT","Tipo 4 (&gt;0,75) uT"))))</f>
        <v>Tipo 1 (≤0,25) uT</v>
      </c>
      <c r="BE356" s="137" t="str">
        <f>IF(OR(AE356="",AP356="-"),"",IF(AE356&lt;=0.25,"Tipo 1 (≤0,25) uT",IF(AE356&lt;=0.5,"Tipo 2 (0,25-0,50) uT",IF(AE356&lt;=0.75,"Tipo 3 (0,50-0,75) uT","Tipo 4 (&gt;0,75) uT"))))</f>
        <v>Tipo 1 (≤0,25) uT</v>
      </c>
      <c r="BF356" s="137" t="str">
        <f>IF(OR(AP356="",AP356="-"),"",IF(AP356&lt;=0.25,"Tipo 1 (≤0,25) uT",IF(AP356&lt;=0.5,"Tipo 2 (0,25-0,50) uT",IF(AP356&lt;=0.75,"Tipo 3 (0,50-0,75) uT","Tipo 4 (&gt;0,75) uT"))))</f>
        <v>Tipo 1 (≤0,25) uT</v>
      </c>
      <c r="BG356" s="137" t="str">
        <f>IF(OR(Q356="",Q356="-"),"",IF(Q356&lt;=0.25,"Tipo 1 (≤0,25) uT",IF(Q356&lt;=0.5,"Tipo 2 (0,25-0,50) uT",IF(Q356&lt;=0.75,"Tipo 3 (0,50-0,75) uT","Tipo 4 (&gt;0,75) uT"))))</f>
        <v>Tipo 1 (≤0,25) uT</v>
      </c>
    </row>
    <row r="357" spans="1:59" x14ac:dyDescent="0.3">
      <c r="A357" s="26">
        <v>46164</v>
      </c>
      <c r="B357" s="107">
        <v>0.14583333333333334</v>
      </c>
      <c r="C357" s="116">
        <v>1552</v>
      </c>
      <c r="D357" s="116">
        <v>81</v>
      </c>
      <c r="E357" s="116">
        <v>499</v>
      </c>
      <c r="F357" s="116">
        <v>2351</v>
      </c>
      <c r="G357" s="10" t="s">
        <v>100</v>
      </c>
      <c r="H357" s="122">
        <v>7.5</v>
      </c>
      <c r="I357" s="116">
        <v>90</v>
      </c>
      <c r="J357" s="116">
        <v>90</v>
      </c>
      <c r="K357" s="116">
        <v>90</v>
      </c>
      <c r="L357" s="122">
        <v>23.4</v>
      </c>
      <c r="M357" s="122">
        <v>6.7</v>
      </c>
      <c r="N357" s="79">
        <v>2.9</v>
      </c>
      <c r="O357" s="116">
        <v>16</v>
      </c>
      <c r="P357" s="122">
        <v>5.6</v>
      </c>
      <c r="Q357" s="79">
        <v>7.0000000000000007E-2</v>
      </c>
      <c r="R357" s="79">
        <v>22.36</v>
      </c>
      <c r="S357" s="79">
        <v>0.88</v>
      </c>
      <c r="T357" s="79">
        <v>0.7</v>
      </c>
      <c r="U357" s="85">
        <f t="shared" si="48"/>
        <v>1586.9250000000002</v>
      </c>
      <c r="V357" s="79">
        <f t="shared" si="49"/>
        <v>1453.2949080000001</v>
      </c>
      <c r="W357" s="79">
        <f t="shared" si="50"/>
        <v>0.91579306394442073</v>
      </c>
      <c r="X357" s="116">
        <v>3</v>
      </c>
      <c r="Y357" s="116">
        <v>4</v>
      </c>
      <c r="Z357" s="122">
        <v>6.5</v>
      </c>
      <c r="AA357" s="116">
        <v>18</v>
      </c>
      <c r="AB357" s="122">
        <v>6.4</v>
      </c>
      <c r="AC357" s="122">
        <v>4.5999999999999996</v>
      </c>
      <c r="AD357" s="10">
        <v>0.17</v>
      </c>
      <c r="AE357" s="79">
        <v>0.14000000000000001</v>
      </c>
      <c r="AF357" s="85">
        <f t="shared" ref="AF357:AF420" si="51">(N357+0.3*H357+0.25)*(F357/2/AJ357)</f>
        <v>1586.9250000000002</v>
      </c>
      <c r="AG357" s="85">
        <f t="shared" ref="AG357:AG420" si="52">R357*(T357*AK357*0.987-S357)*AL357</f>
        <v>1817.9031722799998</v>
      </c>
      <c r="AH357" s="85">
        <f t="shared" ref="AH357:AH420" si="53">AG357/AF357</f>
        <v>1.1455507804590637</v>
      </c>
      <c r="AI357" s="116">
        <v>2</v>
      </c>
      <c r="AJ357" s="116">
        <v>4</v>
      </c>
      <c r="AK357" s="79">
        <v>6.39</v>
      </c>
      <c r="AL357" s="79">
        <v>23</v>
      </c>
      <c r="AM357" s="122">
        <v>6.5</v>
      </c>
      <c r="AN357" s="122">
        <v>4.9000000000000004</v>
      </c>
      <c r="AO357" s="79">
        <v>0.26</v>
      </c>
      <c r="AP357" s="127">
        <v>0.23</v>
      </c>
      <c r="AQ357" s="132">
        <f t="shared" si="44"/>
        <v>2132</v>
      </c>
      <c r="AR357" s="134">
        <f t="shared" si="45"/>
        <v>0.72795497185741087</v>
      </c>
      <c r="AS357" s="134">
        <f t="shared" si="46"/>
        <v>3.7992495309568483E-2</v>
      </c>
      <c r="AT357" s="134">
        <f t="shared" si="47"/>
        <v>0.23405253283302063</v>
      </c>
      <c r="AU357" s="43">
        <f>IF(AND(F357&lt;&gt;"",Y357&lt;&gt;""),AA357/(F357/2/Y357),"")</f>
        <v>6.1250531688643133E-2</v>
      </c>
      <c r="AV357" s="43">
        <f>IF(AND(F357&lt;&gt;"",AJ357&lt;&gt;""),AL357/(F357/2/AJ357),"")</f>
        <v>7.8264568268821777E-2</v>
      </c>
      <c r="AW357" s="41">
        <f>IF(AND(AP357&lt;&gt;"",1-(AP357/N357)&gt;0),1-(AP357/N357),"")</f>
        <v>0.92068965517241375</v>
      </c>
      <c r="AX357" s="41">
        <f>IF(AND(AE357&lt;&gt;"",1-(AE357/N357)&gt;0),1-(AE357/N357),"")</f>
        <v>0.9517241379310345</v>
      </c>
      <c r="AY357" s="136" t="str">
        <f>IF(P357="","",IF(P357&lt;2.5,"Alc. Bruta &lt; 2,5 mg/L",IF(P357&lt;5,"2,5 ≤ Alc. Bruta &lt; 5,0 mg/L",IF(P357&lt;7.5,"5,0 ≤ Alc. Bruta &lt; 7,5 mg/L",IF(P357&lt;10,"7,5 ≤ Alc. Bruta &lt; 10,0 mg/L",IF(P357&lt;15,"10,0 ≤ Alca. Bruta &lt; 15,0 mg/L","Alc. Bruta &gt; 15 mg/L"))))))</f>
        <v>5,0 ≤ Alc. Bruta &lt; 7,5 mg/L</v>
      </c>
      <c r="AZ357" s="136" t="str">
        <f>IF(O357="","",IF(O357&lt;5,"Cor &lt;5 uC",IF(O357&lt;10,"5 ≤ Cor &lt; 10 uC",IF(O357&lt;15,"10 ≤ Cor &lt;15 uC",IF(O357&lt;30,"15 ≤ Cor &lt; 30 uC",IF(O357&lt;50,"30 ≤ Cor &lt; 50 uC","Cor &gt; 50 uC"))))))</f>
        <v>15 ≤ Cor &lt; 30 uC</v>
      </c>
      <c r="BA357" s="137" t="str">
        <f>IF(N357="","",IF(N357&lt;2.5,"Turbidez &lt; 2,5 uT",IF(N357&lt;5,"2,5 ≤ Turb &lt; 5,0 uT",IF(N357&lt;7.5,"5,0 ≤ Turb &lt; 7,5 uT",IF(N357&lt;10,"7,5 ≤ Turb &lt; 10,0 uT",IF(N357&lt;15,"10,0 ≤ Turb &lt; 15,0 uT","Turb &gt; 15 uT"))))))</f>
        <v>2,5 ≤ Turb &lt; 5,0 uT</v>
      </c>
      <c r="BB357" s="138" t="str">
        <f>IF(AND(C357&gt;D357,D357&gt;E357),"TOR &gt; SM &gt; BNN",IF(AND(C357&gt;E357,E357&gt;D357),"TOR &gt; BNN &gt; SM",IF(AND(D357&gt;C357,C357&gt;E357),"SM &gt; TOR &gt; BNN",IF(AND(D357&gt;E357,E357&gt;C357),"SM &gt; BNN &gt; TOR",IF(AND(C357=D357,D357=E357),"TOR = SM = BNN","Comb. diferentes")))))</f>
        <v>TOR &gt; BNN &gt; SM</v>
      </c>
      <c r="BC357" s="137" t="str">
        <f>IF(OR(AD357="",AP357="-"),"",IF(AD357&lt;=0.25,"Tipo 1 (≤0,25) uT",IF(AD357&lt;=0.5,"Tipo 2 (0,25-0,50) uT",IF(AD357&lt;=0.75,"Tipo 3 (0,50-0,75) uT","Tipo 4 (&gt;0,75) uT"))))</f>
        <v>Tipo 1 (≤0,25) uT</v>
      </c>
      <c r="BD357" s="137" t="str">
        <f>IF(OR(AO357="",AY357="-"),"",IF(AO357&lt;=0.25,"Tipo 1 (≤0,25) uT",IF(AO357&lt;=0.5,"Tipo 2 (0,25-0,50) uT",IF(AO357&lt;=0.75,"Tipo 3 (0,50-0,75) uT","Tipo 4 (&gt;0,75) uT"))))</f>
        <v>Tipo 2 (0,25-0,50) uT</v>
      </c>
      <c r="BE357" s="137" t="str">
        <f>IF(OR(AE357="",AP357="-"),"",IF(AE357&lt;=0.25,"Tipo 1 (≤0,25) uT",IF(AE357&lt;=0.5,"Tipo 2 (0,25-0,50) uT",IF(AE357&lt;=0.75,"Tipo 3 (0,50-0,75) uT","Tipo 4 (&gt;0,75) uT"))))</f>
        <v>Tipo 1 (≤0,25) uT</v>
      </c>
      <c r="BF357" s="137" t="str">
        <f>IF(OR(AP357="",AP357="-"),"",IF(AP357&lt;=0.25,"Tipo 1 (≤0,25) uT",IF(AP357&lt;=0.5,"Tipo 2 (0,25-0,50) uT",IF(AP357&lt;=0.75,"Tipo 3 (0,50-0,75) uT","Tipo 4 (&gt;0,75) uT"))))</f>
        <v>Tipo 1 (≤0,25) uT</v>
      </c>
      <c r="BG357" s="137" t="str">
        <f>IF(OR(Q357="",Q357="-"),"",IF(Q357&lt;=0.25,"Tipo 1 (≤0,25) uT",IF(Q357&lt;=0.5,"Tipo 2 (0,25-0,50) uT",IF(Q357&lt;=0.75,"Tipo 3 (0,50-0,75) uT","Tipo 4 (&gt;0,75) uT"))))</f>
        <v>Tipo 1 (≤0,25) uT</v>
      </c>
    </row>
    <row r="358" spans="1:59" ht="15" thickBot="1" x14ac:dyDescent="0.35">
      <c r="A358" s="26">
        <v>46164</v>
      </c>
      <c r="B358" s="110">
        <v>0.22916666666666666</v>
      </c>
      <c r="C358" s="117">
        <v>1811</v>
      </c>
      <c r="D358" s="117">
        <v>88</v>
      </c>
      <c r="E358" s="117">
        <v>0</v>
      </c>
      <c r="F358" s="117">
        <v>1911</v>
      </c>
      <c r="G358" s="11" t="s">
        <v>100</v>
      </c>
      <c r="H358" s="123">
        <v>7.5</v>
      </c>
      <c r="I358" s="117">
        <v>90</v>
      </c>
      <c r="J358" s="117">
        <v>90</v>
      </c>
      <c r="K358" s="117">
        <v>90</v>
      </c>
      <c r="L358" s="123">
        <v>23.5</v>
      </c>
      <c r="M358" s="123">
        <v>6.6</v>
      </c>
      <c r="N358" s="80">
        <v>3.56</v>
      </c>
      <c r="O358" s="117">
        <v>17</v>
      </c>
      <c r="P358" s="123">
        <v>4</v>
      </c>
      <c r="Q358" s="80">
        <v>7.0000000000000007E-2</v>
      </c>
      <c r="R358" s="79">
        <v>22.36</v>
      </c>
      <c r="S358" s="79">
        <v>0.88</v>
      </c>
      <c r="T358" s="79">
        <v>0.7</v>
      </c>
      <c r="U358" s="85">
        <f t="shared" si="48"/>
        <v>1447.5825000000002</v>
      </c>
      <c r="V358" s="79">
        <f t="shared" si="49"/>
        <v>1447.7334393599999</v>
      </c>
      <c r="W358" s="79">
        <f t="shared" si="50"/>
        <v>1.0001042699535259</v>
      </c>
      <c r="X358" s="117">
        <v>2</v>
      </c>
      <c r="Y358" s="117">
        <v>4</v>
      </c>
      <c r="Z358" s="123">
        <v>6.48</v>
      </c>
      <c r="AA358" s="117">
        <v>18</v>
      </c>
      <c r="AB358" s="123">
        <v>6.2</v>
      </c>
      <c r="AC358" s="123">
        <v>3.6</v>
      </c>
      <c r="AD358" s="11">
        <v>0.22</v>
      </c>
      <c r="AE358" s="80">
        <v>0.14000000000000001</v>
      </c>
      <c r="AF358" s="85">
        <f t="shared" si="51"/>
        <v>1930.1100000000001</v>
      </c>
      <c r="AG358" s="85">
        <f t="shared" si="52"/>
        <v>1825.0094933200003</v>
      </c>
      <c r="AH358" s="85">
        <f t="shared" si="53"/>
        <v>0.94554688246783869</v>
      </c>
      <c r="AI358" s="117">
        <v>2</v>
      </c>
      <c r="AJ358" s="117">
        <v>3</v>
      </c>
      <c r="AK358" s="80">
        <v>6.41</v>
      </c>
      <c r="AL358" s="80">
        <v>23</v>
      </c>
      <c r="AM358" s="123">
        <v>5.9</v>
      </c>
      <c r="AN358" s="123">
        <v>2.1</v>
      </c>
      <c r="AO358" s="80">
        <v>0.32</v>
      </c>
      <c r="AP358" s="128">
        <v>0.24</v>
      </c>
      <c r="AQ358" s="132">
        <f t="shared" si="44"/>
        <v>1899</v>
      </c>
      <c r="AR358" s="134">
        <f t="shared" si="45"/>
        <v>0.95365982095839918</v>
      </c>
      <c r="AS358" s="134">
        <f t="shared" si="46"/>
        <v>4.6340179041600843E-2</v>
      </c>
      <c r="AT358" s="134">
        <f t="shared" si="47"/>
        <v>0</v>
      </c>
      <c r="AU358" s="43">
        <f>IF(AND(F358&lt;&gt;"",Y358&lt;&gt;""),AA358/(F358/2/Y358),"")</f>
        <v>7.5353218210361061E-2</v>
      </c>
      <c r="AV358" s="43">
        <f>IF(AND(F358&lt;&gt;"",AJ358&lt;&gt;""),AL358/(F358/2/AJ358),"")</f>
        <v>7.2213500784929358E-2</v>
      </c>
      <c r="AW358" s="41">
        <f>IF(AND(AP358&lt;&gt;"",1-(AP358/N358)&gt;0),1-(AP358/N358),"")</f>
        <v>0.93258426966292141</v>
      </c>
      <c r="AX358" s="41">
        <f>IF(AND(AE358&lt;&gt;"",1-(AE358/N358)&gt;0),1-(AE358/N358),"")</f>
        <v>0.9606741573033708</v>
      </c>
      <c r="AY358" s="136" t="str">
        <f>IF(P358="","",IF(P358&lt;2.5,"Alc. Bruta &lt; 2,5 mg/L",IF(P358&lt;5,"2,5 ≤ Alc. Bruta &lt; 5,0 mg/L",IF(P358&lt;7.5,"5,0 ≤ Alc. Bruta &lt; 7,5 mg/L",IF(P358&lt;10,"7,5 ≤ Alc. Bruta &lt; 10,0 mg/L",IF(P358&lt;15,"10,0 ≤ Alca. Bruta &lt; 15,0 mg/L","Alc. Bruta &gt; 15 mg/L"))))))</f>
        <v>2,5 ≤ Alc. Bruta &lt; 5,0 mg/L</v>
      </c>
      <c r="AZ358" s="136" t="str">
        <f>IF(O358="","",IF(O358&lt;5,"Cor &lt;5 uC",IF(O358&lt;10,"5 ≤ Cor &lt; 10 uC",IF(O358&lt;15,"10 ≤ Cor &lt;15 uC",IF(O358&lt;30,"15 ≤ Cor &lt; 30 uC",IF(O358&lt;50,"30 ≤ Cor &lt; 50 uC","Cor &gt; 50 uC"))))))</f>
        <v>15 ≤ Cor &lt; 30 uC</v>
      </c>
      <c r="BA358" s="137" t="str">
        <f>IF(N358="","",IF(N358&lt;2.5,"Turbidez &lt; 2,5 uT",IF(N358&lt;5,"2,5 ≤ Turb &lt; 5,0 uT",IF(N358&lt;7.5,"5,0 ≤ Turb &lt; 7,5 uT",IF(N358&lt;10,"7,5 ≤ Turb &lt; 10,0 uT",IF(N358&lt;15,"10,0 ≤ Turb &lt; 15,0 uT","Turb &gt; 15 uT"))))))</f>
        <v>2,5 ≤ Turb &lt; 5,0 uT</v>
      </c>
      <c r="BB358" s="138" t="str">
        <f>IF(AND(C358&gt;D358,D358&gt;E358),"TOR &gt; SM &gt; BNN",IF(AND(C358&gt;E358,E358&gt;D358),"TOR &gt; BNN &gt; SM",IF(AND(D358&gt;C358,C358&gt;E358),"SM &gt; TOR &gt; BNN",IF(AND(D358&gt;E358,E358&gt;C358),"SM &gt; BNN &gt; TOR",IF(AND(C358=D358,D358=E358),"TOR = SM = BNN","Comb. diferentes")))))</f>
        <v>TOR &gt; SM &gt; BNN</v>
      </c>
      <c r="BC358" s="137" t="str">
        <f>IF(OR(AD358="",AP358="-"),"",IF(AD358&lt;=0.25,"Tipo 1 (≤0,25) uT",IF(AD358&lt;=0.5,"Tipo 2 (0,25-0,50) uT",IF(AD358&lt;=0.75,"Tipo 3 (0,50-0,75) uT","Tipo 4 (&gt;0,75) uT"))))</f>
        <v>Tipo 1 (≤0,25) uT</v>
      </c>
      <c r="BD358" s="137" t="str">
        <f>IF(OR(AO358="",AY358="-"),"",IF(AO358&lt;=0.25,"Tipo 1 (≤0,25) uT",IF(AO358&lt;=0.5,"Tipo 2 (0,25-0,50) uT",IF(AO358&lt;=0.75,"Tipo 3 (0,50-0,75) uT","Tipo 4 (&gt;0,75) uT"))))</f>
        <v>Tipo 2 (0,25-0,50) uT</v>
      </c>
      <c r="BE358" s="137" t="str">
        <f>IF(OR(AE358="",AP358="-"),"",IF(AE358&lt;=0.25,"Tipo 1 (≤0,25) uT",IF(AE358&lt;=0.5,"Tipo 2 (0,25-0,50) uT",IF(AE358&lt;=0.75,"Tipo 3 (0,50-0,75) uT","Tipo 4 (&gt;0,75) uT"))))</f>
        <v>Tipo 1 (≤0,25) uT</v>
      </c>
      <c r="BF358" s="137" t="str">
        <f>IF(OR(AP358="",AP358="-"),"",IF(AP358&lt;=0.25,"Tipo 1 (≤0,25) uT",IF(AP358&lt;=0.5,"Tipo 2 (0,25-0,50) uT",IF(AP358&lt;=0.75,"Tipo 3 (0,50-0,75) uT","Tipo 4 (&gt;0,75) uT"))))</f>
        <v>Tipo 1 (≤0,25) uT</v>
      </c>
      <c r="BG358" s="137" t="str">
        <f>IF(OR(Q358="",Q358="-"),"",IF(Q358&lt;=0.25,"Tipo 1 (≤0,25) uT",IF(Q358&lt;=0.5,"Tipo 2 (0,25-0,50) uT",IF(Q358&lt;=0.75,"Tipo 3 (0,50-0,75) uT","Tipo 4 (&gt;0,75) uT"))))</f>
        <v>Tipo 1 (≤0,25) uT</v>
      </c>
    </row>
    <row r="359" spans="1:59" x14ac:dyDescent="0.3">
      <c r="A359" s="26">
        <v>46164</v>
      </c>
      <c r="B359" s="111">
        <v>0.3125</v>
      </c>
      <c r="C359" s="118">
        <v>1540</v>
      </c>
      <c r="D359" s="116">
        <v>87</v>
      </c>
      <c r="E359" s="118">
        <v>0</v>
      </c>
      <c r="F359" s="118">
        <v>1867</v>
      </c>
      <c r="G359" s="9" t="s">
        <v>100</v>
      </c>
      <c r="H359" s="124">
        <v>7.5</v>
      </c>
      <c r="I359" s="118">
        <v>90</v>
      </c>
      <c r="J359" s="118">
        <v>90</v>
      </c>
      <c r="K359" s="118">
        <v>90</v>
      </c>
      <c r="L359" s="124">
        <v>23.3</v>
      </c>
      <c r="M359" s="124">
        <v>6.4</v>
      </c>
      <c r="N359" s="81">
        <v>2.81</v>
      </c>
      <c r="O359" s="118">
        <v>14</v>
      </c>
      <c r="P359" s="124">
        <v>2.7</v>
      </c>
      <c r="Q359" s="81">
        <v>0.06</v>
      </c>
      <c r="R359" s="79">
        <v>22.36</v>
      </c>
      <c r="S359" s="79">
        <v>0.88</v>
      </c>
      <c r="T359" s="79">
        <v>0.7</v>
      </c>
      <c r="U359" s="85">
        <f t="shared" si="48"/>
        <v>1239.2212500000001</v>
      </c>
      <c r="V359" s="79">
        <f t="shared" si="49"/>
        <v>1395.8678181604</v>
      </c>
      <c r="W359" s="79">
        <f t="shared" si="50"/>
        <v>1.1264072643689735</v>
      </c>
      <c r="X359" s="118">
        <v>2</v>
      </c>
      <c r="Y359" s="118">
        <v>4</v>
      </c>
      <c r="Z359" s="124">
        <v>6.33</v>
      </c>
      <c r="AA359" s="118">
        <v>17.87</v>
      </c>
      <c r="AB359" s="124">
        <v>6</v>
      </c>
      <c r="AC359" s="124">
        <v>2.2000000000000002</v>
      </c>
      <c r="AD359" s="9">
        <v>0.26</v>
      </c>
      <c r="AE359" s="81">
        <v>0.1</v>
      </c>
      <c r="AF359" s="85">
        <f t="shared" si="51"/>
        <v>1652.2950000000003</v>
      </c>
      <c r="AG359" s="85">
        <f t="shared" si="52"/>
        <v>1929.6526833999999</v>
      </c>
      <c r="AH359" s="85">
        <f t="shared" si="53"/>
        <v>1.1678620847972061</v>
      </c>
      <c r="AI359" s="118">
        <v>2</v>
      </c>
      <c r="AJ359" s="118">
        <v>3</v>
      </c>
      <c r="AK359" s="81">
        <v>6.5</v>
      </c>
      <c r="AL359" s="81">
        <v>23.9</v>
      </c>
      <c r="AM359" s="124">
        <v>6.9</v>
      </c>
      <c r="AN359" s="124">
        <v>2.5</v>
      </c>
      <c r="AO359" s="81">
        <v>0.23</v>
      </c>
      <c r="AP359" s="129">
        <v>0.25</v>
      </c>
      <c r="AQ359" s="132">
        <f t="shared" si="44"/>
        <v>1627</v>
      </c>
      <c r="AR359" s="134">
        <f t="shared" si="45"/>
        <v>0.9465273509526736</v>
      </c>
      <c r="AS359" s="134">
        <f t="shared" si="46"/>
        <v>5.3472649047326369E-2</v>
      </c>
      <c r="AT359" s="134">
        <f t="shared" si="47"/>
        <v>0</v>
      </c>
      <c r="AU359" s="43">
        <f>IF(AND(F359&lt;&gt;"",Y359&lt;&gt;""),AA359/(F359/2/Y359),"")</f>
        <v>7.6572040707016606E-2</v>
      </c>
      <c r="AV359" s="43">
        <f>IF(AND(F359&lt;&gt;"",AJ359&lt;&gt;""),AL359/(F359/2/AJ359),"")</f>
        <v>7.6807712908409209E-2</v>
      </c>
      <c r="AW359" s="41">
        <f>IF(AND(AP359&lt;&gt;"",1-(AP359/N359)&gt;0),1-(AP359/N359),"")</f>
        <v>0.91103202846975084</v>
      </c>
      <c r="AX359" s="41">
        <f>IF(AND(AE359&lt;&gt;"",1-(AE359/N359)&gt;0),1-(AE359/N359),"")</f>
        <v>0.96441281138790036</v>
      </c>
      <c r="AY359" s="136" t="str">
        <f>IF(P359="","",IF(P359&lt;2.5,"Alc. Bruta &lt; 2,5 mg/L",IF(P359&lt;5,"2,5 ≤ Alc. Bruta &lt; 5,0 mg/L",IF(P359&lt;7.5,"5,0 ≤ Alc. Bruta &lt; 7,5 mg/L",IF(P359&lt;10,"7,5 ≤ Alc. Bruta &lt; 10,0 mg/L",IF(P359&lt;15,"10,0 ≤ Alca. Bruta &lt; 15,0 mg/L","Alc. Bruta &gt; 15 mg/L"))))))</f>
        <v>2,5 ≤ Alc. Bruta &lt; 5,0 mg/L</v>
      </c>
      <c r="AZ359" s="136" t="str">
        <f>IF(O359="","",IF(O359&lt;5,"Cor &lt;5 uC",IF(O359&lt;10,"5 ≤ Cor &lt; 10 uC",IF(O359&lt;15,"10 ≤ Cor &lt;15 uC",IF(O359&lt;30,"15 ≤ Cor &lt; 30 uC",IF(O359&lt;50,"30 ≤ Cor &lt; 50 uC","Cor &gt; 50 uC"))))))</f>
        <v>10 ≤ Cor &lt;15 uC</v>
      </c>
      <c r="BA359" s="137" t="str">
        <f>IF(N359="","",IF(N359&lt;2.5,"Turbidez &lt; 2,5 uT",IF(N359&lt;5,"2,5 ≤ Turb &lt; 5,0 uT",IF(N359&lt;7.5,"5,0 ≤ Turb &lt; 7,5 uT",IF(N359&lt;10,"7,5 ≤ Turb &lt; 10,0 uT",IF(N359&lt;15,"10,0 ≤ Turb &lt; 15,0 uT","Turb &gt; 15 uT"))))))</f>
        <v>2,5 ≤ Turb &lt; 5,0 uT</v>
      </c>
      <c r="BB359" s="138" t="str">
        <f>IF(AND(C359&gt;D359,D359&gt;E359),"TOR &gt; SM &gt; BNN",IF(AND(C359&gt;E359,E359&gt;D359),"TOR &gt; BNN &gt; SM",IF(AND(D359&gt;C359,C359&gt;E359),"SM &gt; TOR &gt; BNN",IF(AND(D359&gt;E359,E359&gt;C359),"SM &gt; BNN &gt; TOR",IF(AND(C359=D359,D359=E359),"TOR = SM = BNN","Comb. diferentes")))))</f>
        <v>TOR &gt; SM &gt; BNN</v>
      </c>
      <c r="BC359" s="137" t="str">
        <f>IF(OR(AD359="",AP359="-"),"",IF(AD359&lt;=0.25,"Tipo 1 (≤0,25) uT",IF(AD359&lt;=0.5,"Tipo 2 (0,25-0,50) uT",IF(AD359&lt;=0.75,"Tipo 3 (0,50-0,75) uT","Tipo 4 (&gt;0,75) uT"))))</f>
        <v>Tipo 2 (0,25-0,50) uT</v>
      </c>
      <c r="BD359" s="137" t="str">
        <f>IF(OR(AO359="",AY359="-"),"",IF(AO359&lt;=0.25,"Tipo 1 (≤0,25) uT",IF(AO359&lt;=0.5,"Tipo 2 (0,25-0,50) uT",IF(AO359&lt;=0.75,"Tipo 3 (0,50-0,75) uT","Tipo 4 (&gt;0,75) uT"))))</f>
        <v>Tipo 1 (≤0,25) uT</v>
      </c>
      <c r="BE359" s="137" t="str">
        <f>IF(OR(AE359="",AP359="-"),"",IF(AE359&lt;=0.25,"Tipo 1 (≤0,25) uT",IF(AE359&lt;=0.5,"Tipo 2 (0,25-0,50) uT",IF(AE359&lt;=0.75,"Tipo 3 (0,50-0,75) uT","Tipo 4 (&gt;0,75) uT"))))</f>
        <v>Tipo 1 (≤0,25) uT</v>
      </c>
      <c r="BF359" s="137" t="str">
        <f>IF(OR(AP359="",AP359="-"),"",IF(AP359&lt;=0.25,"Tipo 1 (≤0,25) uT",IF(AP359&lt;=0.5,"Tipo 2 (0,25-0,50) uT",IF(AP359&lt;=0.75,"Tipo 3 (0,50-0,75) uT","Tipo 4 (&gt;0,75) uT"))))</f>
        <v>Tipo 1 (≤0,25) uT</v>
      </c>
      <c r="BG359" s="137" t="str">
        <f>IF(OR(Q359="",Q359="-"),"",IF(Q359&lt;=0.25,"Tipo 1 (≤0,25) uT",IF(Q359&lt;=0.5,"Tipo 2 (0,25-0,50) uT",IF(Q359&lt;=0.75,"Tipo 3 (0,50-0,75) uT","Tipo 4 (&gt;0,75) uT"))))</f>
        <v>Tipo 1 (≤0,25) uT</v>
      </c>
    </row>
    <row r="360" spans="1:59" x14ac:dyDescent="0.3">
      <c r="A360" s="26">
        <v>46164</v>
      </c>
      <c r="B360" s="107">
        <v>0.39583333333333331</v>
      </c>
      <c r="C360" s="116">
        <v>1650</v>
      </c>
      <c r="D360" s="116">
        <v>80</v>
      </c>
      <c r="E360" s="116">
        <v>0</v>
      </c>
      <c r="F360" s="116">
        <v>1849</v>
      </c>
      <c r="G360" s="10" t="s">
        <v>100</v>
      </c>
      <c r="H360" s="122">
        <v>7.5</v>
      </c>
      <c r="I360" s="116">
        <v>90</v>
      </c>
      <c r="J360" s="116">
        <v>90</v>
      </c>
      <c r="K360" s="116">
        <v>90</v>
      </c>
      <c r="L360" s="122">
        <v>23</v>
      </c>
      <c r="M360" s="122">
        <v>6.5</v>
      </c>
      <c r="N360" s="79">
        <v>2.88</v>
      </c>
      <c r="O360" s="116">
        <v>14</v>
      </c>
      <c r="P360" s="122">
        <v>3.4</v>
      </c>
      <c r="Q360" s="79">
        <v>0.06</v>
      </c>
      <c r="R360" s="79">
        <v>22.36</v>
      </c>
      <c r="S360" s="79">
        <v>0.88</v>
      </c>
      <c r="T360" s="79">
        <v>0.7</v>
      </c>
      <c r="U360" s="85">
        <f t="shared" si="48"/>
        <v>1243.4524999999999</v>
      </c>
      <c r="V360" s="79">
        <f t="shared" si="49"/>
        <v>1421.5038902063998</v>
      </c>
      <c r="W360" s="79">
        <f t="shared" si="50"/>
        <v>1.1431911473951759</v>
      </c>
      <c r="X360" s="116">
        <v>2</v>
      </c>
      <c r="Y360" s="116">
        <v>4</v>
      </c>
      <c r="Z360" s="122">
        <v>6.49</v>
      </c>
      <c r="AA360" s="116">
        <v>17.64</v>
      </c>
      <c r="AB360" s="122">
        <v>5.8</v>
      </c>
      <c r="AC360" s="122">
        <v>2</v>
      </c>
      <c r="AD360" s="10">
        <v>0.16</v>
      </c>
      <c r="AE360" s="79">
        <v>0.1</v>
      </c>
      <c r="AF360" s="85">
        <f t="shared" si="51"/>
        <v>1657.9366666666667</v>
      </c>
      <c r="AG360" s="85">
        <f t="shared" si="52"/>
        <v>1859.6201697216</v>
      </c>
      <c r="AH360" s="85">
        <f t="shared" si="53"/>
        <v>1.1216472903397596</v>
      </c>
      <c r="AI360" s="116">
        <v>2</v>
      </c>
      <c r="AJ360" s="116">
        <v>3</v>
      </c>
      <c r="AK360" s="79">
        <v>6.34</v>
      </c>
      <c r="AL360" s="79">
        <v>23.76</v>
      </c>
      <c r="AM360" s="122">
        <v>5.7</v>
      </c>
      <c r="AN360" s="122">
        <v>1.9</v>
      </c>
      <c r="AO360" s="79">
        <v>0.14000000000000001</v>
      </c>
      <c r="AP360" s="127">
        <v>0.3</v>
      </c>
      <c r="AQ360" s="132">
        <f t="shared" si="44"/>
        <v>1730</v>
      </c>
      <c r="AR360" s="134">
        <f t="shared" si="45"/>
        <v>0.95375722543352603</v>
      </c>
      <c r="AS360" s="134">
        <f t="shared" si="46"/>
        <v>4.6242774566473986E-2</v>
      </c>
      <c r="AT360" s="134">
        <f t="shared" si="47"/>
        <v>0</v>
      </c>
      <c r="AU360" s="43">
        <f>IF(AND(F360&lt;&gt;"",Y360&lt;&gt;""),AA360/(F360/2/Y360),"")</f>
        <v>7.6322336398052998E-2</v>
      </c>
      <c r="AV360" s="43">
        <f>IF(AND(F360&lt;&gt;"",AJ360&lt;&gt;""),AL360/(F360/2/AJ360),"")</f>
        <v>7.7101135749053543E-2</v>
      </c>
      <c r="AW360" s="41">
        <f>IF(AND(AP360&lt;&gt;"",1-(AP360/N360)&gt;0),1-(AP360/N360),"")</f>
        <v>0.89583333333333337</v>
      </c>
      <c r="AX360" s="41">
        <f>IF(AND(AE360&lt;&gt;"",1-(AE360/N360)&gt;0),1-(AE360/N360),"")</f>
        <v>0.96527777777777779</v>
      </c>
      <c r="AY360" s="136" t="str">
        <f>IF(P360="","",IF(P360&lt;2.5,"Alc. Bruta &lt; 2,5 mg/L",IF(P360&lt;5,"2,5 ≤ Alc. Bruta &lt; 5,0 mg/L",IF(P360&lt;7.5,"5,0 ≤ Alc. Bruta &lt; 7,5 mg/L",IF(P360&lt;10,"7,5 ≤ Alc. Bruta &lt; 10,0 mg/L",IF(P360&lt;15,"10,0 ≤ Alca. Bruta &lt; 15,0 mg/L","Alc. Bruta &gt; 15 mg/L"))))))</f>
        <v>2,5 ≤ Alc. Bruta &lt; 5,0 mg/L</v>
      </c>
      <c r="AZ360" s="136" t="str">
        <f>IF(O360="","",IF(O360&lt;5,"Cor &lt;5 uC",IF(O360&lt;10,"5 ≤ Cor &lt; 10 uC",IF(O360&lt;15,"10 ≤ Cor &lt;15 uC",IF(O360&lt;30,"15 ≤ Cor &lt; 30 uC",IF(O360&lt;50,"30 ≤ Cor &lt; 50 uC","Cor &gt; 50 uC"))))))</f>
        <v>10 ≤ Cor &lt;15 uC</v>
      </c>
      <c r="BA360" s="137" t="str">
        <f>IF(N360="","",IF(N360&lt;2.5,"Turbidez &lt; 2,5 uT",IF(N360&lt;5,"2,5 ≤ Turb &lt; 5,0 uT",IF(N360&lt;7.5,"5,0 ≤ Turb &lt; 7,5 uT",IF(N360&lt;10,"7,5 ≤ Turb &lt; 10,0 uT",IF(N360&lt;15,"10,0 ≤ Turb &lt; 15,0 uT","Turb &gt; 15 uT"))))))</f>
        <v>2,5 ≤ Turb &lt; 5,0 uT</v>
      </c>
      <c r="BB360" s="138" t="str">
        <f>IF(AND(C360&gt;D360,D360&gt;E360),"TOR &gt; SM &gt; BNN",IF(AND(C360&gt;E360,E360&gt;D360),"TOR &gt; BNN &gt; SM",IF(AND(D360&gt;C360,C360&gt;E360),"SM &gt; TOR &gt; BNN",IF(AND(D360&gt;E360,E360&gt;C360),"SM &gt; BNN &gt; TOR",IF(AND(C360=D360,D360=E360),"TOR = SM = BNN","Comb. diferentes")))))</f>
        <v>TOR &gt; SM &gt; BNN</v>
      </c>
      <c r="BC360" s="137" t="str">
        <f>IF(OR(AD360="",AP360="-"),"",IF(AD360&lt;=0.25,"Tipo 1 (≤0,25) uT",IF(AD360&lt;=0.5,"Tipo 2 (0,25-0,50) uT",IF(AD360&lt;=0.75,"Tipo 3 (0,50-0,75) uT","Tipo 4 (&gt;0,75) uT"))))</f>
        <v>Tipo 1 (≤0,25) uT</v>
      </c>
      <c r="BD360" s="137" t="str">
        <f>IF(OR(AO360="",AY360="-"),"",IF(AO360&lt;=0.25,"Tipo 1 (≤0,25) uT",IF(AO360&lt;=0.5,"Tipo 2 (0,25-0,50) uT",IF(AO360&lt;=0.75,"Tipo 3 (0,50-0,75) uT","Tipo 4 (&gt;0,75) uT"))))</f>
        <v>Tipo 1 (≤0,25) uT</v>
      </c>
      <c r="BE360" s="137" t="str">
        <f>IF(OR(AE360="",AP360="-"),"",IF(AE360&lt;=0.25,"Tipo 1 (≤0,25) uT",IF(AE360&lt;=0.5,"Tipo 2 (0,25-0,50) uT",IF(AE360&lt;=0.75,"Tipo 3 (0,50-0,75) uT","Tipo 4 (&gt;0,75) uT"))))</f>
        <v>Tipo 1 (≤0,25) uT</v>
      </c>
      <c r="BF360" s="137" t="str">
        <f>IF(OR(AP360="",AP360="-"),"",IF(AP360&lt;=0.25,"Tipo 1 (≤0,25) uT",IF(AP360&lt;=0.5,"Tipo 2 (0,25-0,50) uT",IF(AP360&lt;=0.75,"Tipo 3 (0,50-0,75) uT","Tipo 4 (&gt;0,75) uT"))))</f>
        <v>Tipo 2 (0,25-0,50) uT</v>
      </c>
      <c r="BG360" s="137" t="str">
        <f>IF(OR(Q360="",Q360="-"),"",IF(Q360&lt;=0.25,"Tipo 1 (≤0,25) uT",IF(Q360&lt;=0.5,"Tipo 2 (0,25-0,50) uT",IF(Q360&lt;=0.75,"Tipo 3 (0,50-0,75) uT","Tipo 4 (&gt;0,75) uT"))))</f>
        <v>Tipo 1 (≤0,25) uT</v>
      </c>
    </row>
    <row r="361" spans="1:59" x14ac:dyDescent="0.3">
      <c r="A361" s="26">
        <v>46164</v>
      </c>
      <c r="B361" s="107">
        <v>0.47916666666666669</v>
      </c>
      <c r="C361" s="116">
        <v>1627</v>
      </c>
      <c r="D361" s="116">
        <v>82</v>
      </c>
      <c r="E361" s="116">
        <v>520</v>
      </c>
      <c r="F361" s="116">
        <v>2227</v>
      </c>
      <c r="G361" s="10" t="s">
        <v>100</v>
      </c>
      <c r="H361" s="122">
        <v>7.5</v>
      </c>
      <c r="I361" s="116">
        <v>90</v>
      </c>
      <c r="J361" s="116">
        <v>90</v>
      </c>
      <c r="K361" s="116">
        <v>90</v>
      </c>
      <c r="L361" s="122">
        <v>23.8</v>
      </c>
      <c r="M361" s="122">
        <v>6.7</v>
      </c>
      <c r="N361" s="79">
        <v>2.87</v>
      </c>
      <c r="O361" s="116">
        <v>14</v>
      </c>
      <c r="P361" s="122">
        <v>4.5</v>
      </c>
      <c r="Q361" s="79">
        <v>0.06</v>
      </c>
      <c r="R361" s="79">
        <v>22.36</v>
      </c>
      <c r="S361" s="79">
        <v>0.88</v>
      </c>
      <c r="T361" s="79">
        <v>0.7</v>
      </c>
      <c r="U361" s="85">
        <f t="shared" si="48"/>
        <v>1494.87375</v>
      </c>
      <c r="V361" s="79">
        <f t="shared" si="49"/>
        <v>1535.1275004779998</v>
      </c>
      <c r="W361" s="79">
        <f t="shared" si="50"/>
        <v>1.0269278596122247</v>
      </c>
      <c r="X361" s="116">
        <v>3</v>
      </c>
      <c r="Y361" s="116">
        <v>4</v>
      </c>
      <c r="Z361" s="122">
        <v>6.49</v>
      </c>
      <c r="AA361" s="116">
        <v>19.05</v>
      </c>
      <c r="AB361" s="122">
        <v>5.3</v>
      </c>
      <c r="AC361" s="122">
        <v>2.1</v>
      </c>
      <c r="AD361" s="10">
        <v>0.22</v>
      </c>
      <c r="AE361" s="79">
        <v>0.1</v>
      </c>
      <c r="AF361" s="85">
        <f t="shared" si="51"/>
        <v>1494.87375</v>
      </c>
      <c r="AG361" s="85">
        <f t="shared" si="52"/>
        <v>1770.1745332127996</v>
      </c>
      <c r="AH361" s="85">
        <f t="shared" si="53"/>
        <v>1.1841632333250882</v>
      </c>
      <c r="AI361" s="116">
        <v>3</v>
      </c>
      <c r="AJ361" s="116">
        <v>4</v>
      </c>
      <c r="AK361" s="79">
        <v>6.38</v>
      </c>
      <c r="AL361" s="79">
        <v>22.44</v>
      </c>
      <c r="AM361" s="122">
        <v>5.8</v>
      </c>
      <c r="AN361" s="122">
        <v>2</v>
      </c>
      <c r="AO361" s="79">
        <v>0.15</v>
      </c>
      <c r="AP361" s="127">
        <v>0.32</v>
      </c>
      <c r="AQ361" s="132">
        <f t="shared" si="44"/>
        <v>2229</v>
      </c>
      <c r="AR361" s="134">
        <f t="shared" si="45"/>
        <v>0.72992373261552268</v>
      </c>
      <c r="AS361" s="134">
        <f t="shared" si="46"/>
        <v>3.6787797218483624E-2</v>
      </c>
      <c r="AT361" s="134">
        <f t="shared" si="47"/>
        <v>0.23328847016599372</v>
      </c>
      <c r="AU361" s="43">
        <f>IF(AND(F361&lt;&gt;"",Y361&lt;&gt;""),AA361/(F361/2/Y361),"")</f>
        <v>6.8432869330938478E-2</v>
      </c>
      <c r="AV361" s="43">
        <f>IF(AND(F361&lt;&gt;"",AJ361&lt;&gt;""),AL361/(F361/2/AJ361),"")</f>
        <v>8.0610687022900765E-2</v>
      </c>
      <c r="AW361" s="41">
        <f>IF(AND(AP361&lt;&gt;"",1-(AP361/N361)&gt;0),1-(AP361/N361),"")</f>
        <v>0.88850174216027877</v>
      </c>
      <c r="AX361" s="41">
        <f>IF(AND(AE361&lt;&gt;"",1-(AE361/N361)&gt;0),1-(AE361/N361),"")</f>
        <v>0.96515679442508706</v>
      </c>
      <c r="AY361" s="136" t="str">
        <f>IF(P361="","",IF(P361&lt;2.5,"Alc. Bruta &lt; 2,5 mg/L",IF(P361&lt;5,"2,5 ≤ Alc. Bruta &lt; 5,0 mg/L",IF(P361&lt;7.5,"5,0 ≤ Alc. Bruta &lt; 7,5 mg/L",IF(P361&lt;10,"7,5 ≤ Alc. Bruta &lt; 10,0 mg/L",IF(P361&lt;15,"10,0 ≤ Alca. Bruta &lt; 15,0 mg/L","Alc. Bruta &gt; 15 mg/L"))))))</f>
        <v>2,5 ≤ Alc. Bruta &lt; 5,0 mg/L</v>
      </c>
      <c r="AZ361" s="136" t="str">
        <f>IF(O361="","",IF(O361&lt;5,"Cor &lt;5 uC",IF(O361&lt;10,"5 ≤ Cor &lt; 10 uC",IF(O361&lt;15,"10 ≤ Cor &lt;15 uC",IF(O361&lt;30,"15 ≤ Cor &lt; 30 uC",IF(O361&lt;50,"30 ≤ Cor &lt; 50 uC","Cor &gt; 50 uC"))))))</f>
        <v>10 ≤ Cor &lt;15 uC</v>
      </c>
      <c r="BA361" s="137" t="str">
        <f>IF(N361="","",IF(N361&lt;2.5,"Turbidez &lt; 2,5 uT",IF(N361&lt;5,"2,5 ≤ Turb &lt; 5,0 uT",IF(N361&lt;7.5,"5,0 ≤ Turb &lt; 7,5 uT",IF(N361&lt;10,"7,5 ≤ Turb &lt; 10,0 uT",IF(N361&lt;15,"10,0 ≤ Turb &lt; 15,0 uT","Turb &gt; 15 uT"))))))</f>
        <v>2,5 ≤ Turb &lt; 5,0 uT</v>
      </c>
      <c r="BB361" s="138" t="str">
        <f>IF(AND(C361&gt;D361,D361&gt;E361),"TOR &gt; SM &gt; BNN",IF(AND(C361&gt;E361,E361&gt;D361),"TOR &gt; BNN &gt; SM",IF(AND(D361&gt;C361,C361&gt;E361),"SM &gt; TOR &gt; BNN",IF(AND(D361&gt;E361,E361&gt;C361),"SM &gt; BNN &gt; TOR",IF(AND(C361=D361,D361=E361),"TOR = SM = BNN","Comb. diferentes")))))</f>
        <v>TOR &gt; BNN &gt; SM</v>
      </c>
      <c r="BC361" s="137" t="str">
        <f>IF(OR(AD361="",AP361="-"),"",IF(AD361&lt;=0.25,"Tipo 1 (≤0,25) uT",IF(AD361&lt;=0.5,"Tipo 2 (0,25-0,50) uT",IF(AD361&lt;=0.75,"Tipo 3 (0,50-0,75) uT","Tipo 4 (&gt;0,75) uT"))))</f>
        <v>Tipo 1 (≤0,25) uT</v>
      </c>
      <c r="BD361" s="137" t="str">
        <f>IF(OR(AO361="",AY361="-"),"",IF(AO361&lt;=0.25,"Tipo 1 (≤0,25) uT",IF(AO361&lt;=0.5,"Tipo 2 (0,25-0,50) uT",IF(AO361&lt;=0.75,"Tipo 3 (0,50-0,75) uT","Tipo 4 (&gt;0,75) uT"))))</f>
        <v>Tipo 1 (≤0,25) uT</v>
      </c>
      <c r="BE361" s="137" t="str">
        <f>IF(OR(AE361="",AP361="-"),"",IF(AE361&lt;=0.25,"Tipo 1 (≤0,25) uT",IF(AE361&lt;=0.5,"Tipo 2 (0,25-0,50) uT",IF(AE361&lt;=0.75,"Tipo 3 (0,50-0,75) uT","Tipo 4 (&gt;0,75) uT"))))</f>
        <v>Tipo 1 (≤0,25) uT</v>
      </c>
      <c r="BF361" s="137" t="str">
        <f>IF(OR(AP361="",AP361="-"),"",IF(AP361&lt;=0.25,"Tipo 1 (≤0,25) uT",IF(AP361&lt;=0.5,"Tipo 2 (0,25-0,50) uT",IF(AP361&lt;=0.75,"Tipo 3 (0,50-0,75) uT","Tipo 4 (&gt;0,75) uT"))))</f>
        <v>Tipo 2 (0,25-0,50) uT</v>
      </c>
      <c r="BG361" s="137" t="str">
        <f>IF(OR(Q361="",Q361="-"),"",IF(Q361&lt;=0.25,"Tipo 1 (≤0,25) uT",IF(Q361&lt;=0.5,"Tipo 2 (0,25-0,50) uT",IF(Q361&lt;=0.75,"Tipo 3 (0,50-0,75) uT","Tipo 4 (&gt;0,75) uT"))))</f>
        <v>Tipo 1 (≤0,25) uT</v>
      </c>
    </row>
    <row r="362" spans="1:59" x14ac:dyDescent="0.3">
      <c r="A362" s="26">
        <v>46164</v>
      </c>
      <c r="B362" s="107">
        <v>0.64583333333333337</v>
      </c>
      <c r="C362" s="116">
        <v>1575</v>
      </c>
      <c r="D362" s="116">
        <v>84</v>
      </c>
      <c r="E362" s="116">
        <v>524</v>
      </c>
      <c r="F362" s="116">
        <v>2244</v>
      </c>
      <c r="G362" s="10" t="s">
        <v>100</v>
      </c>
      <c r="H362" s="122">
        <v>7.5</v>
      </c>
      <c r="I362" s="116">
        <v>90</v>
      </c>
      <c r="J362" s="116">
        <v>90</v>
      </c>
      <c r="K362" s="116">
        <v>90</v>
      </c>
      <c r="L362" s="122">
        <v>24.4</v>
      </c>
      <c r="M362" s="122">
        <v>7</v>
      </c>
      <c r="N362" s="79">
        <v>2.83</v>
      </c>
      <c r="O362" s="116">
        <v>13</v>
      </c>
      <c r="P362" s="122">
        <v>6</v>
      </c>
      <c r="Q362" s="79">
        <v>7.0000000000000007E-2</v>
      </c>
      <c r="R362" s="79">
        <v>22.36</v>
      </c>
      <c r="S362" s="79">
        <v>0.88</v>
      </c>
      <c r="T362" s="79">
        <v>0.7</v>
      </c>
      <c r="U362" s="85">
        <f t="shared" si="48"/>
        <v>1495.0650000000001</v>
      </c>
      <c r="V362" s="79">
        <f t="shared" si="49"/>
        <v>1406.7308566636</v>
      </c>
      <c r="W362" s="79">
        <f t="shared" si="50"/>
        <v>0.94091618535889743</v>
      </c>
      <c r="X362" s="116">
        <v>3</v>
      </c>
      <c r="Y362" s="116">
        <v>4</v>
      </c>
      <c r="Z362" s="122">
        <v>6.51</v>
      </c>
      <c r="AA362" s="116">
        <v>17.39</v>
      </c>
      <c r="AB362" s="122">
        <v>6.5</v>
      </c>
      <c r="AC362" s="122">
        <v>4.7</v>
      </c>
      <c r="AD362" s="10">
        <v>0.3</v>
      </c>
      <c r="AE362" s="79">
        <v>0.17</v>
      </c>
      <c r="AF362" s="85">
        <f t="shared" si="51"/>
        <v>1495.0650000000001</v>
      </c>
      <c r="AG362" s="85">
        <f t="shared" si="52"/>
        <v>1646.9490329344001</v>
      </c>
      <c r="AH362" s="85">
        <f t="shared" si="53"/>
        <v>1.1015902538915698</v>
      </c>
      <c r="AI362" s="116">
        <v>3</v>
      </c>
      <c r="AJ362" s="116">
        <v>4</v>
      </c>
      <c r="AK362" s="79">
        <v>6.36</v>
      </c>
      <c r="AL362" s="79">
        <v>20.96</v>
      </c>
      <c r="AM362" s="122">
        <v>6.5</v>
      </c>
      <c r="AN362" s="122">
        <v>4.5</v>
      </c>
      <c r="AO362" s="79">
        <v>0.2</v>
      </c>
      <c r="AP362" s="127">
        <v>0.21</v>
      </c>
      <c r="AQ362" s="132">
        <f t="shared" si="44"/>
        <v>2183</v>
      </c>
      <c r="AR362" s="134">
        <f t="shared" si="45"/>
        <v>0.72148419606046721</v>
      </c>
      <c r="AS362" s="134">
        <f t="shared" si="46"/>
        <v>3.8479157123224923E-2</v>
      </c>
      <c r="AT362" s="134">
        <f t="shared" si="47"/>
        <v>0.24003664681630785</v>
      </c>
      <c r="AU362" s="43">
        <f>IF(AND(F362&lt;&gt;"",Y362&lt;&gt;""),AA362/(F362/2/Y362),"")</f>
        <v>6.1996434937611408E-2</v>
      </c>
      <c r="AV362" s="43">
        <f>IF(AND(F362&lt;&gt;"",AJ362&lt;&gt;""),AL362/(F362/2/AJ362),"")</f>
        <v>7.4723707664884134E-2</v>
      </c>
      <c r="AW362" s="41">
        <f>IF(AND(AP362&lt;&gt;"",1-(AP362/N362)&gt;0),1-(AP362/N362),"")</f>
        <v>0.9257950530035336</v>
      </c>
      <c r="AX362" s="41">
        <f>IF(AND(AE362&lt;&gt;"",1-(AE362/N362)&gt;0),1-(AE362/N362),"")</f>
        <v>0.93992932862190814</v>
      </c>
      <c r="AY362" s="136" t="str">
        <f>IF(P362="","",IF(P362&lt;2.5,"Alc. Bruta &lt; 2,5 mg/L",IF(P362&lt;5,"2,5 ≤ Alc. Bruta &lt; 5,0 mg/L",IF(P362&lt;7.5,"5,0 ≤ Alc. Bruta &lt; 7,5 mg/L",IF(P362&lt;10,"7,5 ≤ Alc. Bruta &lt; 10,0 mg/L",IF(P362&lt;15,"10,0 ≤ Alca. Bruta &lt; 15,0 mg/L","Alc. Bruta &gt; 15 mg/L"))))))</f>
        <v>5,0 ≤ Alc. Bruta &lt; 7,5 mg/L</v>
      </c>
      <c r="AZ362" s="136" t="str">
        <f>IF(O362="","",IF(O362&lt;5,"Cor &lt;5 uC",IF(O362&lt;10,"5 ≤ Cor &lt; 10 uC",IF(O362&lt;15,"10 ≤ Cor &lt;15 uC",IF(O362&lt;30,"15 ≤ Cor &lt; 30 uC",IF(O362&lt;50,"30 ≤ Cor &lt; 50 uC","Cor &gt; 50 uC"))))))</f>
        <v>10 ≤ Cor &lt;15 uC</v>
      </c>
      <c r="BA362" s="137" t="str">
        <f>IF(N362="","",IF(N362&lt;2.5,"Turbidez &lt; 2,5 uT",IF(N362&lt;5,"2,5 ≤ Turb &lt; 5,0 uT",IF(N362&lt;7.5,"5,0 ≤ Turb &lt; 7,5 uT",IF(N362&lt;10,"7,5 ≤ Turb &lt; 10,0 uT",IF(N362&lt;15,"10,0 ≤ Turb &lt; 15,0 uT","Turb &gt; 15 uT"))))))</f>
        <v>2,5 ≤ Turb &lt; 5,0 uT</v>
      </c>
      <c r="BB362" s="138" t="str">
        <f>IF(AND(C362&gt;D362,D362&gt;E362),"TOR &gt; SM &gt; BNN",IF(AND(C362&gt;E362,E362&gt;D362),"TOR &gt; BNN &gt; SM",IF(AND(D362&gt;C362,C362&gt;E362),"SM &gt; TOR &gt; BNN",IF(AND(D362&gt;E362,E362&gt;C362),"SM &gt; BNN &gt; TOR",IF(AND(C362=D362,D362=E362),"TOR = SM = BNN","Comb. diferentes")))))</f>
        <v>TOR &gt; BNN &gt; SM</v>
      </c>
      <c r="BC362" s="137" t="str">
        <f>IF(OR(AD362="",AP362="-"),"",IF(AD362&lt;=0.25,"Tipo 1 (≤0,25) uT",IF(AD362&lt;=0.5,"Tipo 2 (0,25-0,50) uT",IF(AD362&lt;=0.75,"Tipo 3 (0,50-0,75) uT","Tipo 4 (&gt;0,75) uT"))))</f>
        <v>Tipo 2 (0,25-0,50) uT</v>
      </c>
      <c r="BD362" s="137" t="str">
        <f>IF(OR(AO362="",AY362="-"),"",IF(AO362&lt;=0.25,"Tipo 1 (≤0,25) uT",IF(AO362&lt;=0.5,"Tipo 2 (0,25-0,50) uT",IF(AO362&lt;=0.75,"Tipo 3 (0,50-0,75) uT","Tipo 4 (&gt;0,75) uT"))))</f>
        <v>Tipo 1 (≤0,25) uT</v>
      </c>
      <c r="BE362" s="137" t="str">
        <f>IF(OR(AE362="",AP362="-"),"",IF(AE362&lt;=0.25,"Tipo 1 (≤0,25) uT",IF(AE362&lt;=0.5,"Tipo 2 (0,25-0,50) uT",IF(AE362&lt;=0.75,"Tipo 3 (0,50-0,75) uT","Tipo 4 (&gt;0,75) uT"))))</f>
        <v>Tipo 1 (≤0,25) uT</v>
      </c>
      <c r="BF362" s="137" t="str">
        <f>IF(OR(AP362="",AP362="-"),"",IF(AP362&lt;=0.25,"Tipo 1 (≤0,25) uT",IF(AP362&lt;=0.5,"Tipo 2 (0,25-0,50) uT",IF(AP362&lt;=0.75,"Tipo 3 (0,50-0,75) uT","Tipo 4 (&gt;0,75) uT"))))</f>
        <v>Tipo 1 (≤0,25) uT</v>
      </c>
      <c r="BG362" s="137" t="str">
        <f>IF(OR(Q362="",Q362="-"),"",IF(Q362&lt;=0.25,"Tipo 1 (≤0,25) uT",IF(Q362&lt;=0.5,"Tipo 2 (0,25-0,50) uT",IF(Q362&lt;=0.75,"Tipo 3 (0,50-0,75) uT","Tipo 4 (&gt;0,75) uT"))))</f>
        <v>Tipo 1 (≤0,25) uT</v>
      </c>
    </row>
    <row r="363" spans="1:59" x14ac:dyDescent="0.3">
      <c r="A363" s="26">
        <v>46164</v>
      </c>
      <c r="B363" s="107">
        <v>0.72916666666666663</v>
      </c>
      <c r="C363" s="116">
        <v>1486</v>
      </c>
      <c r="D363" s="116">
        <v>90</v>
      </c>
      <c r="E363" s="116">
        <v>525</v>
      </c>
      <c r="F363" s="116">
        <v>2165</v>
      </c>
      <c r="G363" s="10" t="s">
        <v>100</v>
      </c>
      <c r="H363" s="122">
        <v>7.5</v>
      </c>
      <c r="I363" s="116">
        <v>90</v>
      </c>
      <c r="J363" s="116">
        <v>90</v>
      </c>
      <c r="K363" s="116">
        <v>90</v>
      </c>
      <c r="L363" s="122">
        <v>25</v>
      </c>
      <c r="M363" s="122">
        <v>7</v>
      </c>
      <c r="N363" s="79">
        <v>2.82</v>
      </c>
      <c r="O363" s="116">
        <v>14</v>
      </c>
      <c r="P363" s="122">
        <v>6.1</v>
      </c>
      <c r="Q363" s="79">
        <v>0.08</v>
      </c>
      <c r="R363" s="79">
        <v>22.36</v>
      </c>
      <c r="S363" s="79">
        <v>0.88</v>
      </c>
      <c r="T363" s="79">
        <v>0.7</v>
      </c>
      <c r="U363" s="85">
        <f t="shared" si="48"/>
        <v>1439.7250000000001</v>
      </c>
      <c r="V363" s="79">
        <f t="shared" si="49"/>
        <v>1406.4206329056001</v>
      </c>
      <c r="W363" s="79">
        <f t="shared" si="50"/>
        <v>0.9768675496401048</v>
      </c>
      <c r="X363" s="116">
        <v>3</v>
      </c>
      <c r="Y363" s="116">
        <v>4</v>
      </c>
      <c r="Z363" s="122">
        <v>6.47</v>
      </c>
      <c r="AA363" s="116">
        <v>17.52</v>
      </c>
      <c r="AB363" s="122">
        <v>6.3</v>
      </c>
      <c r="AC363" s="122">
        <v>5</v>
      </c>
      <c r="AD363" s="10">
        <v>0.25</v>
      </c>
      <c r="AE363" s="79">
        <v>0.55000000000000004</v>
      </c>
      <c r="AF363" s="85">
        <f t="shared" si="51"/>
        <v>1439.7250000000001</v>
      </c>
      <c r="AG363" s="85">
        <f t="shared" si="52"/>
        <v>1794.1913917719999</v>
      </c>
      <c r="AH363" s="85">
        <f t="shared" si="53"/>
        <v>1.2462042346781501</v>
      </c>
      <c r="AI363" s="116">
        <v>3</v>
      </c>
      <c r="AJ363" s="116">
        <v>4</v>
      </c>
      <c r="AK363" s="79">
        <v>6.39</v>
      </c>
      <c r="AL363" s="79">
        <v>22.7</v>
      </c>
      <c r="AM363" s="122">
        <v>6.5</v>
      </c>
      <c r="AN363" s="122">
        <v>5.2</v>
      </c>
      <c r="AO363" s="79">
        <v>0.18</v>
      </c>
      <c r="AP363" s="127">
        <v>0.22</v>
      </c>
      <c r="AQ363" s="132">
        <f t="shared" si="44"/>
        <v>2101</v>
      </c>
      <c r="AR363" s="134">
        <f t="shared" si="45"/>
        <v>0.70728224654926231</v>
      </c>
      <c r="AS363" s="134">
        <f t="shared" si="46"/>
        <v>4.2836744407425034E-2</v>
      </c>
      <c r="AT363" s="134">
        <f t="shared" si="47"/>
        <v>0.2498810090433127</v>
      </c>
      <c r="AU363" s="43">
        <f>IF(AND(F363&lt;&gt;"",Y363&lt;&gt;""),AA363/(F363/2/Y363),"")</f>
        <v>6.4739030023094682E-2</v>
      </c>
      <c r="AV363" s="43">
        <f>IF(AND(F363&lt;&gt;"",AJ363&lt;&gt;""),AL363/(F363/2/AJ363),"")</f>
        <v>8.3879907621247113E-2</v>
      </c>
      <c r="AW363" s="41">
        <f>IF(AND(AP363&lt;&gt;"",1-(AP363/N363)&gt;0),1-(AP363/N363),"")</f>
        <v>0.92198581560283688</v>
      </c>
      <c r="AX363" s="41">
        <f>IF(AND(AE363&lt;&gt;"",1-(AE363/N363)&gt;0),1-(AE363/N363),"")</f>
        <v>0.80496453900709219</v>
      </c>
      <c r="AY363" s="136" t="str">
        <f>IF(P363="","",IF(P363&lt;2.5,"Alc. Bruta &lt; 2,5 mg/L",IF(P363&lt;5,"2,5 ≤ Alc. Bruta &lt; 5,0 mg/L",IF(P363&lt;7.5,"5,0 ≤ Alc. Bruta &lt; 7,5 mg/L",IF(P363&lt;10,"7,5 ≤ Alc. Bruta &lt; 10,0 mg/L",IF(P363&lt;15,"10,0 ≤ Alca. Bruta &lt; 15,0 mg/L","Alc. Bruta &gt; 15 mg/L"))))))</f>
        <v>5,0 ≤ Alc. Bruta &lt; 7,5 mg/L</v>
      </c>
      <c r="AZ363" s="136" t="str">
        <f>IF(O363="","",IF(O363&lt;5,"Cor &lt;5 uC",IF(O363&lt;10,"5 ≤ Cor &lt; 10 uC",IF(O363&lt;15,"10 ≤ Cor &lt;15 uC",IF(O363&lt;30,"15 ≤ Cor &lt; 30 uC",IF(O363&lt;50,"30 ≤ Cor &lt; 50 uC","Cor &gt; 50 uC"))))))</f>
        <v>10 ≤ Cor &lt;15 uC</v>
      </c>
      <c r="BA363" s="137" t="str">
        <f>IF(N363="","",IF(N363&lt;2.5,"Turbidez &lt; 2,5 uT",IF(N363&lt;5,"2,5 ≤ Turb &lt; 5,0 uT",IF(N363&lt;7.5,"5,0 ≤ Turb &lt; 7,5 uT",IF(N363&lt;10,"7,5 ≤ Turb &lt; 10,0 uT",IF(N363&lt;15,"10,0 ≤ Turb &lt; 15,0 uT","Turb &gt; 15 uT"))))))</f>
        <v>2,5 ≤ Turb &lt; 5,0 uT</v>
      </c>
      <c r="BB363" s="138" t="str">
        <f>IF(AND(C363&gt;D363,D363&gt;E363),"TOR &gt; SM &gt; BNN",IF(AND(C363&gt;E363,E363&gt;D363),"TOR &gt; BNN &gt; SM",IF(AND(D363&gt;C363,C363&gt;E363),"SM &gt; TOR &gt; BNN",IF(AND(D363&gt;E363,E363&gt;C363),"SM &gt; BNN &gt; TOR",IF(AND(C363=D363,D363=E363),"TOR = SM = BNN","Comb. diferentes")))))</f>
        <v>TOR &gt; BNN &gt; SM</v>
      </c>
      <c r="BC363" s="137" t="str">
        <f>IF(OR(AD363="",AP363="-"),"",IF(AD363&lt;=0.25,"Tipo 1 (≤0,25) uT",IF(AD363&lt;=0.5,"Tipo 2 (0,25-0,50) uT",IF(AD363&lt;=0.75,"Tipo 3 (0,50-0,75) uT","Tipo 4 (&gt;0,75) uT"))))</f>
        <v>Tipo 1 (≤0,25) uT</v>
      </c>
      <c r="BD363" s="137" t="str">
        <f>IF(OR(AO363="",AY363="-"),"",IF(AO363&lt;=0.25,"Tipo 1 (≤0,25) uT",IF(AO363&lt;=0.5,"Tipo 2 (0,25-0,50) uT",IF(AO363&lt;=0.75,"Tipo 3 (0,50-0,75) uT","Tipo 4 (&gt;0,75) uT"))))</f>
        <v>Tipo 1 (≤0,25) uT</v>
      </c>
      <c r="BE363" s="137" t="str">
        <f>IF(OR(AE363="",AP363="-"),"",IF(AE363&lt;=0.25,"Tipo 1 (≤0,25) uT",IF(AE363&lt;=0.5,"Tipo 2 (0,25-0,50) uT",IF(AE363&lt;=0.75,"Tipo 3 (0,50-0,75) uT","Tipo 4 (&gt;0,75) uT"))))</f>
        <v>Tipo 3 (0,50-0,75) uT</v>
      </c>
      <c r="BF363" s="137" t="str">
        <f>IF(OR(AP363="",AP363="-"),"",IF(AP363&lt;=0.25,"Tipo 1 (≤0,25) uT",IF(AP363&lt;=0.5,"Tipo 2 (0,25-0,50) uT",IF(AP363&lt;=0.75,"Tipo 3 (0,50-0,75) uT","Tipo 4 (&gt;0,75) uT"))))</f>
        <v>Tipo 1 (≤0,25) uT</v>
      </c>
      <c r="BG363" s="137" t="str">
        <f>IF(OR(Q363="",Q363="-"),"",IF(Q363&lt;=0.25,"Tipo 1 (≤0,25) uT",IF(Q363&lt;=0.5,"Tipo 2 (0,25-0,50) uT",IF(Q363&lt;=0.75,"Tipo 3 (0,50-0,75) uT","Tipo 4 (&gt;0,75) uT"))))</f>
        <v>Tipo 1 (≤0,25) uT</v>
      </c>
    </row>
    <row r="364" spans="1:59" x14ac:dyDescent="0.3">
      <c r="A364" s="26">
        <v>46164</v>
      </c>
      <c r="B364" s="107">
        <v>0.8125</v>
      </c>
      <c r="C364" s="116">
        <v>1590</v>
      </c>
      <c r="D364" s="116">
        <v>82</v>
      </c>
      <c r="E364" s="116">
        <v>525</v>
      </c>
      <c r="F364" s="116">
        <v>2314</v>
      </c>
      <c r="G364" s="10" t="s">
        <v>100</v>
      </c>
      <c r="H364" s="122">
        <v>7.5</v>
      </c>
      <c r="I364" s="116">
        <v>50</v>
      </c>
      <c r="J364" s="116">
        <v>90</v>
      </c>
      <c r="K364" s="116">
        <v>90</v>
      </c>
      <c r="L364" s="122">
        <v>22.6</v>
      </c>
      <c r="M364" s="122">
        <v>7.1</v>
      </c>
      <c r="N364" s="79">
        <v>3.57</v>
      </c>
      <c r="O364" s="116">
        <v>13</v>
      </c>
      <c r="P364" s="122">
        <v>6.9</v>
      </c>
      <c r="Q364" s="79">
        <v>7.0000000000000007E-2</v>
      </c>
      <c r="R364" s="79">
        <v>22.36</v>
      </c>
      <c r="S364" s="79">
        <v>0.88</v>
      </c>
      <c r="T364" s="79">
        <v>0.7</v>
      </c>
      <c r="U364" s="85">
        <f t="shared" si="48"/>
        <v>1755.7475000000002</v>
      </c>
      <c r="V364" s="79">
        <f t="shared" si="49"/>
        <v>1447.7334393599999</v>
      </c>
      <c r="W364" s="79">
        <f t="shared" si="50"/>
        <v>0.82456813372082249</v>
      </c>
      <c r="X364" s="116">
        <v>3</v>
      </c>
      <c r="Y364" s="116">
        <v>4</v>
      </c>
      <c r="Z364" s="122">
        <v>6.48</v>
      </c>
      <c r="AA364" s="116">
        <v>18</v>
      </c>
      <c r="AB364" s="122">
        <v>6.7</v>
      </c>
      <c r="AC364" s="122">
        <v>6.7</v>
      </c>
      <c r="AD364" s="10">
        <v>0.22</v>
      </c>
      <c r="AE364" s="79">
        <v>0.47</v>
      </c>
      <c r="AF364" s="85">
        <f t="shared" si="51"/>
        <v>1755.7475000000002</v>
      </c>
      <c r="AG364" s="85">
        <f t="shared" si="52"/>
        <v>1755.8572803200002</v>
      </c>
      <c r="AH364" s="85">
        <f t="shared" si="53"/>
        <v>1.0000625262573348</v>
      </c>
      <c r="AI364" s="116">
        <v>3</v>
      </c>
      <c r="AJ364" s="116">
        <v>4</v>
      </c>
      <c r="AK364" s="79">
        <v>6.44</v>
      </c>
      <c r="AL364" s="79">
        <v>22</v>
      </c>
      <c r="AM364" s="122">
        <v>6.4</v>
      </c>
      <c r="AN364" s="122">
        <v>5.7</v>
      </c>
      <c r="AO364" s="79">
        <v>0.27</v>
      </c>
      <c r="AP364" s="127">
        <v>0.22</v>
      </c>
      <c r="AQ364" s="132">
        <f t="shared" si="44"/>
        <v>2197</v>
      </c>
      <c r="AR364" s="134">
        <f t="shared" si="45"/>
        <v>0.7237141556668184</v>
      </c>
      <c r="AS364" s="134">
        <f t="shared" si="46"/>
        <v>3.7323623122439691E-2</v>
      </c>
      <c r="AT364" s="134">
        <f t="shared" si="47"/>
        <v>0.23896222121074193</v>
      </c>
      <c r="AU364" s="43">
        <f>IF(AND(F364&lt;&gt;"",Y364&lt;&gt;""),AA364/(F364/2/Y364),"")</f>
        <v>6.2229904926534137E-2</v>
      </c>
      <c r="AV364" s="43">
        <f>IF(AND(F364&lt;&gt;"",AJ364&lt;&gt;""),AL364/(F364/2/AJ364),"")</f>
        <v>7.6058772687986165E-2</v>
      </c>
      <c r="AW364" s="41">
        <f>IF(AND(AP364&lt;&gt;"",1-(AP364/N364)&gt;0),1-(AP364/N364),"")</f>
        <v>0.93837535014005602</v>
      </c>
      <c r="AX364" s="41">
        <f>IF(AND(AE364&lt;&gt;"",1-(AE364/N364)&gt;0),1-(AE364/N364),"")</f>
        <v>0.86834733893557425</v>
      </c>
      <c r="AY364" s="136" t="str">
        <f>IF(P364="","",IF(P364&lt;2.5,"Alc. Bruta &lt; 2,5 mg/L",IF(P364&lt;5,"2,5 ≤ Alc. Bruta &lt; 5,0 mg/L",IF(P364&lt;7.5,"5,0 ≤ Alc. Bruta &lt; 7,5 mg/L",IF(P364&lt;10,"7,5 ≤ Alc. Bruta &lt; 10,0 mg/L",IF(P364&lt;15,"10,0 ≤ Alca. Bruta &lt; 15,0 mg/L","Alc. Bruta &gt; 15 mg/L"))))))</f>
        <v>5,0 ≤ Alc. Bruta &lt; 7,5 mg/L</v>
      </c>
      <c r="AZ364" s="136" t="str">
        <f>IF(O364="","",IF(O364&lt;5,"Cor &lt;5 uC",IF(O364&lt;10,"5 ≤ Cor &lt; 10 uC",IF(O364&lt;15,"10 ≤ Cor &lt;15 uC",IF(O364&lt;30,"15 ≤ Cor &lt; 30 uC",IF(O364&lt;50,"30 ≤ Cor &lt; 50 uC","Cor &gt; 50 uC"))))))</f>
        <v>10 ≤ Cor &lt;15 uC</v>
      </c>
      <c r="BA364" s="137" t="str">
        <f>IF(N364="","",IF(N364&lt;2.5,"Turbidez &lt; 2,5 uT",IF(N364&lt;5,"2,5 ≤ Turb &lt; 5,0 uT",IF(N364&lt;7.5,"5,0 ≤ Turb &lt; 7,5 uT",IF(N364&lt;10,"7,5 ≤ Turb &lt; 10,0 uT",IF(N364&lt;15,"10,0 ≤ Turb &lt; 15,0 uT","Turb &gt; 15 uT"))))))</f>
        <v>2,5 ≤ Turb &lt; 5,0 uT</v>
      </c>
      <c r="BB364" s="138" t="str">
        <f>IF(AND(C364&gt;D364,D364&gt;E364),"TOR &gt; SM &gt; BNN",IF(AND(C364&gt;E364,E364&gt;D364),"TOR &gt; BNN &gt; SM",IF(AND(D364&gt;C364,C364&gt;E364),"SM &gt; TOR &gt; BNN",IF(AND(D364&gt;E364,E364&gt;C364),"SM &gt; BNN &gt; TOR",IF(AND(C364=D364,D364=E364),"TOR = SM = BNN","Comb. diferentes")))))</f>
        <v>TOR &gt; BNN &gt; SM</v>
      </c>
      <c r="BC364" s="137" t="str">
        <f>IF(OR(AD364="",AP364="-"),"",IF(AD364&lt;=0.25,"Tipo 1 (≤0,25) uT",IF(AD364&lt;=0.5,"Tipo 2 (0,25-0,50) uT",IF(AD364&lt;=0.75,"Tipo 3 (0,50-0,75) uT","Tipo 4 (&gt;0,75) uT"))))</f>
        <v>Tipo 1 (≤0,25) uT</v>
      </c>
      <c r="BD364" s="137" t="str">
        <f>IF(OR(AO364="",AY364="-"),"",IF(AO364&lt;=0.25,"Tipo 1 (≤0,25) uT",IF(AO364&lt;=0.5,"Tipo 2 (0,25-0,50) uT",IF(AO364&lt;=0.75,"Tipo 3 (0,50-0,75) uT","Tipo 4 (&gt;0,75) uT"))))</f>
        <v>Tipo 2 (0,25-0,50) uT</v>
      </c>
      <c r="BE364" s="137" t="str">
        <f>IF(OR(AE364="",AP364="-"),"",IF(AE364&lt;=0.25,"Tipo 1 (≤0,25) uT",IF(AE364&lt;=0.5,"Tipo 2 (0,25-0,50) uT",IF(AE364&lt;=0.75,"Tipo 3 (0,50-0,75) uT","Tipo 4 (&gt;0,75) uT"))))</f>
        <v>Tipo 2 (0,25-0,50) uT</v>
      </c>
      <c r="BF364" s="137" t="str">
        <f>IF(OR(AP364="",AP364="-"),"",IF(AP364&lt;=0.25,"Tipo 1 (≤0,25) uT",IF(AP364&lt;=0.5,"Tipo 2 (0,25-0,50) uT",IF(AP364&lt;=0.75,"Tipo 3 (0,50-0,75) uT","Tipo 4 (&gt;0,75) uT"))))</f>
        <v>Tipo 1 (≤0,25) uT</v>
      </c>
      <c r="BG364" s="137" t="str">
        <f>IF(OR(Q364="",Q364="-"),"",IF(Q364&lt;=0.25,"Tipo 1 (≤0,25) uT",IF(Q364&lt;=0.5,"Tipo 2 (0,25-0,50) uT",IF(Q364&lt;=0.75,"Tipo 3 (0,50-0,75) uT","Tipo 4 (&gt;0,75) uT"))))</f>
        <v>Tipo 1 (≤0,25) uT</v>
      </c>
    </row>
    <row r="365" spans="1:59" x14ac:dyDescent="0.3">
      <c r="A365" s="26">
        <v>46164</v>
      </c>
      <c r="B365" s="107">
        <v>0.89583333333333337</v>
      </c>
      <c r="C365" s="116">
        <v>1576</v>
      </c>
      <c r="D365" s="116">
        <v>84</v>
      </c>
      <c r="E365" s="116">
        <v>525</v>
      </c>
      <c r="F365" s="116">
        <v>2313</v>
      </c>
      <c r="G365" s="10" t="s">
        <v>100</v>
      </c>
      <c r="H365" s="122">
        <v>7.5</v>
      </c>
      <c r="I365" s="116">
        <v>90</v>
      </c>
      <c r="J365" s="116">
        <v>90</v>
      </c>
      <c r="K365" s="116">
        <v>90</v>
      </c>
      <c r="L365" s="122">
        <v>22.6</v>
      </c>
      <c r="M365" s="122">
        <v>6.8</v>
      </c>
      <c r="N365" s="79">
        <v>4.53</v>
      </c>
      <c r="O365" s="116">
        <v>9</v>
      </c>
      <c r="P365" s="122">
        <v>6.4</v>
      </c>
      <c r="Q365" s="79">
        <v>7.0000000000000007E-2</v>
      </c>
      <c r="R365" s="79">
        <v>22.36</v>
      </c>
      <c r="S365" s="79">
        <v>0.88</v>
      </c>
      <c r="T365" s="79">
        <v>0.7</v>
      </c>
      <c r="U365" s="85">
        <f t="shared" si="48"/>
        <v>2032.5487500000002</v>
      </c>
      <c r="V365" s="79">
        <f t="shared" si="49"/>
        <v>1304.1765151999998</v>
      </c>
      <c r="W365" s="79">
        <f t="shared" si="50"/>
        <v>0.64164587206087909</v>
      </c>
      <c r="X365" s="116">
        <v>3</v>
      </c>
      <c r="Y365" s="116">
        <v>4</v>
      </c>
      <c r="Z365" s="122">
        <v>6.55</v>
      </c>
      <c r="AA365" s="116">
        <v>16</v>
      </c>
      <c r="AB365" s="122">
        <v>6.5</v>
      </c>
      <c r="AC365" s="122">
        <v>7</v>
      </c>
      <c r="AD365" s="10">
        <v>0.17</v>
      </c>
      <c r="AE365" s="79">
        <v>0.42</v>
      </c>
      <c r="AF365" s="85">
        <f t="shared" si="51"/>
        <v>2032.5487500000002</v>
      </c>
      <c r="AG365" s="85">
        <f t="shared" si="52"/>
        <v>1874.7565387303998</v>
      </c>
      <c r="AH365" s="85">
        <f t="shared" si="53"/>
        <v>0.92236731774841796</v>
      </c>
      <c r="AI365" s="116">
        <v>3</v>
      </c>
      <c r="AJ365" s="116">
        <v>4</v>
      </c>
      <c r="AK365" s="79">
        <v>6.58</v>
      </c>
      <c r="AL365" s="79">
        <v>22.87</v>
      </c>
      <c r="AM365" s="122">
        <v>6.4</v>
      </c>
      <c r="AN365" s="122">
        <v>6.7</v>
      </c>
      <c r="AO365" s="79">
        <v>0.2</v>
      </c>
      <c r="AP365" s="127">
        <v>0.18</v>
      </c>
      <c r="AQ365" s="132">
        <f t="shared" si="44"/>
        <v>2185</v>
      </c>
      <c r="AR365" s="134">
        <f t="shared" si="45"/>
        <v>0.72128146453089248</v>
      </c>
      <c r="AS365" s="134">
        <f t="shared" si="46"/>
        <v>3.8443935926773455E-2</v>
      </c>
      <c r="AT365" s="134">
        <f t="shared" si="47"/>
        <v>0.2402745995423341</v>
      </c>
      <c r="AU365" s="43">
        <f>IF(AND(F365&lt;&gt;"",Y365&lt;&gt;""),AA365/(F365/2/Y365),"")</f>
        <v>5.5339386078685687E-2</v>
      </c>
      <c r="AV365" s="43">
        <f>IF(AND(F365&lt;&gt;"",AJ365&lt;&gt;""),AL365/(F365/2/AJ365),"")</f>
        <v>7.910073497622136E-2</v>
      </c>
      <c r="AW365" s="41">
        <f>IF(AND(AP365&lt;&gt;"",1-(AP365/N365)&gt;0),1-(AP365/N365),"")</f>
        <v>0.96026490066225167</v>
      </c>
      <c r="AX365" s="41">
        <f>IF(AND(AE365&lt;&gt;"",1-(AE365/N365)&gt;0),1-(AE365/N365),"")</f>
        <v>0.9072847682119205</v>
      </c>
      <c r="AY365" s="136" t="str">
        <f>IF(P365="","",IF(P365&lt;2.5,"Alc. Bruta &lt; 2,5 mg/L",IF(P365&lt;5,"2,5 ≤ Alc. Bruta &lt; 5,0 mg/L",IF(P365&lt;7.5,"5,0 ≤ Alc. Bruta &lt; 7,5 mg/L",IF(P365&lt;10,"7,5 ≤ Alc. Bruta &lt; 10,0 mg/L",IF(P365&lt;15,"10,0 ≤ Alca. Bruta &lt; 15,0 mg/L","Alc. Bruta &gt; 15 mg/L"))))))</f>
        <v>5,0 ≤ Alc. Bruta &lt; 7,5 mg/L</v>
      </c>
      <c r="AZ365" s="136" t="str">
        <f>IF(O365="","",IF(O365&lt;5,"Cor &lt;5 uC",IF(O365&lt;10,"5 ≤ Cor &lt; 10 uC",IF(O365&lt;15,"10 ≤ Cor &lt;15 uC",IF(O365&lt;30,"15 ≤ Cor &lt; 30 uC",IF(O365&lt;50,"30 ≤ Cor &lt; 50 uC","Cor &gt; 50 uC"))))))</f>
        <v>5 ≤ Cor &lt; 10 uC</v>
      </c>
      <c r="BA365" s="137" t="str">
        <f>IF(N365="","",IF(N365&lt;2.5,"Turbidez &lt; 2,5 uT",IF(N365&lt;5,"2,5 ≤ Turb &lt; 5,0 uT",IF(N365&lt;7.5,"5,0 ≤ Turb &lt; 7,5 uT",IF(N365&lt;10,"7,5 ≤ Turb &lt; 10,0 uT",IF(N365&lt;15,"10,0 ≤ Turb &lt; 15,0 uT","Turb &gt; 15 uT"))))))</f>
        <v>2,5 ≤ Turb &lt; 5,0 uT</v>
      </c>
      <c r="BB365" s="138" t="str">
        <f>IF(AND(C365&gt;D365,D365&gt;E365),"TOR &gt; SM &gt; BNN",IF(AND(C365&gt;E365,E365&gt;D365),"TOR &gt; BNN &gt; SM",IF(AND(D365&gt;C365,C365&gt;E365),"SM &gt; TOR &gt; BNN",IF(AND(D365&gt;E365,E365&gt;C365),"SM &gt; BNN &gt; TOR",IF(AND(C365=D365,D365=E365),"TOR = SM = BNN","Comb. diferentes")))))</f>
        <v>TOR &gt; BNN &gt; SM</v>
      </c>
      <c r="BC365" s="137" t="str">
        <f>IF(OR(AD365="",AP365="-"),"",IF(AD365&lt;=0.25,"Tipo 1 (≤0,25) uT",IF(AD365&lt;=0.5,"Tipo 2 (0,25-0,50) uT",IF(AD365&lt;=0.75,"Tipo 3 (0,50-0,75) uT","Tipo 4 (&gt;0,75) uT"))))</f>
        <v>Tipo 1 (≤0,25) uT</v>
      </c>
      <c r="BD365" s="137" t="str">
        <f>IF(OR(AO365="",AY365="-"),"",IF(AO365&lt;=0.25,"Tipo 1 (≤0,25) uT",IF(AO365&lt;=0.5,"Tipo 2 (0,25-0,50) uT",IF(AO365&lt;=0.75,"Tipo 3 (0,50-0,75) uT","Tipo 4 (&gt;0,75) uT"))))</f>
        <v>Tipo 1 (≤0,25) uT</v>
      </c>
      <c r="BE365" s="137" t="str">
        <f>IF(OR(AE365="",AP365="-"),"",IF(AE365&lt;=0.25,"Tipo 1 (≤0,25) uT",IF(AE365&lt;=0.5,"Tipo 2 (0,25-0,50) uT",IF(AE365&lt;=0.75,"Tipo 3 (0,50-0,75) uT","Tipo 4 (&gt;0,75) uT"))))</f>
        <v>Tipo 2 (0,25-0,50) uT</v>
      </c>
      <c r="BF365" s="137" t="str">
        <f>IF(OR(AP365="",AP365="-"),"",IF(AP365&lt;=0.25,"Tipo 1 (≤0,25) uT",IF(AP365&lt;=0.5,"Tipo 2 (0,25-0,50) uT",IF(AP365&lt;=0.75,"Tipo 3 (0,50-0,75) uT","Tipo 4 (&gt;0,75) uT"))))</f>
        <v>Tipo 1 (≤0,25) uT</v>
      </c>
      <c r="BG365" s="137" t="str">
        <f>IF(OR(Q365="",Q365="-"),"",IF(Q365&lt;=0.25,"Tipo 1 (≤0,25) uT",IF(Q365&lt;=0.5,"Tipo 2 (0,25-0,50) uT",IF(Q365&lt;=0.75,"Tipo 3 (0,50-0,75) uT","Tipo 4 (&gt;0,75) uT"))))</f>
        <v>Tipo 1 (≤0,25) uT</v>
      </c>
    </row>
    <row r="366" spans="1:59" x14ac:dyDescent="0.3">
      <c r="A366" s="26">
        <v>46164</v>
      </c>
      <c r="B366" s="107">
        <v>0.97916666666666663</v>
      </c>
      <c r="C366" s="116">
        <v>1610</v>
      </c>
      <c r="D366" s="116">
        <v>80</v>
      </c>
      <c r="E366" s="116">
        <v>525</v>
      </c>
      <c r="F366" s="116">
        <v>2328</v>
      </c>
      <c r="G366" s="10" t="s">
        <v>100</v>
      </c>
      <c r="H366" s="122">
        <v>7.5</v>
      </c>
      <c r="I366" s="116">
        <v>90</v>
      </c>
      <c r="J366" s="116">
        <v>90</v>
      </c>
      <c r="K366" s="116">
        <v>90</v>
      </c>
      <c r="L366" s="122">
        <v>22.5</v>
      </c>
      <c r="M366" s="122">
        <v>6.9</v>
      </c>
      <c r="N366" s="79">
        <v>3.88</v>
      </c>
      <c r="O366" s="116">
        <v>11</v>
      </c>
      <c r="P366" s="122">
        <v>6.5</v>
      </c>
      <c r="Q366" s="79">
        <v>0.03</v>
      </c>
      <c r="R366" s="79">
        <v>22.36</v>
      </c>
      <c r="S366" s="79">
        <v>0.88</v>
      </c>
      <c r="T366" s="79">
        <v>0.7</v>
      </c>
      <c r="U366" s="85">
        <f t="shared" si="48"/>
        <v>1856.58</v>
      </c>
      <c r="V366" s="79">
        <f t="shared" si="49"/>
        <v>1369.9300529199998</v>
      </c>
      <c r="W366" s="79">
        <f t="shared" si="50"/>
        <v>0.73787827775802806</v>
      </c>
      <c r="X366" s="116">
        <v>3</v>
      </c>
      <c r="Y366" s="116">
        <v>4</v>
      </c>
      <c r="Z366" s="122">
        <v>6.49</v>
      </c>
      <c r="AA366" s="116">
        <v>17</v>
      </c>
      <c r="AB366" s="122">
        <v>6.5</v>
      </c>
      <c r="AC366" s="122">
        <v>6.1</v>
      </c>
      <c r="AD366" s="10">
        <v>0.21</v>
      </c>
      <c r="AE366" s="79">
        <v>0.4</v>
      </c>
      <c r="AF366" s="85">
        <f t="shared" si="51"/>
        <v>1856.58</v>
      </c>
      <c r="AG366" s="85">
        <f t="shared" si="52"/>
        <v>1776.2493320000001</v>
      </c>
      <c r="AH366" s="85">
        <f t="shared" si="53"/>
        <v>0.95673191136390578</v>
      </c>
      <c r="AI366" s="116">
        <v>3</v>
      </c>
      <c r="AJ366" s="116">
        <v>4</v>
      </c>
      <c r="AK366" s="79">
        <v>6.5</v>
      </c>
      <c r="AL366" s="79">
        <v>22</v>
      </c>
      <c r="AM366" s="122">
        <v>6.7</v>
      </c>
      <c r="AN366" s="122">
        <v>5.9</v>
      </c>
      <c r="AO366" s="79">
        <v>0.26</v>
      </c>
      <c r="AP366" s="127">
        <v>0.21</v>
      </c>
      <c r="AQ366" s="132">
        <f t="shared" si="44"/>
        <v>2215</v>
      </c>
      <c r="AR366" s="134">
        <f t="shared" si="45"/>
        <v>0.72686230248306993</v>
      </c>
      <c r="AS366" s="134">
        <f t="shared" si="46"/>
        <v>3.6117381489841983E-2</v>
      </c>
      <c r="AT366" s="134">
        <f t="shared" si="47"/>
        <v>0.23702031602708803</v>
      </c>
      <c r="AU366" s="43">
        <f>IF(AND(F366&lt;&gt;"",Y366&lt;&gt;""),AA366/(F366/2/Y366),"")</f>
        <v>5.8419243986254296E-2</v>
      </c>
      <c r="AV366" s="43">
        <f>IF(AND(F366&lt;&gt;"",AJ366&lt;&gt;""),AL366/(F366/2/AJ366),"")</f>
        <v>7.560137457044673E-2</v>
      </c>
      <c r="AW366" s="41">
        <f>IF(AND(AP366&lt;&gt;"",1-(AP366/N366)&gt;0),1-(AP366/N366),"")</f>
        <v>0.94587628865979378</v>
      </c>
      <c r="AX366" s="41">
        <f>IF(AND(AE366&lt;&gt;"",1-(AE366/N366)&gt;0),1-(AE366/N366),"")</f>
        <v>0.89690721649484539</v>
      </c>
      <c r="AY366" s="136" t="str">
        <f>IF(P366="","",IF(P366&lt;2.5,"Alc. Bruta &lt; 2,5 mg/L",IF(P366&lt;5,"2,5 ≤ Alc. Bruta &lt; 5,0 mg/L",IF(P366&lt;7.5,"5,0 ≤ Alc. Bruta &lt; 7,5 mg/L",IF(P366&lt;10,"7,5 ≤ Alc. Bruta &lt; 10,0 mg/L",IF(P366&lt;15,"10,0 ≤ Alca. Bruta &lt; 15,0 mg/L","Alc. Bruta &gt; 15 mg/L"))))))</f>
        <v>5,0 ≤ Alc. Bruta &lt; 7,5 mg/L</v>
      </c>
      <c r="AZ366" s="136" t="str">
        <f>IF(O366="","",IF(O366&lt;5,"Cor &lt;5 uC",IF(O366&lt;10,"5 ≤ Cor &lt; 10 uC",IF(O366&lt;15,"10 ≤ Cor &lt;15 uC",IF(O366&lt;30,"15 ≤ Cor &lt; 30 uC",IF(O366&lt;50,"30 ≤ Cor &lt; 50 uC","Cor &gt; 50 uC"))))))</f>
        <v>10 ≤ Cor &lt;15 uC</v>
      </c>
      <c r="BA366" s="137" t="str">
        <f>IF(N366="","",IF(N366&lt;2.5,"Turbidez &lt; 2,5 uT",IF(N366&lt;5,"2,5 ≤ Turb &lt; 5,0 uT",IF(N366&lt;7.5,"5,0 ≤ Turb &lt; 7,5 uT",IF(N366&lt;10,"7,5 ≤ Turb &lt; 10,0 uT",IF(N366&lt;15,"10,0 ≤ Turb &lt; 15,0 uT","Turb &gt; 15 uT"))))))</f>
        <v>2,5 ≤ Turb &lt; 5,0 uT</v>
      </c>
      <c r="BB366" s="138" t="str">
        <f>IF(AND(C366&gt;D366,D366&gt;E366),"TOR &gt; SM &gt; BNN",IF(AND(C366&gt;E366,E366&gt;D366),"TOR &gt; BNN &gt; SM",IF(AND(D366&gt;C366,C366&gt;E366),"SM &gt; TOR &gt; BNN",IF(AND(D366&gt;E366,E366&gt;C366),"SM &gt; BNN &gt; TOR",IF(AND(C366=D366,D366=E366),"TOR = SM = BNN","Comb. diferentes")))))</f>
        <v>TOR &gt; BNN &gt; SM</v>
      </c>
      <c r="BC366" s="137" t="str">
        <f>IF(OR(AD366="",AP366="-"),"",IF(AD366&lt;=0.25,"Tipo 1 (≤0,25) uT",IF(AD366&lt;=0.5,"Tipo 2 (0,25-0,50) uT",IF(AD366&lt;=0.75,"Tipo 3 (0,50-0,75) uT","Tipo 4 (&gt;0,75) uT"))))</f>
        <v>Tipo 1 (≤0,25) uT</v>
      </c>
      <c r="BD366" s="137" t="str">
        <f>IF(OR(AO366="",AY366="-"),"",IF(AO366&lt;=0.25,"Tipo 1 (≤0,25) uT",IF(AO366&lt;=0.5,"Tipo 2 (0,25-0,50) uT",IF(AO366&lt;=0.75,"Tipo 3 (0,50-0,75) uT","Tipo 4 (&gt;0,75) uT"))))</f>
        <v>Tipo 2 (0,25-0,50) uT</v>
      </c>
      <c r="BE366" s="137" t="str">
        <f>IF(OR(AE366="",AP366="-"),"",IF(AE366&lt;=0.25,"Tipo 1 (≤0,25) uT",IF(AE366&lt;=0.5,"Tipo 2 (0,25-0,50) uT",IF(AE366&lt;=0.75,"Tipo 3 (0,50-0,75) uT","Tipo 4 (&gt;0,75) uT"))))</f>
        <v>Tipo 2 (0,25-0,50) uT</v>
      </c>
      <c r="BF366" s="137" t="str">
        <f>IF(OR(AP366="",AP366="-"),"",IF(AP366&lt;=0.25,"Tipo 1 (≤0,25) uT",IF(AP366&lt;=0.5,"Tipo 2 (0,25-0,50) uT",IF(AP366&lt;=0.75,"Tipo 3 (0,50-0,75) uT","Tipo 4 (&gt;0,75) uT"))))</f>
        <v>Tipo 1 (≤0,25) uT</v>
      </c>
      <c r="BG366" s="137" t="str">
        <f>IF(OR(Q366="",Q366="-"),"",IF(Q366&lt;=0.25,"Tipo 1 (≤0,25) uT",IF(Q366&lt;=0.5,"Tipo 2 (0,25-0,50) uT",IF(Q366&lt;=0.75,"Tipo 3 (0,50-0,75) uT","Tipo 4 (&gt;0,75) uT"))))</f>
        <v>Tipo 1 (≤0,25) uT</v>
      </c>
    </row>
    <row r="367" spans="1:59" x14ac:dyDescent="0.3">
      <c r="A367" s="26">
        <v>46165</v>
      </c>
      <c r="B367" s="107">
        <v>0.14583333333333334</v>
      </c>
      <c r="C367" s="116">
        <v>1511</v>
      </c>
      <c r="D367" s="116">
        <v>88</v>
      </c>
      <c r="E367" s="116">
        <v>525</v>
      </c>
      <c r="F367" s="116">
        <v>2318</v>
      </c>
      <c r="G367" s="10" t="s">
        <v>100</v>
      </c>
      <c r="H367" s="122">
        <v>7.5</v>
      </c>
      <c r="I367" s="116">
        <v>90</v>
      </c>
      <c r="J367" s="116">
        <v>90</v>
      </c>
      <c r="K367" s="116">
        <v>90</v>
      </c>
      <c r="L367" s="122">
        <v>22.1</v>
      </c>
      <c r="M367" s="122">
        <v>6.8</v>
      </c>
      <c r="N367" s="79">
        <v>3.48</v>
      </c>
      <c r="O367" s="116">
        <v>15</v>
      </c>
      <c r="P367" s="122">
        <v>8</v>
      </c>
      <c r="Q367" s="79">
        <v>0.06</v>
      </c>
      <c r="R367" s="79">
        <v>22.36</v>
      </c>
      <c r="S367" s="79">
        <v>0.88</v>
      </c>
      <c r="T367" s="79">
        <v>0.7</v>
      </c>
      <c r="U367" s="85">
        <f t="shared" si="48"/>
        <v>1732.7050000000002</v>
      </c>
      <c r="V367" s="79">
        <f t="shared" si="49"/>
        <v>1439.3912363999998</v>
      </c>
      <c r="W367" s="79">
        <f t="shared" si="50"/>
        <v>0.83071915669430152</v>
      </c>
      <c r="X367" s="116">
        <v>3</v>
      </c>
      <c r="Y367" s="116">
        <v>4</v>
      </c>
      <c r="Z367" s="122">
        <v>6.45</v>
      </c>
      <c r="AA367" s="116">
        <v>18</v>
      </c>
      <c r="AB367" s="122">
        <v>6.4</v>
      </c>
      <c r="AC367" s="122">
        <v>6.8</v>
      </c>
      <c r="AD367" s="10">
        <v>0.46</v>
      </c>
      <c r="AE367" s="79">
        <v>0.42</v>
      </c>
      <c r="AF367" s="85">
        <f t="shared" si="51"/>
        <v>1732.7050000000002</v>
      </c>
      <c r="AG367" s="85">
        <f t="shared" si="52"/>
        <v>1679.2897757999999</v>
      </c>
      <c r="AH367" s="85">
        <f t="shared" si="53"/>
        <v>0.96917234947668518</v>
      </c>
      <c r="AI367" s="116">
        <v>3</v>
      </c>
      <c r="AJ367" s="116">
        <v>4</v>
      </c>
      <c r="AK367" s="79">
        <v>6.45</v>
      </c>
      <c r="AL367" s="79">
        <v>21</v>
      </c>
      <c r="AM367" s="122">
        <v>6.3</v>
      </c>
      <c r="AN367" s="122">
        <v>5.0999999999999996</v>
      </c>
      <c r="AO367" s="79">
        <v>0.3</v>
      </c>
      <c r="AP367" s="127">
        <v>0.15</v>
      </c>
      <c r="AQ367" s="132">
        <f t="shared" si="44"/>
        <v>2124</v>
      </c>
      <c r="AR367" s="134">
        <f t="shared" si="45"/>
        <v>0.71139359698681737</v>
      </c>
      <c r="AS367" s="134">
        <f t="shared" si="46"/>
        <v>4.1431261770244823E-2</v>
      </c>
      <c r="AT367" s="134">
        <f t="shared" si="47"/>
        <v>0.24717514124293785</v>
      </c>
      <c r="AU367" s="43">
        <f>IF(AND(F367&lt;&gt;"",Y367&lt;&gt;""),AA367/(F367/2/Y367),"")</f>
        <v>6.2122519413287315E-2</v>
      </c>
      <c r="AV367" s="43">
        <f>IF(AND(F367&lt;&gt;"",AJ367&lt;&gt;""),AL367/(F367/2/AJ367),"")</f>
        <v>7.2476272648835202E-2</v>
      </c>
      <c r="AW367" s="41">
        <f>IF(AND(AP367&lt;&gt;"",1-(AP367/N367)&gt;0),1-(AP367/N367),"")</f>
        <v>0.9568965517241379</v>
      </c>
      <c r="AX367" s="41">
        <f>IF(AND(AE367&lt;&gt;"",1-(AE367/N367)&gt;0),1-(AE367/N367),"")</f>
        <v>0.87931034482758619</v>
      </c>
      <c r="AY367" s="136" t="str">
        <f>IF(P367="","",IF(P367&lt;2.5,"Alc. Bruta &lt; 2,5 mg/L",IF(P367&lt;5,"2,5 ≤ Alc. Bruta &lt; 5,0 mg/L",IF(P367&lt;7.5,"5,0 ≤ Alc. Bruta &lt; 7,5 mg/L",IF(P367&lt;10,"7,5 ≤ Alc. Bruta &lt; 10,0 mg/L",IF(P367&lt;15,"10,0 ≤ Alca. Bruta &lt; 15,0 mg/L","Alc. Bruta &gt; 15 mg/L"))))))</f>
        <v>7,5 ≤ Alc. Bruta &lt; 10,0 mg/L</v>
      </c>
      <c r="AZ367" s="136" t="str">
        <f>IF(O367="","",IF(O367&lt;5,"Cor &lt;5 uC",IF(O367&lt;10,"5 ≤ Cor &lt; 10 uC",IF(O367&lt;15,"10 ≤ Cor &lt;15 uC",IF(O367&lt;30,"15 ≤ Cor &lt; 30 uC",IF(O367&lt;50,"30 ≤ Cor &lt; 50 uC","Cor &gt; 50 uC"))))))</f>
        <v>15 ≤ Cor &lt; 30 uC</v>
      </c>
      <c r="BA367" s="137" t="str">
        <f>IF(N367="","",IF(N367&lt;2.5,"Turbidez &lt; 2,5 uT",IF(N367&lt;5,"2,5 ≤ Turb &lt; 5,0 uT",IF(N367&lt;7.5,"5,0 ≤ Turb &lt; 7,5 uT",IF(N367&lt;10,"7,5 ≤ Turb &lt; 10,0 uT",IF(N367&lt;15,"10,0 ≤ Turb &lt; 15,0 uT","Turb &gt; 15 uT"))))))</f>
        <v>2,5 ≤ Turb &lt; 5,0 uT</v>
      </c>
      <c r="BB367" s="138" t="str">
        <f>IF(AND(C367&gt;D367,D367&gt;E367),"TOR &gt; SM &gt; BNN",IF(AND(C367&gt;E367,E367&gt;D367),"TOR &gt; BNN &gt; SM",IF(AND(D367&gt;C367,C367&gt;E367),"SM &gt; TOR &gt; BNN",IF(AND(D367&gt;E367,E367&gt;C367),"SM &gt; BNN &gt; TOR",IF(AND(C367=D367,D367=E367),"TOR = SM = BNN","Comb. diferentes")))))</f>
        <v>TOR &gt; BNN &gt; SM</v>
      </c>
      <c r="BC367" s="137" t="str">
        <f>IF(OR(AD367="",AP367="-"),"",IF(AD367&lt;=0.25,"Tipo 1 (≤0,25) uT",IF(AD367&lt;=0.5,"Tipo 2 (0,25-0,50) uT",IF(AD367&lt;=0.75,"Tipo 3 (0,50-0,75) uT","Tipo 4 (&gt;0,75) uT"))))</f>
        <v>Tipo 2 (0,25-0,50) uT</v>
      </c>
      <c r="BD367" s="137" t="str">
        <f>IF(OR(AO367="",AY367="-"),"",IF(AO367&lt;=0.25,"Tipo 1 (≤0,25) uT",IF(AO367&lt;=0.5,"Tipo 2 (0,25-0,50) uT",IF(AO367&lt;=0.75,"Tipo 3 (0,50-0,75) uT","Tipo 4 (&gt;0,75) uT"))))</f>
        <v>Tipo 2 (0,25-0,50) uT</v>
      </c>
      <c r="BE367" s="137" t="str">
        <f>IF(OR(AE367="",AP367="-"),"",IF(AE367&lt;=0.25,"Tipo 1 (≤0,25) uT",IF(AE367&lt;=0.5,"Tipo 2 (0,25-0,50) uT",IF(AE367&lt;=0.75,"Tipo 3 (0,50-0,75) uT","Tipo 4 (&gt;0,75) uT"))))</f>
        <v>Tipo 2 (0,25-0,50) uT</v>
      </c>
      <c r="BF367" s="137" t="str">
        <f>IF(OR(AP367="",AP367="-"),"",IF(AP367&lt;=0.25,"Tipo 1 (≤0,25) uT",IF(AP367&lt;=0.5,"Tipo 2 (0,25-0,50) uT",IF(AP367&lt;=0.75,"Tipo 3 (0,50-0,75) uT","Tipo 4 (&gt;0,75) uT"))))</f>
        <v>Tipo 1 (≤0,25) uT</v>
      </c>
      <c r="BG367" s="137" t="str">
        <f>IF(OR(Q367="",Q367="-"),"",IF(Q367&lt;=0.25,"Tipo 1 (≤0,25) uT",IF(Q367&lt;=0.5,"Tipo 2 (0,25-0,50) uT",IF(Q367&lt;=0.75,"Tipo 3 (0,50-0,75) uT","Tipo 4 (&gt;0,75) uT"))))</f>
        <v>Tipo 1 (≤0,25) uT</v>
      </c>
    </row>
    <row r="368" spans="1:59" ht="15" thickBot="1" x14ac:dyDescent="0.35">
      <c r="A368" s="26">
        <v>46165</v>
      </c>
      <c r="B368" s="110">
        <v>0.22916666666666666</v>
      </c>
      <c r="C368" s="117">
        <v>1490</v>
      </c>
      <c r="D368" s="117">
        <v>89</v>
      </c>
      <c r="E368" s="117">
        <v>550</v>
      </c>
      <c r="F368" s="117">
        <v>1922</v>
      </c>
      <c r="G368" s="11" t="s">
        <v>100</v>
      </c>
      <c r="H368" s="123">
        <v>7.5</v>
      </c>
      <c r="I368" s="117">
        <v>90</v>
      </c>
      <c r="J368" s="117">
        <v>90</v>
      </c>
      <c r="K368" s="117">
        <v>90</v>
      </c>
      <c r="L368" s="123">
        <v>22</v>
      </c>
      <c r="M368" s="123">
        <v>6.7</v>
      </c>
      <c r="N368" s="80">
        <v>3.62</v>
      </c>
      <c r="O368" s="117">
        <v>13</v>
      </c>
      <c r="P368" s="123">
        <v>7.8</v>
      </c>
      <c r="Q368" s="80">
        <v>0.06</v>
      </c>
      <c r="R368" s="79">
        <v>22.36</v>
      </c>
      <c r="S368" s="79">
        <v>0.88</v>
      </c>
      <c r="T368" s="79">
        <v>0.7</v>
      </c>
      <c r="U368" s="85">
        <f t="shared" si="48"/>
        <v>1960.4399999999998</v>
      </c>
      <c r="V368" s="79">
        <f t="shared" si="49"/>
        <v>1259.6847660799999</v>
      </c>
      <c r="W368" s="79">
        <f t="shared" si="50"/>
        <v>0.64255206284303523</v>
      </c>
      <c r="X368" s="117">
        <v>2</v>
      </c>
      <c r="Y368" s="117">
        <v>3</v>
      </c>
      <c r="Z368" s="123">
        <v>6.37</v>
      </c>
      <c r="AA368" s="117">
        <v>16</v>
      </c>
      <c r="AB368" s="123">
        <v>6.5</v>
      </c>
      <c r="AC368" s="123">
        <v>6.9</v>
      </c>
      <c r="AD368" s="11">
        <v>0.41</v>
      </c>
      <c r="AE368" s="80">
        <v>4.16</v>
      </c>
      <c r="AF368" s="85">
        <f t="shared" si="51"/>
        <v>1470.33</v>
      </c>
      <c r="AG368" s="85">
        <f t="shared" si="52"/>
        <v>1364.3114097599998</v>
      </c>
      <c r="AH368" s="85">
        <f t="shared" si="53"/>
        <v>0.92789469694558357</v>
      </c>
      <c r="AI368" s="117">
        <v>2</v>
      </c>
      <c r="AJ368" s="117">
        <v>4</v>
      </c>
      <c r="AK368" s="80">
        <v>6.18</v>
      </c>
      <c r="AL368" s="80">
        <v>18</v>
      </c>
      <c r="AM368" s="123">
        <v>6.4</v>
      </c>
      <c r="AN368" s="123">
        <v>6</v>
      </c>
      <c r="AO368" s="80">
        <v>0.6</v>
      </c>
      <c r="AP368" s="128">
        <v>0.31</v>
      </c>
      <c r="AQ368" s="132">
        <f t="shared" si="44"/>
        <v>2129</v>
      </c>
      <c r="AR368" s="134">
        <f t="shared" si="45"/>
        <v>0.69985908877407232</v>
      </c>
      <c r="AS368" s="134">
        <f t="shared" si="46"/>
        <v>4.1803663691874118E-2</v>
      </c>
      <c r="AT368" s="134">
        <f t="shared" si="47"/>
        <v>0.25833724753405357</v>
      </c>
      <c r="AU368" s="43">
        <f>IF(AND(F368&lt;&gt;"",Y368&lt;&gt;""),AA368/(F368/2/Y368),"")</f>
        <v>4.9947970863683668E-2</v>
      </c>
      <c r="AV368" s="43">
        <f>IF(AND(F368&lt;&gt;"",AJ368&lt;&gt;""),AL368/(F368/2/AJ368),"")</f>
        <v>7.4921956295525491E-2</v>
      </c>
      <c r="AW368" s="41">
        <f>IF(AND(AP368&lt;&gt;"",1-(AP368/N368)&gt;0),1-(AP368/N368),"")</f>
        <v>0.91436464088397784</v>
      </c>
      <c r="AX368" s="41" t="str">
        <f>IF(AND(AE368&lt;&gt;"",1-(AE368/N368)&gt;0),1-(AE368/N368),"")</f>
        <v/>
      </c>
      <c r="AY368" s="136" t="str">
        <f>IF(P368="","",IF(P368&lt;2.5,"Alc. Bruta &lt; 2,5 mg/L",IF(P368&lt;5,"2,5 ≤ Alc. Bruta &lt; 5,0 mg/L",IF(P368&lt;7.5,"5,0 ≤ Alc. Bruta &lt; 7,5 mg/L",IF(P368&lt;10,"7,5 ≤ Alc. Bruta &lt; 10,0 mg/L",IF(P368&lt;15,"10,0 ≤ Alca. Bruta &lt; 15,0 mg/L","Alc. Bruta &gt; 15 mg/L"))))))</f>
        <v>7,5 ≤ Alc. Bruta &lt; 10,0 mg/L</v>
      </c>
      <c r="AZ368" s="136" t="str">
        <f>IF(O368="","",IF(O368&lt;5,"Cor &lt;5 uC",IF(O368&lt;10,"5 ≤ Cor &lt; 10 uC",IF(O368&lt;15,"10 ≤ Cor &lt;15 uC",IF(O368&lt;30,"15 ≤ Cor &lt; 30 uC",IF(O368&lt;50,"30 ≤ Cor &lt; 50 uC","Cor &gt; 50 uC"))))))</f>
        <v>10 ≤ Cor &lt;15 uC</v>
      </c>
      <c r="BA368" s="137" t="str">
        <f>IF(N368="","",IF(N368&lt;2.5,"Turbidez &lt; 2,5 uT",IF(N368&lt;5,"2,5 ≤ Turb &lt; 5,0 uT",IF(N368&lt;7.5,"5,0 ≤ Turb &lt; 7,5 uT",IF(N368&lt;10,"7,5 ≤ Turb &lt; 10,0 uT",IF(N368&lt;15,"10,0 ≤ Turb &lt; 15,0 uT","Turb &gt; 15 uT"))))))</f>
        <v>2,5 ≤ Turb &lt; 5,0 uT</v>
      </c>
      <c r="BB368" s="138" t="str">
        <f>IF(AND(C368&gt;D368,D368&gt;E368),"TOR &gt; SM &gt; BNN",IF(AND(C368&gt;E368,E368&gt;D368),"TOR &gt; BNN &gt; SM",IF(AND(D368&gt;C368,C368&gt;E368),"SM &gt; TOR &gt; BNN",IF(AND(D368&gt;E368,E368&gt;C368),"SM &gt; BNN &gt; TOR",IF(AND(C368=D368,D368=E368),"TOR = SM = BNN","Comb. diferentes")))))</f>
        <v>TOR &gt; BNN &gt; SM</v>
      </c>
      <c r="BC368" s="137" t="str">
        <f>IF(OR(AD368="",AP368="-"),"",IF(AD368&lt;=0.25,"Tipo 1 (≤0,25) uT",IF(AD368&lt;=0.5,"Tipo 2 (0,25-0,50) uT",IF(AD368&lt;=0.75,"Tipo 3 (0,50-0,75) uT","Tipo 4 (&gt;0,75) uT"))))</f>
        <v>Tipo 2 (0,25-0,50) uT</v>
      </c>
      <c r="BD368" s="137" t="str">
        <f>IF(OR(AO368="",AY368="-"),"",IF(AO368&lt;=0.25,"Tipo 1 (≤0,25) uT",IF(AO368&lt;=0.5,"Tipo 2 (0,25-0,50) uT",IF(AO368&lt;=0.75,"Tipo 3 (0,50-0,75) uT","Tipo 4 (&gt;0,75) uT"))))</f>
        <v>Tipo 3 (0,50-0,75) uT</v>
      </c>
      <c r="BE368" s="137" t="str">
        <f>IF(OR(AE368="",AP368="-"),"",IF(AE368&lt;=0.25,"Tipo 1 (≤0,25) uT",IF(AE368&lt;=0.5,"Tipo 2 (0,25-0,50) uT",IF(AE368&lt;=0.75,"Tipo 3 (0,50-0,75) uT","Tipo 4 (&gt;0,75) uT"))))</f>
        <v>Tipo 4 (&gt;0,75) uT</v>
      </c>
      <c r="BF368" s="137" t="str">
        <f>IF(OR(AP368="",AP368="-"),"",IF(AP368&lt;=0.25,"Tipo 1 (≤0,25) uT",IF(AP368&lt;=0.5,"Tipo 2 (0,25-0,50) uT",IF(AP368&lt;=0.75,"Tipo 3 (0,50-0,75) uT","Tipo 4 (&gt;0,75) uT"))))</f>
        <v>Tipo 2 (0,25-0,50) uT</v>
      </c>
      <c r="BG368" s="137" t="str">
        <f>IF(OR(Q368="",Q368="-"),"",IF(Q368&lt;=0.25,"Tipo 1 (≤0,25) uT",IF(Q368&lt;=0.5,"Tipo 2 (0,25-0,50) uT",IF(Q368&lt;=0.75,"Tipo 3 (0,50-0,75) uT","Tipo 4 (&gt;0,75) uT"))))</f>
        <v>Tipo 1 (≤0,25) uT</v>
      </c>
    </row>
    <row r="369" spans="1:59" x14ac:dyDescent="0.3">
      <c r="A369" s="26">
        <v>46165</v>
      </c>
      <c r="B369" s="111">
        <v>0.3125</v>
      </c>
      <c r="C369" s="118">
        <v>583</v>
      </c>
      <c r="D369" s="116">
        <v>85</v>
      </c>
      <c r="E369" s="118">
        <v>551</v>
      </c>
      <c r="F369" s="118">
        <v>1204</v>
      </c>
      <c r="G369" s="9" t="s">
        <v>100</v>
      </c>
      <c r="H369" s="124">
        <v>7.5</v>
      </c>
      <c r="I369" s="118">
        <v>90</v>
      </c>
      <c r="J369" s="118">
        <v>90</v>
      </c>
      <c r="K369" s="118">
        <v>90</v>
      </c>
      <c r="L369" s="124">
        <v>21.8</v>
      </c>
      <c r="M369" s="124">
        <v>6.7</v>
      </c>
      <c r="N369" s="81">
        <v>5.91</v>
      </c>
      <c r="O369" s="118">
        <v>20</v>
      </c>
      <c r="P369" s="124">
        <v>8.8000000000000007</v>
      </c>
      <c r="Q369" s="81">
        <v>0.05</v>
      </c>
      <c r="R369" s="79">
        <v>22.36</v>
      </c>
      <c r="S369" s="79">
        <v>0.88</v>
      </c>
      <c r="T369" s="79">
        <v>0.7</v>
      </c>
      <c r="U369" s="85">
        <f t="shared" si="48"/>
        <v>2531.41</v>
      </c>
      <c r="V369" s="79">
        <f t="shared" si="49"/>
        <v>1766.5606992800001</v>
      </c>
      <c r="W369" s="79">
        <f t="shared" si="50"/>
        <v>0.69785641175471391</v>
      </c>
      <c r="X369" s="118">
        <v>1</v>
      </c>
      <c r="Y369" s="118">
        <v>2</v>
      </c>
      <c r="Z369" s="124">
        <v>6.5</v>
      </c>
      <c r="AA369" s="118">
        <v>21.88</v>
      </c>
      <c r="AB369" s="124">
        <v>6.4</v>
      </c>
      <c r="AC369" s="124">
        <v>6</v>
      </c>
      <c r="AD369" s="9">
        <v>0.39</v>
      </c>
      <c r="AE369" s="81">
        <v>0.69</v>
      </c>
      <c r="AF369" s="85">
        <f t="shared" si="51"/>
        <v>1687.6066666666666</v>
      </c>
      <c r="AG369" s="85">
        <f t="shared" si="52"/>
        <v>1983.7876663903996</v>
      </c>
      <c r="AH369" s="85">
        <f t="shared" si="53"/>
        <v>1.1755035729437742</v>
      </c>
      <c r="AI369" s="118">
        <v>2</v>
      </c>
      <c r="AJ369" s="118">
        <v>3</v>
      </c>
      <c r="AK369" s="81">
        <v>6.46</v>
      </c>
      <c r="AL369" s="81">
        <v>24.76</v>
      </c>
      <c r="AM369" s="124">
        <v>6.4</v>
      </c>
      <c r="AN369" s="124">
        <v>5.5</v>
      </c>
      <c r="AO369" s="81">
        <v>0.26</v>
      </c>
      <c r="AP369" s="129">
        <v>0.27</v>
      </c>
      <c r="AQ369" s="132">
        <f t="shared" si="44"/>
        <v>1219</v>
      </c>
      <c r="AR369" s="134">
        <f t="shared" si="45"/>
        <v>0.47826086956521741</v>
      </c>
      <c r="AS369" s="134">
        <f t="shared" si="46"/>
        <v>6.9729286300246107E-2</v>
      </c>
      <c r="AT369" s="134">
        <f t="shared" si="47"/>
        <v>0.45200984413453649</v>
      </c>
      <c r="AU369" s="43">
        <f>IF(AND(F369&lt;&gt;"",Y369&lt;&gt;""),AA369/(F369/2/Y369),"")</f>
        <v>7.2691029900332216E-2</v>
      </c>
      <c r="AV369" s="43">
        <f>IF(AND(F369&lt;&gt;"",AJ369&lt;&gt;""),AL369/(F369/2/AJ369),"")</f>
        <v>0.12338870431893689</v>
      </c>
      <c r="AW369" s="41">
        <f>IF(AND(AP369&lt;&gt;"",1-(AP369/N369)&gt;0),1-(AP369/N369),"")</f>
        <v>0.95431472081218272</v>
      </c>
      <c r="AX369" s="41">
        <f>IF(AND(AE369&lt;&gt;"",1-(AE369/N369)&gt;0),1-(AE369/N369),"")</f>
        <v>0.88324873096446699</v>
      </c>
      <c r="AY369" s="136" t="str">
        <f>IF(P369="","",IF(P369&lt;2.5,"Alc. Bruta &lt; 2,5 mg/L",IF(P369&lt;5,"2,5 ≤ Alc. Bruta &lt; 5,0 mg/L",IF(P369&lt;7.5,"5,0 ≤ Alc. Bruta &lt; 7,5 mg/L",IF(P369&lt;10,"7,5 ≤ Alc. Bruta &lt; 10,0 mg/L",IF(P369&lt;15,"10,0 ≤ Alca. Bruta &lt; 15,0 mg/L","Alc. Bruta &gt; 15 mg/L"))))))</f>
        <v>7,5 ≤ Alc. Bruta &lt; 10,0 mg/L</v>
      </c>
      <c r="AZ369" s="136" t="str">
        <f>IF(O369="","",IF(O369&lt;5,"Cor &lt;5 uC",IF(O369&lt;10,"5 ≤ Cor &lt; 10 uC",IF(O369&lt;15,"10 ≤ Cor &lt;15 uC",IF(O369&lt;30,"15 ≤ Cor &lt; 30 uC",IF(O369&lt;50,"30 ≤ Cor &lt; 50 uC","Cor &gt; 50 uC"))))))</f>
        <v>15 ≤ Cor &lt; 30 uC</v>
      </c>
      <c r="BA369" s="137" t="str">
        <f>IF(N369="","",IF(N369&lt;2.5,"Turbidez &lt; 2,5 uT",IF(N369&lt;5,"2,5 ≤ Turb &lt; 5,0 uT",IF(N369&lt;7.5,"5,0 ≤ Turb &lt; 7,5 uT",IF(N369&lt;10,"7,5 ≤ Turb &lt; 10,0 uT",IF(N369&lt;15,"10,0 ≤ Turb &lt; 15,0 uT","Turb &gt; 15 uT"))))))</f>
        <v>5,0 ≤ Turb &lt; 7,5 uT</v>
      </c>
      <c r="BB369" s="138" t="str">
        <f>IF(AND(C369&gt;D369,D369&gt;E369),"TOR &gt; SM &gt; BNN",IF(AND(C369&gt;E369,E369&gt;D369),"TOR &gt; BNN &gt; SM",IF(AND(D369&gt;C369,C369&gt;E369),"SM &gt; TOR &gt; BNN",IF(AND(D369&gt;E369,E369&gt;C369),"SM &gt; BNN &gt; TOR",IF(AND(C369=D369,D369=E369),"TOR = SM = BNN","Comb. diferentes")))))</f>
        <v>TOR &gt; BNN &gt; SM</v>
      </c>
      <c r="BC369" s="137" t="str">
        <f>IF(OR(AD369="",AP369="-"),"",IF(AD369&lt;=0.25,"Tipo 1 (≤0,25) uT",IF(AD369&lt;=0.5,"Tipo 2 (0,25-0,50) uT",IF(AD369&lt;=0.75,"Tipo 3 (0,50-0,75) uT","Tipo 4 (&gt;0,75) uT"))))</f>
        <v>Tipo 2 (0,25-0,50) uT</v>
      </c>
      <c r="BD369" s="137" t="str">
        <f>IF(OR(AO369="",AY369="-"),"",IF(AO369&lt;=0.25,"Tipo 1 (≤0,25) uT",IF(AO369&lt;=0.5,"Tipo 2 (0,25-0,50) uT",IF(AO369&lt;=0.75,"Tipo 3 (0,50-0,75) uT","Tipo 4 (&gt;0,75) uT"))))</f>
        <v>Tipo 2 (0,25-0,50) uT</v>
      </c>
      <c r="BE369" s="137" t="str">
        <f>IF(OR(AE369="",AP369="-"),"",IF(AE369&lt;=0.25,"Tipo 1 (≤0,25) uT",IF(AE369&lt;=0.5,"Tipo 2 (0,25-0,50) uT",IF(AE369&lt;=0.75,"Tipo 3 (0,50-0,75) uT","Tipo 4 (&gt;0,75) uT"))))</f>
        <v>Tipo 3 (0,50-0,75) uT</v>
      </c>
      <c r="BF369" s="137" t="str">
        <f>IF(OR(AP369="",AP369="-"),"",IF(AP369&lt;=0.25,"Tipo 1 (≤0,25) uT",IF(AP369&lt;=0.5,"Tipo 2 (0,25-0,50) uT",IF(AP369&lt;=0.75,"Tipo 3 (0,50-0,75) uT","Tipo 4 (&gt;0,75) uT"))))</f>
        <v>Tipo 2 (0,25-0,50) uT</v>
      </c>
      <c r="BG369" s="137" t="str">
        <f>IF(OR(Q369="",Q369="-"),"",IF(Q369&lt;=0.25,"Tipo 1 (≤0,25) uT",IF(Q369&lt;=0.5,"Tipo 2 (0,25-0,50) uT",IF(Q369&lt;=0.75,"Tipo 3 (0,50-0,75) uT","Tipo 4 (&gt;0,75) uT"))))</f>
        <v>Tipo 1 (≤0,25) uT</v>
      </c>
    </row>
    <row r="370" spans="1:59" x14ac:dyDescent="0.3">
      <c r="A370" s="26">
        <v>46165</v>
      </c>
      <c r="B370" s="107">
        <v>0.39583333333333331</v>
      </c>
      <c r="C370" s="116">
        <v>573</v>
      </c>
      <c r="D370" s="116">
        <v>84</v>
      </c>
      <c r="E370" s="116">
        <v>549</v>
      </c>
      <c r="F370" s="116">
        <v>1252</v>
      </c>
      <c r="G370" s="10" t="s">
        <v>100</v>
      </c>
      <c r="H370" s="122">
        <v>7.5</v>
      </c>
      <c r="I370" s="116">
        <v>90</v>
      </c>
      <c r="J370" s="116">
        <v>90</v>
      </c>
      <c r="K370" s="116">
        <v>90</v>
      </c>
      <c r="L370" s="122">
        <v>21.7</v>
      </c>
      <c r="M370" s="122">
        <v>6.8</v>
      </c>
      <c r="N370" s="79">
        <v>3.86</v>
      </c>
      <c r="O370" s="116">
        <v>19</v>
      </c>
      <c r="P370" s="122">
        <v>10.1</v>
      </c>
      <c r="Q370" s="79">
        <v>0.06</v>
      </c>
      <c r="R370" s="79">
        <v>22.36</v>
      </c>
      <c r="S370" s="79">
        <v>0.88</v>
      </c>
      <c r="T370" s="79">
        <v>0.7</v>
      </c>
      <c r="U370" s="85">
        <f t="shared" si="48"/>
        <v>1990.6799999999998</v>
      </c>
      <c r="V370" s="79">
        <f t="shared" si="49"/>
        <v>1770.5976295800001</v>
      </c>
      <c r="W370" s="79">
        <f t="shared" si="50"/>
        <v>0.88944362206884098</v>
      </c>
      <c r="X370" s="116">
        <v>1</v>
      </c>
      <c r="Y370" s="116">
        <v>2</v>
      </c>
      <c r="Z370" s="122">
        <v>6.5</v>
      </c>
      <c r="AA370" s="116">
        <v>21.93</v>
      </c>
      <c r="AB370" s="122">
        <v>6.6</v>
      </c>
      <c r="AC370" s="122">
        <v>7.9</v>
      </c>
      <c r="AD370" s="10">
        <v>0.14000000000000001</v>
      </c>
      <c r="AE370" s="79">
        <v>0.41</v>
      </c>
      <c r="AF370" s="85">
        <f t="shared" si="51"/>
        <v>1327.12</v>
      </c>
      <c r="AG370" s="85">
        <f t="shared" si="52"/>
        <v>1896.6381539091994</v>
      </c>
      <c r="AH370" s="85">
        <f t="shared" si="53"/>
        <v>1.4291384003776595</v>
      </c>
      <c r="AI370" s="116">
        <v>2</v>
      </c>
      <c r="AJ370" s="116">
        <v>3</v>
      </c>
      <c r="AK370" s="79">
        <v>6.43</v>
      </c>
      <c r="AL370" s="79">
        <v>23.81</v>
      </c>
      <c r="AM370" s="122">
        <v>6.5</v>
      </c>
      <c r="AN370" s="122">
        <v>8</v>
      </c>
      <c r="AO370" s="79">
        <v>0.15</v>
      </c>
      <c r="AP370" s="127">
        <v>0.28000000000000003</v>
      </c>
      <c r="AQ370" s="132">
        <f t="shared" si="44"/>
        <v>1206</v>
      </c>
      <c r="AR370" s="134">
        <f t="shared" si="45"/>
        <v>0.47512437810945274</v>
      </c>
      <c r="AS370" s="134">
        <f t="shared" si="46"/>
        <v>6.965174129353234E-2</v>
      </c>
      <c r="AT370" s="134">
        <f t="shared" si="47"/>
        <v>0.45522388059701491</v>
      </c>
      <c r="AU370" s="43">
        <f>IF(AND(F370&lt;&gt;"",Y370&lt;&gt;""),AA370/(F370/2/Y370),"")</f>
        <v>7.006389776357827E-2</v>
      </c>
      <c r="AV370" s="43">
        <f>IF(AND(F370&lt;&gt;"",AJ370&lt;&gt;""),AL370/(F370/2/AJ370),"")</f>
        <v>0.11410543130990415</v>
      </c>
      <c r="AW370" s="41">
        <f>IF(AND(AP370&lt;&gt;"",1-(AP370/N370)&gt;0),1-(AP370/N370),"")</f>
        <v>0.92746113989637302</v>
      </c>
      <c r="AX370" s="41">
        <f>IF(AND(AE370&lt;&gt;"",1-(AE370/N370)&gt;0),1-(AE370/N370),"")</f>
        <v>0.89378238341968907</v>
      </c>
      <c r="AY370" s="136" t="str">
        <f>IF(P370="","",IF(P370&lt;2.5,"Alc. Bruta &lt; 2,5 mg/L",IF(P370&lt;5,"2,5 ≤ Alc. Bruta &lt; 5,0 mg/L",IF(P370&lt;7.5,"5,0 ≤ Alc. Bruta &lt; 7,5 mg/L",IF(P370&lt;10,"7,5 ≤ Alc. Bruta &lt; 10,0 mg/L",IF(P370&lt;15,"10,0 ≤ Alca. Bruta &lt; 15,0 mg/L","Alc. Bruta &gt; 15 mg/L"))))))</f>
        <v>10,0 ≤ Alca. Bruta &lt; 15,0 mg/L</v>
      </c>
      <c r="AZ370" s="136" t="str">
        <f>IF(O370="","",IF(O370&lt;5,"Cor &lt;5 uC",IF(O370&lt;10,"5 ≤ Cor &lt; 10 uC",IF(O370&lt;15,"10 ≤ Cor &lt;15 uC",IF(O370&lt;30,"15 ≤ Cor &lt; 30 uC",IF(O370&lt;50,"30 ≤ Cor &lt; 50 uC","Cor &gt; 50 uC"))))))</f>
        <v>15 ≤ Cor &lt; 30 uC</v>
      </c>
      <c r="BA370" s="137" t="str">
        <f>IF(N370="","",IF(N370&lt;2.5,"Turbidez &lt; 2,5 uT",IF(N370&lt;5,"2,5 ≤ Turb &lt; 5,0 uT",IF(N370&lt;7.5,"5,0 ≤ Turb &lt; 7,5 uT",IF(N370&lt;10,"7,5 ≤ Turb &lt; 10,0 uT",IF(N370&lt;15,"10,0 ≤ Turb &lt; 15,0 uT","Turb &gt; 15 uT"))))))</f>
        <v>2,5 ≤ Turb &lt; 5,0 uT</v>
      </c>
      <c r="BB370" s="138" t="str">
        <f>IF(AND(C370&gt;D370,D370&gt;E370),"TOR &gt; SM &gt; BNN",IF(AND(C370&gt;E370,E370&gt;D370),"TOR &gt; BNN &gt; SM",IF(AND(D370&gt;C370,C370&gt;E370),"SM &gt; TOR &gt; BNN",IF(AND(D370&gt;E370,E370&gt;C370),"SM &gt; BNN &gt; TOR",IF(AND(C370=D370,D370=E370),"TOR = SM = BNN","Comb. diferentes")))))</f>
        <v>TOR &gt; BNN &gt; SM</v>
      </c>
      <c r="BC370" s="137" t="str">
        <f>IF(OR(AD370="",AP370="-"),"",IF(AD370&lt;=0.25,"Tipo 1 (≤0,25) uT",IF(AD370&lt;=0.5,"Tipo 2 (0,25-0,50) uT",IF(AD370&lt;=0.75,"Tipo 3 (0,50-0,75) uT","Tipo 4 (&gt;0,75) uT"))))</f>
        <v>Tipo 1 (≤0,25) uT</v>
      </c>
      <c r="BD370" s="137" t="str">
        <f>IF(OR(AO370="",AY370="-"),"",IF(AO370&lt;=0.25,"Tipo 1 (≤0,25) uT",IF(AO370&lt;=0.5,"Tipo 2 (0,25-0,50) uT",IF(AO370&lt;=0.75,"Tipo 3 (0,50-0,75) uT","Tipo 4 (&gt;0,75) uT"))))</f>
        <v>Tipo 1 (≤0,25) uT</v>
      </c>
      <c r="BE370" s="137" t="str">
        <f>IF(OR(AE370="",AP370="-"),"",IF(AE370&lt;=0.25,"Tipo 1 (≤0,25) uT",IF(AE370&lt;=0.5,"Tipo 2 (0,25-0,50) uT",IF(AE370&lt;=0.75,"Tipo 3 (0,50-0,75) uT","Tipo 4 (&gt;0,75) uT"))))</f>
        <v>Tipo 2 (0,25-0,50) uT</v>
      </c>
      <c r="BF370" s="137" t="str">
        <f>IF(OR(AP370="",AP370="-"),"",IF(AP370&lt;=0.25,"Tipo 1 (≤0,25) uT",IF(AP370&lt;=0.5,"Tipo 2 (0,25-0,50) uT",IF(AP370&lt;=0.75,"Tipo 3 (0,50-0,75) uT","Tipo 4 (&gt;0,75) uT"))))</f>
        <v>Tipo 2 (0,25-0,50) uT</v>
      </c>
      <c r="BG370" s="137" t="str">
        <f>IF(OR(Q370="",Q370="-"),"",IF(Q370&lt;=0.25,"Tipo 1 (≤0,25) uT",IF(Q370&lt;=0.5,"Tipo 2 (0,25-0,50) uT",IF(Q370&lt;=0.75,"Tipo 3 (0,50-0,75) uT","Tipo 4 (&gt;0,75) uT"))))</f>
        <v>Tipo 1 (≤0,25) uT</v>
      </c>
    </row>
    <row r="371" spans="1:59" x14ac:dyDescent="0.3">
      <c r="A371" s="26">
        <v>46165</v>
      </c>
      <c r="B371" s="107">
        <v>0.47916666666666669</v>
      </c>
      <c r="C371" s="116">
        <v>568</v>
      </c>
      <c r="D371" s="116">
        <v>82</v>
      </c>
      <c r="E371" s="116">
        <v>550</v>
      </c>
      <c r="F371" s="116">
        <v>1238</v>
      </c>
      <c r="G371" s="10" t="s">
        <v>100</v>
      </c>
      <c r="H371" s="122">
        <v>7.5</v>
      </c>
      <c r="I371" s="116">
        <v>90</v>
      </c>
      <c r="J371" s="116">
        <v>90</v>
      </c>
      <c r="K371" s="116">
        <v>90</v>
      </c>
      <c r="L371" s="122">
        <v>22.1</v>
      </c>
      <c r="M371" s="122">
        <v>6.8</v>
      </c>
      <c r="N371" s="79">
        <v>3.46</v>
      </c>
      <c r="O371" s="116">
        <v>16</v>
      </c>
      <c r="P371" s="122">
        <v>10</v>
      </c>
      <c r="Q371" s="79">
        <v>0.06</v>
      </c>
      <c r="R371" s="79">
        <v>22.36</v>
      </c>
      <c r="S371" s="79">
        <v>0.88</v>
      </c>
      <c r="T371" s="79">
        <v>0.7</v>
      </c>
      <c r="U371" s="85">
        <f t="shared" si="48"/>
        <v>1844.62</v>
      </c>
      <c r="V371" s="79">
        <f t="shared" si="49"/>
        <v>1775.4419459399999</v>
      </c>
      <c r="W371" s="79">
        <f t="shared" si="50"/>
        <v>0.96249739563704173</v>
      </c>
      <c r="X371" s="116">
        <v>1</v>
      </c>
      <c r="Y371" s="116">
        <v>2</v>
      </c>
      <c r="Z371" s="122">
        <v>6.5</v>
      </c>
      <c r="AA371" s="116">
        <v>21.99</v>
      </c>
      <c r="AB371" s="122">
        <v>6.7</v>
      </c>
      <c r="AC371" s="122">
        <v>8.3000000000000007</v>
      </c>
      <c r="AD371" s="10">
        <v>0.14000000000000001</v>
      </c>
      <c r="AE371" s="79">
        <v>0.31</v>
      </c>
      <c r="AF371" s="85">
        <f t="shared" si="51"/>
        <v>1229.7466666666667</v>
      </c>
      <c r="AG371" s="85">
        <f t="shared" si="52"/>
        <v>1939.979521948</v>
      </c>
      <c r="AH371" s="85">
        <f t="shared" si="53"/>
        <v>1.5775440377541174</v>
      </c>
      <c r="AI371" s="116">
        <v>2</v>
      </c>
      <c r="AJ371" s="116">
        <v>3</v>
      </c>
      <c r="AK371" s="79">
        <v>6.45</v>
      </c>
      <c r="AL371" s="79">
        <v>24.26</v>
      </c>
      <c r="AM371" s="122">
        <v>6.6</v>
      </c>
      <c r="AN371" s="122">
        <v>7.6</v>
      </c>
      <c r="AO371" s="79">
        <v>0.17</v>
      </c>
      <c r="AP371" s="127">
        <v>0.31</v>
      </c>
      <c r="AQ371" s="132">
        <f t="shared" si="44"/>
        <v>1200</v>
      </c>
      <c r="AR371" s="134">
        <f t="shared" si="45"/>
        <v>0.47333333333333333</v>
      </c>
      <c r="AS371" s="134">
        <f t="shared" si="46"/>
        <v>6.8333333333333329E-2</v>
      </c>
      <c r="AT371" s="134">
        <f t="shared" si="47"/>
        <v>0.45833333333333331</v>
      </c>
      <c r="AU371" s="43">
        <f>IF(AND(F371&lt;&gt;"",Y371&lt;&gt;""),AA371/(F371/2/Y371),"")</f>
        <v>7.1050080775444266E-2</v>
      </c>
      <c r="AV371" s="43">
        <f>IF(AND(F371&lt;&gt;"",AJ371&lt;&gt;""),AL371/(F371/2/AJ371),"")</f>
        <v>0.11757673667205169</v>
      </c>
      <c r="AW371" s="41">
        <f>IF(AND(AP371&lt;&gt;"",1-(AP371/N371)&gt;0),1-(AP371/N371),"")</f>
        <v>0.91040462427745661</v>
      </c>
      <c r="AX371" s="41">
        <f>IF(AND(AE371&lt;&gt;"",1-(AE371/N371)&gt;0),1-(AE371/N371),"")</f>
        <v>0.91040462427745661</v>
      </c>
      <c r="AY371" s="136" t="str">
        <f>IF(P371="","",IF(P371&lt;2.5,"Alc. Bruta &lt; 2,5 mg/L",IF(P371&lt;5,"2,5 ≤ Alc. Bruta &lt; 5,0 mg/L",IF(P371&lt;7.5,"5,0 ≤ Alc. Bruta &lt; 7,5 mg/L",IF(P371&lt;10,"7,5 ≤ Alc. Bruta &lt; 10,0 mg/L",IF(P371&lt;15,"10,0 ≤ Alca. Bruta &lt; 15,0 mg/L","Alc. Bruta &gt; 15 mg/L"))))))</f>
        <v>10,0 ≤ Alca. Bruta &lt; 15,0 mg/L</v>
      </c>
      <c r="AZ371" s="136" t="str">
        <f>IF(O371="","",IF(O371&lt;5,"Cor &lt;5 uC",IF(O371&lt;10,"5 ≤ Cor &lt; 10 uC",IF(O371&lt;15,"10 ≤ Cor &lt;15 uC",IF(O371&lt;30,"15 ≤ Cor &lt; 30 uC",IF(O371&lt;50,"30 ≤ Cor &lt; 50 uC","Cor &gt; 50 uC"))))))</f>
        <v>15 ≤ Cor &lt; 30 uC</v>
      </c>
      <c r="BA371" s="137" t="str">
        <f>IF(N371="","",IF(N371&lt;2.5,"Turbidez &lt; 2,5 uT",IF(N371&lt;5,"2,5 ≤ Turb &lt; 5,0 uT",IF(N371&lt;7.5,"5,0 ≤ Turb &lt; 7,5 uT",IF(N371&lt;10,"7,5 ≤ Turb &lt; 10,0 uT",IF(N371&lt;15,"10,0 ≤ Turb &lt; 15,0 uT","Turb &gt; 15 uT"))))))</f>
        <v>2,5 ≤ Turb &lt; 5,0 uT</v>
      </c>
      <c r="BB371" s="138" t="str">
        <f>IF(AND(C371&gt;D371,D371&gt;E371),"TOR &gt; SM &gt; BNN",IF(AND(C371&gt;E371,E371&gt;D371),"TOR &gt; BNN &gt; SM",IF(AND(D371&gt;C371,C371&gt;E371),"SM &gt; TOR &gt; BNN",IF(AND(D371&gt;E371,E371&gt;C371),"SM &gt; BNN &gt; TOR",IF(AND(C371=D371,D371=E371),"TOR = SM = BNN","Comb. diferentes")))))</f>
        <v>TOR &gt; BNN &gt; SM</v>
      </c>
      <c r="BC371" s="137" t="str">
        <f>IF(OR(AD371="",AP371="-"),"",IF(AD371&lt;=0.25,"Tipo 1 (≤0,25) uT",IF(AD371&lt;=0.5,"Tipo 2 (0,25-0,50) uT",IF(AD371&lt;=0.75,"Tipo 3 (0,50-0,75) uT","Tipo 4 (&gt;0,75) uT"))))</f>
        <v>Tipo 1 (≤0,25) uT</v>
      </c>
      <c r="BD371" s="137" t="str">
        <f>IF(OR(AO371="",AY371="-"),"",IF(AO371&lt;=0.25,"Tipo 1 (≤0,25) uT",IF(AO371&lt;=0.5,"Tipo 2 (0,25-0,50) uT",IF(AO371&lt;=0.75,"Tipo 3 (0,50-0,75) uT","Tipo 4 (&gt;0,75) uT"))))</f>
        <v>Tipo 1 (≤0,25) uT</v>
      </c>
      <c r="BE371" s="137" t="str">
        <f>IF(OR(AE371="",AP371="-"),"",IF(AE371&lt;=0.25,"Tipo 1 (≤0,25) uT",IF(AE371&lt;=0.5,"Tipo 2 (0,25-0,50) uT",IF(AE371&lt;=0.75,"Tipo 3 (0,50-0,75) uT","Tipo 4 (&gt;0,75) uT"))))</f>
        <v>Tipo 2 (0,25-0,50) uT</v>
      </c>
      <c r="BF371" s="137" t="str">
        <f>IF(OR(AP371="",AP371="-"),"",IF(AP371&lt;=0.25,"Tipo 1 (≤0,25) uT",IF(AP371&lt;=0.5,"Tipo 2 (0,25-0,50) uT",IF(AP371&lt;=0.75,"Tipo 3 (0,50-0,75) uT","Tipo 4 (&gt;0,75) uT"))))</f>
        <v>Tipo 2 (0,25-0,50) uT</v>
      </c>
      <c r="BG371" s="137" t="str">
        <f>IF(OR(Q371="",Q371="-"),"",IF(Q371&lt;=0.25,"Tipo 1 (≤0,25) uT",IF(Q371&lt;=0.5,"Tipo 2 (0,25-0,50) uT",IF(Q371&lt;=0.75,"Tipo 3 (0,50-0,75) uT","Tipo 4 (&gt;0,75) uT"))))</f>
        <v>Tipo 1 (≤0,25) uT</v>
      </c>
    </row>
    <row r="372" spans="1:59" x14ac:dyDescent="0.3">
      <c r="A372" s="26">
        <v>46165</v>
      </c>
      <c r="B372" s="107">
        <v>0.64583333333333337</v>
      </c>
      <c r="C372" s="116">
        <v>1134</v>
      </c>
      <c r="D372" s="116">
        <v>82</v>
      </c>
      <c r="E372" s="116">
        <v>550</v>
      </c>
      <c r="F372" s="116">
        <v>1851</v>
      </c>
      <c r="G372" s="10" t="s">
        <v>100</v>
      </c>
      <c r="H372" s="122">
        <v>7.5</v>
      </c>
      <c r="I372" s="116">
        <v>90</v>
      </c>
      <c r="J372" s="116">
        <v>90</v>
      </c>
      <c r="K372" s="116">
        <v>90</v>
      </c>
      <c r="L372" s="122">
        <v>22.8</v>
      </c>
      <c r="M372" s="122">
        <v>7.1</v>
      </c>
      <c r="N372" s="79">
        <v>3.38</v>
      </c>
      <c r="O372" s="116">
        <v>16</v>
      </c>
      <c r="P372" s="122">
        <v>8.6</v>
      </c>
      <c r="Q372" s="79">
        <v>0.06</v>
      </c>
      <c r="R372" s="79">
        <v>22.36</v>
      </c>
      <c r="S372" s="79">
        <v>0.88</v>
      </c>
      <c r="T372" s="79">
        <v>0.7</v>
      </c>
      <c r="U372" s="85">
        <f t="shared" si="48"/>
        <v>1360.4849999999999</v>
      </c>
      <c r="V372" s="79">
        <f t="shared" si="49"/>
        <v>1440.5695574191996</v>
      </c>
      <c r="W372" s="79">
        <f t="shared" si="50"/>
        <v>1.0588647117896923</v>
      </c>
      <c r="X372" s="116">
        <v>2</v>
      </c>
      <c r="Y372" s="116">
        <v>4</v>
      </c>
      <c r="Z372" s="122">
        <v>6.46</v>
      </c>
      <c r="AA372" s="116">
        <v>17.98</v>
      </c>
      <c r="AB372" s="122">
        <v>6.7</v>
      </c>
      <c r="AC372" s="122">
        <v>6.7</v>
      </c>
      <c r="AD372" s="10">
        <v>0.14000000000000001</v>
      </c>
      <c r="AE372" s="79">
        <v>0.53</v>
      </c>
      <c r="AF372" s="85">
        <f t="shared" si="51"/>
        <v>1813.98</v>
      </c>
      <c r="AG372" s="85">
        <f t="shared" si="52"/>
        <v>1946.9321604719994</v>
      </c>
      <c r="AH372" s="85">
        <f t="shared" si="53"/>
        <v>1.0732930685409978</v>
      </c>
      <c r="AI372" s="116">
        <v>2</v>
      </c>
      <c r="AJ372" s="116">
        <v>3</v>
      </c>
      <c r="AK372" s="79">
        <v>6.46</v>
      </c>
      <c r="AL372" s="79">
        <v>24.3</v>
      </c>
      <c r="AM372" s="122">
        <v>6.4</v>
      </c>
      <c r="AN372" s="122">
        <v>6.1</v>
      </c>
      <c r="AO372" s="79">
        <v>0.12</v>
      </c>
      <c r="AP372" s="127">
        <v>0.27</v>
      </c>
      <c r="AQ372" s="132">
        <f t="shared" si="44"/>
        <v>1766</v>
      </c>
      <c r="AR372" s="134">
        <f t="shared" si="45"/>
        <v>0.64212910532276335</v>
      </c>
      <c r="AS372" s="134">
        <f t="shared" si="46"/>
        <v>4.6432616081540201E-2</v>
      </c>
      <c r="AT372" s="134">
        <f t="shared" si="47"/>
        <v>0.3114382785956965</v>
      </c>
      <c r="AU372" s="43">
        <f>IF(AND(F372&lt;&gt;"",Y372&lt;&gt;""),AA372/(F372/2/Y372),"")</f>
        <v>7.7709346299297682E-2</v>
      </c>
      <c r="AV372" s="43">
        <f>IF(AND(F372&lt;&gt;"",AJ372&lt;&gt;""),AL372/(F372/2/AJ372),"")</f>
        <v>7.876823338735818E-2</v>
      </c>
      <c r="AW372" s="41">
        <f>IF(AND(AP372&lt;&gt;"",1-(AP372/N372)&gt;0),1-(AP372/N372),"")</f>
        <v>0.92011834319526631</v>
      </c>
      <c r="AX372" s="41">
        <f>IF(AND(AE372&lt;&gt;"",1-(AE372/N372)&gt;0),1-(AE372/N372),"")</f>
        <v>0.84319526627218933</v>
      </c>
      <c r="AY372" s="136" t="str">
        <f>IF(P372="","",IF(P372&lt;2.5,"Alc. Bruta &lt; 2,5 mg/L",IF(P372&lt;5,"2,5 ≤ Alc. Bruta &lt; 5,0 mg/L",IF(P372&lt;7.5,"5,0 ≤ Alc. Bruta &lt; 7,5 mg/L",IF(P372&lt;10,"7,5 ≤ Alc. Bruta &lt; 10,0 mg/L",IF(P372&lt;15,"10,0 ≤ Alca. Bruta &lt; 15,0 mg/L","Alc. Bruta &gt; 15 mg/L"))))))</f>
        <v>7,5 ≤ Alc. Bruta &lt; 10,0 mg/L</v>
      </c>
      <c r="AZ372" s="136" t="str">
        <f>IF(O372="","",IF(O372&lt;5,"Cor &lt;5 uC",IF(O372&lt;10,"5 ≤ Cor &lt; 10 uC",IF(O372&lt;15,"10 ≤ Cor &lt;15 uC",IF(O372&lt;30,"15 ≤ Cor &lt; 30 uC",IF(O372&lt;50,"30 ≤ Cor &lt; 50 uC","Cor &gt; 50 uC"))))))</f>
        <v>15 ≤ Cor &lt; 30 uC</v>
      </c>
      <c r="BA372" s="137" t="str">
        <f>IF(N372="","",IF(N372&lt;2.5,"Turbidez &lt; 2,5 uT",IF(N372&lt;5,"2,5 ≤ Turb &lt; 5,0 uT",IF(N372&lt;7.5,"5,0 ≤ Turb &lt; 7,5 uT",IF(N372&lt;10,"7,5 ≤ Turb &lt; 10,0 uT",IF(N372&lt;15,"10,0 ≤ Turb &lt; 15,0 uT","Turb &gt; 15 uT"))))))</f>
        <v>2,5 ≤ Turb &lt; 5,0 uT</v>
      </c>
      <c r="BB372" s="138" t="str">
        <f>IF(AND(C372&gt;D372,D372&gt;E372),"TOR &gt; SM &gt; BNN",IF(AND(C372&gt;E372,E372&gt;D372),"TOR &gt; BNN &gt; SM",IF(AND(D372&gt;C372,C372&gt;E372),"SM &gt; TOR &gt; BNN",IF(AND(D372&gt;E372,E372&gt;C372),"SM &gt; BNN &gt; TOR",IF(AND(C372=D372,D372=E372),"TOR = SM = BNN","Comb. diferentes")))))</f>
        <v>TOR &gt; BNN &gt; SM</v>
      </c>
      <c r="BC372" s="137" t="str">
        <f>IF(OR(AD372="",AP372="-"),"",IF(AD372&lt;=0.25,"Tipo 1 (≤0,25) uT",IF(AD372&lt;=0.5,"Tipo 2 (0,25-0,50) uT",IF(AD372&lt;=0.75,"Tipo 3 (0,50-0,75) uT","Tipo 4 (&gt;0,75) uT"))))</f>
        <v>Tipo 1 (≤0,25) uT</v>
      </c>
      <c r="BD372" s="137" t="str">
        <f>IF(OR(AO372="",AY372="-"),"",IF(AO372&lt;=0.25,"Tipo 1 (≤0,25) uT",IF(AO372&lt;=0.5,"Tipo 2 (0,25-0,50) uT",IF(AO372&lt;=0.75,"Tipo 3 (0,50-0,75) uT","Tipo 4 (&gt;0,75) uT"))))</f>
        <v>Tipo 1 (≤0,25) uT</v>
      </c>
      <c r="BE372" s="137" t="str">
        <f>IF(OR(AE372="",AP372="-"),"",IF(AE372&lt;=0.25,"Tipo 1 (≤0,25) uT",IF(AE372&lt;=0.5,"Tipo 2 (0,25-0,50) uT",IF(AE372&lt;=0.75,"Tipo 3 (0,50-0,75) uT","Tipo 4 (&gt;0,75) uT"))))</f>
        <v>Tipo 3 (0,50-0,75) uT</v>
      </c>
      <c r="BF372" s="137" t="str">
        <f>IF(OR(AP372="",AP372="-"),"",IF(AP372&lt;=0.25,"Tipo 1 (≤0,25) uT",IF(AP372&lt;=0.5,"Tipo 2 (0,25-0,50) uT",IF(AP372&lt;=0.75,"Tipo 3 (0,50-0,75) uT","Tipo 4 (&gt;0,75) uT"))))</f>
        <v>Tipo 2 (0,25-0,50) uT</v>
      </c>
      <c r="BG372" s="137" t="str">
        <f>IF(OR(Q372="",Q372="-"),"",IF(Q372&lt;=0.25,"Tipo 1 (≤0,25) uT",IF(Q372&lt;=0.5,"Tipo 2 (0,25-0,50) uT",IF(Q372&lt;=0.75,"Tipo 3 (0,50-0,75) uT","Tipo 4 (&gt;0,75) uT"))))</f>
        <v>Tipo 1 (≤0,25) uT</v>
      </c>
    </row>
    <row r="373" spans="1:59" x14ac:dyDescent="0.3">
      <c r="A373" s="26">
        <v>46165</v>
      </c>
      <c r="B373" s="107">
        <v>0.72916666666666663</v>
      </c>
      <c r="C373" s="116">
        <v>1169</v>
      </c>
      <c r="D373" s="116">
        <v>88</v>
      </c>
      <c r="E373" s="116">
        <v>550</v>
      </c>
      <c r="F373" s="116">
        <v>1873</v>
      </c>
      <c r="G373" s="10" t="s">
        <v>100</v>
      </c>
      <c r="H373" s="122">
        <v>7.5</v>
      </c>
      <c r="I373" s="116">
        <v>90</v>
      </c>
      <c r="J373" s="116">
        <v>90</v>
      </c>
      <c r="K373" s="116">
        <v>90</v>
      </c>
      <c r="L373" s="122">
        <v>22.6</v>
      </c>
      <c r="M373" s="122">
        <v>6.8</v>
      </c>
      <c r="N373" s="79">
        <v>3.99</v>
      </c>
      <c r="O373" s="116">
        <v>15</v>
      </c>
      <c r="P373" s="122">
        <v>8.1</v>
      </c>
      <c r="Q373" s="79">
        <v>0.06</v>
      </c>
      <c r="R373" s="79">
        <v>22.36</v>
      </c>
      <c r="S373" s="79">
        <v>0.88</v>
      </c>
      <c r="T373" s="79">
        <v>0.7</v>
      </c>
      <c r="U373" s="85">
        <f t="shared" si="48"/>
        <v>1519.4712500000001</v>
      </c>
      <c r="V373" s="79">
        <f t="shared" si="49"/>
        <v>1439.3334445204</v>
      </c>
      <c r="W373" s="79">
        <f t="shared" si="50"/>
        <v>0.94725941311518724</v>
      </c>
      <c r="X373" s="116">
        <v>2</v>
      </c>
      <c r="Y373" s="116">
        <v>4</v>
      </c>
      <c r="Z373" s="122">
        <v>6.47</v>
      </c>
      <c r="AA373" s="116">
        <v>17.93</v>
      </c>
      <c r="AB373" s="122">
        <v>6.6</v>
      </c>
      <c r="AC373" s="122">
        <v>6.6</v>
      </c>
      <c r="AD373" s="10">
        <v>0.28000000000000003</v>
      </c>
      <c r="AE373" s="79">
        <v>0.55000000000000004</v>
      </c>
      <c r="AF373" s="85">
        <f t="shared" si="51"/>
        <v>2025.9616666666668</v>
      </c>
      <c r="AG373" s="85">
        <f t="shared" si="52"/>
        <v>1981.7862192127998</v>
      </c>
      <c r="AH373" s="85">
        <f t="shared" si="53"/>
        <v>0.97819531920041247</v>
      </c>
      <c r="AI373" s="116">
        <v>2</v>
      </c>
      <c r="AJ373" s="116">
        <v>3</v>
      </c>
      <c r="AK373" s="79">
        <v>6.48</v>
      </c>
      <c r="AL373" s="79">
        <v>24.64</v>
      </c>
      <c r="AM373" s="122">
        <v>6.4</v>
      </c>
      <c r="AN373" s="122">
        <v>6.5</v>
      </c>
      <c r="AO373" s="79">
        <v>0.22</v>
      </c>
      <c r="AP373" s="127">
        <v>0.25</v>
      </c>
      <c r="AQ373" s="132">
        <f t="shared" si="44"/>
        <v>1807</v>
      </c>
      <c r="AR373" s="134">
        <f t="shared" si="45"/>
        <v>0.64692861095738796</v>
      </c>
      <c r="AS373" s="134">
        <f t="shared" si="46"/>
        <v>4.8699501936912006E-2</v>
      </c>
      <c r="AT373" s="134">
        <f t="shared" si="47"/>
        <v>0.30437188710570007</v>
      </c>
      <c r="AU373" s="43">
        <f>IF(AND(F373&lt;&gt;"",Y373&lt;&gt;""),AA373/(F373/2/Y373),"")</f>
        <v>7.658302189001602E-2</v>
      </c>
      <c r="AV373" s="43">
        <f>IF(AND(F373&lt;&gt;"",AJ373&lt;&gt;""),AL373/(F373/2/AJ373),"")</f>
        <v>7.8932194340630008E-2</v>
      </c>
      <c r="AW373" s="41">
        <f>IF(AND(AP373&lt;&gt;"",1-(AP373/N373)&gt;0),1-(AP373/N373),"")</f>
        <v>0.93734335839599003</v>
      </c>
      <c r="AX373" s="41">
        <f>IF(AND(AE373&lt;&gt;"",1-(AE373/N373)&gt;0),1-(AE373/N373),"")</f>
        <v>0.8621553884711779</v>
      </c>
      <c r="AY373" s="136" t="str">
        <f>IF(P373="","",IF(P373&lt;2.5,"Alc. Bruta &lt; 2,5 mg/L",IF(P373&lt;5,"2,5 ≤ Alc. Bruta &lt; 5,0 mg/L",IF(P373&lt;7.5,"5,0 ≤ Alc. Bruta &lt; 7,5 mg/L",IF(P373&lt;10,"7,5 ≤ Alc. Bruta &lt; 10,0 mg/L",IF(P373&lt;15,"10,0 ≤ Alca. Bruta &lt; 15,0 mg/L","Alc. Bruta &gt; 15 mg/L"))))))</f>
        <v>7,5 ≤ Alc. Bruta &lt; 10,0 mg/L</v>
      </c>
      <c r="AZ373" s="136" t="str">
        <f>IF(O373="","",IF(O373&lt;5,"Cor &lt;5 uC",IF(O373&lt;10,"5 ≤ Cor &lt; 10 uC",IF(O373&lt;15,"10 ≤ Cor &lt;15 uC",IF(O373&lt;30,"15 ≤ Cor &lt; 30 uC",IF(O373&lt;50,"30 ≤ Cor &lt; 50 uC","Cor &gt; 50 uC"))))))</f>
        <v>15 ≤ Cor &lt; 30 uC</v>
      </c>
      <c r="BA373" s="137" t="str">
        <f>IF(N373="","",IF(N373&lt;2.5,"Turbidez &lt; 2,5 uT",IF(N373&lt;5,"2,5 ≤ Turb &lt; 5,0 uT",IF(N373&lt;7.5,"5,0 ≤ Turb &lt; 7,5 uT",IF(N373&lt;10,"7,5 ≤ Turb &lt; 10,0 uT",IF(N373&lt;15,"10,0 ≤ Turb &lt; 15,0 uT","Turb &gt; 15 uT"))))))</f>
        <v>2,5 ≤ Turb &lt; 5,0 uT</v>
      </c>
      <c r="BB373" s="138" t="str">
        <f>IF(AND(C373&gt;D373,D373&gt;E373),"TOR &gt; SM &gt; BNN",IF(AND(C373&gt;E373,E373&gt;D373),"TOR &gt; BNN &gt; SM",IF(AND(D373&gt;C373,C373&gt;E373),"SM &gt; TOR &gt; BNN",IF(AND(D373&gt;E373,E373&gt;C373),"SM &gt; BNN &gt; TOR",IF(AND(C373=D373,D373=E373),"TOR = SM = BNN","Comb. diferentes")))))</f>
        <v>TOR &gt; BNN &gt; SM</v>
      </c>
      <c r="BC373" s="137" t="str">
        <f>IF(OR(AD373="",AP373="-"),"",IF(AD373&lt;=0.25,"Tipo 1 (≤0,25) uT",IF(AD373&lt;=0.5,"Tipo 2 (0,25-0,50) uT",IF(AD373&lt;=0.75,"Tipo 3 (0,50-0,75) uT","Tipo 4 (&gt;0,75) uT"))))</f>
        <v>Tipo 2 (0,25-0,50) uT</v>
      </c>
      <c r="BD373" s="137" t="str">
        <f>IF(OR(AO373="",AY373="-"),"",IF(AO373&lt;=0.25,"Tipo 1 (≤0,25) uT",IF(AO373&lt;=0.5,"Tipo 2 (0,25-0,50) uT",IF(AO373&lt;=0.75,"Tipo 3 (0,50-0,75) uT","Tipo 4 (&gt;0,75) uT"))))</f>
        <v>Tipo 1 (≤0,25) uT</v>
      </c>
      <c r="BE373" s="137" t="str">
        <f>IF(OR(AE373="",AP373="-"),"",IF(AE373&lt;=0.25,"Tipo 1 (≤0,25) uT",IF(AE373&lt;=0.5,"Tipo 2 (0,25-0,50) uT",IF(AE373&lt;=0.75,"Tipo 3 (0,50-0,75) uT","Tipo 4 (&gt;0,75) uT"))))</f>
        <v>Tipo 3 (0,50-0,75) uT</v>
      </c>
      <c r="BF373" s="137" t="str">
        <f>IF(OR(AP373="",AP373="-"),"",IF(AP373&lt;=0.25,"Tipo 1 (≤0,25) uT",IF(AP373&lt;=0.5,"Tipo 2 (0,25-0,50) uT",IF(AP373&lt;=0.75,"Tipo 3 (0,50-0,75) uT","Tipo 4 (&gt;0,75) uT"))))</f>
        <v>Tipo 1 (≤0,25) uT</v>
      </c>
      <c r="BG373" s="137" t="str">
        <f>IF(OR(Q373="",Q373="-"),"",IF(Q373&lt;=0.25,"Tipo 1 (≤0,25) uT",IF(Q373&lt;=0.5,"Tipo 2 (0,25-0,50) uT",IF(Q373&lt;=0.75,"Tipo 3 (0,50-0,75) uT","Tipo 4 (&gt;0,75) uT"))))</f>
        <v>Tipo 1 (≤0,25) uT</v>
      </c>
    </row>
    <row r="374" spans="1:59" x14ac:dyDescent="0.3">
      <c r="A374" s="26">
        <v>46165</v>
      </c>
      <c r="B374" s="107">
        <v>0.8125</v>
      </c>
      <c r="C374" s="116">
        <v>1186</v>
      </c>
      <c r="D374" s="116">
        <v>84</v>
      </c>
      <c r="E374" s="116">
        <v>551</v>
      </c>
      <c r="F374" s="116">
        <v>1814</v>
      </c>
      <c r="G374" s="10" t="s">
        <v>100</v>
      </c>
      <c r="H374" s="122">
        <v>7.5</v>
      </c>
      <c r="I374" s="116">
        <v>90</v>
      </c>
      <c r="J374" s="116">
        <v>90</v>
      </c>
      <c r="K374" s="116">
        <v>90</v>
      </c>
      <c r="L374" s="122">
        <v>22.5</v>
      </c>
      <c r="M374" s="122">
        <v>6.8</v>
      </c>
      <c r="N374" s="79">
        <v>3.73</v>
      </c>
      <c r="O374" s="116">
        <v>24</v>
      </c>
      <c r="P374" s="122">
        <v>7.8</v>
      </c>
      <c r="Q374" s="79">
        <v>0.08</v>
      </c>
      <c r="R374" s="79">
        <v>22.36</v>
      </c>
      <c r="S374" s="79">
        <v>0.88</v>
      </c>
      <c r="T374" s="79">
        <v>0.7</v>
      </c>
      <c r="U374" s="85">
        <f t="shared" si="48"/>
        <v>1412.6525000000001</v>
      </c>
      <c r="V374" s="79">
        <f t="shared" si="49"/>
        <v>1528.1630748799998</v>
      </c>
      <c r="W374" s="79">
        <f t="shared" si="50"/>
        <v>1.0817685700340316</v>
      </c>
      <c r="X374" s="116">
        <v>2</v>
      </c>
      <c r="Y374" s="116">
        <v>4</v>
      </c>
      <c r="Z374" s="122">
        <v>6.48</v>
      </c>
      <c r="AA374" s="116">
        <v>19</v>
      </c>
      <c r="AB374" s="122">
        <v>6.6</v>
      </c>
      <c r="AC374" s="122">
        <v>6.4</v>
      </c>
      <c r="AD374" s="10">
        <v>0.22</v>
      </c>
      <c r="AE374" s="79">
        <v>0.42</v>
      </c>
      <c r="AF374" s="85">
        <f t="shared" si="51"/>
        <v>1883.5366666666666</v>
      </c>
      <c r="AG374" s="85">
        <f t="shared" si="52"/>
        <v>1937.7265440000001</v>
      </c>
      <c r="AH374" s="85">
        <f t="shared" si="53"/>
        <v>1.0287702800228649</v>
      </c>
      <c r="AI374" s="116">
        <v>2</v>
      </c>
      <c r="AJ374" s="116">
        <v>3</v>
      </c>
      <c r="AK374" s="79">
        <v>6.5</v>
      </c>
      <c r="AL374" s="79">
        <v>24</v>
      </c>
      <c r="AM374" s="122">
        <v>6.4</v>
      </c>
      <c r="AN374" s="122">
        <v>6.4</v>
      </c>
      <c r="AO374" s="79">
        <v>0.2</v>
      </c>
      <c r="AP374" s="127">
        <v>0.25</v>
      </c>
      <c r="AQ374" s="132">
        <f t="shared" si="44"/>
        <v>1821</v>
      </c>
      <c r="AR374" s="134">
        <f t="shared" si="45"/>
        <v>0.65129049972542563</v>
      </c>
      <c r="AS374" s="134">
        <f t="shared" si="46"/>
        <v>4.6128500823723231E-2</v>
      </c>
      <c r="AT374" s="134">
        <f t="shared" si="47"/>
        <v>0.30258099945085121</v>
      </c>
      <c r="AU374" s="43">
        <f>IF(AND(F374&lt;&gt;"",Y374&lt;&gt;""),AA374/(F374/2/Y374),"")</f>
        <v>8.3792723263506064E-2</v>
      </c>
      <c r="AV374" s="43">
        <f>IF(AND(F374&lt;&gt;"",AJ374&lt;&gt;""),AL374/(F374/2/AJ374),"")</f>
        <v>7.9382579933847855E-2</v>
      </c>
      <c r="AW374" s="41">
        <f>IF(AND(AP374&lt;&gt;"",1-(AP374/N374)&gt;0),1-(AP374/N374),"")</f>
        <v>0.93297587131367288</v>
      </c>
      <c r="AX374" s="41">
        <f>IF(AND(AE374&lt;&gt;"",1-(AE374/N374)&gt;0),1-(AE374/N374),"")</f>
        <v>0.88739946380697055</v>
      </c>
      <c r="AY374" s="136" t="str">
        <f>IF(P374="","",IF(P374&lt;2.5,"Alc. Bruta &lt; 2,5 mg/L",IF(P374&lt;5,"2,5 ≤ Alc. Bruta &lt; 5,0 mg/L",IF(P374&lt;7.5,"5,0 ≤ Alc. Bruta &lt; 7,5 mg/L",IF(P374&lt;10,"7,5 ≤ Alc. Bruta &lt; 10,0 mg/L",IF(P374&lt;15,"10,0 ≤ Alca. Bruta &lt; 15,0 mg/L","Alc. Bruta &gt; 15 mg/L"))))))</f>
        <v>7,5 ≤ Alc. Bruta &lt; 10,0 mg/L</v>
      </c>
      <c r="AZ374" s="136" t="str">
        <f>IF(O374="","",IF(O374&lt;5,"Cor &lt;5 uC",IF(O374&lt;10,"5 ≤ Cor &lt; 10 uC",IF(O374&lt;15,"10 ≤ Cor &lt;15 uC",IF(O374&lt;30,"15 ≤ Cor &lt; 30 uC",IF(O374&lt;50,"30 ≤ Cor &lt; 50 uC","Cor &gt; 50 uC"))))))</f>
        <v>15 ≤ Cor &lt; 30 uC</v>
      </c>
      <c r="BA374" s="137" t="str">
        <f>IF(N374="","",IF(N374&lt;2.5,"Turbidez &lt; 2,5 uT",IF(N374&lt;5,"2,5 ≤ Turb &lt; 5,0 uT",IF(N374&lt;7.5,"5,0 ≤ Turb &lt; 7,5 uT",IF(N374&lt;10,"7,5 ≤ Turb &lt; 10,0 uT",IF(N374&lt;15,"10,0 ≤ Turb &lt; 15,0 uT","Turb &gt; 15 uT"))))))</f>
        <v>2,5 ≤ Turb &lt; 5,0 uT</v>
      </c>
      <c r="BB374" s="138" t="str">
        <f>IF(AND(C374&gt;D374,D374&gt;E374),"TOR &gt; SM &gt; BNN",IF(AND(C374&gt;E374,E374&gt;D374),"TOR &gt; BNN &gt; SM",IF(AND(D374&gt;C374,C374&gt;E374),"SM &gt; TOR &gt; BNN",IF(AND(D374&gt;E374,E374&gt;C374),"SM &gt; BNN &gt; TOR",IF(AND(C374=D374,D374=E374),"TOR = SM = BNN","Comb. diferentes")))))</f>
        <v>TOR &gt; BNN &gt; SM</v>
      </c>
      <c r="BC374" s="137" t="str">
        <f>IF(OR(AD374="",AP374="-"),"",IF(AD374&lt;=0.25,"Tipo 1 (≤0,25) uT",IF(AD374&lt;=0.5,"Tipo 2 (0,25-0,50) uT",IF(AD374&lt;=0.75,"Tipo 3 (0,50-0,75) uT","Tipo 4 (&gt;0,75) uT"))))</f>
        <v>Tipo 1 (≤0,25) uT</v>
      </c>
      <c r="BD374" s="137" t="str">
        <f>IF(OR(AO374="",AY374="-"),"",IF(AO374&lt;=0.25,"Tipo 1 (≤0,25) uT",IF(AO374&lt;=0.5,"Tipo 2 (0,25-0,50) uT",IF(AO374&lt;=0.75,"Tipo 3 (0,50-0,75) uT","Tipo 4 (&gt;0,75) uT"))))</f>
        <v>Tipo 1 (≤0,25) uT</v>
      </c>
      <c r="BE374" s="137" t="str">
        <f>IF(OR(AE374="",AP374="-"),"",IF(AE374&lt;=0.25,"Tipo 1 (≤0,25) uT",IF(AE374&lt;=0.5,"Tipo 2 (0,25-0,50) uT",IF(AE374&lt;=0.75,"Tipo 3 (0,50-0,75) uT","Tipo 4 (&gt;0,75) uT"))))</f>
        <v>Tipo 2 (0,25-0,50) uT</v>
      </c>
      <c r="BF374" s="137" t="str">
        <f>IF(OR(AP374="",AP374="-"),"",IF(AP374&lt;=0.25,"Tipo 1 (≤0,25) uT",IF(AP374&lt;=0.5,"Tipo 2 (0,25-0,50) uT",IF(AP374&lt;=0.75,"Tipo 3 (0,50-0,75) uT","Tipo 4 (&gt;0,75) uT"))))</f>
        <v>Tipo 1 (≤0,25) uT</v>
      </c>
      <c r="BG374" s="137" t="str">
        <f>IF(OR(Q374="",Q374="-"),"",IF(Q374&lt;=0.25,"Tipo 1 (≤0,25) uT",IF(Q374&lt;=0.5,"Tipo 2 (0,25-0,50) uT",IF(Q374&lt;=0.75,"Tipo 3 (0,50-0,75) uT","Tipo 4 (&gt;0,75) uT"))))</f>
        <v>Tipo 1 (≤0,25) uT</v>
      </c>
    </row>
    <row r="375" spans="1:59" x14ac:dyDescent="0.3">
      <c r="A375" s="26">
        <v>46165</v>
      </c>
      <c r="B375" s="107">
        <v>0.89583333333333337</v>
      </c>
      <c r="C375" s="116">
        <v>1219</v>
      </c>
      <c r="D375" s="116">
        <v>80</v>
      </c>
      <c r="E375" s="116">
        <v>550</v>
      </c>
      <c r="F375" s="116">
        <v>1814</v>
      </c>
      <c r="G375" s="10" t="s">
        <v>100</v>
      </c>
      <c r="H375" s="122">
        <v>7.5</v>
      </c>
      <c r="I375" s="116">
        <v>90</v>
      </c>
      <c r="J375" s="116">
        <v>90</v>
      </c>
      <c r="K375" s="116">
        <v>90</v>
      </c>
      <c r="L375" s="122">
        <v>22.7</v>
      </c>
      <c r="M375" s="122">
        <v>6.8</v>
      </c>
      <c r="N375" s="79">
        <v>3.34</v>
      </c>
      <c r="O375" s="116">
        <v>14</v>
      </c>
      <c r="P375" s="122">
        <v>8</v>
      </c>
      <c r="Q375" s="79">
        <v>0.06</v>
      </c>
      <c r="R375" s="79">
        <v>22.36</v>
      </c>
      <c r="S375" s="79">
        <v>0.88</v>
      </c>
      <c r="T375" s="79">
        <v>0.7</v>
      </c>
      <c r="U375" s="85">
        <f t="shared" si="48"/>
        <v>1324.22</v>
      </c>
      <c r="V375" s="79">
        <f t="shared" si="49"/>
        <v>1445.5595404587998</v>
      </c>
      <c r="W375" s="79">
        <f t="shared" si="50"/>
        <v>1.0916309529072208</v>
      </c>
      <c r="X375" s="116">
        <v>2</v>
      </c>
      <c r="Y375" s="116">
        <v>4</v>
      </c>
      <c r="Z375" s="122">
        <v>6.51</v>
      </c>
      <c r="AA375" s="116">
        <v>17.87</v>
      </c>
      <c r="AB375" s="122">
        <v>6.6</v>
      </c>
      <c r="AC375" s="122">
        <v>6.8</v>
      </c>
      <c r="AD375" s="10">
        <v>0.3</v>
      </c>
      <c r="AE375" s="79">
        <v>0.44</v>
      </c>
      <c r="AF375" s="85">
        <f t="shared" si="51"/>
        <v>1765.6266666666666</v>
      </c>
      <c r="AG375" s="85">
        <f t="shared" si="52"/>
        <v>1976.3741998936002</v>
      </c>
      <c r="AH375" s="85">
        <f t="shared" si="53"/>
        <v>1.1193613220765435</v>
      </c>
      <c r="AI375" s="116">
        <v>2</v>
      </c>
      <c r="AJ375" s="116">
        <v>3</v>
      </c>
      <c r="AK375" s="79">
        <v>6.47</v>
      </c>
      <c r="AL375" s="79">
        <v>24.62</v>
      </c>
      <c r="AM375" s="122">
        <v>6.5</v>
      </c>
      <c r="AN375" s="122">
        <v>6.6</v>
      </c>
      <c r="AO375" s="79">
        <v>0.19</v>
      </c>
      <c r="AP375" s="127">
        <v>0.27</v>
      </c>
      <c r="AQ375" s="132">
        <f t="shared" si="44"/>
        <v>1849</v>
      </c>
      <c r="AR375" s="134">
        <f t="shared" si="45"/>
        <v>0.65927528393726342</v>
      </c>
      <c r="AS375" s="134">
        <f t="shared" si="46"/>
        <v>4.3266630611141159E-2</v>
      </c>
      <c r="AT375" s="134">
        <f t="shared" si="47"/>
        <v>0.29745808545159547</v>
      </c>
      <c r="AU375" s="43">
        <f>IF(AND(F375&lt;&gt;"",Y375&lt;&gt;""),AA375/(F375/2/Y375),"")</f>
        <v>7.8809261300992292E-2</v>
      </c>
      <c r="AV375" s="43">
        <f>IF(AND(F375&lt;&gt;"",AJ375&lt;&gt;""),AL375/(F375/2/AJ375),"")</f>
        <v>8.1433296582138923E-2</v>
      </c>
      <c r="AW375" s="41">
        <f>IF(AND(AP375&lt;&gt;"",1-(AP375/N375)&gt;0),1-(AP375/N375),"")</f>
        <v>0.91916167664670656</v>
      </c>
      <c r="AX375" s="41">
        <f>IF(AND(AE375&lt;&gt;"",1-(AE375/N375)&gt;0),1-(AE375/N375),"")</f>
        <v>0.86826347305389218</v>
      </c>
      <c r="AY375" s="136" t="str">
        <f>IF(P375="","",IF(P375&lt;2.5,"Alc. Bruta &lt; 2,5 mg/L",IF(P375&lt;5,"2,5 ≤ Alc. Bruta &lt; 5,0 mg/L",IF(P375&lt;7.5,"5,0 ≤ Alc. Bruta &lt; 7,5 mg/L",IF(P375&lt;10,"7,5 ≤ Alc. Bruta &lt; 10,0 mg/L",IF(P375&lt;15,"10,0 ≤ Alca. Bruta &lt; 15,0 mg/L","Alc. Bruta &gt; 15 mg/L"))))))</f>
        <v>7,5 ≤ Alc. Bruta &lt; 10,0 mg/L</v>
      </c>
      <c r="AZ375" s="136" t="str">
        <f>IF(O375="","",IF(O375&lt;5,"Cor &lt;5 uC",IF(O375&lt;10,"5 ≤ Cor &lt; 10 uC",IF(O375&lt;15,"10 ≤ Cor &lt;15 uC",IF(O375&lt;30,"15 ≤ Cor &lt; 30 uC",IF(O375&lt;50,"30 ≤ Cor &lt; 50 uC","Cor &gt; 50 uC"))))))</f>
        <v>10 ≤ Cor &lt;15 uC</v>
      </c>
      <c r="BA375" s="137" t="str">
        <f>IF(N375="","",IF(N375&lt;2.5,"Turbidez &lt; 2,5 uT",IF(N375&lt;5,"2,5 ≤ Turb &lt; 5,0 uT",IF(N375&lt;7.5,"5,0 ≤ Turb &lt; 7,5 uT",IF(N375&lt;10,"7,5 ≤ Turb &lt; 10,0 uT",IF(N375&lt;15,"10,0 ≤ Turb &lt; 15,0 uT","Turb &gt; 15 uT"))))))</f>
        <v>2,5 ≤ Turb &lt; 5,0 uT</v>
      </c>
      <c r="BB375" s="138" t="str">
        <f>IF(AND(C375&gt;D375,D375&gt;E375),"TOR &gt; SM &gt; BNN",IF(AND(C375&gt;E375,E375&gt;D375),"TOR &gt; BNN &gt; SM",IF(AND(D375&gt;C375,C375&gt;E375),"SM &gt; TOR &gt; BNN",IF(AND(D375&gt;E375,E375&gt;C375),"SM &gt; BNN &gt; TOR",IF(AND(C375=D375,D375=E375),"TOR = SM = BNN","Comb. diferentes")))))</f>
        <v>TOR &gt; BNN &gt; SM</v>
      </c>
      <c r="BC375" s="137" t="str">
        <f>IF(OR(AD375="",AP375="-"),"",IF(AD375&lt;=0.25,"Tipo 1 (≤0,25) uT",IF(AD375&lt;=0.5,"Tipo 2 (0,25-0,50) uT",IF(AD375&lt;=0.75,"Tipo 3 (0,50-0,75) uT","Tipo 4 (&gt;0,75) uT"))))</f>
        <v>Tipo 2 (0,25-0,50) uT</v>
      </c>
      <c r="BD375" s="137" t="str">
        <f>IF(OR(AO375="",AY375="-"),"",IF(AO375&lt;=0.25,"Tipo 1 (≤0,25) uT",IF(AO375&lt;=0.5,"Tipo 2 (0,25-0,50) uT",IF(AO375&lt;=0.75,"Tipo 3 (0,50-0,75) uT","Tipo 4 (&gt;0,75) uT"))))</f>
        <v>Tipo 1 (≤0,25) uT</v>
      </c>
      <c r="BE375" s="137" t="str">
        <f>IF(OR(AE375="",AP375="-"),"",IF(AE375&lt;=0.25,"Tipo 1 (≤0,25) uT",IF(AE375&lt;=0.5,"Tipo 2 (0,25-0,50) uT",IF(AE375&lt;=0.75,"Tipo 3 (0,50-0,75) uT","Tipo 4 (&gt;0,75) uT"))))</f>
        <v>Tipo 2 (0,25-0,50) uT</v>
      </c>
      <c r="BF375" s="137" t="str">
        <f>IF(OR(AP375="",AP375="-"),"",IF(AP375&lt;=0.25,"Tipo 1 (≤0,25) uT",IF(AP375&lt;=0.5,"Tipo 2 (0,25-0,50) uT",IF(AP375&lt;=0.75,"Tipo 3 (0,50-0,75) uT","Tipo 4 (&gt;0,75) uT"))))</f>
        <v>Tipo 2 (0,25-0,50) uT</v>
      </c>
      <c r="BG375" s="137" t="str">
        <f>IF(OR(Q375="",Q375="-"),"",IF(Q375&lt;=0.25,"Tipo 1 (≤0,25) uT",IF(Q375&lt;=0.5,"Tipo 2 (0,25-0,50) uT",IF(Q375&lt;=0.75,"Tipo 3 (0,50-0,75) uT","Tipo 4 (&gt;0,75) uT"))))</f>
        <v>Tipo 1 (≤0,25) uT</v>
      </c>
    </row>
    <row r="376" spans="1:59" x14ac:dyDescent="0.3">
      <c r="A376" s="26">
        <v>46165</v>
      </c>
      <c r="B376" s="107">
        <v>0.97916666666666663</v>
      </c>
      <c r="C376" s="116">
        <v>1186</v>
      </c>
      <c r="D376" s="116">
        <v>90</v>
      </c>
      <c r="E376" s="116">
        <v>550</v>
      </c>
      <c r="F376" s="116">
        <v>1888</v>
      </c>
      <c r="G376" s="10" t="s">
        <v>100</v>
      </c>
      <c r="H376" s="122">
        <v>7.5</v>
      </c>
      <c r="I376" s="116">
        <v>90</v>
      </c>
      <c r="J376" s="116">
        <v>90</v>
      </c>
      <c r="K376" s="116">
        <v>90</v>
      </c>
      <c r="L376" s="122">
        <v>22.3</v>
      </c>
      <c r="M376" s="122">
        <v>6.9</v>
      </c>
      <c r="N376" s="79">
        <v>3.25</v>
      </c>
      <c r="O376" s="116">
        <v>14</v>
      </c>
      <c r="P376" s="122">
        <v>7.1</v>
      </c>
      <c r="Q376" s="79">
        <v>0.06</v>
      </c>
      <c r="R376" s="79">
        <v>22.36</v>
      </c>
      <c r="S376" s="79">
        <v>0.88</v>
      </c>
      <c r="T376" s="79">
        <v>0.7</v>
      </c>
      <c r="U376" s="85">
        <f t="shared" si="48"/>
        <v>1357</v>
      </c>
      <c r="V376" s="79">
        <f t="shared" si="49"/>
        <v>1447.7334393599999</v>
      </c>
      <c r="W376" s="79">
        <f t="shared" si="50"/>
        <v>1.0668632567133383</v>
      </c>
      <c r="X376" s="116">
        <v>2</v>
      </c>
      <c r="Y376" s="116">
        <v>4</v>
      </c>
      <c r="Z376" s="122">
        <v>6.48</v>
      </c>
      <c r="AA376" s="116">
        <v>18</v>
      </c>
      <c r="AB376" s="122">
        <v>6.5</v>
      </c>
      <c r="AC376" s="122">
        <v>5.6</v>
      </c>
      <c r="AD376" s="10">
        <v>0.31</v>
      </c>
      <c r="AE376" s="79">
        <v>0.57999999999999996</v>
      </c>
      <c r="AF376" s="85">
        <f t="shared" si="51"/>
        <v>1809.3333333333335</v>
      </c>
      <c r="AG376" s="85">
        <f t="shared" si="52"/>
        <v>1856.9879380000002</v>
      </c>
      <c r="AH376" s="85">
        <f t="shared" si="53"/>
        <v>1.0263382118644069</v>
      </c>
      <c r="AI376" s="116">
        <v>2</v>
      </c>
      <c r="AJ376" s="116">
        <v>3</v>
      </c>
      <c r="AK376" s="79">
        <v>6.5</v>
      </c>
      <c r="AL376" s="79">
        <v>23</v>
      </c>
      <c r="AM376" s="122">
        <v>6.4</v>
      </c>
      <c r="AN376" s="122">
        <v>5.8</v>
      </c>
      <c r="AO376" s="79">
        <v>0.23</v>
      </c>
      <c r="AP376" s="127">
        <v>0.28000000000000003</v>
      </c>
      <c r="AQ376" s="132">
        <f t="shared" si="44"/>
        <v>1826</v>
      </c>
      <c r="AR376" s="134">
        <f t="shared" si="45"/>
        <v>0.64950711938663741</v>
      </c>
      <c r="AS376" s="134">
        <f t="shared" si="46"/>
        <v>4.9288061336254109E-2</v>
      </c>
      <c r="AT376" s="134">
        <f t="shared" si="47"/>
        <v>0.30120481927710846</v>
      </c>
      <c r="AU376" s="43">
        <f>IF(AND(F376&lt;&gt;"",Y376&lt;&gt;""),AA376/(F376/2/Y376),"")</f>
        <v>7.6271186440677971E-2</v>
      </c>
      <c r="AV376" s="43">
        <f>IF(AND(F376&lt;&gt;"",AJ376&lt;&gt;""),AL376/(F376/2/AJ376),"")</f>
        <v>7.309322033898305E-2</v>
      </c>
      <c r="AW376" s="41">
        <f>IF(AND(AP376&lt;&gt;"",1-(AP376/N376)&gt;0),1-(AP376/N376),"")</f>
        <v>0.91384615384615386</v>
      </c>
      <c r="AX376" s="41">
        <f>IF(AND(AE376&lt;&gt;"",1-(AE376/N376)&gt;0),1-(AE376/N376),"")</f>
        <v>0.82153846153846155</v>
      </c>
      <c r="AY376" s="136" t="str">
        <f>IF(P376="","",IF(P376&lt;2.5,"Alc. Bruta &lt; 2,5 mg/L",IF(P376&lt;5,"2,5 ≤ Alc. Bruta &lt; 5,0 mg/L",IF(P376&lt;7.5,"5,0 ≤ Alc. Bruta &lt; 7,5 mg/L",IF(P376&lt;10,"7,5 ≤ Alc. Bruta &lt; 10,0 mg/L",IF(P376&lt;15,"10,0 ≤ Alca. Bruta &lt; 15,0 mg/L","Alc. Bruta &gt; 15 mg/L"))))))</f>
        <v>5,0 ≤ Alc. Bruta &lt; 7,5 mg/L</v>
      </c>
      <c r="AZ376" s="136" t="str">
        <f>IF(O376="","",IF(O376&lt;5,"Cor &lt;5 uC",IF(O376&lt;10,"5 ≤ Cor &lt; 10 uC",IF(O376&lt;15,"10 ≤ Cor &lt;15 uC",IF(O376&lt;30,"15 ≤ Cor &lt; 30 uC",IF(O376&lt;50,"30 ≤ Cor &lt; 50 uC","Cor &gt; 50 uC"))))))</f>
        <v>10 ≤ Cor &lt;15 uC</v>
      </c>
      <c r="BA376" s="137" t="str">
        <f>IF(N376="","",IF(N376&lt;2.5,"Turbidez &lt; 2,5 uT",IF(N376&lt;5,"2,5 ≤ Turb &lt; 5,0 uT",IF(N376&lt;7.5,"5,0 ≤ Turb &lt; 7,5 uT",IF(N376&lt;10,"7,5 ≤ Turb &lt; 10,0 uT",IF(N376&lt;15,"10,0 ≤ Turb &lt; 15,0 uT","Turb &gt; 15 uT"))))))</f>
        <v>2,5 ≤ Turb &lt; 5,0 uT</v>
      </c>
      <c r="BB376" s="138" t="str">
        <f>IF(AND(C376&gt;D376,D376&gt;E376),"TOR &gt; SM &gt; BNN",IF(AND(C376&gt;E376,E376&gt;D376),"TOR &gt; BNN &gt; SM",IF(AND(D376&gt;C376,C376&gt;E376),"SM &gt; TOR &gt; BNN",IF(AND(D376&gt;E376,E376&gt;C376),"SM &gt; BNN &gt; TOR",IF(AND(C376=D376,D376=E376),"TOR = SM = BNN","Comb. diferentes")))))</f>
        <v>TOR &gt; BNN &gt; SM</v>
      </c>
      <c r="BC376" s="137" t="str">
        <f>IF(OR(AD376="",AP376="-"),"",IF(AD376&lt;=0.25,"Tipo 1 (≤0,25) uT",IF(AD376&lt;=0.5,"Tipo 2 (0,25-0,50) uT",IF(AD376&lt;=0.75,"Tipo 3 (0,50-0,75) uT","Tipo 4 (&gt;0,75) uT"))))</f>
        <v>Tipo 2 (0,25-0,50) uT</v>
      </c>
      <c r="BD376" s="137" t="str">
        <f>IF(OR(AO376="",AY376="-"),"",IF(AO376&lt;=0.25,"Tipo 1 (≤0,25) uT",IF(AO376&lt;=0.5,"Tipo 2 (0,25-0,50) uT",IF(AO376&lt;=0.75,"Tipo 3 (0,50-0,75) uT","Tipo 4 (&gt;0,75) uT"))))</f>
        <v>Tipo 1 (≤0,25) uT</v>
      </c>
      <c r="BE376" s="137" t="str">
        <f>IF(OR(AE376="",AP376="-"),"",IF(AE376&lt;=0.25,"Tipo 1 (≤0,25) uT",IF(AE376&lt;=0.5,"Tipo 2 (0,25-0,50) uT",IF(AE376&lt;=0.75,"Tipo 3 (0,50-0,75) uT","Tipo 4 (&gt;0,75) uT"))))</f>
        <v>Tipo 3 (0,50-0,75) uT</v>
      </c>
      <c r="BF376" s="137" t="str">
        <f>IF(OR(AP376="",AP376="-"),"",IF(AP376&lt;=0.25,"Tipo 1 (≤0,25) uT",IF(AP376&lt;=0.5,"Tipo 2 (0,25-0,50) uT",IF(AP376&lt;=0.75,"Tipo 3 (0,50-0,75) uT","Tipo 4 (&gt;0,75) uT"))))</f>
        <v>Tipo 2 (0,25-0,50) uT</v>
      </c>
      <c r="BG376" s="137" t="str">
        <f>IF(OR(Q376="",Q376="-"),"",IF(Q376&lt;=0.25,"Tipo 1 (≤0,25) uT",IF(Q376&lt;=0.5,"Tipo 2 (0,25-0,50) uT",IF(Q376&lt;=0.75,"Tipo 3 (0,50-0,75) uT","Tipo 4 (&gt;0,75) uT"))))</f>
        <v>Tipo 1 (≤0,25) uT</v>
      </c>
    </row>
    <row r="377" spans="1:59" x14ac:dyDescent="0.3">
      <c r="A377" s="26">
        <v>46166</v>
      </c>
      <c r="B377" s="107">
        <v>6.25E-2</v>
      </c>
      <c r="C377" s="116">
        <v>1179</v>
      </c>
      <c r="D377" s="116">
        <v>80</v>
      </c>
      <c r="E377" s="116">
        <v>549</v>
      </c>
      <c r="F377" s="116">
        <v>1881</v>
      </c>
      <c r="G377" s="10" t="s">
        <v>100</v>
      </c>
      <c r="H377" s="122">
        <v>7.5</v>
      </c>
      <c r="I377" s="116">
        <v>90</v>
      </c>
      <c r="J377" s="116">
        <v>90</v>
      </c>
      <c r="K377" s="116">
        <v>90</v>
      </c>
      <c r="L377" s="122">
        <v>22.2</v>
      </c>
      <c r="M377" s="122">
        <v>6.8</v>
      </c>
      <c r="N377" s="79">
        <v>3.42</v>
      </c>
      <c r="O377" s="116">
        <v>14</v>
      </c>
      <c r="P377" s="122">
        <v>7.4</v>
      </c>
      <c r="Q377" s="79">
        <v>7.0000000000000007E-2</v>
      </c>
      <c r="R377" s="79">
        <v>22.36</v>
      </c>
      <c r="S377" s="79">
        <v>0.88</v>
      </c>
      <c r="T377" s="79">
        <v>0.7</v>
      </c>
      <c r="U377" s="85">
        <f t="shared" si="48"/>
        <v>1391.94</v>
      </c>
      <c r="V377" s="79">
        <f t="shared" si="49"/>
        <v>1420.9994656000001</v>
      </c>
      <c r="W377" s="79">
        <f t="shared" si="50"/>
        <v>1.0208769527422159</v>
      </c>
      <c r="X377" s="116">
        <v>2</v>
      </c>
      <c r="Y377" s="116">
        <v>4</v>
      </c>
      <c r="Z377" s="122">
        <v>6.5</v>
      </c>
      <c r="AA377" s="116">
        <v>17.600000000000001</v>
      </c>
      <c r="AB377" s="122">
        <v>6.5</v>
      </c>
      <c r="AC377" s="122">
        <v>5.8</v>
      </c>
      <c r="AD377" s="10">
        <v>0.28999999999999998</v>
      </c>
      <c r="AE377" s="79">
        <v>0.33</v>
      </c>
      <c r="AF377" s="85">
        <f t="shared" si="51"/>
        <v>1855.92</v>
      </c>
      <c r="AG377" s="85">
        <f t="shared" si="52"/>
        <v>1890.0964347199997</v>
      </c>
      <c r="AH377" s="85">
        <f t="shared" si="53"/>
        <v>1.0184148210698736</v>
      </c>
      <c r="AI377" s="116">
        <v>2</v>
      </c>
      <c r="AJ377" s="116">
        <v>3</v>
      </c>
      <c r="AK377" s="79">
        <v>6.48</v>
      </c>
      <c r="AL377" s="79">
        <v>23.5</v>
      </c>
      <c r="AM377" s="122">
        <v>6.4</v>
      </c>
      <c r="AN377" s="122">
        <v>5.8</v>
      </c>
      <c r="AO377" s="79">
        <v>0.33</v>
      </c>
      <c r="AP377" s="127">
        <v>0.47</v>
      </c>
      <c r="AQ377" s="132">
        <f t="shared" si="44"/>
        <v>1808</v>
      </c>
      <c r="AR377" s="134">
        <f t="shared" si="45"/>
        <v>0.65210176991150437</v>
      </c>
      <c r="AS377" s="134">
        <f t="shared" si="46"/>
        <v>4.4247787610619468E-2</v>
      </c>
      <c r="AT377" s="134">
        <f t="shared" si="47"/>
        <v>0.30365044247787609</v>
      </c>
      <c r="AU377" s="43">
        <f>IF(AND(F377&lt;&gt;"",Y377&lt;&gt;""),AA377/(F377/2/Y377),"")</f>
        <v>7.4853801169590645E-2</v>
      </c>
      <c r="AV377" s="43">
        <f>IF(AND(F377&lt;&gt;"",AJ377&lt;&gt;""),AL377/(F377/2/AJ377),"")</f>
        <v>7.4960127591706532E-2</v>
      </c>
      <c r="AW377" s="41">
        <f>IF(AND(AP377&lt;&gt;"",1-(AP377/N377)&gt;0),1-(AP377/N377),"")</f>
        <v>0.86257309941520466</v>
      </c>
      <c r="AX377" s="41">
        <f>IF(AND(AE377&lt;&gt;"",1-(AE377/N377)&gt;0),1-(AE377/N377),"")</f>
        <v>0.90350877192982459</v>
      </c>
      <c r="AY377" s="136" t="str">
        <f>IF(P377="","",IF(P377&lt;2.5,"Alc. Bruta &lt; 2,5 mg/L",IF(P377&lt;5,"2,5 ≤ Alc. Bruta &lt; 5,0 mg/L",IF(P377&lt;7.5,"5,0 ≤ Alc. Bruta &lt; 7,5 mg/L",IF(P377&lt;10,"7,5 ≤ Alc. Bruta &lt; 10,0 mg/L",IF(P377&lt;15,"10,0 ≤ Alca. Bruta &lt; 15,0 mg/L","Alc. Bruta &gt; 15 mg/L"))))))</f>
        <v>5,0 ≤ Alc. Bruta &lt; 7,5 mg/L</v>
      </c>
      <c r="AZ377" s="136" t="str">
        <f>IF(O377="","",IF(O377&lt;5,"Cor &lt;5 uC",IF(O377&lt;10,"5 ≤ Cor &lt; 10 uC",IF(O377&lt;15,"10 ≤ Cor &lt;15 uC",IF(O377&lt;30,"15 ≤ Cor &lt; 30 uC",IF(O377&lt;50,"30 ≤ Cor &lt; 50 uC","Cor &gt; 50 uC"))))))</f>
        <v>10 ≤ Cor &lt;15 uC</v>
      </c>
      <c r="BA377" s="137" t="str">
        <f>IF(N377="","",IF(N377&lt;2.5,"Turbidez &lt; 2,5 uT",IF(N377&lt;5,"2,5 ≤ Turb &lt; 5,0 uT",IF(N377&lt;7.5,"5,0 ≤ Turb &lt; 7,5 uT",IF(N377&lt;10,"7,5 ≤ Turb &lt; 10,0 uT",IF(N377&lt;15,"10,0 ≤ Turb &lt; 15,0 uT","Turb &gt; 15 uT"))))))</f>
        <v>2,5 ≤ Turb &lt; 5,0 uT</v>
      </c>
      <c r="BB377" s="138" t="str">
        <f>IF(AND(C377&gt;D377,D377&gt;E377),"TOR &gt; SM &gt; BNN",IF(AND(C377&gt;E377,E377&gt;D377),"TOR &gt; BNN &gt; SM",IF(AND(D377&gt;C377,C377&gt;E377),"SM &gt; TOR &gt; BNN",IF(AND(D377&gt;E377,E377&gt;C377),"SM &gt; BNN &gt; TOR",IF(AND(C377=D377,D377=E377),"TOR = SM = BNN","Comb. diferentes")))))</f>
        <v>TOR &gt; BNN &gt; SM</v>
      </c>
      <c r="BC377" s="137" t="str">
        <f>IF(OR(AD377="",AP377="-"),"",IF(AD377&lt;=0.25,"Tipo 1 (≤0,25) uT",IF(AD377&lt;=0.5,"Tipo 2 (0,25-0,50) uT",IF(AD377&lt;=0.75,"Tipo 3 (0,50-0,75) uT","Tipo 4 (&gt;0,75) uT"))))</f>
        <v>Tipo 2 (0,25-0,50) uT</v>
      </c>
      <c r="BD377" s="137" t="str">
        <f>IF(OR(AO377="",AY377="-"),"",IF(AO377&lt;=0.25,"Tipo 1 (≤0,25) uT",IF(AO377&lt;=0.5,"Tipo 2 (0,25-0,50) uT",IF(AO377&lt;=0.75,"Tipo 3 (0,50-0,75) uT","Tipo 4 (&gt;0,75) uT"))))</f>
        <v>Tipo 2 (0,25-0,50) uT</v>
      </c>
      <c r="BE377" s="137" t="str">
        <f>IF(OR(AE377="",AP377="-"),"",IF(AE377&lt;=0.25,"Tipo 1 (≤0,25) uT",IF(AE377&lt;=0.5,"Tipo 2 (0,25-0,50) uT",IF(AE377&lt;=0.75,"Tipo 3 (0,50-0,75) uT","Tipo 4 (&gt;0,75) uT"))))</f>
        <v>Tipo 2 (0,25-0,50) uT</v>
      </c>
      <c r="BF377" s="137" t="str">
        <f>IF(OR(AP377="",AP377="-"),"",IF(AP377&lt;=0.25,"Tipo 1 (≤0,25) uT",IF(AP377&lt;=0.5,"Tipo 2 (0,25-0,50) uT",IF(AP377&lt;=0.75,"Tipo 3 (0,50-0,75) uT","Tipo 4 (&gt;0,75) uT"))))</f>
        <v>Tipo 2 (0,25-0,50) uT</v>
      </c>
      <c r="BG377" s="137" t="str">
        <f>IF(OR(Q377="",Q377="-"),"",IF(Q377&lt;=0.25,"Tipo 1 (≤0,25) uT",IF(Q377&lt;=0.5,"Tipo 2 (0,25-0,50) uT",IF(Q377&lt;=0.75,"Tipo 3 (0,50-0,75) uT","Tipo 4 (&gt;0,75) uT"))))</f>
        <v>Tipo 1 (≤0,25) uT</v>
      </c>
    </row>
    <row r="378" spans="1:59" x14ac:dyDescent="0.3">
      <c r="A378" s="26">
        <v>46166</v>
      </c>
      <c r="B378" s="107">
        <v>0.14583333333333334</v>
      </c>
      <c r="C378" s="116">
        <v>1134</v>
      </c>
      <c r="D378" s="116">
        <v>31</v>
      </c>
      <c r="E378" s="116">
        <v>550</v>
      </c>
      <c r="F378" s="116">
        <v>1897</v>
      </c>
      <c r="G378" s="10" t="s">
        <v>100</v>
      </c>
      <c r="H378" s="122">
        <v>7.5</v>
      </c>
      <c r="I378" s="116">
        <v>90</v>
      </c>
      <c r="J378" s="116">
        <v>90</v>
      </c>
      <c r="K378" s="116">
        <v>90</v>
      </c>
      <c r="L378" s="122">
        <v>22.3</v>
      </c>
      <c r="M378" s="122">
        <v>6.8</v>
      </c>
      <c r="N378" s="79">
        <v>3.43</v>
      </c>
      <c r="O378" s="116">
        <v>16</v>
      </c>
      <c r="P378" s="122">
        <v>7.5</v>
      </c>
      <c r="Q378" s="79">
        <v>0.06</v>
      </c>
      <c r="R378" s="79">
        <v>22.36</v>
      </c>
      <c r="S378" s="79">
        <v>0.88</v>
      </c>
      <c r="T378" s="79">
        <v>0.7</v>
      </c>
      <c r="U378" s="85">
        <f t="shared" si="48"/>
        <v>1406.1512499999999</v>
      </c>
      <c r="V378" s="79">
        <f t="shared" si="49"/>
        <v>1404.7956677560001</v>
      </c>
      <c r="W378" s="79">
        <f t="shared" si="50"/>
        <v>0.99903596270742578</v>
      </c>
      <c r="X378" s="116">
        <v>2</v>
      </c>
      <c r="Y378" s="116">
        <v>4</v>
      </c>
      <c r="Z378" s="122">
        <v>6.53</v>
      </c>
      <c r="AA378" s="116">
        <v>17.3</v>
      </c>
      <c r="AB378" s="122">
        <v>6.6</v>
      </c>
      <c r="AC378" s="122">
        <v>5.7</v>
      </c>
      <c r="AD378" s="10">
        <v>0.23</v>
      </c>
      <c r="AE378" s="79">
        <v>0.39</v>
      </c>
      <c r="AF378" s="85">
        <f t="shared" si="51"/>
        <v>1874.8683333333333</v>
      </c>
      <c r="AG378" s="85">
        <f t="shared" si="52"/>
        <v>1999.6934895079999</v>
      </c>
      <c r="AH378" s="85">
        <f t="shared" si="53"/>
        <v>1.0665780918880525</v>
      </c>
      <c r="AI378" s="116">
        <v>2</v>
      </c>
      <c r="AJ378" s="116">
        <v>3</v>
      </c>
      <c r="AK378" s="79">
        <v>6.39</v>
      </c>
      <c r="AL378" s="79">
        <v>25.3</v>
      </c>
      <c r="AM378" s="122">
        <v>6.4</v>
      </c>
      <c r="AN378" s="122">
        <v>5</v>
      </c>
      <c r="AO378" s="79">
        <v>0.13</v>
      </c>
      <c r="AP378" s="127">
        <v>0.28999999999999998</v>
      </c>
      <c r="AQ378" s="132">
        <f t="shared" si="44"/>
        <v>1715</v>
      </c>
      <c r="AR378" s="134">
        <f t="shared" si="45"/>
        <v>0.66122448979591841</v>
      </c>
      <c r="AS378" s="134">
        <f t="shared" si="46"/>
        <v>1.8075801749271137E-2</v>
      </c>
      <c r="AT378" s="134">
        <f t="shared" si="47"/>
        <v>0.32069970845481049</v>
      </c>
      <c r="AU378" s="43">
        <f>IF(AND(F378&lt;&gt;"",Y378&lt;&gt;""),AA378/(F378/2/Y378),"")</f>
        <v>7.2957301001581445E-2</v>
      </c>
      <c r="AV378" s="43">
        <f>IF(AND(F378&lt;&gt;"",AJ378&lt;&gt;""),AL378/(F378/2/AJ378),"")</f>
        <v>8.0021085925144966E-2</v>
      </c>
      <c r="AW378" s="41">
        <f>IF(AND(AP378&lt;&gt;"",1-(AP378/N378)&gt;0),1-(AP378/N378),"")</f>
        <v>0.91545189504373181</v>
      </c>
      <c r="AX378" s="41">
        <f>IF(AND(AE378&lt;&gt;"",1-(AE378/N378)&gt;0),1-(AE378/N378),"")</f>
        <v>0.88629737609329451</v>
      </c>
      <c r="AY378" s="136" t="str">
        <f>IF(P378="","",IF(P378&lt;2.5,"Alc. Bruta &lt; 2,5 mg/L",IF(P378&lt;5,"2,5 ≤ Alc. Bruta &lt; 5,0 mg/L",IF(P378&lt;7.5,"5,0 ≤ Alc. Bruta &lt; 7,5 mg/L",IF(P378&lt;10,"7,5 ≤ Alc. Bruta &lt; 10,0 mg/L",IF(P378&lt;15,"10,0 ≤ Alca. Bruta &lt; 15,0 mg/L","Alc. Bruta &gt; 15 mg/L"))))))</f>
        <v>7,5 ≤ Alc. Bruta &lt; 10,0 mg/L</v>
      </c>
      <c r="AZ378" s="136" t="str">
        <f>IF(O378="","",IF(O378&lt;5,"Cor &lt;5 uC",IF(O378&lt;10,"5 ≤ Cor &lt; 10 uC",IF(O378&lt;15,"10 ≤ Cor &lt;15 uC",IF(O378&lt;30,"15 ≤ Cor &lt; 30 uC",IF(O378&lt;50,"30 ≤ Cor &lt; 50 uC","Cor &gt; 50 uC"))))))</f>
        <v>15 ≤ Cor &lt; 30 uC</v>
      </c>
      <c r="BA378" s="137" t="str">
        <f>IF(N378="","",IF(N378&lt;2.5,"Turbidez &lt; 2,5 uT",IF(N378&lt;5,"2,5 ≤ Turb &lt; 5,0 uT",IF(N378&lt;7.5,"5,0 ≤ Turb &lt; 7,5 uT",IF(N378&lt;10,"7,5 ≤ Turb &lt; 10,0 uT",IF(N378&lt;15,"10,0 ≤ Turb &lt; 15,0 uT","Turb &gt; 15 uT"))))))</f>
        <v>2,5 ≤ Turb &lt; 5,0 uT</v>
      </c>
      <c r="BB378" s="138" t="str">
        <f>IF(AND(C378&gt;D378,D378&gt;E378),"TOR &gt; SM &gt; BNN",IF(AND(C378&gt;E378,E378&gt;D378),"TOR &gt; BNN &gt; SM",IF(AND(D378&gt;C378,C378&gt;E378),"SM &gt; TOR &gt; BNN",IF(AND(D378&gt;E378,E378&gt;C378),"SM &gt; BNN &gt; TOR",IF(AND(C378=D378,D378=E378),"TOR = SM = BNN","Comb. diferentes")))))</f>
        <v>TOR &gt; BNN &gt; SM</v>
      </c>
      <c r="BC378" s="137" t="str">
        <f>IF(OR(AD378="",AP378="-"),"",IF(AD378&lt;=0.25,"Tipo 1 (≤0,25) uT",IF(AD378&lt;=0.5,"Tipo 2 (0,25-0,50) uT",IF(AD378&lt;=0.75,"Tipo 3 (0,50-0,75) uT","Tipo 4 (&gt;0,75) uT"))))</f>
        <v>Tipo 1 (≤0,25) uT</v>
      </c>
      <c r="BD378" s="137" t="str">
        <f>IF(OR(AO378="",AY378="-"),"",IF(AO378&lt;=0.25,"Tipo 1 (≤0,25) uT",IF(AO378&lt;=0.5,"Tipo 2 (0,25-0,50) uT",IF(AO378&lt;=0.75,"Tipo 3 (0,50-0,75) uT","Tipo 4 (&gt;0,75) uT"))))</f>
        <v>Tipo 1 (≤0,25) uT</v>
      </c>
      <c r="BE378" s="137" t="str">
        <f>IF(OR(AE378="",AP378="-"),"",IF(AE378&lt;=0.25,"Tipo 1 (≤0,25) uT",IF(AE378&lt;=0.5,"Tipo 2 (0,25-0,50) uT",IF(AE378&lt;=0.75,"Tipo 3 (0,50-0,75) uT","Tipo 4 (&gt;0,75) uT"))))</f>
        <v>Tipo 2 (0,25-0,50) uT</v>
      </c>
      <c r="BF378" s="137" t="str">
        <f>IF(OR(AP378="",AP378="-"),"",IF(AP378&lt;=0.25,"Tipo 1 (≤0,25) uT",IF(AP378&lt;=0.5,"Tipo 2 (0,25-0,50) uT",IF(AP378&lt;=0.75,"Tipo 3 (0,50-0,75) uT","Tipo 4 (&gt;0,75) uT"))))</f>
        <v>Tipo 2 (0,25-0,50) uT</v>
      </c>
      <c r="BG378" s="137" t="str">
        <f>IF(OR(Q378="",Q378="-"),"",IF(Q378&lt;=0.25,"Tipo 1 (≤0,25) uT",IF(Q378&lt;=0.5,"Tipo 2 (0,25-0,50) uT",IF(Q378&lt;=0.75,"Tipo 3 (0,50-0,75) uT","Tipo 4 (&gt;0,75) uT"))))</f>
        <v>Tipo 1 (≤0,25) uT</v>
      </c>
    </row>
    <row r="379" spans="1:59" ht="15" thickBot="1" x14ac:dyDescent="0.35">
      <c r="A379" s="26">
        <v>46166</v>
      </c>
      <c r="B379" s="110">
        <v>0.22916666666666666</v>
      </c>
      <c r="C379" s="117">
        <v>598</v>
      </c>
      <c r="D379" s="117">
        <v>82</v>
      </c>
      <c r="E379" s="117">
        <v>550</v>
      </c>
      <c r="F379" s="117">
        <v>1241</v>
      </c>
      <c r="G379" s="11" t="s">
        <v>100</v>
      </c>
      <c r="H379" s="123">
        <v>7.5</v>
      </c>
      <c r="I379" s="117">
        <v>90</v>
      </c>
      <c r="J379" s="117">
        <v>90</v>
      </c>
      <c r="K379" s="117">
        <v>90</v>
      </c>
      <c r="L379" s="123">
        <v>22.1</v>
      </c>
      <c r="M379" s="123">
        <v>6.8</v>
      </c>
      <c r="N379" s="80">
        <v>3.36</v>
      </c>
      <c r="O379" s="117">
        <v>14</v>
      </c>
      <c r="P379" s="123">
        <v>7.3</v>
      </c>
      <c r="Q379" s="80">
        <v>0.05</v>
      </c>
      <c r="R379" s="79">
        <v>22.36</v>
      </c>
      <c r="S379" s="79">
        <v>0.88</v>
      </c>
      <c r="T379" s="79">
        <v>0.7</v>
      </c>
      <c r="U379" s="85">
        <f t="shared" si="48"/>
        <v>1818.0649999999998</v>
      </c>
      <c r="V379" s="79">
        <f t="shared" si="49"/>
        <v>1167.8955770767996</v>
      </c>
      <c r="W379" s="79">
        <f t="shared" si="50"/>
        <v>0.64238384055399544</v>
      </c>
      <c r="X379" s="117">
        <v>1</v>
      </c>
      <c r="Y379" s="117">
        <v>2</v>
      </c>
      <c r="Z379" s="123">
        <v>6.52</v>
      </c>
      <c r="AA379" s="117">
        <v>14.41</v>
      </c>
      <c r="AB379" s="123">
        <v>6.6</v>
      </c>
      <c r="AC379" s="123">
        <v>6</v>
      </c>
      <c r="AD379" s="11">
        <v>0.2</v>
      </c>
      <c r="AE379" s="80">
        <v>0.31</v>
      </c>
      <c r="AF379" s="85">
        <f t="shared" si="51"/>
        <v>1818.0649999999998</v>
      </c>
      <c r="AG379" s="85">
        <f t="shared" si="52"/>
        <v>1986.8099694300001</v>
      </c>
      <c r="AH379" s="85">
        <f t="shared" si="53"/>
        <v>1.0928156965950064</v>
      </c>
      <c r="AI379" s="117">
        <v>2</v>
      </c>
      <c r="AJ379" s="117">
        <v>2</v>
      </c>
      <c r="AK379" s="80">
        <v>6.47</v>
      </c>
      <c r="AL379" s="80">
        <v>24.75</v>
      </c>
      <c r="AM379" s="123">
        <v>6.5</v>
      </c>
      <c r="AN379" s="123">
        <v>5.3</v>
      </c>
      <c r="AO379" s="80">
        <v>0.5</v>
      </c>
      <c r="AP379" s="128">
        <v>0.28000000000000003</v>
      </c>
      <c r="AQ379" s="132">
        <f t="shared" si="44"/>
        <v>1230</v>
      </c>
      <c r="AR379" s="134">
        <f t="shared" si="45"/>
        <v>0.48617886178861791</v>
      </c>
      <c r="AS379" s="134">
        <f t="shared" si="46"/>
        <v>6.6666666666666666E-2</v>
      </c>
      <c r="AT379" s="134">
        <f t="shared" si="47"/>
        <v>0.44715447154471544</v>
      </c>
      <c r="AU379" s="43">
        <f>IF(AND(F379&lt;&gt;"",Y379&lt;&gt;""),AA379/(F379/2/Y379),"")</f>
        <v>4.6446414182111199E-2</v>
      </c>
      <c r="AV379" s="43">
        <f>IF(AND(F379&lt;&gt;"",AJ379&lt;&gt;""),AL379/(F379/2/AJ379),"")</f>
        <v>7.9774375503626108E-2</v>
      </c>
      <c r="AW379" s="41">
        <f>IF(AND(AP379&lt;&gt;"",1-(AP379/N379)&gt;0),1-(AP379/N379),"")</f>
        <v>0.91666666666666663</v>
      </c>
      <c r="AX379" s="41">
        <f>IF(AND(AE379&lt;&gt;"",1-(AE379/N379)&gt;0),1-(AE379/N379),"")</f>
        <v>0.90773809523809523</v>
      </c>
      <c r="AY379" s="136" t="str">
        <f>IF(P379="","",IF(P379&lt;2.5,"Alc. Bruta &lt; 2,5 mg/L",IF(P379&lt;5,"2,5 ≤ Alc. Bruta &lt; 5,0 mg/L",IF(P379&lt;7.5,"5,0 ≤ Alc. Bruta &lt; 7,5 mg/L",IF(P379&lt;10,"7,5 ≤ Alc. Bruta &lt; 10,0 mg/L",IF(P379&lt;15,"10,0 ≤ Alca. Bruta &lt; 15,0 mg/L","Alc. Bruta &gt; 15 mg/L"))))))</f>
        <v>5,0 ≤ Alc. Bruta &lt; 7,5 mg/L</v>
      </c>
      <c r="AZ379" s="136" t="str">
        <f>IF(O379="","",IF(O379&lt;5,"Cor &lt;5 uC",IF(O379&lt;10,"5 ≤ Cor &lt; 10 uC",IF(O379&lt;15,"10 ≤ Cor &lt;15 uC",IF(O379&lt;30,"15 ≤ Cor &lt; 30 uC",IF(O379&lt;50,"30 ≤ Cor &lt; 50 uC","Cor &gt; 50 uC"))))))</f>
        <v>10 ≤ Cor &lt;15 uC</v>
      </c>
      <c r="BA379" s="137" t="str">
        <f>IF(N379="","",IF(N379&lt;2.5,"Turbidez &lt; 2,5 uT",IF(N379&lt;5,"2,5 ≤ Turb &lt; 5,0 uT",IF(N379&lt;7.5,"5,0 ≤ Turb &lt; 7,5 uT",IF(N379&lt;10,"7,5 ≤ Turb &lt; 10,0 uT",IF(N379&lt;15,"10,0 ≤ Turb &lt; 15,0 uT","Turb &gt; 15 uT"))))))</f>
        <v>2,5 ≤ Turb &lt; 5,0 uT</v>
      </c>
      <c r="BB379" s="138" t="str">
        <f>IF(AND(C379&gt;D379,D379&gt;E379),"TOR &gt; SM &gt; BNN",IF(AND(C379&gt;E379,E379&gt;D379),"TOR &gt; BNN &gt; SM",IF(AND(D379&gt;C379,C379&gt;E379),"SM &gt; TOR &gt; BNN",IF(AND(D379&gt;E379,E379&gt;C379),"SM &gt; BNN &gt; TOR",IF(AND(C379=D379,D379=E379),"TOR = SM = BNN","Comb. diferentes")))))</f>
        <v>TOR &gt; BNN &gt; SM</v>
      </c>
      <c r="BC379" s="137" t="str">
        <f>IF(OR(AD379="",AP379="-"),"",IF(AD379&lt;=0.25,"Tipo 1 (≤0,25) uT",IF(AD379&lt;=0.5,"Tipo 2 (0,25-0,50) uT",IF(AD379&lt;=0.75,"Tipo 3 (0,50-0,75) uT","Tipo 4 (&gt;0,75) uT"))))</f>
        <v>Tipo 1 (≤0,25) uT</v>
      </c>
      <c r="BD379" s="137" t="str">
        <f>IF(OR(AO379="",AY379="-"),"",IF(AO379&lt;=0.25,"Tipo 1 (≤0,25) uT",IF(AO379&lt;=0.5,"Tipo 2 (0,25-0,50) uT",IF(AO379&lt;=0.75,"Tipo 3 (0,50-0,75) uT","Tipo 4 (&gt;0,75) uT"))))</f>
        <v>Tipo 2 (0,25-0,50) uT</v>
      </c>
      <c r="BE379" s="137" t="str">
        <f>IF(OR(AE379="",AP379="-"),"",IF(AE379&lt;=0.25,"Tipo 1 (≤0,25) uT",IF(AE379&lt;=0.5,"Tipo 2 (0,25-0,50) uT",IF(AE379&lt;=0.75,"Tipo 3 (0,50-0,75) uT","Tipo 4 (&gt;0,75) uT"))))</f>
        <v>Tipo 2 (0,25-0,50) uT</v>
      </c>
      <c r="BF379" s="137" t="str">
        <f>IF(OR(AP379="",AP379="-"),"",IF(AP379&lt;=0.25,"Tipo 1 (≤0,25) uT",IF(AP379&lt;=0.5,"Tipo 2 (0,25-0,50) uT",IF(AP379&lt;=0.75,"Tipo 3 (0,50-0,75) uT","Tipo 4 (&gt;0,75) uT"))))</f>
        <v>Tipo 2 (0,25-0,50) uT</v>
      </c>
      <c r="BG379" s="137" t="str">
        <f>IF(OR(Q379="",Q379="-"),"",IF(Q379&lt;=0.25,"Tipo 1 (≤0,25) uT",IF(Q379&lt;=0.5,"Tipo 2 (0,25-0,50) uT",IF(Q379&lt;=0.75,"Tipo 3 (0,50-0,75) uT","Tipo 4 (&gt;0,75) uT"))))</f>
        <v>Tipo 1 (≤0,25) uT</v>
      </c>
    </row>
    <row r="380" spans="1:59" x14ac:dyDescent="0.3">
      <c r="A380" s="26">
        <v>46166</v>
      </c>
      <c r="B380" s="111">
        <v>0.3125</v>
      </c>
      <c r="C380" s="118">
        <v>607</v>
      </c>
      <c r="D380" s="116">
        <v>76</v>
      </c>
      <c r="E380" s="118">
        <v>548</v>
      </c>
      <c r="F380" s="118">
        <v>1200</v>
      </c>
      <c r="G380" s="9" t="s">
        <v>100</v>
      </c>
      <c r="H380" s="124">
        <v>7.5</v>
      </c>
      <c r="I380" s="118">
        <v>90</v>
      </c>
      <c r="J380" s="118">
        <v>90</v>
      </c>
      <c r="K380" s="118">
        <v>90</v>
      </c>
      <c r="L380" s="124">
        <v>22.1</v>
      </c>
      <c r="M380" s="124">
        <v>7</v>
      </c>
      <c r="N380" s="81">
        <v>3.07</v>
      </c>
      <c r="O380" s="118">
        <v>13</v>
      </c>
      <c r="P380" s="124">
        <v>8.3000000000000007</v>
      </c>
      <c r="Q380" s="81">
        <v>0.06</v>
      </c>
      <c r="R380" s="79">
        <v>22.36</v>
      </c>
      <c r="S380" s="79">
        <v>0.88</v>
      </c>
      <c r="T380" s="79">
        <v>0.7</v>
      </c>
      <c r="U380" s="85">
        <f t="shared" si="48"/>
        <v>1671</v>
      </c>
      <c r="V380" s="79">
        <f t="shared" si="49"/>
        <v>1849.8816169599997</v>
      </c>
      <c r="W380" s="79">
        <f t="shared" si="50"/>
        <v>1.1070506385158587</v>
      </c>
      <c r="X380" s="118">
        <v>1</v>
      </c>
      <c r="Y380" s="118">
        <v>2</v>
      </c>
      <c r="Z380" s="124">
        <v>6.48</v>
      </c>
      <c r="AA380" s="118">
        <v>23</v>
      </c>
      <c r="AB380" s="124">
        <v>6.6</v>
      </c>
      <c r="AC380" s="124">
        <v>6.7</v>
      </c>
      <c r="AD380" s="9">
        <v>0.19</v>
      </c>
      <c r="AE380" s="81">
        <v>0.27</v>
      </c>
      <c r="AF380" s="85">
        <f t="shared" si="51"/>
        <v>1671</v>
      </c>
      <c r="AG380" s="85">
        <f t="shared" si="52"/>
        <v>1043.5769536400001</v>
      </c>
      <c r="AH380" s="85">
        <f t="shared" si="53"/>
        <v>0.62452241390783969</v>
      </c>
      <c r="AI380" s="118">
        <v>1</v>
      </c>
      <c r="AJ380" s="118">
        <v>2</v>
      </c>
      <c r="AK380" s="81">
        <v>6.47</v>
      </c>
      <c r="AL380" s="81">
        <v>13</v>
      </c>
      <c r="AM380" s="124">
        <v>6.6</v>
      </c>
      <c r="AN380" s="124">
        <v>6.1</v>
      </c>
      <c r="AO380" s="81">
        <v>0.21</v>
      </c>
      <c r="AP380" s="129">
        <v>0.36</v>
      </c>
      <c r="AQ380" s="132">
        <f t="shared" si="44"/>
        <v>1231</v>
      </c>
      <c r="AR380" s="134">
        <f t="shared" si="45"/>
        <v>0.49309504467912268</v>
      </c>
      <c r="AS380" s="134">
        <f t="shared" si="46"/>
        <v>6.1738424045491472E-2</v>
      </c>
      <c r="AT380" s="134">
        <f t="shared" si="47"/>
        <v>0.44516653127538586</v>
      </c>
      <c r="AU380" s="43">
        <f>IF(AND(F380&lt;&gt;"",Y380&lt;&gt;""),AA380/(F380/2/Y380),"")</f>
        <v>7.6666666666666661E-2</v>
      </c>
      <c r="AV380" s="43">
        <f>IF(AND(F380&lt;&gt;"",AJ380&lt;&gt;""),AL380/(F380/2/AJ380),"")</f>
        <v>4.3333333333333335E-2</v>
      </c>
      <c r="AW380" s="41">
        <f>IF(AND(AP380&lt;&gt;"",1-(AP380/N380)&gt;0),1-(AP380/N380),"")</f>
        <v>0.88273615635179148</v>
      </c>
      <c r="AX380" s="41">
        <f>IF(AND(AE380&lt;&gt;"",1-(AE380/N380)&gt;0),1-(AE380/N380),"")</f>
        <v>0.91205211726384361</v>
      </c>
      <c r="AY380" s="136" t="str">
        <f>IF(P380="","",IF(P380&lt;2.5,"Alc. Bruta &lt; 2,5 mg/L",IF(P380&lt;5,"2,5 ≤ Alc. Bruta &lt; 5,0 mg/L",IF(P380&lt;7.5,"5,0 ≤ Alc. Bruta &lt; 7,5 mg/L",IF(P380&lt;10,"7,5 ≤ Alc. Bruta &lt; 10,0 mg/L",IF(P380&lt;15,"10,0 ≤ Alca. Bruta &lt; 15,0 mg/L","Alc. Bruta &gt; 15 mg/L"))))))</f>
        <v>7,5 ≤ Alc. Bruta &lt; 10,0 mg/L</v>
      </c>
      <c r="AZ380" s="136" t="str">
        <f>IF(O380="","",IF(O380&lt;5,"Cor &lt;5 uC",IF(O380&lt;10,"5 ≤ Cor &lt; 10 uC",IF(O380&lt;15,"10 ≤ Cor &lt;15 uC",IF(O380&lt;30,"15 ≤ Cor &lt; 30 uC",IF(O380&lt;50,"30 ≤ Cor &lt; 50 uC","Cor &gt; 50 uC"))))))</f>
        <v>10 ≤ Cor &lt;15 uC</v>
      </c>
      <c r="BA380" s="137" t="str">
        <f>IF(N380="","",IF(N380&lt;2.5,"Turbidez &lt; 2,5 uT",IF(N380&lt;5,"2,5 ≤ Turb &lt; 5,0 uT",IF(N380&lt;7.5,"5,0 ≤ Turb &lt; 7,5 uT",IF(N380&lt;10,"7,5 ≤ Turb &lt; 10,0 uT",IF(N380&lt;15,"10,0 ≤ Turb &lt; 15,0 uT","Turb &gt; 15 uT"))))))</f>
        <v>2,5 ≤ Turb &lt; 5,0 uT</v>
      </c>
      <c r="BB380" s="138" t="str">
        <f>IF(AND(C380&gt;D380,D380&gt;E380),"TOR &gt; SM &gt; BNN",IF(AND(C380&gt;E380,E380&gt;D380),"TOR &gt; BNN &gt; SM",IF(AND(D380&gt;C380,C380&gt;E380),"SM &gt; TOR &gt; BNN",IF(AND(D380&gt;E380,E380&gt;C380),"SM &gt; BNN &gt; TOR",IF(AND(C380=D380,D380=E380),"TOR = SM = BNN","Comb. diferentes")))))</f>
        <v>TOR &gt; BNN &gt; SM</v>
      </c>
      <c r="BC380" s="137" t="str">
        <f>IF(OR(AD380="",AP380="-"),"",IF(AD380&lt;=0.25,"Tipo 1 (≤0,25) uT",IF(AD380&lt;=0.5,"Tipo 2 (0,25-0,50) uT",IF(AD380&lt;=0.75,"Tipo 3 (0,50-0,75) uT","Tipo 4 (&gt;0,75) uT"))))</f>
        <v>Tipo 1 (≤0,25) uT</v>
      </c>
      <c r="BD380" s="137" t="str">
        <f>IF(OR(AO380="",AY380="-"),"",IF(AO380&lt;=0.25,"Tipo 1 (≤0,25) uT",IF(AO380&lt;=0.5,"Tipo 2 (0,25-0,50) uT",IF(AO380&lt;=0.75,"Tipo 3 (0,50-0,75) uT","Tipo 4 (&gt;0,75) uT"))))</f>
        <v>Tipo 1 (≤0,25) uT</v>
      </c>
      <c r="BE380" s="137" t="str">
        <f>IF(OR(AE380="",AP380="-"),"",IF(AE380&lt;=0.25,"Tipo 1 (≤0,25) uT",IF(AE380&lt;=0.5,"Tipo 2 (0,25-0,50) uT",IF(AE380&lt;=0.75,"Tipo 3 (0,50-0,75) uT","Tipo 4 (&gt;0,75) uT"))))</f>
        <v>Tipo 2 (0,25-0,50) uT</v>
      </c>
      <c r="BF380" s="137" t="str">
        <f>IF(OR(AP380="",AP380="-"),"",IF(AP380&lt;=0.25,"Tipo 1 (≤0,25) uT",IF(AP380&lt;=0.5,"Tipo 2 (0,25-0,50) uT",IF(AP380&lt;=0.75,"Tipo 3 (0,50-0,75) uT","Tipo 4 (&gt;0,75) uT"))))</f>
        <v>Tipo 2 (0,25-0,50) uT</v>
      </c>
      <c r="BG380" s="137" t="str">
        <f>IF(OR(Q380="",Q380="-"),"",IF(Q380&lt;=0.25,"Tipo 1 (≤0,25) uT",IF(Q380&lt;=0.5,"Tipo 2 (0,25-0,50) uT",IF(Q380&lt;=0.75,"Tipo 3 (0,50-0,75) uT","Tipo 4 (&gt;0,75) uT"))))</f>
        <v>Tipo 1 (≤0,25) uT</v>
      </c>
    </row>
    <row r="381" spans="1:59" x14ac:dyDescent="0.3">
      <c r="A381" s="26">
        <v>46166</v>
      </c>
      <c r="B381" s="107">
        <v>0.39583333333333331</v>
      </c>
      <c r="C381" s="116">
        <v>591</v>
      </c>
      <c r="D381" s="116">
        <v>83</v>
      </c>
      <c r="E381" s="116">
        <v>549</v>
      </c>
      <c r="F381" s="116">
        <v>1277</v>
      </c>
      <c r="G381" s="10" t="s">
        <v>100</v>
      </c>
      <c r="H381" s="122">
        <v>7.5</v>
      </c>
      <c r="I381" s="116">
        <v>90</v>
      </c>
      <c r="J381" s="116">
        <v>90</v>
      </c>
      <c r="K381" s="116">
        <v>90</v>
      </c>
      <c r="L381" s="122">
        <v>22.2</v>
      </c>
      <c r="M381" s="122">
        <v>6.8</v>
      </c>
      <c r="N381" s="79">
        <v>3.56</v>
      </c>
      <c r="O381" s="116">
        <v>15</v>
      </c>
      <c r="P381" s="122">
        <v>9.3000000000000007</v>
      </c>
      <c r="Q381" s="79">
        <v>0.06</v>
      </c>
      <c r="R381" s="79">
        <v>22.36</v>
      </c>
      <c r="S381" s="79">
        <v>0.88</v>
      </c>
      <c r="T381" s="79">
        <v>0.7</v>
      </c>
      <c r="U381" s="85">
        <f t="shared" si="48"/>
        <v>1934.6550000000002</v>
      </c>
      <c r="V381" s="79">
        <f t="shared" si="49"/>
        <v>1849.8816169599997</v>
      </c>
      <c r="W381" s="79">
        <f t="shared" si="50"/>
        <v>0.95618165355580176</v>
      </c>
      <c r="X381" s="116">
        <v>1</v>
      </c>
      <c r="Y381" s="116">
        <v>2</v>
      </c>
      <c r="Z381" s="122">
        <v>6.48</v>
      </c>
      <c r="AA381" s="116">
        <v>23</v>
      </c>
      <c r="AB381" s="122">
        <v>6.6</v>
      </c>
      <c r="AC381" s="122">
        <v>6.5</v>
      </c>
      <c r="AD381" s="10">
        <v>0.17</v>
      </c>
      <c r="AE381" s="79">
        <v>0.25</v>
      </c>
      <c r="AF381" s="85">
        <f t="shared" si="51"/>
        <v>1934.6550000000002</v>
      </c>
      <c r="AG381" s="85">
        <f t="shared" si="52"/>
        <v>1043.5769536400001</v>
      </c>
      <c r="AH381" s="85">
        <f t="shared" si="53"/>
        <v>0.53941242942023249</v>
      </c>
      <c r="AI381" s="116">
        <v>1</v>
      </c>
      <c r="AJ381" s="116">
        <v>2</v>
      </c>
      <c r="AK381" s="79">
        <v>6.47</v>
      </c>
      <c r="AL381" s="79">
        <v>13</v>
      </c>
      <c r="AM381" s="122">
        <v>6.5</v>
      </c>
      <c r="AN381" s="122">
        <v>6.6</v>
      </c>
      <c r="AO381" s="79">
        <v>0.28999999999999998</v>
      </c>
      <c r="AP381" s="127">
        <v>0.32</v>
      </c>
      <c r="AQ381" s="132">
        <f t="shared" si="44"/>
        <v>1223</v>
      </c>
      <c r="AR381" s="134">
        <f t="shared" si="45"/>
        <v>0.48323793949304988</v>
      </c>
      <c r="AS381" s="134">
        <f t="shared" si="46"/>
        <v>6.7865903515944404E-2</v>
      </c>
      <c r="AT381" s="134">
        <f t="shared" si="47"/>
        <v>0.44889615699100571</v>
      </c>
      <c r="AU381" s="43">
        <f>IF(AND(F381&lt;&gt;"",Y381&lt;&gt;""),AA381/(F381/2/Y381),"")</f>
        <v>7.204385277995301E-2</v>
      </c>
      <c r="AV381" s="43">
        <f>IF(AND(F381&lt;&gt;"",AJ381&lt;&gt;""),AL381/(F381/2/AJ381),"")</f>
        <v>4.0720438527799531E-2</v>
      </c>
      <c r="AW381" s="41">
        <f>IF(AND(AP381&lt;&gt;"",1-(AP381/N381)&gt;0),1-(AP381/N381),"")</f>
        <v>0.9101123595505618</v>
      </c>
      <c r="AX381" s="41">
        <f>IF(AND(AE381&lt;&gt;"",1-(AE381/N381)&gt;0),1-(AE381/N381),"")</f>
        <v>0.9297752808988764</v>
      </c>
      <c r="AY381" s="136" t="str">
        <f>IF(P381="","",IF(P381&lt;2.5,"Alc. Bruta &lt; 2,5 mg/L",IF(P381&lt;5,"2,5 ≤ Alc. Bruta &lt; 5,0 mg/L",IF(P381&lt;7.5,"5,0 ≤ Alc. Bruta &lt; 7,5 mg/L",IF(P381&lt;10,"7,5 ≤ Alc. Bruta &lt; 10,0 mg/L",IF(P381&lt;15,"10,0 ≤ Alca. Bruta &lt; 15,0 mg/L","Alc. Bruta &gt; 15 mg/L"))))))</f>
        <v>7,5 ≤ Alc. Bruta &lt; 10,0 mg/L</v>
      </c>
      <c r="AZ381" s="136" t="str">
        <f>IF(O381="","",IF(O381&lt;5,"Cor &lt;5 uC",IF(O381&lt;10,"5 ≤ Cor &lt; 10 uC",IF(O381&lt;15,"10 ≤ Cor &lt;15 uC",IF(O381&lt;30,"15 ≤ Cor &lt; 30 uC",IF(O381&lt;50,"30 ≤ Cor &lt; 50 uC","Cor &gt; 50 uC"))))))</f>
        <v>15 ≤ Cor &lt; 30 uC</v>
      </c>
      <c r="BA381" s="137" t="str">
        <f>IF(N381="","",IF(N381&lt;2.5,"Turbidez &lt; 2,5 uT",IF(N381&lt;5,"2,5 ≤ Turb &lt; 5,0 uT",IF(N381&lt;7.5,"5,0 ≤ Turb &lt; 7,5 uT",IF(N381&lt;10,"7,5 ≤ Turb &lt; 10,0 uT",IF(N381&lt;15,"10,0 ≤ Turb &lt; 15,0 uT","Turb &gt; 15 uT"))))))</f>
        <v>2,5 ≤ Turb &lt; 5,0 uT</v>
      </c>
      <c r="BB381" s="138" t="str">
        <f>IF(AND(C381&gt;D381,D381&gt;E381),"TOR &gt; SM &gt; BNN",IF(AND(C381&gt;E381,E381&gt;D381),"TOR &gt; BNN &gt; SM",IF(AND(D381&gt;C381,C381&gt;E381),"SM &gt; TOR &gt; BNN",IF(AND(D381&gt;E381,E381&gt;C381),"SM &gt; BNN &gt; TOR",IF(AND(C381=D381,D381=E381),"TOR = SM = BNN","Comb. diferentes")))))</f>
        <v>TOR &gt; BNN &gt; SM</v>
      </c>
      <c r="BC381" s="137" t="str">
        <f>IF(OR(AD381="",AP381="-"),"",IF(AD381&lt;=0.25,"Tipo 1 (≤0,25) uT",IF(AD381&lt;=0.5,"Tipo 2 (0,25-0,50) uT",IF(AD381&lt;=0.75,"Tipo 3 (0,50-0,75) uT","Tipo 4 (&gt;0,75) uT"))))</f>
        <v>Tipo 1 (≤0,25) uT</v>
      </c>
      <c r="BD381" s="137" t="str">
        <f>IF(OR(AO381="",AY381="-"),"",IF(AO381&lt;=0.25,"Tipo 1 (≤0,25) uT",IF(AO381&lt;=0.5,"Tipo 2 (0,25-0,50) uT",IF(AO381&lt;=0.75,"Tipo 3 (0,50-0,75) uT","Tipo 4 (&gt;0,75) uT"))))</f>
        <v>Tipo 2 (0,25-0,50) uT</v>
      </c>
      <c r="BE381" s="137" t="str">
        <f>IF(OR(AE381="",AP381="-"),"",IF(AE381&lt;=0.25,"Tipo 1 (≤0,25) uT",IF(AE381&lt;=0.5,"Tipo 2 (0,25-0,50) uT",IF(AE381&lt;=0.75,"Tipo 3 (0,50-0,75) uT","Tipo 4 (&gt;0,75) uT"))))</f>
        <v>Tipo 1 (≤0,25) uT</v>
      </c>
      <c r="BF381" s="137" t="str">
        <f>IF(OR(AP381="",AP381="-"),"",IF(AP381&lt;=0.25,"Tipo 1 (≤0,25) uT",IF(AP381&lt;=0.5,"Tipo 2 (0,25-0,50) uT",IF(AP381&lt;=0.75,"Tipo 3 (0,50-0,75) uT","Tipo 4 (&gt;0,75) uT"))))</f>
        <v>Tipo 2 (0,25-0,50) uT</v>
      </c>
      <c r="BG381" s="137" t="str">
        <f>IF(OR(Q381="",Q381="-"),"",IF(Q381&lt;=0.25,"Tipo 1 (≤0,25) uT",IF(Q381&lt;=0.5,"Tipo 2 (0,25-0,50) uT",IF(Q381&lt;=0.75,"Tipo 3 (0,50-0,75) uT","Tipo 4 (&gt;0,75) uT"))))</f>
        <v>Tipo 1 (≤0,25) uT</v>
      </c>
    </row>
    <row r="382" spans="1:59" x14ac:dyDescent="0.3">
      <c r="A382" s="26">
        <v>46166</v>
      </c>
      <c r="B382" s="107">
        <v>0.47916666666666669</v>
      </c>
      <c r="C382" s="116">
        <v>588</v>
      </c>
      <c r="D382" s="116">
        <v>81</v>
      </c>
      <c r="E382" s="116">
        <v>550</v>
      </c>
      <c r="F382" s="116">
        <v>1293</v>
      </c>
      <c r="G382" s="10" t="s">
        <v>100</v>
      </c>
      <c r="H382" s="122">
        <v>7.5</v>
      </c>
      <c r="I382" s="116">
        <v>90</v>
      </c>
      <c r="J382" s="116">
        <v>90</v>
      </c>
      <c r="K382" s="116">
        <v>90</v>
      </c>
      <c r="L382" s="122">
        <v>22.2</v>
      </c>
      <c r="M382" s="122">
        <v>6.9</v>
      </c>
      <c r="N382" s="79">
        <v>3.26</v>
      </c>
      <c r="O382" s="116">
        <v>14</v>
      </c>
      <c r="P382" s="122">
        <v>9.1</v>
      </c>
      <c r="Q382" s="79">
        <v>0.06</v>
      </c>
      <c r="R382" s="79">
        <v>22.36</v>
      </c>
      <c r="S382" s="79">
        <v>0.88</v>
      </c>
      <c r="T382" s="79">
        <v>0.7</v>
      </c>
      <c r="U382" s="85">
        <f t="shared" si="48"/>
        <v>1861.9199999999998</v>
      </c>
      <c r="V382" s="79">
        <f t="shared" si="49"/>
        <v>1849.8816169599997</v>
      </c>
      <c r="W382" s="79">
        <f t="shared" si="50"/>
        <v>0.99353442519549706</v>
      </c>
      <c r="X382" s="116">
        <v>1</v>
      </c>
      <c r="Y382" s="116">
        <v>2</v>
      </c>
      <c r="Z382" s="122">
        <v>6.48</v>
      </c>
      <c r="AA382" s="116">
        <v>23</v>
      </c>
      <c r="AB382" s="122">
        <v>6.6</v>
      </c>
      <c r="AC382" s="122">
        <v>7.1</v>
      </c>
      <c r="AD382" s="10">
        <v>0.13</v>
      </c>
      <c r="AE382" s="79">
        <v>0.27</v>
      </c>
      <c r="AF382" s="85">
        <f t="shared" si="51"/>
        <v>1861.9199999999998</v>
      </c>
      <c r="AG382" s="85">
        <f t="shared" si="52"/>
        <v>1043.5769536400001</v>
      </c>
      <c r="AH382" s="85">
        <f t="shared" si="53"/>
        <v>0.56048431384807085</v>
      </c>
      <c r="AI382" s="116">
        <v>1</v>
      </c>
      <c r="AJ382" s="116">
        <v>2</v>
      </c>
      <c r="AK382" s="79">
        <v>6.47</v>
      </c>
      <c r="AL382" s="79">
        <v>13</v>
      </c>
      <c r="AM382" s="122">
        <v>6.6</v>
      </c>
      <c r="AN382" s="122">
        <v>6.7</v>
      </c>
      <c r="AO382" s="79">
        <v>0.17</v>
      </c>
      <c r="AP382" s="127">
        <v>0.31</v>
      </c>
      <c r="AQ382" s="132">
        <f t="shared" si="44"/>
        <v>1219</v>
      </c>
      <c r="AR382" s="134">
        <f t="shared" si="45"/>
        <v>0.48236259228876127</v>
      </c>
      <c r="AS382" s="134">
        <f t="shared" si="46"/>
        <v>6.6447908121410992E-2</v>
      </c>
      <c r="AT382" s="134">
        <f t="shared" si="47"/>
        <v>0.45118949958982774</v>
      </c>
      <c r="AU382" s="43">
        <f>IF(AND(F382&lt;&gt;"",Y382&lt;&gt;""),AA382/(F382/2/Y382),"")</f>
        <v>7.1152358855375103E-2</v>
      </c>
      <c r="AV382" s="43">
        <f>IF(AND(F382&lt;&gt;"",AJ382&lt;&gt;""),AL382/(F382/2/AJ382),"")</f>
        <v>4.0216550657385927E-2</v>
      </c>
      <c r="AW382" s="41">
        <f>IF(AND(AP382&lt;&gt;"",1-(AP382/N382)&gt;0),1-(AP382/N382),"")</f>
        <v>0.90490797546012269</v>
      </c>
      <c r="AX382" s="41">
        <f>IF(AND(AE382&lt;&gt;"",1-(AE382/N382)&gt;0),1-(AE382/N382),"")</f>
        <v>0.91717791411042948</v>
      </c>
      <c r="AY382" s="136" t="str">
        <f>IF(P382="","",IF(P382&lt;2.5,"Alc. Bruta &lt; 2,5 mg/L",IF(P382&lt;5,"2,5 ≤ Alc. Bruta &lt; 5,0 mg/L",IF(P382&lt;7.5,"5,0 ≤ Alc. Bruta &lt; 7,5 mg/L",IF(P382&lt;10,"7,5 ≤ Alc. Bruta &lt; 10,0 mg/L",IF(P382&lt;15,"10,0 ≤ Alca. Bruta &lt; 15,0 mg/L","Alc. Bruta &gt; 15 mg/L"))))))</f>
        <v>7,5 ≤ Alc. Bruta &lt; 10,0 mg/L</v>
      </c>
      <c r="AZ382" s="136" t="str">
        <f>IF(O382="","",IF(O382&lt;5,"Cor &lt;5 uC",IF(O382&lt;10,"5 ≤ Cor &lt; 10 uC",IF(O382&lt;15,"10 ≤ Cor &lt;15 uC",IF(O382&lt;30,"15 ≤ Cor &lt; 30 uC",IF(O382&lt;50,"30 ≤ Cor &lt; 50 uC","Cor &gt; 50 uC"))))))</f>
        <v>10 ≤ Cor &lt;15 uC</v>
      </c>
      <c r="BA382" s="137" t="str">
        <f>IF(N382="","",IF(N382&lt;2.5,"Turbidez &lt; 2,5 uT",IF(N382&lt;5,"2,5 ≤ Turb &lt; 5,0 uT",IF(N382&lt;7.5,"5,0 ≤ Turb &lt; 7,5 uT",IF(N382&lt;10,"7,5 ≤ Turb &lt; 10,0 uT",IF(N382&lt;15,"10,0 ≤ Turb &lt; 15,0 uT","Turb &gt; 15 uT"))))))</f>
        <v>2,5 ≤ Turb &lt; 5,0 uT</v>
      </c>
      <c r="BB382" s="138" t="str">
        <f>IF(AND(C382&gt;D382,D382&gt;E382),"TOR &gt; SM &gt; BNN",IF(AND(C382&gt;E382,E382&gt;D382),"TOR &gt; BNN &gt; SM",IF(AND(D382&gt;C382,C382&gt;E382),"SM &gt; TOR &gt; BNN",IF(AND(D382&gt;E382,E382&gt;C382),"SM &gt; BNN &gt; TOR",IF(AND(C382=D382,D382=E382),"TOR = SM = BNN","Comb. diferentes")))))</f>
        <v>TOR &gt; BNN &gt; SM</v>
      </c>
      <c r="BC382" s="137" t="str">
        <f>IF(OR(AD382="",AP382="-"),"",IF(AD382&lt;=0.25,"Tipo 1 (≤0,25) uT",IF(AD382&lt;=0.5,"Tipo 2 (0,25-0,50) uT",IF(AD382&lt;=0.75,"Tipo 3 (0,50-0,75) uT","Tipo 4 (&gt;0,75) uT"))))</f>
        <v>Tipo 1 (≤0,25) uT</v>
      </c>
      <c r="BD382" s="137" t="str">
        <f>IF(OR(AO382="",AY382="-"),"",IF(AO382&lt;=0.25,"Tipo 1 (≤0,25) uT",IF(AO382&lt;=0.5,"Tipo 2 (0,25-0,50) uT",IF(AO382&lt;=0.75,"Tipo 3 (0,50-0,75) uT","Tipo 4 (&gt;0,75) uT"))))</f>
        <v>Tipo 1 (≤0,25) uT</v>
      </c>
      <c r="BE382" s="137" t="str">
        <f>IF(OR(AE382="",AP382="-"),"",IF(AE382&lt;=0.25,"Tipo 1 (≤0,25) uT",IF(AE382&lt;=0.5,"Tipo 2 (0,25-0,50) uT",IF(AE382&lt;=0.75,"Tipo 3 (0,50-0,75) uT","Tipo 4 (&gt;0,75) uT"))))</f>
        <v>Tipo 2 (0,25-0,50) uT</v>
      </c>
      <c r="BF382" s="137" t="str">
        <f>IF(OR(AP382="",AP382="-"),"",IF(AP382&lt;=0.25,"Tipo 1 (≤0,25) uT",IF(AP382&lt;=0.5,"Tipo 2 (0,25-0,50) uT",IF(AP382&lt;=0.75,"Tipo 3 (0,50-0,75) uT","Tipo 4 (&gt;0,75) uT"))))</f>
        <v>Tipo 2 (0,25-0,50) uT</v>
      </c>
      <c r="BG382" s="137" t="str">
        <f>IF(OR(Q382="",Q382="-"),"",IF(Q382&lt;=0.25,"Tipo 1 (≤0,25) uT",IF(Q382&lt;=0.5,"Tipo 2 (0,25-0,50) uT",IF(Q382&lt;=0.75,"Tipo 3 (0,50-0,75) uT","Tipo 4 (&gt;0,75) uT"))))</f>
        <v>Tipo 1 (≤0,25) uT</v>
      </c>
    </row>
    <row r="383" spans="1:59" x14ac:dyDescent="0.3">
      <c r="A383" s="26">
        <v>46166</v>
      </c>
      <c r="B383" s="107">
        <v>0.64583333333333337</v>
      </c>
      <c r="C383" s="116">
        <v>614</v>
      </c>
      <c r="D383" s="116">
        <v>88</v>
      </c>
      <c r="E383" s="116">
        <v>550</v>
      </c>
      <c r="F383" s="116">
        <v>1248</v>
      </c>
      <c r="G383" s="10" t="s">
        <v>100</v>
      </c>
      <c r="H383" s="122">
        <v>7.5</v>
      </c>
      <c r="I383" s="116">
        <v>90</v>
      </c>
      <c r="J383" s="116">
        <v>90</v>
      </c>
      <c r="K383" s="116">
        <v>90</v>
      </c>
      <c r="L383" s="122">
        <v>23</v>
      </c>
      <c r="M383" s="122">
        <v>6.9</v>
      </c>
      <c r="N383" s="79">
        <v>3.21</v>
      </c>
      <c r="O383" s="116">
        <v>14</v>
      </c>
      <c r="P383" s="122">
        <v>9.5</v>
      </c>
      <c r="Q383" s="79">
        <v>7.0000000000000007E-2</v>
      </c>
      <c r="R383" s="79">
        <v>22.36</v>
      </c>
      <c r="S383" s="79">
        <v>0.88</v>
      </c>
      <c r="T383" s="79">
        <v>0.7</v>
      </c>
      <c r="U383" s="85">
        <f t="shared" si="48"/>
        <v>1781.52</v>
      </c>
      <c r="V383" s="79">
        <f t="shared" si="49"/>
        <v>1922.8959609599995</v>
      </c>
      <c r="W383" s="79">
        <f t="shared" si="50"/>
        <v>1.0793569316987739</v>
      </c>
      <c r="X383" s="116">
        <v>1</v>
      </c>
      <c r="Y383" s="116">
        <v>2</v>
      </c>
      <c r="Z383" s="122">
        <v>6.46</v>
      </c>
      <c r="AA383" s="116">
        <v>24</v>
      </c>
      <c r="AB383" s="122">
        <v>6.6</v>
      </c>
      <c r="AC383" s="122">
        <v>6.9</v>
      </c>
      <c r="AD383" s="10">
        <v>0.14000000000000001</v>
      </c>
      <c r="AE383" s="79">
        <v>0.16</v>
      </c>
      <c r="AF383" s="85">
        <f t="shared" si="51"/>
        <v>1781.52</v>
      </c>
      <c r="AG383" s="85">
        <f t="shared" si="52"/>
        <v>1035.5437211599997</v>
      </c>
      <c r="AH383" s="85">
        <f t="shared" si="53"/>
        <v>0.58126977028604765</v>
      </c>
      <c r="AI383" s="116">
        <v>1</v>
      </c>
      <c r="AJ383" s="116">
        <v>2</v>
      </c>
      <c r="AK383" s="79">
        <v>6.43</v>
      </c>
      <c r="AL383" s="79">
        <v>13</v>
      </c>
      <c r="AM383" s="122">
        <v>6.6</v>
      </c>
      <c r="AN383" s="122">
        <v>7.4</v>
      </c>
      <c r="AO383" s="79">
        <v>0.24</v>
      </c>
      <c r="AP383" s="127">
        <v>0.28999999999999998</v>
      </c>
      <c r="AQ383" s="132">
        <f t="shared" si="44"/>
        <v>1252</v>
      </c>
      <c r="AR383" s="134">
        <f t="shared" si="45"/>
        <v>0.49041533546325877</v>
      </c>
      <c r="AS383" s="134">
        <f t="shared" si="46"/>
        <v>7.0287539936102233E-2</v>
      </c>
      <c r="AT383" s="134">
        <f t="shared" si="47"/>
        <v>0.43929712460063897</v>
      </c>
      <c r="AU383" s="43">
        <f>IF(AND(F383&lt;&gt;"",Y383&lt;&gt;""),AA383/(F383/2/Y383),"")</f>
        <v>7.6923076923076927E-2</v>
      </c>
      <c r="AV383" s="43">
        <f>IF(AND(F383&lt;&gt;"",AJ383&lt;&gt;""),AL383/(F383/2/AJ383),"")</f>
        <v>4.1666666666666664E-2</v>
      </c>
      <c r="AW383" s="41">
        <f>IF(AND(AP383&lt;&gt;"",1-(AP383/N383)&gt;0),1-(AP383/N383),"")</f>
        <v>0.90965732087227413</v>
      </c>
      <c r="AX383" s="41">
        <f>IF(AND(AE383&lt;&gt;"",1-(AE383/N383)&gt;0),1-(AE383/N383),"")</f>
        <v>0.95015576323987538</v>
      </c>
      <c r="AY383" s="136" t="str">
        <f>IF(P383="","",IF(P383&lt;2.5,"Alc. Bruta &lt; 2,5 mg/L",IF(P383&lt;5,"2,5 ≤ Alc. Bruta &lt; 5,0 mg/L",IF(P383&lt;7.5,"5,0 ≤ Alc. Bruta &lt; 7,5 mg/L",IF(P383&lt;10,"7,5 ≤ Alc. Bruta &lt; 10,0 mg/L",IF(P383&lt;15,"10,0 ≤ Alca. Bruta &lt; 15,0 mg/L","Alc. Bruta &gt; 15 mg/L"))))))</f>
        <v>7,5 ≤ Alc. Bruta &lt; 10,0 mg/L</v>
      </c>
      <c r="AZ383" s="136" t="str">
        <f>IF(O383="","",IF(O383&lt;5,"Cor &lt;5 uC",IF(O383&lt;10,"5 ≤ Cor &lt; 10 uC",IF(O383&lt;15,"10 ≤ Cor &lt;15 uC",IF(O383&lt;30,"15 ≤ Cor &lt; 30 uC",IF(O383&lt;50,"30 ≤ Cor &lt; 50 uC","Cor &gt; 50 uC"))))))</f>
        <v>10 ≤ Cor &lt;15 uC</v>
      </c>
      <c r="BA383" s="137" t="str">
        <f>IF(N383="","",IF(N383&lt;2.5,"Turbidez &lt; 2,5 uT",IF(N383&lt;5,"2,5 ≤ Turb &lt; 5,0 uT",IF(N383&lt;7.5,"5,0 ≤ Turb &lt; 7,5 uT",IF(N383&lt;10,"7,5 ≤ Turb &lt; 10,0 uT",IF(N383&lt;15,"10,0 ≤ Turb &lt; 15,0 uT","Turb &gt; 15 uT"))))))</f>
        <v>2,5 ≤ Turb &lt; 5,0 uT</v>
      </c>
      <c r="BB383" s="138" t="str">
        <f>IF(AND(C383&gt;D383,D383&gt;E383),"TOR &gt; SM &gt; BNN",IF(AND(C383&gt;E383,E383&gt;D383),"TOR &gt; BNN &gt; SM",IF(AND(D383&gt;C383,C383&gt;E383),"SM &gt; TOR &gt; BNN",IF(AND(D383&gt;E383,E383&gt;C383),"SM &gt; BNN &gt; TOR",IF(AND(C383=D383,D383=E383),"TOR = SM = BNN","Comb. diferentes")))))</f>
        <v>TOR &gt; BNN &gt; SM</v>
      </c>
      <c r="BC383" s="137" t="str">
        <f>IF(OR(AD383="",AP383="-"),"",IF(AD383&lt;=0.25,"Tipo 1 (≤0,25) uT",IF(AD383&lt;=0.5,"Tipo 2 (0,25-0,50) uT",IF(AD383&lt;=0.75,"Tipo 3 (0,50-0,75) uT","Tipo 4 (&gt;0,75) uT"))))</f>
        <v>Tipo 1 (≤0,25) uT</v>
      </c>
      <c r="BD383" s="137" t="str">
        <f>IF(OR(AO383="",AY383="-"),"",IF(AO383&lt;=0.25,"Tipo 1 (≤0,25) uT",IF(AO383&lt;=0.5,"Tipo 2 (0,25-0,50) uT",IF(AO383&lt;=0.75,"Tipo 3 (0,50-0,75) uT","Tipo 4 (&gt;0,75) uT"))))</f>
        <v>Tipo 1 (≤0,25) uT</v>
      </c>
      <c r="BE383" s="137" t="str">
        <f>IF(OR(AE383="",AP383="-"),"",IF(AE383&lt;=0.25,"Tipo 1 (≤0,25) uT",IF(AE383&lt;=0.5,"Tipo 2 (0,25-0,50) uT",IF(AE383&lt;=0.75,"Tipo 3 (0,50-0,75) uT","Tipo 4 (&gt;0,75) uT"))))</f>
        <v>Tipo 1 (≤0,25) uT</v>
      </c>
      <c r="BF383" s="137" t="str">
        <f>IF(OR(AP383="",AP383="-"),"",IF(AP383&lt;=0.25,"Tipo 1 (≤0,25) uT",IF(AP383&lt;=0.5,"Tipo 2 (0,25-0,50) uT",IF(AP383&lt;=0.75,"Tipo 3 (0,50-0,75) uT","Tipo 4 (&gt;0,75) uT"))))</f>
        <v>Tipo 2 (0,25-0,50) uT</v>
      </c>
      <c r="BG383" s="137" t="str">
        <f>IF(OR(Q383="",Q383="-"),"",IF(Q383&lt;=0.25,"Tipo 1 (≤0,25) uT",IF(Q383&lt;=0.5,"Tipo 2 (0,25-0,50) uT",IF(Q383&lt;=0.75,"Tipo 3 (0,50-0,75) uT","Tipo 4 (&gt;0,75) uT"))))</f>
        <v>Tipo 1 (≤0,25) uT</v>
      </c>
    </row>
    <row r="384" spans="1:59" x14ac:dyDescent="0.3">
      <c r="A384" s="26">
        <v>46166</v>
      </c>
      <c r="B384" s="107">
        <v>0.72916666666666663</v>
      </c>
      <c r="C384" s="116">
        <v>593</v>
      </c>
      <c r="D384" s="116">
        <v>91</v>
      </c>
      <c r="E384" s="116">
        <v>550</v>
      </c>
      <c r="F384" s="116">
        <v>1279</v>
      </c>
      <c r="G384" s="10" t="s">
        <v>100</v>
      </c>
      <c r="H384" s="122">
        <v>7.5</v>
      </c>
      <c r="I384" s="116">
        <v>90</v>
      </c>
      <c r="J384" s="116">
        <v>90</v>
      </c>
      <c r="K384" s="116">
        <v>90</v>
      </c>
      <c r="L384" s="122">
        <v>22.9</v>
      </c>
      <c r="M384" s="122">
        <v>6.9</v>
      </c>
      <c r="N384" s="79">
        <v>3.03</v>
      </c>
      <c r="O384" s="116">
        <v>12</v>
      </c>
      <c r="P384" s="122">
        <v>8.6999999999999993</v>
      </c>
      <c r="Q384" s="79">
        <v>7.0000000000000007E-2</v>
      </c>
      <c r="R384" s="79">
        <v>22.36</v>
      </c>
      <c r="S384" s="79">
        <v>0.88</v>
      </c>
      <c r="T384" s="79">
        <v>0.7</v>
      </c>
      <c r="U384" s="85">
        <f t="shared" si="48"/>
        <v>1768.2174999999997</v>
      </c>
      <c r="V384" s="79">
        <f t="shared" si="49"/>
        <v>1839.2221353999998</v>
      </c>
      <c r="W384" s="79">
        <f t="shared" si="50"/>
        <v>1.0401560528611442</v>
      </c>
      <c r="X384" s="116">
        <v>1</v>
      </c>
      <c r="Y384" s="116">
        <v>2</v>
      </c>
      <c r="Z384" s="122">
        <v>6.45</v>
      </c>
      <c r="AA384" s="116">
        <v>23</v>
      </c>
      <c r="AB384" s="122">
        <v>6.7</v>
      </c>
      <c r="AC384" s="122">
        <v>7.2</v>
      </c>
      <c r="AD384" s="10">
        <v>0.24</v>
      </c>
      <c r="AE384" s="79">
        <v>0.15</v>
      </c>
      <c r="AF384" s="85">
        <f t="shared" si="51"/>
        <v>1768.2174999999997</v>
      </c>
      <c r="AG384" s="85">
        <f t="shared" si="52"/>
        <v>1121.6893105599997</v>
      </c>
      <c r="AH384" s="85">
        <f t="shared" si="53"/>
        <v>0.6343616158984966</v>
      </c>
      <c r="AI384" s="116">
        <v>1</v>
      </c>
      <c r="AJ384" s="116">
        <v>2</v>
      </c>
      <c r="AK384" s="79">
        <v>6.46</v>
      </c>
      <c r="AL384" s="79">
        <v>14</v>
      </c>
      <c r="AM384" s="122">
        <v>6.6</v>
      </c>
      <c r="AN384" s="122">
        <v>6.8</v>
      </c>
      <c r="AO384" s="79">
        <v>0.22</v>
      </c>
      <c r="AP384" s="127">
        <v>0.25</v>
      </c>
      <c r="AQ384" s="132">
        <f t="shared" si="44"/>
        <v>1234</v>
      </c>
      <c r="AR384" s="134">
        <f t="shared" si="45"/>
        <v>0.48055105348460292</v>
      </c>
      <c r="AS384" s="134">
        <f t="shared" si="46"/>
        <v>7.3743922204213941E-2</v>
      </c>
      <c r="AT384" s="134">
        <f t="shared" si="47"/>
        <v>0.44570502431118314</v>
      </c>
      <c r="AU384" s="43">
        <f>IF(AND(F384&lt;&gt;"",Y384&lt;&gt;""),AA384/(F384/2/Y384),"")</f>
        <v>7.1931196247068022E-2</v>
      </c>
      <c r="AV384" s="43">
        <f>IF(AND(F384&lt;&gt;"",AJ384&lt;&gt;""),AL384/(F384/2/AJ384),"")</f>
        <v>4.3784206411258797E-2</v>
      </c>
      <c r="AW384" s="41">
        <f>IF(AND(AP384&lt;&gt;"",1-(AP384/N384)&gt;0),1-(AP384/N384),"")</f>
        <v>0.91749174917491749</v>
      </c>
      <c r="AX384" s="41">
        <f>IF(AND(AE384&lt;&gt;"",1-(AE384/N384)&gt;0),1-(AE384/N384),"")</f>
        <v>0.95049504950495045</v>
      </c>
      <c r="AY384" s="136" t="str">
        <f>IF(P384="","",IF(P384&lt;2.5,"Alc. Bruta &lt; 2,5 mg/L",IF(P384&lt;5,"2,5 ≤ Alc. Bruta &lt; 5,0 mg/L",IF(P384&lt;7.5,"5,0 ≤ Alc. Bruta &lt; 7,5 mg/L",IF(P384&lt;10,"7,5 ≤ Alc. Bruta &lt; 10,0 mg/L",IF(P384&lt;15,"10,0 ≤ Alca. Bruta &lt; 15,0 mg/L","Alc. Bruta &gt; 15 mg/L"))))))</f>
        <v>7,5 ≤ Alc. Bruta &lt; 10,0 mg/L</v>
      </c>
      <c r="AZ384" s="136" t="str">
        <f>IF(O384="","",IF(O384&lt;5,"Cor &lt;5 uC",IF(O384&lt;10,"5 ≤ Cor &lt; 10 uC",IF(O384&lt;15,"10 ≤ Cor &lt;15 uC",IF(O384&lt;30,"15 ≤ Cor &lt; 30 uC",IF(O384&lt;50,"30 ≤ Cor &lt; 50 uC","Cor &gt; 50 uC"))))))</f>
        <v>10 ≤ Cor &lt;15 uC</v>
      </c>
      <c r="BA384" s="137" t="str">
        <f>IF(N384="","",IF(N384&lt;2.5,"Turbidez &lt; 2,5 uT",IF(N384&lt;5,"2,5 ≤ Turb &lt; 5,0 uT",IF(N384&lt;7.5,"5,0 ≤ Turb &lt; 7,5 uT",IF(N384&lt;10,"7,5 ≤ Turb &lt; 10,0 uT",IF(N384&lt;15,"10,0 ≤ Turb &lt; 15,0 uT","Turb &gt; 15 uT"))))))</f>
        <v>2,5 ≤ Turb &lt; 5,0 uT</v>
      </c>
      <c r="BB384" s="138" t="str">
        <f>IF(AND(C384&gt;D384,D384&gt;E384),"TOR &gt; SM &gt; BNN",IF(AND(C384&gt;E384,E384&gt;D384),"TOR &gt; BNN &gt; SM",IF(AND(D384&gt;C384,C384&gt;E384),"SM &gt; TOR &gt; BNN",IF(AND(D384&gt;E384,E384&gt;C384),"SM &gt; BNN &gt; TOR",IF(AND(C384=D384,D384=E384),"TOR = SM = BNN","Comb. diferentes")))))</f>
        <v>TOR &gt; BNN &gt; SM</v>
      </c>
      <c r="BC384" s="137" t="str">
        <f>IF(OR(AD384="",AP384="-"),"",IF(AD384&lt;=0.25,"Tipo 1 (≤0,25) uT",IF(AD384&lt;=0.5,"Tipo 2 (0,25-0,50) uT",IF(AD384&lt;=0.75,"Tipo 3 (0,50-0,75) uT","Tipo 4 (&gt;0,75) uT"))))</f>
        <v>Tipo 1 (≤0,25) uT</v>
      </c>
      <c r="BD384" s="137" t="str">
        <f>IF(OR(AO384="",AY384="-"),"",IF(AO384&lt;=0.25,"Tipo 1 (≤0,25) uT",IF(AO384&lt;=0.5,"Tipo 2 (0,25-0,50) uT",IF(AO384&lt;=0.75,"Tipo 3 (0,50-0,75) uT","Tipo 4 (&gt;0,75) uT"))))</f>
        <v>Tipo 1 (≤0,25) uT</v>
      </c>
      <c r="BE384" s="137" t="str">
        <f>IF(OR(AE384="",AP384="-"),"",IF(AE384&lt;=0.25,"Tipo 1 (≤0,25) uT",IF(AE384&lt;=0.5,"Tipo 2 (0,25-0,50) uT",IF(AE384&lt;=0.75,"Tipo 3 (0,50-0,75) uT","Tipo 4 (&gt;0,75) uT"))))</f>
        <v>Tipo 1 (≤0,25) uT</v>
      </c>
      <c r="BF384" s="137" t="str">
        <f>IF(OR(AP384="",AP384="-"),"",IF(AP384&lt;=0.25,"Tipo 1 (≤0,25) uT",IF(AP384&lt;=0.5,"Tipo 2 (0,25-0,50) uT",IF(AP384&lt;=0.75,"Tipo 3 (0,50-0,75) uT","Tipo 4 (&gt;0,75) uT"))))</f>
        <v>Tipo 1 (≤0,25) uT</v>
      </c>
      <c r="BG384" s="137" t="str">
        <f>IF(OR(Q384="",Q384="-"),"",IF(Q384&lt;=0.25,"Tipo 1 (≤0,25) uT",IF(Q384&lt;=0.5,"Tipo 2 (0,25-0,50) uT",IF(Q384&lt;=0.75,"Tipo 3 (0,50-0,75) uT","Tipo 4 (&gt;0,75) uT"))))</f>
        <v>Tipo 1 (≤0,25) uT</v>
      </c>
    </row>
    <row r="385" spans="1:59" x14ac:dyDescent="0.3">
      <c r="A385" s="26">
        <v>46166</v>
      </c>
      <c r="B385" s="107">
        <v>0.8125</v>
      </c>
      <c r="C385" s="116">
        <v>579</v>
      </c>
      <c r="D385" s="116">
        <v>84</v>
      </c>
      <c r="E385" s="116">
        <v>550</v>
      </c>
      <c r="F385" s="116">
        <v>1279</v>
      </c>
      <c r="G385" s="10" t="s">
        <v>100</v>
      </c>
      <c r="H385" s="122">
        <v>7.5</v>
      </c>
      <c r="I385" s="116">
        <v>90</v>
      </c>
      <c r="J385" s="116">
        <v>90</v>
      </c>
      <c r="K385" s="116">
        <v>90</v>
      </c>
      <c r="L385" s="122">
        <v>22.8</v>
      </c>
      <c r="M385" s="122">
        <v>6.9</v>
      </c>
      <c r="N385" s="79">
        <v>3.02</v>
      </c>
      <c r="O385" s="116">
        <v>11</v>
      </c>
      <c r="P385" s="122">
        <v>10.5</v>
      </c>
      <c r="Q385" s="79">
        <v>0.06</v>
      </c>
      <c r="R385" s="79">
        <v>22.36</v>
      </c>
      <c r="S385" s="79">
        <v>0.88</v>
      </c>
      <c r="T385" s="79">
        <v>0.7</v>
      </c>
      <c r="U385" s="85">
        <f t="shared" si="48"/>
        <v>1765.0199999999998</v>
      </c>
      <c r="V385" s="79">
        <f t="shared" si="49"/>
        <v>1127.6234899903998</v>
      </c>
      <c r="W385" s="79">
        <f t="shared" si="50"/>
        <v>0.63887292494725267</v>
      </c>
      <c r="X385" s="116">
        <v>1</v>
      </c>
      <c r="Y385" s="116">
        <v>2</v>
      </c>
      <c r="Z385" s="122">
        <v>6.48</v>
      </c>
      <c r="AA385" s="116">
        <v>14.02</v>
      </c>
      <c r="AB385" s="122">
        <v>6.7</v>
      </c>
      <c r="AC385" s="122">
        <v>7.5</v>
      </c>
      <c r="AD385" s="10">
        <v>0.19</v>
      </c>
      <c r="AE385" s="79">
        <v>0.17</v>
      </c>
      <c r="AF385" s="85">
        <f t="shared" si="51"/>
        <v>1176.6799999999998</v>
      </c>
      <c r="AG385" s="85">
        <f t="shared" si="52"/>
        <v>1803.4387342399998</v>
      </c>
      <c r="AH385" s="85">
        <f t="shared" si="53"/>
        <v>1.5326501123839957</v>
      </c>
      <c r="AI385" s="116">
        <v>1</v>
      </c>
      <c r="AJ385" s="116">
        <v>3</v>
      </c>
      <c r="AK385" s="79">
        <v>6.58</v>
      </c>
      <c r="AL385" s="79">
        <v>22</v>
      </c>
      <c r="AM385" s="122">
        <v>6.6</v>
      </c>
      <c r="AN385" s="122">
        <v>7.3</v>
      </c>
      <c r="AO385" s="79">
        <v>0.22</v>
      </c>
      <c r="AP385" s="127">
        <v>0.28000000000000003</v>
      </c>
      <c r="AQ385" s="132">
        <f t="shared" si="44"/>
        <v>1213</v>
      </c>
      <c r="AR385" s="134">
        <f t="shared" si="45"/>
        <v>0.47732893652102226</v>
      </c>
      <c r="AS385" s="134">
        <f t="shared" si="46"/>
        <v>6.9249793899422915E-2</v>
      </c>
      <c r="AT385" s="134">
        <f t="shared" si="47"/>
        <v>0.45342126957955481</v>
      </c>
      <c r="AU385" s="43">
        <f>IF(AND(F385&lt;&gt;"",Y385&lt;&gt;""),AA385/(F385/2/Y385),"")</f>
        <v>4.3846755277560594E-2</v>
      </c>
      <c r="AV385" s="43">
        <f>IF(AND(F385&lt;&gt;"",AJ385&lt;&gt;""),AL385/(F385/2/AJ385),"")</f>
        <v>0.10320562939796717</v>
      </c>
      <c r="AW385" s="41">
        <f>IF(AND(AP385&lt;&gt;"",1-(AP385/N385)&gt;0),1-(AP385/N385),"")</f>
        <v>0.9072847682119205</v>
      </c>
      <c r="AX385" s="41">
        <f>IF(AND(AE385&lt;&gt;"",1-(AE385/N385)&gt;0),1-(AE385/N385),"")</f>
        <v>0.94370860927152322</v>
      </c>
      <c r="AY385" s="136" t="str">
        <f>IF(P385="","",IF(P385&lt;2.5,"Alc. Bruta &lt; 2,5 mg/L",IF(P385&lt;5,"2,5 ≤ Alc. Bruta &lt; 5,0 mg/L",IF(P385&lt;7.5,"5,0 ≤ Alc. Bruta &lt; 7,5 mg/L",IF(P385&lt;10,"7,5 ≤ Alc. Bruta &lt; 10,0 mg/L",IF(P385&lt;15,"10,0 ≤ Alca. Bruta &lt; 15,0 mg/L","Alc. Bruta &gt; 15 mg/L"))))))</f>
        <v>10,0 ≤ Alca. Bruta &lt; 15,0 mg/L</v>
      </c>
      <c r="AZ385" s="136" t="str">
        <f>IF(O385="","",IF(O385&lt;5,"Cor &lt;5 uC",IF(O385&lt;10,"5 ≤ Cor &lt; 10 uC",IF(O385&lt;15,"10 ≤ Cor &lt;15 uC",IF(O385&lt;30,"15 ≤ Cor &lt; 30 uC",IF(O385&lt;50,"30 ≤ Cor &lt; 50 uC","Cor &gt; 50 uC"))))))</f>
        <v>10 ≤ Cor &lt;15 uC</v>
      </c>
      <c r="BA385" s="137" t="str">
        <f>IF(N385="","",IF(N385&lt;2.5,"Turbidez &lt; 2,5 uT",IF(N385&lt;5,"2,5 ≤ Turb &lt; 5,0 uT",IF(N385&lt;7.5,"5,0 ≤ Turb &lt; 7,5 uT",IF(N385&lt;10,"7,5 ≤ Turb &lt; 10,0 uT",IF(N385&lt;15,"10,0 ≤ Turb &lt; 15,0 uT","Turb &gt; 15 uT"))))))</f>
        <v>2,5 ≤ Turb &lt; 5,0 uT</v>
      </c>
      <c r="BB385" s="138" t="str">
        <f>IF(AND(C385&gt;D385,D385&gt;E385),"TOR &gt; SM &gt; BNN",IF(AND(C385&gt;E385,E385&gt;D385),"TOR &gt; BNN &gt; SM",IF(AND(D385&gt;C385,C385&gt;E385),"SM &gt; TOR &gt; BNN",IF(AND(D385&gt;E385,E385&gt;C385),"SM &gt; BNN &gt; TOR",IF(AND(C385=D385,D385=E385),"TOR = SM = BNN","Comb. diferentes")))))</f>
        <v>TOR &gt; BNN &gt; SM</v>
      </c>
      <c r="BC385" s="137" t="str">
        <f>IF(OR(AD385="",AP385="-"),"",IF(AD385&lt;=0.25,"Tipo 1 (≤0,25) uT",IF(AD385&lt;=0.5,"Tipo 2 (0,25-0,50) uT",IF(AD385&lt;=0.75,"Tipo 3 (0,50-0,75) uT","Tipo 4 (&gt;0,75) uT"))))</f>
        <v>Tipo 1 (≤0,25) uT</v>
      </c>
      <c r="BD385" s="137" t="str">
        <f>IF(OR(AO385="",AY385="-"),"",IF(AO385&lt;=0.25,"Tipo 1 (≤0,25) uT",IF(AO385&lt;=0.5,"Tipo 2 (0,25-0,50) uT",IF(AO385&lt;=0.75,"Tipo 3 (0,50-0,75) uT","Tipo 4 (&gt;0,75) uT"))))</f>
        <v>Tipo 1 (≤0,25) uT</v>
      </c>
      <c r="BE385" s="137" t="str">
        <f>IF(OR(AE385="",AP385="-"),"",IF(AE385&lt;=0.25,"Tipo 1 (≤0,25) uT",IF(AE385&lt;=0.5,"Tipo 2 (0,25-0,50) uT",IF(AE385&lt;=0.75,"Tipo 3 (0,50-0,75) uT","Tipo 4 (&gt;0,75) uT"))))</f>
        <v>Tipo 1 (≤0,25) uT</v>
      </c>
      <c r="BF385" s="137" t="str">
        <f>IF(OR(AP385="",AP385="-"),"",IF(AP385&lt;=0.25,"Tipo 1 (≤0,25) uT",IF(AP385&lt;=0.5,"Tipo 2 (0,25-0,50) uT",IF(AP385&lt;=0.75,"Tipo 3 (0,50-0,75) uT","Tipo 4 (&gt;0,75) uT"))))</f>
        <v>Tipo 2 (0,25-0,50) uT</v>
      </c>
      <c r="BG385" s="137" t="str">
        <f>IF(OR(Q385="",Q385="-"),"",IF(Q385&lt;=0.25,"Tipo 1 (≤0,25) uT",IF(Q385&lt;=0.5,"Tipo 2 (0,25-0,50) uT",IF(Q385&lt;=0.75,"Tipo 3 (0,50-0,75) uT","Tipo 4 (&gt;0,75) uT"))))</f>
        <v>Tipo 1 (≤0,25) uT</v>
      </c>
    </row>
    <row r="386" spans="1:59" x14ac:dyDescent="0.3">
      <c r="A386" s="26">
        <v>46166</v>
      </c>
      <c r="B386" s="107">
        <v>0.89583333333333337</v>
      </c>
      <c r="C386" s="116">
        <v>587</v>
      </c>
      <c r="D386" s="116">
        <v>86</v>
      </c>
      <c r="E386" s="116">
        <v>550</v>
      </c>
      <c r="F386" s="116">
        <v>1298</v>
      </c>
      <c r="G386" s="10" t="s">
        <v>100</v>
      </c>
      <c r="H386" s="122">
        <v>7.5</v>
      </c>
      <c r="I386" s="116">
        <v>90</v>
      </c>
      <c r="J386" s="116">
        <v>90</v>
      </c>
      <c r="K386" s="116">
        <v>90</v>
      </c>
      <c r="L386" s="122">
        <v>23</v>
      </c>
      <c r="M386" s="122">
        <v>6.8</v>
      </c>
      <c r="N386" s="79">
        <v>2.95</v>
      </c>
      <c r="O386" s="116">
        <v>13</v>
      </c>
      <c r="P386" s="122">
        <v>9.1999999999999993</v>
      </c>
      <c r="Q386" s="79">
        <v>0.06</v>
      </c>
      <c r="R386" s="79">
        <v>22.36</v>
      </c>
      <c r="S386" s="79">
        <v>0.88</v>
      </c>
      <c r="T386" s="79">
        <v>0.7</v>
      </c>
      <c r="U386" s="85">
        <f t="shared" si="48"/>
        <v>1768.5250000000001</v>
      </c>
      <c r="V386" s="79">
        <f t="shared" si="49"/>
        <v>1131.6943464475999</v>
      </c>
      <c r="W386" s="79">
        <f t="shared" si="50"/>
        <v>0.63990859413782664</v>
      </c>
      <c r="X386" s="116">
        <v>1</v>
      </c>
      <c r="Y386" s="116">
        <v>2</v>
      </c>
      <c r="Z386" s="122">
        <v>6.51</v>
      </c>
      <c r="AA386" s="116">
        <v>13.99</v>
      </c>
      <c r="AB386" s="122">
        <v>6.7</v>
      </c>
      <c r="AC386" s="122">
        <v>7.7</v>
      </c>
      <c r="AD386" s="10">
        <v>0.14000000000000001</v>
      </c>
      <c r="AE386" s="79">
        <v>0.18</v>
      </c>
      <c r="AF386" s="85">
        <f t="shared" si="51"/>
        <v>1179.0166666666667</v>
      </c>
      <c r="AG386" s="85">
        <f t="shared" si="52"/>
        <v>1866.7915599268001</v>
      </c>
      <c r="AH386" s="85">
        <f t="shared" si="53"/>
        <v>1.5833462008680681</v>
      </c>
      <c r="AI386" s="116">
        <v>1</v>
      </c>
      <c r="AJ386" s="116">
        <v>3</v>
      </c>
      <c r="AK386" s="79">
        <v>6.59</v>
      </c>
      <c r="AL386" s="79">
        <v>22.73</v>
      </c>
      <c r="AM386" s="122">
        <v>6.7</v>
      </c>
      <c r="AN386" s="122">
        <v>7.9</v>
      </c>
      <c r="AO386" s="79">
        <v>0.17</v>
      </c>
      <c r="AP386" s="127">
        <v>0.32</v>
      </c>
      <c r="AQ386" s="132">
        <f t="shared" ref="AQ386:AQ449" si="54">SUM(C386:E386)</f>
        <v>1223</v>
      </c>
      <c r="AR386" s="134">
        <f t="shared" ref="AR386:AR449" si="55">C386/AQ386</f>
        <v>0.47996729354047424</v>
      </c>
      <c r="AS386" s="134">
        <f t="shared" ref="AS386:AS449" si="56">D386/AQ386</f>
        <v>7.0318887980376124E-2</v>
      </c>
      <c r="AT386" s="134">
        <f t="shared" ref="AT386:AT449" si="57">E386/AQ386</f>
        <v>0.44971381847914965</v>
      </c>
      <c r="AU386" s="43">
        <f>IF(AND(F386&lt;&gt;"",Y386&lt;&gt;""),AA386/(F386/2/Y386),"")</f>
        <v>4.3112480739599383E-2</v>
      </c>
      <c r="AV386" s="43">
        <f>IF(AND(F386&lt;&gt;"",AJ386&lt;&gt;""),AL386/(F386/2/AJ386),"")</f>
        <v>0.1050693374422188</v>
      </c>
      <c r="AW386" s="41">
        <f>IF(AND(AP386&lt;&gt;"",1-(AP386/N386)&gt;0),1-(AP386/N386),"")</f>
        <v>0.8915254237288136</v>
      </c>
      <c r="AX386" s="41">
        <f>IF(AND(AE386&lt;&gt;"",1-(AE386/N386)&gt;0),1-(AE386/N386),"")</f>
        <v>0.93898305084745759</v>
      </c>
      <c r="AY386" s="136" t="str">
        <f>IF(P386="","",IF(P386&lt;2.5,"Alc. Bruta &lt; 2,5 mg/L",IF(P386&lt;5,"2,5 ≤ Alc. Bruta &lt; 5,0 mg/L",IF(P386&lt;7.5,"5,0 ≤ Alc. Bruta &lt; 7,5 mg/L",IF(P386&lt;10,"7,5 ≤ Alc. Bruta &lt; 10,0 mg/L",IF(P386&lt;15,"10,0 ≤ Alca. Bruta &lt; 15,0 mg/L","Alc. Bruta &gt; 15 mg/L"))))))</f>
        <v>7,5 ≤ Alc. Bruta &lt; 10,0 mg/L</v>
      </c>
      <c r="AZ386" s="136" t="str">
        <f>IF(O386="","",IF(O386&lt;5,"Cor &lt;5 uC",IF(O386&lt;10,"5 ≤ Cor &lt; 10 uC",IF(O386&lt;15,"10 ≤ Cor &lt;15 uC",IF(O386&lt;30,"15 ≤ Cor &lt; 30 uC",IF(O386&lt;50,"30 ≤ Cor &lt; 50 uC","Cor &gt; 50 uC"))))))</f>
        <v>10 ≤ Cor &lt;15 uC</v>
      </c>
      <c r="BA386" s="137" t="str">
        <f>IF(N386="","",IF(N386&lt;2.5,"Turbidez &lt; 2,5 uT",IF(N386&lt;5,"2,5 ≤ Turb &lt; 5,0 uT",IF(N386&lt;7.5,"5,0 ≤ Turb &lt; 7,5 uT",IF(N386&lt;10,"7,5 ≤ Turb &lt; 10,0 uT",IF(N386&lt;15,"10,0 ≤ Turb &lt; 15,0 uT","Turb &gt; 15 uT"))))))</f>
        <v>2,5 ≤ Turb &lt; 5,0 uT</v>
      </c>
      <c r="BB386" s="138" t="str">
        <f>IF(AND(C386&gt;D386,D386&gt;E386),"TOR &gt; SM &gt; BNN",IF(AND(C386&gt;E386,E386&gt;D386),"TOR &gt; BNN &gt; SM",IF(AND(D386&gt;C386,C386&gt;E386),"SM &gt; TOR &gt; BNN",IF(AND(D386&gt;E386,E386&gt;C386),"SM &gt; BNN &gt; TOR",IF(AND(C386=D386,D386=E386),"TOR = SM = BNN","Comb. diferentes")))))</f>
        <v>TOR &gt; BNN &gt; SM</v>
      </c>
      <c r="BC386" s="137" t="str">
        <f>IF(OR(AD386="",AP386="-"),"",IF(AD386&lt;=0.25,"Tipo 1 (≤0,25) uT",IF(AD386&lt;=0.5,"Tipo 2 (0,25-0,50) uT",IF(AD386&lt;=0.75,"Tipo 3 (0,50-0,75) uT","Tipo 4 (&gt;0,75) uT"))))</f>
        <v>Tipo 1 (≤0,25) uT</v>
      </c>
      <c r="BD386" s="137" t="str">
        <f>IF(OR(AO386="",AY386="-"),"",IF(AO386&lt;=0.25,"Tipo 1 (≤0,25) uT",IF(AO386&lt;=0.5,"Tipo 2 (0,25-0,50) uT",IF(AO386&lt;=0.75,"Tipo 3 (0,50-0,75) uT","Tipo 4 (&gt;0,75) uT"))))</f>
        <v>Tipo 1 (≤0,25) uT</v>
      </c>
      <c r="BE386" s="137" t="str">
        <f>IF(OR(AE386="",AP386="-"),"",IF(AE386&lt;=0.25,"Tipo 1 (≤0,25) uT",IF(AE386&lt;=0.5,"Tipo 2 (0,25-0,50) uT",IF(AE386&lt;=0.75,"Tipo 3 (0,50-0,75) uT","Tipo 4 (&gt;0,75) uT"))))</f>
        <v>Tipo 1 (≤0,25) uT</v>
      </c>
      <c r="BF386" s="137" t="str">
        <f>IF(OR(AP386="",AP386="-"),"",IF(AP386&lt;=0.25,"Tipo 1 (≤0,25) uT",IF(AP386&lt;=0.5,"Tipo 2 (0,25-0,50) uT",IF(AP386&lt;=0.75,"Tipo 3 (0,50-0,75) uT","Tipo 4 (&gt;0,75) uT"))))</f>
        <v>Tipo 2 (0,25-0,50) uT</v>
      </c>
      <c r="BG386" s="137" t="str">
        <f>IF(OR(Q386="",Q386="-"),"",IF(Q386&lt;=0.25,"Tipo 1 (≤0,25) uT",IF(Q386&lt;=0.5,"Tipo 2 (0,25-0,50) uT",IF(Q386&lt;=0.75,"Tipo 3 (0,50-0,75) uT","Tipo 4 (&gt;0,75) uT"))))</f>
        <v>Tipo 1 (≤0,25) uT</v>
      </c>
    </row>
    <row r="387" spans="1:59" x14ac:dyDescent="0.3">
      <c r="A387" s="26">
        <v>46167</v>
      </c>
      <c r="B387" s="107">
        <v>6.25E-2</v>
      </c>
      <c r="C387" s="116">
        <v>1163</v>
      </c>
      <c r="D387" s="116">
        <v>83</v>
      </c>
      <c r="E387" s="116">
        <v>550</v>
      </c>
      <c r="F387" s="116">
        <v>1816</v>
      </c>
      <c r="G387" s="10" t="s">
        <v>100</v>
      </c>
      <c r="H387" s="122">
        <v>7.5</v>
      </c>
      <c r="I387" s="116">
        <v>90</v>
      </c>
      <c r="J387" s="116">
        <v>90</v>
      </c>
      <c r="K387" s="116">
        <v>90</v>
      </c>
      <c r="L387" s="122">
        <v>22.6</v>
      </c>
      <c r="M387" s="122">
        <v>6.8</v>
      </c>
      <c r="N387" s="79">
        <v>3.02</v>
      </c>
      <c r="O387" s="116">
        <v>14</v>
      </c>
      <c r="P387" s="122">
        <v>8.5</v>
      </c>
      <c r="Q387" s="79">
        <v>0.06</v>
      </c>
      <c r="R387" s="79">
        <v>22.36</v>
      </c>
      <c r="S387" s="79">
        <v>0.88</v>
      </c>
      <c r="T387" s="79">
        <v>0.7</v>
      </c>
      <c r="U387" s="85">
        <f t="shared" si="48"/>
        <v>1670.72</v>
      </c>
      <c r="V387" s="79">
        <f t="shared" si="49"/>
        <v>1553.9562827203999</v>
      </c>
      <c r="W387" s="79">
        <f t="shared" si="50"/>
        <v>0.93011173788570189</v>
      </c>
      <c r="X387" s="116">
        <v>2</v>
      </c>
      <c r="Y387" s="116">
        <v>3</v>
      </c>
      <c r="Z387" s="122">
        <v>6.51</v>
      </c>
      <c r="AA387" s="116">
        <v>19.21</v>
      </c>
      <c r="AB387" s="122">
        <v>6.6</v>
      </c>
      <c r="AC387" s="122">
        <v>7.2</v>
      </c>
      <c r="AD387" s="10">
        <v>0.12</v>
      </c>
      <c r="AE387" s="79">
        <v>0.27</v>
      </c>
      <c r="AF387" s="85">
        <f t="shared" si="51"/>
        <v>1253.04</v>
      </c>
      <c r="AG387" s="85">
        <f t="shared" si="52"/>
        <v>1802.8857112915998</v>
      </c>
      <c r="AH387" s="85">
        <f t="shared" si="53"/>
        <v>1.4388093846099086</v>
      </c>
      <c r="AI387" s="116">
        <v>2</v>
      </c>
      <c r="AJ387" s="116">
        <v>4</v>
      </c>
      <c r="AK387" s="79">
        <v>6.39</v>
      </c>
      <c r="AL387" s="79">
        <v>22.81</v>
      </c>
      <c r="AM387" s="122">
        <v>6.5</v>
      </c>
      <c r="AN387" s="122">
        <v>6.7</v>
      </c>
      <c r="AO387" s="79">
        <v>0.12</v>
      </c>
      <c r="AP387" s="127">
        <v>0.28000000000000003</v>
      </c>
      <c r="AQ387" s="132">
        <f t="shared" si="54"/>
        <v>1796</v>
      </c>
      <c r="AR387" s="134">
        <f t="shared" si="55"/>
        <v>0.64755011135857465</v>
      </c>
      <c r="AS387" s="134">
        <f t="shared" si="56"/>
        <v>4.6213808463251668E-2</v>
      </c>
      <c r="AT387" s="134">
        <f t="shared" si="57"/>
        <v>0.30623608017817372</v>
      </c>
      <c r="AU387" s="43">
        <f>IF(AND(F387&lt;&gt;"",Y387&lt;&gt;""),AA387/(F387/2/Y387),"")</f>
        <v>6.3469162995594713E-2</v>
      </c>
      <c r="AV387" s="43">
        <f>IF(AND(F387&lt;&gt;"",AJ387&lt;&gt;""),AL387/(F387/2/AJ387),"")</f>
        <v>0.10048458149779735</v>
      </c>
      <c r="AW387" s="41">
        <f>IF(AND(AP387&lt;&gt;"",1-(AP387/N387)&gt;0),1-(AP387/N387),"")</f>
        <v>0.9072847682119205</v>
      </c>
      <c r="AX387" s="41">
        <f>IF(AND(AE387&lt;&gt;"",1-(AE387/N387)&gt;0),1-(AE387/N387),"")</f>
        <v>0.91059602649006621</v>
      </c>
      <c r="AY387" s="136" t="str">
        <f>IF(P387="","",IF(P387&lt;2.5,"Alc. Bruta &lt; 2,5 mg/L",IF(P387&lt;5,"2,5 ≤ Alc. Bruta &lt; 5,0 mg/L",IF(P387&lt;7.5,"5,0 ≤ Alc. Bruta &lt; 7,5 mg/L",IF(P387&lt;10,"7,5 ≤ Alc. Bruta &lt; 10,0 mg/L",IF(P387&lt;15,"10,0 ≤ Alca. Bruta &lt; 15,0 mg/L","Alc. Bruta &gt; 15 mg/L"))))))</f>
        <v>7,5 ≤ Alc. Bruta &lt; 10,0 mg/L</v>
      </c>
      <c r="AZ387" s="136" t="str">
        <f>IF(O387="","",IF(O387&lt;5,"Cor &lt;5 uC",IF(O387&lt;10,"5 ≤ Cor &lt; 10 uC",IF(O387&lt;15,"10 ≤ Cor &lt;15 uC",IF(O387&lt;30,"15 ≤ Cor &lt; 30 uC",IF(O387&lt;50,"30 ≤ Cor &lt; 50 uC","Cor &gt; 50 uC"))))))</f>
        <v>10 ≤ Cor &lt;15 uC</v>
      </c>
      <c r="BA387" s="137" t="str">
        <f>IF(N387="","",IF(N387&lt;2.5,"Turbidez &lt; 2,5 uT",IF(N387&lt;5,"2,5 ≤ Turb &lt; 5,0 uT",IF(N387&lt;7.5,"5,0 ≤ Turb &lt; 7,5 uT",IF(N387&lt;10,"7,5 ≤ Turb &lt; 10,0 uT",IF(N387&lt;15,"10,0 ≤ Turb &lt; 15,0 uT","Turb &gt; 15 uT"))))))</f>
        <v>2,5 ≤ Turb &lt; 5,0 uT</v>
      </c>
      <c r="BB387" s="138" t="str">
        <f>IF(AND(C387&gt;D387,D387&gt;E387),"TOR &gt; SM &gt; BNN",IF(AND(C387&gt;E387,E387&gt;D387),"TOR &gt; BNN &gt; SM",IF(AND(D387&gt;C387,C387&gt;E387),"SM &gt; TOR &gt; BNN",IF(AND(D387&gt;E387,E387&gt;C387),"SM &gt; BNN &gt; TOR",IF(AND(C387=D387,D387=E387),"TOR = SM = BNN","Comb. diferentes")))))</f>
        <v>TOR &gt; BNN &gt; SM</v>
      </c>
      <c r="BC387" s="137" t="str">
        <f>IF(OR(AD387="",AP387="-"),"",IF(AD387&lt;=0.25,"Tipo 1 (≤0,25) uT",IF(AD387&lt;=0.5,"Tipo 2 (0,25-0,50) uT",IF(AD387&lt;=0.75,"Tipo 3 (0,50-0,75) uT","Tipo 4 (&gt;0,75) uT"))))</f>
        <v>Tipo 1 (≤0,25) uT</v>
      </c>
      <c r="BD387" s="137" t="str">
        <f>IF(OR(AO387="",AY387="-"),"",IF(AO387&lt;=0.25,"Tipo 1 (≤0,25) uT",IF(AO387&lt;=0.5,"Tipo 2 (0,25-0,50) uT",IF(AO387&lt;=0.75,"Tipo 3 (0,50-0,75) uT","Tipo 4 (&gt;0,75) uT"))))</f>
        <v>Tipo 1 (≤0,25) uT</v>
      </c>
      <c r="BE387" s="137" t="str">
        <f>IF(OR(AE387="",AP387="-"),"",IF(AE387&lt;=0.25,"Tipo 1 (≤0,25) uT",IF(AE387&lt;=0.5,"Tipo 2 (0,25-0,50) uT",IF(AE387&lt;=0.75,"Tipo 3 (0,50-0,75) uT","Tipo 4 (&gt;0,75) uT"))))</f>
        <v>Tipo 2 (0,25-0,50) uT</v>
      </c>
      <c r="BF387" s="137" t="str">
        <f>IF(OR(AP387="",AP387="-"),"",IF(AP387&lt;=0.25,"Tipo 1 (≤0,25) uT",IF(AP387&lt;=0.5,"Tipo 2 (0,25-0,50) uT",IF(AP387&lt;=0.75,"Tipo 3 (0,50-0,75) uT","Tipo 4 (&gt;0,75) uT"))))</f>
        <v>Tipo 2 (0,25-0,50) uT</v>
      </c>
      <c r="BG387" s="137" t="str">
        <f>IF(OR(Q387="",Q387="-"),"",IF(Q387&lt;=0.25,"Tipo 1 (≤0,25) uT",IF(Q387&lt;=0.5,"Tipo 2 (0,25-0,50) uT",IF(Q387&lt;=0.75,"Tipo 3 (0,50-0,75) uT","Tipo 4 (&gt;0,75) uT"))))</f>
        <v>Tipo 1 (≤0,25) uT</v>
      </c>
    </row>
    <row r="388" spans="1:59" x14ac:dyDescent="0.3">
      <c r="A388" s="26">
        <v>46167</v>
      </c>
      <c r="B388" s="107">
        <v>0.14583333333333334</v>
      </c>
      <c r="C388" s="116">
        <v>1142</v>
      </c>
      <c r="D388" s="116">
        <v>81</v>
      </c>
      <c r="E388" s="116">
        <v>550</v>
      </c>
      <c r="F388" s="116">
        <v>1893</v>
      </c>
      <c r="G388" s="10" t="s">
        <v>100</v>
      </c>
      <c r="H388" s="122">
        <v>7.5</v>
      </c>
      <c r="I388" s="116">
        <v>90</v>
      </c>
      <c r="J388" s="116">
        <v>90</v>
      </c>
      <c r="K388" s="116">
        <v>90</v>
      </c>
      <c r="L388" s="122">
        <v>22.3</v>
      </c>
      <c r="M388" s="122">
        <v>6.9</v>
      </c>
      <c r="N388" s="79">
        <v>3.28</v>
      </c>
      <c r="O388" s="116">
        <v>14</v>
      </c>
      <c r="P388" s="122">
        <v>7.4</v>
      </c>
      <c r="Q388" s="79">
        <v>0.06</v>
      </c>
      <c r="R388" s="79">
        <v>22.36</v>
      </c>
      <c r="S388" s="79">
        <v>0.88</v>
      </c>
      <c r="T388" s="79">
        <v>0.7</v>
      </c>
      <c r="U388" s="85">
        <f t="shared" si="48"/>
        <v>1823.5899999999997</v>
      </c>
      <c r="V388" s="79">
        <f t="shared" si="49"/>
        <v>1538.3167687679995</v>
      </c>
      <c r="W388" s="79">
        <f t="shared" si="50"/>
        <v>0.8435650386150394</v>
      </c>
      <c r="X388" s="116">
        <v>2</v>
      </c>
      <c r="Y388" s="116">
        <v>3</v>
      </c>
      <c r="Z388" s="122">
        <v>6.46</v>
      </c>
      <c r="AA388" s="116">
        <v>19.2</v>
      </c>
      <c r="AB388" s="122">
        <v>6.8</v>
      </c>
      <c r="AC388" s="122">
        <v>5.3</v>
      </c>
      <c r="AD388" s="10">
        <v>0.15</v>
      </c>
      <c r="AE388" s="79">
        <v>0.26</v>
      </c>
      <c r="AF388" s="85">
        <f t="shared" si="51"/>
        <v>1367.6924999999999</v>
      </c>
      <c r="AG388" s="85">
        <f t="shared" si="52"/>
        <v>1801.7284464607994</v>
      </c>
      <c r="AH388" s="85">
        <f t="shared" si="53"/>
        <v>1.3173490725881729</v>
      </c>
      <c r="AI388" s="116">
        <v>2</v>
      </c>
      <c r="AJ388" s="116">
        <v>4</v>
      </c>
      <c r="AK388" s="79">
        <v>6.38</v>
      </c>
      <c r="AL388" s="79">
        <v>22.84</v>
      </c>
      <c r="AM388" s="122">
        <v>6.5</v>
      </c>
      <c r="AN388" s="122">
        <v>5.2</v>
      </c>
      <c r="AO388" s="79">
        <v>0.16</v>
      </c>
      <c r="AP388" s="127">
        <v>0.28000000000000003</v>
      </c>
      <c r="AQ388" s="132">
        <f t="shared" si="54"/>
        <v>1773</v>
      </c>
      <c r="AR388" s="134">
        <f t="shared" si="55"/>
        <v>0.64410603496897911</v>
      </c>
      <c r="AS388" s="134">
        <f t="shared" si="56"/>
        <v>4.5685279187817257E-2</v>
      </c>
      <c r="AT388" s="134">
        <f t="shared" si="57"/>
        <v>0.3102086858432036</v>
      </c>
      <c r="AU388" s="43">
        <f>IF(AND(F388&lt;&gt;"",Y388&lt;&gt;""),AA388/(F388/2/Y388),"")</f>
        <v>6.0855784469096667E-2</v>
      </c>
      <c r="AV388" s="43">
        <f>IF(AND(F388&lt;&gt;"",AJ388&lt;&gt;""),AL388/(F388/2/AJ388),"")</f>
        <v>9.6524035921817214E-2</v>
      </c>
      <c r="AW388" s="41">
        <f>IF(AND(AP388&lt;&gt;"",1-(AP388/N388)&gt;0),1-(AP388/N388),"")</f>
        <v>0.91463414634146345</v>
      </c>
      <c r="AX388" s="41">
        <f>IF(AND(AE388&lt;&gt;"",1-(AE388/N388)&gt;0),1-(AE388/N388),"")</f>
        <v>0.92073170731707321</v>
      </c>
      <c r="AY388" s="136" t="str">
        <f>IF(P388="","",IF(P388&lt;2.5,"Alc. Bruta &lt; 2,5 mg/L",IF(P388&lt;5,"2,5 ≤ Alc. Bruta &lt; 5,0 mg/L",IF(P388&lt;7.5,"5,0 ≤ Alc. Bruta &lt; 7,5 mg/L",IF(P388&lt;10,"7,5 ≤ Alc. Bruta &lt; 10,0 mg/L",IF(P388&lt;15,"10,0 ≤ Alca. Bruta &lt; 15,0 mg/L","Alc. Bruta &gt; 15 mg/L"))))))</f>
        <v>5,0 ≤ Alc. Bruta &lt; 7,5 mg/L</v>
      </c>
      <c r="AZ388" s="136" t="str">
        <f>IF(O388="","",IF(O388&lt;5,"Cor &lt;5 uC",IF(O388&lt;10,"5 ≤ Cor &lt; 10 uC",IF(O388&lt;15,"10 ≤ Cor &lt;15 uC",IF(O388&lt;30,"15 ≤ Cor &lt; 30 uC",IF(O388&lt;50,"30 ≤ Cor &lt; 50 uC","Cor &gt; 50 uC"))))))</f>
        <v>10 ≤ Cor &lt;15 uC</v>
      </c>
      <c r="BA388" s="137" t="str">
        <f>IF(N388="","",IF(N388&lt;2.5,"Turbidez &lt; 2,5 uT",IF(N388&lt;5,"2,5 ≤ Turb &lt; 5,0 uT",IF(N388&lt;7.5,"5,0 ≤ Turb &lt; 7,5 uT",IF(N388&lt;10,"7,5 ≤ Turb &lt; 10,0 uT",IF(N388&lt;15,"10,0 ≤ Turb &lt; 15,0 uT","Turb &gt; 15 uT"))))))</f>
        <v>2,5 ≤ Turb &lt; 5,0 uT</v>
      </c>
      <c r="BB388" s="138" t="str">
        <f>IF(AND(C388&gt;D388,D388&gt;E388),"TOR &gt; SM &gt; BNN",IF(AND(C388&gt;E388,E388&gt;D388),"TOR &gt; BNN &gt; SM",IF(AND(D388&gt;C388,C388&gt;E388),"SM &gt; TOR &gt; BNN",IF(AND(D388&gt;E388,E388&gt;C388),"SM &gt; BNN &gt; TOR",IF(AND(C388=D388,D388=E388),"TOR = SM = BNN","Comb. diferentes")))))</f>
        <v>TOR &gt; BNN &gt; SM</v>
      </c>
      <c r="BC388" s="137" t="str">
        <f>IF(OR(AD388="",AP388="-"),"",IF(AD388&lt;=0.25,"Tipo 1 (≤0,25) uT",IF(AD388&lt;=0.5,"Tipo 2 (0,25-0,50) uT",IF(AD388&lt;=0.75,"Tipo 3 (0,50-0,75) uT","Tipo 4 (&gt;0,75) uT"))))</f>
        <v>Tipo 1 (≤0,25) uT</v>
      </c>
      <c r="BD388" s="137" t="str">
        <f>IF(OR(AO388="",AY388="-"),"",IF(AO388&lt;=0.25,"Tipo 1 (≤0,25) uT",IF(AO388&lt;=0.5,"Tipo 2 (0,25-0,50) uT",IF(AO388&lt;=0.75,"Tipo 3 (0,50-0,75) uT","Tipo 4 (&gt;0,75) uT"))))</f>
        <v>Tipo 1 (≤0,25) uT</v>
      </c>
      <c r="BE388" s="137" t="str">
        <f>IF(OR(AE388="",AP388="-"),"",IF(AE388&lt;=0.25,"Tipo 1 (≤0,25) uT",IF(AE388&lt;=0.5,"Tipo 2 (0,25-0,50) uT",IF(AE388&lt;=0.75,"Tipo 3 (0,50-0,75) uT","Tipo 4 (&gt;0,75) uT"))))</f>
        <v>Tipo 2 (0,25-0,50) uT</v>
      </c>
      <c r="BF388" s="137" t="str">
        <f>IF(OR(AP388="",AP388="-"),"",IF(AP388&lt;=0.25,"Tipo 1 (≤0,25) uT",IF(AP388&lt;=0.5,"Tipo 2 (0,25-0,50) uT",IF(AP388&lt;=0.75,"Tipo 3 (0,50-0,75) uT","Tipo 4 (&gt;0,75) uT"))))</f>
        <v>Tipo 2 (0,25-0,50) uT</v>
      </c>
      <c r="BG388" s="137" t="str">
        <f>IF(OR(Q388="",Q388="-"),"",IF(Q388&lt;=0.25,"Tipo 1 (≤0,25) uT",IF(Q388&lt;=0.5,"Tipo 2 (0,25-0,50) uT",IF(Q388&lt;=0.75,"Tipo 3 (0,50-0,75) uT","Tipo 4 (&gt;0,75) uT"))))</f>
        <v>Tipo 1 (≤0,25) uT</v>
      </c>
    </row>
    <row r="389" spans="1:59" ht="15" thickBot="1" x14ac:dyDescent="0.35">
      <c r="A389" s="26">
        <v>46167</v>
      </c>
      <c r="B389" s="110">
        <v>0.22916666666666666</v>
      </c>
      <c r="C389" s="117">
        <v>1169</v>
      </c>
      <c r="D389" s="117">
        <v>87</v>
      </c>
      <c r="E389" s="117">
        <v>550</v>
      </c>
      <c r="F389" s="117">
        <v>1817</v>
      </c>
      <c r="G389" s="11" t="s">
        <v>100</v>
      </c>
      <c r="H389" s="123">
        <v>7.5</v>
      </c>
      <c r="I389" s="117">
        <v>90</v>
      </c>
      <c r="J389" s="117">
        <v>90</v>
      </c>
      <c r="K389" s="117">
        <v>90</v>
      </c>
      <c r="L389" s="123">
        <v>22.1</v>
      </c>
      <c r="M389" s="123">
        <v>6.8</v>
      </c>
      <c r="N389" s="80">
        <v>3.33</v>
      </c>
      <c r="O389" s="117">
        <v>13</v>
      </c>
      <c r="P389" s="123">
        <v>7.3</v>
      </c>
      <c r="Q389" s="80">
        <v>0.06</v>
      </c>
      <c r="R389" s="79">
        <v>22.36</v>
      </c>
      <c r="S389" s="79">
        <v>0.88</v>
      </c>
      <c r="T389" s="79">
        <v>0.7</v>
      </c>
      <c r="U389" s="85">
        <f t="shared" si="48"/>
        <v>1765.5183333333332</v>
      </c>
      <c r="V389" s="79">
        <f t="shared" si="49"/>
        <v>1524.8622478543998</v>
      </c>
      <c r="W389" s="79">
        <f t="shared" si="50"/>
        <v>0.86369097338991097</v>
      </c>
      <c r="X389" s="117">
        <v>2</v>
      </c>
      <c r="Y389" s="117">
        <v>3</v>
      </c>
      <c r="Z389" s="123">
        <v>6.42</v>
      </c>
      <c r="AA389" s="117">
        <v>19.18</v>
      </c>
      <c r="AB389" s="123">
        <v>6.8</v>
      </c>
      <c r="AC389" s="123">
        <v>5</v>
      </c>
      <c r="AD389" s="11">
        <v>0.12</v>
      </c>
      <c r="AE389" s="80">
        <v>0.26</v>
      </c>
      <c r="AF389" s="85">
        <f t="shared" si="51"/>
        <v>1324.1387500000001</v>
      </c>
      <c r="AG389" s="85">
        <f t="shared" si="52"/>
        <v>1830.1527083215999</v>
      </c>
      <c r="AH389" s="85">
        <f t="shared" si="53"/>
        <v>1.3821457217543101</v>
      </c>
      <c r="AI389" s="117">
        <v>2</v>
      </c>
      <c r="AJ389" s="117">
        <v>4</v>
      </c>
      <c r="AK389" s="80">
        <v>6.42</v>
      </c>
      <c r="AL389" s="80">
        <v>23.02</v>
      </c>
      <c r="AM389" s="123">
        <v>6.6</v>
      </c>
      <c r="AN389" s="123">
        <v>5.3</v>
      </c>
      <c r="AO389" s="80">
        <v>0.17</v>
      </c>
      <c r="AP389" s="128">
        <v>0.3</v>
      </c>
      <c r="AQ389" s="132">
        <f t="shared" si="54"/>
        <v>1806</v>
      </c>
      <c r="AR389" s="134">
        <f t="shared" si="55"/>
        <v>0.6472868217054264</v>
      </c>
      <c r="AS389" s="134">
        <f t="shared" si="56"/>
        <v>4.817275747508306E-2</v>
      </c>
      <c r="AT389" s="134">
        <f t="shared" si="57"/>
        <v>0.30454042081949056</v>
      </c>
      <c r="AU389" s="43">
        <f>IF(AND(F389&lt;&gt;"",Y389&lt;&gt;""),AA389/(F389/2/Y389),"")</f>
        <v>6.3335167859108421E-2</v>
      </c>
      <c r="AV389" s="43">
        <f>IF(AND(F389&lt;&gt;"",AJ389&lt;&gt;""),AL389/(F389/2/AJ389),"")</f>
        <v>0.10135388002201431</v>
      </c>
      <c r="AW389" s="41">
        <f>IF(AND(AP389&lt;&gt;"",1-(AP389/N389)&gt;0),1-(AP389/N389),"")</f>
        <v>0.90990990990990994</v>
      </c>
      <c r="AX389" s="41">
        <f>IF(AND(AE389&lt;&gt;"",1-(AE389/N389)&gt;0),1-(AE389/N389),"")</f>
        <v>0.92192192192192191</v>
      </c>
      <c r="AY389" s="136" t="str">
        <f>IF(P389="","",IF(P389&lt;2.5,"Alc. Bruta &lt; 2,5 mg/L",IF(P389&lt;5,"2,5 ≤ Alc. Bruta &lt; 5,0 mg/L",IF(P389&lt;7.5,"5,0 ≤ Alc. Bruta &lt; 7,5 mg/L",IF(P389&lt;10,"7,5 ≤ Alc. Bruta &lt; 10,0 mg/L",IF(P389&lt;15,"10,0 ≤ Alca. Bruta &lt; 15,0 mg/L","Alc. Bruta &gt; 15 mg/L"))))))</f>
        <v>5,0 ≤ Alc. Bruta &lt; 7,5 mg/L</v>
      </c>
      <c r="AZ389" s="136" t="str">
        <f>IF(O389="","",IF(O389&lt;5,"Cor &lt;5 uC",IF(O389&lt;10,"5 ≤ Cor &lt; 10 uC",IF(O389&lt;15,"10 ≤ Cor &lt;15 uC",IF(O389&lt;30,"15 ≤ Cor &lt; 30 uC",IF(O389&lt;50,"30 ≤ Cor &lt; 50 uC","Cor &gt; 50 uC"))))))</f>
        <v>10 ≤ Cor &lt;15 uC</v>
      </c>
      <c r="BA389" s="137" t="str">
        <f>IF(N389="","",IF(N389&lt;2.5,"Turbidez &lt; 2,5 uT",IF(N389&lt;5,"2,5 ≤ Turb &lt; 5,0 uT",IF(N389&lt;7.5,"5,0 ≤ Turb &lt; 7,5 uT",IF(N389&lt;10,"7,5 ≤ Turb &lt; 10,0 uT",IF(N389&lt;15,"10,0 ≤ Turb &lt; 15,0 uT","Turb &gt; 15 uT"))))))</f>
        <v>2,5 ≤ Turb &lt; 5,0 uT</v>
      </c>
      <c r="BB389" s="138" t="str">
        <f>IF(AND(C389&gt;D389,D389&gt;E389),"TOR &gt; SM &gt; BNN",IF(AND(C389&gt;E389,E389&gt;D389),"TOR &gt; BNN &gt; SM",IF(AND(D389&gt;C389,C389&gt;E389),"SM &gt; TOR &gt; BNN",IF(AND(D389&gt;E389,E389&gt;C389),"SM &gt; BNN &gt; TOR",IF(AND(C389=D389,D389=E389),"TOR = SM = BNN","Comb. diferentes")))))</f>
        <v>TOR &gt; BNN &gt; SM</v>
      </c>
      <c r="BC389" s="137" t="str">
        <f>IF(OR(AD389="",AP389="-"),"",IF(AD389&lt;=0.25,"Tipo 1 (≤0,25) uT",IF(AD389&lt;=0.5,"Tipo 2 (0,25-0,50) uT",IF(AD389&lt;=0.75,"Tipo 3 (0,50-0,75) uT","Tipo 4 (&gt;0,75) uT"))))</f>
        <v>Tipo 1 (≤0,25) uT</v>
      </c>
      <c r="BD389" s="137" t="str">
        <f>IF(OR(AO389="",AY389="-"),"",IF(AO389&lt;=0.25,"Tipo 1 (≤0,25) uT",IF(AO389&lt;=0.5,"Tipo 2 (0,25-0,50) uT",IF(AO389&lt;=0.75,"Tipo 3 (0,50-0,75) uT","Tipo 4 (&gt;0,75) uT"))))</f>
        <v>Tipo 1 (≤0,25) uT</v>
      </c>
      <c r="BE389" s="137" t="str">
        <f>IF(OR(AE389="",AP389="-"),"",IF(AE389&lt;=0.25,"Tipo 1 (≤0,25) uT",IF(AE389&lt;=0.5,"Tipo 2 (0,25-0,50) uT",IF(AE389&lt;=0.75,"Tipo 3 (0,50-0,75) uT","Tipo 4 (&gt;0,75) uT"))))</f>
        <v>Tipo 2 (0,25-0,50) uT</v>
      </c>
      <c r="BF389" s="137" t="str">
        <f>IF(OR(AP389="",AP389="-"),"",IF(AP389&lt;=0.25,"Tipo 1 (≤0,25) uT",IF(AP389&lt;=0.5,"Tipo 2 (0,25-0,50) uT",IF(AP389&lt;=0.75,"Tipo 3 (0,50-0,75) uT","Tipo 4 (&gt;0,75) uT"))))</f>
        <v>Tipo 2 (0,25-0,50) uT</v>
      </c>
      <c r="BG389" s="137" t="str">
        <f>IF(OR(Q389="",Q389="-"),"",IF(Q389&lt;=0.25,"Tipo 1 (≤0,25) uT",IF(Q389&lt;=0.5,"Tipo 2 (0,25-0,50) uT",IF(Q389&lt;=0.75,"Tipo 3 (0,50-0,75) uT","Tipo 4 (&gt;0,75) uT"))))</f>
        <v>Tipo 1 (≤0,25) uT</v>
      </c>
    </row>
    <row r="390" spans="1:59" x14ac:dyDescent="0.3">
      <c r="A390" s="26">
        <v>46167</v>
      </c>
      <c r="B390" s="111">
        <v>0.3125</v>
      </c>
      <c r="C390" s="118">
        <v>1277</v>
      </c>
      <c r="D390" s="116">
        <v>82</v>
      </c>
      <c r="E390" s="118">
        <v>549</v>
      </c>
      <c r="F390" s="118">
        <v>1943</v>
      </c>
      <c r="G390" s="9" t="s">
        <v>100</v>
      </c>
      <c r="H390" s="124">
        <v>7.5</v>
      </c>
      <c r="I390" s="118">
        <v>90</v>
      </c>
      <c r="J390" s="118">
        <v>90</v>
      </c>
      <c r="K390" s="118">
        <v>90</v>
      </c>
      <c r="L390" s="124">
        <v>22.2</v>
      </c>
      <c r="M390" s="124">
        <v>6.8</v>
      </c>
      <c r="N390" s="81">
        <v>2.98</v>
      </c>
      <c r="O390" s="118">
        <v>14</v>
      </c>
      <c r="P390" s="124">
        <v>7</v>
      </c>
      <c r="Q390" s="81">
        <v>0.06</v>
      </c>
      <c r="R390" s="79">
        <v>22.36</v>
      </c>
      <c r="S390" s="79">
        <v>0.88</v>
      </c>
      <c r="T390" s="79">
        <v>0.7</v>
      </c>
      <c r="U390" s="85">
        <f t="shared" si="48"/>
        <v>1774.6066666666668</v>
      </c>
      <c r="V390" s="79">
        <f t="shared" si="49"/>
        <v>1447.7334393599999</v>
      </c>
      <c r="W390" s="79">
        <f t="shared" si="50"/>
        <v>0.81580525225871636</v>
      </c>
      <c r="X390" s="118">
        <v>2</v>
      </c>
      <c r="Y390" s="118">
        <v>3</v>
      </c>
      <c r="Z390" s="124">
        <v>6.48</v>
      </c>
      <c r="AA390" s="118">
        <v>18</v>
      </c>
      <c r="AB390" s="124">
        <v>6.7</v>
      </c>
      <c r="AC390" s="124">
        <v>5.9</v>
      </c>
      <c r="AD390" s="9">
        <v>0.18</v>
      </c>
      <c r="AE390" s="81">
        <v>0.28999999999999998</v>
      </c>
      <c r="AF390" s="85">
        <f t="shared" si="51"/>
        <v>1330.9550000000002</v>
      </c>
      <c r="AG390" s="85">
        <f t="shared" si="52"/>
        <v>1824.1500934279993</v>
      </c>
      <c r="AH390" s="85">
        <f t="shared" si="53"/>
        <v>1.3705573016578314</v>
      </c>
      <c r="AI390" s="118">
        <v>2</v>
      </c>
      <c r="AJ390" s="118">
        <v>4</v>
      </c>
      <c r="AK390" s="81">
        <v>6.43</v>
      </c>
      <c r="AL390" s="81">
        <v>22.9</v>
      </c>
      <c r="AM390" s="124">
        <v>6.6</v>
      </c>
      <c r="AN390" s="124">
        <v>5.3</v>
      </c>
      <c r="AO390" s="81">
        <v>0.28000000000000003</v>
      </c>
      <c r="AP390" s="129">
        <v>0.3</v>
      </c>
      <c r="AQ390" s="132">
        <f t="shared" si="54"/>
        <v>1908</v>
      </c>
      <c r="AR390" s="134">
        <f t="shared" si="55"/>
        <v>0.66928721174004191</v>
      </c>
      <c r="AS390" s="134">
        <f t="shared" si="56"/>
        <v>4.2976939203354297E-2</v>
      </c>
      <c r="AT390" s="134">
        <f t="shared" si="57"/>
        <v>0.28773584905660377</v>
      </c>
      <c r="AU390" s="43">
        <f>IF(AND(F390&lt;&gt;"",Y390&lt;&gt;""),AA390/(F390/2/Y390),"")</f>
        <v>5.5584148224395266E-2</v>
      </c>
      <c r="AV390" s="43">
        <f>IF(AND(F390&lt;&gt;"",AJ390&lt;&gt;""),AL390/(F390/2/AJ390),"")</f>
        <v>9.4287184765826038E-2</v>
      </c>
      <c r="AW390" s="41">
        <f>IF(AND(AP390&lt;&gt;"",1-(AP390/N390)&gt;0),1-(AP390/N390),"")</f>
        <v>0.89932885906040272</v>
      </c>
      <c r="AX390" s="41">
        <f>IF(AND(AE390&lt;&gt;"",1-(AE390/N390)&gt;0),1-(AE390/N390),"")</f>
        <v>0.90268456375838924</v>
      </c>
      <c r="AY390" s="136" t="str">
        <f>IF(P390="","",IF(P390&lt;2.5,"Alc. Bruta &lt; 2,5 mg/L",IF(P390&lt;5,"2,5 ≤ Alc. Bruta &lt; 5,0 mg/L",IF(P390&lt;7.5,"5,0 ≤ Alc. Bruta &lt; 7,5 mg/L",IF(P390&lt;10,"7,5 ≤ Alc. Bruta &lt; 10,0 mg/L",IF(P390&lt;15,"10,0 ≤ Alca. Bruta &lt; 15,0 mg/L","Alc. Bruta &gt; 15 mg/L"))))))</f>
        <v>5,0 ≤ Alc. Bruta &lt; 7,5 mg/L</v>
      </c>
      <c r="AZ390" s="136" t="str">
        <f>IF(O390="","",IF(O390&lt;5,"Cor &lt;5 uC",IF(O390&lt;10,"5 ≤ Cor &lt; 10 uC",IF(O390&lt;15,"10 ≤ Cor &lt;15 uC",IF(O390&lt;30,"15 ≤ Cor &lt; 30 uC",IF(O390&lt;50,"30 ≤ Cor &lt; 50 uC","Cor &gt; 50 uC"))))))</f>
        <v>10 ≤ Cor &lt;15 uC</v>
      </c>
      <c r="BA390" s="137" t="str">
        <f>IF(N390="","",IF(N390&lt;2.5,"Turbidez &lt; 2,5 uT",IF(N390&lt;5,"2,5 ≤ Turb &lt; 5,0 uT",IF(N390&lt;7.5,"5,0 ≤ Turb &lt; 7,5 uT",IF(N390&lt;10,"7,5 ≤ Turb &lt; 10,0 uT",IF(N390&lt;15,"10,0 ≤ Turb &lt; 15,0 uT","Turb &gt; 15 uT"))))))</f>
        <v>2,5 ≤ Turb &lt; 5,0 uT</v>
      </c>
      <c r="BB390" s="138" t="str">
        <f>IF(AND(C390&gt;D390,D390&gt;E390),"TOR &gt; SM &gt; BNN",IF(AND(C390&gt;E390,E390&gt;D390),"TOR &gt; BNN &gt; SM",IF(AND(D390&gt;C390,C390&gt;E390),"SM &gt; TOR &gt; BNN",IF(AND(D390&gt;E390,E390&gt;C390),"SM &gt; BNN &gt; TOR",IF(AND(C390=D390,D390=E390),"TOR = SM = BNN","Comb. diferentes")))))</f>
        <v>TOR &gt; BNN &gt; SM</v>
      </c>
      <c r="BC390" s="137" t="str">
        <f>IF(OR(AD390="",AP390="-"),"",IF(AD390&lt;=0.25,"Tipo 1 (≤0,25) uT",IF(AD390&lt;=0.5,"Tipo 2 (0,25-0,50) uT",IF(AD390&lt;=0.75,"Tipo 3 (0,50-0,75) uT","Tipo 4 (&gt;0,75) uT"))))</f>
        <v>Tipo 1 (≤0,25) uT</v>
      </c>
      <c r="BD390" s="137" t="str">
        <f>IF(OR(AO390="",AY390="-"),"",IF(AO390&lt;=0.25,"Tipo 1 (≤0,25) uT",IF(AO390&lt;=0.5,"Tipo 2 (0,25-0,50) uT",IF(AO390&lt;=0.75,"Tipo 3 (0,50-0,75) uT","Tipo 4 (&gt;0,75) uT"))))</f>
        <v>Tipo 2 (0,25-0,50) uT</v>
      </c>
      <c r="BE390" s="137" t="str">
        <f>IF(OR(AE390="",AP390="-"),"",IF(AE390&lt;=0.25,"Tipo 1 (≤0,25) uT",IF(AE390&lt;=0.5,"Tipo 2 (0,25-0,50) uT",IF(AE390&lt;=0.75,"Tipo 3 (0,50-0,75) uT","Tipo 4 (&gt;0,75) uT"))))</f>
        <v>Tipo 2 (0,25-0,50) uT</v>
      </c>
      <c r="BF390" s="137" t="str">
        <f>IF(OR(AP390="",AP390="-"),"",IF(AP390&lt;=0.25,"Tipo 1 (≤0,25) uT",IF(AP390&lt;=0.5,"Tipo 2 (0,25-0,50) uT",IF(AP390&lt;=0.75,"Tipo 3 (0,50-0,75) uT","Tipo 4 (&gt;0,75) uT"))))</f>
        <v>Tipo 2 (0,25-0,50) uT</v>
      </c>
      <c r="BG390" s="137" t="str">
        <f>IF(OR(Q390="",Q390="-"),"",IF(Q390&lt;=0.25,"Tipo 1 (≤0,25) uT",IF(Q390&lt;=0.5,"Tipo 2 (0,25-0,50) uT",IF(Q390&lt;=0.75,"Tipo 3 (0,50-0,75) uT","Tipo 4 (&gt;0,75) uT"))))</f>
        <v>Tipo 1 (≤0,25) uT</v>
      </c>
    </row>
    <row r="391" spans="1:59" x14ac:dyDescent="0.3">
      <c r="A391" s="26">
        <v>46167</v>
      </c>
      <c r="B391" s="107">
        <v>0.39583333333333331</v>
      </c>
      <c r="C391" s="116">
        <v>1255</v>
      </c>
      <c r="D391" s="116">
        <v>81</v>
      </c>
      <c r="E391" s="116">
        <v>550</v>
      </c>
      <c r="F391" s="116">
        <v>1951</v>
      </c>
      <c r="G391" s="10" t="s">
        <v>100</v>
      </c>
      <c r="H391" s="122">
        <v>7.5</v>
      </c>
      <c r="I391" s="116">
        <v>90</v>
      </c>
      <c r="J391" s="116">
        <v>90</v>
      </c>
      <c r="K391" s="116">
        <v>90</v>
      </c>
      <c r="L391" s="122">
        <v>22.3</v>
      </c>
      <c r="M391" s="122">
        <v>6.7</v>
      </c>
      <c r="N391" s="79">
        <v>3.42</v>
      </c>
      <c r="O391" s="116">
        <v>14</v>
      </c>
      <c r="P391" s="122">
        <v>7.5</v>
      </c>
      <c r="Q391" s="79">
        <v>0.06</v>
      </c>
      <c r="R391" s="79">
        <v>22.36</v>
      </c>
      <c r="S391" s="79">
        <v>0.88</v>
      </c>
      <c r="T391" s="79">
        <v>0.7</v>
      </c>
      <c r="U391" s="85">
        <f t="shared" si="48"/>
        <v>1924.9866666666667</v>
      </c>
      <c r="V391" s="79">
        <f t="shared" si="49"/>
        <v>1453.2949080000001</v>
      </c>
      <c r="W391" s="79">
        <f t="shared" si="50"/>
        <v>0.75496362295150099</v>
      </c>
      <c r="X391" s="116">
        <v>2</v>
      </c>
      <c r="Y391" s="116">
        <v>3</v>
      </c>
      <c r="Z391" s="122">
        <v>6.5</v>
      </c>
      <c r="AA391" s="116">
        <v>18</v>
      </c>
      <c r="AB391" s="122">
        <v>6.5</v>
      </c>
      <c r="AC391" s="122">
        <v>5.6</v>
      </c>
      <c r="AD391" s="10">
        <v>0.22</v>
      </c>
      <c r="AE391" s="79">
        <v>0.3</v>
      </c>
      <c r="AF391" s="85">
        <f t="shared" si="51"/>
        <v>1443.74</v>
      </c>
      <c r="AG391" s="85">
        <f t="shared" si="52"/>
        <v>1846.3284564400001</v>
      </c>
      <c r="AH391" s="85">
        <f t="shared" si="53"/>
        <v>1.2788510787537923</v>
      </c>
      <c r="AI391" s="116">
        <v>2</v>
      </c>
      <c r="AJ391" s="116">
        <v>4</v>
      </c>
      <c r="AK391" s="79">
        <v>6.47</v>
      </c>
      <c r="AL391" s="79">
        <v>23</v>
      </c>
      <c r="AM391" s="122">
        <v>6.4</v>
      </c>
      <c r="AN391" s="122">
        <v>5.5</v>
      </c>
      <c r="AO391" s="79">
        <v>0.25</v>
      </c>
      <c r="AP391" s="127">
        <v>0.28000000000000003</v>
      </c>
      <c r="AQ391" s="132">
        <f t="shared" si="54"/>
        <v>1886</v>
      </c>
      <c r="AR391" s="134">
        <f t="shared" si="55"/>
        <v>0.66542948038176031</v>
      </c>
      <c r="AS391" s="134">
        <f t="shared" si="56"/>
        <v>4.2948038176033931E-2</v>
      </c>
      <c r="AT391" s="134">
        <f t="shared" si="57"/>
        <v>0.29162248144220571</v>
      </c>
      <c r="AU391" s="43">
        <f>IF(AND(F391&lt;&gt;"",Y391&lt;&gt;""),AA391/(F391/2/Y391),"")</f>
        <v>5.5356227575602254E-2</v>
      </c>
      <c r="AV391" s="43">
        <f>IF(AND(F391&lt;&gt;"",AJ391&lt;&gt;""),AL391/(F391/2/AJ391),"")</f>
        <v>9.4310609943618659E-2</v>
      </c>
      <c r="AW391" s="41">
        <f>IF(AND(AP391&lt;&gt;"",1-(AP391/N391)&gt;0),1-(AP391/N391),"")</f>
        <v>0.91812865497076024</v>
      </c>
      <c r="AX391" s="41">
        <f>IF(AND(AE391&lt;&gt;"",1-(AE391/N391)&gt;0),1-(AE391/N391),"")</f>
        <v>0.91228070175438591</v>
      </c>
      <c r="AY391" s="136" t="str">
        <f>IF(P391="","",IF(P391&lt;2.5,"Alc. Bruta &lt; 2,5 mg/L",IF(P391&lt;5,"2,5 ≤ Alc. Bruta &lt; 5,0 mg/L",IF(P391&lt;7.5,"5,0 ≤ Alc. Bruta &lt; 7,5 mg/L",IF(P391&lt;10,"7,5 ≤ Alc. Bruta &lt; 10,0 mg/L",IF(P391&lt;15,"10,0 ≤ Alca. Bruta &lt; 15,0 mg/L","Alc. Bruta &gt; 15 mg/L"))))))</f>
        <v>7,5 ≤ Alc. Bruta &lt; 10,0 mg/L</v>
      </c>
      <c r="AZ391" s="136" t="str">
        <f>IF(O391="","",IF(O391&lt;5,"Cor &lt;5 uC",IF(O391&lt;10,"5 ≤ Cor &lt; 10 uC",IF(O391&lt;15,"10 ≤ Cor &lt;15 uC",IF(O391&lt;30,"15 ≤ Cor &lt; 30 uC",IF(O391&lt;50,"30 ≤ Cor &lt; 50 uC","Cor &gt; 50 uC"))))))</f>
        <v>10 ≤ Cor &lt;15 uC</v>
      </c>
      <c r="BA391" s="137" t="str">
        <f>IF(N391="","",IF(N391&lt;2.5,"Turbidez &lt; 2,5 uT",IF(N391&lt;5,"2,5 ≤ Turb &lt; 5,0 uT",IF(N391&lt;7.5,"5,0 ≤ Turb &lt; 7,5 uT",IF(N391&lt;10,"7,5 ≤ Turb &lt; 10,0 uT",IF(N391&lt;15,"10,0 ≤ Turb &lt; 15,0 uT","Turb &gt; 15 uT"))))))</f>
        <v>2,5 ≤ Turb &lt; 5,0 uT</v>
      </c>
      <c r="BB391" s="138" t="str">
        <f>IF(AND(C391&gt;D391,D391&gt;E391),"TOR &gt; SM &gt; BNN",IF(AND(C391&gt;E391,E391&gt;D391),"TOR &gt; BNN &gt; SM",IF(AND(D391&gt;C391,C391&gt;E391),"SM &gt; TOR &gt; BNN",IF(AND(D391&gt;E391,E391&gt;C391),"SM &gt; BNN &gt; TOR",IF(AND(C391=D391,D391=E391),"TOR = SM = BNN","Comb. diferentes")))))</f>
        <v>TOR &gt; BNN &gt; SM</v>
      </c>
      <c r="BC391" s="137" t="str">
        <f>IF(OR(AD391="",AP391="-"),"",IF(AD391&lt;=0.25,"Tipo 1 (≤0,25) uT",IF(AD391&lt;=0.5,"Tipo 2 (0,25-0,50) uT",IF(AD391&lt;=0.75,"Tipo 3 (0,50-0,75) uT","Tipo 4 (&gt;0,75) uT"))))</f>
        <v>Tipo 1 (≤0,25) uT</v>
      </c>
      <c r="BD391" s="137" t="str">
        <f>IF(OR(AO391="",AY391="-"),"",IF(AO391&lt;=0.25,"Tipo 1 (≤0,25) uT",IF(AO391&lt;=0.5,"Tipo 2 (0,25-0,50) uT",IF(AO391&lt;=0.75,"Tipo 3 (0,50-0,75) uT","Tipo 4 (&gt;0,75) uT"))))</f>
        <v>Tipo 1 (≤0,25) uT</v>
      </c>
      <c r="BE391" s="137" t="str">
        <f>IF(OR(AE391="",AP391="-"),"",IF(AE391&lt;=0.25,"Tipo 1 (≤0,25) uT",IF(AE391&lt;=0.5,"Tipo 2 (0,25-0,50) uT",IF(AE391&lt;=0.75,"Tipo 3 (0,50-0,75) uT","Tipo 4 (&gt;0,75) uT"))))</f>
        <v>Tipo 2 (0,25-0,50) uT</v>
      </c>
      <c r="BF391" s="137" t="str">
        <f>IF(OR(AP391="",AP391="-"),"",IF(AP391&lt;=0.25,"Tipo 1 (≤0,25) uT",IF(AP391&lt;=0.5,"Tipo 2 (0,25-0,50) uT",IF(AP391&lt;=0.75,"Tipo 3 (0,50-0,75) uT","Tipo 4 (&gt;0,75) uT"))))</f>
        <v>Tipo 2 (0,25-0,50) uT</v>
      </c>
      <c r="BG391" s="137" t="str">
        <f>IF(OR(Q391="",Q391="-"),"",IF(Q391&lt;=0.25,"Tipo 1 (≤0,25) uT",IF(Q391&lt;=0.5,"Tipo 2 (0,25-0,50) uT",IF(Q391&lt;=0.75,"Tipo 3 (0,50-0,75) uT","Tipo 4 (&gt;0,75) uT"))))</f>
        <v>Tipo 1 (≤0,25) uT</v>
      </c>
    </row>
    <row r="392" spans="1:59" x14ac:dyDescent="0.3">
      <c r="A392" s="26">
        <v>46167</v>
      </c>
      <c r="B392" s="107">
        <v>0.5625</v>
      </c>
      <c r="C392" s="116">
        <v>1548</v>
      </c>
      <c r="D392" s="116">
        <v>84</v>
      </c>
      <c r="E392" s="116">
        <v>522</v>
      </c>
      <c r="F392" s="116">
        <v>2215</v>
      </c>
      <c r="G392" s="10" t="s">
        <v>100</v>
      </c>
      <c r="H392" s="122">
        <v>7.5</v>
      </c>
      <c r="I392" s="116">
        <v>90</v>
      </c>
      <c r="J392" s="116">
        <v>90</v>
      </c>
      <c r="K392" s="116">
        <v>90</v>
      </c>
      <c r="L392" s="122">
        <v>23.3</v>
      </c>
      <c r="M392" s="122">
        <v>6.7</v>
      </c>
      <c r="N392" s="79">
        <v>3.39</v>
      </c>
      <c r="O392" s="116">
        <v>15</v>
      </c>
      <c r="P392" s="122">
        <v>6.5</v>
      </c>
      <c r="Q392" s="79">
        <v>0.06</v>
      </c>
      <c r="R392" s="79">
        <v>22.36</v>
      </c>
      <c r="S392" s="79">
        <v>0.88</v>
      </c>
      <c r="T392" s="79">
        <v>0.7</v>
      </c>
      <c r="U392" s="85">
        <f t="shared" si="48"/>
        <v>1630.79375</v>
      </c>
      <c r="V392" s="79">
        <f t="shared" si="49"/>
        <v>1450.5141736799999</v>
      </c>
      <c r="W392" s="79">
        <f t="shared" si="50"/>
        <v>0.8894528653178857</v>
      </c>
      <c r="X392" s="116">
        <v>3</v>
      </c>
      <c r="Y392" s="116">
        <v>4</v>
      </c>
      <c r="Z392" s="122">
        <v>6.49</v>
      </c>
      <c r="AA392" s="116">
        <v>18</v>
      </c>
      <c r="AB392" s="122">
        <v>6.4</v>
      </c>
      <c r="AC392" s="122">
        <v>5.0999999999999996</v>
      </c>
      <c r="AD392" s="10">
        <v>0.31</v>
      </c>
      <c r="AE392" s="79">
        <v>0.26</v>
      </c>
      <c r="AF392" s="85">
        <f t="shared" si="51"/>
        <v>1630.79375</v>
      </c>
      <c r="AG392" s="85">
        <f t="shared" si="52"/>
        <v>1846.3284564400001</v>
      </c>
      <c r="AH392" s="85">
        <f t="shared" si="53"/>
        <v>1.1321655215075481</v>
      </c>
      <c r="AI392" s="116">
        <v>2</v>
      </c>
      <c r="AJ392" s="116">
        <v>4</v>
      </c>
      <c r="AK392" s="79">
        <v>6.47</v>
      </c>
      <c r="AL392" s="79">
        <v>23</v>
      </c>
      <c r="AM392" s="122">
        <v>6.4</v>
      </c>
      <c r="AN392" s="122">
        <v>6.5</v>
      </c>
      <c r="AO392" s="79">
        <v>0.28000000000000003</v>
      </c>
      <c r="AP392" s="127">
        <v>0.35</v>
      </c>
      <c r="AQ392" s="132">
        <f t="shared" si="54"/>
        <v>2154</v>
      </c>
      <c r="AR392" s="134">
        <f t="shared" si="55"/>
        <v>0.71866295264623958</v>
      </c>
      <c r="AS392" s="134">
        <f t="shared" si="56"/>
        <v>3.8997214484679667E-2</v>
      </c>
      <c r="AT392" s="134">
        <f t="shared" si="57"/>
        <v>0.24233983286908078</v>
      </c>
      <c r="AU392" s="43">
        <f>IF(AND(F392&lt;&gt;"",Y392&lt;&gt;""),AA392/(F392/2/Y392),"")</f>
        <v>6.5011286681715574E-2</v>
      </c>
      <c r="AV392" s="43">
        <f>IF(AND(F392&lt;&gt;"",AJ392&lt;&gt;""),AL392/(F392/2/AJ392),"")</f>
        <v>8.3069977426636563E-2</v>
      </c>
      <c r="AW392" s="41">
        <f>IF(AND(AP392&lt;&gt;"",1-(AP392/N392)&gt;0),1-(AP392/N392),"")</f>
        <v>0.89675516224188789</v>
      </c>
      <c r="AX392" s="41">
        <f>IF(AND(AE392&lt;&gt;"",1-(AE392/N392)&gt;0),1-(AE392/N392),"")</f>
        <v>0.92330383480825962</v>
      </c>
      <c r="AY392" s="136" t="str">
        <f>IF(P392="","",IF(P392&lt;2.5,"Alc. Bruta &lt; 2,5 mg/L",IF(P392&lt;5,"2,5 ≤ Alc. Bruta &lt; 5,0 mg/L",IF(P392&lt;7.5,"5,0 ≤ Alc. Bruta &lt; 7,5 mg/L",IF(P392&lt;10,"7,5 ≤ Alc. Bruta &lt; 10,0 mg/L",IF(P392&lt;15,"10,0 ≤ Alca. Bruta &lt; 15,0 mg/L","Alc. Bruta &gt; 15 mg/L"))))))</f>
        <v>5,0 ≤ Alc. Bruta &lt; 7,5 mg/L</v>
      </c>
      <c r="AZ392" s="136" t="str">
        <f>IF(O392="","",IF(O392&lt;5,"Cor &lt;5 uC",IF(O392&lt;10,"5 ≤ Cor &lt; 10 uC",IF(O392&lt;15,"10 ≤ Cor &lt;15 uC",IF(O392&lt;30,"15 ≤ Cor &lt; 30 uC",IF(O392&lt;50,"30 ≤ Cor &lt; 50 uC","Cor &gt; 50 uC"))))))</f>
        <v>15 ≤ Cor &lt; 30 uC</v>
      </c>
      <c r="BA392" s="137" t="str">
        <f>IF(N392="","",IF(N392&lt;2.5,"Turbidez &lt; 2,5 uT",IF(N392&lt;5,"2,5 ≤ Turb &lt; 5,0 uT",IF(N392&lt;7.5,"5,0 ≤ Turb &lt; 7,5 uT",IF(N392&lt;10,"7,5 ≤ Turb &lt; 10,0 uT",IF(N392&lt;15,"10,0 ≤ Turb &lt; 15,0 uT","Turb &gt; 15 uT"))))))</f>
        <v>2,5 ≤ Turb &lt; 5,0 uT</v>
      </c>
      <c r="BB392" s="138" t="str">
        <f>IF(AND(C392&gt;D392,D392&gt;E392),"TOR &gt; SM &gt; BNN",IF(AND(C392&gt;E392,E392&gt;D392),"TOR &gt; BNN &gt; SM",IF(AND(D392&gt;C392,C392&gt;E392),"SM &gt; TOR &gt; BNN",IF(AND(D392&gt;E392,E392&gt;C392),"SM &gt; BNN &gt; TOR",IF(AND(C392=D392,D392=E392),"TOR = SM = BNN","Comb. diferentes")))))</f>
        <v>TOR &gt; BNN &gt; SM</v>
      </c>
      <c r="BC392" s="137" t="str">
        <f>IF(OR(AD392="",AP392="-"),"",IF(AD392&lt;=0.25,"Tipo 1 (≤0,25) uT",IF(AD392&lt;=0.5,"Tipo 2 (0,25-0,50) uT",IF(AD392&lt;=0.75,"Tipo 3 (0,50-0,75) uT","Tipo 4 (&gt;0,75) uT"))))</f>
        <v>Tipo 2 (0,25-0,50) uT</v>
      </c>
      <c r="BD392" s="137" t="str">
        <f>IF(OR(AO392="",AY392="-"),"",IF(AO392&lt;=0.25,"Tipo 1 (≤0,25) uT",IF(AO392&lt;=0.5,"Tipo 2 (0,25-0,50) uT",IF(AO392&lt;=0.75,"Tipo 3 (0,50-0,75) uT","Tipo 4 (&gt;0,75) uT"))))</f>
        <v>Tipo 2 (0,25-0,50) uT</v>
      </c>
      <c r="BE392" s="137" t="str">
        <f>IF(OR(AE392="",AP392="-"),"",IF(AE392&lt;=0.25,"Tipo 1 (≤0,25) uT",IF(AE392&lt;=0.5,"Tipo 2 (0,25-0,50) uT",IF(AE392&lt;=0.75,"Tipo 3 (0,50-0,75) uT","Tipo 4 (&gt;0,75) uT"))))</f>
        <v>Tipo 2 (0,25-0,50) uT</v>
      </c>
      <c r="BF392" s="137" t="str">
        <f>IF(OR(AP392="",AP392="-"),"",IF(AP392&lt;=0.25,"Tipo 1 (≤0,25) uT",IF(AP392&lt;=0.5,"Tipo 2 (0,25-0,50) uT",IF(AP392&lt;=0.75,"Tipo 3 (0,50-0,75) uT","Tipo 4 (&gt;0,75) uT"))))</f>
        <v>Tipo 2 (0,25-0,50) uT</v>
      </c>
      <c r="BG392" s="137" t="str">
        <f>IF(OR(Q392="",Q392="-"),"",IF(Q392&lt;=0.25,"Tipo 1 (≤0,25) uT",IF(Q392&lt;=0.5,"Tipo 2 (0,25-0,50) uT",IF(Q392&lt;=0.75,"Tipo 3 (0,50-0,75) uT","Tipo 4 (&gt;0,75) uT"))))</f>
        <v>Tipo 1 (≤0,25) uT</v>
      </c>
    </row>
    <row r="393" spans="1:59" x14ac:dyDescent="0.3">
      <c r="A393" s="26">
        <v>46167</v>
      </c>
      <c r="B393" s="107">
        <v>0.64583333333333337</v>
      </c>
      <c r="C393" s="116">
        <v>1549</v>
      </c>
      <c r="D393" s="116">
        <v>84</v>
      </c>
      <c r="E393" s="116">
        <v>522</v>
      </c>
      <c r="F393" s="116">
        <v>2212</v>
      </c>
      <c r="G393" s="10" t="s">
        <v>100</v>
      </c>
      <c r="H393" s="122">
        <v>7.5</v>
      </c>
      <c r="I393" s="116">
        <v>90</v>
      </c>
      <c r="J393" s="116">
        <v>90</v>
      </c>
      <c r="K393" s="116">
        <v>90</v>
      </c>
      <c r="L393" s="122">
        <v>23.7</v>
      </c>
      <c r="M393" s="122">
        <v>6.7</v>
      </c>
      <c r="N393" s="79">
        <v>3.4</v>
      </c>
      <c r="O393" s="116">
        <v>16</v>
      </c>
      <c r="P393" s="122">
        <v>6.2</v>
      </c>
      <c r="Q393" s="79">
        <v>0.06</v>
      </c>
      <c r="R393" s="79">
        <v>22.36</v>
      </c>
      <c r="S393" s="79">
        <v>0.88</v>
      </c>
      <c r="T393" s="79">
        <v>0.7</v>
      </c>
      <c r="U393" s="85">
        <f t="shared" si="48"/>
        <v>1631.3500000000001</v>
      </c>
      <c r="V393" s="79">
        <f t="shared" si="49"/>
        <v>1385.6875473999999</v>
      </c>
      <c r="W393" s="79">
        <f t="shared" si="50"/>
        <v>0.84941155938333268</v>
      </c>
      <c r="X393" s="116">
        <v>3</v>
      </c>
      <c r="Y393" s="116">
        <v>4</v>
      </c>
      <c r="Z393" s="122">
        <v>6.55</v>
      </c>
      <c r="AA393" s="116">
        <v>17</v>
      </c>
      <c r="AB393" s="122">
        <v>6.6</v>
      </c>
      <c r="AC393" s="122">
        <v>5.4</v>
      </c>
      <c r="AD393" s="10">
        <v>0.28000000000000003</v>
      </c>
      <c r="AE393" s="79">
        <v>0.23</v>
      </c>
      <c r="AF393" s="85">
        <f t="shared" si="51"/>
        <v>1631.3500000000001</v>
      </c>
      <c r="AG393" s="85">
        <f t="shared" si="52"/>
        <v>1835.6689748800002</v>
      </c>
      <c r="AH393" s="85">
        <f t="shared" si="53"/>
        <v>1.1252453335458363</v>
      </c>
      <c r="AI393" s="116">
        <v>3</v>
      </c>
      <c r="AJ393" s="116">
        <v>4</v>
      </c>
      <c r="AK393" s="79">
        <v>6.44</v>
      </c>
      <c r="AL393" s="79">
        <v>23</v>
      </c>
      <c r="AM393" s="122">
        <v>6.6</v>
      </c>
      <c r="AN393" s="122">
        <v>5.3</v>
      </c>
      <c r="AO393" s="79">
        <v>0.4</v>
      </c>
      <c r="AP393" s="127">
        <v>0.3</v>
      </c>
      <c r="AQ393" s="132">
        <f t="shared" si="54"/>
        <v>2155</v>
      </c>
      <c r="AR393" s="134">
        <f t="shared" si="55"/>
        <v>0.71879350348027837</v>
      </c>
      <c r="AS393" s="134">
        <f t="shared" si="56"/>
        <v>3.8979118329466357E-2</v>
      </c>
      <c r="AT393" s="134">
        <f t="shared" si="57"/>
        <v>0.24222737819025522</v>
      </c>
      <c r="AU393" s="43">
        <f>IF(AND(F393&lt;&gt;"",Y393&lt;&gt;""),AA393/(F393/2/Y393),"")</f>
        <v>6.148282097649186E-2</v>
      </c>
      <c r="AV393" s="43">
        <f>IF(AND(F393&lt;&gt;"",AJ393&lt;&gt;""),AL393/(F393/2/AJ393),"")</f>
        <v>8.3182640144665462E-2</v>
      </c>
      <c r="AW393" s="41">
        <f>IF(AND(AP393&lt;&gt;"",1-(AP393/N393)&gt;0),1-(AP393/N393),"")</f>
        <v>0.91176470588235292</v>
      </c>
      <c r="AX393" s="41">
        <f>IF(AND(AE393&lt;&gt;"",1-(AE393/N393)&gt;0),1-(AE393/N393),"")</f>
        <v>0.93235294117647061</v>
      </c>
      <c r="AY393" s="136" t="str">
        <f>IF(P393="","",IF(P393&lt;2.5,"Alc. Bruta &lt; 2,5 mg/L",IF(P393&lt;5,"2,5 ≤ Alc. Bruta &lt; 5,0 mg/L",IF(P393&lt;7.5,"5,0 ≤ Alc. Bruta &lt; 7,5 mg/L",IF(P393&lt;10,"7,5 ≤ Alc. Bruta &lt; 10,0 mg/L",IF(P393&lt;15,"10,0 ≤ Alca. Bruta &lt; 15,0 mg/L","Alc. Bruta &gt; 15 mg/L"))))))</f>
        <v>5,0 ≤ Alc. Bruta &lt; 7,5 mg/L</v>
      </c>
      <c r="AZ393" s="136" t="str">
        <f>IF(O393="","",IF(O393&lt;5,"Cor &lt;5 uC",IF(O393&lt;10,"5 ≤ Cor &lt; 10 uC",IF(O393&lt;15,"10 ≤ Cor &lt;15 uC",IF(O393&lt;30,"15 ≤ Cor &lt; 30 uC",IF(O393&lt;50,"30 ≤ Cor &lt; 50 uC","Cor &gt; 50 uC"))))))</f>
        <v>15 ≤ Cor &lt; 30 uC</v>
      </c>
      <c r="BA393" s="137" t="str">
        <f>IF(N393="","",IF(N393&lt;2.5,"Turbidez &lt; 2,5 uT",IF(N393&lt;5,"2,5 ≤ Turb &lt; 5,0 uT",IF(N393&lt;7.5,"5,0 ≤ Turb &lt; 7,5 uT",IF(N393&lt;10,"7,5 ≤ Turb &lt; 10,0 uT",IF(N393&lt;15,"10,0 ≤ Turb &lt; 15,0 uT","Turb &gt; 15 uT"))))))</f>
        <v>2,5 ≤ Turb &lt; 5,0 uT</v>
      </c>
      <c r="BB393" s="138" t="str">
        <f>IF(AND(C393&gt;D393,D393&gt;E393),"TOR &gt; SM &gt; BNN",IF(AND(C393&gt;E393,E393&gt;D393),"TOR &gt; BNN &gt; SM",IF(AND(D393&gt;C393,C393&gt;E393),"SM &gt; TOR &gt; BNN",IF(AND(D393&gt;E393,E393&gt;C393),"SM &gt; BNN &gt; TOR",IF(AND(C393=D393,D393=E393),"TOR = SM = BNN","Comb. diferentes")))))</f>
        <v>TOR &gt; BNN &gt; SM</v>
      </c>
      <c r="BC393" s="137" t="str">
        <f>IF(OR(AD393="",AP393="-"),"",IF(AD393&lt;=0.25,"Tipo 1 (≤0,25) uT",IF(AD393&lt;=0.5,"Tipo 2 (0,25-0,50) uT",IF(AD393&lt;=0.75,"Tipo 3 (0,50-0,75) uT","Tipo 4 (&gt;0,75) uT"))))</f>
        <v>Tipo 2 (0,25-0,50) uT</v>
      </c>
      <c r="BD393" s="137" t="str">
        <f>IF(OR(AO393="",AY393="-"),"",IF(AO393&lt;=0.25,"Tipo 1 (≤0,25) uT",IF(AO393&lt;=0.5,"Tipo 2 (0,25-0,50) uT",IF(AO393&lt;=0.75,"Tipo 3 (0,50-0,75) uT","Tipo 4 (&gt;0,75) uT"))))</f>
        <v>Tipo 2 (0,25-0,50) uT</v>
      </c>
      <c r="BE393" s="137" t="str">
        <f>IF(OR(AE393="",AP393="-"),"",IF(AE393&lt;=0.25,"Tipo 1 (≤0,25) uT",IF(AE393&lt;=0.5,"Tipo 2 (0,25-0,50) uT",IF(AE393&lt;=0.75,"Tipo 3 (0,50-0,75) uT","Tipo 4 (&gt;0,75) uT"))))</f>
        <v>Tipo 1 (≤0,25) uT</v>
      </c>
      <c r="BF393" s="137" t="str">
        <f>IF(OR(AP393="",AP393="-"),"",IF(AP393&lt;=0.25,"Tipo 1 (≤0,25) uT",IF(AP393&lt;=0.5,"Tipo 2 (0,25-0,50) uT",IF(AP393&lt;=0.75,"Tipo 3 (0,50-0,75) uT","Tipo 4 (&gt;0,75) uT"))))</f>
        <v>Tipo 2 (0,25-0,50) uT</v>
      </c>
      <c r="BG393" s="137" t="str">
        <f>IF(OR(Q393="",Q393="-"),"",IF(Q393&lt;=0.25,"Tipo 1 (≤0,25) uT",IF(Q393&lt;=0.5,"Tipo 2 (0,25-0,50) uT",IF(Q393&lt;=0.75,"Tipo 3 (0,50-0,75) uT","Tipo 4 (&gt;0,75) uT"))))</f>
        <v>Tipo 1 (≤0,25) uT</v>
      </c>
    </row>
    <row r="394" spans="1:59" x14ac:dyDescent="0.3">
      <c r="A394" s="26">
        <v>46167</v>
      </c>
      <c r="B394" s="107">
        <v>0.72916666666666663</v>
      </c>
      <c r="C394" s="116">
        <v>1587</v>
      </c>
      <c r="D394" s="116">
        <v>86</v>
      </c>
      <c r="E394" s="116">
        <v>535</v>
      </c>
      <c r="F394" s="116">
        <v>2320</v>
      </c>
      <c r="G394" s="10" t="s">
        <v>100</v>
      </c>
      <c r="H394" s="122">
        <v>7.5</v>
      </c>
      <c r="I394" s="116">
        <v>90</v>
      </c>
      <c r="J394" s="116">
        <v>90</v>
      </c>
      <c r="K394" s="116">
        <v>90</v>
      </c>
      <c r="L394" s="122">
        <v>24.1</v>
      </c>
      <c r="M394" s="122">
        <v>6.7</v>
      </c>
      <c r="N394" s="79">
        <v>2.64</v>
      </c>
      <c r="O394" s="116">
        <v>19</v>
      </c>
      <c r="P394" s="122">
        <v>6.6</v>
      </c>
      <c r="Q394" s="79">
        <v>0.06</v>
      </c>
      <c r="R394" s="79">
        <v>22.36</v>
      </c>
      <c r="S394" s="79">
        <v>0.88</v>
      </c>
      <c r="T394" s="79">
        <v>0.7</v>
      </c>
      <c r="U394" s="85">
        <f t="shared" si="48"/>
        <v>1490.6000000000001</v>
      </c>
      <c r="V394" s="79">
        <f t="shared" si="49"/>
        <v>1458.8563766399996</v>
      </c>
      <c r="W394" s="79">
        <f t="shared" si="50"/>
        <v>0.97870413030994197</v>
      </c>
      <c r="X394" s="116">
        <v>3</v>
      </c>
      <c r="Y394" s="116">
        <v>4</v>
      </c>
      <c r="Z394" s="122">
        <v>6.52</v>
      </c>
      <c r="AA394" s="116">
        <v>18</v>
      </c>
      <c r="AB394" s="122">
        <v>6.7</v>
      </c>
      <c r="AC394" s="122">
        <v>5.3</v>
      </c>
      <c r="AD394" s="10">
        <v>0.21</v>
      </c>
      <c r="AE394" s="79">
        <v>0.27</v>
      </c>
      <c r="AF394" s="85">
        <f t="shared" si="51"/>
        <v>1490.6000000000001</v>
      </c>
      <c r="AG394" s="85">
        <f t="shared" si="52"/>
        <v>1839.2221353999998</v>
      </c>
      <c r="AH394" s="85">
        <f t="shared" si="53"/>
        <v>1.2338804074869179</v>
      </c>
      <c r="AI394" s="116">
        <v>3</v>
      </c>
      <c r="AJ394" s="116">
        <v>4</v>
      </c>
      <c r="AK394" s="79">
        <v>6.45</v>
      </c>
      <c r="AL394" s="79">
        <v>23</v>
      </c>
      <c r="AM394" s="122">
        <v>6.4</v>
      </c>
      <c r="AN394" s="122">
        <v>5.3</v>
      </c>
      <c r="AO394" s="79">
        <v>0.28000000000000003</v>
      </c>
      <c r="AP394" s="127">
        <v>0.26</v>
      </c>
      <c r="AQ394" s="132">
        <f t="shared" si="54"/>
        <v>2208</v>
      </c>
      <c r="AR394" s="134">
        <f t="shared" si="55"/>
        <v>0.71875</v>
      </c>
      <c r="AS394" s="134">
        <f t="shared" si="56"/>
        <v>3.894927536231884E-2</v>
      </c>
      <c r="AT394" s="134">
        <f t="shared" si="57"/>
        <v>0.24230072463768115</v>
      </c>
      <c r="AU394" s="43">
        <f>IF(AND(F394&lt;&gt;"",Y394&lt;&gt;""),AA394/(F394/2/Y394),"")</f>
        <v>6.2068965517241378E-2</v>
      </c>
      <c r="AV394" s="43">
        <f>IF(AND(F394&lt;&gt;"",AJ394&lt;&gt;""),AL394/(F394/2/AJ394),"")</f>
        <v>7.9310344827586213E-2</v>
      </c>
      <c r="AW394" s="41">
        <f>IF(AND(AP394&lt;&gt;"",1-(AP394/N394)&gt;0),1-(AP394/N394),"")</f>
        <v>0.90151515151515149</v>
      </c>
      <c r="AX394" s="41">
        <f>IF(AND(AE394&lt;&gt;"",1-(AE394/N394)&gt;0),1-(AE394/N394),"")</f>
        <v>0.89772727272727271</v>
      </c>
      <c r="AY394" s="136" t="str">
        <f>IF(P394="","",IF(P394&lt;2.5,"Alc. Bruta &lt; 2,5 mg/L",IF(P394&lt;5,"2,5 ≤ Alc. Bruta &lt; 5,0 mg/L",IF(P394&lt;7.5,"5,0 ≤ Alc. Bruta &lt; 7,5 mg/L",IF(P394&lt;10,"7,5 ≤ Alc. Bruta &lt; 10,0 mg/L",IF(P394&lt;15,"10,0 ≤ Alca. Bruta &lt; 15,0 mg/L","Alc. Bruta &gt; 15 mg/L"))))))</f>
        <v>5,0 ≤ Alc. Bruta &lt; 7,5 mg/L</v>
      </c>
      <c r="AZ394" s="136" t="str">
        <f>IF(O394="","",IF(O394&lt;5,"Cor &lt;5 uC",IF(O394&lt;10,"5 ≤ Cor &lt; 10 uC",IF(O394&lt;15,"10 ≤ Cor &lt;15 uC",IF(O394&lt;30,"15 ≤ Cor &lt; 30 uC",IF(O394&lt;50,"30 ≤ Cor &lt; 50 uC","Cor &gt; 50 uC"))))))</f>
        <v>15 ≤ Cor &lt; 30 uC</v>
      </c>
      <c r="BA394" s="137" t="str">
        <f>IF(N394="","",IF(N394&lt;2.5,"Turbidez &lt; 2,5 uT",IF(N394&lt;5,"2,5 ≤ Turb &lt; 5,0 uT",IF(N394&lt;7.5,"5,0 ≤ Turb &lt; 7,5 uT",IF(N394&lt;10,"7,5 ≤ Turb &lt; 10,0 uT",IF(N394&lt;15,"10,0 ≤ Turb &lt; 15,0 uT","Turb &gt; 15 uT"))))))</f>
        <v>2,5 ≤ Turb &lt; 5,0 uT</v>
      </c>
      <c r="BB394" s="138" t="str">
        <f>IF(AND(C394&gt;D394,D394&gt;E394),"TOR &gt; SM &gt; BNN",IF(AND(C394&gt;E394,E394&gt;D394),"TOR &gt; BNN &gt; SM",IF(AND(D394&gt;C394,C394&gt;E394),"SM &gt; TOR &gt; BNN",IF(AND(D394&gt;E394,E394&gt;C394),"SM &gt; BNN &gt; TOR",IF(AND(C394=D394,D394=E394),"TOR = SM = BNN","Comb. diferentes")))))</f>
        <v>TOR &gt; BNN &gt; SM</v>
      </c>
      <c r="BC394" s="137" t="str">
        <f>IF(OR(AD394="",AP394="-"),"",IF(AD394&lt;=0.25,"Tipo 1 (≤0,25) uT",IF(AD394&lt;=0.5,"Tipo 2 (0,25-0,50) uT",IF(AD394&lt;=0.75,"Tipo 3 (0,50-0,75) uT","Tipo 4 (&gt;0,75) uT"))))</f>
        <v>Tipo 1 (≤0,25) uT</v>
      </c>
      <c r="BD394" s="137" t="str">
        <f>IF(OR(AO394="",AY394="-"),"",IF(AO394&lt;=0.25,"Tipo 1 (≤0,25) uT",IF(AO394&lt;=0.5,"Tipo 2 (0,25-0,50) uT",IF(AO394&lt;=0.75,"Tipo 3 (0,50-0,75) uT","Tipo 4 (&gt;0,75) uT"))))</f>
        <v>Tipo 2 (0,25-0,50) uT</v>
      </c>
      <c r="BE394" s="137" t="str">
        <f>IF(OR(AE394="",AP394="-"),"",IF(AE394&lt;=0.25,"Tipo 1 (≤0,25) uT",IF(AE394&lt;=0.5,"Tipo 2 (0,25-0,50) uT",IF(AE394&lt;=0.75,"Tipo 3 (0,50-0,75) uT","Tipo 4 (&gt;0,75) uT"))))</f>
        <v>Tipo 2 (0,25-0,50) uT</v>
      </c>
      <c r="BF394" s="137" t="str">
        <f>IF(OR(AP394="",AP394="-"),"",IF(AP394&lt;=0.25,"Tipo 1 (≤0,25) uT",IF(AP394&lt;=0.5,"Tipo 2 (0,25-0,50) uT",IF(AP394&lt;=0.75,"Tipo 3 (0,50-0,75) uT","Tipo 4 (&gt;0,75) uT"))))</f>
        <v>Tipo 2 (0,25-0,50) uT</v>
      </c>
      <c r="BG394" s="137" t="str">
        <f>IF(OR(Q394="",Q394="-"),"",IF(Q394&lt;=0.25,"Tipo 1 (≤0,25) uT",IF(Q394&lt;=0.5,"Tipo 2 (0,25-0,50) uT",IF(Q394&lt;=0.75,"Tipo 3 (0,50-0,75) uT","Tipo 4 (&gt;0,75) uT"))))</f>
        <v>Tipo 1 (≤0,25) uT</v>
      </c>
    </row>
    <row r="395" spans="1:59" x14ac:dyDescent="0.3">
      <c r="A395" s="26">
        <v>46167</v>
      </c>
      <c r="B395" s="107">
        <v>0.8125</v>
      </c>
      <c r="C395" s="116">
        <v>1604</v>
      </c>
      <c r="D395" s="116">
        <v>90</v>
      </c>
      <c r="E395" s="116">
        <v>556</v>
      </c>
      <c r="F395" s="116">
        <v>2300</v>
      </c>
      <c r="G395" s="10" t="s">
        <v>100</v>
      </c>
      <c r="H395" s="122">
        <v>7.5</v>
      </c>
      <c r="I395" s="116">
        <v>90</v>
      </c>
      <c r="J395" s="116">
        <v>90</v>
      </c>
      <c r="K395" s="116">
        <v>90</v>
      </c>
      <c r="L395" s="122">
        <v>24</v>
      </c>
      <c r="M395" s="122">
        <v>6.7</v>
      </c>
      <c r="N395" s="79">
        <v>2.78</v>
      </c>
      <c r="O395" s="116">
        <v>21</v>
      </c>
      <c r="P395" s="122">
        <v>7.9</v>
      </c>
      <c r="Q395" s="79">
        <v>0.06</v>
      </c>
      <c r="R395" s="79">
        <v>22.36</v>
      </c>
      <c r="S395" s="79">
        <v>0.88</v>
      </c>
      <c r="T395" s="79">
        <v>0.7</v>
      </c>
      <c r="U395" s="85">
        <f t="shared" si="48"/>
        <v>1517.9999999999998</v>
      </c>
      <c r="V395" s="79">
        <f t="shared" si="49"/>
        <v>1456.0756423199998</v>
      </c>
      <c r="W395" s="79">
        <f t="shared" si="50"/>
        <v>0.95920661549407116</v>
      </c>
      <c r="X395" s="116">
        <v>3</v>
      </c>
      <c r="Y395" s="116">
        <v>4</v>
      </c>
      <c r="Z395" s="122">
        <v>6.51</v>
      </c>
      <c r="AA395" s="116">
        <v>18</v>
      </c>
      <c r="AB395" s="122">
        <v>6.4</v>
      </c>
      <c r="AC395" s="122">
        <v>5.6</v>
      </c>
      <c r="AD395" s="10">
        <v>0.19</v>
      </c>
      <c r="AE395" s="79">
        <v>0.27</v>
      </c>
      <c r="AF395" s="85">
        <f t="shared" si="51"/>
        <v>1517.9999999999998</v>
      </c>
      <c r="AG395" s="85">
        <f t="shared" si="52"/>
        <v>1987.5681019999997</v>
      </c>
      <c r="AH395" s="85">
        <f t="shared" si="53"/>
        <v>1.3093334005270092</v>
      </c>
      <c r="AI395" s="116">
        <v>3</v>
      </c>
      <c r="AJ395" s="116">
        <v>4</v>
      </c>
      <c r="AK395" s="79">
        <v>6.42</v>
      </c>
      <c r="AL395" s="79">
        <v>25</v>
      </c>
      <c r="AM395" s="122">
        <v>6.4</v>
      </c>
      <c r="AN395" s="122">
        <v>5.0999999999999996</v>
      </c>
      <c r="AO395" s="79">
        <v>0.31</v>
      </c>
      <c r="AP395" s="127">
        <v>0.26</v>
      </c>
      <c r="AQ395" s="132">
        <f t="shared" si="54"/>
        <v>2250</v>
      </c>
      <c r="AR395" s="134">
        <f t="shared" si="55"/>
        <v>0.71288888888888891</v>
      </c>
      <c r="AS395" s="134">
        <f t="shared" si="56"/>
        <v>0.04</v>
      </c>
      <c r="AT395" s="134">
        <f t="shared" si="57"/>
        <v>0.24711111111111111</v>
      </c>
      <c r="AU395" s="43">
        <f>IF(AND(F395&lt;&gt;"",Y395&lt;&gt;""),AA395/(F395/2/Y395),"")</f>
        <v>6.2608695652173918E-2</v>
      </c>
      <c r="AV395" s="43">
        <f>IF(AND(F395&lt;&gt;"",AJ395&lt;&gt;""),AL395/(F395/2/AJ395),"")</f>
        <v>8.6956521739130432E-2</v>
      </c>
      <c r="AW395" s="41">
        <f>IF(AND(AP395&lt;&gt;"",1-(AP395/N395)&gt;0),1-(AP395/N395),"")</f>
        <v>0.90647482014388492</v>
      </c>
      <c r="AX395" s="41">
        <f>IF(AND(AE395&lt;&gt;"",1-(AE395/N395)&gt;0),1-(AE395/N395),"")</f>
        <v>0.90287769784172656</v>
      </c>
      <c r="AY395" s="136" t="str">
        <f>IF(P395="","",IF(P395&lt;2.5,"Alc. Bruta &lt; 2,5 mg/L",IF(P395&lt;5,"2,5 ≤ Alc. Bruta &lt; 5,0 mg/L",IF(P395&lt;7.5,"5,0 ≤ Alc. Bruta &lt; 7,5 mg/L",IF(P395&lt;10,"7,5 ≤ Alc. Bruta &lt; 10,0 mg/L",IF(P395&lt;15,"10,0 ≤ Alca. Bruta &lt; 15,0 mg/L","Alc. Bruta &gt; 15 mg/L"))))))</f>
        <v>7,5 ≤ Alc. Bruta &lt; 10,0 mg/L</v>
      </c>
      <c r="AZ395" s="136" t="str">
        <f>IF(O395="","",IF(O395&lt;5,"Cor &lt;5 uC",IF(O395&lt;10,"5 ≤ Cor &lt; 10 uC",IF(O395&lt;15,"10 ≤ Cor &lt;15 uC",IF(O395&lt;30,"15 ≤ Cor &lt; 30 uC",IF(O395&lt;50,"30 ≤ Cor &lt; 50 uC","Cor &gt; 50 uC"))))))</f>
        <v>15 ≤ Cor &lt; 30 uC</v>
      </c>
      <c r="BA395" s="137" t="str">
        <f>IF(N395="","",IF(N395&lt;2.5,"Turbidez &lt; 2,5 uT",IF(N395&lt;5,"2,5 ≤ Turb &lt; 5,0 uT",IF(N395&lt;7.5,"5,0 ≤ Turb &lt; 7,5 uT",IF(N395&lt;10,"7,5 ≤ Turb &lt; 10,0 uT",IF(N395&lt;15,"10,0 ≤ Turb &lt; 15,0 uT","Turb &gt; 15 uT"))))))</f>
        <v>2,5 ≤ Turb &lt; 5,0 uT</v>
      </c>
      <c r="BB395" s="138" t="str">
        <f>IF(AND(C395&gt;D395,D395&gt;E395),"TOR &gt; SM &gt; BNN",IF(AND(C395&gt;E395,E395&gt;D395),"TOR &gt; BNN &gt; SM",IF(AND(D395&gt;C395,C395&gt;E395),"SM &gt; TOR &gt; BNN",IF(AND(D395&gt;E395,E395&gt;C395),"SM &gt; BNN &gt; TOR",IF(AND(C395=D395,D395=E395),"TOR = SM = BNN","Comb. diferentes")))))</f>
        <v>TOR &gt; BNN &gt; SM</v>
      </c>
      <c r="BC395" s="137" t="str">
        <f>IF(OR(AD395="",AP395="-"),"",IF(AD395&lt;=0.25,"Tipo 1 (≤0,25) uT",IF(AD395&lt;=0.5,"Tipo 2 (0,25-0,50) uT",IF(AD395&lt;=0.75,"Tipo 3 (0,50-0,75) uT","Tipo 4 (&gt;0,75) uT"))))</f>
        <v>Tipo 1 (≤0,25) uT</v>
      </c>
      <c r="BD395" s="137" t="str">
        <f>IF(OR(AO395="",AY395="-"),"",IF(AO395&lt;=0.25,"Tipo 1 (≤0,25) uT",IF(AO395&lt;=0.5,"Tipo 2 (0,25-0,50) uT",IF(AO395&lt;=0.75,"Tipo 3 (0,50-0,75) uT","Tipo 4 (&gt;0,75) uT"))))</f>
        <v>Tipo 2 (0,25-0,50) uT</v>
      </c>
      <c r="BE395" s="137" t="str">
        <f>IF(OR(AE395="",AP395="-"),"",IF(AE395&lt;=0.25,"Tipo 1 (≤0,25) uT",IF(AE395&lt;=0.5,"Tipo 2 (0,25-0,50) uT",IF(AE395&lt;=0.75,"Tipo 3 (0,50-0,75) uT","Tipo 4 (&gt;0,75) uT"))))</f>
        <v>Tipo 2 (0,25-0,50) uT</v>
      </c>
      <c r="BF395" s="137" t="str">
        <f>IF(OR(AP395="",AP395="-"),"",IF(AP395&lt;=0.25,"Tipo 1 (≤0,25) uT",IF(AP395&lt;=0.5,"Tipo 2 (0,25-0,50) uT",IF(AP395&lt;=0.75,"Tipo 3 (0,50-0,75) uT","Tipo 4 (&gt;0,75) uT"))))</f>
        <v>Tipo 2 (0,25-0,50) uT</v>
      </c>
      <c r="BG395" s="137" t="str">
        <f>IF(OR(Q395="",Q395="-"),"",IF(Q395&lt;=0.25,"Tipo 1 (≤0,25) uT",IF(Q395&lt;=0.5,"Tipo 2 (0,25-0,50) uT",IF(Q395&lt;=0.75,"Tipo 3 (0,50-0,75) uT","Tipo 4 (&gt;0,75) uT"))))</f>
        <v>Tipo 1 (≤0,25) uT</v>
      </c>
    </row>
    <row r="396" spans="1:59" x14ac:dyDescent="0.3">
      <c r="A396" s="26">
        <v>46167</v>
      </c>
      <c r="B396" s="107">
        <v>0.89583333333333337</v>
      </c>
      <c r="C396" s="116">
        <v>1440</v>
      </c>
      <c r="D396" s="116">
        <v>89</v>
      </c>
      <c r="E396" s="116">
        <v>537</v>
      </c>
      <c r="F396" s="116">
        <v>2313</v>
      </c>
      <c r="G396" s="10" t="s">
        <v>100</v>
      </c>
      <c r="H396" s="122">
        <v>7.5</v>
      </c>
      <c r="I396" s="116">
        <v>90</v>
      </c>
      <c r="J396" s="116">
        <v>90</v>
      </c>
      <c r="K396" s="116">
        <v>90</v>
      </c>
      <c r="L396" s="122">
        <v>23.9</v>
      </c>
      <c r="M396" s="122">
        <v>6.8</v>
      </c>
      <c r="N396" s="79">
        <v>2.77</v>
      </c>
      <c r="O396" s="116">
        <v>14</v>
      </c>
      <c r="P396" s="122">
        <v>6.3</v>
      </c>
      <c r="Q396" s="79">
        <v>0.06</v>
      </c>
      <c r="R396" s="79">
        <v>22.36</v>
      </c>
      <c r="S396" s="79">
        <v>0.88</v>
      </c>
      <c r="T396" s="79">
        <v>0.7</v>
      </c>
      <c r="U396" s="85">
        <f t="shared" si="48"/>
        <v>1523.6887499999998</v>
      </c>
      <c r="V396" s="79">
        <f t="shared" si="49"/>
        <v>1453.2949080000001</v>
      </c>
      <c r="W396" s="79">
        <f t="shared" si="50"/>
        <v>0.95380037950664154</v>
      </c>
      <c r="X396" s="116">
        <v>3</v>
      </c>
      <c r="Y396" s="116">
        <v>4</v>
      </c>
      <c r="Z396" s="122">
        <v>6.5</v>
      </c>
      <c r="AA396" s="116">
        <v>18</v>
      </c>
      <c r="AB396" s="122">
        <v>6.4</v>
      </c>
      <c r="AC396" s="122">
        <v>6.3</v>
      </c>
      <c r="AD396" s="10">
        <v>0.43</v>
      </c>
      <c r="AE396" s="79">
        <v>0.54</v>
      </c>
      <c r="AF396" s="85">
        <f t="shared" si="51"/>
        <v>1523.6887499999998</v>
      </c>
      <c r="AG396" s="85">
        <f t="shared" si="52"/>
        <v>1832.1158143599996</v>
      </c>
      <c r="AH396" s="85">
        <f t="shared" si="53"/>
        <v>1.2024213044560446</v>
      </c>
      <c r="AI396" s="116">
        <v>3</v>
      </c>
      <c r="AJ396" s="116">
        <v>4</v>
      </c>
      <c r="AK396" s="79">
        <v>6.43</v>
      </c>
      <c r="AL396" s="79">
        <v>23</v>
      </c>
      <c r="AM396" s="122">
        <v>6.4</v>
      </c>
      <c r="AN396" s="122">
        <v>5</v>
      </c>
      <c r="AO396" s="79">
        <v>0.19</v>
      </c>
      <c r="AP396" s="127">
        <v>0.28000000000000003</v>
      </c>
      <c r="AQ396" s="132">
        <f t="shared" si="54"/>
        <v>2066</v>
      </c>
      <c r="AR396" s="134">
        <f t="shared" si="55"/>
        <v>0.69699903194578894</v>
      </c>
      <c r="AS396" s="134">
        <f t="shared" si="56"/>
        <v>4.3078412391093904E-2</v>
      </c>
      <c r="AT396" s="134">
        <f t="shared" si="57"/>
        <v>0.25992255566311712</v>
      </c>
      <c r="AU396" s="43">
        <f>IF(AND(F396&lt;&gt;"",Y396&lt;&gt;""),AA396/(F396/2/Y396),"")</f>
        <v>6.2256809338521402E-2</v>
      </c>
      <c r="AV396" s="43">
        <f>IF(AND(F396&lt;&gt;"",AJ396&lt;&gt;""),AL396/(F396/2/AJ396),"")</f>
        <v>7.9550367488110674E-2</v>
      </c>
      <c r="AW396" s="41">
        <f>IF(AND(AP396&lt;&gt;"",1-(AP396/N396)&gt;0),1-(AP396/N396),"")</f>
        <v>0.89891696750902528</v>
      </c>
      <c r="AX396" s="41">
        <f>IF(AND(AE396&lt;&gt;"",1-(AE396/N396)&gt;0),1-(AE396/N396),"")</f>
        <v>0.80505415162454874</v>
      </c>
      <c r="AY396" s="136" t="str">
        <f>IF(P396="","",IF(P396&lt;2.5,"Alc. Bruta &lt; 2,5 mg/L",IF(P396&lt;5,"2,5 ≤ Alc. Bruta &lt; 5,0 mg/L",IF(P396&lt;7.5,"5,0 ≤ Alc. Bruta &lt; 7,5 mg/L",IF(P396&lt;10,"7,5 ≤ Alc. Bruta &lt; 10,0 mg/L",IF(P396&lt;15,"10,0 ≤ Alca. Bruta &lt; 15,0 mg/L","Alc. Bruta &gt; 15 mg/L"))))))</f>
        <v>5,0 ≤ Alc. Bruta &lt; 7,5 mg/L</v>
      </c>
      <c r="AZ396" s="136" t="str">
        <f>IF(O396="","",IF(O396&lt;5,"Cor &lt;5 uC",IF(O396&lt;10,"5 ≤ Cor &lt; 10 uC",IF(O396&lt;15,"10 ≤ Cor &lt;15 uC",IF(O396&lt;30,"15 ≤ Cor &lt; 30 uC",IF(O396&lt;50,"30 ≤ Cor &lt; 50 uC","Cor &gt; 50 uC"))))))</f>
        <v>10 ≤ Cor &lt;15 uC</v>
      </c>
      <c r="BA396" s="137" t="str">
        <f>IF(N396="","",IF(N396&lt;2.5,"Turbidez &lt; 2,5 uT",IF(N396&lt;5,"2,5 ≤ Turb &lt; 5,0 uT",IF(N396&lt;7.5,"5,0 ≤ Turb &lt; 7,5 uT",IF(N396&lt;10,"7,5 ≤ Turb &lt; 10,0 uT",IF(N396&lt;15,"10,0 ≤ Turb &lt; 15,0 uT","Turb &gt; 15 uT"))))))</f>
        <v>2,5 ≤ Turb &lt; 5,0 uT</v>
      </c>
      <c r="BB396" s="138" t="str">
        <f>IF(AND(C396&gt;D396,D396&gt;E396),"TOR &gt; SM &gt; BNN",IF(AND(C396&gt;E396,E396&gt;D396),"TOR &gt; BNN &gt; SM",IF(AND(D396&gt;C396,C396&gt;E396),"SM &gt; TOR &gt; BNN",IF(AND(D396&gt;E396,E396&gt;C396),"SM &gt; BNN &gt; TOR",IF(AND(C396=D396,D396=E396),"TOR = SM = BNN","Comb. diferentes")))))</f>
        <v>TOR &gt; BNN &gt; SM</v>
      </c>
      <c r="BC396" s="137" t="str">
        <f>IF(OR(AD396="",AP396="-"),"",IF(AD396&lt;=0.25,"Tipo 1 (≤0,25) uT",IF(AD396&lt;=0.5,"Tipo 2 (0,25-0,50) uT",IF(AD396&lt;=0.75,"Tipo 3 (0,50-0,75) uT","Tipo 4 (&gt;0,75) uT"))))</f>
        <v>Tipo 2 (0,25-0,50) uT</v>
      </c>
      <c r="BD396" s="137" t="str">
        <f>IF(OR(AO396="",AY396="-"),"",IF(AO396&lt;=0.25,"Tipo 1 (≤0,25) uT",IF(AO396&lt;=0.5,"Tipo 2 (0,25-0,50) uT",IF(AO396&lt;=0.75,"Tipo 3 (0,50-0,75) uT","Tipo 4 (&gt;0,75) uT"))))</f>
        <v>Tipo 1 (≤0,25) uT</v>
      </c>
      <c r="BE396" s="137" t="str">
        <f>IF(OR(AE396="",AP396="-"),"",IF(AE396&lt;=0.25,"Tipo 1 (≤0,25) uT",IF(AE396&lt;=0.5,"Tipo 2 (0,25-0,50) uT",IF(AE396&lt;=0.75,"Tipo 3 (0,50-0,75) uT","Tipo 4 (&gt;0,75) uT"))))</f>
        <v>Tipo 3 (0,50-0,75) uT</v>
      </c>
      <c r="BF396" s="137" t="str">
        <f>IF(OR(AP396="",AP396="-"),"",IF(AP396&lt;=0.25,"Tipo 1 (≤0,25) uT",IF(AP396&lt;=0.5,"Tipo 2 (0,25-0,50) uT",IF(AP396&lt;=0.75,"Tipo 3 (0,50-0,75) uT","Tipo 4 (&gt;0,75) uT"))))</f>
        <v>Tipo 2 (0,25-0,50) uT</v>
      </c>
      <c r="BG396" s="137" t="str">
        <f>IF(OR(Q396="",Q396="-"),"",IF(Q396&lt;=0.25,"Tipo 1 (≤0,25) uT",IF(Q396&lt;=0.5,"Tipo 2 (0,25-0,50) uT",IF(Q396&lt;=0.75,"Tipo 3 (0,50-0,75) uT","Tipo 4 (&gt;0,75) uT"))))</f>
        <v>Tipo 1 (≤0,25) uT</v>
      </c>
    </row>
    <row r="397" spans="1:59" x14ac:dyDescent="0.3">
      <c r="A397" s="26">
        <v>46168</v>
      </c>
      <c r="B397" s="107">
        <v>6.25E-2</v>
      </c>
      <c r="C397" s="116">
        <v>1160</v>
      </c>
      <c r="D397" s="116">
        <v>86</v>
      </c>
      <c r="E397" s="116">
        <v>550</v>
      </c>
      <c r="F397" s="116">
        <v>1908</v>
      </c>
      <c r="G397" s="10" t="s">
        <v>100</v>
      </c>
      <c r="H397" s="122">
        <v>7.4</v>
      </c>
      <c r="I397" s="116">
        <v>90</v>
      </c>
      <c r="J397" s="116">
        <v>90</v>
      </c>
      <c r="K397" s="116">
        <v>90</v>
      </c>
      <c r="L397" s="122">
        <v>23.3</v>
      </c>
      <c r="M397" s="122">
        <v>6.7</v>
      </c>
      <c r="N397" s="79">
        <v>2.72</v>
      </c>
      <c r="O397" s="116">
        <v>14</v>
      </c>
      <c r="P397" s="122">
        <v>7.3</v>
      </c>
      <c r="Q397" s="79">
        <v>7.0000000000000007E-2</v>
      </c>
      <c r="R397" s="79">
        <v>22.36</v>
      </c>
      <c r="S397" s="79">
        <v>0.88</v>
      </c>
      <c r="T397" s="79">
        <v>0.7</v>
      </c>
      <c r="U397" s="85">
        <f t="shared" si="48"/>
        <v>1650.42</v>
      </c>
      <c r="V397" s="79">
        <f t="shared" si="49"/>
        <v>1453.2949080000001</v>
      </c>
      <c r="W397" s="79">
        <f t="shared" si="50"/>
        <v>0.88056065001635953</v>
      </c>
      <c r="X397" s="116">
        <v>2</v>
      </c>
      <c r="Y397" s="116">
        <v>3</v>
      </c>
      <c r="Z397" s="122">
        <v>6.5</v>
      </c>
      <c r="AA397" s="116">
        <v>18</v>
      </c>
      <c r="AB397" s="122">
        <v>6.4</v>
      </c>
      <c r="AC397" s="122">
        <v>5.0999999999999996</v>
      </c>
      <c r="AD397" s="10">
        <v>0.23</v>
      </c>
      <c r="AE397" s="79">
        <v>0.33</v>
      </c>
      <c r="AF397" s="85">
        <f t="shared" si="51"/>
        <v>1237.8150000000001</v>
      </c>
      <c r="AG397" s="85">
        <f t="shared" si="52"/>
        <v>1835.6689748800002</v>
      </c>
      <c r="AH397" s="85">
        <f t="shared" si="53"/>
        <v>1.4829913798750218</v>
      </c>
      <c r="AI397" s="116">
        <v>2</v>
      </c>
      <c r="AJ397" s="116">
        <v>4</v>
      </c>
      <c r="AK397" s="79">
        <v>6.44</v>
      </c>
      <c r="AL397" s="79">
        <v>23</v>
      </c>
      <c r="AM397" s="122">
        <v>6.5</v>
      </c>
      <c r="AN397" s="122">
        <v>5.3</v>
      </c>
      <c r="AO397" s="79">
        <v>0.32</v>
      </c>
      <c r="AP397" s="127">
        <v>0.63</v>
      </c>
      <c r="AQ397" s="132">
        <f t="shared" si="54"/>
        <v>1796</v>
      </c>
      <c r="AR397" s="134">
        <f t="shared" si="55"/>
        <v>0.6458797327394209</v>
      </c>
      <c r="AS397" s="134">
        <f t="shared" si="56"/>
        <v>4.7884187082405348E-2</v>
      </c>
      <c r="AT397" s="134">
        <f t="shared" si="57"/>
        <v>0.30623608017817372</v>
      </c>
      <c r="AU397" s="43">
        <f>IF(AND(F397&lt;&gt;"",Y397&lt;&gt;""),AA397/(F397/2/Y397),"")</f>
        <v>5.6603773584905662E-2</v>
      </c>
      <c r="AV397" s="43">
        <f>IF(AND(F397&lt;&gt;"",AJ397&lt;&gt;""),AL397/(F397/2/AJ397),"")</f>
        <v>9.6436058700209645E-2</v>
      </c>
      <c r="AW397" s="41">
        <f>IF(AND(AP397&lt;&gt;"",1-(AP397/N397)&gt;0),1-(AP397/N397),"")</f>
        <v>0.76838235294117652</v>
      </c>
      <c r="AX397" s="41">
        <f>IF(AND(AE397&lt;&gt;"",1-(AE397/N397)&gt;0),1-(AE397/N397),"")</f>
        <v>0.87867647058823528</v>
      </c>
      <c r="AY397" s="136" t="str">
        <f>IF(P397="","",IF(P397&lt;2.5,"Alc. Bruta &lt; 2,5 mg/L",IF(P397&lt;5,"2,5 ≤ Alc. Bruta &lt; 5,0 mg/L",IF(P397&lt;7.5,"5,0 ≤ Alc. Bruta &lt; 7,5 mg/L",IF(P397&lt;10,"7,5 ≤ Alc. Bruta &lt; 10,0 mg/L",IF(P397&lt;15,"10,0 ≤ Alca. Bruta &lt; 15,0 mg/L","Alc. Bruta &gt; 15 mg/L"))))))</f>
        <v>5,0 ≤ Alc. Bruta &lt; 7,5 mg/L</v>
      </c>
      <c r="AZ397" s="136" t="str">
        <f>IF(O397="","",IF(O397&lt;5,"Cor &lt;5 uC",IF(O397&lt;10,"5 ≤ Cor &lt; 10 uC",IF(O397&lt;15,"10 ≤ Cor &lt;15 uC",IF(O397&lt;30,"15 ≤ Cor &lt; 30 uC",IF(O397&lt;50,"30 ≤ Cor &lt; 50 uC","Cor &gt; 50 uC"))))))</f>
        <v>10 ≤ Cor &lt;15 uC</v>
      </c>
      <c r="BA397" s="137" t="str">
        <f>IF(N397="","",IF(N397&lt;2.5,"Turbidez &lt; 2,5 uT",IF(N397&lt;5,"2,5 ≤ Turb &lt; 5,0 uT",IF(N397&lt;7.5,"5,0 ≤ Turb &lt; 7,5 uT",IF(N397&lt;10,"7,5 ≤ Turb &lt; 10,0 uT",IF(N397&lt;15,"10,0 ≤ Turb &lt; 15,0 uT","Turb &gt; 15 uT"))))))</f>
        <v>2,5 ≤ Turb &lt; 5,0 uT</v>
      </c>
      <c r="BB397" s="138" t="str">
        <f>IF(AND(C397&gt;D397,D397&gt;E397),"TOR &gt; SM &gt; BNN",IF(AND(C397&gt;E397,E397&gt;D397),"TOR &gt; BNN &gt; SM",IF(AND(D397&gt;C397,C397&gt;E397),"SM &gt; TOR &gt; BNN",IF(AND(D397&gt;E397,E397&gt;C397),"SM &gt; BNN &gt; TOR",IF(AND(C397=D397,D397=E397),"TOR = SM = BNN","Comb. diferentes")))))</f>
        <v>TOR &gt; BNN &gt; SM</v>
      </c>
      <c r="BC397" s="137" t="str">
        <f>IF(OR(AD397="",AP397="-"),"",IF(AD397&lt;=0.25,"Tipo 1 (≤0,25) uT",IF(AD397&lt;=0.5,"Tipo 2 (0,25-0,50) uT",IF(AD397&lt;=0.75,"Tipo 3 (0,50-0,75) uT","Tipo 4 (&gt;0,75) uT"))))</f>
        <v>Tipo 1 (≤0,25) uT</v>
      </c>
      <c r="BD397" s="137" t="str">
        <f>IF(OR(AO397="",AY397="-"),"",IF(AO397&lt;=0.25,"Tipo 1 (≤0,25) uT",IF(AO397&lt;=0.5,"Tipo 2 (0,25-0,50) uT",IF(AO397&lt;=0.75,"Tipo 3 (0,50-0,75) uT","Tipo 4 (&gt;0,75) uT"))))</f>
        <v>Tipo 2 (0,25-0,50) uT</v>
      </c>
      <c r="BE397" s="137" t="str">
        <f>IF(OR(AE397="",AP397="-"),"",IF(AE397&lt;=0.25,"Tipo 1 (≤0,25) uT",IF(AE397&lt;=0.5,"Tipo 2 (0,25-0,50) uT",IF(AE397&lt;=0.75,"Tipo 3 (0,50-0,75) uT","Tipo 4 (&gt;0,75) uT"))))</f>
        <v>Tipo 2 (0,25-0,50) uT</v>
      </c>
      <c r="BF397" s="137" t="str">
        <f>IF(OR(AP397="",AP397="-"),"",IF(AP397&lt;=0.25,"Tipo 1 (≤0,25) uT",IF(AP397&lt;=0.5,"Tipo 2 (0,25-0,50) uT",IF(AP397&lt;=0.75,"Tipo 3 (0,50-0,75) uT","Tipo 4 (&gt;0,75) uT"))))</f>
        <v>Tipo 3 (0,50-0,75) uT</v>
      </c>
      <c r="BG397" s="137" t="str">
        <f>IF(OR(Q397="",Q397="-"),"",IF(Q397&lt;=0.25,"Tipo 1 (≤0,25) uT",IF(Q397&lt;=0.5,"Tipo 2 (0,25-0,50) uT",IF(Q397&lt;=0.75,"Tipo 3 (0,50-0,75) uT","Tipo 4 (&gt;0,75) uT"))))</f>
        <v>Tipo 1 (≤0,25) uT</v>
      </c>
    </row>
    <row r="398" spans="1:59" x14ac:dyDescent="0.3">
      <c r="A398" s="26">
        <v>46168</v>
      </c>
      <c r="B398" s="107">
        <v>0.14583333333333334</v>
      </c>
      <c r="C398" s="116">
        <v>1160</v>
      </c>
      <c r="D398" s="116">
        <v>82</v>
      </c>
      <c r="E398" s="116">
        <v>550</v>
      </c>
      <c r="F398" s="116">
        <v>1826</v>
      </c>
      <c r="G398" s="10" t="s">
        <v>100</v>
      </c>
      <c r="H398" s="122">
        <v>7.5</v>
      </c>
      <c r="I398" s="116">
        <v>90</v>
      </c>
      <c r="J398" s="116">
        <v>90</v>
      </c>
      <c r="K398" s="116">
        <v>90</v>
      </c>
      <c r="L398" s="122">
        <v>23.1</v>
      </c>
      <c r="M398" s="122">
        <v>6.9</v>
      </c>
      <c r="N398" s="79">
        <v>2.7</v>
      </c>
      <c r="O398" s="116">
        <v>13</v>
      </c>
      <c r="P398" s="122">
        <v>6.4</v>
      </c>
      <c r="Q398" s="79">
        <v>0.06</v>
      </c>
      <c r="R398" s="79">
        <v>22.36</v>
      </c>
      <c r="S398" s="79">
        <v>0.88</v>
      </c>
      <c r="T398" s="79">
        <v>0.7</v>
      </c>
      <c r="U398" s="85">
        <f t="shared" si="48"/>
        <v>1186.9000000000001</v>
      </c>
      <c r="V398" s="79">
        <f t="shared" si="49"/>
        <v>1456.0756423199998</v>
      </c>
      <c r="W398" s="79">
        <f t="shared" si="50"/>
        <v>1.2267888131434828</v>
      </c>
      <c r="X398" s="116">
        <v>2</v>
      </c>
      <c r="Y398" s="116">
        <v>4</v>
      </c>
      <c r="Z398" s="122">
        <v>6.51</v>
      </c>
      <c r="AA398" s="116">
        <v>18</v>
      </c>
      <c r="AB398" s="122">
        <v>6.5</v>
      </c>
      <c r="AC398" s="122">
        <v>5.8</v>
      </c>
      <c r="AD398" s="10">
        <v>0.17</v>
      </c>
      <c r="AE398" s="79">
        <v>0.37</v>
      </c>
      <c r="AF398" s="85">
        <f t="shared" si="51"/>
        <v>1582.5333333333333</v>
      </c>
      <c r="AG398" s="85">
        <f t="shared" si="52"/>
        <v>1846.3284564400001</v>
      </c>
      <c r="AH398" s="85">
        <f t="shared" si="53"/>
        <v>1.166691669331873</v>
      </c>
      <c r="AI398" s="116">
        <v>2</v>
      </c>
      <c r="AJ398" s="116">
        <v>3</v>
      </c>
      <c r="AK398" s="79">
        <v>6.47</v>
      </c>
      <c r="AL398" s="79">
        <v>23</v>
      </c>
      <c r="AM398" s="122">
        <v>6.4</v>
      </c>
      <c r="AN398" s="122">
        <v>6.6</v>
      </c>
      <c r="AO398" s="79">
        <v>0.21</v>
      </c>
      <c r="AP398" s="127">
        <v>0.74</v>
      </c>
      <c r="AQ398" s="132">
        <f t="shared" si="54"/>
        <v>1792</v>
      </c>
      <c r="AR398" s="134">
        <f t="shared" si="55"/>
        <v>0.6473214285714286</v>
      </c>
      <c r="AS398" s="134">
        <f t="shared" si="56"/>
        <v>4.5758928571428568E-2</v>
      </c>
      <c r="AT398" s="134">
        <f t="shared" si="57"/>
        <v>0.30691964285714285</v>
      </c>
      <c r="AU398" s="43">
        <f>IF(AND(F398&lt;&gt;"",Y398&lt;&gt;""),AA398/(F398/2/Y398),"")</f>
        <v>7.8860898138006577E-2</v>
      </c>
      <c r="AV398" s="43">
        <f>IF(AND(F398&lt;&gt;"",AJ398&lt;&gt;""),AL398/(F398/2/AJ398),"")</f>
        <v>7.5575027382256299E-2</v>
      </c>
      <c r="AW398" s="41">
        <f>IF(AND(AP398&lt;&gt;"",1-(AP398/N398)&gt;0),1-(AP398/N398),"")</f>
        <v>0.72592592592592597</v>
      </c>
      <c r="AX398" s="41">
        <f>IF(AND(AE398&lt;&gt;"",1-(AE398/N398)&gt;0),1-(AE398/N398),"")</f>
        <v>0.86296296296296293</v>
      </c>
      <c r="AY398" s="136" t="str">
        <f>IF(P398="","",IF(P398&lt;2.5,"Alc. Bruta &lt; 2,5 mg/L",IF(P398&lt;5,"2,5 ≤ Alc. Bruta &lt; 5,0 mg/L",IF(P398&lt;7.5,"5,0 ≤ Alc. Bruta &lt; 7,5 mg/L",IF(P398&lt;10,"7,5 ≤ Alc. Bruta &lt; 10,0 mg/L",IF(P398&lt;15,"10,0 ≤ Alca. Bruta &lt; 15,0 mg/L","Alc. Bruta &gt; 15 mg/L"))))))</f>
        <v>5,0 ≤ Alc. Bruta &lt; 7,5 mg/L</v>
      </c>
      <c r="AZ398" s="136" t="str">
        <f>IF(O398="","",IF(O398&lt;5,"Cor &lt;5 uC",IF(O398&lt;10,"5 ≤ Cor &lt; 10 uC",IF(O398&lt;15,"10 ≤ Cor &lt;15 uC",IF(O398&lt;30,"15 ≤ Cor &lt; 30 uC",IF(O398&lt;50,"30 ≤ Cor &lt; 50 uC","Cor &gt; 50 uC"))))))</f>
        <v>10 ≤ Cor &lt;15 uC</v>
      </c>
      <c r="BA398" s="137" t="str">
        <f>IF(N398="","",IF(N398&lt;2.5,"Turbidez &lt; 2,5 uT",IF(N398&lt;5,"2,5 ≤ Turb &lt; 5,0 uT",IF(N398&lt;7.5,"5,0 ≤ Turb &lt; 7,5 uT",IF(N398&lt;10,"7,5 ≤ Turb &lt; 10,0 uT",IF(N398&lt;15,"10,0 ≤ Turb &lt; 15,0 uT","Turb &gt; 15 uT"))))))</f>
        <v>2,5 ≤ Turb &lt; 5,0 uT</v>
      </c>
      <c r="BB398" s="138" t="str">
        <f>IF(AND(C398&gt;D398,D398&gt;E398),"TOR &gt; SM &gt; BNN",IF(AND(C398&gt;E398,E398&gt;D398),"TOR &gt; BNN &gt; SM",IF(AND(D398&gt;C398,C398&gt;E398),"SM &gt; TOR &gt; BNN",IF(AND(D398&gt;E398,E398&gt;C398),"SM &gt; BNN &gt; TOR",IF(AND(C398=D398,D398=E398),"TOR = SM = BNN","Comb. diferentes")))))</f>
        <v>TOR &gt; BNN &gt; SM</v>
      </c>
      <c r="BC398" s="137" t="str">
        <f>IF(OR(AD398="",AP398="-"),"",IF(AD398&lt;=0.25,"Tipo 1 (≤0,25) uT",IF(AD398&lt;=0.5,"Tipo 2 (0,25-0,50) uT",IF(AD398&lt;=0.75,"Tipo 3 (0,50-0,75) uT","Tipo 4 (&gt;0,75) uT"))))</f>
        <v>Tipo 1 (≤0,25) uT</v>
      </c>
      <c r="BD398" s="137" t="str">
        <f>IF(OR(AO398="",AY398="-"),"",IF(AO398&lt;=0.25,"Tipo 1 (≤0,25) uT",IF(AO398&lt;=0.5,"Tipo 2 (0,25-0,50) uT",IF(AO398&lt;=0.75,"Tipo 3 (0,50-0,75) uT","Tipo 4 (&gt;0,75) uT"))))</f>
        <v>Tipo 1 (≤0,25) uT</v>
      </c>
      <c r="BE398" s="137" t="str">
        <f>IF(OR(AE398="",AP398="-"),"",IF(AE398&lt;=0.25,"Tipo 1 (≤0,25) uT",IF(AE398&lt;=0.5,"Tipo 2 (0,25-0,50) uT",IF(AE398&lt;=0.75,"Tipo 3 (0,50-0,75) uT","Tipo 4 (&gt;0,75) uT"))))</f>
        <v>Tipo 2 (0,25-0,50) uT</v>
      </c>
      <c r="BF398" s="137" t="str">
        <f>IF(OR(AP398="",AP398="-"),"",IF(AP398&lt;=0.25,"Tipo 1 (≤0,25) uT",IF(AP398&lt;=0.5,"Tipo 2 (0,25-0,50) uT",IF(AP398&lt;=0.75,"Tipo 3 (0,50-0,75) uT","Tipo 4 (&gt;0,75) uT"))))</f>
        <v>Tipo 3 (0,50-0,75) uT</v>
      </c>
      <c r="BG398" s="137" t="str">
        <f>IF(OR(Q398="",Q398="-"),"",IF(Q398&lt;=0.25,"Tipo 1 (≤0,25) uT",IF(Q398&lt;=0.5,"Tipo 2 (0,25-0,50) uT",IF(Q398&lt;=0.75,"Tipo 3 (0,50-0,75) uT","Tipo 4 (&gt;0,75) uT"))))</f>
        <v>Tipo 1 (≤0,25) uT</v>
      </c>
    </row>
    <row r="399" spans="1:59" ht="15" thickBot="1" x14ac:dyDescent="0.35">
      <c r="A399" s="26">
        <v>46168</v>
      </c>
      <c r="B399" s="110">
        <v>0.22916666666666666</v>
      </c>
      <c r="C399" s="117">
        <v>1149</v>
      </c>
      <c r="D399" s="117">
        <v>88</v>
      </c>
      <c r="E399" s="117">
        <v>550</v>
      </c>
      <c r="F399" s="117">
        <v>1871</v>
      </c>
      <c r="G399" s="11" t="s">
        <v>100</v>
      </c>
      <c r="H399" s="123">
        <v>7.5</v>
      </c>
      <c r="I399" s="117">
        <v>90</v>
      </c>
      <c r="J399" s="117">
        <v>90</v>
      </c>
      <c r="K399" s="117">
        <v>90</v>
      </c>
      <c r="L399" s="123">
        <v>22.9</v>
      </c>
      <c r="M399" s="123">
        <v>6.7</v>
      </c>
      <c r="N399" s="80">
        <v>2.64</v>
      </c>
      <c r="O399" s="117">
        <v>13</v>
      </c>
      <c r="P399" s="123">
        <v>6.1</v>
      </c>
      <c r="Q399" s="80">
        <v>7.0000000000000007E-2</v>
      </c>
      <c r="R399" s="79">
        <v>22.36</v>
      </c>
      <c r="S399" s="79">
        <v>0.88</v>
      </c>
      <c r="T399" s="79">
        <v>0.7</v>
      </c>
      <c r="U399" s="85">
        <f t="shared" si="48"/>
        <v>1202.1175000000001</v>
      </c>
      <c r="V399" s="79">
        <f t="shared" si="49"/>
        <v>1453.2949080000001</v>
      </c>
      <c r="W399" s="79">
        <f t="shared" si="50"/>
        <v>1.2089458043826831</v>
      </c>
      <c r="X399" s="117">
        <v>2</v>
      </c>
      <c r="Y399" s="117">
        <v>4</v>
      </c>
      <c r="Z399" s="123">
        <v>6.5</v>
      </c>
      <c r="AA399" s="117">
        <v>18</v>
      </c>
      <c r="AB399" s="123">
        <v>6.4</v>
      </c>
      <c r="AC399" s="123">
        <v>5.8</v>
      </c>
      <c r="AD399" s="11">
        <v>0.14000000000000001</v>
      </c>
      <c r="AE399" s="80">
        <v>0.39</v>
      </c>
      <c r="AF399" s="85">
        <f t="shared" si="51"/>
        <v>1602.8233333333335</v>
      </c>
      <c r="AG399" s="85">
        <f t="shared" si="52"/>
        <v>1999.1544949999998</v>
      </c>
      <c r="AH399" s="85">
        <f t="shared" si="53"/>
        <v>1.2472706463802412</v>
      </c>
      <c r="AI399" s="117">
        <v>2</v>
      </c>
      <c r="AJ399" s="117">
        <v>3</v>
      </c>
      <c r="AK399" s="80">
        <v>6.45</v>
      </c>
      <c r="AL399" s="80">
        <v>25</v>
      </c>
      <c r="AM399" s="123">
        <v>6.4</v>
      </c>
      <c r="AN399" s="123">
        <v>6.1</v>
      </c>
      <c r="AO399" s="80">
        <v>0.12</v>
      </c>
      <c r="AP399" s="128">
        <v>0.77</v>
      </c>
      <c r="AQ399" s="132">
        <f t="shared" si="54"/>
        <v>1787</v>
      </c>
      <c r="AR399" s="134">
        <f t="shared" si="55"/>
        <v>0.64297705651930614</v>
      </c>
      <c r="AS399" s="134">
        <f t="shared" si="56"/>
        <v>4.9244543928371576E-2</v>
      </c>
      <c r="AT399" s="134">
        <f t="shared" si="57"/>
        <v>0.30777839955232233</v>
      </c>
      <c r="AU399" s="43">
        <f>IF(AND(F399&lt;&gt;"",Y399&lt;&gt;""),AA399/(F399/2/Y399),"")</f>
        <v>7.6964190272581501E-2</v>
      </c>
      <c r="AV399" s="43">
        <f>IF(AND(F399&lt;&gt;"",AJ399&lt;&gt;""),AL399/(F399/2/AJ399),"")</f>
        <v>8.0171031533939077E-2</v>
      </c>
      <c r="AW399" s="41">
        <f>IF(AND(AP399&lt;&gt;"",1-(AP399/N399)&gt;0),1-(AP399/N399),"")</f>
        <v>0.70833333333333326</v>
      </c>
      <c r="AX399" s="41">
        <f>IF(AND(AE399&lt;&gt;"",1-(AE399/N399)&gt;0),1-(AE399/N399),"")</f>
        <v>0.85227272727272729</v>
      </c>
      <c r="AY399" s="136" t="str">
        <f>IF(P399="","",IF(P399&lt;2.5,"Alc. Bruta &lt; 2,5 mg/L",IF(P399&lt;5,"2,5 ≤ Alc. Bruta &lt; 5,0 mg/L",IF(P399&lt;7.5,"5,0 ≤ Alc. Bruta &lt; 7,5 mg/L",IF(P399&lt;10,"7,5 ≤ Alc. Bruta &lt; 10,0 mg/L",IF(P399&lt;15,"10,0 ≤ Alca. Bruta &lt; 15,0 mg/L","Alc. Bruta &gt; 15 mg/L"))))))</f>
        <v>5,0 ≤ Alc. Bruta &lt; 7,5 mg/L</v>
      </c>
      <c r="AZ399" s="136" t="str">
        <f>IF(O399="","",IF(O399&lt;5,"Cor &lt;5 uC",IF(O399&lt;10,"5 ≤ Cor &lt; 10 uC",IF(O399&lt;15,"10 ≤ Cor &lt;15 uC",IF(O399&lt;30,"15 ≤ Cor &lt; 30 uC",IF(O399&lt;50,"30 ≤ Cor &lt; 50 uC","Cor &gt; 50 uC"))))))</f>
        <v>10 ≤ Cor &lt;15 uC</v>
      </c>
      <c r="BA399" s="137" t="str">
        <f>IF(N399="","",IF(N399&lt;2.5,"Turbidez &lt; 2,5 uT",IF(N399&lt;5,"2,5 ≤ Turb &lt; 5,0 uT",IF(N399&lt;7.5,"5,0 ≤ Turb &lt; 7,5 uT",IF(N399&lt;10,"7,5 ≤ Turb &lt; 10,0 uT",IF(N399&lt;15,"10,0 ≤ Turb &lt; 15,0 uT","Turb &gt; 15 uT"))))))</f>
        <v>2,5 ≤ Turb &lt; 5,0 uT</v>
      </c>
      <c r="BB399" s="138" t="str">
        <f>IF(AND(C399&gt;D399,D399&gt;E399),"TOR &gt; SM &gt; BNN",IF(AND(C399&gt;E399,E399&gt;D399),"TOR &gt; BNN &gt; SM",IF(AND(D399&gt;C399,C399&gt;E399),"SM &gt; TOR &gt; BNN",IF(AND(D399&gt;E399,E399&gt;C399),"SM &gt; BNN &gt; TOR",IF(AND(C399=D399,D399=E399),"TOR = SM = BNN","Comb. diferentes")))))</f>
        <v>TOR &gt; BNN &gt; SM</v>
      </c>
      <c r="BC399" s="137" t="str">
        <f>IF(OR(AD399="",AP399="-"),"",IF(AD399&lt;=0.25,"Tipo 1 (≤0,25) uT",IF(AD399&lt;=0.5,"Tipo 2 (0,25-0,50) uT",IF(AD399&lt;=0.75,"Tipo 3 (0,50-0,75) uT","Tipo 4 (&gt;0,75) uT"))))</f>
        <v>Tipo 1 (≤0,25) uT</v>
      </c>
      <c r="BD399" s="137" t="str">
        <f>IF(OR(AO399="",AY399="-"),"",IF(AO399&lt;=0.25,"Tipo 1 (≤0,25) uT",IF(AO399&lt;=0.5,"Tipo 2 (0,25-0,50) uT",IF(AO399&lt;=0.75,"Tipo 3 (0,50-0,75) uT","Tipo 4 (&gt;0,75) uT"))))</f>
        <v>Tipo 1 (≤0,25) uT</v>
      </c>
      <c r="BE399" s="137" t="str">
        <f>IF(OR(AE399="",AP399="-"),"",IF(AE399&lt;=0.25,"Tipo 1 (≤0,25) uT",IF(AE399&lt;=0.5,"Tipo 2 (0,25-0,50) uT",IF(AE399&lt;=0.75,"Tipo 3 (0,50-0,75) uT","Tipo 4 (&gt;0,75) uT"))))</f>
        <v>Tipo 2 (0,25-0,50) uT</v>
      </c>
      <c r="BF399" s="137" t="str">
        <f>IF(OR(AP399="",AP399="-"),"",IF(AP399&lt;=0.25,"Tipo 1 (≤0,25) uT",IF(AP399&lt;=0.5,"Tipo 2 (0,25-0,50) uT",IF(AP399&lt;=0.75,"Tipo 3 (0,50-0,75) uT","Tipo 4 (&gt;0,75) uT"))))</f>
        <v>Tipo 4 (&gt;0,75) uT</v>
      </c>
      <c r="BG399" s="137" t="str">
        <f>IF(OR(Q399="",Q399="-"),"",IF(Q399&lt;=0.25,"Tipo 1 (≤0,25) uT",IF(Q399&lt;=0.5,"Tipo 2 (0,25-0,50) uT",IF(Q399&lt;=0.75,"Tipo 3 (0,50-0,75) uT","Tipo 4 (&gt;0,75) uT"))))</f>
        <v>Tipo 1 (≤0,25) uT</v>
      </c>
    </row>
    <row r="400" spans="1:59" x14ac:dyDescent="0.3">
      <c r="A400" s="26">
        <v>46168</v>
      </c>
      <c r="B400" s="111">
        <v>0.3125</v>
      </c>
      <c r="C400" s="118">
        <v>560</v>
      </c>
      <c r="D400" s="116">
        <v>89</v>
      </c>
      <c r="E400" s="118">
        <v>549</v>
      </c>
      <c r="F400" s="118">
        <v>1315</v>
      </c>
      <c r="G400" s="9" t="s">
        <v>100</v>
      </c>
      <c r="H400" s="124">
        <v>7.5</v>
      </c>
      <c r="I400" s="118">
        <v>90</v>
      </c>
      <c r="J400" s="118">
        <v>90</v>
      </c>
      <c r="K400" s="118">
        <v>90</v>
      </c>
      <c r="L400" s="124">
        <v>22.6</v>
      </c>
      <c r="M400" s="124">
        <v>7</v>
      </c>
      <c r="N400" s="81">
        <v>2.5499999999999998</v>
      </c>
      <c r="O400" s="118">
        <v>13</v>
      </c>
      <c r="P400" s="124">
        <v>7.7</v>
      </c>
      <c r="Q400" s="81">
        <v>7.0000000000000007E-2</v>
      </c>
      <c r="R400" s="79">
        <v>22.36</v>
      </c>
      <c r="S400" s="79">
        <v>0.88</v>
      </c>
      <c r="T400" s="79">
        <v>0.7</v>
      </c>
      <c r="U400" s="85">
        <f t="shared" si="48"/>
        <v>1106.7916666666665</v>
      </c>
      <c r="V400" s="79">
        <f t="shared" si="49"/>
        <v>1507.4849225279997</v>
      </c>
      <c r="W400" s="79">
        <f t="shared" si="50"/>
        <v>1.3620313270591424</v>
      </c>
      <c r="X400" s="118">
        <v>2</v>
      </c>
      <c r="Y400" s="118">
        <v>3</v>
      </c>
      <c r="Z400" s="124">
        <v>6.52</v>
      </c>
      <c r="AA400" s="118">
        <v>18.600000000000001</v>
      </c>
      <c r="AB400" s="124">
        <v>6.4</v>
      </c>
      <c r="AC400" s="124">
        <v>5.2</v>
      </c>
      <c r="AD400" s="9">
        <v>0.49</v>
      </c>
      <c r="AE400" s="81">
        <v>0.45</v>
      </c>
      <c r="AF400" s="85">
        <f t="shared" si="51"/>
        <v>1106.7916666666665</v>
      </c>
      <c r="AG400" s="85">
        <f t="shared" si="52"/>
        <v>1889.5271491199999</v>
      </c>
      <c r="AH400" s="85">
        <f t="shared" si="53"/>
        <v>1.7072112178172647</v>
      </c>
      <c r="AI400" s="118">
        <v>1</v>
      </c>
      <c r="AJ400" s="118">
        <v>3</v>
      </c>
      <c r="AK400" s="81">
        <v>6.37</v>
      </c>
      <c r="AL400" s="81">
        <v>24</v>
      </c>
      <c r="AM400" s="124">
        <v>6.5</v>
      </c>
      <c r="AN400" s="124">
        <v>5.7</v>
      </c>
      <c r="AO400" s="81">
        <v>0.55000000000000004</v>
      </c>
      <c r="AP400" s="129">
        <v>0.74</v>
      </c>
      <c r="AQ400" s="132">
        <f t="shared" si="54"/>
        <v>1198</v>
      </c>
      <c r="AR400" s="134">
        <f t="shared" si="55"/>
        <v>0.46744574290484142</v>
      </c>
      <c r="AS400" s="134">
        <f t="shared" si="56"/>
        <v>7.4290484140233717E-2</v>
      </c>
      <c r="AT400" s="134">
        <f t="shared" si="57"/>
        <v>0.45826377295492488</v>
      </c>
      <c r="AU400" s="43">
        <f>IF(AND(F400&lt;&gt;"",Y400&lt;&gt;""),AA400/(F400/2/Y400),"")</f>
        <v>8.4866920152091269E-2</v>
      </c>
      <c r="AV400" s="43">
        <f>IF(AND(F400&lt;&gt;"",AJ400&lt;&gt;""),AL400/(F400/2/AJ400),"")</f>
        <v>0.10950570342205324</v>
      </c>
      <c r="AW400" s="41">
        <f>IF(AND(AP400&lt;&gt;"",1-(AP400/N400)&gt;0),1-(AP400/N400),"")</f>
        <v>0.70980392156862737</v>
      </c>
      <c r="AX400" s="41">
        <f>IF(AND(AE400&lt;&gt;"",1-(AE400/N400)&gt;0),1-(AE400/N400),"")</f>
        <v>0.82352941176470584</v>
      </c>
      <c r="AY400" s="136" t="str">
        <f>IF(P400="","",IF(P400&lt;2.5,"Alc. Bruta &lt; 2,5 mg/L",IF(P400&lt;5,"2,5 ≤ Alc. Bruta &lt; 5,0 mg/L",IF(P400&lt;7.5,"5,0 ≤ Alc. Bruta &lt; 7,5 mg/L",IF(P400&lt;10,"7,5 ≤ Alc. Bruta &lt; 10,0 mg/L",IF(P400&lt;15,"10,0 ≤ Alca. Bruta &lt; 15,0 mg/L","Alc. Bruta &gt; 15 mg/L"))))))</f>
        <v>7,5 ≤ Alc. Bruta &lt; 10,0 mg/L</v>
      </c>
      <c r="AZ400" s="136" t="str">
        <f>IF(O400="","",IF(O400&lt;5,"Cor &lt;5 uC",IF(O400&lt;10,"5 ≤ Cor &lt; 10 uC",IF(O400&lt;15,"10 ≤ Cor &lt;15 uC",IF(O400&lt;30,"15 ≤ Cor &lt; 30 uC",IF(O400&lt;50,"30 ≤ Cor &lt; 50 uC","Cor &gt; 50 uC"))))))</f>
        <v>10 ≤ Cor &lt;15 uC</v>
      </c>
      <c r="BA400" s="137" t="str">
        <f>IF(N400="","",IF(N400&lt;2.5,"Turbidez &lt; 2,5 uT",IF(N400&lt;5,"2,5 ≤ Turb &lt; 5,0 uT",IF(N400&lt;7.5,"5,0 ≤ Turb &lt; 7,5 uT",IF(N400&lt;10,"7,5 ≤ Turb &lt; 10,0 uT",IF(N400&lt;15,"10,0 ≤ Turb &lt; 15,0 uT","Turb &gt; 15 uT"))))))</f>
        <v>2,5 ≤ Turb &lt; 5,0 uT</v>
      </c>
      <c r="BB400" s="138" t="str">
        <f>IF(AND(C400&gt;D400,D400&gt;E400),"TOR &gt; SM &gt; BNN",IF(AND(C400&gt;E400,E400&gt;D400),"TOR &gt; BNN &gt; SM",IF(AND(D400&gt;C400,C400&gt;E400),"SM &gt; TOR &gt; BNN",IF(AND(D400&gt;E400,E400&gt;C400),"SM &gt; BNN &gt; TOR",IF(AND(C400=D400,D400=E400),"TOR = SM = BNN","Comb. diferentes")))))</f>
        <v>TOR &gt; BNN &gt; SM</v>
      </c>
      <c r="BC400" s="137" t="str">
        <f>IF(OR(AD400="",AP400="-"),"",IF(AD400&lt;=0.25,"Tipo 1 (≤0,25) uT",IF(AD400&lt;=0.5,"Tipo 2 (0,25-0,50) uT",IF(AD400&lt;=0.75,"Tipo 3 (0,50-0,75) uT","Tipo 4 (&gt;0,75) uT"))))</f>
        <v>Tipo 2 (0,25-0,50) uT</v>
      </c>
      <c r="BD400" s="137" t="str">
        <f>IF(OR(AO400="",AY400="-"),"",IF(AO400&lt;=0.25,"Tipo 1 (≤0,25) uT",IF(AO400&lt;=0.5,"Tipo 2 (0,25-0,50) uT",IF(AO400&lt;=0.75,"Tipo 3 (0,50-0,75) uT","Tipo 4 (&gt;0,75) uT"))))</f>
        <v>Tipo 3 (0,50-0,75) uT</v>
      </c>
      <c r="BE400" s="137" t="str">
        <f>IF(OR(AE400="",AP400="-"),"",IF(AE400&lt;=0.25,"Tipo 1 (≤0,25) uT",IF(AE400&lt;=0.5,"Tipo 2 (0,25-0,50) uT",IF(AE400&lt;=0.75,"Tipo 3 (0,50-0,75) uT","Tipo 4 (&gt;0,75) uT"))))</f>
        <v>Tipo 2 (0,25-0,50) uT</v>
      </c>
      <c r="BF400" s="137" t="str">
        <f>IF(OR(AP400="",AP400="-"),"",IF(AP400&lt;=0.25,"Tipo 1 (≤0,25) uT",IF(AP400&lt;=0.5,"Tipo 2 (0,25-0,50) uT",IF(AP400&lt;=0.75,"Tipo 3 (0,50-0,75) uT","Tipo 4 (&gt;0,75) uT"))))</f>
        <v>Tipo 3 (0,50-0,75) uT</v>
      </c>
      <c r="BG400" s="137" t="str">
        <f>IF(OR(Q400="",Q400="-"),"",IF(Q400&lt;=0.25,"Tipo 1 (≤0,25) uT",IF(Q400&lt;=0.5,"Tipo 2 (0,25-0,50) uT",IF(Q400&lt;=0.75,"Tipo 3 (0,50-0,75) uT","Tipo 4 (&gt;0,75) uT"))))</f>
        <v>Tipo 1 (≤0,25) uT</v>
      </c>
    </row>
    <row r="401" spans="1:59" x14ac:dyDescent="0.3">
      <c r="A401" s="26">
        <v>46168</v>
      </c>
      <c r="B401" s="107">
        <v>0.47916666666666669</v>
      </c>
      <c r="C401" s="116">
        <v>1109</v>
      </c>
      <c r="D401" s="116">
        <v>82</v>
      </c>
      <c r="E401" s="116">
        <v>550</v>
      </c>
      <c r="F401" s="116">
        <v>1836</v>
      </c>
      <c r="G401" s="10" t="s">
        <v>100</v>
      </c>
      <c r="H401" s="122">
        <v>7.5</v>
      </c>
      <c r="I401" s="116">
        <v>90</v>
      </c>
      <c r="J401" s="116">
        <v>90</v>
      </c>
      <c r="K401" s="116">
        <v>90</v>
      </c>
      <c r="L401" s="122">
        <v>23.4</v>
      </c>
      <c r="M401" s="122">
        <v>6.8</v>
      </c>
      <c r="N401" s="79">
        <v>2.58</v>
      </c>
      <c r="O401" s="116">
        <v>13</v>
      </c>
      <c r="P401" s="122">
        <v>7</v>
      </c>
      <c r="Q401" s="79">
        <v>0.44</v>
      </c>
      <c r="R401" s="79">
        <v>22.36</v>
      </c>
      <c r="S401" s="79">
        <v>0.88</v>
      </c>
      <c r="T401" s="79">
        <v>0.7</v>
      </c>
      <c r="U401" s="85">
        <f t="shared" si="48"/>
        <v>1165.8600000000001</v>
      </c>
      <c r="V401" s="79">
        <f t="shared" si="49"/>
        <v>1375.1825510799999</v>
      </c>
      <c r="W401" s="79">
        <f t="shared" si="50"/>
        <v>1.1795434709827937</v>
      </c>
      <c r="X401" s="116">
        <v>2</v>
      </c>
      <c r="Y401" s="116">
        <v>4</v>
      </c>
      <c r="Z401" s="122">
        <v>6.51</v>
      </c>
      <c r="AA401" s="116">
        <v>17</v>
      </c>
      <c r="AB401" s="122">
        <v>6.5</v>
      </c>
      <c r="AC401" s="122">
        <v>5.2</v>
      </c>
      <c r="AD401" s="10">
        <v>0.16</v>
      </c>
      <c r="AE401" s="79">
        <v>0.57999999999999996</v>
      </c>
      <c r="AF401" s="85">
        <f t="shared" si="51"/>
        <v>1554.48</v>
      </c>
      <c r="AG401" s="85">
        <f t="shared" si="52"/>
        <v>1922.8959609599995</v>
      </c>
      <c r="AH401" s="85">
        <f t="shared" si="53"/>
        <v>1.2370027024857184</v>
      </c>
      <c r="AI401" s="116">
        <v>2</v>
      </c>
      <c r="AJ401" s="116">
        <v>3</v>
      </c>
      <c r="AK401" s="79">
        <v>6.46</v>
      </c>
      <c r="AL401" s="79">
        <v>24</v>
      </c>
      <c r="AM401" s="122">
        <v>6.5</v>
      </c>
      <c r="AN401" s="122">
        <v>5.2</v>
      </c>
      <c r="AO401" s="79">
        <v>0.16</v>
      </c>
      <c r="AP401" s="127">
        <v>0.53</v>
      </c>
      <c r="AQ401" s="132">
        <f t="shared" si="54"/>
        <v>1741</v>
      </c>
      <c r="AR401" s="134">
        <f t="shared" si="55"/>
        <v>0.63699023549684086</v>
      </c>
      <c r="AS401" s="134">
        <f t="shared" si="56"/>
        <v>4.7099368179207353E-2</v>
      </c>
      <c r="AT401" s="134">
        <f t="shared" si="57"/>
        <v>0.31591039632395174</v>
      </c>
      <c r="AU401" s="43">
        <f>IF(AND(F401&lt;&gt;"",Y401&lt;&gt;""),AA401/(F401/2/Y401),"")</f>
        <v>7.407407407407407E-2</v>
      </c>
      <c r="AV401" s="43">
        <f>IF(AND(F401&lt;&gt;"",AJ401&lt;&gt;""),AL401/(F401/2/AJ401),"")</f>
        <v>7.8431372549019607E-2</v>
      </c>
      <c r="AW401" s="41">
        <f>IF(AND(AP401&lt;&gt;"",1-(AP401/N401)&gt;0),1-(AP401/N401),"")</f>
        <v>0.79457364341085268</v>
      </c>
      <c r="AX401" s="41">
        <f>IF(AND(AE401&lt;&gt;"",1-(AE401/N401)&gt;0),1-(AE401/N401),"")</f>
        <v>0.77519379844961245</v>
      </c>
      <c r="AY401" s="136" t="str">
        <f>IF(P401="","",IF(P401&lt;2.5,"Alc. Bruta &lt; 2,5 mg/L",IF(P401&lt;5,"2,5 ≤ Alc. Bruta &lt; 5,0 mg/L",IF(P401&lt;7.5,"5,0 ≤ Alc. Bruta &lt; 7,5 mg/L",IF(P401&lt;10,"7,5 ≤ Alc. Bruta &lt; 10,0 mg/L",IF(P401&lt;15,"10,0 ≤ Alca. Bruta &lt; 15,0 mg/L","Alc. Bruta &gt; 15 mg/L"))))))</f>
        <v>5,0 ≤ Alc. Bruta &lt; 7,5 mg/L</v>
      </c>
      <c r="AZ401" s="136" t="str">
        <f>IF(O401="","",IF(O401&lt;5,"Cor &lt;5 uC",IF(O401&lt;10,"5 ≤ Cor &lt; 10 uC",IF(O401&lt;15,"10 ≤ Cor &lt;15 uC",IF(O401&lt;30,"15 ≤ Cor &lt; 30 uC",IF(O401&lt;50,"30 ≤ Cor &lt; 50 uC","Cor &gt; 50 uC"))))))</f>
        <v>10 ≤ Cor &lt;15 uC</v>
      </c>
      <c r="BA401" s="137" t="str">
        <f>IF(N401="","",IF(N401&lt;2.5,"Turbidez &lt; 2,5 uT",IF(N401&lt;5,"2,5 ≤ Turb &lt; 5,0 uT",IF(N401&lt;7.5,"5,0 ≤ Turb &lt; 7,5 uT",IF(N401&lt;10,"7,5 ≤ Turb &lt; 10,0 uT",IF(N401&lt;15,"10,0 ≤ Turb &lt; 15,0 uT","Turb &gt; 15 uT"))))))</f>
        <v>2,5 ≤ Turb &lt; 5,0 uT</v>
      </c>
      <c r="BB401" s="138" t="str">
        <f>IF(AND(C401&gt;D401,D401&gt;E401),"TOR &gt; SM &gt; BNN",IF(AND(C401&gt;E401,E401&gt;D401),"TOR &gt; BNN &gt; SM",IF(AND(D401&gt;C401,C401&gt;E401),"SM &gt; TOR &gt; BNN",IF(AND(D401&gt;E401,E401&gt;C401),"SM &gt; BNN &gt; TOR",IF(AND(C401=D401,D401=E401),"TOR = SM = BNN","Comb. diferentes")))))</f>
        <v>TOR &gt; BNN &gt; SM</v>
      </c>
      <c r="BC401" s="137" t="str">
        <f>IF(OR(AD401="",AP401="-"),"",IF(AD401&lt;=0.25,"Tipo 1 (≤0,25) uT",IF(AD401&lt;=0.5,"Tipo 2 (0,25-0,50) uT",IF(AD401&lt;=0.75,"Tipo 3 (0,50-0,75) uT","Tipo 4 (&gt;0,75) uT"))))</f>
        <v>Tipo 1 (≤0,25) uT</v>
      </c>
      <c r="BD401" s="137" t="str">
        <f>IF(OR(AO401="",AY401="-"),"",IF(AO401&lt;=0.25,"Tipo 1 (≤0,25) uT",IF(AO401&lt;=0.5,"Tipo 2 (0,25-0,50) uT",IF(AO401&lt;=0.75,"Tipo 3 (0,50-0,75) uT","Tipo 4 (&gt;0,75) uT"))))</f>
        <v>Tipo 1 (≤0,25) uT</v>
      </c>
      <c r="BE401" s="137" t="str">
        <f>IF(OR(AE401="",AP401="-"),"",IF(AE401&lt;=0.25,"Tipo 1 (≤0,25) uT",IF(AE401&lt;=0.5,"Tipo 2 (0,25-0,50) uT",IF(AE401&lt;=0.75,"Tipo 3 (0,50-0,75) uT","Tipo 4 (&gt;0,75) uT"))))</f>
        <v>Tipo 3 (0,50-0,75) uT</v>
      </c>
      <c r="BF401" s="137" t="str">
        <f>IF(OR(AP401="",AP401="-"),"",IF(AP401&lt;=0.25,"Tipo 1 (≤0,25) uT",IF(AP401&lt;=0.5,"Tipo 2 (0,25-0,50) uT",IF(AP401&lt;=0.75,"Tipo 3 (0,50-0,75) uT","Tipo 4 (&gt;0,75) uT"))))</f>
        <v>Tipo 3 (0,50-0,75) uT</v>
      </c>
      <c r="BG401" s="137" t="str">
        <f>IF(OR(Q401="",Q401="-"),"",IF(Q401&lt;=0.25,"Tipo 1 (≤0,25) uT",IF(Q401&lt;=0.5,"Tipo 2 (0,25-0,50) uT",IF(Q401&lt;=0.75,"Tipo 3 (0,50-0,75) uT","Tipo 4 (&gt;0,75) uT"))))</f>
        <v>Tipo 2 (0,25-0,50) uT</v>
      </c>
    </row>
    <row r="402" spans="1:59" x14ac:dyDescent="0.3">
      <c r="A402" s="26">
        <v>46168</v>
      </c>
      <c r="B402" s="107">
        <v>0.64583333333333337</v>
      </c>
      <c r="C402" s="116">
        <v>1192</v>
      </c>
      <c r="D402" s="116">
        <v>82</v>
      </c>
      <c r="E402" s="116">
        <v>549</v>
      </c>
      <c r="F402" s="116">
        <v>1835</v>
      </c>
      <c r="G402" s="10" t="s">
        <v>100</v>
      </c>
      <c r="H402" s="122">
        <v>7</v>
      </c>
      <c r="I402" s="116">
        <v>90</v>
      </c>
      <c r="J402" s="116">
        <v>90</v>
      </c>
      <c r="K402" s="116">
        <v>90</v>
      </c>
      <c r="L402" s="122">
        <v>24.6</v>
      </c>
      <c r="M402" s="122">
        <v>6.8</v>
      </c>
      <c r="N402" s="79">
        <v>2.5299999999999998</v>
      </c>
      <c r="O402" s="116">
        <v>13</v>
      </c>
      <c r="P402" s="122">
        <v>8.5</v>
      </c>
      <c r="Q402" s="79">
        <v>0.08</v>
      </c>
      <c r="R402" s="79">
        <v>22.36</v>
      </c>
      <c r="S402" s="79">
        <v>0.88</v>
      </c>
      <c r="T402" s="79">
        <v>0.7</v>
      </c>
      <c r="U402" s="85">
        <f t="shared" si="48"/>
        <v>1119.3499999999999</v>
      </c>
      <c r="V402" s="79">
        <f t="shared" si="49"/>
        <v>1372.556302</v>
      </c>
      <c r="W402" s="79">
        <f t="shared" si="50"/>
        <v>1.226208336981284</v>
      </c>
      <c r="X402" s="116">
        <v>2</v>
      </c>
      <c r="Y402" s="116">
        <v>4</v>
      </c>
      <c r="Z402" s="122">
        <v>6.5</v>
      </c>
      <c r="AA402" s="116">
        <v>17</v>
      </c>
      <c r="AB402" s="122">
        <v>6.6</v>
      </c>
      <c r="AC402" s="122">
        <v>5.6</v>
      </c>
      <c r="AD402" s="10">
        <v>0.09</v>
      </c>
      <c r="AE402" s="79">
        <v>0.22</v>
      </c>
      <c r="AF402" s="85">
        <f t="shared" si="51"/>
        <v>1492.4666666666665</v>
      </c>
      <c r="AG402" s="85">
        <f t="shared" si="52"/>
        <v>1922.8959609599995</v>
      </c>
      <c r="AH402" s="85">
        <f t="shared" si="53"/>
        <v>1.2884012781703664</v>
      </c>
      <c r="AI402" s="116">
        <v>2</v>
      </c>
      <c r="AJ402" s="116">
        <v>3</v>
      </c>
      <c r="AK402" s="79">
        <v>6.46</v>
      </c>
      <c r="AL402" s="79">
        <v>24</v>
      </c>
      <c r="AM402" s="122">
        <v>6.5</v>
      </c>
      <c r="AN402" s="122">
        <v>5.2</v>
      </c>
      <c r="AO402" s="79">
        <v>0.09</v>
      </c>
      <c r="AP402" s="127">
        <v>0.31</v>
      </c>
      <c r="AQ402" s="132">
        <f t="shared" si="54"/>
        <v>1823</v>
      </c>
      <c r="AR402" s="134">
        <f t="shared" si="55"/>
        <v>0.6538672517827756</v>
      </c>
      <c r="AS402" s="134">
        <f t="shared" si="56"/>
        <v>4.4980800877674164E-2</v>
      </c>
      <c r="AT402" s="134">
        <f t="shared" si="57"/>
        <v>0.3011519473395502</v>
      </c>
      <c r="AU402" s="43">
        <f>IF(AND(F402&lt;&gt;"",Y402&lt;&gt;""),AA402/(F402/2/Y402),"")</f>
        <v>7.4114441416893731E-2</v>
      </c>
      <c r="AV402" s="43">
        <f>IF(AND(F402&lt;&gt;"",AJ402&lt;&gt;""),AL402/(F402/2/AJ402),"")</f>
        <v>7.8474114441416901E-2</v>
      </c>
      <c r="AW402" s="41">
        <f>IF(AND(AP402&lt;&gt;"",1-(AP402/N402)&gt;0),1-(AP402/N402),"")</f>
        <v>0.87747035573122534</v>
      </c>
      <c r="AX402" s="41">
        <f>IF(AND(AE402&lt;&gt;"",1-(AE402/N402)&gt;0),1-(AE402/N402),"")</f>
        <v>0.91304347826086951</v>
      </c>
      <c r="AY402" s="136" t="str">
        <f>IF(P402="","",IF(P402&lt;2.5,"Alc. Bruta &lt; 2,5 mg/L",IF(P402&lt;5,"2,5 ≤ Alc. Bruta &lt; 5,0 mg/L",IF(P402&lt;7.5,"5,0 ≤ Alc. Bruta &lt; 7,5 mg/L",IF(P402&lt;10,"7,5 ≤ Alc. Bruta &lt; 10,0 mg/L",IF(P402&lt;15,"10,0 ≤ Alca. Bruta &lt; 15,0 mg/L","Alc. Bruta &gt; 15 mg/L"))))))</f>
        <v>7,5 ≤ Alc. Bruta &lt; 10,0 mg/L</v>
      </c>
      <c r="AZ402" s="136" t="str">
        <f>IF(O402="","",IF(O402&lt;5,"Cor &lt;5 uC",IF(O402&lt;10,"5 ≤ Cor &lt; 10 uC",IF(O402&lt;15,"10 ≤ Cor &lt;15 uC",IF(O402&lt;30,"15 ≤ Cor &lt; 30 uC",IF(O402&lt;50,"30 ≤ Cor &lt; 50 uC","Cor &gt; 50 uC"))))))</f>
        <v>10 ≤ Cor &lt;15 uC</v>
      </c>
      <c r="BA402" s="137" t="str">
        <f>IF(N402="","",IF(N402&lt;2.5,"Turbidez &lt; 2,5 uT",IF(N402&lt;5,"2,5 ≤ Turb &lt; 5,0 uT",IF(N402&lt;7.5,"5,0 ≤ Turb &lt; 7,5 uT",IF(N402&lt;10,"7,5 ≤ Turb &lt; 10,0 uT",IF(N402&lt;15,"10,0 ≤ Turb &lt; 15,0 uT","Turb &gt; 15 uT"))))))</f>
        <v>2,5 ≤ Turb &lt; 5,0 uT</v>
      </c>
      <c r="BB402" s="138" t="str">
        <f>IF(AND(C402&gt;D402,D402&gt;E402),"TOR &gt; SM &gt; BNN",IF(AND(C402&gt;E402,E402&gt;D402),"TOR &gt; BNN &gt; SM",IF(AND(D402&gt;C402,C402&gt;E402),"SM &gt; TOR &gt; BNN",IF(AND(D402&gt;E402,E402&gt;C402),"SM &gt; BNN &gt; TOR",IF(AND(C402=D402,D402=E402),"TOR = SM = BNN","Comb. diferentes")))))</f>
        <v>TOR &gt; BNN &gt; SM</v>
      </c>
      <c r="BC402" s="137" t="str">
        <f>IF(OR(AD402="",AP402="-"),"",IF(AD402&lt;=0.25,"Tipo 1 (≤0,25) uT",IF(AD402&lt;=0.5,"Tipo 2 (0,25-0,50) uT",IF(AD402&lt;=0.75,"Tipo 3 (0,50-0,75) uT","Tipo 4 (&gt;0,75) uT"))))</f>
        <v>Tipo 1 (≤0,25) uT</v>
      </c>
      <c r="BD402" s="137" t="str">
        <f>IF(OR(AO402="",AY402="-"),"",IF(AO402&lt;=0.25,"Tipo 1 (≤0,25) uT",IF(AO402&lt;=0.5,"Tipo 2 (0,25-0,50) uT",IF(AO402&lt;=0.75,"Tipo 3 (0,50-0,75) uT","Tipo 4 (&gt;0,75) uT"))))</f>
        <v>Tipo 1 (≤0,25) uT</v>
      </c>
      <c r="BE402" s="137" t="str">
        <f>IF(OR(AE402="",AP402="-"),"",IF(AE402&lt;=0.25,"Tipo 1 (≤0,25) uT",IF(AE402&lt;=0.5,"Tipo 2 (0,25-0,50) uT",IF(AE402&lt;=0.75,"Tipo 3 (0,50-0,75) uT","Tipo 4 (&gt;0,75) uT"))))</f>
        <v>Tipo 1 (≤0,25) uT</v>
      </c>
      <c r="BF402" s="137" t="str">
        <f>IF(OR(AP402="",AP402="-"),"",IF(AP402&lt;=0.25,"Tipo 1 (≤0,25) uT",IF(AP402&lt;=0.5,"Tipo 2 (0,25-0,50) uT",IF(AP402&lt;=0.75,"Tipo 3 (0,50-0,75) uT","Tipo 4 (&gt;0,75) uT"))))</f>
        <v>Tipo 2 (0,25-0,50) uT</v>
      </c>
      <c r="BG402" s="137" t="str">
        <f>IF(OR(Q402="",Q402="-"),"",IF(Q402&lt;=0.25,"Tipo 1 (≤0,25) uT",IF(Q402&lt;=0.5,"Tipo 2 (0,25-0,50) uT",IF(Q402&lt;=0.75,"Tipo 3 (0,50-0,75) uT","Tipo 4 (&gt;0,75) uT"))))</f>
        <v>Tipo 1 (≤0,25) uT</v>
      </c>
    </row>
    <row r="403" spans="1:59" x14ac:dyDescent="0.3">
      <c r="A403" s="26">
        <v>46168</v>
      </c>
      <c r="B403" s="107">
        <v>0.72916666666666663</v>
      </c>
      <c r="C403" s="116">
        <v>1182</v>
      </c>
      <c r="D403" s="116">
        <v>88</v>
      </c>
      <c r="E403" s="116">
        <v>549</v>
      </c>
      <c r="F403" s="116">
        <v>1830</v>
      </c>
      <c r="G403" s="10" t="s">
        <v>100</v>
      </c>
      <c r="H403" s="122">
        <v>7</v>
      </c>
      <c r="I403" s="116">
        <v>90</v>
      </c>
      <c r="J403" s="116">
        <v>90</v>
      </c>
      <c r="K403" s="116">
        <v>90</v>
      </c>
      <c r="L403" s="122">
        <v>24.4</v>
      </c>
      <c r="M403" s="122">
        <v>6.9</v>
      </c>
      <c r="N403" s="79">
        <v>2.56</v>
      </c>
      <c r="O403" s="116">
        <v>12</v>
      </c>
      <c r="P403" s="122">
        <v>7.3</v>
      </c>
      <c r="Q403" s="79">
        <v>0.06</v>
      </c>
      <c r="R403" s="79">
        <v>22.36</v>
      </c>
      <c r="S403" s="79">
        <v>0.88</v>
      </c>
      <c r="T403" s="79">
        <v>0.7</v>
      </c>
      <c r="U403" s="85">
        <f t="shared" si="48"/>
        <v>1123.1625000000001</v>
      </c>
      <c r="V403" s="79">
        <f t="shared" si="49"/>
        <v>1372.556302</v>
      </c>
      <c r="W403" s="79">
        <f t="shared" si="50"/>
        <v>1.22204605477836</v>
      </c>
      <c r="X403" s="116">
        <v>2</v>
      </c>
      <c r="Y403" s="116">
        <v>4</v>
      </c>
      <c r="Z403" s="122">
        <v>6.5</v>
      </c>
      <c r="AA403" s="116">
        <v>17</v>
      </c>
      <c r="AB403" s="122">
        <v>6.5</v>
      </c>
      <c r="AC403" s="122">
        <v>5.7</v>
      </c>
      <c r="AD403" s="10">
        <v>0.09</v>
      </c>
      <c r="AE403" s="79">
        <v>0.22</v>
      </c>
      <c r="AF403" s="85">
        <f t="shared" si="51"/>
        <v>1497.55</v>
      </c>
      <c r="AG403" s="85">
        <f t="shared" si="52"/>
        <v>1922.8959609599995</v>
      </c>
      <c r="AH403" s="85">
        <f t="shared" si="53"/>
        <v>1.2840278861874392</v>
      </c>
      <c r="AI403" s="116">
        <v>2</v>
      </c>
      <c r="AJ403" s="116">
        <v>3</v>
      </c>
      <c r="AK403" s="79">
        <v>6.46</v>
      </c>
      <c r="AL403" s="79">
        <v>24</v>
      </c>
      <c r="AM403" s="122">
        <v>6.5</v>
      </c>
      <c r="AN403" s="122">
        <v>5.5</v>
      </c>
      <c r="AO403" s="79">
        <v>0.1</v>
      </c>
      <c r="AP403" s="127">
        <v>0.3</v>
      </c>
      <c r="AQ403" s="132">
        <f t="shared" si="54"/>
        <v>1819</v>
      </c>
      <c r="AR403" s="134">
        <f t="shared" si="55"/>
        <v>0.64980758658603632</v>
      </c>
      <c r="AS403" s="134">
        <f t="shared" si="56"/>
        <v>4.8378229796591531E-2</v>
      </c>
      <c r="AT403" s="134">
        <f t="shared" si="57"/>
        <v>0.30181418361737217</v>
      </c>
      <c r="AU403" s="43">
        <f>IF(AND(F403&lt;&gt;"",Y403&lt;&gt;""),AA403/(F403/2/Y403),"")</f>
        <v>7.4316939890710379E-2</v>
      </c>
      <c r="AV403" s="43">
        <f>IF(AND(F403&lt;&gt;"",AJ403&lt;&gt;""),AL403/(F403/2/AJ403),"")</f>
        <v>7.8688524590163941E-2</v>
      </c>
      <c r="AW403" s="41">
        <f>IF(AND(AP403&lt;&gt;"",1-(AP403/N403)&gt;0),1-(AP403/N403),"")</f>
        <v>0.8828125</v>
      </c>
      <c r="AX403" s="41">
        <f>IF(AND(AE403&lt;&gt;"",1-(AE403/N403)&gt;0),1-(AE403/N403),"")</f>
        <v>0.9140625</v>
      </c>
      <c r="AY403" s="136" t="str">
        <f>IF(P403="","",IF(P403&lt;2.5,"Alc. Bruta &lt; 2,5 mg/L",IF(P403&lt;5,"2,5 ≤ Alc. Bruta &lt; 5,0 mg/L",IF(P403&lt;7.5,"5,0 ≤ Alc. Bruta &lt; 7,5 mg/L",IF(P403&lt;10,"7,5 ≤ Alc. Bruta &lt; 10,0 mg/L",IF(P403&lt;15,"10,0 ≤ Alca. Bruta &lt; 15,0 mg/L","Alc. Bruta &gt; 15 mg/L"))))))</f>
        <v>5,0 ≤ Alc. Bruta &lt; 7,5 mg/L</v>
      </c>
      <c r="AZ403" s="136" t="str">
        <f>IF(O403="","",IF(O403&lt;5,"Cor &lt;5 uC",IF(O403&lt;10,"5 ≤ Cor &lt; 10 uC",IF(O403&lt;15,"10 ≤ Cor &lt;15 uC",IF(O403&lt;30,"15 ≤ Cor &lt; 30 uC",IF(O403&lt;50,"30 ≤ Cor &lt; 50 uC","Cor &gt; 50 uC"))))))</f>
        <v>10 ≤ Cor &lt;15 uC</v>
      </c>
      <c r="BA403" s="137" t="str">
        <f>IF(N403="","",IF(N403&lt;2.5,"Turbidez &lt; 2,5 uT",IF(N403&lt;5,"2,5 ≤ Turb &lt; 5,0 uT",IF(N403&lt;7.5,"5,0 ≤ Turb &lt; 7,5 uT",IF(N403&lt;10,"7,5 ≤ Turb &lt; 10,0 uT",IF(N403&lt;15,"10,0 ≤ Turb &lt; 15,0 uT","Turb &gt; 15 uT"))))))</f>
        <v>2,5 ≤ Turb &lt; 5,0 uT</v>
      </c>
      <c r="BB403" s="138" t="str">
        <f>IF(AND(C403&gt;D403,D403&gt;E403),"TOR &gt; SM &gt; BNN",IF(AND(C403&gt;E403,E403&gt;D403),"TOR &gt; BNN &gt; SM",IF(AND(D403&gt;C403,C403&gt;E403),"SM &gt; TOR &gt; BNN",IF(AND(D403&gt;E403,E403&gt;C403),"SM &gt; BNN &gt; TOR",IF(AND(C403=D403,D403=E403),"TOR = SM = BNN","Comb. diferentes")))))</f>
        <v>TOR &gt; BNN &gt; SM</v>
      </c>
      <c r="BC403" s="137" t="str">
        <f>IF(OR(AD403="",AP403="-"),"",IF(AD403&lt;=0.25,"Tipo 1 (≤0,25) uT",IF(AD403&lt;=0.5,"Tipo 2 (0,25-0,50) uT",IF(AD403&lt;=0.75,"Tipo 3 (0,50-0,75) uT","Tipo 4 (&gt;0,75) uT"))))</f>
        <v>Tipo 1 (≤0,25) uT</v>
      </c>
      <c r="BD403" s="137" t="str">
        <f>IF(OR(AO403="",AY403="-"),"",IF(AO403&lt;=0.25,"Tipo 1 (≤0,25) uT",IF(AO403&lt;=0.5,"Tipo 2 (0,25-0,50) uT",IF(AO403&lt;=0.75,"Tipo 3 (0,50-0,75) uT","Tipo 4 (&gt;0,75) uT"))))</f>
        <v>Tipo 1 (≤0,25) uT</v>
      </c>
      <c r="BE403" s="137" t="str">
        <f>IF(OR(AE403="",AP403="-"),"",IF(AE403&lt;=0.25,"Tipo 1 (≤0,25) uT",IF(AE403&lt;=0.5,"Tipo 2 (0,25-0,50) uT",IF(AE403&lt;=0.75,"Tipo 3 (0,50-0,75) uT","Tipo 4 (&gt;0,75) uT"))))</f>
        <v>Tipo 1 (≤0,25) uT</v>
      </c>
      <c r="BF403" s="137" t="str">
        <f>IF(OR(AP403="",AP403="-"),"",IF(AP403&lt;=0.25,"Tipo 1 (≤0,25) uT",IF(AP403&lt;=0.5,"Tipo 2 (0,25-0,50) uT",IF(AP403&lt;=0.75,"Tipo 3 (0,50-0,75) uT","Tipo 4 (&gt;0,75) uT"))))</f>
        <v>Tipo 2 (0,25-0,50) uT</v>
      </c>
      <c r="BG403" s="137" t="str">
        <f>IF(OR(Q403="",Q403="-"),"",IF(Q403&lt;=0.25,"Tipo 1 (≤0,25) uT",IF(Q403&lt;=0.5,"Tipo 2 (0,25-0,50) uT",IF(Q403&lt;=0.75,"Tipo 3 (0,50-0,75) uT","Tipo 4 (&gt;0,75) uT"))))</f>
        <v>Tipo 1 (≤0,25) uT</v>
      </c>
    </row>
    <row r="404" spans="1:59" x14ac:dyDescent="0.3">
      <c r="A404" s="26">
        <v>46168</v>
      </c>
      <c r="B404" s="107">
        <v>0.8125</v>
      </c>
      <c r="C404" s="116">
        <v>1135</v>
      </c>
      <c r="D404" s="116">
        <v>79</v>
      </c>
      <c r="E404" s="116">
        <v>550</v>
      </c>
      <c r="F404" s="116">
        <v>1937</v>
      </c>
      <c r="G404" s="10" t="s">
        <v>100</v>
      </c>
      <c r="H404" s="122">
        <v>7</v>
      </c>
      <c r="I404" s="116">
        <v>90</v>
      </c>
      <c r="J404" s="116">
        <v>90</v>
      </c>
      <c r="K404" s="116">
        <v>90</v>
      </c>
      <c r="L404" s="122">
        <v>24.2</v>
      </c>
      <c r="M404" s="122">
        <v>7</v>
      </c>
      <c r="N404" s="79">
        <v>2.92</v>
      </c>
      <c r="O404" s="116">
        <v>13</v>
      </c>
      <c r="P404" s="122">
        <v>7.7</v>
      </c>
      <c r="Q404" s="79">
        <v>0.06</v>
      </c>
      <c r="R404" s="79">
        <v>22.36</v>
      </c>
      <c r="S404" s="79">
        <v>0.88</v>
      </c>
      <c r="T404" s="79">
        <v>0.7</v>
      </c>
      <c r="U404" s="85">
        <f t="shared" si="48"/>
        <v>1275.99875</v>
      </c>
      <c r="V404" s="79">
        <f t="shared" si="49"/>
        <v>1367.3038038399998</v>
      </c>
      <c r="W404" s="79">
        <f t="shared" si="50"/>
        <v>1.0715557549253083</v>
      </c>
      <c r="X404" s="116">
        <v>2</v>
      </c>
      <c r="Y404" s="116">
        <v>4</v>
      </c>
      <c r="Z404" s="122">
        <v>6.48</v>
      </c>
      <c r="AA404" s="116">
        <v>17</v>
      </c>
      <c r="AB404" s="122">
        <v>6.5</v>
      </c>
      <c r="AC404" s="122">
        <v>7.2</v>
      </c>
      <c r="AD404" s="10">
        <v>0.24</v>
      </c>
      <c r="AE404" s="79">
        <v>0.25</v>
      </c>
      <c r="AF404" s="85">
        <f t="shared" si="51"/>
        <v>1701.3316666666665</v>
      </c>
      <c r="AG404" s="85">
        <f t="shared" si="52"/>
        <v>1926.6036067200002</v>
      </c>
      <c r="AH404" s="85">
        <f t="shared" si="53"/>
        <v>1.1324091853851741</v>
      </c>
      <c r="AI404" s="116">
        <v>2</v>
      </c>
      <c r="AJ404" s="116">
        <v>3</v>
      </c>
      <c r="AK404" s="79">
        <v>6.47</v>
      </c>
      <c r="AL404" s="79">
        <v>24</v>
      </c>
      <c r="AM404" s="122">
        <v>6.5</v>
      </c>
      <c r="AN404" s="122">
        <v>6.2</v>
      </c>
      <c r="AO404" s="79">
        <v>0.21</v>
      </c>
      <c r="AP404" s="127">
        <v>0.33</v>
      </c>
      <c r="AQ404" s="132">
        <f t="shared" si="54"/>
        <v>1764</v>
      </c>
      <c r="AR404" s="134">
        <f t="shared" si="55"/>
        <v>0.64342403628117917</v>
      </c>
      <c r="AS404" s="134">
        <f t="shared" si="56"/>
        <v>4.4784580498866217E-2</v>
      </c>
      <c r="AT404" s="134">
        <f t="shared" si="57"/>
        <v>0.31179138321995464</v>
      </c>
      <c r="AU404" s="43">
        <f>IF(AND(F404&lt;&gt;"",Y404&lt;&gt;""),AA404/(F404/2/Y404),"")</f>
        <v>7.0211667527103769E-2</v>
      </c>
      <c r="AV404" s="43">
        <f>IF(AND(F404&lt;&gt;"",AJ404&lt;&gt;""),AL404/(F404/2/AJ404),"")</f>
        <v>7.4341765616933411E-2</v>
      </c>
      <c r="AW404" s="41">
        <f>IF(AND(AP404&lt;&gt;"",1-(AP404/N404)&gt;0),1-(AP404/N404),"")</f>
        <v>0.88698630136986301</v>
      </c>
      <c r="AX404" s="41">
        <f>IF(AND(AE404&lt;&gt;"",1-(AE404/N404)&gt;0),1-(AE404/N404),"")</f>
        <v>0.91438356164383561</v>
      </c>
      <c r="AY404" s="136" t="str">
        <f>IF(P404="","",IF(P404&lt;2.5,"Alc. Bruta &lt; 2,5 mg/L",IF(P404&lt;5,"2,5 ≤ Alc. Bruta &lt; 5,0 mg/L",IF(P404&lt;7.5,"5,0 ≤ Alc. Bruta &lt; 7,5 mg/L",IF(P404&lt;10,"7,5 ≤ Alc. Bruta &lt; 10,0 mg/L",IF(P404&lt;15,"10,0 ≤ Alca. Bruta &lt; 15,0 mg/L","Alc. Bruta &gt; 15 mg/L"))))))</f>
        <v>7,5 ≤ Alc. Bruta &lt; 10,0 mg/L</v>
      </c>
      <c r="AZ404" s="136" t="str">
        <f>IF(O404="","",IF(O404&lt;5,"Cor &lt;5 uC",IF(O404&lt;10,"5 ≤ Cor &lt; 10 uC",IF(O404&lt;15,"10 ≤ Cor &lt;15 uC",IF(O404&lt;30,"15 ≤ Cor &lt; 30 uC",IF(O404&lt;50,"30 ≤ Cor &lt; 50 uC","Cor &gt; 50 uC"))))))</f>
        <v>10 ≤ Cor &lt;15 uC</v>
      </c>
      <c r="BA404" s="137" t="str">
        <f>IF(N404="","",IF(N404&lt;2.5,"Turbidez &lt; 2,5 uT",IF(N404&lt;5,"2,5 ≤ Turb &lt; 5,0 uT",IF(N404&lt;7.5,"5,0 ≤ Turb &lt; 7,5 uT",IF(N404&lt;10,"7,5 ≤ Turb &lt; 10,0 uT",IF(N404&lt;15,"10,0 ≤ Turb &lt; 15,0 uT","Turb &gt; 15 uT"))))))</f>
        <v>2,5 ≤ Turb &lt; 5,0 uT</v>
      </c>
      <c r="BB404" s="138" t="str">
        <f>IF(AND(C404&gt;D404,D404&gt;E404),"TOR &gt; SM &gt; BNN",IF(AND(C404&gt;E404,E404&gt;D404),"TOR &gt; BNN &gt; SM",IF(AND(D404&gt;C404,C404&gt;E404),"SM &gt; TOR &gt; BNN",IF(AND(D404&gt;E404,E404&gt;C404),"SM &gt; BNN &gt; TOR",IF(AND(C404=D404,D404=E404),"TOR = SM = BNN","Comb. diferentes")))))</f>
        <v>TOR &gt; BNN &gt; SM</v>
      </c>
      <c r="BC404" s="137" t="str">
        <f>IF(OR(AD404="",AP404="-"),"",IF(AD404&lt;=0.25,"Tipo 1 (≤0,25) uT",IF(AD404&lt;=0.5,"Tipo 2 (0,25-0,50) uT",IF(AD404&lt;=0.75,"Tipo 3 (0,50-0,75) uT","Tipo 4 (&gt;0,75) uT"))))</f>
        <v>Tipo 1 (≤0,25) uT</v>
      </c>
      <c r="BD404" s="137" t="str">
        <f>IF(OR(AO404="",AY404="-"),"",IF(AO404&lt;=0.25,"Tipo 1 (≤0,25) uT",IF(AO404&lt;=0.5,"Tipo 2 (0,25-0,50) uT",IF(AO404&lt;=0.75,"Tipo 3 (0,50-0,75) uT","Tipo 4 (&gt;0,75) uT"))))</f>
        <v>Tipo 1 (≤0,25) uT</v>
      </c>
      <c r="BE404" s="137" t="str">
        <f>IF(OR(AE404="",AP404="-"),"",IF(AE404&lt;=0.25,"Tipo 1 (≤0,25) uT",IF(AE404&lt;=0.5,"Tipo 2 (0,25-0,50) uT",IF(AE404&lt;=0.75,"Tipo 3 (0,50-0,75) uT","Tipo 4 (&gt;0,75) uT"))))</f>
        <v>Tipo 1 (≤0,25) uT</v>
      </c>
      <c r="BF404" s="137" t="str">
        <f>IF(OR(AP404="",AP404="-"),"",IF(AP404&lt;=0.25,"Tipo 1 (≤0,25) uT",IF(AP404&lt;=0.5,"Tipo 2 (0,25-0,50) uT",IF(AP404&lt;=0.75,"Tipo 3 (0,50-0,75) uT","Tipo 4 (&gt;0,75) uT"))))</f>
        <v>Tipo 2 (0,25-0,50) uT</v>
      </c>
      <c r="BG404" s="137" t="str">
        <f>IF(OR(Q404="",Q404="-"),"",IF(Q404&lt;=0.25,"Tipo 1 (≤0,25) uT",IF(Q404&lt;=0.5,"Tipo 2 (0,25-0,50) uT",IF(Q404&lt;=0.75,"Tipo 3 (0,50-0,75) uT","Tipo 4 (&gt;0,75) uT"))))</f>
        <v>Tipo 1 (≤0,25) uT</v>
      </c>
    </row>
    <row r="405" spans="1:59" x14ac:dyDescent="0.3">
      <c r="A405" s="26">
        <v>46168</v>
      </c>
      <c r="B405" s="107">
        <v>0.89583333333333337</v>
      </c>
      <c r="C405" s="116">
        <v>1163</v>
      </c>
      <c r="D405" s="116">
        <v>82</v>
      </c>
      <c r="E405" s="116">
        <v>550</v>
      </c>
      <c r="F405" s="116">
        <v>1941</v>
      </c>
      <c r="G405" s="10" t="s">
        <v>100</v>
      </c>
      <c r="H405" s="122">
        <v>7</v>
      </c>
      <c r="I405" s="116">
        <v>90</v>
      </c>
      <c r="J405" s="116">
        <v>90</v>
      </c>
      <c r="K405" s="116">
        <v>90</v>
      </c>
      <c r="L405" s="122">
        <v>23.8</v>
      </c>
      <c r="M405" s="122">
        <v>7</v>
      </c>
      <c r="N405" s="79">
        <v>2.91</v>
      </c>
      <c r="O405" s="116">
        <v>12</v>
      </c>
      <c r="P405" s="122">
        <v>6.9</v>
      </c>
      <c r="Q405" s="79">
        <v>0.06</v>
      </c>
      <c r="R405" s="79">
        <v>22.36</v>
      </c>
      <c r="S405" s="79">
        <v>0.88</v>
      </c>
      <c r="T405" s="79">
        <v>0.7</v>
      </c>
      <c r="U405" s="85">
        <f t="shared" si="48"/>
        <v>1276.2075</v>
      </c>
      <c r="V405" s="79">
        <f t="shared" si="49"/>
        <v>1375.1825510799999</v>
      </c>
      <c r="W405" s="79">
        <f t="shared" si="50"/>
        <v>1.0775540428026007</v>
      </c>
      <c r="X405" s="116">
        <v>2</v>
      </c>
      <c r="Y405" s="116">
        <v>4</v>
      </c>
      <c r="Z405" s="122">
        <v>6.51</v>
      </c>
      <c r="AA405" s="116">
        <v>17</v>
      </c>
      <c r="AB405" s="122">
        <v>6.6</v>
      </c>
      <c r="AC405" s="122">
        <v>5.5</v>
      </c>
      <c r="AD405" s="10">
        <v>0.28999999999999998</v>
      </c>
      <c r="AE405" s="79">
        <v>0.27</v>
      </c>
      <c r="AF405" s="85">
        <f t="shared" si="51"/>
        <v>1701.61</v>
      </c>
      <c r="AG405" s="85">
        <f t="shared" si="52"/>
        <v>1934.0188982399998</v>
      </c>
      <c r="AH405" s="85">
        <f t="shared" si="53"/>
        <v>1.1365817656454769</v>
      </c>
      <c r="AI405" s="116">
        <v>2</v>
      </c>
      <c r="AJ405" s="116">
        <v>3</v>
      </c>
      <c r="AK405" s="79">
        <v>6.49</v>
      </c>
      <c r="AL405" s="79">
        <v>24</v>
      </c>
      <c r="AM405" s="122">
        <v>6.5</v>
      </c>
      <c r="AN405" s="122">
        <v>5</v>
      </c>
      <c r="AO405" s="79">
        <v>0.18</v>
      </c>
      <c r="AP405" s="127">
        <v>0.33</v>
      </c>
      <c r="AQ405" s="132">
        <f t="shared" si="54"/>
        <v>1795</v>
      </c>
      <c r="AR405" s="134">
        <f t="shared" si="55"/>
        <v>0.64791086350974936</v>
      </c>
      <c r="AS405" s="134">
        <f t="shared" si="56"/>
        <v>4.5682451253481894E-2</v>
      </c>
      <c r="AT405" s="134">
        <f t="shared" si="57"/>
        <v>0.30640668523676878</v>
      </c>
      <c r="AU405" s="43">
        <f>IF(AND(F405&lt;&gt;"",Y405&lt;&gt;""),AA405/(F405/2/Y405),"")</f>
        <v>7.0066975785677485E-2</v>
      </c>
      <c r="AV405" s="43">
        <f>IF(AND(F405&lt;&gt;"",AJ405&lt;&gt;""),AL405/(F405/2/AJ405),"")</f>
        <v>7.4188562596599686E-2</v>
      </c>
      <c r="AW405" s="41">
        <f>IF(AND(AP405&lt;&gt;"",1-(AP405/N405)&gt;0),1-(AP405/N405),"")</f>
        <v>0.88659793814432986</v>
      </c>
      <c r="AX405" s="41">
        <f>IF(AND(AE405&lt;&gt;"",1-(AE405/N405)&gt;0),1-(AE405/N405),"")</f>
        <v>0.90721649484536082</v>
      </c>
      <c r="AY405" s="136" t="str">
        <f>IF(P405="","",IF(P405&lt;2.5,"Alc. Bruta &lt; 2,5 mg/L",IF(P405&lt;5,"2,5 ≤ Alc. Bruta &lt; 5,0 mg/L",IF(P405&lt;7.5,"5,0 ≤ Alc. Bruta &lt; 7,5 mg/L",IF(P405&lt;10,"7,5 ≤ Alc. Bruta &lt; 10,0 mg/L",IF(P405&lt;15,"10,0 ≤ Alca. Bruta &lt; 15,0 mg/L","Alc. Bruta &gt; 15 mg/L"))))))</f>
        <v>5,0 ≤ Alc. Bruta &lt; 7,5 mg/L</v>
      </c>
      <c r="AZ405" s="136" t="str">
        <f>IF(O405="","",IF(O405&lt;5,"Cor &lt;5 uC",IF(O405&lt;10,"5 ≤ Cor &lt; 10 uC",IF(O405&lt;15,"10 ≤ Cor &lt;15 uC",IF(O405&lt;30,"15 ≤ Cor &lt; 30 uC",IF(O405&lt;50,"30 ≤ Cor &lt; 50 uC","Cor &gt; 50 uC"))))))</f>
        <v>10 ≤ Cor &lt;15 uC</v>
      </c>
      <c r="BA405" s="137" t="str">
        <f>IF(N405="","",IF(N405&lt;2.5,"Turbidez &lt; 2,5 uT",IF(N405&lt;5,"2,5 ≤ Turb &lt; 5,0 uT",IF(N405&lt;7.5,"5,0 ≤ Turb &lt; 7,5 uT",IF(N405&lt;10,"7,5 ≤ Turb &lt; 10,0 uT",IF(N405&lt;15,"10,0 ≤ Turb &lt; 15,0 uT","Turb &gt; 15 uT"))))))</f>
        <v>2,5 ≤ Turb &lt; 5,0 uT</v>
      </c>
      <c r="BB405" s="138" t="str">
        <f>IF(AND(C405&gt;D405,D405&gt;E405),"TOR &gt; SM &gt; BNN",IF(AND(C405&gt;E405,E405&gt;D405),"TOR &gt; BNN &gt; SM",IF(AND(D405&gt;C405,C405&gt;E405),"SM &gt; TOR &gt; BNN",IF(AND(D405&gt;E405,E405&gt;C405),"SM &gt; BNN &gt; TOR",IF(AND(C405=D405,D405=E405),"TOR = SM = BNN","Comb. diferentes")))))</f>
        <v>TOR &gt; BNN &gt; SM</v>
      </c>
      <c r="BC405" s="137" t="str">
        <f>IF(OR(AD405="",AP405="-"),"",IF(AD405&lt;=0.25,"Tipo 1 (≤0,25) uT",IF(AD405&lt;=0.5,"Tipo 2 (0,25-0,50) uT",IF(AD405&lt;=0.75,"Tipo 3 (0,50-0,75) uT","Tipo 4 (&gt;0,75) uT"))))</f>
        <v>Tipo 2 (0,25-0,50) uT</v>
      </c>
      <c r="BD405" s="137" t="str">
        <f>IF(OR(AO405="",AY405="-"),"",IF(AO405&lt;=0.25,"Tipo 1 (≤0,25) uT",IF(AO405&lt;=0.5,"Tipo 2 (0,25-0,50) uT",IF(AO405&lt;=0.75,"Tipo 3 (0,50-0,75) uT","Tipo 4 (&gt;0,75) uT"))))</f>
        <v>Tipo 1 (≤0,25) uT</v>
      </c>
      <c r="BE405" s="137" t="str">
        <f>IF(OR(AE405="",AP405="-"),"",IF(AE405&lt;=0.25,"Tipo 1 (≤0,25) uT",IF(AE405&lt;=0.5,"Tipo 2 (0,25-0,50) uT",IF(AE405&lt;=0.75,"Tipo 3 (0,50-0,75) uT","Tipo 4 (&gt;0,75) uT"))))</f>
        <v>Tipo 2 (0,25-0,50) uT</v>
      </c>
      <c r="BF405" s="137" t="str">
        <f>IF(OR(AP405="",AP405="-"),"",IF(AP405&lt;=0.25,"Tipo 1 (≤0,25) uT",IF(AP405&lt;=0.5,"Tipo 2 (0,25-0,50) uT",IF(AP405&lt;=0.75,"Tipo 3 (0,50-0,75) uT","Tipo 4 (&gt;0,75) uT"))))</f>
        <v>Tipo 2 (0,25-0,50) uT</v>
      </c>
      <c r="BG405" s="137" t="str">
        <f>IF(OR(Q405="",Q405="-"),"",IF(Q405&lt;=0.25,"Tipo 1 (≤0,25) uT",IF(Q405&lt;=0.5,"Tipo 2 (0,25-0,50) uT",IF(Q405&lt;=0.75,"Tipo 3 (0,50-0,75) uT","Tipo 4 (&gt;0,75) uT"))))</f>
        <v>Tipo 1 (≤0,25) uT</v>
      </c>
    </row>
    <row r="406" spans="1:59" x14ac:dyDescent="0.3">
      <c r="A406" s="26">
        <v>46169</v>
      </c>
      <c r="B406" s="107">
        <v>6.25E-2</v>
      </c>
      <c r="C406" s="116">
        <v>1168</v>
      </c>
      <c r="D406" s="116">
        <v>83</v>
      </c>
      <c r="E406" s="116">
        <v>550</v>
      </c>
      <c r="F406" s="116">
        <v>1937</v>
      </c>
      <c r="G406" s="10" t="s">
        <v>100</v>
      </c>
      <c r="H406" s="122">
        <v>7</v>
      </c>
      <c r="I406" s="116">
        <v>90</v>
      </c>
      <c r="J406" s="116">
        <v>90</v>
      </c>
      <c r="K406" s="116">
        <v>90</v>
      </c>
      <c r="L406" s="122">
        <v>23.3</v>
      </c>
      <c r="M406" s="122">
        <v>6.8</v>
      </c>
      <c r="N406" s="79">
        <v>2.92</v>
      </c>
      <c r="O406" s="116">
        <v>13</v>
      </c>
      <c r="P406" s="122">
        <v>7.4</v>
      </c>
      <c r="Q406" s="79">
        <v>0.06</v>
      </c>
      <c r="R406" s="79">
        <v>22.36</v>
      </c>
      <c r="S406" s="79">
        <v>0.88</v>
      </c>
      <c r="T406" s="79">
        <v>0.7</v>
      </c>
      <c r="U406" s="85">
        <f t="shared" si="48"/>
        <v>1275.99875</v>
      </c>
      <c r="V406" s="79">
        <f t="shared" si="49"/>
        <v>1375.1825510799999</v>
      </c>
      <c r="W406" s="79">
        <f t="shared" si="50"/>
        <v>1.0777303277765751</v>
      </c>
      <c r="X406" s="116">
        <v>2</v>
      </c>
      <c r="Y406" s="116">
        <v>4</v>
      </c>
      <c r="Z406" s="122">
        <v>6.51</v>
      </c>
      <c r="AA406" s="116">
        <v>17</v>
      </c>
      <c r="AB406" s="122">
        <v>6.4</v>
      </c>
      <c r="AC406" s="122">
        <v>5.5</v>
      </c>
      <c r="AD406" s="10">
        <v>0.14000000000000001</v>
      </c>
      <c r="AE406" s="79">
        <v>0.28000000000000003</v>
      </c>
      <c r="AF406" s="85">
        <f t="shared" si="51"/>
        <v>1701.3316666666665</v>
      </c>
      <c r="AG406" s="85">
        <f t="shared" si="52"/>
        <v>1941.4341897599998</v>
      </c>
      <c r="AH406" s="85">
        <f t="shared" si="53"/>
        <v>1.1411262294104911</v>
      </c>
      <c r="AI406" s="116">
        <v>2</v>
      </c>
      <c r="AJ406" s="116">
        <v>3</v>
      </c>
      <c r="AK406" s="79">
        <v>6.51</v>
      </c>
      <c r="AL406" s="79">
        <v>24</v>
      </c>
      <c r="AM406" s="122">
        <v>6.4</v>
      </c>
      <c r="AN406" s="122">
        <v>5.3</v>
      </c>
      <c r="AO406" s="79">
        <v>0.15</v>
      </c>
      <c r="AP406" s="127">
        <v>0.28999999999999998</v>
      </c>
      <c r="AQ406" s="132">
        <f t="shared" si="54"/>
        <v>1801</v>
      </c>
      <c r="AR406" s="134">
        <f t="shared" si="55"/>
        <v>0.64852859522487505</v>
      </c>
      <c r="AS406" s="134">
        <f t="shared" si="56"/>
        <v>4.6085508051082733E-2</v>
      </c>
      <c r="AT406" s="134">
        <f t="shared" si="57"/>
        <v>0.30538589672404221</v>
      </c>
      <c r="AU406" s="43">
        <f>IF(AND(F406&lt;&gt;"",Y406&lt;&gt;""),AA406/(F406/2/Y406),"")</f>
        <v>7.0211667527103769E-2</v>
      </c>
      <c r="AV406" s="43">
        <f>IF(AND(F406&lt;&gt;"",AJ406&lt;&gt;""),AL406/(F406/2/AJ406),"")</f>
        <v>7.4341765616933411E-2</v>
      </c>
      <c r="AW406" s="41">
        <f>IF(AND(AP406&lt;&gt;"",1-(AP406/N406)&gt;0),1-(AP406/N406),"")</f>
        <v>0.90068493150684936</v>
      </c>
      <c r="AX406" s="41">
        <f>IF(AND(AE406&lt;&gt;"",1-(AE406/N406)&gt;0),1-(AE406/N406),"")</f>
        <v>0.90410958904109584</v>
      </c>
      <c r="AY406" s="136" t="str">
        <f>IF(P406="","",IF(P406&lt;2.5,"Alc. Bruta &lt; 2,5 mg/L",IF(P406&lt;5,"2,5 ≤ Alc. Bruta &lt; 5,0 mg/L",IF(P406&lt;7.5,"5,0 ≤ Alc. Bruta &lt; 7,5 mg/L",IF(P406&lt;10,"7,5 ≤ Alc. Bruta &lt; 10,0 mg/L",IF(P406&lt;15,"10,0 ≤ Alca. Bruta &lt; 15,0 mg/L","Alc. Bruta &gt; 15 mg/L"))))))</f>
        <v>5,0 ≤ Alc. Bruta &lt; 7,5 mg/L</v>
      </c>
      <c r="AZ406" s="136" t="str">
        <f>IF(O406="","",IF(O406&lt;5,"Cor &lt;5 uC",IF(O406&lt;10,"5 ≤ Cor &lt; 10 uC",IF(O406&lt;15,"10 ≤ Cor &lt;15 uC",IF(O406&lt;30,"15 ≤ Cor &lt; 30 uC",IF(O406&lt;50,"30 ≤ Cor &lt; 50 uC","Cor &gt; 50 uC"))))))</f>
        <v>10 ≤ Cor &lt;15 uC</v>
      </c>
      <c r="BA406" s="137" t="str">
        <f>IF(N406="","",IF(N406&lt;2.5,"Turbidez &lt; 2,5 uT",IF(N406&lt;5,"2,5 ≤ Turb &lt; 5,0 uT",IF(N406&lt;7.5,"5,0 ≤ Turb &lt; 7,5 uT",IF(N406&lt;10,"7,5 ≤ Turb &lt; 10,0 uT",IF(N406&lt;15,"10,0 ≤ Turb &lt; 15,0 uT","Turb &gt; 15 uT"))))))</f>
        <v>2,5 ≤ Turb &lt; 5,0 uT</v>
      </c>
      <c r="BB406" s="138" t="str">
        <f>IF(AND(C406&gt;D406,D406&gt;E406),"TOR &gt; SM &gt; BNN",IF(AND(C406&gt;E406,E406&gt;D406),"TOR &gt; BNN &gt; SM",IF(AND(D406&gt;C406,C406&gt;E406),"SM &gt; TOR &gt; BNN",IF(AND(D406&gt;E406,E406&gt;C406),"SM &gt; BNN &gt; TOR",IF(AND(C406=D406,D406=E406),"TOR = SM = BNN","Comb. diferentes")))))</f>
        <v>TOR &gt; BNN &gt; SM</v>
      </c>
      <c r="BC406" s="137" t="str">
        <f>IF(OR(AD406="",AP406="-"),"",IF(AD406&lt;=0.25,"Tipo 1 (≤0,25) uT",IF(AD406&lt;=0.5,"Tipo 2 (0,25-0,50) uT",IF(AD406&lt;=0.75,"Tipo 3 (0,50-0,75) uT","Tipo 4 (&gt;0,75) uT"))))</f>
        <v>Tipo 1 (≤0,25) uT</v>
      </c>
      <c r="BD406" s="137" t="str">
        <f>IF(OR(AO406="",AY406="-"),"",IF(AO406&lt;=0.25,"Tipo 1 (≤0,25) uT",IF(AO406&lt;=0.5,"Tipo 2 (0,25-0,50) uT",IF(AO406&lt;=0.75,"Tipo 3 (0,50-0,75) uT","Tipo 4 (&gt;0,75) uT"))))</f>
        <v>Tipo 1 (≤0,25) uT</v>
      </c>
      <c r="BE406" s="137" t="str">
        <f>IF(OR(AE406="",AP406="-"),"",IF(AE406&lt;=0.25,"Tipo 1 (≤0,25) uT",IF(AE406&lt;=0.5,"Tipo 2 (0,25-0,50) uT",IF(AE406&lt;=0.75,"Tipo 3 (0,50-0,75) uT","Tipo 4 (&gt;0,75) uT"))))</f>
        <v>Tipo 2 (0,25-0,50) uT</v>
      </c>
      <c r="BF406" s="137" t="str">
        <f>IF(OR(AP406="",AP406="-"),"",IF(AP406&lt;=0.25,"Tipo 1 (≤0,25) uT",IF(AP406&lt;=0.5,"Tipo 2 (0,25-0,50) uT",IF(AP406&lt;=0.75,"Tipo 3 (0,50-0,75) uT","Tipo 4 (&gt;0,75) uT"))))</f>
        <v>Tipo 2 (0,25-0,50) uT</v>
      </c>
      <c r="BG406" s="137" t="str">
        <f>IF(OR(Q406="",Q406="-"),"",IF(Q406&lt;=0.25,"Tipo 1 (≤0,25) uT",IF(Q406&lt;=0.5,"Tipo 2 (0,25-0,50) uT",IF(Q406&lt;=0.75,"Tipo 3 (0,50-0,75) uT","Tipo 4 (&gt;0,75) uT"))))</f>
        <v>Tipo 1 (≤0,25) uT</v>
      </c>
    </row>
    <row r="407" spans="1:59" x14ac:dyDescent="0.3">
      <c r="A407" s="26">
        <v>46169</v>
      </c>
      <c r="B407" s="107">
        <v>0.14583333333333334</v>
      </c>
      <c r="C407" s="116">
        <v>1159</v>
      </c>
      <c r="D407" s="116">
        <v>84</v>
      </c>
      <c r="E407" s="116">
        <v>550</v>
      </c>
      <c r="F407" s="116">
        <v>1945</v>
      </c>
      <c r="G407" s="10" t="s">
        <v>100</v>
      </c>
      <c r="H407" s="122">
        <v>7</v>
      </c>
      <c r="I407" s="116">
        <v>90</v>
      </c>
      <c r="J407" s="116">
        <v>90</v>
      </c>
      <c r="K407" s="116">
        <v>90</v>
      </c>
      <c r="L407" s="122">
        <v>22.7</v>
      </c>
      <c r="M407" s="122">
        <v>6.9</v>
      </c>
      <c r="N407" s="79">
        <v>2.9</v>
      </c>
      <c r="O407" s="116">
        <v>14</v>
      </c>
      <c r="P407" s="122">
        <v>7</v>
      </c>
      <c r="Q407" s="79">
        <v>0.06</v>
      </c>
      <c r="R407" s="79">
        <v>22.36</v>
      </c>
      <c r="S407" s="79">
        <v>0.88</v>
      </c>
      <c r="T407" s="79">
        <v>0.7</v>
      </c>
      <c r="U407" s="85">
        <f t="shared" si="48"/>
        <v>1276.40625</v>
      </c>
      <c r="V407" s="79">
        <f t="shared" si="49"/>
        <v>1372.556302</v>
      </c>
      <c r="W407" s="79">
        <f t="shared" si="50"/>
        <v>1.0753287223405557</v>
      </c>
      <c r="X407" s="116">
        <v>2</v>
      </c>
      <c r="Y407" s="116">
        <v>4</v>
      </c>
      <c r="Z407" s="122">
        <v>6.5</v>
      </c>
      <c r="AA407" s="116">
        <v>17</v>
      </c>
      <c r="AB407" s="122">
        <v>6.4</v>
      </c>
      <c r="AC407" s="122">
        <v>5.8</v>
      </c>
      <c r="AD407" s="10">
        <v>0.21</v>
      </c>
      <c r="AE407" s="79">
        <v>0.28000000000000003</v>
      </c>
      <c r="AF407" s="85">
        <f t="shared" si="51"/>
        <v>1701.875</v>
      </c>
      <c r="AG407" s="85">
        <f t="shared" si="52"/>
        <v>1937.7265440000001</v>
      </c>
      <c r="AH407" s="85">
        <f t="shared" si="53"/>
        <v>1.1385833530664708</v>
      </c>
      <c r="AI407" s="116">
        <v>2</v>
      </c>
      <c r="AJ407" s="116">
        <v>3</v>
      </c>
      <c r="AK407" s="79">
        <v>6.5</v>
      </c>
      <c r="AL407" s="79">
        <v>24</v>
      </c>
      <c r="AM407" s="122">
        <v>6.5</v>
      </c>
      <c r="AN407" s="122">
        <v>5.0999999999999996</v>
      </c>
      <c r="AO407" s="79">
        <v>0.2</v>
      </c>
      <c r="AP407" s="127">
        <v>0.37</v>
      </c>
      <c r="AQ407" s="132">
        <f t="shared" si="54"/>
        <v>1793</v>
      </c>
      <c r="AR407" s="134">
        <f t="shared" si="55"/>
        <v>0.64640267707752375</v>
      </c>
      <c r="AS407" s="134">
        <f t="shared" si="56"/>
        <v>4.6848856664807585E-2</v>
      </c>
      <c r="AT407" s="134">
        <f t="shared" si="57"/>
        <v>0.30674846625766872</v>
      </c>
      <c r="AU407" s="43">
        <f>IF(AND(F407&lt;&gt;"",Y407&lt;&gt;""),AA407/(F407/2/Y407),"")</f>
        <v>6.9922879177377897E-2</v>
      </c>
      <c r="AV407" s="43">
        <f>IF(AND(F407&lt;&gt;"",AJ407&lt;&gt;""),AL407/(F407/2/AJ407),"")</f>
        <v>7.4035989717223652E-2</v>
      </c>
      <c r="AW407" s="41">
        <f>IF(AND(AP407&lt;&gt;"",1-(AP407/N407)&gt;0),1-(AP407/N407),"")</f>
        <v>0.87241379310344824</v>
      </c>
      <c r="AX407" s="41">
        <f>IF(AND(AE407&lt;&gt;"",1-(AE407/N407)&gt;0),1-(AE407/N407),"")</f>
        <v>0.90344827586206899</v>
      </c>
      <c r="AY407" s="136" t="str">
        <f>IF(P407="","",IF(P407&lt;2.5,"Alc. Bruta &lt; 2,5 mg/L",IF(P407&lt;5,"2,5 ≤ Alc. Bruta &lt; 5,0 mg/L",IF(P407&lt;7.5,"5,0 ≤ Alc. Bruta &lt; 7,5 mg/L",IF(P407&lt;10,"7,5 ≤ Alc. Bruta &lt; 10,0 mg/L",IF(P407&lt;15,"10,0 ≤ Alca. Bruta &lt; 15,0 mg/L","Alc. Bruta &gt; 15 mg/L"))))))</f>
        <v>5,0 ≤ Alc. Bruta &lt; 7,5 mg/L</v>
      </c>
      <c r="AZ407" s="136" t="str">
        <f>IF(O407="","",IF(O407&lt;5,"Cor &lt;5 uC",IF(O407&lt;10,"5 ≤ Cor &lt; 10 uC",IF(O407&lt;15,"10 ≤ Cor &lt;15 uC",IF(O407&lt;30,"15 ≤ Cor &lt; 30 uC",IF(O407&lt;50,"30 ≤ Cor &lt; 50 uC","Cor &gt; 50 uC"))))))</f>
        <v>10 ≤ Cor &lt;15 uC</v>
      </c>
      <c r="BA407" s="137" t="str">
        <f>IF(N407="","",IF(N407&lt;2.5,"Turbidez &lt; 2,5 uT",IF(N407&lt;5,"2,5 ≤ Turb &lt; 5,0 uT",IF(N407&lt;7.5,"5,0 ≤ Turb &lt; 7,5 uT",IF(N407&lt;10,"7,5 ≤ Turb &lt; 10,0 uT",IF(N407&lt;15,"10,0 ≤ Turb &lt; 15,0 uT","Turb &gt; 15 uT"))))))</f>
        <v>2,5 ≤ Turb &lt; 5,0 uT</v>
      </c>
      <c r="BB407" s="138" t="str">
        <f>IF(AND(C407&gt;D407,D407&gt;E407),"TOR &gt; SM &gt; BNN",IF(AND(C407&gt;E407,E407&gt;D407),"TOR &gt; BNN &gt; SM",IF(AND(D407&gt;C407,C407&gt;E407),"SM &gt; TOR &gt; BNN",IF(AND(D407&gt;E407,E407&gt;C407),"SM &gt; BNN &gt; TOR",IF(AND(C407=D407,D407=E407),"TOR = SM = BNN","Comb. diferentes")))))</f>
        <v>TOR &gt; BNN &gt; SM</v>
      </c>
      <c r="BC407" s="137" t="str">
        <f>IF(OR(AD407="",AP407="-"),"",IF(AD407&lt;=0.25,"Tipo 1 (≤0,25) uT",IF(AD407&lt;=0.5,"Tipo 2 (0,25-0,50) uT",IF(AD407&lt;=0.75,"Tipo 3 (0,50-0,75) uT","Tipo 4 (&gt;0,75) uT"))))</f>
        <v>Tipo 1 (≤0,25) uT</v>
      </c>
      <c r="BD407" s="137" t="str">
        <f>IF(OR(AO407="",AY407="-"),"",IF(AO407&lt;=0.25,"Tipo 1 (≤0,25) uT",IF(AO407&lt;=0.5,"Tipo 2 (0,25-0,50) uT",IF(AO407&lt;=0.75,"Tipo 3 (0,50-0,75) uT","Tipo 4 (&gt;0,75) uT"))))</f>
        <v>Tipo 1 (≤0,25) uT</v>
      </c>
      <c r="BE407" s="137" t="str">
        <f>IF(OR(AE407="",AP407="-"),"",IF(AE407&lt;=0.25,"Tipo 1 (≤0,25) uT",IF(AE407&lt;=0.5,"Tipo 2 (0,25-0,50) uT",IF(AE407&lt;=0.75,"Tipo 3 (0,50-0,75) uT","Tipo 4 (&gt;0,75) uT"))))</f>
        <v>Tipo 2 (0,25-0,50) uT</v>
      </c>
      <c r="BF407" s="137" t="str">
        <f>IF(OR(AP407="",AP407="-"),"",IF(AP407&lt;=0.25,"Tipo 1 (≤0,25) uT",IF(AP407&lt;=0.5,"Tipo 2 (0,25-0,50) uT",IF(AP407&lt;=0.75,"Tipo 3 (0,50-0,75) uT","Tipo 4 (&gt;0,75) uT"))))</f>
        <v>Tipo 2 (0,25-0,50) uT</v>
      </c>
      <c r="BG407" s="137" t="str">
        <f>IF(OR(Q407="",Q407="-"),"",IF(Q407&lt;=0.25,"Tipo 1 (≤0,25) uT",IF(Q407&lt;=0.5,"Tipo 2 (0,25-0,50) uT",IF(Q407&lt;=0.75,"Tipo 3 (0,50-0,75) uT","Tipo 4 (&gt;0,75) uT"))))</f>
        <v>Tipo 1 (≤0,25) uT</v>
      </c>
    </row>
    <row r="408" spans="1:59" ht="15" thickBot="1" x14ac:dyDescent="0.35">
      <c r="A408" s="26">
        <v>46169</v>
      </c>
      <c r="B408" s="110">
        <v>0.22916666666666666</v>
      </c>
      <c r="C408" s="117">
        <v>1162</v>
      </c>
      <c r="D408" s="117">
        <v>84</v>
      </c>
      <c r="E408" s="117">
        <v>548</v>
      </c>
      <c r="F408" s="117">
        <v>2007</v>
      </c>
      <c r="G408" s="11" t="s">
        <v>100</v>
      </c>
      <c r="H408" s="123">
        <v>7</v>
      </c>
      <c r="I408" s="117">
        <v>90</v>
      </c>
      <c r="J408" s="117">
        <v>90</v>
      </c>
      <c r="K408" s="117">
        <v>90</v>
      </c>
      <c r="L408" s="123">
        <v>22.8</v>
      </c>
      <c r="M408" s="123">
        <v>7.1</v>
      </c>
      <c r="N408" s="80">
        <v>3</v>
      </c>
      <c r="O408" s="117">
        <v>13</v>
      </c>
      <c r="P408" s="123">
        <v>7.2</v>
      </c>
      <c r="Q408" s="80">
        <v>0.05</v>
      </c>
      <c r="R408" s="79">
        <v>22.36</v>
      </c>
      <c r="S408" s="79">
        <v>0.88</v>
      </c>
      <c r="T408" s="79">
        <v>0.7</v>
      </c>
      <c r="U408" s="85">
        <f t="shared" si="48"/>
        <v>1342.1812499999999</v>
      </c>
      <c r="V408" s="79">
        <f t="shared" si="49"/>
        <v>1375.1825510799999</v>
      </c>
      <c r="W408" s="79">
        <f t="shared" si="50"/>
        <v>1.0245878126221777</v>
      </c>
      <c r="X408" s="117">
        <v>2</v>
      </c>
      <c r="Y408" s="117">
        <v>4</v>
      </c>
      <c r="Z408" s="123">
        <v>6.51</v>
      </c>
      <c r="AA408" s="117">
        <v>17</v>
      </c>
      <c r="AB408" s="123">
        <v>6.7</v>
      </c>
      <c r="AC408" s="123">
        <v>5.5</v>
      </c>
      <c r="AD408" s="11">
        <v>0.31</v>
      </c>
      <c r="AE408" s="80">
        <v>0.28000000000000003</v>
      </c>
      <c r="AF408" s="85">
        <f t="shared" si="51"/>
        <v>1789.5749999999998</v>
      </c>
      <c r="AG408" s="85">
        <f t="shared" si="52"/>
        <v>1934.0188982399998</v>
      </c>
      <c r="AH408" s="85">
        <f t="shared" si="53"/>
        <v>1.0807140791752232</v>
      </c>
      <c r="AI408" s="117">
        <v>2</v>
      </c>
      <c r="AJ408" s="117">
        <v>3</v>
      </c>
      <c r="AK408" s="80">
        <v>6.49</v>
      </c>
      <c r="AL408" s="80">
        <v>24</v>
      </c>
      <c r="AM408" s="123">
        <v>6.5</v>
      </c>
      <c r="AN408" s="123">
        <v>4.8</v>
      </c>
      <c r="AO408" s="80">
        <v>0.43</v>
      </c>
      <c r="AP408" s="128">
        <v>0.41</v>
      </c>
      <c r="AQ408" s="132">
        <f t="shared" si="54"/>
        <v>1794</v>
      </c>
      <c r="AR408" s="134">
        <f t="shared" si="55"/>
        <v>0.64771460423634342</v>
      </c>
      <c r="AS408" s="134">
        <f t="shared" si="56"/>
        <v>4.6822742474916385E-2</v>
      </c>
      <c r="AT408" s="134">
        <f t="shared" si="57"/>
        <v>0.30546265328874023</v>
      </c>
      <c r="AU408" s="43">
        <f>IF(AND(F408&lt;&gt;"",Y408&lt;&gt;""),AA408/(F408/2/Y408),"")</f>
        <v>6.7762830094668658E-2</v>
      </c>
      <c r="AV408" s="43">
        <f>IF(AND(F408&lt;&gt;"",AJ408&lt;&gt;""),AL408/(F408/2/AJ408),"")</f>
        <v>7.1748878923766815E-2</v>
      </c>
      <c r="AW408" s="41">
        <f>IF(AND(AP408&lt;&gt;"",1-(AP408/N408)&gt;0),1-(AP408/N408),"")</f>
        <v>0.86333333333333329</v>
      </c>
      <c r="AX408" s="41">
        <f>IF(AND(AE408&lt;&gt;"",1-(AE408/N408)&gt;0),1-(AE408/N408),"")</f>
        <v>0.90666666666666662</v>
      </c>
      <c r="AY408" s="136" t="str">
        <f>IF(P408="","",IF(P408&lt;2.5,"Alc. Bruta &lt; 2,5 mg/L",IF(P408&lt;5,"2,5 ≤ Alc. Bruta &lt; 5,0 mg/L",IF(P408&lt;7.5,"5,0 ≤ Alc. Bruta &lt; 7,5 mg/L",IF(P408&lt;10,"7,5 ≤ Alc. Bruta &lt; 10,0 mg/L",IF(P408&lt;15,"10,0 ≤ Alca. Bruta &lt; 15,0 mg/L","Alc. Bruta &gt; 15 mg/L"))))))</f>
        <v>5,0 ≤ Alc. Bruta &lt; 7,5 mg/L</v>
      </c>
      <c r="AZ408" s="136" t="str">
        <f>IF(O408="","",IF(O408&lt;5,"Cor &lt;5 uC",IF(O408&lt;10,"5 ≤ Cor &lt; 10 uC",IF(O408&lt;15,"10 ≤ Cor &lt;15 uC",IF(O408&lt;30,"15 ≤ Cor &lt; 30 uC",IF(O408&lt;50,"30 ≤ Cor &lt; 50 uC","Cor &gt; 50 uC"))))))</f>
        <v>10 ≤ Cor &lt;15 uC</v>
      </c>
      <c r="BA408" s="137" t="str">
        <f>IF(N408="","",IF(N408&lt;2.5,"Turbidez &lt; 2,5 uT",IF(N408&lt;5,"2,5 ≤ Turb &lt; 5,0 uT",IF(N408&lt;7.5,"5,0 ≤ Turb &lt; 7,5 uT",IF(N408&lt;10,"7,5 ≤ Turb &lt; 10,0 uT",IF(N408&lt;15,"10,0 ≤ Turb &lt; 15,0 uT","Turb &gt; 15 uT"))))))</f>
        <v>2,5 ≤ Turb &lt; 5,0 uT</v>
      </c>
      <c r="BB408" s="138" t="str">
        <f>IF(AND(C408&gt;D408,D408&gt;E408),"TOR &gt; SM &gt; BNN",IF(AND(C408&gt;E408,E408&gt;D408),"TOR &gt; BNN &gt; SM",IF(AND(D408&gt;C408,C408&gt;E408),"SM &gt; TOR &gt; BNN",IF(AND(D408&gt;E408,E408&gt;C408),"SM &gt; BNN &gt; TOR",IF(AND(C408=D408,D408=E408),"TOR = SM = BNN","Comb. diferentes")))))</f>
        <v>TOR &gt; BNN &gt; SM</v>
      </c>
      <c r="BC408" s="137" t="str">
        <f>IF(OR(AD408="",AP408="-"),"",IF(AD408&lt;=0.25,"Tipo 1 (≤0,25) uT",IF(AD408&lt;=0.5,"Tipo 2 (0,25-0,50) uT",IF(AD408&lt;=0.75,"Tipo 3 (0,50-0,75) uT","Tipo 4 (&gt;0,75) uT"))))</f>
        <v>Tipo 2 (0,25-0,50) uT</v>
      </c>
      <c r="BD408" s="137" t="str">
        <f>IF(OR(AO408="",AY408="-"),"",IF(AO408&lt;=0.25,"Tipo 1 (≤0,25) uT",IF(AO408&lt;=0.5,"Tipo 2 (0,25-0,50) uT",IF(AO408&lt;=0.75,"Tipo 3 (0,50-0,75) uT","Tipo 4 (&gt;0,75) uT"))))</f>
        <v>Tipo 2 (0,25-0,50) uT</v>
      </c>
      <c r="BE408" s="137" t="str">
        <f>IF(OR(AE408="",AP408="-"),"",IF(AE408&lt;=0.25,"Tipo 1 (≤0,25) uT",IF(AE408&lt;=0.5,"Tipo 2 (0,25-0,50) uT",IF(AE408&lt;=0.75,"Tipo 3 (0,50-0,75) uT","Tipo 4 (&gt;0,75) uT"))))</f>
        <v>Tipo 2 (0,25-0,50) uT</v>
      </c>
      <c r="BF408" s="137" t="str">
        <f>IF(OR(AP408="",AP408="-"),"",IF(AP408&lt;=0.25,"Tipo 1 (≤0,25) uT",IF(AP408&lt;=0.5,"Tipo 2 (0,25-0,50) uT",IF(AP408&lt;=0.75,"Tipo 3 (0,50-0,75) uT","Tipo 4 (&gt;0,75) uT"))))</f>
        <v>Tipo 2 (0,25-0,50) uT</v>
      </c>
      <c r="BG408" s="137" t="str">
        <f>IF(OR(Q408="",Q408="-"),"",IF(Q408&lt;=0.25,"Tipo 1 (≤0,25) uT",IF(Q408&lt;=0.5,"Tipo 2 (0,25-0,50) uT",IF(Q408&lt;=0.75,"Tipo 3 (0,50-0,75) uT","Tipo 4 (&gt;0,75) uT"))))</f>
        <v>Tipo 1 (≤0,25) uT</v>
      </c>
    </row>
    <row r="409" spans="1:59" x14ac:dyDescent="0.3">
      <c r="A409" s="26">
        <v>46169</v>
      </c>
      <c r="B409" s="111">
        <v>0.3125</v>
      </c>
      <c r="C409" s="118">
        <v>1139</v>
      </c>
      <c r="D409" s="116">
        <v>85</v>
      </c>
      <c r="E409" s="118">
        <v>550</v>
      </c>
      <c r="F409" s="118">
        <v>1904</v>
      </c>
      <c r="G409" s="9" t="s">
        <v>100</v>
      </c>
      <c r="H409" s="124">
        <v>7</v>
      </c>
      <c r="I409" s="118">
        <v>90</v>
      </c>
      <c r="J409" s="118">
        <v>90</v>
      </c>
      <c r="K409" s="118">
        <v>90</v>
      </c>
      <c r="L409" s="124">
        <v>22.5</v>
      </c>
      <c r="M409" s="124">
        <v>6.7</v>
      </c>
      <c r="N409" s="81">
        <v>2.68</v>
      </c>
      <c r="O409" s="118">
        <v>12</v>
      </c>
      <c r="P409" s="124">
        <v>7.6</v>
      </c>
      <c r="Q409" s="81">
        <v>0.06</v>
      </c>
      <c r="R409" s="79">
        <v>22.36</v>
      </c>
      <c r="S409" s="79">
        <v>0.88</v>
      </c>
      <c r="T409" s="79">
        <v>0.7</v>
      </c>
      <c r="U409" s="85">
        <f t="shared" si="48"/>
        <v>1197.1400000000001</v>
      </c>
      <c r="V409" s="79">
        <f t="shared" si="49"/>
        <v>1377.8088001599995</v>
      </c>
      <c r="W409" s="79">
        <f t="shared" si="50"/>
        <v>1.1509170190286846</v>
      </c>
      <c r="X409" s="118">
        <v>2</v>
      </c>
      <c r="Y409" s="118">
        <v>4</v>
      </c>
      <c r="Z409" s="124">
        <v>6.52</v>
      </c>
      <c r="AA409" s="118">
        <v>17</v>
      </c>
      <c r="AB409" s="124">
        <v>6.6</v>
      </c>
      <c r="AC409" s="124">
        <v>4.4000000000000004</v>
      </c>
      <c r="AD409" s="9">
        <v>0.23</v>
      </c>
      <c r="AE409" s="81">
        <v>0.28000000000000003</v>
      </c>
      <c r="AF409" s="85">
        <f t="shared" si="51"/>
        <v>1596.1866666666667</v>
      </c>
      <c r="AG409" s="85">
        <f t="shared" si="52"/>
        <v>1900.6500864</v>
      </c>
      <c r="AH409" s="85">
        <f t="shared" si="53"/>
        <v>1.1907442444492706</v>
      </c>
      <c r="AI409" s="118">
        <v>2</v>
      </c>
      <c r="AJ409" s="118">
        <v>3</v>
      </c>
      <c r="AK409" s="81">
        <v>6.4</v>
      </c>
      <c r="AL409" s="81">
        <v>24</v>
      </c>
      <c r="AM409" s="124">
        <v>6.8</v>
      </c>
      <c r="AN409" s="124">
        <v>4.9000000000000004</v>
      </c>
      <c r="AO409" s="81">
        <v>0.15</v>
      </c>
      <c r="AP409" s="129">
        <v>0.41</v>
      </c>
      <c r="AQ409" s="132">
        <f t="shared" si="54"/>
        <v>1774</v>
      </c>
      <c r="AR409" s="134">
        <f t="shared" si="55"/>
        <v>0.64205186020293126</v>
      </c>
      <c r="AS409" s="134">
        <f t="shared" si="56"/>
        <v>4.7914317925591886E-2</v>
      </c>
      <c r="AT409" s="134">
        <f t="shared" si="57"/>
        <v>0.31003382187147688</v>
      </c>
      <c r="AU409" s="43">
        <f>IF(AND(F409&lt;&gt;"",Y409&lt;&gt;""),AA409/(F409/2/Y409),"")</f>
        <v>7.1428571428571425E-2</v>
      </c>
      <c r="AV409" s="43">
        <f>IF(AND(F409&lt;&gt;"",AJ409&lt;&gt;""),AL409/(F409/2/AJ409),"")</f>
        <v>7.5630252100840345E-2</v>
      </c>
      <c r="AW409" s="41">
        <f>IF(AND(AP409&lt;&gt;"",1-(AP409/N409)&gt;0),1-(AP409/N409),"")</f>
        <v>0.84701492537313439</v>
      </c>
      <c r="AX409" s="41">
        <f>IF(AND(AE409&lt;&gt;"",1-(AE409/N409)&gt;0),1-(AE409/N409),"")</f>
        <v>0.89552238805970152</v>
      </c>
      <c r="AY409" s="136" t="str">
        <f>IF(P409="","",IF(P409&lt;2.5,"Alc. Bruta &lt; 2,5 mg/L",IF(P409&lt;5,"2,5 ≤ Alc. Bruta &lt; 5,0 mg/L",IF(P409&lt;7.5,"5,0 ≤ Alc. Bruta &lt; 7,5 mg/L",IF(P409&lt;10,"7,5 ≤ Alc. Bruta &lt; 10,0 mg/L",IF(P409&lt;15,"10,0 ≤ Alca. Bruta &lt; 15,0 mg/L","Alc. Bruta &gt; 15 mg/L"))))))</f>
        <v>7,5 ≤ Alc. Bruta &lt; 10,0 mg/L</v>
      </c>
      <c r="AZ409" s="136" t="str">
        <f>IF(O409="","",IF(O409&lt;5,"Cor &lt;5 uC",IF(O409&lt;10,"5 ≤ Cor &lt; 10 uC",IF(O409&lt;15,"10 ≤ Cor &lt;15 uC",IF(O409&lt;30,"15 ≤ Cor &lt; 30 uC",IF(O409&lt;50,"30 ≤ Cor &lt; 50 uC","Cor &gt; 50 uC"))))))</f>
        <v>10 ≤ Cor &lt;15 uC</v>
      </c>
      <c r="BA409" s="137" t="str">
        <f>IF(N409="","",IF(N409&lt;2.5,"Turbidez &lt; 2,5 uT",IF(N409&lt;5,"2,5 ≤ Turb &lt; 5,0 uT",IF(N409&lt;7.5,"5,0 ≤ Turb &lt; 7,5 uT",IF(N409&lt;10,"7,5 ≤ Turb &lt; 10,0 uT",IF(N409&lt;15,"10,0 ≤ Turb &lt; 15,0 uT","Turb &gt; 15 uT"))))))</f>
        <v>2,5 ≤ Turb &lt; 5,0 uT</v>
      </c>
      <c r="BB409" s="138" t="str">
        <f>IF(AND(C409&gt;D409,D409&gt;E409),"TOR &gt; SM &gt; BNN",IF(AND(C409&gt;E409,E409&gt;D409),"TOR &gt; BNN &gt; SM",IF(AND(D409&gt;C409,C409&gt;E409),"SM &gt; TOR &gt; BNN",IF(AND(D409&gt;E409,E409&gt;C409),"SM &gt; BNN &gt; TOR",IF(AND(C409=D409,D409=E409),"TOR = SM = BNN","Comb. diferentes")))))</f>
        <v>TOR &gt; BNN &gt; SM</v>
      </c>
      <c r="BC409" s="137" t="str">
        <f>IF(OR(AD409="",AP409="-"),"",IF(AD409&lt;=0.25,"Tipo 1 (≤0,25) uT",IF(AD409&lt;=0.5,"Tipo 2 (0,25-0,50) uT",IF(AD409&lt;=0.75,"Tipo 3 (0,50-0,75) uT","Tipo 4 (&gt;0,75) uT"))))</f>
        <v>Tipo 1 (≤0,25) uT</v>
      </c>
      <c r="BD409" s="137" t="str">
        <f>IF(OR(AO409="",AY409="-"),"",IF(AO409&lt;=0.25,"Tipo 1 (≤0,25) uT",IF(AO409&lt;=0.5,"Tipo 2 (0,25-0,50) uT",IF(AO409&lt;=0.75,"Tipo 3 (0,50-0,75) uT","Tipo 4 (&gt;0,75) uT"))))</f>
        <v>Tipo 1 (≤0,25) uT</v>
      </c>
      <c r="BE409" s="137" t="str">
        <f>IF(OR(AE409="",AP409="-"),"",IF(AE409&lt;=0.25,"Tipo 1 (≤0,25) uT",IF(AE409&lt;=0.5,"Tipo 2 (0,25-0,50) uT",IF(AE409&lt;=0.75,"Tipo 3 (0,50-0,75) uT","Tipo 4 (&gt;0,75) uT"))))</f>
        <v>Tipo 2 (0,25-0,50) uT</v>
      </c>
      <c r="BF409" s="137" t="str">
        <f>IF(OR(AP409="",AP409="-"),"",IF(AP409&lt;=0.25,"Tipo 1 (≤0,25) uT",IF(AP409&lt;=0.5,"Tipo 2 (0,25-0,50) uT",IF(AP409&lt;=0.75,"Tipo 3 (0,50-0,75) uT","Tipo 4 (&gt;0,75) uT"))))</f>
        <v>Tipo 2 (0,25-0,50) uT</v>
      </c>
      <c r="BG409" s="137" t="str">
        <f>IF(OR(Q409="",Q409="-"),"",IF(Q409&lt;=0.25,"Tipo 1 (≤0,25) uT",IF(Q409&lt;=0.5,"Tipo 2 (0,25-0,50) uT",IF(Q409&lt;=0.75,"Tipo 3 (0,50-0,75) uT","Tipo 4 (&gt;0,75) uT"))))</f>
        <v>Tipo 1 (≤0,25) uT</v>
      </c>
    </row>
    <row r="410" spans="1:59" x14ac:dyDescent="0.3">
      <c r="A410" s="26">
        <v>46169</v>
      </c>
      <c r="B410" s="107">
        <v>0.39583333333333331</v>
      </c>
      <c r="C410" s="116">
        <v>522</v>
      </c>
      <c r="D410" s="116">
        <v>985</v>
      </c>
      <c r="E410" s="116">
        <v>550</v>
      </c>
      <c r="F410" s="116">
        <v>2054</v>
      </c>
      <c r="G410" s="10" t="s">
        <v>100</v>
      </c>
      <c r="H410" s="122">
        <v>7</v>
      </c>
      <c r="I410" s="116">
        <v>90</v>
      </c>
      <c r="J410" s="116">
        <v>90</v>
      </c>
      <c r="K410" s="116">
        <v>90</v>
      </c>
      <c r="L410" s="122">
        <v>22.7</v>
      </c>
      <c r="M410" s="122">
        <v>6.8</v>
      </c>
      <c r="N410" s="79">
        <v>2.94</v>
      </c>
      <c r="O410" s="116">
        <v>14</v>
      </c>
      <c r="P410" s="122">
        <v>7.6</v>
      </c>
      <c r="Q410" s="79">
        <v>0.06</v>
      </c>
      <c r="R410" s="79">
        <v>22.36</v>
      </c>
      <c r="S410" s="79">
        <v>0.88</v>
      </c>
      <c r="T410" s="79">
        <v>0.7</v>
      </c>
      <c r="U410" s="85">
        <f t="shared" si="48"/>
        <v>1358.2075</v>
      </c>
      <c r="V410" s="79">
        <f t="shared" si="49"/>
        <v>1400.0074280400001</v>
      </c>
      <c r="W410" s="79">
        <f t="shared" si="50"/>
        <v>1.0307758041683617</v>
      </c>
      <c r="X410" s="116">
        <v>3</v>
      </c>
      <c r="Y410" s="116">
        <v>4</v>
      </c>
      <c r="Z410" s="122">
        <v>6.5</v>
      </c>
      <c r="AA410" s="116">
        <v>17.34</v>
      </c>
      <c r="AB410" s="122">
        <v>6.5</v>
      </c>
      <c r="AC410" s="122">
        <v>4.7</v>
      </c>
      <c r="AD410" s="10">
        <v>0.12</v>
      </c>
      <c r="AE410" s="79">
        <v>0.34</v>
      </c>
      <c r="AF410" s="85">
        <f t="shared" si="51"/>
        <v>1358.2075</v>
      </c>
      <c r="AG410" s="85">
        <f t="shared" si="52"/>
        <v>988.3628808507998</v>
      </c>
      <c r="AH410" s="85">
        <f t="shared" si="53"/>
        <v>0.72769652711445032</v>
      </c>
      <c r="AI410" s="116">
        <v>3</v>
      </c>
      <c r="AJ410" s="116">
        <v>4</v>
      </c>
      <c r="AK410" s="79">
        <v>4.83</v>
      </c>
      <c r="AL410" s="79">
        <v>17.989999999999998</v>
      </c>
      <c r="AM410" s="122">
        <v>6.7</v>
      </c>
      <c r="AN410" s="122">
        <v>4.5999999999999996</v>
      </c>
      <c r="AO410" s="79">
        <v>0.2</v>
      </c>
      <c r="AP410" s="127">
        <v>0.75</v>
      </c>
      <c r="AQ410" s="132">
        <f t="shared" si="54"/>
        <v>2057</v>
      </c>
      <c r="AR410" s="134">
        <f t="shared" si="55"/>
        <v>0.25376762275157999</v>
      </c>
      <c r="AS410" s="134">
        <f t="shared" si="56"/>
        <v>0.47885269810403502</v>
      </c>
      <c r="AT410" s="134">
        <f t="shared" si="57"/>
        <v>0.26737967914438504</v>
      </c>
      <c r="AU410" s="43">
        <f>IF(AND(F410&lt;&gt;"",Y410&lt;&gt;""),AA410/(F410/2/Y410),"")</f>
        <v>6.7536514118792593E-2</v>
      </c>
      <c r="AV410" s="43">
        <f>IF(AND(F410&lt;&gt;"",AJ410&lt;&gt;""),AL410/(F410/2/AJ410),"")</f>
        <v>7.0068159688412845E-2</v>
      </c>
      <c r="AW410" s="41">
        <f>IF(AND(AP410&lt;&gt;"",1-(AP410/N410)&gt;0),1-(AP410/N410),"")</f>
        <v>0.74489795918367352</v>
      </c>
      <c r="AX410" s="41">
        <f>IF(AND(AE410&lt;&gt;"",1-(AE410/N410)&gt;0),1-(AE410/N410),"")</f>
        <v>0.88435374149659862</v>
      </c>
      <c r="AY410" s="136" t="str">
        <f>IF(P410="","",IF(P410&lt;2.5,"Alc. Bruta &lt; 2,5 mg/L",IF(P410&lt;5,"2,5 ≤ Alc. Bruta &lt; 5,0 mg/L",IF(P410&lt;7.5,"5,0 ≤ Alc. Bruta &lt; 7,5 mg/L",IF(P410&lt;10,"7,5 ≤ Alc. Bruta &lt; 10,0 mg/L",IF(P410&lt;15,"10,0 ≤ Alca. Bruta &lt; 15,0 mg/L","Alc. Bruta &gt; 15 mg/L"))))))</f>
        <v>7,5 ≤ Alc. Bruta &lt; 10,0 mg/L</v>
      </c>
      <c r="AZ410" s="136" t="str">
        <f>IF(O410="","",IF(O410&lt;5,"Cor &lt;5 uC",IF(O410&lt;10,"5 ≤ Cor &lt; 10 uC",IF(O410&lt;15,"10 ≤ Cor &lt;15 uC",IF(O410&lt;30,"15 ≤ Cor &lt; 30 uC",IF(O410&lt;50,"30 ≤ Cor &lt; 50 uC","Cor &gt; 50 uC"))))))</f>
        <v>10 ≤ Cor &lt;15 uC</v>
      </c>
      <c r="BA410" s="137" t="str">
        <f>IF(N410="","",IF(N410&lt;2.5,"Turbidez &lt; 2,5 uT",IF(N410&lt;5,"2,5 ≤ Turb &lt; 5,0 uT",IF(N410&lt;7.5,"5,0 ≤ Turb &lt; 7,5 uT",IF(N410&lt;10,"7,5 ≤ Turb &lt; 10,0 uT",IF(N410&lt;15,"10,0 ≤ Turb &lt; 15,0 uT","Turb &gt; 15 uT"))))))</f>
        <v>2,5 ≤ Turb &lt; 5,0 uT</v>
      </c>
      <c r="BB410" s="138" t="str">
        <f>IF(AND(C410&gt;D410,D410&gt;E410),"TOR &gt; SM &gt; BNN",IF(AND(C410&gt;E410,E410&gt;D410),"TOR &gt; BNN &gt; SM",IF(AND(D410&gt;C410,C410&gt;E410),"SM &gt; TOR &gt; BNN",IF(AND(D410&gt;E410,E410&gt;C410),"SM &gt; BNN &gt; TOR",IF(AND(C410=D410,D410=E410),"TOR = SM = BNN","Comb. diferentes")))))</f>
        <v>SM &gt; BNN &gt; TOR</v>
      </c>
      <c r="BC410" s="137" t="str">
        <f>IF(OR(AD410="",AP410="-"),"",IF(AD410&lt;=0.25,"Tipo 1 (≤0,25) uT",IF(AD410&lt;=0.5,"Tipo 2 (0,25-0,50) uT",IF(AD410&lt;=0.75,"Tipo 3 (0,50-0,75) uT","Tipo 4 (&gt;0,75) uT"))))</f>
        <v>Tipo 1 (≤0,25) uT</v>
      </c>
      <c r="BD410" s="137" t="str">
        <f>IF(OR(AO410="",AY410="-"),"",IF(AO410&lt;=0.25,"Tipo 1 (≤0,25) uT",IF(AO410&lt;=0.5,"Tipo 2 (0,25-0,50) uT",IF(AO410&lt;=0.75,"Tipo 3 (0,50-0,75) uT","Tipo 4 (&gt;0,75) uT"))))</f>
        <v>Tipo 1 (≤0,25) uT</v>
      </c>
      <c r="BE410" s="137" t="str">
        <f>IF(OR(AE410="",AP410="-"),"",IF(AE410&lt;=0.25,"Tipo 1 (≤0,25) uT",IF(AE410&lt;=0.5,"Tipo 2 (0,25-0,50) uT",IF(AE410&lt;=0.75,"Tipo 3 (0,50-0,75) uT","Tipo 4 (&gt;0,75) uT"))))</f>
        <v>Tipo 2 (0,25-0,50) uT</v>
      </c>
      <c r="BF410" s="137" t="str">
        <f>IF(OR(AP410="",AP410="-"),"",IF(AP410&lt;=0.25,"Tipo 1 (≤0,25) uT",IF(AP410&lt;=0.5,"Tipo 2 (0,25-0,50) uT",IF(AP410&lt;=0.75,"Tipo 3 (0,50-0,75) uT","Tipo 4 (&gt;0,75) uT"))))</f>
        <v>Tipo 3 (0,50-0,75) uT</v>
      </c>
      <c r="BG410" s="137" t="str">
        <f>IF(OR(Q410="",Q410="-"),"",IF(Q410&lt;=0.25,"Tipo 1 (≤0,25) uT",IF(Q410&lt;=0.5,"Tipo 2 (0,25-0,50) uT",IF(Q410&lt;=0.75,"Tipo 3 (0,50-0,75) uT","Tipo 4 (&gt;0,75) uT"))))</f>
        <v>Tipo 1 (≤0,25) uT</v>
      </c>
    </row>
    <row r="411" spans="1:59" x14ac:dyDescent="0.3">
      <c r="A411" s="26">
        <v>46169</v>
      </c>
      <c r="B411" s="107">
        <v>0.5625</v>
      </c>
      <c r="C411" s="116">
        <v>1219</v>
      </c>
      <c r="D411" s="116">
        <v>82</v>
      </c>
      <c r="E411" s="116">
        <v>497</v>
      </c>
      <c r="F411" s="116">
        <v>1793</v>
      </c>
      <c r="G411" s="10" t="s">
        <v>100</v>
      </c>
      <c r="H411" s="122">
        <v>7</v>
      </c>
      <c r="I411" s="116">
        <v>90</v>
      </c>
      <c r="J411" s="116">
        <v>90</v>
      </c>
      <c r="K411" s="116">
        <v>90</v>
      </c>
      <c r="L411" s="122">
        <v>23.6</v>
      </c>
      <c r="M411" s="122">
        <v>6.6</v>
      </c>
      <c r="N411" s="79">
        <v>2.5499999999999998</v>
      </c>
      <c r="O411" s="116">
        <v>13</v>
      </c>
      <c r="P411" s="122">
        <v>7.4</v>
      </c>
      <c r="Q411" s="79">
        <v>0.2</v>
      </c>
      <c r="R411" s="79">
        <v>22.36</v>
      </c>
      <c r="S411" s="79">
        <v>0.88</v>
      </c>
      <c r="T411" s="79">
        <v>0.7</v>
      </c>
      <c r="U411" s="85">
        <f t="shared" si="48"/>
        <v>1098.2125000000001</v>
      </c>
      <c r="V411" s="79">
        <f t="shared" si="49"/>
        <v>1318.4891941312001</v>
      </c>
      <c r="W411" s="79">
        <f t="shared" si="50"/>
        <v>1.2005774785218708</v>
      </c>
      <c r="X411" s="116">
        <v>3</v>
      </c>
      <c r="Y411" s="116">
        <v>4</v>
      </c>
      <c r="Z411" s="122">
        <v>6.44</v>
      </c>
      <c r="AA411" s="116">
        <v>16.52</v>
      </c>
      <c r="AB411" s="122">
        <v>6.4</v>
      </c>
      <c r="AC411" s="122">
        <v>5</v>
      </c>
      <c r="AD411" s="10">
        <v>0.2</v>
      </c>
      <c r="AE411" s="79">
        <v>0.27</v>
      </c>
      <c r="AF411" s="85">
        <f t="shared" si="51"/>
        <v>1098.2125000000001</v>
      </c>
      <c r="AG411" s="85">
        <f t="shared" si="52"/>
        <v>991.70158705800009</v>
      </c>
      <c r="AH411" s="85">
        <f t="shared" si="53"/>
        <v>0.90301429555573265</v>
      </c>
      <c r="AI411" s="116">
        <v>3</v>
      </c>
      <c r="AJ411" s="116">
        <v>4</v>
      </c>
      <c r="AK411" s="79">
        <v>4.87</v>
      </c>
      <c r="AL411" s="79">
        <v>17.850000000000001</v>
      </c>
      <c r="AM411" s="122">
        <v>6.6</v>
      </c>
      <c r="AN411" s="122">
        <v>5.0999999999999996</v>
      </c>
      <c r="AO411" s="79">
        <v>0.15</v>
      </c>
      <c r="AP411" s="127">
        <v>0.37</v>
      </c>
      <c r="AQ411" s="132">
        <f t="shared" si="54"/>
        <v>1798</v>
      </c>
      <c r="AR411" s="134">
        <f t="shared" si="55"/>
        <v>0.67797552836484987</v>
      </c>
      <c r="AS411" s="134">
        <f t="shared" si="56"/>
        <v>4.5606229143492771E-2</v>
      </c>
      <c r="AT411" s="134">
        <f t="shared" si="57"/>
        <v>0.27641824249165742</v>
      </c>
      <c r="AU411" s="43">
        <f>IF(AND(F411&lt;&gt;"",Y411&lt;&gt;""),AA411/(F411/2/Y411),"")</f>
        <v>7.3708867819297266E-2</v>
      </c>
      <c r="AV411" s="43">
        <f>IF(AND(F411&lt;&gt;"",AJ411&lt;&gt;""),AL411/(F411/2/AJ411),"")</f>
        <v>7.9643056330172907E-2</v>
      </c>
      <c r="AW411" s="41">
        <f>IF(AND(AP411&lt;&gt;"",1-(AP411/N411)&gt;0),1-(AP411/N411),"")</f>
        <v>0.85490196078431369</v>
      </c>
      <c r="AX411" s="41">
        <f>IF(AND(AE411&lt;&gt;"",1-(AE411/N411)&gt;0),1-(AE411/N411),"")</f>
        <v>0.89411764705882346</v>
      </c>
      <c r="AY411" s="136" t="str">
        <f>IF(P411="","",IF(P411&lt;2.5,"Alc. Bruta &lt; 2,5 mg/L",IF(P411&lt;5,"2,5 ≤ Alc. Bruta &lt; 5,0 mg/L",IF(P411&lt;7.5,"5,0 ≤ Alc. Bruta &lt; 7,5 mg/L",IF(P411&lt;10,"7,5 ≤ Alc. Bruta &lt; 10,0 mg/L",IF(P411&lt;15,"10,0 ≤ Alca. Bruta &lt; 15,0 mg/L","Alc. Bruta &gt; 15 mg/L"))))))</f>
        <v>5,0 ≤ Alc. Bruta &lt; 7,5 mg/L</v>
      </c>
      <c r="AZ411" s="136" t="str">
        <f>IF(O411="","",IF(O411&lt;5,"Cor &lt;5 uC",IF(O411&lt;10,"5 ≤ Cor &lt; 10 uC",IF(O411&lt;15,"10 ≤ Cor &lt;15 uC",IF(O411&lt;30,"15 ≤ Cor &lt; 30 uC",IF(O411&lt;50,"30 ≤ Cor &lt; 50 uC","Cor &gt; 50 uC"))))))</f>
        <v>10 ≤ Cor &lt;15 uC</v>
      </c>
      <c r="BA411" s="137" t="str">
        <f>IF(N411="","",IF(N411&lt;2.5,"Turbidez &lt; 2,5 uT",IF(N411&lt;5,"2,5 ≤ Turb &lt; 5,0 uT",IF(N411&lt;7.5,"5,0 ≤ Turb &lt; 7,5 uT",IF(N411&lt;10,"7,5 ≤ Turb &lt; 10,0 uT",IF(N411&lt;15,"10,0 ≤ Turb &lt; 15,0 uT","Turb &gt; 15 uT"))))))</f>
        <v>2,5 ≤ Turb &lt; 5,0 uT</v>
      </c>
      <c r="BB411" s="138" t="str">
        <f>IF(AND(C411&gt;D411,D411&gt;E411),"TOR &gt; SM &gt; BNN",IF(AND(C411&gt;E411,E411&gt;D411),"TOR &gt; BNN &gt; SM",IF(AND(D411&gt;C411,C411&gt;E411),"SM &gt; TOR &gt; BNN",IF(AND(D411&gt;E411,E411&gt;C411),"SM &gt; BNN &gt; TOR",IF(AND(C411=D411,D411=E411),"TOR = SM = BNN","Comb. diferentes")))))</f>
        <v>TOR &gt; BNN &gt; SM</v>
      </c>
      <c r="BC411" s="137" t="str">
        <f>IF(OR(AD411="",AP411="-"),"",IF(AD411&lt;=0.25,"Tipo 1 (≤0,25) uT",IF(AD411&lt;=0.5,"Tipo 2 (0,25-0,50) uT",IF(AD411&lt;=0.75,"Tipo 3 (0,50-0,75) uT","Tipo 4 (&gt;0,75) uT"))))</f>
        <v>Tipo 1 (≤0,25) uT</v>
      </c>
      <c r="BD411" s="137" t="str">
        <f>IF(OR(AO411="",AY411="-"),"",IF(AO411&lt;=0.25,"Tipo 1 (≤0,25) uT",IF(AO411&lt;=0.5,"Tipo 2 (0,25-0,50) uT",IF(AO411&lt;=0.75,"Tipo 3 (0,50-0,75) uT","Tipo 4 (&gt;0,75) uT"))))</f>
        <v>Tipo 1 (≤0,25) uT</v>
      </c>
      <c r="BE411" s="137" t="str">
        <f>IF(OR(AE411="",AP411="-"),"",IF(AE411&lt;=0.25,"Tipo 1 (≤0,25) uT",IF(AE411&lt;=0.5,"Tipo 2 (0,25-0,50) uT",IF(AE411&lt;=0.75,"Tipo 3 (0,50-0,75) uT","Tipo 4 (&gt;0,75) uT"))))</f>
        <v>Tipo 2 (0,25-0,50) uT</v>
      </c>
      <c r="BF411" s="137" t="str">
        <f>IF(OR(AP411="",AP411="-"),"",IF(AP411&lt;=0.25,"Tipo 1 (≤0,25) uT",IF(AP411&lt;=0.5,"Tipo 2 (0,25-0,50) uT",IF(AP411&lt;=0.75,"Tipo 3 (0,50-0,75) uT","Tipo 4 (&gt;0,75) uT"))))</f>
        <v>Tipo 2 (0,25-0,50) uT</v>
      </c>
      <c r="BG411" s="137" t="str">
        <f>IF(OR(Q411="",Q411="-"),"",IF(Q411&lt;=0.25,"Tipo 1 (≤0,25) uT",IF(Q411&lt;=0.5,"Tipo 2 (0,25-0,50) uT",IF(Q411&lt;=0.75,"Tipo 3 (0,50-0,75) uT","Tipo 4 (&gt;0,75) uT"))))</f>
        <v>Tipo 1 (≤0,25) uT</v>
      </c>
    </row>
    <row r="412" spans="1:59" x14ac:dyDescent="0.3">
      <c r="A412" s="26">
        <v>46169</v>
      </c>
      <c r="B412" s="107">
        <v>0.64583333333333337</v>
      </c>
      <c r="C412" s="116">
        <v>1013</v>
      </c>
      <c r="D412" s="116">
        <v>51</v>
      </c>
      <c r="E412" s="116">
        <v>536</v>
      </c>
      <c r="F412" s="116">
        <v>1607</v>
      </c>
      <c r="G412" s="10" t="s">
        <v>100</v>
      </c>
      <c r="H412" s="122">
        <v>7</v>
      </c>
      <c r="I412" s="116">
        <v>90</v>
      </c>
      <c r="J412" s="116">
        <v>90</v>
      </c>
      <c r="K412" s="116">
        <v>90</v>
      </c>
      <c r="L412" s="122">
        <v>24.3</v>
      </c>
      <c r="M412" s="122">
        <v>6.6</v>
      </c>
      <c r="N412" s="79">
        <v>2.44</v>
      </c>
      <c r="O412" s="116">
        <v>12</v>
      </c>
      <c r="P412" s="122">
        <v>7.3</v>
      </c>
      <c r="Q412" s="79">
        <v>0.15</v>
      </c>
      <c r="R412" s="79">
        <v>22.36</v>
      </c>
      <c r="S412" s="79">
        <v>0.88</v>
      </c>
      <c r="T412" s="79">
        <v>0.7</v>
      </c>
      <c r="U412" s="85">
        <f t="shared" si="48"/>
        <v>962.19124999999997</v>
      </c>
      <c r="V412" s="79">
        <f t="shared" si="49"/>
        <v>1338.7806600219999</v>
      </c>
      <c r="W412" s="79">
        <f t="shared" si="50"/>
        <v>1.391387273602831</v>
      </c>
      <c r="X412" s="116">
        <v>3</v>
      </c>
      <c r="Y412" s="116">
        <v>4</v>
      </c>
      <c r="Z412" s="122">
        <v>6.51</v>
      </c>
      <c r="AA412" s="116">
        <v>16.55</v>
      </c>
      <c r="AB412" s="122">
        <v>6.3</v>
      </c>
      <c r="AC412" s="122">
        <v>5.4</v>
      </c>
      <c r="AD412" s="10">
        <v>0.17</v>
      </c>
      <c r="AE412" s="79">
        <v>0.25</v>
      </c>
      <c r="AF412" s="85">
        <f t="shared" si="51"/>
        <v>962.19124999999997</v>
      </c>
      <c r="AG412" s="85">
        <f t="shared" si="52"/>
        <v>988.92371146400001</v>
      </c>
      <c r="AH412" s="85">
        <f t="shared" si="53"/>
        <v>1.027782898113031</v>
      </c>
      <c r="AI412" s="116">
        <v>3</v>
      </c>
      <c r="AJ412" s="116">
        <v>4</v>
      </c>
      <c r="AK412" s="79">
        <v>4.87</v>
      </c>
      <c r="AL412" s="79">
        <v>17.8</v>
      </c>
      <c r="AM412" s="122">
        <v>6.2</v>
      </c>
      <c r="AN412" s="122">
        <v>6</v>
      </c>
      <c r="AO412" s="79">
        <v>0.14000000000000001</v>
      </c>
      <c r="AP412" s="127">
        <v>0.54</v>
      </c>
      <c r="AQ412" s="132">
        <f t="shared" si="54"/>
        <v>1600</v>
      </c>
      <c r="AR412" s="134">
        <f t="shared" si="55"/>
        <v>0.63312500000000005</v>
      </c>
      <c r="AS412" s="134">
        <f t="shared" si="56"/>
        <v>3.1875000000000001E-2</v>
      </c>
      <c r="AT412" s="134">
        <f t="shared" si="57"/>
        <v>0.33500000000000002</v>
      </c>
      <c r="AU412" s="43">
        <f>IF(AND(F412&lt;&gt;"",Y412&lt;&gt;""),AA412/(F412/2/Y412),"")</f>
        <v>8.2389545737398887E-2</v>
      </c>
      <c r="AV412" s="43">
        <f>IF(AND(F412&lt;&gt;"",AJ412&lt;&gt;""),AL412/(F412/2/AJ412),"")</f>
        <v>8.861232109520846E-2</v>
      </c>
      <c r="AW412" s="41">
        <f>IF(AND(AP412&lt;&gt;"",1-(AP412/N412)&gt;0),1-(AP412/N412),"")</f>
        <v>0.77868852459016391</v>
      </c>
      <c r="AX412" s="41">
        <f>IF(AND(AE412&lt;&gt;"",1-(AE412/N412)&gt;0),1-(AE412/N412),"")</f>
        <v>0.89754098360655732</v>
      </c>
      <c r="AY412" s="136" t="str">
        <f>IF(P412="","",IF(P412&lt;2.5,"Alc. Bruta &lt; 2,5 mg/L",IF(P412&lt;5,"2,5 ≤ Alc. Bruta &lt; 5,0 mg/L",IF(P412&lt;7.5,"5,0 ≤ Alc. Bruta &lt; 7,5 mg/L",IF(P412&lt;10,"7,5 ≤ Alc. Bruta &lt; 10,0 mg/L",IF(P412&lt;15,"10,0 ≤ Alca. Bruta &lt; 15,0 mg/L","Alc. Bruta &gt; 15 mg/L"))))))</f>
        <v>5,0 ≤ Alc. Bruta &lt; 7,5 mg/L</v>
      </c>
      <c r="AZ412" s="136" t="str">
        <f>IF(O412="","",IF(O412&lt;5,"Cor &lt;5 uC",IF(O412&lt;10,"5 ≤ Cor &lt; 10 uC",IF(O412&lt;15,"10 ≤ Cor &lt;15 uC",IF(O412&lt;30,"15 ≤ Cor &lt; 30 uC",IF(O412&lt;50,"30 ≤ Cor &lt; 50 uC","Cor &gt; 50 uC"))))))</f>
        <v>10 ≤ Cor &lt;15 uC</v>
      </c>
      <c r="BA412" s="137" t="str">
        <f>IF(N412="","",IF(N412&lt;2.5,"Turbidez &lt; 2,5 uT",IF(N412&lt;5,"2,5 ≤ Turb &lt; 5,0 uT",IF(N412&lt;7.5,"5,0 ≤ Turb &lt; 7,5 uT",IF(N412&lt;10,"7,5 ≤ Turb &lt; 10,0 uT",IF(N412&lt;15,"10,0 ≤ Turb &lt; 15,0 uT","Turb &gt; 15 uT"))))))</f>
        <v>Turbidez &lt; 2,5 uT</v>
      </c>
      <c r="BB412" s="138" t="str">
        <f>IF(AND(C412&gt;D412,D412&gt;E412),"TOR &gt; SM &gt; BNN",IF(AND(C412&gt;E412,E412&gt;D412),"TOR &gt; BNN &gt; SM",IF(AND(D412&gt;C412,C412&gt;E412),"SM &gt; TOR &gt; BNN",IF(AND(D412&gt;E412,E412&gt;C412),"SM &gt; BNN &gt; TOR",IF(AND(C412=D412,D412=E412),"TOR = SM = BNN","Comb. diferentes")))))</f>
        <v>TOR &gt; BNN &gt; SM</v>
      </c>
      <c r="BC412" s="137" t="str">
        <f>IF(OR(AD412="",AP412="-"),"",IF(AD412&lt;=0.25,"Tipo 1 (≤0,25) uT",IF(AD412&lt;=0.5,"Tipo 2 (0,25-0,50) uT",IF(AD412&lt;=0.75,"Tipo 3 (0,50-0,75) uT","Tipo 4 (&gt;0,75) uT"))))</f>
        <v>Tipo 1 (≤0,25) uT</v>
      </c>
      <c r="BD412" s="137" t="str">
        <f>IF(OR(AO412="",AY412="-"),"",IF(AO412&lt;=0.25,"Tipo 1 (≤0,25) uT",IF(AO412&lt;=0.5,"Tipo 2 (0,25-0,50) uT",IF(AO412&lt;=0.75,"Tipo 3 (0,50-0,75) uT","Tipo 4 (&gt;0,75) uT"))))</f>
        <v>Tipo 1 (≤0,25) uT</v>
      </c>
      <c r="BE412" s="137" t="str">
        <f>IF(OR(AE412="",AP412="-"),"",IF(AE412&lt;=0.25,"Tipo 1 (≤0,25) uT",IF(AE412&lt;=0.5,"Tipo 2 (0,25-0,50) uT",IF(AE412&lt;=0.75,"Tipo 3 (0,50-0,75) uT","Tipo 4 (&gt;0,75) uT"))))</f>
        <v>Tipo 1 (≤0,25) uT</v>
      </c>
      <c r="BF412" s="137" t="str">
        <f>IF(OR(AP412="",AP412="-"),"",IF(AP412&lt;=0.25,"Tipo 1 (≤0,25) uT",IF(AP412&lt;=0.5,"Tipo 2 (0,25-0,50) uT",IF(AP412&lt;=0.75,"Tipo 3 (0,50-0,75) uT","Tipo 4 (&gt;0,75) uT"))))</f>
        <v>Tipo 3 (0,50-0,75) uT</v>
      </c>
      <c r="BG412" s="137" t="str">
        <f>IF(OR(Q412="",Q412="-"),"",IF(Q412&lt;=0.25,"Tipo 1 (≤0,25) uT",IF(Q412&lt;=0.5,"Tipo 2 (0,25-0,50) uT",IF(Q412&lt;=0.75,"Tipo 3 (0,50-0,75) uT","Tipo 4 (&gt;0,75) uT"))))</f>
        <v>Tipo 1 (≤0,25) uT</v>
      </c>
    </row>
    <row r="413" spans="1:59" x14ac:dyDescent="0.3">
      <c r="A413" s="26">
        <v>46169</v>
      </c>
      <c r="B413" s="107">
        <v>0.72916666666666663</v>
      </c>
      <c r="C413" s="116">
        <v>2140</v>
      </c>
      <c r="D413" s="116">
        <v>84</v>
      </c>
      <c r="E413" s="116">
        <v>543</v>
      </c>
      <c r="F413" s="116">
        <v>1462</v>
      </c>
      <c r="G413" s="10" t="s">
        <v>100</v>
      </c>
      <c r="H413" s="122">
        <v>7</v>
      </c>
      <c r="I413" s="116">
        <v>90</v>
      </c>
      <c r="J413" s="116">
        <v>90</v>
      </c>
      <c r="K413" s="116">
        <v>90</v>
      </c>
      <c r="L413" s="122">
        <v>24.8</v>
      </c>
      <c r="M413" s="122">
        <v>6.6</v>
      </c>
      <c r="N413" s="79">
        <v>2.33</v>
      </c>
      <c r="O413" s="116">
        <v>14</v>
      </c>
      <c r="P413" s="122">
        <v>7.5</v>
      </c>
      <c r="Q413" s="79">
        <v>0.13</v>
      </c>
      <c r="R413" s="79">
        <v>22.36</v>
      </c>
      <c r="S413" s="79">
        <v>0.88</v>
      </c>
      <c r="T413" s="79">
        <v>0.7</v>
      </c>
      <c r="U413" s="85">
        <f t="shared" si="48"/>
        <v>855.27</v>
      </c>
      <c r="V413" s="79">
        <f t="shared" si="49"/>
        <v>1353.4945272159996</v>
      </c>
      <c r="W413" s="79">
        <f t="shared" si="50"/>
        <v>1.5825347869281041</v>
      </c>
      <c r="X413" s="116">
        <v>3</v>
      </c>
      <c r="Y413" s="116">
        <v>4</v>
      </c>
      <c r="Z413" s="122">
        <v>6.52</v>
      </c>
      <c r="AA413" s="116">
        <v>16.7</v>
      </c>
      <c r="AB413" s="122">
        <v>6.4</v>
      </c>
      <c r="AC413" s="122">
        <v>5.5</v>
      </c>
      <c r="AD413" s="10">
        <v>0.22</v>
      </c>
      <c r="AE413" s="79">
        <v>0.34</v>
      </c>
      <c r="AF413" s="85">
        <f t="shared" si="51"/>
        <v>855.27</v>
      </c>
      <c r="AG413" s="85">
        <f t="shared" si="52"/>
        <v>979.02315379439995</v>
      </c>
      <c r="AH413" s="85">
        <f t="shared" si="53"/>
        <v>1.1446948376470587</v>
      </c>
      <c r="AI413" s="116">
        <v>3</v>
      </c>
      <c r="AJ413" s="116">
        <v>4</v>
      </c>
      <c r="AK413" s="79">
        <v>4.83</v>
      </c>
      <c r="AL413" s="79">
        <v>17.82</v>
      </c>
      <c r="AM413" s="122">
        <v>6</v>
      </c>
      <c r="AN413" s="122">
        <v>5.6</v>
      </c>
      <c r="AO413" s="79">
        <v>0.17</v>
      </c>
      <c r="AP413" s="127">
        <v>0.41</v>
      </c>
      <c r="AQ413" s="132">
        <f t="shared" si="54"/>
        <v>2767</v>
      </c>
      <c r="AR413" s="134">
        <f t="shared" si="55"/>
        <v>0.77340079508492954</v>
      </c>
      <c r="AS413" s="134">
        <f t="shared" si="56"/>
        <v>3.0357788218286955E-2</v>
      </c>
      <c r="AT413" s="134">
        <f t="shared" si="57"/>
        <v>0.19624141669678352</v>
      </c>
      <c r="AU413" s="43">
        <f>IF(AND(F413&lt;&gt;"",Y413&lt;&gt;""),AA413/(F413/2/Y413),"")</f>
        <v>9.1381668946648426E-2</v>
      </c>
      <c r="AV413" s="43">
        <f>IF(AND(F413&lt;&gt;"",AJ413&lt;&gt;""),AL413/(F413/2/AJ413),"")</f>
        <v>9.7510259917920658E-2</v>
      </c>
      <c r="AW413" s="41">
        <f>IF(AND(AP413&lt;&gt;"",1-(AP413/N413)&gt;0),1-(AP413/N413),"")</f>
        <v>0.82403433476394849</v>
      </c>
      <c r="AX413" s="41">
        <f>IF(AND(AE413&lt;&gt;"",1-(AE413/N413)&gt;0),1-(AE413/N413),"")</f>
        <v>0.85407725321888406</v>
      </c>
      <c r="AY413" s="136" t="str">
        <f>IF(P413="","",IF(P413&lt;2.5,"Alc. Bruta &lt; 2,5 mg/L",IF(P413&lt;5,"2,5 ≤ Alc. Bruta &lt; 5,0 mg/L",IF(P413&lt;7.5,"5,0 ≤ Alc. Bruta &lt; 7,5 mg/L",IF(P413&lt;10,"7,5 ≤ Alc. Bruta &lt; 10,0 mg/L",IF(P413&lt;15,"10,0 ≤ Alca. Bruta &lt; 15,0 mg/L","Alc. Bruta &gt; 15 mg/L"))))))</f>
        <v>7,5 ≤ Alc. Bruta &lt; 10,0 mg/L</v>
      </c>
      <c r="AZ413" s="136" t="str">
        <f>IF(O413="","",IF(O413&lt;5,"Cor &lt;5 uC",IF(O413&lt;10,"5 ≤ Cor &lt; 10 uC",IF(O413&lt;15,"10 ≤ Cor &lt;15 uC",IF(O413&lt;30,"15 ≤ Cor &lt; 30 uC",IF(O413&lt;50,"30 ≤ Cor &lt; 50 uC","Cor &gt; 50 uC"))))))</f>
        <v>10 ≤ Cor &lt;15 uC</v>
      </c>
      <c r="BA413" s="137" t="str">
        <f>IF(N413="","",IF(N413&lt;2.5,"Turbidez &lt; 2,5 uT",IF(N413&lt;5,"2,5 ≤ Turb &lt; 5,0 uT",IF(N413&lt;7.5,"5,0 ≤ Turb &lt; 7,5 uT",IF(N413&lt;10,"7,5 ≤ Turb &lt; 10,0 uT",IF(N413&lt;15,"10,0 ≤ Turb &lt; 15,0 uT","Turb &gt; 15 uT"))))))</f>
        <v>Turbidez &lt; 2,5 uT</v>
      </c>
      <c r="BB413" s="138" t="str">
        <f>IF(AND(C413&gt;D413,D413&gt;E413),"TOR &gt; SM &gt; BNN",IF(AND(C413&gt;E413,E413&gt;D413),"TOR &gt; BNN &gt; SM",IF(AND(D413&gt;C413,C413&gt;E413),"SM &gt; TOR &gt; BNN",IF(AND(D413&gt;E413,E413&gt;C413),"SM &gt; BNN &gt; TOR",IF(AND(C413=D413,D413=E413),"TOR = SM = BNN","Comb. diferentes")))))</f>
        <v>TOR &gt; BNN &gt; SM</v>
      </c>
      <c r="BC413" s="137" t="str">
        <f>IF(OR(AD413="",AP413="-"),"",IF(AD413&lt;=0.25,"Tipo 1 (≤0,25) uT",IF(AD413&lt;=0.5,"Tipo 2 (0,25-0,50) uT",IF(AD413&lt;=0.75,"Tipo 3 (0,50-0,75) uT","Tipo 4 (&gt;0,75) uT"))))</f>
        <v>Tipo 1 (≤0,25) uT</v>
      </c>
      <c r="BD413" s="137" t="str">
        <f>IF(OR(AO413="",AY413="-"),"",IF(AO413&lt;=0.25,"Tipo 1 (≤0,25) uT",IF(AO413&lt;=0.5,"Tipo 2 (0,25-0,50) uT",IF(AO413&lt;=0.75,"Tipo 3 (0,50-0,75) uT","Tipo 4 (&gt;0,75) uT"))))</f>
        <v>Tipo 1 (≤0,25) uT</v>
      </c>
      <c r="BE413" s="137" t="str">
        <f>IF(OR(AE413="",AP413="-"),"",IF(AE413&lt;=0.25,"Tipo 1 (≤0,25) uT",IF(AE413&lt;=0.5,"Tipo 2 (0,25-0,50) uT",IF(AE413&lt;=0.75,"Tipo 3 (0,50-0,75) uT","Tipo 4 (&gt;0,75) uT"))))</f>
        <v>Tipo 2 (0,25-0,50) uT</v>
      </c>
      <c r="BF413" s="137" t="str">
        <f>IF(OR(AP413="",AP413="-"),"",IF(AP413&lt;=0.25,"Tipo 1 (≤0,25) uT",IF(AP413&lt;=0.5,"Tipo 2 (0,25-0,50) uT",IF(AP413&lt;=0.75,"Tipo 3 (0,50-0,75) uT","Tipo 4 (&gt;0,75) uT"))))</f>
        <v>Tipo 2 (0,25-0,50) uT</v>
      </c>
      <c r="BG413" s="137" t="str">
        <f>IF(OR(Q413="",Q413="-"),"",IF(Q413&lt;=0.25,"Tipo 1 (≤0,25) uT",IF(Q413&lt;=0.5,"Tipo 2 (0,25-0,50) uT",IF(Q413&lt;=0.75,"Tipo 3 (0,50-0,75) uT","Tipo 4 (&gt;0,75) uT"))))</f>
        <v>Tipo 1 (≤0,25) uT</v>
      </c>
    </row>
    <row r="414" spans="1:59" x14ac:dyDescent="0.3">
      <c r="A414" s="26">
        <v>46169</v>
      </c>
      <c r="B414" s="107">
        <v>0.8125</v>
      </c>
      <c r="C414" s="116">
        <v>1450</v>
      </c>
      <c r="D414" s="116">
        <v>82</v>
      </c>
      <c r="E414" s="116">
        <v>543</v>
      </c>
      <c r="F414" s="116">
        <v>2156</v>
      </c>
      <c r="G414" s="10" t="s">
        <v>100</v>
      </c>
      <c r="H414" s="122">
        <v>7</v>
      </c>
      <c r="I414" s="116">
        <v>90</v>
      </c>
      <c r="J414" s="116">
        <v>90</v>
      </c>
      <c r="K414" s="116">
        <v>90</v>
      </c>
      <c r="L414" s="122">
        <v>24.2</v>
      </c>
      <c r="M414" s="122">
        <v>7</v>
      </c>
      <c r="N414" s="79">
        <v>2.95</v>
      </c>
      <c r="O414" s="116">
        <v>15</v>
      </c>
      <c r="P414" s="122">
        <v>5.7</v>
      </c>
      <c r="Q414" s="79">
        <v>0.1</v>
      </c>
      <c r="R414" s="79">
        <v>22.36</v>
      </c>
      <c r="S414" s="79">
        <v>0.88</v>
      </c>
      <c r="T414" s="79">
        <v>0.7</v>
      </c>
      <c r="U414" s="85">
        <f t="shared" si="48"/>
        <v>1428.3500000000001</v>
      </c>
      <c r="V414" s="79">
        <f t="shared" si="49"/>
        <v>1369.9300529199998</v>
      </c>
      <c r="W414" s="79">
        <f t="shared" si="50"/>
        <v>0.95909969749711177</v>
      </c>
      <c r="X414" s="116">
        <v>3</v>
      </c>
      <c r="Y414" s="116">
        <v>4</v>
      </c>
      <c r="Z414" s="122">
        <v>6.49</v>
      </c>
      <c r="AA414" s="116">
        <v>17</v>
      </c>
      <c r="AB414" s="122">
        <v>6.6</v>
      </c>
      <c r="AC414" s="122">
        <v>4.9000000000000004</v>
      </c>
      <c r="AD414" s="10">
        <v>0.23</v>
      </c>
      <c r="AE414" s="79">
        <v>0.42</v>
      </c>
      <c r="AF414" s="85">
        <f t="shared" si="51"/>
        <v>1428.3500000000001</v>
      </c>
      <c r="AG414" s="85">
        <f t="shared" si="52"/>
        <v>933.97270563999996</v>
      </c>
      <c r="AH414" s="85">
        <f t="shared" si="53"/>
        <v>0.65388224569608278</v>
      </c>
      <c r="AI414" s="116">
        <v>3</v>
      </c>
      <c r="AJ414" s="116">
        <v>4</v>
      </c>
      <c r="AK414" s="79">
        <v>4.83</v>
      </c>
      <c r="AL414" s="79">
        <v>17</v>
      </c>
      <c r="AM414" s="122">
        <v>6.4</v>
      </c>
      <c r="AN414" s="122">
        <v>4.0999999999999996</v>
      </c>
      <c r="AO414" s="79">
        <v>0.13</v>
      </c>
      <c r="AP414" s="127">
        <v>0.31</v>
      </c>
      <c r="AQ414" s="132">
        <f t="shared" si="54"/>
        <v>2075</v>
      </c>
      <c r="AR414" s="134">
        <f t="shared" si="55"/>
        <v>0.6987951807228916</v>
      </c>
      <c r="AS414" s="134">
        <f t="shared" si="56"/>
        <v>3.9518072289156624E-2</v>
      </c>
      <c r="AT414" s="134">
        <f t="shared" si="57"/>
        <v>0.2616867469879518</v>
      </c>
      <c r="AU414" s="43">
        <f>IF(AND(F414&lt;&gt;"",Y414&lt;&gt;""),AA414/(F414/2/Y414),"")</f>
        <v>6.3079777365491654E-2</v>
      </c>
      <c r="AV414" s="43">
        <f>IF(AND(F414&lt;&gt;"",AJ414&lt;&gt;""),AL414/(F414/2/AJ414),"")</f>
        <v>6.3079777365491654E-2</v>
      </c>
      <c r="AW414" s="41">
        <f>IF(AND(AP414&lt;&gt;"",1-(AP414/N414)&gt;0),1-(AP414/N414),"")</f>
        <v>0.89491525423728813</v>
      </c>
      <c r="AX414" s="41">
        <f>IF(AND(AE414&lt;&gt;"",1-(AE414/N414)&gt;0),1-(AE414/N414),"")</f>
        <v>0.85762711864406782</v>
      </c>
      <c r="AY414" s="136" t="str">
        <f>IF(P414="","",IF(P414&lt;2.5,"Alc. Bruta &lt; 2,5 mg/L",IF(P414&lt;5,"2,5 ≤ Alc. Bruta &lt; 5,0 mg/L",IF(P414&lt;7.5,"5,0 ≤ Alc. Bruta &lt; 7,5 mg/L",IF(P414&lt;10,"7,5 ≤ Alc. Bruta &lt; 10,0 mg/L",IF(P414&lt;15,"10,0 ≤ Alca. Bruta &lt; 15,0 mg/L","Alc. Bruta &gt; 15 mg/L"))))))</f>
        <v>5,0 ≤ Alc. Bruta &lt; 7,5 mg/L</v>
      </c>
      <c r="AZ414" s="136" t="str">
        <f>IF(O414="","",IF(O414&lt;5,"Cor &lt;5 uC",IF(O414&lt;10,"5 ≤ Cor &lt; 10 uC",IF(O414&lt;15,"10 ≤ Cor &lt;15 uC",IF(O414&lt;30,"15 ≤ Cor &lt; 30 uC",IF(O414&lt;50,"30 ≤ Cor &lt; 50 uC","Cor &gt; 50 uC"))))))</f>
        <v>15 ≤ Cor &lt; 30 uC</v>
      </c>
      <c r="BA414" s="137" t="str">
        <f>IF(N414="","",IF(N414&lt;2.5,"Turbidez &lt; 2,5 uT",IF(N414&lt;5,"2,5 ≤ Turb &lt; 5,0 uT",IF(N414&lt;7.5,"5,0 ≤ Turb &lt; 7,5 uT",IF(N414&lt;10,"7,5 ≤ Turb &lt; 10,0 uT",IF(N414&lt;15,"10,0 ≤ Turb &lt; 15,0 uT","Turb &gt; 15 uT"))))))</f>
        <v>2,5 ≤ Turb &lt; 5,0 uT</v>
      </c>
      <c r="BB414" s="138" t="str">
        <f>IF(AND(C414&gt;D414,D414&gt;E414),"TOR &gt; SM &gt; BNN",IF(AND(C414&gt;E414,E414&gt;D414),"TOR &gt; BNN &gt; SM",IF(AND(D414&gt;C414,C414&gt;E414),"SM &gt; TOR &gt; BNN",IF(AND(D414&gt;E414,E414&gt;C414),"SM &gt; BNN &gt; TOR",IF(AND(C414=D414,D414=E414),"TOR = SM = BNN","Comb. diferentes")))))</f>
        <v>TOR &gt; BNN &gt; SM</v>
      </c>
      <c r="BC414" s="137" t="str">
        <f>IF(OR(AD414="",AP414="-"),"",IF(AD414&lt;=0.25,"Tipo 1 (≤0,25) uT",IF(AD414&lt;=0.5,"Tipo 2 (0,25-0,50) uT",IF(AD414&lt;=0.75,"Tipo 3 (0,50-0,75) uT","Tipo 4 (&gt;0,75) uT"))))</f>
        <v>Tipo 1 (≤0,25) uT</v>
      </c>
      <c r="BD414" s="137" t="str">
        <f>IF(OR(AO414="",AY414="-"),"",IF(AO414&lt;=0.25,"Tipo 1 (≤0,25) uT",IF(AO414&lt;=0.5,"Tipo 2 (0,25-0,50) uT",IF(AO414&lt;=0.75,"Tipo 3 (0,50-0,75) uT","Tipo 4 (&gt;0,75) uT"))))</f>
        <v>Tipo 1 (≤0,25) uT</v>
      </c>
      <c r="BE414" s="137" t="str">
        <f>IF(OR(AE414="",AP414="-"),"",IF(AE414&lt;=0.25,"Tipo 1 (≤0,25) uT",IF(AE414&lt;=0.5,"Tipo 2 (0,25-0,50) uT",IF(AE414&lt;=0.75,"Tipo 3 (0,50-0,75) uT","Tipo 4 (&gt;0,75) uT"))))</f>
        <v>Tipo 2 (0,25-0,50) uT</v>
      </c>
      <c r="BF414" s="137" t="str">
        <f>IF(OR(AP414="",AP414="-"),"",IF(AP414&lt;=0.25,"Tipo 1 (≤0,25) uT",IF(AP414&lt;=0.5,"Tipo 2 (0,25-0,50) uT",IF(AP414&lt;=0.75,"Tipo 3 (0,50-0,75) uT","Tipo 4 (&gt;0,75) uT"))))</f>
        <v>Tipo 2 (0,25-0,50) uT</v>
      </c>
      <c r="BG414" s="137" t="str">
        <f>IF(OR(Q414="",Q414="-"),"",IF(Q414&lt;=0.25,"Tipo 1 (≤0,25) uT",IF(Q414&lt;=0.5,"Tipo 2 (0,25-0,50) uT",IF(Q414&lt;=0.75,"Tipo 3 (0,50-0,75) uT","Tipo 4 (&gt;0,75) uT"))))</f>
        <v>Tipo 1 (≤0,25) uT</v>
      </c>
    </row>
    <row r="415" spans="1:59" x14ac:dyDescent="0.3">
      <c r="A415" s="26">
        <v>46169</v>
      </c>
      <c r="B415" s="107">
        <v>0.89583333333333337</v>
      </c>
      <c r="C415" s="116">
        <v>1446</v>
      </c>
      <c r="D415" s="116">
        <v>59</v>
      </c>
      <c r="E415" s="116">
        <v>544</v>
      </c>
      <c r="F415" s="116">
        <v>2050</v>
      </c>
      <c r="G415" s="10" t="s">
        <v>100</v>
      </c>
      <c r="H415" s="122">
        <v>7</v>
      </c>
      <c r="I415" s="116">
        <v>90</v>
      </c>
      <c r="J415" s="116">
        <v>90</v>
      </c>
      <c r="K415" s="116">
        <v>90</v>
      </c>
      <c r="L415" s="122">
        <v>24.1</v>
      </c>
      <c r="M415" s="122">
        <v>6.8</v>
      </c>
      <c r="N415" s="79">
        <v>2.7</v>
      </c>
      <c r="O415" s="116">
        <v>14</v>
      </c>
      <c r="P415" s="122">
        <v>6.2</v>
      </c>
      <c r="Q415" s="79">
        <v>0.1</v>
      </c>
      <c r="R415" s="79">
        <v>22.36</v>
      </c>
      <c r="S415" s="79">
        <v>0.88</v>
      </c>
      <c r="T415" s="79">
        <v>0.7</v>
      </c>
      <c r="U415" s="85">
        <f t="shared" si="48"/>
        <v>1294.0625000000002</v>
      </c>
      <c r="V415" s="79">
        <f t="shared" si="49"/>
        <v>1369.9300529199998</v>
      </c>
      <c r="W415" s="79">
        <f t="shared" si="50"/>
        <v>1.0586274255841581</v>
      </c>
      <c r="X415" s="116">
        <v>3</v>
      </c>
      <c r="Y415" s="116">
        <v>4</v>
      </c>
      <c r="Z415" s="122">
        <v>6.49</v>
      </c>
      <c r="AA415" s="116">
        <v>17</v>
      </c>
      <c r="AB415" s="122">
        <v>6.5</v>
      </c>
      <c r="AC415" s="122">
        <v>5.6</v>
      </c>
      <c r="AD415" s="10">
        <v>0.21</v>
      </c>
      <c r="AE415" s="79">
        <v>0.28000000000000003</v>
      </c>
      <c r="AF415" s="85">
        <f t="shared" si="51"/>
        <v>1294.0625000000002</v>
      </c>
      <c r="AG415" s="85">
        <f t="shared" si="52"/>
        <v>933.97270563999996</v>
      </c>
      <c r="AH415" s="85">
        <f t="shared" si="53"/>
        <v>0.72173693746631229</v>
      </c>
      <c r="AI415" s="116">
        <v>3</v>
      </c>
      <c r="AJ415" s="116">
        <v>4</v>
      </c>
      <c r="AK415" s="79">
        <v>4.83</v>
      </c>
      <c r="AL415" s="79">
        <v>17</v>
      </c>
      <c r="AM415" s="122">
        <v>6.4</v>
      </c>
      <c r="AN415" s="122">
        <v>5.0999999999999996</v>
      </c>
      <c r="AO415" s="79">
        <v>0.14000000000000001</v>
      </c>
      <c r="AP415" s="127">
        <v>0.32</v>
      </c>
      <c r="AQ415" s="132">
        <f t="shared" si="54"/>
        <v>2049</v>
      </c>
      <c r="AR415" s="134">
        <f t="shared" si="55"/>
        <v>0.705710102489019</v>
      </c>
      <c r="AS415" s="134">
        <f t="shared" si="56"/>
        <v>2.8794533918984871E-2</v>
      </c>
      <c r="AT415" s="134">
        <f t="shared" si="57"/>
        <v>0.2654953635919961</v>
      </c>
      <c r="AU415" s="43">
        <f>IF(AND(F415&lt;&gt;"",Y415&lt;&gt;""),AA415/(F415/2/Y415),"")</f>
        <v>6.634146341463415E-2</v>
      </c>
      <c r="AV415" s="43">
        <f>IF(AND(F415&lt;&gt;"",AJ415&lt;&gt;""),AL415/(F415/2/AJ415),"")</f>
        <v>6.634146341463415E-2</v>
      </c>
      <c r="AW415" s="41">
        <f>IF(AND(AP415&lt;&gt;"",1-(AP415/N415)&gt;0),1-(AP415/N415),"")</f>
        <v>0.88148148148148153</v>
      </c>
      <c r="AX415" s="41">
        <f>IF(AND(AE415&lt;&gt;"",1-(AE415/N415)&gt;0),1-(AE415/N415),"")</f>
        <v>0.89629629629629626</v>
      </c>
      <c r="AY415" s="136" t="str">
        <f>IF(P415="","",IF(P415&lt;2.5,"Alc. Bruta &lt; 2,5 mg/L",IF(P415&lt;5,"2,5 ≤ Alc. Bruta &lt; 5,0 mg/L",IF(P415&lt;7.5,"5,0 ≤ Alc. Bruta &lt; 7,5 mg/L",IF(P415&lt;10,"7,5 ≤ Alc. Bruta &lt; 10,0 mg/L",IF(P415&lt;15,"10,0 ≤ Alca. Bruta &lt; 15,0 mg/L","Alc. Bruta &gt; 15 mg/L"))))))</f>
        <v>5,0 ≤ Alc. Bruta &lt; 7,5 mg/L</v>
      </c>
      <c r="AZ415" s="136" t="str">
        <f>IF(O415="","",IF(O415&lt;5,"Cor &lt;5 uC",IF(O415&lt;10,"5 ≤ Cor &lt; 10 uC",IF(O415&lt;15,"10 ≤ Cor &lt;15 uC",IF(O415&lt;30,"15 ≤ Cor &lt; 30 uC",IF(O415&lt;50,"30 ≤ Cor &lt; 50 uC","Cor &gt; 50 uC"))))))</f>
        <v>10 ≤ Cor &lt;15 uC</v>
      </c>
      <c r="BA415" s="137" t="str">
        <f>IF(N415="","",IF(N415&lt;2.5,"Turbidez &lt; 2,5 uT",IF(N415&lt;5,"2,5 ≤ Turb &lt; 5,0 uT",IF(N415&lt;7.5,"5,0 ≤ Turb &lt; 7,5 uT",IF(N415&lt;10,"7,5 ≤ Turb &lt; 10,0 uT",IF(N415&lt;15,"10,0 ≤ Turb &lt; 15,0 uT","Turb &gt; 15 uT"))))))</f>
        <v>2,5 ≤ Turb &lt; 5,0 uT</v>
      </c>
      <c r="BB415" s="138" t="str">
        <f>IF(AND(C415&gt;D415,D415&gt;E415),"TOR &gt; SM &gt; BNN",IF(AND(C415&gt;E415,E415&gt;D415),"TOR &gt; BNN &gt; SM",IF(AND(D415&gt;C415,C415&gt;E415),"SM &gt; TOR &gt; BNN",IF(AND(D415&gt;E415,E415&gt;C415),"SM &gt; BNN &gt; TOR",IF(AND(C415=D415,D415=E415),"TOR = SM = BNN","Comb. diferentes")))))</f>
        <v>TOR &gt; BNN &gt; SM</v>
      </c>
      <c r="BC415" s="137" t="str">
        <f>IF(OR(AD415="",AP415="-"),"",IF(AD415&lt;=0.25,"Tipo 1 (≤0,25) uT",IF(AD415&lt;=0.5,"Tipo 2 (0,25-0,50) uT",IF(AD415&lt;=0.75,"Tipo 3 (0,50-0,75) uT","Tipo 4 (&gt;0,75) uT"))))</f>
        <v>Tipo 1 (≤0,25) uT</v>
      </c>
      <c r="BD415" s="137" t="str">
        <f>IF(OR(AO415="",AY415="-"),"",IF(AO415&lt;=0.25,"Tipo 1 (≤0,25) uT",IF(AO415&lt;=0.5,"Tipo 2 (0,25-0,50) uT",IF(AO415&lt;=0.75,"Tipo 3 (0,50-0,75) uT","Tipo 4 (&gt;0,75) uT"))))</f>
        <v>Tipo 1 (≤0,25) uT</v>
      </c>
      <c r="BE415" s="137" t="str">
        <f>IF(OR(AE415="",AP415="-"),"",IF(AE415&lt;=0.25,"Tipo 1 (≤0,25) uT",IF(AE415&lt;=0.5,"Tipo 2 (0,25-0,50) uT",IF(AE415&lt;=0.75,"Tipo 3 (0,50-0,75) uT","Tipo 4 (&gt;0,75) uT"))))</f>
        <v>Tipo 2 (0,25-0,50) uT</v>
      </c>
      <c r="BF415" s="137" t="str">
        <f>IF(OR(AP415="",AP415="-"),"",IF(AP415&lt;=0.25,"Tipo 1 (≤0,25) uT",IF(AP415&lt;=0.5,"Tipo 2 (0,25-0,50) uT",IF(AP415&lt;=0.75,"Tipo 3 (0,50-0,75) uT","Tipo 4 (&gt;0,75) uT"))))</f>
        <v>Tipo 2 (0,25-0,50) uT</v>
      </c>
      <c r="BG415" s="137" t="str">
        <f>IF(OR(Q415="",Q415="-"),"",IF(Q415&lt;=0.25,"Tipo 1 (≤0,25) uT",IF(Q415&lt;=0.5,"Tipo 2 (0,25-0,50) uT",IF(Q415&lt;=0.75,"Tipo 3 (0,50-0,75) uT","Tipo 4 (&gt;0,75) uT"))))</f>
        <v>Tipo 1 (≤0,25) uT</v>
      </c>
    </row>
    <row r="416" spans="1:59" x14ac:dyDescent="0.3">
      <c r="A416" s="26">
        <v>46170</v>
      </c>
      <c r="B416" s="107">
        <v>6.25E-2</v>
      </c>
      <c r="C416" s="116">
        <v>1496</v>
      </c>
      <c r="D416" s="116">
        <v>81</v>
      </c>
      <c r="E416" s="116">
        <v>544</v>
      </c>
      <c r="F416" s="116">
        <v>2258</v>
      </c>
      <c r="G416" s="10" t="s">
        <v>100</v>
      </c>
      <c r="H416" s="122">
        <v>7</v>
      </c>
      <c r="I416" s="116">
        <v>90</v>
      </c>
      <c r="J416" s="116">
        <v>90</v>
      </c>
      <c r="K416" s="116">
        <v>90</v>
      </c>
      <c r="L416" s="122">
        <v>23.6</v>
      </c>
      <c r="M416" s="122">
        <v>6.7</v>
      </c>
      <c r="N416" s="79">
        <v>2.9</v>
      </c>
      <c r="O416" s="116">
        <v>16</v>
      </c>
      <c r="P416" s="122">
        <v>5.6</v>
      </c>
      <c r="Q416" s="79">
        <v>0.09</v>
      </c>
      <c r="R416" s="79">
        <v>22.36</v>
      </c>
      <c r="S416" s="79">
        <v>0.88</v>
      </c>
      <c r="T416" s="79">
        <v>0.7</v>
      </c>
      <c r="U416" s="85">
        <f t="shared" si="48"/>
        <v>1481.8125</v>
      </c>
      <c r="V416" s="79">
        <f t="shared" si="49"/>
        <v>1367.3038038399998</v>
      </c>
      <c r="W416" s="79">
        <f t="shared" si="50"/>
        <v>0.92272389647138198</v>
      </c>
      <c r="X416" s="116">
        <v>3</v>
      </c>
      <c r="Y416" s="116">
        <v>4</v>
      </c>
      <c r="Z416" s="122">
        <v>6.48</v>
      </c>
      <c r="AA416" s="116">
        <v>17</v>
      </c>
      <c r="AB416" s="122">
        <v>6.5</v>
      </c>
      <c r="AC416" s="122">
        <v>6.3</v>
      </c>
      <c r="AD416" s="10">
        <v>0.15</v>
      </c>
      <c r="AE416" s="79">
        <v>0.27</v>
      </c>
      <c r="AF416" s="85">
        <f t="shared" si="51"/>
        <v>1481.8125</v>
      </c>
      <c r="AG416" s="85">
        <f t="shared" si="52"/>
        <v>944.47770195999999</v>
      </c>
      <c r="AH416" s="85">
        <f t="shared" si="53"/>
        <v>0.63738003422160361</v>
      </c>
      <c r="AI416" s="116">
        <v>3</v>
      </c>
      <c r="AJ416" s="116">
        <v>4</v>
      </c>
      <c r="AK416" s="79">
        <v>4.87</v>
      </c>
      <c r="AL416" s="79">
        <v>17</v>
      </c>
      <c r="AM416" s="122">
        <v>6.4</v>
      </c>
      <c r="AN416" s="122">
        <v>6.7</v>
      </c>
      <c r="AO416" s="79">
        <v>0.14000000000000001</v>
      </c>
      <c r="AP416" s="127">
        <v>0.42</v>
      </c>
      <c r="AQ416" s="132">
        <f t="shared" si="54"/>
        <v>2121</v>
      </c>
      <c r="AR416" s="134">
        <f t="shared" si="55"/>
        <v>0.70532767562470533</v>
      </c>
      <c r="AS416" s="134">
        <f t="shared" si="56"/>
        <v>3.818953323903819E-2</v>
      </c>
      <c r="AT416" s="134">
        <f t="shared" si="57"/>
        <v>0.25648279113625649</v>
      </c>
      <c r="AU416" s="43">
        <f>IF(AND(F416&lt;&gt;"",Y416&lt;&gt;""),AA416/(F416/2/Y416),"")</f>
        <v>6.0230292294065547E-2</v>
      </c>
      <c r="AV416" s="43">
        <f>IF(AND(F416&lt;&gt;"",AJ416&lt;&gt;""),AL416/(F416/2/AJ416),"")</f>
        <v>6.0230292294065547E-2</v>
      </c>
      <c r="AW416" s="41">
        <f>IF(AND(AP416&lt;&gt;"",1-(AP416/N416)&gt;0),1-(AP416/N416),"")</f>
        <v>0.85517241379310338</v>
      </c>
      <c r="AX416" s="41">
        <f>IF(AND(AE416&lt;&gt;"",1-(AE416/N416)&gt;0),1-(AE416/N416),"")</f>
        <v>0.90689655172413797</v>
      </c>
      <c r="AY416" s="136" t="str">
        <f>IF(P416="","",IF(P416&lt;2.5,"Alc. Bruta &lt; 2,5 mg/L",IF(P416&lt;5,"2,5 ≤ Alc. Bruta &lt; 5,0 mg/L",IF(P416&lt;7.5,"5,0 ≤ Alc. Bruta &lt; 7,5 mg/L",IF(P416&lt;10,"7,5 ≤ Alc. Bruta &lt; 10,0 mg/L",IF(P416&lt;15,"10,0 ≤ Alca. Bruta &lt; 15,0 mg/L","Alc. Bruta &gt; 15 mg/L"))))))</f>
        <v>5,0 ≤ Alc. Bruta &lt; 7,5 mg/L</v>
      </c>
      <c r="AZ416" s="136" t="str">
        <f>IF(O416="","",IF(O416&lt;5,"Cor &lt;5 uC",IF(O416&lt;10,"5 ≤ Cor &lt; 10 uC",IF(O416&lt;15,"10 ≤ Cor &lt;15 uC",IF(O416&lt;30,"15 ≤ Cor &lt; 30 uC",IF(O416&lt;50,"30 ≤ Cor &lt; 50 uC","Cor &gt; 50 uC"))))))</f>
        <v>15 ≤ Cor &lt; 30 uC</v>
      </c>
      <c r="BA416" s="137" t="str">
        <f>IF(N416="","",IF(N416&lt;2.5,"Turbidez &lt; 2,5 uT",IF(N416&lt;5,"2,5 ≤ Turb &lt; 5,0 uT",IF(N416&lt;7.5,"5,0 ≤ Turb &lt; 7,5 uT",IF(N416&lt;10,"7,5 ≤ Turb &lt; 10,0 uT",IF(N416&lt;15,"10,0 ≤ Turb &lt; 15,0 uT","Turb &gt; 15 uT"))))))</f>
        <v>2,5 ≤ Turb &lt; 5,0 uT</v>
      </c>
      <c r="BB416" s="138" t="str">
        <f>IF(AND(C416&gt;D416,D416&gt;E416),"TOR &gt; SM &gt; BNN",IF(AND(C416&gt;E416,E416&gt;D416),"TOR &gt; BNN &gt; SM",IF(AND(D416&gt;C416,C416&gt;E416),"SM &gt; TOR &gt; BNN",IF(AND(D416&gt;E416,E416&gt;C416),"SM &gt; BNN &gt; TOR",IF(AND(C416=D416,D416=E416),"TOR = SM = BNN","Comb. diferentes")))))</f>
        <v>TOR &gt; BNN &gt; SM</v>
      </c>
      <c r="BC416" s="137" t="str">
        <f>IF(OR(AD416="",AP416="-"),"",IF(AD416&lt;=0.25,"Tipo 1 (≤0,25) uT",IF(AD416&lt;=0.5,"Tipo 2 (0,25-0,50) uT",IF(AD416&lt;=0.75,"Tipo 3 (0,50-0,75) uT","Tipo 4 (&gt;0,75) uT"))))</f>
        <v>Tipo 1 (≤0,25) uT</v>
      </c>
      <c r="BD416" s="137" t="str">
        <f>IF(OR(AO416="",AY416="-"),"",IF(AO416&lt;=0.25,"Tipo 1 (≤0,25) uT",IF(AO416&lt;=0.5,"Tipo 2 (0,25-0,50) uT",IF(AO416&lt;=0.75,"Tipo 3 (0,50-0,75) uT","Tipo 4 (&gt;0,75) uT"))))</f>
        <v>Tipo 1 (≤0,25) uT</v>
      </c>
      <c r="BE416" s="137" t="str">
        <f>IF(OR(AE416="",AP416="-"),"",IF(AE416&lt;=0.25,"Tipo 1 (≤0,25) uT",IF(AE416&lt;=0.5,"Tipo 2 (0,25-0,50) uT",IF(AE416&lt;=0.75,"Tipo 3 (0,50-0,75) uT","Tipo 4 (&gt;0,75) uT"))))</f>
        <v>Tipo 2 (0,25-0,50) uT</v>
      </c>
      <c r="BF416" s="137" t="str">
        <f>IF(OR(AP416="",AP416="-"),"",IF(AP416&lt;=0.25,"Tipo 1 (≤0,25) uT",IF(AP416&lt;=0.5,"Tipo 2 (0,25-0,50) uT",IF(AP416&lt;=0.75,"Tipo 3 (0,50-0,75) uT","Tipo 4 (&gt;0,75) uT"))))</f>
        <v>Tipo 2 (0,25-0,50) uT</v>
      </c>
      <c r="BG416" s="137" t="str">
        <f>IF(OR(Q416="",Q416="-"),"",IF(Q416&lt;=0.25,"Tipo 1 (≤0,25) uT",IF(Q416&lt;=0.5,"Tipo 2 (0,25-0,50) uT",IF(Q416&lt;=0.75,"Tipo 3 (0,50-0,75) uT","Tipo 4 (&gt;0,75) uT"))))</f>
        <v>Tipo 1 (≤0,25) uT</v>
      </c>
    </row>
    <row r="417" spans="1:59" x14ac:dyDescent="0.3">
      <c r="A417" s="26">
        <v>46170</v>
      </c>
      <c r="B417" s="107">
        <v>0.14583333333333334</v>
      </c>
      <c r="C417" s="116">
        <v>1381</v>
      </c>
      <c r="D417" s="116">
        <v>81</v>
      </c>
      <c r="E417" s="116">
        <v>544</v>
      </c>
      <c r="F417" s="116">
        <v>2275</v>
      </c>
      <c r="G417" s="10" t="s">
        <v>100</v>
      </c>
      <c r="H417" s="122">
        <v>7</v>
      </c>
      <c r="I417" s="116">
        <v>90</v>
      </c>
      <c r="J417" s="116">
        <v>90</v>
      </c>
      <c r="K417" s="116">
        <v>90</v>
      </c>
      <c r="L417" s="122">
        <v>23.2</v>
      </c>
      <c r="M417" s="122">
        <v>6.8</v>
      </c>
      <c r="N417" s="79">
        <v>3.09</v>
      </c>
      <c r="O417" s="116">
        <v>15</v>
      </c>
      <c r="P417" s="122">
        <v>7.8</v>
      </c>
      <c r="Q417" s="79">
        <v>0.09</v>
      </c>
      <c r="R417" s="79">
        <v>22.36</v>
      </c>
      <c r="S417" s="79">
        <v>0.88</v>
      </c>
      <c r="T417" s="79">
        <v>0.7</v>
      </c>
      <c r="U417" s="85">
        <f t="shared" si="48"/>
        <v>1546.9999999999998</v>
      </c>
      <c r="V417" s="79">
        <f t="shared" si="49"/>
        <v>1367.3038038399998</v>
      </c>
      <c r="W417" s="79">
        <f t="shared" si="50"/>
        <v>0.88384214857142851</v>
      </c>
      <c r="X417" s="116">
        <v>3</v>
      </c>
      <c r="Y417" s="116">
        <v>4</v>
      </c>
      <c r="Z417" s="122">
        <v>6.48</v>
      </c>
      <c r="AA417" s="116">
        <v>17</v>
      </c>
      <c r="AB417" s="122">
        <v>6.6</v>
      </c>
      <c r="AC417" s="122">
        <v>5.3</v>
      </c>
      <c r="AD417" s="10">
        <v>0.22</v>
      </c>
      <c r="AE417" s="79">
        <v>0.27</v>
      </c>
      <c r="AF417" s="85">
        <f t="shared" si="51"/>
        <v>1546.9999999999998</v>
      </c>
      <c r="AG417" s="85">
        <f t="shared" si="52"/>
        <v>939.22520379999992</v>
      </c>
      <c r="AH417" s="85">
        <f t="shared" si="53"/>
        <v>0.60712682857142863</v>
      </c>
      <c r="AI417" s="116">
        <v>3</v>
      </c>
      <c r="AJ417" s="116">
        <v>4</v>
      </c>
      <c r="AK417" s="79">
        <v>4.8499999999999996</v>
      </c>
      <c r="AL417" s="79">
        <v>17</v>
      </c>
      <c r="AM417" s="122">
        <v>6.4</v>
      </c>
      <c r="AN417" s="122">
        <v>5.2</v>
      </c>
      <c r="AO417" s="79">
        <v>0.17</v>
      </c>
      <c r="AP417" s="127">
        <v>0.42</v>
      </c>
      <c r="AQ417" s="132">
        <f t="shared" si="54"/>
        <v>2006</v>
      </c>
      <c r="AR417" s="134">
        <f t="shared" si="55"/>
        <v>0.68843469591226325</v>
      </c>
      <c r="AS417" s="134">
        <f t="shared" si="56"/>
        <v>4.0378863409770691E-2</v>
      </c>
      <c r="AT417" s="134">
        <f t="shared" si="57"/>
        <v>0.2711864406779661</v>
      </c>
      <c r="AU417" s="43">
        <f>IF(AND(F417&lt;&gt;"",Y417&lt;&gt;""),AA417/(F417/2/Y417),"")</f>
        <v>5.978021978021978E-2</v>
      </c>
      <c r="AV417" s="43">
        <f>IF(AND(F417&lt;&gt;"",AJ417&lt;&gt;""),AL417/(F417/2/AJ417),"")</f>
        <v>5.978021978021978E-2</v>
      </c>
      <c r="AW417" s="41">
        <f>IF(AND(AP417&lt;&gt;"",1-(AP417/N417)&gt;0),1-(AP417/N417),"")</f>
        <v>0.86407766990291268</v>
      </c>
      <c r="AX417" s="41">
        <f>IF(AND(AE417&lt;&gt;"",1-(AE417/N417)&gt;0),1-(AE417/N417),"")</f>
        <v>0.91262135922330101</v>
      </c>
      <c r="AY417" s="136" t="str">
        <f>IF(P417="","",IF(P417&lt;2.5,"Alc. Bruta &lt; 2,5 mg/L",IF(P417&lt;5,"2,5 ≤ Alc. Bruta &lt; 5,0 mg/L",IF(P417&lt;7.5,"5,0 ≤ Alc. Bruta &lt; 7,5 mg/L",IF(P417&lt;10,"7,5 ≤ Alc. Bruta &lt; 10,0 mg/L",IF(P417&lt;15,"10,0 ≤ Alca. Bruta &lt; 15,0 mg/L","Alc. Bruta &gt; 15 mg/L"))))))</f>
        <v>7,5 ≤ Alc. Bruta &lt; 10,0 mg/L</v>
      </c>
      <c r="AZ417" s="136" t="str">
        <f>IF(O417="","",IF(O417&lt;5,"Cor &lt;5 uC",IF(O417&lt;10,"5 ≤ Cor &lt; 10 uC",IF(O417&lt;15,"10 ≤ Cor &lt;15 uC",IF(O417&lt;30,"15 ≤ Cor &lt; 30 uC",IF(O417&lt;50,"30 ≤ Cor &lt; 50 uC","Cor &gt; 50 uC"))))))</f>
        <v>15 ≤ Cor &lt; 30 uC</v>
      </c>
      <c r="BA417" s="137" t="str">
        <f>IF(N417="","",IF(N417&lt;2.5,"Turbidez &lt; 2,5 uT",IF(N417&lt;5,"2,5 ≤ Turb &lt; 5,0 uT",IF(N417&lt;7.5,"5,0 ≤ Turb &lt; 7,5 uT",IF(N417&lt;10,"7,5 ≤ Turb &lt; 10,0 uT",IF(N417&lt;15,"10,0 ≤ Turb &lt; 15,0 uT","Turb &gt; 15 uT"))))))</f>
        <v>2,5 ≤ Turb &lt; 5,0 uT</v>
      </c>
      <c r="BB417" s="138" t="str">
        <f>IF(AND(C417&gt;D417,D417&gt;E417),"TOR &gt; SM &gt; BNN",IF(AND(C417&gt;E417,E417&gt;D417),"TOR &gt; BNN &gt; SM",IF(AND(D417&gt;C417,C417&gt;E417),"SM &gt; TOR &gt; BNN",IF(AND(D417&gt;E417,E417&gt;C417),"SM &gt; BNN &gt; TOR",IF(AND(C417=D417,D417=E417),"TOR = SM = BNN","Comb. diferentes")))))</f>
        <v>TOR &gt; BNN &gt; SM</v>
      </c>
      <c r="BC417" s="137" t="str">
        <f>IF(OR(AD417="",AP417="-"),"",IF(AD417&lt;=0.25,"Tipo 1 (≤0,25) uT",IF(AD417&lt;=0.5,"Tipo 2 (0,25-0,50) uT",IF(AD417&lt;=0.75,"Tipo 3 (0,50-0,75) uT","Tipo 4 (&gt;0,75) uT"))))</f>
        <v>Tipo 1 (≤0,25) uT</v>
      </c>
      <c r="BD417" s="137" t="str">
        <f>IF(OR(AO417="",AY417="-"),"",IF(AO417&lt;=0.25,"Tipo 1 (≤0,25) uT",IF(AO417&lt;=0.5,"Tipo 2 (0,25-0,50) uT",IF(AO417&lt;=0.75,"Tipo 3 (0,50-0,75) uT","Tipo 4 (&gt;0,75) uT"))))</f>
        <v>Tipo 1 (≤0,25) uT</v>
      </c>
      <c r="BE417" s="137" t="str">
        <f>IF(OR(AE417="",AP417="-"),"",IF(AE417&lt;=0.25,"Tipo 1 (≤0,25) uT",IF(AE417&lt;=0.5,"Tipo 2 (0,25-0,50) uT",IF(AE417&lt;=0.75,"Tipo 3 (0,50-0,75) uT","Tipo 4 (&gt;0,75) uT"))))</f>
        <v>Tipo 2 (0,25-0,50) uT</v>
      </c>
      <c r="BF417" s="137" t="str">
        <f>IF(OR(AP417="",AP417="-"),"",IF(AP417&lt;=0.25,"Tipo 1 (≤0,25) uT",IF(AP417&lt;=0.5,"Tipo 2 (0,25-0,50) uT",IF(AP417&lt;=0.75,"Tipo 3 (0,50-0,75) uT","Tipo 4 (&gt;0,75) uT"))))</f>
        <v>Tipo 2 (0,25-0,50) uT</v>
      </c>
      <c r="BG417" s="137" t="str">
        <f>IF(OR(Q417="",Q417="-"),"",IF(Q417&lt;=0.25,"Tipo 1 (≤0,25) uT",IF(Q417&lt;=0.5,"Tipo 2 (0,25-0,50) uT",IF(Q417&lt;=0.75,"Tipo 3 (0,50-0,75) uT","Tipo 4 (&gt;0,75) uT"))))</f>
        <v>Tipo 1 (≤0,25) uT</v>
      </c>
    </row>
    <row r="418" spans="1:59" ht="15" thickBot="1" x14ac:dyDescent="0.35">
      <c r="A418" s="26">
        <v>46170</v>
      </c>
      <c r="B418" s="110">
        <v>0.22916666666666666</v>
      </c>
      <c r="C418" s="117">
        <v>1516</v>
      </c>
      <c r="D418" s="117">
        <v>89</v>
      </c>
      <c r="E418" s="117">
        <v>542</v>
      </c>
      <c r="F418" s="117">
        <v>2277</v>
      </c>
      <c r="G418" s="11" t="s">
        <v>100</v>
      </c>
      <c r="H418" s="123">
        <v>7</v>
      </c>
      <c r="I418" s="117">
        <v>90</v>
      </c>
      <c r="J418" s="117">
        <v>90</v>
      </c>
      <c r="K418" s="117">
        <v>90</v>
      </c>
      <c r="L418" s="123">
        <v>22.9</v>
      </c>
      <c r="M418" s="123">
        <v>6.8</v>
      </c>
      <c r="N418" s="80">
        <v>2.64</v>
      </c>
      <c r="O418" s="117">
        <v>16</v>
      </c>
      <c r="P418" s="123">
        <v>5</v>
      </c>
      <c r="Q418" s="80">
        <v>0.1</v>
      </c>
      <c r="R418" s="79">
        <v>22.36</v>
      </c>
      <c r="S418" s="79">
        <v>0.88</v>
      </c>
      <c r="T418" s="79">
        <v>0.7</v>
      </c>
      <c r="U418" s="85">
        <f t="shared" si="48"/>
        <v>1420.2787500000002</v>
      </c>
      <c r="V418" s="79">
        <f t="shared" si="49"/>
        <v>1206.4445327999999</v>
      </c>
      <c r="W418" s="79">
        <f t="shared" si="50"/>
        <v>0.84944207804277838</v>
      </c>
      <c r="X418" s="117">
        <v>3</v>
      </c>
      <c r="Y418" s="117">
        <v>4</v>
      </c>
      <c r="Z418" s="123">
        <v>6.48</v>
      </c>
      <c r="AA418" s="117">
        <v>15</v>
      </c>
      <c r="AB418" s="123">
        <v>6.5</v>
      </c>
      <c r="AC418" s="123">
        <v>6</v>
      </c>
      <c r="AD418" s="11">
        <v>0.21</v>
      </c>
      <c r="AE418" s="80">
        <v>0.19</v>
      </c>
      <c r="AF418" s="85">
        <f t="shared" si="51"/>
        <v>1420.2787500000002</v>
      </c>
      <c r="AG418" s="85">
        <f t="shared" si="52"/>
        <v>936.59895472000005</v>
      </c>
      <c r="AH418" s="85">
        <f t="shared" si="53"/>
        <v>0.65944727731792085</v>
      </c>
      <c r="AI418" s="117">
        <v>3</v>
      </c>
      <c r="AJ418" s="117">
        <v>4</v>
      </c>
      <c r="AK418" s="80">
        <v>4.84</v>
      </c>
      <c r="AL418" s="80">
        <v>17</v>
      </c>
      <c r="AM418" s="123">
        <v>6.5</v>
      </c>
      <c r="AN418" s="123">
        <v>6.8</v>
      </c>
      <c r="AO418" s="80">
        <v>0.14000000000000001</v>
      </c>
      <c r="AP418" s="128">
        <v>0.4</v>
      </c>
      <c r="AQ418" s="132">
        <f t="shared" si="54"/>
        <v>2147</v>
      </c>
      <c r="AR418" s="134">
        <f t="shared" si="55"/>
        <v>0.70610153702841172</v>
      </c>
      <c r="AS418" s="134">
        <f t="shared" si="56"/>
        <v>4.1453190498369819E-2</v>
      </c>
      <c r="AT418" s="134">
        <f t="shared" si="57"/>
        <v>0.25244527247321846</v>
      </c>
      <c r="AU418" s="43">
        <f>IF(AND(F418&lt;&gt;"",Y418&lt;&gt;""),AA418/(F418/2/Y418),"")</f>
        <v>5.2700922266139656E-2</v>
      </c>
      <c r="AV418" s="43">
        <f>IF(AND(F418&lt;&gt;"",AJ418&lt;&gt;""),AL418/(F418/2/AJ418),"")</f>
        <v>5.9727711901624944E-2</v>
      </c>
      <c r="AW418" s="41">
        <f>IF(AND(AP418&lt;&gt;"",1-(AP418/N418)&gt;0),1-(AP418/N418),"")</f>
        <v>0.84848484848484851</v>
      </c>
      <c r="AX418" s="41">
        <f>IF(AND(AE418&lt;&gt;"",1-(AE418/N418)&gt;0),1-(AE418/N418),"")</f>
        <v>0.92803030303030298</v>
      </c>
      <c r="AY418" s="136" t="str">
        <f>IF(P418="","",IF(P418&lt;2.5,"Alc. Bruta &lt; 2,5 mg/L",IF(P418&lt;5,"2,5 ≤ Alc. Bruta &lt; 5,0 mg/L",IF(P418&lt;7.5,"5,0 ≤ Alc. Bruta &lt; 7,5 mg/L",IF(P418&lt;10,"7,5 ≤ Alc. Bruta &lt; 10,0 mg/L",IF(P418&lt;15,"10,0 ≤ Alca. Bruta &lt; 15,0 mg/L","Alc. Bruta &gt; 15 mg/L"))))))</f>
        <v>5,0 ≤ Alc. Bruta &lt; 7,5 mg/L</v>
      </c>
      <c r="AZ418" s="136" t="str">
        <f>IF(O418="","",IF(O418&lt;5,"Cor &lt;5 uC",IF(O418&lt;10,"5 ≤ Cor &lt; 10 uC",IF(O418&lt;15,"10 ≤ Cor &lt;15 uC",IF(O418&lt;30,"15 ≤ Cor &lt; 30 uC",IF(O418&lt;50,"30 ≤ Cor &lt; 50 uC","Cor &gt; 50 uC"))))))</f>
        <v>15 ≤ Cor &lt; 30 uC</v>
      </c>
      <c r="BA418" s="137" t="str">
        <f>IF(N418="","",IF(N418&lt;2.5,"Turbidez &lt; 2,5 uT",IF(N418&lt;5,"2,5 ≤ Turb &lt; 5,0 uT",IF(N418&lt;7.5,"5,0 ≤ Turb &lt; 7,5 uT",IF(N418&lt;10,"7,5 ≤ Turb &lt; 10,0 uT",IF(N418&lt;15,"10,0 ≤ Turb &lt; 15,0 uT","Turb &gt; 15 uT"))))))</f>
        <v>2,5 ≤ Turb &lt; 5,0 uT</v>
      </c>
      <c r="BB418" s="138" t="str">
        <f>IF(AND(C418&gt;D418,D418&gt;E418),"TOR &gt; SM &gt; BNN",IF(AND(C418&gt;E418,E418&gt;D418),"TOR &gt; BNN &gt; SM",IF(AND(D418&gt;C418,C418&gt;E418),"SM &gt; TOR &gt; BNN",IF(AND(D418&gt;E418,E418&gt;C418),"SM &gt; BNN &gt; TOR",IF(AND(C418=D418,D418=E418),"TOR = SM = BNN","Comb. diferentes")))))</f>
        <v>TOR &gt; BNN &gt; SM</v>
      </c>
      <c r="BC418" s="137" t="str">
        <f>IF(OR(AD418="",AP418="-"),"",IF(AD418&lt;=0.25,"Tipo 1 (≤0,25) uT",IF(AD418&lt;=0.5,"Tipo 2 (0,25-0,50) uT",IF(AD418&lt;=0.75,"Tipo 3 (0,50-0,75) uT","Tipo 4 (&gt;0,75) uT"))))</f>
        <v>Tipo 1 (≤0,25) uT</v>
      </c>
      <c r="BD418" s="137" t="str">
        <f>IF(OR(AO418="",AY418="-"),"",IF(AO418&lt;=0.25,"Tipo 1 (≤0,25) uT",IF(AO418&lt;=0.5,"Tipo 2 (0,25-0,50) uT",IF(AO418&lt;=0.75,"Tipo 3 (0,50-0,75) uT","Tipo 4 (&gt;0,75) uT"))))</f>
        <v>Tipo 1 (≤0,25) uT</v>
      </c>
      <c r="BE418" s="137" t="str">
        <f>IF(OR(AE418="",AP418="-"),"",IF(AE418&lt;=0.25,"Tipo 1 (≤0,25) uT",IF(AE418&lt;=0.5,"Tipo 2 (0,25-0,50) uT",IF(AE418&lt;=0.75,"Tipo 3 (0,50-0,75) uT","Tipo 4 (&gt;0,75) uT"))))</f>
        <v>Tipo 1 (≤0,25) uT</v>
      </c>
      <c r="BF418" s="137" t="str">
        <f>IF(OR(AP418="",AP418="-"),"",IF(AP418&lt;=0.25,"Tipo 1 (≤0,25) uT",IF(AP418&lt;=0.5,"Tipo 2 (0,25-0,50) uT",IF(AP418&lt;=0.75,"Tipo 3 (0,50-0,75) uT","Tipo 4 (&gt;0,75) uT"))))</f>
        <v>Tipo 2 (0,25-0,50) uT</v>
      </c>
      <c r="BG418" s="137" t="str">
        <f>IF(OR(Q418="",Q418="-"),"",IF(Q418&lt;=0.25,"Tipo 1 (≤0,25) uT",IF(Q418&lt;=0.5,"Tipo 2 (0,25-0,50) uT",IF(Q418&lt;=0.75,"Tipo 3 (0,50-0,75) uT","Tipo 4 (&gt;0,75) uT"))))</f>
        <v>Tipo 1 (≤0,25) uT</v>
      </c>
    </row>
    <row r="419" spans="1:59" x14ac:dyDescent="0.3">
      <c r="A419" s="26">
        <v>46170</v>
      </c>
      <c r="B419" s="111">
        <v>0.3125</v>
      </c>
      <c r="C419" s="118">
        <v>1430</v>
      </c>
      <c r="D419" s="116">
        <v>78</v>
      </c>
      <c r="E419" s="118">
        <v>543</v>
      </c>
      <c r="F419" s="118">
        <v>2283</v>
      </c>
      <c r="G419" s="9" t="s">
        <v>100</v>
      </c>
      <c r="H419" s="124">
        <v>7.2</v>
      </c>
      <c r="I419" s="118">
        <v>90</v>
      </c>
      <c r="J419" s="118">
        <v>90</v>
      </c>
      <c r="K419" s="118">
        <v>90</v>
      </c>
      <c r="L419" s="124">
        <v>22.7</v>
      </c>
      <c r="M419" s="124">
        <v>6.6</v>
      </c>
      <c r="N419" s="81">
        <v>3</v>
      </c>
      <c r="O419" s="118">
        <v>17</v>
      </c>
      <c r="P419" s="124">
        <v>6.6</v>
      </c>
      <c r="Q419" s="81">
        <v>0.11</v>
      </c>
      <c r="R419" s="79">
        <v>22.36</v>
      </c>
      <c r="S419" s="79">
        <v>0.88</v>
      </c>
      <c r="T419" s="79">
        <v>0.7</v>
      </c>
      <c r="U419" s="85">
        <f t="shared" si="48"/>
        <v>1543.8787500000001</v>
      </c>
      <c r="V419" s="79">
        <f t="shared" si="49"/>
        <v>1346.0271726719998</v>
      </c>
      <c r="W419" s="79">
        <f t="shared" si="50"/>
        <v>0.87184772293290502</v>
      </c>
      <c r="X419" s="118">
        <v>3</v>
      </c>
      <c r="Y419" s="118">
        <v>4</v>
      </c>
      <c r="Z419" s="124">
        <v>6.46</v>
      </c>
      <c r="AA419" s="118">
        <v>16.8</v>
      </c>
      <c r="AB419" s="124">
        <v>6.6</v>
      </c>
      <c r="AC419" s="124">
        <v>5.9</v>
      </c>
      <c r="AD419" s="9">
        <v>0.18</v>
      </c>
      <c r="AE419" s="81">
        <v>0.27</v>
      </c>
      <c r="AF419" s="85">
        <f t="shared" si="51"/>
        <v>1543.8787500000001</v>
      </c>
      <c r="AG419" s="85">
        <f t="shared" si="52"/>
        <v>1929.6526833999999</v>
      </c>
      <c r="AH419" s="85">
        <f t="shared" si="53"/>
        <v>1.2498732062993936</v>
      </c>
      <c r="AI419" s="118">
        <v>3</v>
      </c>
      <c r="AJ419" s="118">
        <v>4</v>
      </c>
      <c r="AK419" s="81">
        <v>6.5</v>
      </c>
      <c r="AL419" s="81">
        <v>23.9</v>
      </c>
      <c r="AM419" s="124">
        <v>6.4</v>
      </c>
      <c r="AN419" s="124">
        <v>5</v>
      </c>
      <c r="AO419" s="81">
        <v>0.17</v>
      </c>
      <c r="AP419" s="129">
        <v>0.4</v>
      </c>
      <c r="AQ419" s="132">
        <f t="shared" si="54"/>
        <v>2051</v>
      </c>
      <c r="AR419" s="134">
        <f t="shared" si="55"/>
        <v>0.69722086786933202</v>
      </c>
      <c r="AS419" s="134">
        <f t="shared" si="56"/>
        <v>3.803022915650902E-2</v>
      </c>
      <c r="AT419" s="134">
        <f t="shared" si="57"/>
        <v>0.26474890297415893</v>
      </c>
      <c r="AU419" s="43">
        <f>IF(AND(F419&lt;&gt;"",Y419&lt;&gt;""),AA419/(F419/2/Y419),"")</f>
        <v>5.8869908015768725E-2</v>
      </c>
      <c r="AV419" s="43">
        <f>IF(AND(F419&lt;&gt;"",AJ419&lt;&gt;""),AL419/(F419/2/AJ419),"")</f>
        <v>8.3749452474813843E-2</v>
      </c>
      <c r="AW419" s="41">
        <f>IF(AND(AP419&lt;&gt;"",1-(AP419/N419)&gt;0),1-(AP419/N419),"")</f>
        <v>0.8666666666666667</v>
      </c>
      <c r="AX419" s="41">
        <f>IF(AND(AE419&lt;&gt;"",1-(AE419/N419)&gt;0),1-(AE419/N419),"")</f>
        <v>0.91</v>
      </c>
      <c r="AY419" s="136" t="str">
        <f>IF(P419="","",IF(P419&lt;2.5,"Alc. Bruta &lt; 2,5 mg/L",IF(P419&lt;5,"2,5 ≤ Alc. Bruta &lt; 5,0 mg/L",IF(P419&lt;7.5,"5,0 ≤ Alc. Bruta &lt; 7,5 mg/L",IF(P419&lt;10,"7,5 ≤ Alc. Bruta &lt; 10,0 mg/L",IF(P419&lt;15,"10,0 ≤ Alca. Bruta &lt; 15,0 mg/L","Alc. Bruta &gt; 15 mg/L"))))))</f>
        <v>5,0 ≤ Alc. Bruta &lt; 7,5 mg/L</v>
      </c>
      <c r="AZ419" s="136" t="str">
        <f>IF(O419="","",IF(O419&lt;5,"Cor &lt;5 uC",IF(O419&lt;10,"5 ≤ Cor &lt; 10 uC",IF(O419&lt;15,"10 ≤ Cor &lt;15 uC",IF(O419&lt;30,"15 ≤ Cor &lt; 30 uC",IF(O419&lt;50,"30 ≤ Cor &lt; 50 uC","Cor &gt; 50 uC"))))))</f>
        <v>15 ≤ Cor &lt; 30 uC</v>
      </c>
      <c r="BA419" s="137" t="str">
        <f>IF(N419="","",IF(N419&lt;2.5,"Turbidez &lt; 2,5 uT",IF(N419&lt;5,"2,5 ≤ Turb &lt; 5,0 uT",IF(N419&lt;7.5,"5,0 ≤ Turb &lt; 7,5 uT",IF(N419&lt;10,"7,5 ≤ Turb &lt; 10,0 uT",IF(N419&lt;15,"10,0 ≤ Turb &lt; 15,0 uT","Turb &gt; 15 uT"))))))</f>
        <v>2,5 ≤ Turb &lt; 5,0 uT</v>
      </c>
      <c r="BB419" s="138" t="str">
        <f>IF(AND(C419&gt;D419,D419&gt;E419),"TOR &gt; SM &gt; BNN",IF(AND(C419&gt;E419,E419&gt;D419),"TOR &gt; BNN &gt; SM",IF(AND(D419&gt;C419,C419&gt;E419),"SM &gt; TOR &gt; BNN",IF(AND(D419&gt;E419,E419&gt;C419),"SM &gt; BNN &gt; TOR",IF(AND(C419=D419,D419=E419),"TOR = SM = BNN","Comb. diferentes")))))</f>
        <v>TOR &gt; BNN &gt; SM</v>
      </c>
      <c r="BC419" s="137" t="str">
        <f>IF(OR(AD419="",AP419="-"),"",IF(AD419&lt;=0.25,"Tipo 1 (≤0,25) uT",IF(AD419&lt;=0.5,"Tipo 2 (0,25-0,50) uT",IF(AD419&lt;=0.75,"Tipo 3 (0,50-0,75) uT","Tipo 4 (&gt;0,75) uT"))))</f>
        <v>Tipo 1 (≤0,25) uT</v>
      </c>
      <c r="BD419" s="137" t="str">
        <f>IF(OR(AO419="",AY419="-"),"",IF(AO419&lt;=0.25,"Tipo 1 (≤0,25) uT",IF(AO419&lt;=0.5,"Tipo 2 (0,25-0,50) uT",IF(AO419&lt;=0.75,"Tipo 3 (0,50-0,75) uT","Tipo 4 (&gt;0,75) uT"))))</f>
        <v>Tipo 1 (≤0,25) uT</v>
      </c>
      <c r="BE419" s="137" t="str">
        <f>IF(OR(AE419="",AP419="-"),"",IF(AE419&lt;=0.25,"Tipo 1 (≤0,25) uT",IF(AE419&lt;=0.5,"Tipo 2 (0,25-0,50) uT",IF(AE419&lt;=0.75,"Tipo 3 (0,50-0,75) uT","Tipo 4 (&gt;0,75) uT"))))</f>
        <v>Tipo 2 (0,25-0,50) uT</v>
      </c>
      <c r="BF419" s="137" t="str">
        <f>IF(OR(AP419="",AP419="-"),"",IF(AP419&lt;=0.25,"Tipo 1 (≤0,25) uT",IF(AP419&lt;=0.5,"Tipo 2 (0,25-0,50) uT",IF(AP419&lt;=0.75,"Tipo 3 (0,50-0,75) uT","Tipo 4 (&gt;0,75) uT"))))</f>
        <v>Tipo 2 (0,25-0,50) uT</v>
      </c>
      <c r="BG419" s="137" t="str">
        <f>IF(OR(Q419="",Q419="-"),"",IF(Q419&lt;=0.25,"Tipo 1 (≤0,25) uT",IF(Q419&lt;=0.5,"Tipo 2 (0,25-0,50) uT",IF(Q419&lt;=0.75,"Tipo 3 (0,50-0,75) uT","Tipo 4 (&gt;0,75) uT"))))</f>
        <v>Tipo 1 (≤0,25) uT</v>
      </c>
    </row>
    <row r="420" spans="1:59" x14ac:dyDescent="0.3">
      <c r="A420" s="26">
        <v>46170</v>
      </c>
      <c r="B420" s="107">
        <v>0.39583333333333331</v>
      </c>
      <c r="C420" s="116">
        <v>1584</v>
      </c>
      <c r="D420" s="116">
        <v>88</v>
      </c>
      <c r="E420" s="116">
        <v>535</v>
      </c>
      <c r="F420" s="116">
        <v>2327</v>
      </c>
      <c r="G420" s="10" t="s">
        <v>100</v>
      </c>
      <c r="H420" s="122">
        <v>7</v>
      </c>
      <c r="I420" s="116">
        <v>90</v>
      </c>
      <c r="J420" s="116">
        <v>90</v>
      </c>
      <c r="K420" s="116">
        <v>90</v>
      </c>
      <c r="L420" s="122">
        <v>22.9</v>
      </c>
      <c r="M420" s="122">
        <v>6.5</v>
      </c>
      <c r="N420" s="79">
        <v>2.91</v>
      </c>
      <c r="O420" s="116">
        <v>14</v>
      </c>
      <c r="P420" s="122">
        <v>6.7</v>
      </c>
      <c r="Q420" s="79">
        <v>0.1</v>
      </c>
      <c r="R420" s="79">
        <v>22.36</v>
      </c>
      <c r="S420" s="79">
        <v>0.88</v>
      </c>
      <c r="T420" s="79">
        <v>0.7</v>
      </c>
      <c r="U420" s="85">
        <f t="shared" ref="U420:U483" si="58">(N420+0.3*H420+0.25)*(F420/2/Y420)</f>
        <v>1530.0024999999998</v>
      </c>
      <c r="V420" s="79">
        <f t="shared" ref="V420:V483" si="59">R420*(T420*Z420*0.987-S420)*AA420</f>
        <v>1364.4824414</v>
      </c>
      <c r="W420" s="79">
        <f t="shared" ref="W420:W483" si="60">V420/U420</f>
        <v>0.891817131932791</v>
      </c>
      <c r="X420" s="116">
        <v>3</v>
      </c>
      <c r="Y420" s="116">
        <v>4</v>
      </c>
      <c r="Z420" s="122">
        <v>6.5</v>
      </c>
      <c r="AA420" s="116">
        <v>16.899999999999999</v>
      </c>
      <c r="AB420" s="122">
        <v>6.4</v>
      </c>
      <c r="AC420" s="122">
        <v>6.2</v>
      </c>
      <c r="AD420" s="10">
        <v>0.37</v>
      </c>
      <c r="AE420" s="79">
        <v>0.28000000000000003</v>
      </c>
      <c r="AF420" s="85">
        <f t="shared" si="51"/>
        <v>1530.0024999999998</v>
      </c>
      <c r="AG420" s="85">
        <f t="shared" si="52"/>
        <v>1937.0370778719994</v>
      </c>
      <c r="AH420" s="85">
        <f t="shared" si="53"/>
        <v>1.2660352371136645</v>
      </c>
      <c r="AI420" s="116">
        <v>3</v>
      </c>
      <c r="AJ420" s="116">
        <v>4</v>
      </c>
      <c r="AK420" s="79">
        <v>6.52</v>
      </c>
      <c r="AL420" s="79">
        <v>23.9</v>
      </c>
      <c r="AM420" s="122">
        <v>6.4</v>
      </c>
      <c r="AN420" s="122">
        <v>6.3</v>
      </c>
      <c r="AO420" s="79">
        <v>0.28000000000000003</v>
      </c>
      <c r="AP420" s="127">
        <v>0.43</v>
      </c>
      <c r="AQ420" s="132">
        <f t="shared" si="54"/>
        <v>2207</v>
      </c>
      <c r="AR420" s="134">
        <f t="shared" si="55"/>
        <v>0.71771635704576353</v>
      </c>
      <c r="AS420" s="134">
        <f t="shared" si="56"/>
        <v>3.9873130946986857E-2</v>
      </c>
      <c r="AT420" s="134">
        <f t="shared" si="57"/>
        <v>0.24241051200724967</v>
      </c>
      <c r="AU420" s="43">
        <f>IF(AND(F420&lt;&gt;"",Y420&lt;&gt;""),AA420/(F420/2/Y420),"")</f>
        <v>5.8100558659217871E-2</v>
      </c>
      <c r="AV420" s="43">
        <f>IF(AND(F420&lt;&gt;"",AJ420&lt;&gt;""),AL420/(F420/2/AJ420),"")</f>
        <v>8.2165878813923496E-2</v>
      </c>
      <c r="AW420" s="41">
        <f>IF(AND(AP420&lt;&gt;"",1-(AP420/N420)&gt;0),1-(AP420/N420),"")</f>
        <v>0.85223367697594499</v>
      </c>
      <c r="AX420" s="41">
        <f>IF(AND(AE420&lt;&gt;"",1-(AE420/N420)&gt;0),1-(AE420/N420),"")</f>
        <v>0.90378006872852235</v>
      </c>
      <c r="AY420" s="136" t="str">
        <f>IF(P420="","",IF(P420&lt;2.5,"Alc. Bruta &lt; 2,5 mg/L",IF(P420&lt;5,"2,5 ≤ Alc. Bruta &lt; 5,0 mg/L",IF(P420&lt;7.5,"5,0 ≤ Alc. Bruta &lt; 7,5 mg/L",IF(P420&lt;10,"7,5 ≤ Alc. Bruta &lt; 10,0 mg/L",IF(P420&lt;15,"10,0 ≤ Alca. Bruta &lt; 15,0 mg/L","Alc. Bruta &gt; 15 mg/L"))))))</f>
        <v>5,0 ≤ Alc. Bruta &lt; 7,5 mg/L</v>
      </c>
      <c r="AZ420" s="136" t="str">
        <f>IF(O420="","",IF(O420&lt;5,"Cor &lt;5 uC",IF(O420&lt;10,"5 ≤ Cor &lt; 10 uC",IF(O420&lt;15,"10 ≤ Cor &lt;15 uC",IF(O420&lt;30,"15 ≤ Cor &lt; 30 uC",IF(O420&lt;50,"30 ≤ Cor &lt; 50 uC","Cor &gt; 50 uC"))))))</f>
        <v>10 ≤ Cor &lt;15 uC</v>
      </c>
      <c r="BA420" s="137" t="str">
        <f>IF(N420="","",IF(N420&lt;2.5,"Turbidez &lt; 2,5 uT",IF(N420&lt;5,"2,5 ≤ Turb &lt; 5,0 uT",IF(N420&lt;7.5,"5,0 ≤ Turb &lt; 7,5 uT",IF(N420&lt;10,"7,5 ≤ Turb &lt; 10,0 uT",IF(N420&lt;15,"10,0 ≤ Turb &lt; 15,0 uT","Turb &gt; 15 uT"))))))</f>
        <v>2,5 ≤ Turb &lt; 5,0 uT</v>
      </c>
      <c r="BB420" s="138" t="str">
        <f>IF(AND(C420&gt;D420,D420&gt;E420),"TOR &gt; SM &gt; BNN",IF(AND(C420&gt;E420,E420&gt;D420),"TOR &gt; BNN &gt; SM",IF(AND(D420&gt;C420,C420&gt;E420),"SM &gt; TOR &gt; BNN",IF(AND(D420&gt;E420,E420&gt;C420),"SM &gt; BNN &gt; TOR",IF(AND(C420=D420,D420=E420),"TOR = SM = BNN","Comb. diferentes")))))</f>
        <v>TOR &gt; BNN &gt; SM</v>
      </c>
      <c r="BC420" s="137" t="str">
        <f>IF(OR(AD420="",AP420="-"),"",IF(AD420&lt;=0.25,"Tipo 1 (≤0,25) uT",IF(AD420&lt;=0.5,"Tipo 2 (0,25-0,50) uT",IF(AD420&lt;=0.75,"Tipo 3 (0,50-0,75) uT","Tipo 4 (&gt;0,75) uT"))))</f>
        <v>Tipo 2 (0,25-0,50) uT</v>
      </c>
      <c r="BD420" s="137" t="str">
        <f>IF(OR(AO420="",AY420="-"),"",IF(AO420&lt;=0.25,"Tipo 1 (≤0,25) uT",IF(AO420&lt;=0.5,"Tipo 2 (0,25-0,50) uT",IF(AO420&lt;=0.75,"Tipo 3 (0,50-0,75) uT","Tipo 4 (&gt;0,75) uT"))))</f>
        <v>Tipo 2 (0,25-0,50) uT</v>
      </c>
      <c r="BE420" s="137" t="str">
        <f>IF(OR(AE420="",AP420="-"),"",IF(AE420&lt;=0.25,"Tipo 1 (≤0,25) uT",IF(AE420&lt;=0.5,"Tipo 2 (0,25-0,50) uT",IF(AE420&lt;=0.75,"Tipo 3 (0,50-0,75) uT","Tipo 4 (&gt;0,75) uT"))))</f>
        <v>Tipo 2 (0,25-0,50) uT</v>
      </c>
      <c r="BF420" s="137" t="str">
        <f>IF(OR(AP420="",AP420="-"),"",IF(AP420&lt;=0.25,"Tipo 1 (≤0,25) uT",IF(AP420&lt;=0.5,"Tipo 2 (0,25-0,50) uT",IF(AP420&lt;=0.75,"Tipo 3 (0,50-0,75) uT","Tipo 4 (&gt;0,75) uT"))))</f>
        <v>Tipo 2 (0,25-0,50) uT</v>
      </c>
      <c r="BG420" s="137" t="str">
        <f>IF(OR(Q420="",Q420="-"),"",IF(Q420&lt;=0.25,"Tipo 1 (≤0,25) uT",IF(Q420&lt;=0.5,"Tipo 2 (0,25-0,50) uT",IF(Q420&lt;=0.75,"Tipo 3 (0,50-0,75) uT","Tipo 4 (&gt;0,75) uT"))))</f>
        <v>Tipo 1 (≤0,25) uT</v>
      </c>
    </row>
    <row r="421" spans="1:59" x14ac:dyDescent="0.3">
      <c r="A421" s="26">
        <v>46170</v>
      </c>
      <c r="B421" s="107">
        <v>0.5625</v>
      </c>
      <c r="C421" s="116">
        <v>1479</v>
      </c>
      <c r="D421" s="116">
        <v>86</v>
      </c>
      <c r="E421" s="116">
        <v>544</v>
      </c>
      <c r="F421" s="116">
        <v>2269</v>
      </c>
      <c r="G421" s="10" t="s">
        <v>100</v>
      </c>
      <c r="H421" s="122">
        <v>6.8</v>
      </c>
      <c r="I421" s="116">
        <v>90</v>
      </c>
      <c r="J421" s="116">
        <v>90</v>
      </c>
      <c r="K421" s="116">
        <v>90</v>
      </c>
      <c r="L421" s="122">
        <v>23.7</v>
      </c>
      <c r="M421" s="122">
        <v>6.8</v>
      </c>
      <c r="N421" s="79">
        <v>3.74</v>
      </c>
      <c r="O421" s="116">
        <v>14</v>
      </c>
      <c r="P421" s="122">
        <v>6.1</v>
      </c>
      <c r="Q421" s="79">
        <v>0.15</v>
      </c>
      <c r="R421" s="79">
        <v>22.36</v>
      </c>
      <c r="S421" s="79">
        <v>0.88</v>
      </c>
      <c r="T421" s="79">
        <v>0.7</v>
      </c>
      <c r="U421" s="85">
        <f t="shared" si="58"/>
        <v>1710.25875</v>
      </c>
      <c r="V421" s="79">
        <f t="shared" si="59"/>
        <v>1367.3038038399998</v>
      </c>
      <c r="W421" s="79">
        <f t="shared" si="60"/>
        <v>0.79947189502173266</v>
      </c>
      <c r="X421" s="116">
        <v>3</v>
      </c>
      <c r="Y421" s="116">
        <v>4</v>
      </c>
      <c r="Z421" s="122">
        <v>6.48</v>
      </c>
      <c r="AA421" s="116">
        <v>17</v>
      </c>
      <c r="AB421" s="122">
        <v>6.4</v>
      </c>
      <c r="AC421" s="122">
        <v>6.6</v>
      </c>
      <c r="AD421" s="10">
        <v>0.51</v>
      </c>
      <c r="AE421" s="79">
        <v>0.38</v>
      </c>
      <c r="AF421" s="85">
        <f t="shared" ref="AF421:AF484" si="61">(N421+0.3*H421+0.25)*(F421/2/AJ421)</f>
        <v>1710.25875</v>
      </c>
      <c r="AG421" s="85">
        <f t="shared" ref="AG421:AG484" si="62">R421*(T421*AK421*0.987-S421)*AL421</f>
        <v>1941.4341897599998</v>
      </c>
      <c r="AH421" s="85">
        <f t="shared" ref="AH421:AH484" si="63">AG421/AF421</f>
        <v>1.1351698623146935</v>
      </c>
      <c r="AI421" s="116">
        <v>3</v>
      </c>
      <c r="AJ421" s="116">
        <v>4</v>
      </c>
      <c r="AK421" s="79">
        <v>6.51</v>
      </c>
      <c r="AL421" s="79">
        <v>24</v>
      </c>
      <c r="AM421" s="122">
        <v>6.7</v>
      </c>
      <c r="AN421" s="122">
        <v>6</v>
      </c>
      <c r="AO421" s="79">
        <v>0.27</v>
      </c>
      <c r="AP421" s="127">
        <v>0.44</v>
      </c>
      <c r="AQ421" s="132">
        <f t="shared" si="54"/>
        <v>2109</v>
      </c>
      <c r="AR421" s="134">
        <f t="shared" si="55"/>
        <v>0.70128022759601705</v>
      </c>
      <c r="AS421" s="134">
        <f t="shared" si="56"/>
        <v>4.0777619724988147E-2</v>
      </c>
      <c r="AT421" s="134">
        <f t="shared" si="57"/>
        <v>0.25794215267899478</v>
      </c>
      <c r="AU421" s="43">
        <f>IF(AND(F421&lt;&gt;"",Y421&lt;&gt;""),AA421/(F421/2/Y421),"")</f>
        <v>5.9938298810048481E-2</v>
      </c>
      <c r="AV421" s="43">
        <f>IF(AND(F421&lt;&gt;"",AJ421&lt;&gt;""),AL421/(F421/2/AJ421),"")</f>
        <v>8.4618774790656673E-2</v>
      </c>
      <c r="AW421" s="41">
        <f>IF(AND(AP421&lt;&gt;"",1-(AP421/N421)&gt;0),1-(AP421/N421),"")</f>
        <v>0.88235294117647056</v>
      </c>
      <c r="AX421" s="41">
        <f>IF(AND(AE421&lt;&gt;"",1-(AE421/N421)&gt;0),1-(AE421/N421),"")</f>
        <v>0.89839572192513373</v>
      </c>
      <c r="AY421" s="136" t="str">
        <f>IF(P421="","",IF(P421&lt;2.5,"Alc. Bruta &lt; 2,5 mg/L",IF(P421&lt;5,"2,5 ≤ Alc. Bruta &lt; 5,0 mg/L",IF(P421&lt;7.5,"5,0 ≤ Alc. Bruta &lt; 7,5 mg/L",IF(P421&lt;10,"7,5 ≤ Alc. Bruta &lt; 10,0 mg/L",IF(P421&lt;15,"10,0 ≤ Alca. Bruta &lt; 15,0 mg/L","Alc. Bruta &gt; 15 mg/L"))))))</f>
        <v>5,0 ≤ Alc. Bruta &lt; 7,5 mg/L</v>
      </c>
      <c r="AZ421" s="136" t="str">
        <f>IF(O421="","",IF(O421&lt;5,"Cor &lt;5 uC",IF(O421&lt;10,"5 ≤ Cor &lt; 10 uC",IF(O421&lt;15,"10 ≤ Cor &lt;15 uC",IF(O421&lt;30,"15 ≤ Cor &lt; 30 uC",IF(O421&lt;50,"30 ≤ Cor &lt; 50 uC","Cor &gt; 50 uC"))))))</f>
        <v>10 ≤ Cor &lt;15 uC</v>
      </c>
      <c r="BA421" s="137" t="str">
        <f>IF(N421="","",IF(N421&lt;2.5,"Turbidez &lt; 2,5 uT",IF(N421&lt;5,"2,5 ≤ Turb &lt; 5,0 uT",IF(N421&lt;7.5,"5,0 ≤ Turb &lt; 7,5 uT",IF(N421&lt;10,"7,5 ≤ Turb &lt; 10,0 uT",IF(N421&lt;15,"10,0 ≤ Turb &lt; 15,0 uT","Turb &gt; 15 uT"))))))</f>
        <v>2,5 ≤ Turb &lt; 5,0 uT</v>
      </c>
      <c r="BB421" s="138" t="str">
        <f>IF(AND(C421&gt;D421,D421&gt;E421),"TOR &gt; SM &gt; BNN",IF(AND(C421&gt;E421,E421&gt;D421),"TOR &gt; BNN &gt; SM",IF(AND(D421&gt;C421,C421&gt;E421),"SM &gt; TOR &gt; BNN",IF(AND(D421&gt;E421,E421&gt;C421),"SM &gt; BNN &gt; TOR",IF(AND(C421=D421,D421=E421),"TOR = SM = BNN","Comb. diferentes")))))</f>
        <v>TOR &gt; BNN &gt; SM</v>
      </c>
      <c r="BC421" s="137" t="str">
        <f>IF(OR(AD421="",AP421="-"),"",IF(AD421&lt;=0.25,"Tipo 1 (≤0,25) uT",IF(AD421&lt;=0.5,"Tipo 2 (0,25-0,50) uT",IF(AD421&lt;=0.75,"Tipo 3 (0,50-0,75) uT","Tipo 4 (&gt;0,75) uT"))))</f>
        <v>Tipo 3 (0,50-0,75) uT</v>
      </c>
      <c r="BD421" s="137" t="str">
        <f>IF(OR(AO421="",AY421="-"),"",IF(AO421&lt;=0.25,"Tipo 1 (≤0,25) uT",IF(AO421&lt;=0.5,"Tipo 2 (0,25-0,50) uT",IF(AO421&lt;=0.75,"Tipo 3 (0,50-0,75) uT","Tipo 4 (&gt;0,75) uT"))))</f>
        <v>Tipo 2 (0,25-0,50) uT</v>
      </c>
      <c r="BE421" s="137" t="str">
        <f>IF(OR(AE421="",AP421="-"),"",IF(AE421&lt;=0.25,"Tipo 1 (≤0,25) uT",IF(AE421&lt;=0.5,"Tipo 2 (0,25-0,50) uT",IF(AE421&lt;=0.75,"Tipo 3 (0,50-0,75) uT","Tipo 4 (&gt;0,75) uT"))))</f>
        <v>Tipo 2 (0,25-0,50) uT</v>
      </c>
      <c r="BF421" s="137" t="str">
        <f>IF(OR(AP421="",AP421="-"),"",IF(AP421&lt;=0.25,"Tipo 1 (≤0,25) uT",IF(AP421&lt;=0.5,"Tipo 2 (0,25-0,50) uT",IF(AP421&lt;=0.75,"Tipo 3 (0,50-0,75) uT","Tipo 4 (&gt;0,75) uT"))))</f>
        <v>Tipo 2 (0,25-0,50) uT</v>
      </c>
      <c r="BG421" s="137" t="str">
        <f>IF(OR(Q421="",Q421="-"),"",IF(Q421&lt;=0.25,"Tipo 1 (≤0,25) uT",IF(Q421&lt;=0.5,"Tipo 2 (0,25-0,50) uT",IF(Q421&lt;=0.75,"Tipo 3 (0,50-0,75) uT","Tipo 4 (&gt;0,75) uT"))))</f>
        <v>Tipo 1 (≤0,25) uT</v>
      </c>
    </row>
    <row r="422" spans="1:59" x14ac:dyDescent="0.3">
      <c r="A422" s="26">
        <v>46170</v>
      </c>
      <c r="B422" s="107">
        <v>0.64583333333333337</v>
      </c>
      <c r="C422" s="116">
        <v>1570</v>
      </c>
      <c r="D422" s="116">
        <v>81</v>
      </c>
      <c r="E422" s="116">
        <v>543</v>
      </c>
      <c r="F422" s="116">
        <v>2275</v>
      </c>
      <c r="G422" s="10" t="s">
        <v>100</v>
      </c>
      <c r="H422" s="122">
        <v>6.8</v>
      </c>
      <c r="I422" s="116">
        <v>90</v>
      </c>
      <c r="J422" s="116">
        <v>90</v>
      </c>
      <c r="K422" s="116">
        <v>90</v>
      </c>
      <c r="L422" s="122">
        <v>24</v>
      </c>
      <c r="M422" s="122">
        <v>6.7</v>
      </c>
      <c r="N422" s="79">
        <v>5.23</v>
      </c>
      <c r="O422" s="116">
        <v>17</v>
      </c>
      <c r="P422" s="122">
        <v>7.1</v>
      </c>
      <c r="Q422" s="79">
        <v>0.17</v>
      </c>
      <c r="R422" s="79">
        <v>22.36</v>
      </c>
      <c r="S422" s="79">
        <v>0.88</v>
      </c>
      <c r="T422" s="79">
        <v>0.7</v>
      </c>
      <c r="U422" s="85">
        <f t="shared" si="58"/>
        <v>2138.5</v>
      </c>
      <c r="V422" s="79">
        <f t="shared" si="59"/>
        <v>1372.556302</v>
      </c>
      <c r="W422" s="79">
        <f t="shared" si="60"/>
        <v>0.64183133130699088</v>
      </c>
      <c r="X422" s="116">
        <v>3</v>
      </c>
      <c r="Y422" s="116">
        <v>4</v>
      </c>
      <c r="Z422" s="122">
        <v>6.5</v>
      </c>
      <c r="AA422" s="116">
        <v>17</v>
      </c>
      <c r="AB422" s="122">
        <v>6.4</v>
      </c>
      <c r="AC422" s="122">
        <v>6.1</v>
      </c>
      <c r="AD422" s="10">
        <v>0.4</v>
      </c>
      <c r="AE422" s="79">
        <v>0.39</v>
      </c>
      <c r="AF422" s="85">
        <f t="shared" si="61"/>
        <v>2138.5</v>
      </c>
      <c r="AG422" s="85">
        <f t="shared" si="62"/>
        <v>1945.1418355199994</v>
      </c>
      <c r="AH422" s="85">
        <f t="shared" si="63"/>
        <v>0.9095823406686927</v>
      </c>
      <c r="AI422" s="116">
        <v>3</v>
      </c>
      <c r="AJ422" s="116">
        <v>4</v>
      </c>
      <c r="AK422" s="79">
        <v>6.52</v>
      </c>
      <c r="AL422" s="79">
        <v>24</v>
      </c>
      <c r="AM422" s="122">
        <v>6.6</v>
      </c>
      <c r="AN422" s="122">
        <v>6.7</v>
      </c>
      <c r="AO422" s="79">
        <v>0.17</v>
      </c>
      <c r="AP422" s="127">
        <v>0.41</v>
      </c>
      <c r="AQ422" s="132">
        <f t="shared" si="54"/>
        <v>2194</v>
      </c>
      <c r="AR422" s="134">
        <f t="shared" si="55"/>
        <v>0.71558796718322704</v>
      </c>
      <c r="AS422" s="134">
        <f t="shared" si="56"/>
        <v>3.6918869644484958E-2</v>
      </c>
      <c r="AT422" s="134">
        <f t="shared" si="57"/>
        <v>0.24749316317228806</v>
      </c>
      <c r="AU422" s="43">
        <f>IF(AND(F422&lt;&gt;"",Y422&lt;&gt;""),AA422/(F422/2/Y422),"")</f>
        <v>5.978021978021978E-2</v>
      </c>
      <c r="AV422" s="43">
        <f>IF(AND(F422&lt;&gt;"",AJ422&lt;&gt;""),AL422/(F422/2/AJ422),"")</f>
        <v>8.4395604395604396E-2</v>
      </c>
      <c r="AW422" s="41">
        <f>IF(AND(AP422&lt;&gt;"",1-(AP422/N422)&gt;0),1-(AP422/N422),"")</f>
        <v>0.92160611854684515</v>
      </c>
      <c r="AX422" s="41">
        <f>IF(AND(AE422&lt;&gt;"",1-(AE422/N422)&gt;0),1-(AE422/N422),"")</f>
        <v>0.9254302103250478</v>
      </c>
      <c r="AY422" s="136" t="str">
        <f>IF(P422="","",IF(P422&lt;2.5,"Alc. Bruta &lt; 2,5 mg/L",IF(P422&lt;5,"2,5 ≤ Alc. Bruta &lt; 5,0 mg/L",IF(P422&lt;7.5,"5,0 ≤ Alc. Bruta &lt; 7,5 mg/L",IF(P422&lt;10,"7,5 ≤ Alc. Bruta &lt; 10,0 mg/L",IF(P422&lt;15,"10,0 ≤ Alca. Bruta &lt; 15,0 mg/L","Alc. Bruta &gt; 15 mg/L"))))))</f>
        <v>5,0 ≤ Alc. Bruta &lt; 7,5 mg/L</v>
      </c>
      <c r="AZ422" s="136" t="str">
        <f>IF(O422="","",IF(O422&lt;5,"Cor &lt;5 uC",IF(O422&lt;10,"5 ≤ Cor &lt; 10 uC",IF(O422&lt;15,"10 ≤ Cor &lt;15 uC",IF(O422&lt;30,"15 ≤ Cor &lt; 30 uC",IF(O422&lt;50,"30 ≤ Cor &lt; 50 uC","Cor &gt; 50 uC"))))))</f>
        <v>15 ≤ Cor &lt; 30 uC</v>
      </c>
      <c r="BA422" s="137" t="str">
        <f>IF(N422="","",IF(N422&lt;2.5,"Turbidez &lt; 2,5 uT",IF(N422&lt;5,"2,5 ≤ Turb &lt; 5,0 uT",IF(N422&lt;7.5,"5,0 ≤ Turb &lt; 7,5 uT",IF(N422&lt;10,"7,5 ≤ Turb &lt; 10,0 uT",IF(N422&lt;15,"10,0 ≤ Turb &lt; 15,0 uT","Turb &gt; 15 uT"))))))</f>
        <v>5,0 ≤ Turb &lt; 7,5 uT</v>
      </c>
      <c r="BB422" s="138" t="str">
        <f>IF(AND(C422&gt;D422,D422&gt;E422),"TOR &gt; SM &gt; BNN",IF(AND(C422&gt;E422,E422&gt;D422),"TOR &gt; BNN &gt; SM",IF(AND(D422&gt;C422,C422&gt;E422),"SM &gt; TOR &gt; BNN",IF(AND(D422&gt;E422,E422&gt;C422),"SM &gt; BNN &gt; TOR",IF(AND(C422=D422,D422=E422),"TOR = SM = BNN","Comb. diferentes")))))</f>
        <v>TOR &gt; BNN &gt; SM</v>
      </c>
      <c r="BC422" s="137" t="str">
        <f>IF(OR(AD422="",AP422="-"),"",IF(AD422&lt;=0.25,"Tipo 1 (≤0,25) uT",IF(AD422&lt;=0.5,"Tipo 2 (0,25-0,50) uT",IF(AD422&lt;=0.75,"Tipo 3 (0,50-0,75) uT","Tipo 4 (&gt;0,75) uT"))))</f>
        <v>Tipo 2 (0,25-0,50) uT</v>
      </c>
      <c r="BD422" s="137" t="str">
        <f>IF(OR(AO422="",AY422="-"),"",IF(AO422&lt;=0.25,"Tipo 1 (≤0,25) uT",IF(AO422&lt;=0.5,"Tipo 2 (0,25-0,50) uT",IF(AO422&lt;=0.75,"Tipo 3 (0,50-0,75) uT","Tipo 4 (&gt;0,75) uT"))))</f>
        <v>Tipo 1 (≤0,25) uT</v>
      </c>
      <c r="BE422" s="137" t="str">
        <f>IF(OR(AE422="",AP422="-"),"",IF(AE422&lt;=0.25,"Tipo 1 (≤0,25) uT",IF(AE422&lt;=0.5,"Tipo 2 (0,25-0,50) uT",IF(AE422&lt;=0.75,"Tipo 3 (0,50-0,75) uT","Tipo 4 (&gt;0,75) uT"))))</f>
        <v>Tipo 2 (0,25-0,50) uT</v>
      </c>
      <c r="BF422" s="137" t="str">
        <f>IF(OR(AP422="",AP422="-"),"",IF(AP422&lt;=0.25,"Tipo 1 (≤0,25) uT",IF(AP422&lt;=0.5,"Tipo 2 (0,25-0,50) uT",IF(AP422&lt;=0.75,"Tipo 3 (0,50-0,75) uT","Tipo 4 (&gt;0,75) uT"))))</f>
        <v>Tipo 2 (0,25-0,50) uT</v>
      </c>
      <c r="BG422" s="137" t="str">
        <f>IF(OR(Q422="",Q422="-"),"",IF(Q422&lt;=0.25,"Tipo 1 (≤0,25) uT",IF(Q422&lt;=0.5,"Tipo 2 (0,25-0,50) uT",IF(Q422&lt;=0.75,"Tipo 3 (0,50-0,75) uT","Tipo 4 (&gt;0,75) uT"))))</f>
        <v>Tipo 1 (≤0,25) uT</v>
      </c>
    </row>
    <row r="423" spans="1:59" x14ac:dyDescent="0.3">
      <c r="A423" s="26">
        <v>46170</v>
      </c>
      <c r="B423" s="107">
        <v>0.72916666666666663</v>
      </c>
      <c r="C423" s="116">
        <v>1599</v>
      </c>
      <c r="D423" s="116">
        <v>86</v>
      </c>
      <c r="E423" s="116">
        <v>545</v>
      </c>
      <c r="F423" s="116">
        <v>2302</v>
      </c>
      <c r="G423" s="10" t="s">
        <v>100</v>
      </c>
      <c r="H423" s="122">
        <v>6.8</v>
      </c>
      <c r="I423" s="116">
        <v>90</v>
      </c>
      <c r="J423" s="116">
        <v>90</v>
      </c>
      <c r="K423" s="116">
        <v>90</v>
      </c>
      <c r="L423" s="122">
        <v>23.8</v>
      </c>
      <c r="M423" s="122">
        <v>6.7</v>
      </c>
      <c r="N423" s="79">
        <v>6.24</v>
      </c>
      <c r="O423" s="116">
        <v>22</v>
      </c>
      <c r="P423" s="122">
        <v>6.2</v>
      </c>
      <c r="Q423" s="79">
        <v>0.15</v>
      </c>
      <c r="R423" s="79">
        <v>22.36</v>
      </c>
      <c r="S423" s="79">
        <v>0.88</v>
      </c>
      <c r="T423" s="79">
        <v>0.7</v>
      </c>
      <c r="U423" s="85">
        <f t="shared" si="58"/>
        <v>2454.5075000000002</v>
      </c>
      <c r="V423" s="79">
        <f t="shared" si="59"/>
        <v>1369.9300529199998</v>
      </c>
      <c r="W423" s="79">
        <f t="shared" si="60"/>
        <v>0.55812828150657501</v>
      </c>
      <c r="X423" s="116">
        <v>3</v>
      </c>
      <c r="Y423" s="116">
        <v>4</v>
      </c>
      <c r="Z423" s="122">
        <v>6.49</v>
      </c>
      <c r="AA423" s="116">
        <v>17</v>
      </c>
      <c r="AB423" s="122">
        <v>6.4</v>
      </c>
      <c r="AC423" s="122">
        <v>6.1</v>
      </c>
      <c r="AD423" s="10">
        <v>0.71</v>
      </c>
      <c r="AE423" s="79">
        <v>0.4</v>
      </c>
      <c r="AF423" s="85">
        <f t="shared" si="61"/>
        <v>2454.5075000000002</v>
      </c>
      <c r="AG423" s="85">
        <f t="shared" si="62"/>
        <v>1948.84948128</v>
      </c>
      <c r="AH423" s="85">
        <f t="shared" si="63"/>
        <v>0.79398799200246883</v>
      </c>
      <c r="AI423" s="116">
        <v>3</v>
      </c>
      <c r="AJ423" s="116">
        <v>4</v>
      </c>
      <c r="AK423" s="79">
        <v>6.53</v>
      </c>
      <c r="AL423" s="79">
        <v>24</v>
      </c>
      <c r="AM423" s="122">
        <v>6.6</v>
      </c>
      <c r="AN423" s="122">
        <v>7.4</v>
      </c>
      <c r="AO423" s="79">
        <v>0.45</v>
      </c>
      <c r="AP423" s="127">
        <v>0.31</v>
      </c>
      <c r="AQ423" s="132">
        <f t="shared" si="54"/>
        <v>2230</v>
      </c>
      <c r="AR423" s="134">
        <f t="shared" si="55"/>
        <v>0.71704035874439465</v>
      </c>
      <c r="AS423" s="134">
        <f t="shared" si="56"/>
        <v>3.8565022421524667E-2</v>
      </c>
      <c r="AT423" s="134">
        <f t="shared" si="57"/>
        <v>0.24439461883408073</v>
      </c>
      <c r="AU423" s="43">
        <f>IF(AND(F423&lt;&gt;"",Y423&lt;&gt;""),AA423/(F423/2/Y423),"")</f>
        <v>5.9079061685490875E-2</v>
      </c>
      <c r="AV423" s="43">
        <f>IF(AND(F423&lt;&gt;"",AJ423&lt;&gt;""),AL423/(F423/2/AJ423),"")</f>
        <v>8.3405734144222421E-2</v>
      </c>
      <c r="AW423" s="41">
        <f>IF(AND(AP423&lt;&gt;"",1-(AP423/N423)&gt;0),1-(AP423/N423),"")</f>
        <v>0.95032051282051277</v>
      </c>
      <c r="AX423" s="41">
        <f>IF(AND(AE423&lt;&gt;"",1-(AE423/N423)&gt;0),1-(AE423/N423),"")</f>
        <v>0.9358974358974359</v>
      </c>
      <c r="AY423" s="136" t="str">
        <f>IF(P423="","",IF(P423&lt;2.5,"Alc. Bruta &lt; 2,5 mg/L",IF(P423&lt;5,"2,5 ≤ Alc. Bruta &lt; 5,0 mg/L",IF(P423&lt;7.5,"5,0 ≤ Alc. Bruta &lt; 7,5 mg/L",IF(P423&lt;10,"7,5 ≤ Alc. Bruta &lt; 10,0 mg/L",IF(P423&lt;15,"10,0 ≤ Alca. Bruta &lt; 15,0 mg/L","Alc. Bruta &gt; 15 mg/L"))))))</f>
        <v>5,0 ≤ Alc. Bruta &lt; 7,5 mg/L</v>
      </c>
      <c r="AZ423" s="136" t="str">
        <f>IF(O423="","",IF(O423&lt;5,"Cor &lt;5 uC",IF(O423&lt;10,"5 ≤ Cor &lt; 10 uC",IF(O423&lt;15,"10 ≤ Cor &lt;15 uC",IF(O423&lt;30,"15 ≤ Cor &lt; 30 uC",IF(O423&lt;50,"30 ≤ Cor &lt; 50 uC","Cor &gt; 50 uC"))))))</f>
        <v>15 ≤ Cor &lt; 30 uC</v>
      </c>
      <c r="BA423" s="137" t="str">
        <f>IF(N423="","",IF(N423&lt;2.5,"Turbidez &lt; 2,5 uT",IF(N423&lt;5,"2,5 ≤ Turb &lt; 5,0 uT",IF(N423&lt;7.5,"5,0 ≤ Turb &lt; 7,5 uT",IF(N423&lt;10,"7,5 ≤ Turb &lt; 10,0 uT",IF(N423&lt;15,"10,0 ≤ Turb &lt; 15,0 uT","Turb &gt; 15 uT"))))))</f>
        <v>5,0 ≤ Turb &lt; 7,5 uT</v>
      </c>
      <c r="BB423" s="138" t="str">
        <f>IF(AND(C423&gt;D423,D423&gt;E423),"TOR &gt; SM &gt; BNN",IF(AND(C423&gt;E423,E423&gt;D423),"TOR &gt; BNN &gt; SM",IF(AND(D423&gt;C423,C423&gt;E423),"SM &gt; TOR &gt; BNN",IF(AND(D423&gt;E423,E423&gt;C423),"SM &gt; BNN &gt; TOR",IF(AND(C423=D423,D423=E423),"TOR = SM = BNN","Comb. diferentes")))))</f>
        <v>TOR &gt; BNN &gt; SM</v>
      </c>
      <c r="BC423" s="137" t="str">
        <f>IF(OR(AD423="",AP423="-"),"",IF(AD423&lt;=0.25,"Tipo 1 (≤0,25) uT",IF(AD423&lt;=0.5,"Tipo 2 (0,25-0,50) uT",IF(AD423&lt;=0.75,"Tipo 3 (0,50-0,75) uT","Tipo 4 (&gt;0,75) uT"))))</f>
        <v>Tipo 3 (0,50-0,75) uT</v>
      </c>
      <c r="BD423" s="137" t="str">
        <f>IF(OR(AO423="",AY423="-"),"",IF(AO423&lt;=0.25,"Tipo 1 (≤0,25) uT",IF(AO423&lt;=0.5,"Tipo 2 (0,25-0,50) uT",IF(AO423&lt;=0.75,"Tipo 3 (0,50-0,75) uT","Tipo 4 (&gt;0,75) uT"))))</f>
        <v>Tipo 2 (0,25-0,50) uT</v>
      </c>
      <c r="BE423" s="137" t="str">
        <f>IF(OR(AE423="",AP423="-"),"",IF(AE423&lt;=0.25,"Tipo 1 (≤0,25) uT",IF(AE423&lt;=0.5,"Tipo 2 (0,25-0,50) uT",IF(AE423&lt;=0.75,"Tipo 3 (0,50-0,75) uT","Tipo 4 (&gt;0,75) uT"))))</f>
        <v>Tipo 2 (0,25-0,50) uT</v>
      </c>
      <c r="BF423" s="137" t="str">
        <f>IF(OR(AP423="",AP423="-"),"",IF(AP423&lt;=0.25,"Tipo 1 (≤0,25) uT",IF(AP423&lt;=0.5,"Tipo 2 (0,25-0,50) uT",IF(AP423&lt;=0.75,"Tipo 3 (0,50-0,75) uT","Tipo 4 (&gt;0,75) uT"))))</f>
        <v>Tipo 2 (0,25-0,50) uT</v>
      </c>
      <c r="BG423" s="137" t="str">
        <f>IF(OR(Q423="",Q423="-"),"",IF(Q423&lt;=0.25,"Tipo 1 (≤0,25) uT",IF(Q423&lt;=0.5,"Tipo 2 (0,25-0,50) uT",IF(Q423&lt;=0.75,"Tipo 3 (0,50-0,75) uT","Tipo 4 (&gt;0,75) uT"))))</f>
        <v>Tipo 1 (≤0,25) uT</v>
      </c>
    </row>
    <row r="424" spans="1:59" x14ac:dyDescent="0.3">
      <c r="A424" s="26">
        <v>46170</v>
      </c>
      <c r="B424" s="107">
        <v>0.8125</v>
      </c>
      <c r="C424" s="116">
        <v>1077</v>
      </c>
      <c r="D424" s="116">
        <v>87</v>
      </c>
      <c r="E424" s="116">
        <v>548</v>
      </c>
      <c r="F424" s="116">
        <v>1821</v>
      </c>
      <c r="G424" s="10" t="s">
        <v>100</v>
      </c>
      <c r="H424" s="122">
        <v>6.8</v>
      </c>
      <c r="I424" s="116">
        <v>90</v>
      </c>
      <c r="J424" s="116">
        <v>90</v>
      </c>
      <c r="K424" s="116">
        <v>90</v>
      </c>
      <c r="L424" s="122">
        <v>23.9</v>
      </c>
      <c r="M424" s="122">
        <v>6.8</v>
      </c>
      <c r="N424" s="79">
        <v>2.5</v>
      </c>
      <c r="O424" s="116">
        <v>11</v>
      </c>
      <c r="P424" s="122">
        <v>6.5</v>
      </c>
      <c r="Q424" s="79">
        <v>0.11</v>
      </c>
      <c r="R424" s="79">
        <v>22.36</v>
      </c>
      <c r="S424" s="79">
        <v>0.88</v>
      </c>
      <c r="T424" s="79">
        <v>0.7</v>
      </c>
      <c r="U424" s="85">
        <f t="shared" si="58"/>
        <v>1090.32375</v>
      </c>
      <c r="V424" s="79">
        <f t="shared" si="59"/>
        <v>1375.1825510799999</v>
      </c>
      <c r="W424" s="79">
        <f t="shared" si="60"/>
        <v>1.2612607503780413</v>
      </c>
      <c r="X424" s="116">
        <v>2</v>
      </c>
      <c r="Y424" s="116">
        <v>4</v>
      </c>
      <c r="Z424" s="122">
        <v>6.51</v>
      </c>
      <c r="AA424" s="116">
        <v>17</v>
      </c>
      <c r="AB424" s="122">
        <v>6.6</v>
      </c>
      <c r="AC424" s="122">
        <v>6.4</v>
      </c>
      <c r="AD424" s="10">
        <v>0.27</v>
      </c>
      <c r="AE424" s="79">
        <v>0.34</v>
      </c>
      <c r="AF424" s="85">
        <f t="shared" si="61"/>
        <v>1453.7650000000001</v>
      </c>
      <c r="AG424" s="85">
        <f t="shared" si="62"/>
        <v>1930.3112524799999</v>
      </c>
      <c r="AH424" s="85">
        <f t="shared" si="63"/>
        <v>1.3278014345372187</v>
      </c>
      <c r="AI424" s="116">
        <v>2</v>
      </c>
      <c r="AJ424" s="116">
        <v>3</v>
      </c>
      <c r="AK424" s="79">
        <v>6.48</v>
      </c>
      <c r="AL424" s="79">
        <v>24</v>
      </c>
      <c r="AM424" s="122">
        <v>6.6</v>
      </c>
      <c r="AN424" s="122">
        <v>6.4</v>
      </c>
      <c r="AO424" s="79">
        <v>0.38</v>
      </c>
      <c r="AP424" s="127">
        <v>0.27</v>
      </c>
      <c r="AQ424" s="132">
        <f t="shared" si="54"/>
        <v>1712</v>
      </c>
      <c r="AR424" s="134">
        <f t="shared" si="55"/>
        <v>0.62908878504672894</v>
      </c>
      <c r="AS424" s="134">
        <f t="shared" si="56"/>
        <v>5.0817757009345793E-2</v>
      </c>
      <c r="AT424" s="134">
        <f t="shared" si="57"/>
        <v>0.32009345794392524</v>
      </c>
      <c r="AU424" s="43">
        <f>IF(AND(F424&lt;&gt;"",Y424&lt;&gt;""),AA424/(F424/2/Y424),"")</f>
        <v>7.4684239428885232E-2</v>
      </c>
      <c r="AV424" s="43">
        <f>IF(AND(F424&lt;&gt;"",AJ424&lt;&gt;""),AL424/(F424/2/AJ424),"")</f>
        <v>7.907742998352553E-2</v>
      </c>
      <c r="AW424" s="41">
        <f>IF(AND(AP424&lt;&gt;"",1-(AP424/N424)&gt;0),1-(AP424/N424),"")</f>
        <v>0.89200000000000002</v>
      </c>
      <c r="AX424" s="41">
        <f>IF(AND(AE424&lt;&gt;"",1-(AE424/N424)&gt;0),1-(AE424/N424),"")</f>
        <v>0.86399999999999999</v>
      </c>
      <c r="AY424" s="136" t="str">
        <f>IF(P424="","",IF(P424&lt;2.5,"Alc. Bruta &lt; 2,5 mg/L",IF(P424&lt;5,"2,5 ≤ Alc. Bruta &lt; 5,0 mg/L",IF(P424&lt;7.5,"5,0 ≤ Alc. Bruta &lt; 7,5 mg/L",IF(P424&lt;10,"7,5 ≤ Alc. Bruta &lt; 10,0 mg/L",IF(P424&lt;15,"10,0 ≤ Alca. Bruta &lt; 15,0 mg/L","Alc. Bruta &gt; 15 mg/L"))))))</f>
        <v>5,0 ≤ Alc. Bruta &lt; 7,5 mg/L</v>
      </c>
      <c r="AZ424" s="136" t="str">
        <f>IF(O424="","",IF(O424&lt;5,"Cor &lt;5 uC",IF(O424&lt;10,"5 ≤ Cor &lt; 10 uC",IF(O424&lt;15,"10 ≤ Cor &lt;15 uC",IF(O424&lt;30,"15 ≤ Cor &lt; 30 uC",IF(O424&lt;50,"30 ≤ Cor &lt; 50 uC","Cor &gt; 50 uC"))))))</f>
        <v>10 ≤ Cor &lt;15 uC</v>
      </c>
      <c r="BA424" s="137" t="str">
        <f>IF(N424="","",IF(N424&lt;2.5,"Turbidez &lt; 2,5 uT",IF(N424&lt;5,"2,5 ≤ Turb &lt; 5,0 uT",IF(N424&lt;7.5,"5,0 ≤ Turb &lt; 7,5 uT",IF(N424&lt;10,"7,5 ≤ Turb &lt; 10,0 uT",IF(N424&lt;15,"10,0 ≤ Turb &lt; 15,0 uT","Turb &gt; 15 uT"))))))</f>
        <v>2,5 ≤ Turb &lt; 5,0 uT</v>
      </c>
      <c r="BB424" s="138" t="str">
        <f>IF(AND(C424&gt;D424,D424&gt;E424),"TOR &gt; SM &gt; BNN",IF(AND(C424&gt;E424,E424&gt;D424),"TOR &gt; BNN &gt; SM",IF(AND(D424&gt;C424,C424&gt;E424),"SM &gt; TOR &gt; BNN",IF(AND(D424&gt;E424,E424&gt;C424),"SM &gt; BNN &gt; TOR",IF(AND(C424=D424,D424=E424),"TOR = SM = BNN","Comb. diferentes")))))</f>
        <v>TOR &gt; BNN &gt; SM</v>
      </c>
      <c r="BC424" s="137" t="str">
        <f>IF(OR(AD424="",AP424="-"),"",IF(AD424&lt;=0.25,"Tipo 1 (≤0,25) uT",IF(AD424&lt;=0.5,"Tipo 2 (0,25-0,50) uT",IF(AD424&lt;=0.75,"Tipo 3 (0,50-0,75) uT","Tipo 4 (&gt;0,75) uT"))))</f>
        <v>Tipo 2 (0,25-0,50) uT</v>
      </c>
      <c r="BD424" s="137" t="str">
        <f>IF(OR(AO424="",AY424="-"),"",IF(AO424&lt;=0.25,"Tipo 1 (≤0,25) uT",IF(AO424&lt;=0.5,"Tipo 2 (0,25-0,50) uT",IF(AO424&lt;=0.75,"Tipo 3 (0,50-0,75) uT","Tipo 4 (&gt;0,75) uT"))))</f>
        <v>Tipo 2 (0,25-0,50) uT</v>
      </c>
      <c r="BE424" s="137" t="str">
        <f>IF(OR(AE424="",AP424="-"),"",IF(AE424&lt;=0.25,"Tipo 1 (≤0,25) uT",IF(AE424&lt;=0.5,"Tipo 2 (0,25-0,50) uT",IF(AE424&lt;=0.75,"Tipo 3 (0,50-0,75) uT","Tipo 4 (&gt;0,75) uT"))))</f>
        <v>Tipo 2 (0,25-0,50) uT</v>
      </c>
      <c r="BF424" s="137" t="str">
        <f>IF(OR(AP424="",AP424="-"),"",IF(AP424&lt;=0.25,"Tipo 1 (≤0,25) uT",IF(AP424&lt;=0.5,"Tipo 2 (0,25-0,50) uT",IF(AP424&lt;=0.75,"Tipo 3 (0,50-0,75) uT","Tipo 4 (&gt;0,75) uT"))))</f>
        <v>Tipo 2 (0,25-0,50) uT</v>
      </c>
      <c r="BG424" s="137" t="str">
        <f>IF(OR(Q424="",Q424="-"),"",IF(Q424&lt;=0.25,"Tipo 1 (≤0,25) uT",IF(Q424&lt;=0.5,"Tipo 2 (0,25-0,50) uT",IF(Q424&lt;=0.75,"Tipo 3 (0,50-0,75) uT","Tipo 4 (&gt;0,75) uT"))))</f>
        <v>Tipo 1 (≤0,25) uT</v>
      </c>
    </row>
    <row r="425" spans="1:59" x14ac:dyDescent="0.3">
      <c r="A425" s="26">
        <v>46170</v>
      </c>
      <c r="B425" s="107">
        <v>0.89583333333333337</v>
      </c>
      <c r="C425" s="116">
        <v>1114</v>
      </c>
      <c r="D425" s="116">
        <v>83</v>
      </c>
      <c r="E425" s="116">
        <v>549</v>
      </c>
      <c r="F425" s="116">
        <v>1833</v>
      </c>
      <c r="G425" s="10" t="s">
        <v>100</v>
      </c>
      <c r="H425" s="122">
        <v>6.3</v>
      </c>
      <c r="I425" s="116">
        <v>90</v>
      </c>
      <c r="J425" s="116">
        <v>90</v>
      </c>
      <c r="K425" s="116">
        <v>90</v>
      </c>
      <c r="L425" s="122">
        <v>23.6</v>
      </c>
      <c r="M425" s="122">
        <v>6.8</v>
      </c>
      <c r="N425" s="79">
        <v>4.08</v>
      </c>
      <c r="O425" s="116">
        <v>16</v>
      </c>
      <c r="P425" s="122">
        <v>6.7</v>
      </c>
      <c r="Q425" s="79">
        <v>0.11</v>
      </c>
      <c r="R425" s="79">
        <v>22.36</v>
      </c>
      <c r="S425" s="79">
        <v>0.88</v>
      </c>
      <c r="T425" s="79">
        <v>0.7</v>
      </c>
      <c r="U425" s="85">
        <f t="shared" si="58"/>
        <v>1425.1575</v>
      </c>
      <c r="V425" s="79">
        <f t="shared" si="59"/>
        <v>1380.4350492400001</v>
      </c>
      <c r="W425" s="79">
        <f t="shared" si="60"/>
        <v>0.96861929242206568</v>
      </c>
      <c r="X425" s="116">
        <v>2</v>
      </c>
      <c r="Y425" s="116">
        <v>4</v>
      </c>
      <c r="Z425" s="122">
        <v>6.53</v>
      </c>
      <c r="AA425" s="116">
        <v>17</v>
      </c>
      <c r="AB425" s="122">
        <v>6.5</v>
      </c>
      <c r="AC425" s="122">
        <v>6.2</v>
      </c>
      <c r="AD425" s="10">
        <v>0.32</v>
      </c>
      <c r="AE425" s="79">
        <v>0.41</v>
      </c>
      <c r="AF425" s="85">
        <f t="shared" si="61"/>
        <v>1900.21</v>
      </c>
      <c r="AG425" s="85">
        <f t="shared" si="62"/>
        <v>1956.2647727999997</v>
      </c>
      <c r="AH425" s="85">
        <f t="shared" si="63"/>
        <v>1.0294992515564068</v>
      </c>
      <c r="AI425" s="116">
        <v>2</v>
      </c>
      <c r="AJ425" s="116">
        <v>3</v>
      </c>
      <c r="AK425" s="79">
        <v>6.55</v>
      </c>
      <c r="AL425" s="79">
        <v>24</v>
      </c>
      <c r="AM425" s="122">
        <v>6.6</v>
      </c>
      <c r="AN425" s="122">
        <v>6.2</v>
      </c>
      <c r="AO425" s="79">
        <v>0.27</v>
      </c>
      <c r="AP425" s="127">
        <v>0.28000000000000003</v>
      </c>
      <c r="AQ425" s="132">
        <f t="shared" si="54"/>
        <v>1746</v>
      </c>
      <c r="AR425" s="134">
        <f t="shared" si="55"/>
        <v>0.63802978235967922</v>
      </c>
      <c r="AS425" s="134">
        <f t="shared" si="56"/>
        <v>4.7537227949599081E-2</v>
      </c>
      <c r="AT425" s="134">
        <f t="shared" si="57"/>
        <v>0.31443298969072164</v>
      </c>
      <c r="AU425" s="43">
        <f>IF(AND(F425&lt;&gt;"",Y425&lt;&gt;""),AA425/(F425/2/Y425),"")</f>
        <v>7.4195308237861426E-2</v>
      </c>
      <c r="AV425" s="43">
        <f>IF(AND(F425&lt;&gt;"",AJ425&lt;&gt;""),AL425/(F425/2/AJ425),"")</f>
        <v>7.855973813420622E-2</v>
      </c>
      <c r="AW425" s="41">
        <f>IF(AND(AP425&lt;&gt;"",1-(AP425/N425)&gt;0),1-(AP425/N425),"")</f>
        <v>0.93137254901960786</v>
      </c>
      <c r="AX425" s="41">
        <f>IF(AND(AE425&lt;&gt;"",1-(AE425/N425)&gt;0),1-(AE425/N425),"")</f>
        <v>0.89950980392156865</v>
      </c>
      <c r="AY425" s="136" t="str">
        <f>IF(P425="","",IF(P425&lt;2.5,"Alc. Bruta &lt; 2,5 mg/L",IF(P425&lt;5,"2,5 ≤ Alc. Bruta &lt; 5,0 mg/L",IF(P425&lt;7.5,"5,0 ≤ Alc. Bruta &lt; 7,5 mg/L",IF(P425&lt;10,"7,5 ≤ Alc. Bruta &lt; 10,0 mg/L",IF(P425&lt;15,"10,0 ≤ Alca. Bruta &lt; 15,0 mg/L","Alc. Bruta &gt; 15 mg/L"))))))</f>
        <v>5,0 ≤ Alc. Bruta &lt; 7,5 mg/L</v>
      </c>
      <c r="AZ425" s="136" t="str">
        <f>IF(O425="","",IF(O425&lt;5,"Cor &lt;5 uC",IF(O425&lt;10,"5 ≤ Cor &lt; 10 uC",IF(O425&lt;15,"10 ≤ Cor &lt;15 uC",IF(O425&lt;30,"15 ≤ Cor &lt; 30 uC",IF(O425&lt;50,"30 ≤ Cor &lt; 50 uC","Cor &gt; 50 uC"))))))</f>
        <v>15 ≤ Cor &lt; 30 uC</v>
      </c>
      <c r="BA425" s="137" t="str">
        <f>IF(N425="","",IF(N425&lt;2.5,"Turbidez &lt; 2,5 uT",IF(N425&lt;5,"2,5 ≤ Turb &lt; 5,0 uT",IF(N425&lt;7.5,"5,0 ≤ Turb &lt; 7,5 uT",IF(N425&lt;10,"7,5 ≤ Turb &lt; 10,0 uT",IF(N425&lt;15,"10,0 ≤ Turb &lt; 15,0 uT","Turb &gt; 15 uT"))))))</f>
        <v>2,5 ≤ Turb &lt; 5,0 uT</v>
      </c>
      <c r="BB425" s="138" t="str">
        <f>IF(AND(C425&gt;D425,D425&gt;E425),"TOR &gt; SM &gt; BNN",IF(AND(C425&gt;E425,E425&gt;D425),"TOR &gt; BNN &gt; SM",IF(AND(D425&gt;C425,C425&gt;E425),"SM &gt; TOR &gt; BNN",IF(AND(D425&gt;E425,E425&gt;C425),"SM &gt; BNN &gt; TOR",IF(AND(C425=D425,D425=E425),"TOR = SM = BNN","Comb. diferentes")))))</f>
        <v>TOR &gt; BNN &gt; SM</v>
      </c>
      <c r="BC425" s="137" t="str">
        <f>IF(OR(AD425="",AP425="-"),"",IF(AD425&lt;=0.25,"Tipo 1 (≤0,25) uT",IF(AD425&lt;=0.5,"Tipo 2 (0,25-0,50) uT",IF(AD425&lt;=0.75,"Tipo 3 (0,50-0,75) uT","Tipo 4 (&gt;0,75) uT"))))</f>
        <v>Tipo 2 (0,25-0,50) uT</v>
      </c>
      <c r="BD425" s="137" t="str">
        <f>IF(OR(AO425="",AY425="-"),"",IF(AO425&lt;=0.25,"Tipo 1 (≤0,25) uT",IF(AO425&lt;=0.5,"Tipo 2 (0,25-0,50) uT",IF(AO425&lt;=0.75,"Tipo 3 (0,50-0,75) uT","Tipo 4 (&gt;0,75) uT"))))</f>
        <v>Tipo 2 (0,25-0,50) uT</v>
      </c>
      <c r="BE425" s="137" t="str">
        <f>IF(OR(AE425="",AP425="-"),"",IF(AE425&lt;=0.25,"Tipo 1 (≤0,25) uT",IF(AE425&lt;=0.5,"Tipo 2 (0,25-0,50) uT",IF(AE425&lt;=0.75,"Tipo 3 (0,50-0,75) uT","Tipo 4 (&gt;0,75) uT"))))</f>
        <v>Tipo 2 (0,25-0,50) uT</v>
      </c>
      <c r="BF425" s="137" t="str">
        <f>IF(OR(AP425="",AP425="-"),"",IF(AP425&lt;=0.25,"Tipo 1 (≤0,25) uT",IF(AP425&lt;=0.5,"Tipo 2 (0,25-0,50) uT",IF(AP425&lt;=0.75,"Tipo 3 (0,50-0,75) uT","Tipo 4 (&gt;0,75) uT"))))</f>
        <v>Tipo 2 (0,25-0,50) uT</v>
      </c>
      <c r="BG425" s="137" t="str">
        <f>IF(OR(Q425="",Q425="-"),"",IF(Q425&lt;=0.25,"Tipo 1 (≤0,25) uT",IF(Q425&lt;=0.5,"Tipo 2 (0,25-0,50) uT",IF(Q425&lt;=0.75,"Tipo 3 (0,50-0,75) uT","Tipo 4 (&gt;0,75) uT"))))</f>
        <v>Tipo 1 (≤0,25) uT</v>
      </c>
    </row>
    <row r="426" spans="1:59" x14ac:dyDescent="0.3">
      <c r="A426" s="26">
        <v>46171</v>
      </c>
      <c r="B426" s="107">
        <v>6.25E-2</v>
      </c>
      <c r="C426" s="116">
        <v>1530</v>
      </c>
      <c r="D426" s="116">
        <v>85</v>
      </c>
      <c r="E426" s="116">
        <v>543</v>
      </c>
      <c r="F426" s="116">
        <v>2232</v>
      </c>
      <c r="G426" s="10" t="s">
        <v>100</v>
      </c>
      <c r="H426" s="122">
        <v>6.5</v>
      </c>
      <c r="I426" s="116">
        <v>90</v>
      </c>
      <c r="J426" s="116">
        <v>90</v>
      </c>
      <c r="K426" s="116">
        <v>90</v>
      </c>
      <c r="L426" s="122">
        <v>23.1</v>
      </c>
      <c r="M426" s="122">
        <v>6.7</v>
      </c>
      <c r="N426" s="79">
        <v>2.92</v>
      </c>
      <c r="O426" s="116">
        <v>14</v>
      </c>
      <c r="P426" s="122">
        <v>7.1</v>
      </c>
      <c r="Q426" s="79">
        <v>0.2</v>
      </c>
      <c r="R426" s="79">
        <v>22.36</v>
      </c>
      <c r="S426" s="79">
        <v>0.88</v>
      </c>
      <c r="T426" s="79">
        <v>0.7</v>
      </c>
      <c r="U426" s="85">
        <f t="shared" si="58"/>
        <v>1428.48</v>
      </c>
      <c r="V426" s="79">
        <f t="shared" si="59"/>
        <v>1453.2949080000001</v>
      </c>
      <c r="W426" s="79">
        <f t="shared" si="60"/>
        <v>1.0173715473790323</v>
      </c>
      <c r="X426" s="116">
        <v>3</v>
      </c>
      <c r="Y426" s="116">
        <v>4</v>
      </c>
      <c r="Z426" s="122">
        <v>6.5</v>
      </c>
      <c r="AA426" s="116">
        <v>18</v>
      </c>
      <c r="AB426" s="122">
        <v>6.6</v>
      </c>
      <c r="AC426" s="122">
        <v>5.8</v>
      </c>
      <c r="AD426" s="10">
        <v>0.46</v>
      </c>
      <c r="AE426" s="79">
        <v>0.45</v>
      </c>
      <c r="AF426" s="85">
        <f t="shared" si="61"/>
        <v>1428.48</v>
      </c>
      <c r="AG426" s="85">
        <f t="shared" si="62"/>
        <v>1915.5092566999997</v>
      </c>
      <c r="AH426" s="85">
        <f t="shared" si="63"/>
        <v>1.3409422999971996</v>
      </c>
      <c r="AI426" s="116">
        <v>3</v>
      </c>
      <c r="AJ426" s="116">
        <v>4</v>
      </c>
      <c r="AK426" s="79">
        <v>6.55</v>
      </c>
      <c r="AL426" s="79">
        <v>23.5</v>
      </c>
      <c r="AM426" s="122">
        <v>6.5</v>
      </c>
      <c r="AN426" s="122">
        <v>5.7</v>
      </c>
      <c r="AO426" s="79">
        <v>0.24</v>
      </c>
      <c r="AP426" s="127">
        <v>0.4</v>
      </c>
      <c r="AQ426" s="132">
        <f t="shared" si="54"/>
        <v>2158</v>
      </c>
      <c r="AR426" s="134">
        <f t="shared" si="55"/>
        <v>0.7089898053753475</v>
      </c>
      <c r="AS426" s="134">
        <f t="shared" si="56"/>
        <v>3.9388322520852642E-2</v>
      </c>
      <c r="AT426" s="134">
        <f t="shared" si="57"/>
        <v>0.25162187210379983</v>
      </c>
      <c r="AU426" s="43">
        <f>IF(AND(F426&lt;&gt;"",Y426&lt;&gt;""),AA426/(F426/2/Y426),"")</f>
        <v>6.4516129032258063E-2</v>
      </c>
      <c r="AV426" s="43">
        <f>IF(AND(F426&lt;&gt;"",AJ426&lt;&gt;""),AL426/(F426/2/AJ426),"")</f>
        <v>8.4229390681003588E-2</v>
      </c>
      <c r="AW426" s="41">
        <f>IF(AND(AP426&lt;&gt;"",1-(AP426/N426)&gt;0),1-(AP426/N426),"")</f>
        <v>0.86301369863013699</v>
      </c>
      <c r="AX426" s="41">
        <f>IF(AND(AE426&lt;&gt;"",1-(AE426/N426)&gt;0),1-(AE426/N426),"")</f>
        <v>0.84589041095890405</v>
      </c>
      <c r="AY426" s="136" t="str">
        <f>IF(P426="","",IF(P426&lt;2.5,"Alc. Bruta &lt; 2,5 mg/L",IF(P426&lt;5,"2,5 ≤ Alc. Bruta &lt; 5,0 mg/L",IF(P426&lt;7.5,"5,0 ≤ Alc. Bruta &lt; 7,5 mg/L",IF(P426&lt;10,"7,5 ≤ Alc. Bruta &lt; 10,0 mg/L",IF(P426&lt;15,"10,0 ≤ Alca. Bruta &lt; 15,0 mg/L","Alc. Bruta &gt; 15 mg/L"))))))</f>
        <v>5,0 ≤ Alc. Bruta &lt; 7,5 mg/L</v>
      </c>
      <c r="AZ426" s="136" t="str">
        <f>IF(O426="","",IF(O426&lt;5,"Cor &lt;5 uC",IF(O426&lt;10,"5 ≤ Cor &lt; 10 uC",IF(O426&lt;15,"10 ≤ Cor &lt;15 uC",IF(O426&lt;30,"15 ≤ Cor &lt; 30 uC",IF(O426&lt;50,"30 ≤ Cor &lt; 50 uC","Cor &gt; 50 uC"))))))</f>
        <v>10 ≤ Cor &lt;15 uC</v>
      </c>
      <c r="BA426" s="137" t="str">
        <f>IF(N426="","",IF(N426&lt;2.5,"Turbidez &lt; 2,5 uT",IF(N426&lt;5,"2,5 ≤ Turb &lt; 5,0 uT",IF(N426&lt;7.5,"5,0 ≤ Turb &lt; 7,5 uT",IF(N426&lt;10,"7,5 ≤ Turb &lt; 10,0 uT",IF(N426&lt;15,"10,0 ≤ Turb &lt; 15,0 uT","Turb &gt; 15 uT"))))))</f>
        <v>2,5 ≤ Turb &lt; 5,0 uT</v>
      </c>
      <c r="BB426" s="138" t="str">
        <f>IF(AND(C426&gt;D426,D426&gt;E426),"TOR &gt; SM &gt; BNN",IF(AND(C426&gt;E426,E426&gt;D426),"TOR &gt; BNN &gt; SM",IF(AND(D426&gt;C426,C426&gt;E426),"SM &gt; TOR &gt; BNN",IF(AND(D426&gt;E426,E426&gt;C426),"SM &gt; BNN &gt; TOR",IF(AND(C426=D426,D426=E426),"TOR = SM = BNN","Comb. diferentes")))))</f>
        <v>TOR &gt; BNN &gt; SM</v>
      </c>
      <c r="BC426" s="137" t="str">
        <f>IF(OR(AD426="",AP426="-"),"",IF(AD426&lt;=0.25,"Tipo 1 (≤0,25) uT",IF(AD426&lt;=0.5,"Tipo 2 (0,25-0,50) uT",IF(AD426&lt;=0.75,"Tipo 3 (0,50-0,75) uT","Tipo 4 (&gt;0,75) uT"))))</f>
        <v>Tipo 2 (0,25-0,50) uT</v>
      </c>
      <c r="BD426" s="137" t="str">
        <f>IF(OR(AO426="",AY426="-"),"",IF(AO426&lt;=0.25,"Tipo 1 (≤0,25) uT",IF(AO426&lt;=0.5,"Tipo 2 (0,25-0,50) uT",IF(AO426&lt;=0.75,"Tipo 3 (0,50-0,75) uT","Tipo 4 (&gt;0,75) uT"))))</f>
        <v>Tipo 1 (≤0,25) uT</v>
      </c>
      <c r="BE426" s="137" t="str">
        <f>IF(OR(AE426="",AP426="-"),"",IF(AE426&lt;=0.25,"Tipo 1 (≤0,25) uT",IF(AE426&lt;=0.5,"Tipo 2 (0,25-0,50) uT",IF(AE426&lt;=0.75,"Tipo 3 (0,50-0,75) uT","Tipo 4 (&gt;0,75) uT"))))</f>
        <v>Tipo 2 (0,25-0,50) uT</v>
      </c>
      <c r="BF426" s="137" t="str">
        <f>IF(OR(AP426="",AP426="-"),"",IF(AP426&lt;=0.25,"Tipo 1 (≤0,25) uT",IF(AP426&lt;=0.5,"Tipo 2 (0,25-0,50) uT",IF(AP426&lt;=0.75,"Tipo 3 (0,50-0,75) uT","Tipo 4 (&gt;0,75) uT"))))</f>
        <v>Tipo 2 (0,25-0,50) uT</v>
      </c>
      <c r="BG426" s="137" t="str">
        <f>IF(OR(Q426="",Q426="-"),"",IF(Q426&lt;=0.25,"Tipo 1 (≤0,25) uT",IF(Q426&lt;=0.5,"Tipo 2 (0,25-0,50) uT",IF(Q426&lt;=0.75,"Tipo 3 (0,50-0,75) uT","Tipo 4 (&gt;0,75) uT"))))</f>
        <v>Tipo 1 (≤0,25) uT</v>
      </c>
    </row>
    <row r="427" spans="1:59" x14ac:dyDescent="0.3">
      <c r="A427" s="26">
        <v>46171</v>
      </c>
      <c r="B427" s="107">
        <v>0.14583333333333334</v>
      </c>
      <c r="C427" s="116">
        <v>1470</v>
      </c>
      <c r="D427" s="116">
        <v>85</v>
      </c>
      <c r="E427" s="116">
        <v>544</v>
      </c>
      <c r="F427" s="116">
        <v>2145</v>
      </c>
      <c r="G427" s="10" t="s">
        <v>100</v>
      </c>
      <c r="H427" s="122">
        <v>6.5</v>
      </c>
      <c r="I427" s="116">
        <v>90</v>
      </c>
      <c r="J427" s="116">
        <v>90</v>
      </c>
      <c r="K427" s="116">
        <v>90</v>
      </c>
      <c r="L427" s="122">
        <v>22.4</v>
      </c>
      <c r="M427" s="122">
        <v>6.8</v>
      </c>
      <c r="N427" s="79">
        <v>2.63</v>
      </c>
      <c r="O427" s="116">
        <v>12</v>
      </c>
      <c r="P427" s="122">
        <v>6.2</v>
      </c>
      <c r="Q427" s="79">
        <v>0.19</v>
      </c>
      <c r="R427" s="79">
        <v>22.36</v>
      </c>
      <c r="S427" s="79">
        <v>0.88</v>
      </c>
      <c r="T427" s="79">
        <v>0.7</v>
      </c>
      <c r="U427" s="85">
        <f t="shared" si="58"/>
        <v>1295.04375</v>
      </c>
      <c r="V427" s="79">
        <f t="shared" si="59"/>
        <v>1461.63711096</v>
      </c>
      <c r="W427" s="79">
        <f t="shared" si="60"/>
        <v>1.1286391760587238</v>
      </c>
      <c r="X427" s="116">
        <v>3</v>
      </c>
      <c r="Y427" s="116">
        <v>4</v>
      </c>
      <c r="Z427" s="122">
        <v>6.53</v>
      </c>
      <c r="AA427" s="116">
        <v>18</v>
      </c>
      <c r="AB427" s="122">
        <v>6.6</v>
      </c>
      <c r="AC427" s="122">
        <v>5.7</v>
      </c>
      <c r="AD427" s="10">
        <v>0.34</v>
      </c>
      <c r="AE427" s="79">
        <v>0.46</v>
      </c>
      <c r="AF427" s="85">
        <f t="shared" si="61"/>
        <v>1295.04375</v>
      </c>
      <c r="AG427" s="85">
        <f t="shared" si="62"/>
        <v>1947.4151767200001</v>
      </c>
      <c r="AH427" s="85">
        <f t="shared" si="63"/>
        <v>1.5037447010728402</v>
      </c>
      <c r="AI427" s="116">
        <v>3</v>
      </c>
      <c r="AJ427" s="116">
        <v>4</v>
      </c>
      <c r="AK427" s="79">
        <v>6.5</v>
      </c>
      <c r="AL427" s="79">
        <v>24.12</v>
      </c>
      <c r="AM427" s="122">
        <v>6.3</v>
      </c>
      <c r="AN427" s="122">
        <v>5.2</v>
      </c>
      <c r="AO427" s="79">
        <v>0.2</v>
      </c>
      <c r="AP427" s="127">
        <v>0.43</v>
      </c>
      <c r="AQ427" s="132">
        <f t="shared" si="54"/>
        <v>2099</v>
      </c>
      <c r="AR427" s="134">
        <f t="shared" si="55"/>
        <v>0.70033349213911389</v>
      </c>
      <c r="AS427" s="134">
        <f t="shared" si="56"/>
        <v>4.0495474035254886E-2</v>
      </c>
      <c r="AT427" s="134">
        <f t="shared" si="57"/>
        <v>0.25917103382563128</v>
      </c>
      <c r="AU427" s="43">
        <f>IF(AND(F427&lt;&gt;"",Y427&lt;&gt;""),AA427/(F427/2/Y427),"")</f>
        <v>6.7132867132867133E-2</v>
      </c>
      <c r="AV427" s="43">
        <f>IF(AND(F427&lt;&gt;"",AJ427&lt;&gt;""),AL427/(F427/2/AJ427),"")</f>
        <v>8.9958041958041968E-2</v>
      </c>
      <c r="AW427" s="41">
        <f>IF(AND(AP427&lt;&gt;"",1-(AP427/N427)&gt;0),1-(AP427/N427),"")</f>
        <v>0.83650190114068446</v>
      </c>
      <c r="AX427" s="41">
        <f>IF(AND(AE427&lt;&gt;"",1-(AE427/N427)&gt;0),1-(AE427/N427),"")</f>
        <v>0.82509505703422048</v>
      </c>
      <c r="AY427" s="136" t="str">
        <f>IF(P427="","",IF(P427&lt;2.5,"Alc. Bruta &lt; 2,5 mg/L",IF(P427&lt;5,"2,5 ≤ Alc. Bruta &lt; 5,0 mg/L",IF(P427&lt;7.5,"5,0 ≤ Alc. Bruta &lt; 7,5 mg/L",IF(P427&lt;10,"7,5 ≤ Alc. Bruta &lt; 10,0 mg/L",IF(P427&lt;15,"10,0 ≤ Alca. Bruta &lt; 15,0 mg/L","Alc. Bruta &gt; 15 mg/L"))))))</f>
        <v>5,0 ≤ Alc. Bruta &lt; 7,5 mg/L</v>
      </c>
      <c r="AZ427" s="136" t="str">
        <f>IF(O427="","",IF(O427&lt;5,"Cor &lt;5 uC",IF(O427&lt;10,"5 ≤ Cor &lt; 10 uC",IF(O427&lt;15,"10 ≤ Cor &lt;15 uC",IF(O427&lt;30,"15 ≤ Cor &lt; 30 uC",IF(O427&lt;50,"30 ≤ Cor &lt; 50 uC","Cor &gt; 50 uC"))))))</f>
        <v>10 ≤ Cor &lt;15 uC</v>
      </c>
      <c r="BA427" s="137" t="str">
        <f>IF(N427="","",IF(N427&lt;2.5,"Turbidez &lt; 2,5 uT",IF(N427&lt;5,"2,5 ≤ Turb &lt; 5,0 uT",IF(N427&lt;7.5,"5,0 ≤ Turb &lt; 7,5 uT",IF(N427&lt;10,"7,5 ≤ Turb &lt; 10,0 uT",IF(N427&lt;15,"10,0 ≤ Turb &lt; 15,0 uT","Turb &gt; 15 uT"))))))</f>
        <v>2,5 ≤ Turb &lt; 5,0 uT</v>
      </c>
      <c r="BB427" s="138" t="str">
        <f>IF(AND(C427&gt;D427,D427&gt;E427),"TOR &gt; SM &gt; BNN",IF(AND(C427&gt;E427,E427&gt;D427),"TOR &gt; BNN &gt; SM",IF(AND(D427&gt;C427,C427&gt;E427),"SM &gt; TOR &gt; BNN",IF(AND(D427&gt;E427,E427&gt;C427),"SM &gt; BNN &gt; TOR",IF(AND(C427=D427,D427=E427),"TOR = SM = BNN","Comb. diferentes")))))</f>
        <v>TOR &gt; BNN &gt; SM</v>
      </c>
      <c r="BC427" s="137" t="str">
        <f>IF(OR(AD427="",AP427="-"),"",IF(AD427&lt;=0.25,"Tipo 1 (≤0,25) uT",IF(AD427&lt;=0.5,"Tipo 2 (0,25-0,50) uT",IF(AD427&lt;=0.75,"Tipo 3 (0,50-0,75) uT","Tipo 4 (&gt;0,75) uT"))))</f>
        <v>Tipo 2 (0,25-0,50) uT</v>
      </c>
      <c r="BD427" s="137" t="str">
        <f>IF(OR(AO427="",AY427="-"),"",IF(AO427&lt;=0.25,"Tipo 1 (≤0,25) uT",IF(AO427&lt;=0.5,"Tipo 2 (0,25-0,50) uT",IF(AO427&lt;=0.75,"Tipo 3 (0,50-0,75) uT","Tipo 4 (&gt;0,75) uT"))))</f>
        <v>Tipo 1 (≤0,25) uT</v>
      </c>
      <c r="BE427" s="137" t="str">
        <f>IF(OR(AE427="",AP427="-"),"",IF(AE427&lt;=0.25,"Tipo 1 (≤0,25) uT",IF(AE427&lt;=0.5,"Tipo 2 (0,25-0,50) uT",IF(AE427&lt;=0.75,"Tipo 3 (0,50-0,75) uT","Tipo 4 (&gt;0,75) uT"))))</f>
        <v>Tipo 2 (0,25-0,50) uT</v>
      </c>
      <c r="BF427" s="137" t="str">
        <f>IF(OR(AP427="",AP427="-"),"",IF(AP427&lt;=0.25,"Tipo 1 (≤0,25) uT",IF(AP427&lt;=0.5,"Tipo 2 (0,25-0,50) uT",IF(AP427&lt;=0.75,"Tipo 3 (0,50-0,75) uT","Tipo 4 (&gt;0,75) uT"))))</f>
        <v>Tipo 2 (0,25-0,50) uT</v>
      </c>
      <c r="BG427" s="137" t="str">
        <f>IF(OR(Q427="",Q427="-"),"",IF(Q427&lt;=0.25,"Tipo 1 (≤0,25) uT",IF(Q427&lt;=0.5,"Tipo 2 (0,25-0,50) uT",IF(Q427&lt;=0.75,"Tipo 3 (0,50-0,75) uT","Tipo 4 (&gt;0,75) uT"))))</f>
        <v>Tipo 1 (≤0,25) uT</v>
      </c>
    </row>
    <row r="428" spans="1:59" ht="15" thickBot="1" x14ac:dyDescent="0.35">
      <c r="A428" s="26">
        <v>46171</v>
      </c>
      <c r="B428" s="110">
        <v>0.22916666666666666</v>
      </c>
      <c r="C428" s="117">
        <v>1408</v>
      </c>
      <c r="D428" s="117">
        <v>88</v>
      </c>
      <c r="E428" s="117">
        <v>545</v>
      </c>
      <c r="F428" s="117">
        <v>2151</v>
      </c>
      <c r="G428" s="11" t="s">
        <v>100</v>
      </c>
      <c r="H428" s="123">
        <v>6.5</v>
      </c>
      <c r="I428" s="117">
        <v>90</v>
      </c>
      <c r="J428" s="117">
        <v>90</v>
      </c>
      <c r="K428" s="117">
        <v>90</v>
      </c>
      <c r="L428" s="123">
        <v>22.1</v>
      </c>
      <c r="M428" s="123">
        <v>6.8</v>
      </c>
      <c r="N428" s="80">
        <v>2.71</v>
      </c>
      <c r="O428" s="117">
        <v>14</v>
      </c>
      <c r="P428" s="123">
        <v>6.7</v>
      </c>
      <c r="Q428" s="80">
        <v>0.18</v>
      </c>
      <c r="R428" s="79">
        <v>22.36</v>
      </c>
      <c r="S428" s="79">
        <v>0.88</v>
      </c>
      <c r="T428" s="79">
        <v>0.7</v>
      </c>
      <c r="U428" s="85">
        <f t="shared" si="58"/>
        <v>1320.17625</v>
      </c>
      <c r="V428" s="79">
        <f t="shared" si="59"/>
        <v>1385.6875473999999</v>
      </c>
      <c r="W428" s="79">
        <f t="shared" si="60"/>
        <v>1.0496231449399274</v>
      </c>
      <c r="X428" s="117">
        <v>3</v>
      </c>
      <c r="Y428" s="117">
        <v>4</v>
      </c>
      <c r="Z428" s="123">
        <v>6.55</v>
      </c>
      <c r="AA428" s="117">
        <v>17</v>
      </c>
      <c r="AB428" s="123">
        <v>6.5</v>
      </c>
      <c r="AC428" s="123">
        <v>6</v>
      </c>
      <c r="AD428" s="11">
        <v>0.41</v>
      </c>
      <c r="AE428" s="80">
        <v>0.4</v>
      </c>
      <c r="AF428" s="85">
        <f t="shared" si="61"/>
        <v>1320.17625</v>
      </c>
      <c r="AG428" s="85">
        <f t="shared" si="62"/>
        <v>2012.4113239983992</v>
      </c>
      <c r="AH428" s="85">
        <f t="shared" si="63"/>
        <v>1.524350497896322</v>
      </c>
      <c r="AI428" s="117">
        <v>3</v>
      </c>
      <c r="AJ428" s="117">
        <v>4</v>
      </c>
      <c r="AK428" s="80">
        <v>6.52</v>
      </c>
      <c r="AL428" s="80">
        <v>24.83</v>
      </c>
      <c r="AM428" s="123">
        <v>6.2</v>
      </c>
      <c r="AN428" s="123">
        <v>5.6</v>
      </c>
      <c r="AO428" s="80">
        <v>0.22</v>
      </c>
      <c r="AP428" s="128">
        <v>0.45</v>
      </c>
      <c r="AQ428" s="132">
        <f t="shared" si="54"/>
        <v>2041</v>
      </c>
      <c r="AR428" s="134">
        <f t="shared" si="55"/>
        <v>0.68985791278784914</v>
      </c>
      <c r="AS428" s="134">
        <f t="shared" si="56"/>
        <v>4.3116119549240571E-2</v>
      </c>
      <c r="AT428" s="134">
        <f t="shared" si="57"/>
        <v>0.26702596766291031</v>
      </c>
      <c r="AU428" s="43">
        <f>IF(AND(F428&lt;&gt;"",Y428&lt;&gt;""),AA428/(F428/2/Y428),"")</f>
        <v>6.3226406322640635E-2</v>
      </c>
      <c r="AV428" s="43">
        <f>IF(AND(F428&lt;&gt;"",AJ428&lt;&gt;""),AL428/(F428/2/AJ428),"")</f>
        <v>9.2347745234774514E-2</v>
      </c>
      <c r="AW428" s="41">
        <f>IF(AND(AP428&lt;&gt;"",1-(AP428/N428)&gt;0),1-(AP428/N428),"")</f>
        <v>0.83394833948339486</v>
      </c>
      <c r="AX428" s="41">
        <f>IF(AND(AE428&lt;&gt;"",1-(AE428/N428)&gt;0),1-(AE428/N428),"")</f>
        <v>0.85239852398523985</v>
      </c>
      <c r="AY428" s="136" t="str">
        <f>IF(P428="","",IF(P428&lt;2.5,"Alc. Bruta &lt; 2,5 mg/L",IF(P428&lt;5,"2,5 ≤ Alc. Bruta &lt; 5,0 mg/L",IF(P428&lt;7.5,"5,0 ≤ Alc. Bruta &lt; 7,5 mg/L",IF(P428&lt;10,"7,5 ≤ Alc. Bruta &lt; 10,0 mg/L",IF(P428&lt;15,"10,0 ≤ Alca. Bruta &lt; 15,0 mg/L","Alc. Bruta &gt; 15 mg/L"))))))</f>
        <v>5,0 ≤ Alc. Bruta &lt; 7,5 mg/L</v>
      </c>
      <c r="AZ428" s="136" t="str">
        <f>IF(O428="","",IF(O428&lt;5,"Cor &lt;5 uC",IF(O428&lt;10,"5 ≤ Cor &lt; 10 uC",IF(O428&lt;15,"10 ≤ Cor &lt;15 uC",IF(O428&lt;30,"15 ≤ Cor &lt; 30 uC",IF(O428&lt;50,"30 ≤ Cor &lt; 50 uC","Cor &gt; 50 uC"))))))</f>
        <v>10 ≤ Cor &lt;15 uC</v>
      </c>
      <c r="BA428" s="137" t="str">
        <f>IF(N428="","",IF(N428&lt;2.5,"Turbidez &lt; 2,5 uT",IF(N428&lt;5,"2,5 ≤ Turb &lt; 5,0 uT",IF(N428&lt;7.5,"5,0 ≤ Turb &lt; 7,5 uT",IF(N428&lt;10,"7,5 ≤ Turb &lt; 10,0 uT",IF(N428&lt;15,"10,0 ≤ Turb &lt; 15,0 uT","Turb &gt; 15 uT"))))))</f>
        <v>2,5 ≤ Turb &lt; 5,0 uT</v>
      </c>
      <c r="BB428" s="138" t="str">
        <f>IF(AND(C428&gt;D428,D428&gt;E428),"TOR &gt; SM &gt; BNN",IF(AND(C428&gt;E428,E428&gt;D428),"TOR &gt; BNN &gt; SM",IF(AND(D428&gt;C428,C428&gt;E428),"SM &gt; TOR &gt; BNN",IF(AND(D428&gt;E428,E428&gt;C428),"SM &gt; BNN &gt; TOR",IF(AND(C428=D428,D428=E428),"TOR = SM = BNN","Comb. diferentes")))))</f>
        <v>TOR &gt; BNN &gt; SM</v>
      </c>
      <c r="BC428" s="137" t="str">
        <f>IF(OR(AD428="",AP428="-"),"",IF(AD428&lt;=0.25,"Tipo 1 (≤0,25) uT",IF(AD428&lt;=0.5,"Tipo 2 (0,25-0,50) uT",IF(AD428&lt;=0.75,"Tipo 3 (0,50-0,75) uT","Tipo 4 (&gt;0,75) uT"))))</f>
        <v>Tipo 2 (0,25-0,50) uT</v>
      </c>
      <c r="BD428" s="137" t="str">
        <f>IF(OR(AO428="",AY428="-"),"",IF(AO428&lt;=0.25,"Tipo 1 (≤0,25) uT",IF(AO428&lt;=0.5,"Tipo 2 (0,25-0,50) uT",IF(AO428&lt;=0.75,"Tipo 3 (0,50-0,75) uT","Tipo 4 (&gt;0,75) uT"))))</f>
        <v>Tipo 1 (≤0,25) uT</v>
      </c>
      <c r="BE428" s="137" t="str">
        <f>IF(OR(AE428="",AP428="-"),"",IF(AE428&lt;=0.25,"Tipo 1 (≤0,25) uT",IF(AE428&lt;=0.5,"Tipo 2 (0,25-0,50) uT",IF(AE428&lt;=0.75,"Tipo 3 (0,50-0,75) uT","Tipo 4 (&gt;0,75) uT"))))</f>
        <v>Tipo 2 (0,25-0,50) uT</v>
      </c>
      <c r="BF428" s="137" t="str">
        <f>IF(OR(AP428="",AP428="-"),"",IF(AP428&lt;=0.25,"Tipo 1 (≤0,25) uT",IF(AP428&lt;=0.5,"Tipo 2 (0,25-0,50) uT",IF(AP428&lt;=0.75,"Tipo 3 (0,50-0,75) uT","Tipo 4 (&gt;0,75) uT"))))</f>
        <v>Tipo 2 (0,25-0,50) uT</v>
      </c>
      <c r="BG428" s="137" t="str">
        <f>IF(OR(Q428="",Q428="-"),"",IF(Q428&lt;=0.25,"Tipo 1 (≤0,25) uT",IF(Q428&lt;=0.5,"Tipo 2 (0,25-0,50) uT",IF(Q428&lt;=0.75,"Tipo 3 (0,50-0,75) uT","Tipo 4 (&gt;0,75) uT"))))</f>
        <v>Tipo 1 (≤0,25) uT</v>
      </c>
    </row>
    <row r="429" spans="1:59" x14ac:dyDescent="0.3">
      <c r="A429" s="26">
        <v>46171</v>
      </c>
      <c r="B429" s="111">
        <v>0.3125</v>
      </c>
      <c r="C429" s="118">
        <v>1441</v>
      </c>
      <c r="D429" s="116">
        <v>83</v>
      </c>
      <c r="E429" s="118">
        <v>540</v>
      </c>
      <c r="F429" s="118">
        <v>2145</v>
      </c>
      <c r="G429" s="9" t="s">
        <v>100</v>
      </c>
      <c r="H429" s="124">
        <v>6.5</v>
      </c>
      <c r="I429" s="118">
        <v>90</v>
      </c>
      <c r="J429" s="118">
        <v>90</v>
      </c>
      <c r="K429" s="118">
        <v>90</v>
      </c>
      <c r="L429" s="124">
        <v>22.4</v>
      </c>
      <c r="M429" s="124">
        <v>6.7</v>
      </c>
      <c r="N429" s="81">
        <v>2.98</v>
      </c>
      <c r="O429" s="118">
        <v>15</v>
      </c>
      <c r="P429" s="124">
        <v>6.8</v>
      </c>
      <c r="Q429" s="81">
        <v>0.17</v>
      </c>
      <c r="R429" s="79">
        <v>22.36</v>
      </c>
      <c r="S429" s="79">
        <v>0.88</v>
      </c>
      <c r="T429" s="79">
        <v>0.7</v>
      </c>
      <c r="U429" s="85">
        <f t="shared" si="58"/>
        <v>1388.8874999999998</v>
      </c>
      <c r="V429" s="79">
        <f t="shared" si="59"/>
        <v>1372.556302</v>
      </c>
      <c r="W429" s="79">
        <f t="shared" si="60"/>
        <v>0.98824152568152579</v>
      </c>
      <c r="X429" s="118">
        <v>3</v>
      </c>
      <c r="Y429" s="118">
        <v>4</v>
      </c>
      <c r="Z429" s="124">
        <v>6.5</v>
      </c>
      <c r="AA429" s="118">
        <v>17</v>
      </c>
      <c r="AB429" s="124">
        <v>6.6</v>
      </c>
      <c r="AC429" s="124">
        <v>5.6</v>
      </c>
      <c r="AD429" s="9">
        <v>0.23</v>
      </c>
      <c r="AE429" s="81">
        <v>0.44</v>
      </c>
      <c r="AF429" s="85">
        <f t="shared" si="61"/>
        <v>1388.8874999999998</v>
      </c>
      <c r="AG429" s="85">
        <f t="shared" si="62"/>
        <v>1008.3774168000001</v>
      </c>
      <c r="AH429" s="85">
        <f t="shared" si="63"/>
        <v>0.72603246612846628</v>
      </c>
      <c r="AI429" s="118">
        <v>3</v>
      </c>
      <c r="AJ429" s="118">
        <v>4</v>
      </c>
      <c r="AK429" s="81">
        <v>4.9000000000000004</v>
      </c>
      <c r="AL429" s="81">
        <v>18</v>
      </c>
      <c r="AM429" s="124">
        <v>6.6</v>
      </c>
      <c r="AN429" s="124">
        <v>5.6</v>
      </c>
      <c r="AO429" s="81">
        <v>0.2</v>
      </c>
      <c r="AP429" s="129">
        <v>0.41</v>
      </c>
      <c r="AQ429" s="132">
        <f t="shared" si="54"/>
        <v>2064</v>
      </c>
      <c r="AR429" s="134">
        <f t="shared" si="55"/>
        <v>0.69815891472868219</v>
      </c>
      <c r="AS429" s="134">
        <f t="shared" si="56"/>
        <v>4.0213178294573645E-2</v>
      </c>
      <c r="AT429" s="134">
        <f t="shared" si="57"/>
        <v>0.26162790697674421</v>
      </c>
      <c r="AU429" s="43">
        <f>IF(AND(F429&lt;&gt;"",Y429&lt;&gt;""),AA429/(F429/2/Y429),"")</f>
        <v>6.340326340326341E-2</v>
      </c>
      <c r="AV429" s="43">
        <f>IF(AND(F429&lt;&gt;"",AJ429&lt;&gt;""),AL429/(F429/2/AJ429),"")</f>
        <v>6.7132867132867133E-2</v>
      </c>
      <c r="AW429" s="41">
        <f>IF(AND(AP429&lt;&gt;"",1-(AP429/N429)&gt;0),1-(AP429/N429),"")</f>
        <v>0.86241610738255037</v>
      </c>
      <c r="AX429" s="41">
        <f>IF(AND(AE429&lt;&gt;"",1-(AE429/N429)&gt;0),1-(AE429/N429),"")</f>
        <v>0.8523489932885906</v>
      </c>
      <c r="AY429" s="136" t="str">
        <f>IF(P429="","",IF(P429&lt;2.5,"Alc. Bruta &lt; 2,5 mg/L",IF(P429&lt;5,"2,5 ≤ Alc. Bruta &lt; 5,0 mg/L",IF(P429&lt;7.5,"5,0 ≤ Alc. Bruta &lt; 7,5 mg/L",IF(P429&lt;10,"7,5 ≤ Alc. Bruta &lt; 10,0 mg/L",IF(P429&lt;15,"10,0 ≤ Alca. Bruta &lt; 15,0 mg/L","Alc. Bruta &gt; 15 mg/L"))))))</f>
        <v>5,0 ≤ Alc. Bruta &lt; 7,5 mg/L</v>
      </c>
      <c r="AZ429" s="136" t="str">
        <f>IF(O429="","",IF(O429&lt;5,"Cor &lt;5 uC",IF(O429&lt;10,"5 ≤ Cor &lt; 10 uC",IF(O429&lt;15,"10 ≤ Cor &lt;15 uC",IF(O429&lt;30,"15 ≤ Cor &lt; 30 uC",IF(O429&lt;50,"30 ≤ Cor &lt; 50 uC","Cor &gt; 50 uC"))))))</f>
        <v>15 ≤ Cor &lt; 30 uC</v>
      </c>
      <c r="BA429" s="137" t="str">
        <f>IF(N429="","",IF(N429&lt;2.5,"Turbidez &lt; 2,5 uT",IF(N429&lt;5,"2,5 ≤ Turb &lt; 5,0 uT",IF(N429&lt;7.5,"5,0 ≤ Turb &lt; 7,5 uT",IF(N429&lt;10,"7,5 ≤ Turb &lt; 10,0 uT",IF(N429&lt;15,"10,0 ≤ Turb &lt; 15,0 uT","Turb &gt; 15 uT"))))))</f>
        <v>2,5 ≤ Turb &lt; 5,0 uT</v>
      </c>
      <c r="BB429" s="138" t="str">
        <f>IF(AND(C429&gt;D429,D429&gt;E429),"TOR &gt; SM &gt; BNN",IF(AND(C429&gt;E429,E429&gt;D429),"TOR &gt; BNN &gt; SM",IF(AND(D429&gt;C429,C429&gt;E429),"SM &gt; TOR &gt; BNN",IF(AND(D429&gt;E429,E429&gt;C429),"SM &gt; BNN &gt; TOR",IF(AND(C429=D429,D429=E429),"TOR = SM = BNN","Comb. diferentes")))))</f>
        <v>TOR &gt; BNN &gt; SM</v>
      </c>
      <c r="BC429" s="137" t="str">
        <f>IF(OR(AD429="",AP429="-"),"",IF(AD429&lt;=0.25,"Tipo 1 (≤0,25) uT",IF(AD429&lt;=0.5,"Tipo 2 (0,25-0,50) uT",IF(AD429&lt;=0.75,"Tipo 3 (0,50-0,75) uT","Tipo 4 (&gt;0,75) uT"))))</f>
        <v>Tipo 1 (≤0,25) uT</v>
      </c>
      <c r="BD429" s="137" t="str">
        <f>IF(OR(AO429="",AY429="-"),"",IF(AO429&lt;=0.25,"Tipo 1 (≤0,25) uT",IF(AO429&lt;=0.5,"Tipo 2 (0,25-0,50) uT",IF(AO429&lt;=0.75,"Tipo 3 (0,50-0,75) uT","Tipo 4 (&gt;0,75) uT"))))</f>
        <v>Tipo 1 (≤0,25) uT</v>
      </c>
      <c r="BE429" s="137" t="str">
        <f>IF(OR(AE429="",AP429="-"),"",IF(AE429&lt;=0.25,"Tipo 1 (≤0,25) uT",IF(AE429&lt;=0.5,"Tipo 2 (0,25-0,50) uT",IF(AE429&lt;=0.75,"Tipo 3 (0,50-0,75) uT","Tipo 4 (&gt;0,75) uT"))))</f>
        <v>Tipo 2 (0,25-0,50) uT</v>
      </c>
      <c r="BF429" s="137" t="str">
        <f>IF(OR(AP429="",AP429="-"),"",IF(AP429&lt;=0.25,"Tipo 1 (≤0,25) uT",IF(AP429&lt;=0.5,"Tipo 2 (0,25-0,50) uT",IF(AP429&lt;=0.75,"Tipo 3 (0,50-0,75) uT","Tipo 4 (&gt;0,75) uT"))))</f>
        <v>Tipo 2 (0,25-0,50) uT</v>
      </c>
      <c r="BG429" s="137" t="str">
        <f>IF(OR(Q429="",Q429="-"),"",IF(Q429&lt;=0.25,"Tipo 1 (≤0,25) uT",IF(Q429&lt;=0.5,"Tipo 2 (0,25-0,50) uT",IF(Q429&lt;=0.75,"Tipo 3 (0,50-0,75) uT","Tipo 4 (&gt;0,75) uT"))))</f>
        <v>Tipo 1 (≤0,25) uT</v>
      </c>
    </row>
    <row r="430" spans="1:59" x14ac:dyDescent="0.3">
      <c r="A430" s="26">
        <v>46171</v>
      </c>
      <c r="B430" s="107">
        <v>0.39583333333333331</v>
      </c>
      <c r="C430" s="116">
        <v>1495</v>
      </c>
      <c r="D430" s="116">
        <v>84</v>
      </c>
      <c r="E430" s="116">
        <v>540</v>
      </c>
      <c r="F430" s="116">
        <v>2115</v>
      </c>
      <c r="G430" s="10" t="s">
        <v>100</v>
      </c>
      <c r="H430" s="122">
        <v>6.5</v>
      </c>
      <c r="I430" s="116">
        <v>90</v>
      </c>
      <c r="J430" s="116">
        <v>90</v>
      </c>
      <c r="K430" s="116">
        <v>90</v>
      </c>
      <c r="L430" s="122">
        <v>22.6</v>
      </c>
      <c r="M430" s="122">
        <v>6.9</v>
      </c>
      <c r="N430" s="79">
        <v>3</v>
      </c>
      <c r="O430" s="116">
        <v>15</v>
      </c>
      <c r="P430" s="122">
        <v>7.1</v>
      </c>
      <c r="Q430" s="79">
        <v>0.15</v>
      </c>
      <c r="R430" s="79">
        <v>22.36</v>
      </c>
      <c r="S430" s="79">
        <v>0.88</v>
      </c>
      <c r="T430" s="79">
        <v>0.7</v>
      </c>
      <c r="U430" s="85">
        <f t="shared" si="58"/>
        <v>1374.75</v>
      </c>
      <c r="V430" s="79">
        <f t="shared" si="59"/>
        <v>1372.556302</v>
      </c>
      <c r="W430" s="79">
        <f t="shared" si="60"/>
        <v>0.99840429314420798</v>
      </c>
      <c r="X430" s="116">
        <v>3</v>
      </c>
      <c r="Y430" s="116">
        <v>4</v>
      </c>
      <c r="Z430" s="122">
        <v>6.5</v>
      </c>
      <c r="AA430" s="116">
        <v>17</v>
      </c>
      <c r="AB430" s="122">
        <v>6.6</v>
      </c>
      <c r="AC430" s="122">
        <v>5.5</v>
      </c>
      <c r="AD430" s="10">
        <v>0.26</v>
      </c>
      <c r="AE430" s="79">
        <v>0.47</v>
      </c>
      <c r="AF430" s="85">
        <f t="shared" si="61"/>
        <v>1374.75</v>
      </c>
      <c r="AG430" s="85">
        <f t="shared" si="62"/>
        <v>1008.3774168000001</v>
      </c>
      <c r="AH430" s="85">
        <f t="shared" si="63"/>
        <v>0.73349875744680859</v>
      </c>
      <c r="AI430" s="116">
        <v>3</v>
      </c>
      <c r="AJ430" s="116">
        <v>4</v>
      </c>
      <c r="AK430" s="79">
        <v>4.9000000000000004</v>
      </c>
      <c r="AL430" s="79">
        <v>18</v>
      </c>
      <c r="AM430" s="122">
        <v>6.5</v>
      </c>
      <c r="AN430" s="122">
        <v>5</v>
      </c>
      <c r="AO430" s="79">
        <v>0.16</v>
      </c>
      <c r="AP430" s="127">
        <v>0.45</v>
      </c>
      <c r="AQ430" s="132">
        <f t="shared" si="54"/>
        <v>2119</v>
      </c>
      <c r="AR430" s="134">
        <f t="shared" si="55"/>
        <v>0.70552147239263807</v>
      </c>
      <c r="AS430" s="134">
        <f t="shared" si="56"/>
        <v>3.964134025483719E-2</v>
      </c>
      <c r="AT430" s="134">
        <f t="shared" si="57"/>
        <v>0.25483718735252475</v>
      </c>
      <c r="AU430" s="43">
        <f>IF(AND(F430&lt;&gt;"",Y430&lt;&gt;""),AA430/(F430/2/Y430),"")</f>
        <v>6.4302600472813234E-2</v>
      </c>
      <c r="AV430" s="43">
        <f>IF(AND(F430&lt;&gt;"",AJ430&lt;&gt;""),AL430/(F430/2/AJ430),"")</f>
        <v>6.8085106382978725E-2</v>
      </c>
      <c r="AW430" s="41">
        <f>IF(AND(AP430&lt;&gt;"",1-(AP430/N430)&gt;0),1-(AP430/N430),"")</f>
        <v>0.85</v>
      </c>
      <c r="AX430" s="41">
        <f>IF(AND(AE430&lt;&gt;"",1-(AE430/N430)&gt;0),1-(AE430/N430),"")</f>
        <v>0.84333333333333338</v>
      </c>
      <c r="AY430" s="136" t="str">
        <f>IF(P430="","",IF(P430&lt;2.5,"Alc. Bruta &lt; 2,5 mg/L",IF(P430&lt;5,"2,5 ≤ Alc. Bruta &lt; 5,0 mg/L",IF(P430&lt;7.5,"5,0 ≤ Alc. Bruta &lt; 7,5 mg/L",IF(P430&lt;10,"7,5 ≤ Alc. Bruta &lt; 10,0 mg/L",IF(P430&lt;15,"10,0 ≤ Alca. Bruta &lt; 15,0 mg/L","Alc. Bruta &gt; 15 mg/L"))))))</f>
        <v>5,0 ≤ Alc. Bruta &lt; 7,5 mg/L</v>
      </c>
      <c r="AZ430" s="136" t="str">
        <f>IF(O430="","",IF(O430&lt;5,"Cor &lt;5 uC",IF(O430&lt;10,"5 ≤ Cor &lt; 10 uC",IF(O430&lt;15,"10 ≤ Cor &lt;15 uC",IF(O430&lt;30,"15 ≤ Cor &lt; 30 uC",IF(O430&lt;50,"30 ≤ Cor &lt; 50 uC","Cor &gt; 50 uC"))))))</f>
        <v>15 ≤ Cor &lt; 30 uC</v>
      </c>
      <c r="BA430" s="137" t="str">
        <f>IF(N430="","",IF(N430&lt;2.5,"Turbidez &lt; 2,5 uT",IF(N430&lt;5,"2,5 ≤ Turb &lt; 5,0 uT",IF(N430&lt;7.5,"5,0 ≤ Turb &lt; 7,5 uT",IF(N430&lt;10,"7,5 ≤ Turb &lt; 10,0 uT",IF(N430&lt;15,"10,0 ≤ Turb &lt; 15,0 uT","Turb &gt; 15 uT"))))))</f>
        <v>2,5 ≤ Turb &lt; 5,0 uT</v>
      </c>
      <c r="BB430" s="138" t="str">
        <f>IF(AND(C430&gt;D430,D430&gt;E430),"TOR &gt; SM &gt; BNN",IF(AND(C430&gt;E430,E430&gt;D430),"TOR &gt; BNN &gt; SM",IF(AND(D430&gt;C430,C430&gt;E430),"SM &gt; TOR &gt; BNN",IF(AND(D430&gt;E430,E430&gt;C430),"SM &gt; BNN &gt; TOR",IF(AND(C430=D430,D430=E430),"TOR = SM = BNN","Comb. diferentes")))))</f>
        <v>TOR &gt; BNN &gt; SM</v>
      </c>
      <c r="BC430" s="137" t="str">
        <f>IF(OR(AD430="",AP430="-"),"",IF(AD430&lt;=0.25,"Tipo 1 (≤0,25) uT",IF(AD430&lt;=0.5,"Tipo 2 (0,25-0,50) uT",IF(AD430&lt;=0.75,"Tipo 3 (0,50-0,75) uT","Tipo 4 (&gt;0,75) uT"))))</f>
        <v>Tipo 2 (0,25-0,50) uT</v>
      </c>
      <c r="BD430" s="137" t="str">
        <f>IF(OR(AO430="",AY430="-"),"",IF(AO430&lt;=0.25,"Tipo 1 (≤0,25) uT",IF(AO430&lt;=0.5,"Tipo 2 (0,25-0,50) uT",IF(AO430&lt;=0.75,"Tipo 3 (0,50-0,75) uT","Tipo 4 (&gt;0,75) uT"))))</f>
        <v>Tipo 1 (≤0,25) uT</v>
      </c>
      <c r="BE430" s="137" t="str">
        <f>IF(OR(AE430="",AP430="-"),"",IF(AE430&lt;=0.25,"Tipo 1 (≤0,25) uT",IF(AE430&lt;=0.5,"Tipo 2 (0,25-0,50) uT",IF(AE430&lt;=0.75,"Tipo 3 (0,50-0,75) uT","Tipo 4 (&gt;0,75) uT"))))</f>
        <v>Tipo 2 (0,25-0,50) uT</v>
      </c>
      <c r="BF430" s="137" t="str">
        <f>IF(OR(AP430="",AP430="-"),"",IF(AP430&lt;=0.25,"Tipo 1 (≤0,25) uT",IF(AP430&lt;=0.5,"Tipo 2 (0,25-0,50) uT",IF(AP430&lt;=0.75,"Tipo 3 (0,50-0,75) uT","Tipo 4 (&gt;0,75) uT"))))</f>
        <v>Tipo 2 (0,25-0,50) uT</v>
      </c>
      <c r="BG430" s="137" t="str">
        <f>IF(OR(Q430="",Q430="-"),"",IF(Q430&lt;=0.25,"Tipo 1 (≤0,25) uT",IF(Q430&lt;=0.5,"Tipo 2 (0,25-0,50) uT",IF(Q430&lt;=0.75,"Tipo 3 (0,50-0,75) uT","Tipo 4 (&gt;0,75) uT"))))</f>
        <v>Tipo 1 (≤0,25) uT</v>
      </c>
    </row>
    <row r="431" spans="1:59" x14ac:dyDescent="0.3">
      <c r="A431" s="26">
        <v>46171</v>
      </c>
      <c r="B431" s="107">
        <v>0.5625</v>
      </c>
      <c r="C431" s="116">
        <v>1495</v>
      </c>
      <c r="D431" s="116">
        <v>84</v>
      </c>
      <c r="E431" s="116">
        <v>540</v>
      </c>
      <c r="F431" s="116">
        <v>2177</v>
      </c>
      <c r="G431" s="10" t="s">
        <v>100</v>
      </c>
      <c r="H431" s="122">
        <v>6.5</v>
      </c>
      <c r="I431" s="116">
        <v>90</v>
      </c>
      <c r="J431" s="116">
        <v>90</v>
      </c>
      <c r="K431" s="116">
        <v>90</v>
      </c>
      <c r="L431" s="122">
        <v>23.7</v>
      </c>
      <c r="M431" s="122">
        <v>6.8</v>
      </c>
      <c r="N431" s="79">
        <v>2.92</v>
      </c>
      <c r="O431" s="116">
        <v>15</v>
      </c>
      <c r="P431" s="122">
        <v>6</v>
      </c>
      <c r="Q431" s="79">
        <v>0.26</v>
      </c>
      <c r="R431" s="79">
        <v>22.36</v>
      </c>
      <c r="S431" s="79">
        <v>0.88</v>
      </c>
      <c r="T431" s="79">
        <v>0.7</v>
      </c>
      <c r="U431" s="85">
        <f t="shared" si="58"/>
        <v>1393.28</v>
      </c>
      <c r="V431" s="79">
        <f t="shared" si="59"/>
        <v>1372.556302</v>
      </c>
      <c r="W431" s="79">
        <f t="shared" si="60"/>
        <v>0.98512596319476342</v>
      </c>
      <c r="X431" s="116">
        <v>3</v>
      </c>
      <c r="Y431" s="116">
        <v>4</v>
      </c>
      <c r="Z431" s="122">
        <v>6.5</v>
      </c>
      <c r="AA431" s="116">
        <v>17</v>
      </c>
      <c r="AB431" s="122">
        <v>6.6</v>
      </c>
      <c r="AC431" s="122">
        <v>5.3</v>
      </c>
      <c r="AD431" s="10">
        <v>0.42</v>
      </c>
      <c r="AE431" s="79">
        <v>0.93</v>
      </c>
      <c r="AF431" s="85">
        <f t="shared" si="61"/>
        <v>1393.28</v>
      </c>
      <c r="AG431" s="85">
        <f t="shared" si="62"/>
        <v>980.57007359999989</v>
      </c>
      <c r="AH431" s="85">
        <f t="shared" si="63"/>
        <v>0.7037853651814423</v>
      </c>
      <c r="AI431" s="116">
        <v>3</v>
      </c>
      <c r="AJ431" s="116">
        <v>4</v>
      </c>
      <c r="AK431" s="79">
        <v>4.8</v>
      </c>
      <c r="AL431" s="79">
        <v>18</v>
      </c>
      <c r="AM431" s="122">
        <v>6.5</v>
      </c>
      <c r="AN431" s="122">
        <v>5.4</v>
      </c>
      <c r="AO431" s="79">
        <v>0.22</v>
      </c>
      <c r="AP431" s="127">
        <v>0.56000000000000005</v>
      </c>
      <c r="AQ431" s="132">
        <f t="shared" si="54"/>
        <v>2119</v>
      </c>
      <c r="AR431" s="134">
        <f t="shared" si="55"/>
        <v>0.70552147239263807</v>
      </c>
      <c r="AS431" s="134">
        <f t="shared" si="56"/>
        <v>3.964134025483719E-2</v>
      </c>
      <c r="AT431" s="134">
        <f t="shared" si="57"/>
        <v>0.25483718735252475</v>
      </c>
      <c r="AU431" s="43">
        <f>IF(AND(F431&lt;&gt;"",Y431&lt;&gt;""),AA431/(F431/2/Y431),"")</f>
        <v>6.24712907671107E-2</v>
      </c>
      <c r="AV431" s="43">
        <f>IF(AND(F431&lt;&gt;"",AJ431&lt;&gt;""),AL431/(F431/2/AJ431),"")</f>
        <v>6.6146072576940745E-2</v>
      </c>
      <c r="AW431" s="41">
        <f>IF(AND(AP431&lt;&gt;"",1-(AP431/N431)&gt;0),1-(AP431/N431),"")</f>
        <v>0.80821917808219179</v>
      </c>
      <c r="AX431" s="41">
        <f>IF(AND(AE431&lt;&gt;"",1-(AE431/N431)&gt;0),1-(AE431/N431),"")</f>
        <v>0.68150684931506844</v>
      </c>
      <c r="AY431" s="136" t="str">
        <f>IF(P431="","",IF(P431&lt;2.5,"Alc. Bruta &lt; 2,5 mg/L",IF(P431&lt;5,"2,5 ≤ Alc. Bruta &lt; 5,0 mg/L",IF(P431&lt;7.5,"5,0 ≤ Alc. Bruta &lt; 7,5 mg/L",IF(P431&lt;10,"7,5 ≤ Alc. Bruta &lt; 10,0 mg/L",IF(P431&lt;15,"10,0 ≤ Alca. Bruta &lt; 15,0 mg/L","Alc. Bruta &gt; 15 mg/L"))))))</f>
        <v>5,0 ≤ Alc. Bruta &lt; 7,5 mg/L</v>
      </c>
      <c r="AZ431" s="136" t="str">
        <f>IF(O431="","",IF(O431&lt;5,"Cor &lt;5 uC",IF(O431&lt;10,"5 ≤ Cor &lt; 10 uC",IF(O431&lt;15,"10 ≤ Cor &lt;15 uC",IF(O431&lt;30,"15 ≤ Cor &lt; 30 uC",IF(O431&lt;50,"30 ≤ Cor &lt; 50 uC","Cor &gt; 50 uC"))))))</f>
        <v>15 ≤ Cor &lt; 30 uC</v>
      </c>
      <c r="BA431" s="137" t="str">
        <f>IF(N431="","",IF(N431&lt;2.5,"Turbidez &lt; 2,5 uT",IF(N431&lt;5,"2,5 ≤ Turb &lt; 5,0 uT",IF(N431&lt;7.5,"5,0 ≤ Turb &lt; 7,5 uT",IF(N431&lt;10,"7,5 ≤ Turb &lt; 10,0 uT",IF(N431&lt;15,"10,0 ≤ Turb &lt; 15,0 uT","Turb &gt; 15 uT"))))))</f>
        <v>2,5 ≤ Turb &lt; 5,0 uT</v>
      </c>
      <c r="BB431" s="138" t="str">
        <f>IF(AND(C431&gt;D431,D431&gt;E431),"TOR &gt; SM &gt; BNN",IF(AND(C431&gt;E431,E431&gt;D431),"TOR &gt; BNN &gt; SM",IF(AND(D431&gt;C431,C431&gt;E431),"SM &gt; TOR &gt; BNN",IF(AND(D431&gt;E431,E431&gt;C431),"SM &gt; BNN &gt; TOR",IF(AND(C431=D431,D431=E431),"TOR = SM = BNN","Comb. diferentes")))))</f>
        <v>TOR &gt; BNN &gt; SM</v>
      </c>
      <c r="BC431" s="137" t="str">
        <f>IF(OR(AD431="",AP431="-"),"",IF(AD431&lt;=0.25,"Tipo 1 (≤0,25) uT",IF(AD431&lt;=0.5,"Tipo 2 (0,25-0,50) uT",IF(AD431&lt;=0.75,"Tipo 3 (0,50-0,75) uT","Tipo 4 (&gt;0,75) uT"))))</f>
        <v>Tipo 2 (0,25-0,50) uT</v>
      </c>
      <c r="BD431" s="137" t="str">
        <f>IF(OR(AO431="",AY431="-"),"",IF(AO431&lt;=0.25,"Tipo 1 (≤0,25) uT",IF(AO431&lt;=0.5,"Tipo 2 (0,25-0,50) uT",IF(AO431&lt;=0.75,"Tipo 3 (0,50-0,75) uT","Tipo 4 (&gt;0,75) uT"))))</f>
        <v>Tipo 1 (≤0,25) uT</v>
      </c>
      <c r="BE431" s="137" t="str">
        <f>IF(OR(AE431="",AP431="-"),"",IF(AE431&lt;=0.25,"Tipo 1 (≤0,25) uT",IF(AE431&lt;=0.5,"Tipo 2 (0,25-0,50) uT",IF(AE431&lt;=0.75,"Tipo 3 (0,50-0,75) uT","Tipo 4 (&gt;0,75) uT"))))</f>
        <v>Tipo 4 (&gt;0,75) uT</v>
      </c>
      <c r="BF431" s="137" t="str">
        <f>IF(OR(AP431="",AP431="-"),"",IF(AP431&lt;=0.25,"Tipo 1 (≤0,25) uT",IF(AP431&lt;=0.5,"Tipo 2 (0,25-0,50) uT",IF(AP431&lt;=0.75,"Tipo 3 (0,50-0,75) uT","Tipo 4 (&gt;0,75) uT"))))</f>
        <v>Tipo 3 (0,50-0,75) uT</v>
      </c>
      <c r="BG431" s="137" t="str">
        <f>IF(OR(Q431="",Q431="-"),"",IF(Q431&lt;=0.25,"Tipo 1 (≤0,25) uT",IF(Q431&lt;=0.5,"Tipo 2 (0,25-0,50) uT",IF(Q431&lt;=0.75,"Tipo 3 (0,50-0,75) uT","Tipo 4 (&gt;0,75) uT"))))</f>
        <v>Tipo 2 (0,25-0,50) uT</v>
      </c>
    </row>
    <row r="432" spans="1:59" x14ac:dyDescent="0.3">
      <c r="A432" s="26">
        <v>46171</v>
      </c>
      <c r="B432" s="107">
        <v>0.64583333333333337</v>
      </c>
      <c r="C432" s="116">
        <v>1445</v>
      </c>
      <c r="D432" s="116">
        <v>85</v>
      </c>
      <c r="E432" s="116">
        <v>532</v>
      </c>
      <c r="F432" s="116">
        <v>2187</v>
      </c>
      <c r="G432" s="10" t="s">
        <v>100</v>
      </c>
      <c r="H432" s="122">
        <v>7.3</v>
      </c>
      <c r="I432" s="116">
        <v>90</v>
      </c>
      <c r="J432" s="116">
        <v>90</v>
      </c>
      <c r="K432" s="116">
        <v>90</v>
      </c>
      <c r="L432" s="122">
        <v>24</v>
      </c>
      <c r="M432" s="122">
        <v>6.8</v>
      </c>
      <c r="N432" s="79">
        <v>3.18</v>
      </c>
      <c r="O432" s="116">
        <v>16</v>
      </c>
      <c r="P432" s="122">
        <v>6.7</v>
      </c>
      <c r="Q432" s="79">
        <v>0.14000000000000001</v>
      </c>
      <c r="R432" s="79">
        <v>22.36</v>
      </c>
      <c r="S432" s="79">
        <v>0.88</v>
      </c>
      <c r="T432" s="79">
        <v>0.7</v>
      </c>
      <c r="U432" s="85">
        <f t="shared" si="58"/>
        <v>1536.3675000000001</v>
      </c>
      <c r="V432" s="79">
        <f t="shared" si="59"/>
        <v>1383.0612983199999</v>
      </c>
      <c r="W432" s="79">
        <f t="shared" si="60"/>
        <v>0.90021514925302693</v>
      </c>
      <c r="X432" s="116">
        <v>3</v>
      </c>
      <c r="Y432" s="116">
        <v>4</v>
      </c>
      <c r="Z432" s="122">
        <v>6.54</v>
      </c>
      <c r="AA432" s="116">
        <v>17</v>
      </c>
      <c r="AB432" s="122">
        <v>6.5</v>
      </c>
      <c r="AC432" s="122">
        <v>5.6</v>
      </c>
      <c r="AD432" s="10">
        <v>0.3</v>
      </c>
      <c r="AE432" s="79">
        <v>0.3</v>
      </c>
      <c r="AF432" s="85">
        <f t="shared" si="61"/>
        <v>1536.3675000000001</v>
      </c>
      <c r="AG432" s="85">
        <f t="shared" si="62"/>
        <v>784.29354640000008</v>
      </c>
      <c r="AH432" s="85">
        <f t="shared" si="63"/>
        <v>0.5104856399266452</v>
      </c>
      <c r="AI432" s="116">
        <v>3</v>
      </c>
      <c r="AJ432" s="116">
        <v>4</v>
      </c>
      <c r="AK432" s="79">
        <v>4.9000000000000004</v>
      </c>
      <c r="AL432" s="79">
        <v>14</v>
      </c>
      <c r="AM432" s="122">
        <v>6.5</v>
      </c>
      <c r="AN432" s="122">
        <v>5.7</v>
      </c>
      <c r="AO432" s="79">
        <v>0.22</v>
      </c>
      <c r="AP432" s="127">
        <v>0.45</v>
      </c>
      <c r="AQ432" s="132">
        <f t="shared" si="54"/>
        <v>2062</v>
      </c>
      <c r="AR432" s="134">
        <f t="shared" si="55"/>
        <v>0.70077594568380208</v>
      </c>
      <c r="AS432" s="134">
        <f t="shared" si="56"/>
        <v>4.1222114451988361E-2</v>
      </c>
      <c r="AT432" s="134">
        <f t="shared" si="57"/>
        <v>0.2580019398642095</v>
      </c>
      <c r="AU432" s="43">
        <f>IF(AND(F432&lt;&gt;"",Y432&lt;&gt;""),AA432/(F432/2/Y432),"")</f>
        <v>6.2185642432556011E-2</v>
      </c>
      <c r="AV432" s="43">
        <f>IF(AND(F432&lt;&gt;"",AJ432&lt;&gt;""),AL432/(F432/2/AJ432),"")</f>
        <v>5.1211705532693184E-2</v>
      </c>
      <c r="AW432" s="41">
        <f>IF(AND(AP432&lt;&gt;"",1-(AP432/N432)&gt;0),1-(AP432/N432),"")</f>
        <v>0.85849056603773588</v>
      </c>
      <c r="AX432" s="41">
        <f>IF(AND(AE432&lt;&gt;"",1-(AE432/N432)&gt;0),1-(AE432/N432),"")</f>
        <v>0.90566037735849059</v>
      </c>
      <c r="AY432" s="136" t="str">
        <f>IF(P432="","",IF(P432&lt;2.5,"Alc. Bruta &lt; 2,5 mg/L",IF(P432&lt;5,"2,5 ≤ Alc. Bruta &lt; 5,0 mg/L",IF(P432&lt;7.5,"5,0 ≤ Alc. Bruta &lt; 7,5 mg/L",IF(P432&lt;10,"7,5 ≤ Alc. Bruta &lt; 10,0 mg/L",IF(P432&lt;15,"10,0 ≤ Alca. Bruta &lt; 15,0 mg/L","Alc. Bruta &gt; 15 mg/L"))))))</f>
        <v>5,0 ≤ Alc. Bruta &lt; 7,5 mg/L</v>
      </c>
      <c r="AZ432" s="136" t="str">
        <f>IF(O432="","",IF(O432&lt;5,"Cor &lt;5 uC",IF(O432&lt;10,"5 ≤ Cor &lt; 10 uC",IF(O432&lt;15,"10 ≤ Cor &lt;15 uC",IF(O432&lt;30,"15 ≤ Cor &lt; 30 uC",IF(O432&lt;50,"30 ≤ Cor &lt; 50 uC","Cor &gt; 50 uC"))))))</f>
        <v>15 ≤ Cor &lt; 30 uC</v>
      </c>
      <c r="BA432" s="137" t="str">
        <f>IF(N432="","",IF(N432&lt;2.5,"Turbidez &lt; 2,5 uT",IF(N432&lt;5,"2,5 ≤ Turb &lt; 5,0 uT",IF(N432&lt;7.5,"5,0 ≤ Turb &lt; 7,5 uT",IF(N432&lt;10,"7,5 ≤ Turb &lt; 10,0 uT",IF(N432&lt;15,"10,0 ≤ Turb &lt; 15,0 uT","Turb &gt; 15 uT"))))))</f>
        <v>2,5 ≤ Turb &lt; 5,0 uT</v>
      </c>
      <c r="BB432" s="138" t="str">
        <f>IF(AND(C432&gt;D432,D432&gt;E432),"TOR &gt; SM &gt; BNN",IF(AND(C432&gt;E432,E432&gt;D432),"TOR &gt; BNN &gt; SM",IF(AND(D432&gt;C432,C432&gt;E432),"SM &gt; TOR &gt; BNN",IF(AND(D432&gt;E432,E432&gt;C432),"SM &gt; BNN &gt; TOR",IF(AND(C432=D432,D432=E432),"TOR = SM = BNN","Comb. diferentes")))))</f>
        <v>TOR &gt; BNN &gt; SM</v>
      </c>
      <c r="BC432" s="137" t="str">
        <f>IF(OR(AD432="",AP432="-"),"",IF(AD432&lt;=0.25,"Tipo 1 (≤0,25) uT",IF(AD432&lt;=0.5,"Tipo 2 (0,25-0,50) uT",IF(AD432&lt;=0.75,"Tipo 3 (0,50-0,75) uT","Tipo 4 (&gt;0,75) uT"))))</f>
        <v>Tipo 2 (0,25-0,50) uT</v>
      </c>
      <c r="BD432" s="137" t="str">
        <f>IF(OR(AO432="",AY432="-"),"",IF(AO432&lt;=0.25,"Tipo 1 (≤0,25) uT",IF(AO432&lt;=0.5,"Tipo 2 (0,25-0,50) uT",IF(AO432&lt;=0.75,"Tipo 3 (0,50-0,75) uT","Tipo 4 (&gt;0,75) uT"))))</f>
        <v>Tipo 1 (≤0,25) uT</v>
      </c>
      <c r="BE432" s="137" t="str">
        <f>IF(OR(AE432="",AP432="-"),"",IF(AE432&lt;=0.25,"Tipo 1 (≤0,25) uT",IF(AE432&lt;=0.5,"Tipo 2 (0,25-0,50) uT",IF(AE432&lt;=0.75,"Tipo 3 (0,50-0,75) uT","Tipo 4 (&gt;0,75) uT"))))</f>
        <v>Tipo 2 (0,25-0,50) uT</v>
      </c>
      <c r="BF432" s="137" t="str">
        <f>IF(OR(AP432="",AP432="-"),"",IF(AP432&lt;=0.25,"Tipo 1 (≤0,25) uT",IF(AP432&lt;=0.5,"Tipo 2 (0,25-0,50) uT",IF(AP432&lt;=0.75,"Tipo 3 (0,50-0,75) uT","Tipo 4 (&gt;0,75) uT"))))</f>
        <v>Tipo 2 (0,25-0,50) uT</v>
      </c>
      <c r="BG432" s="137" t="str">
        <f>IF(OR(Q432="",Q432="-"),"",IF(Q432&lt;=0.25,"Tipo 1 (≤0,25) uT",IF(Q432&lt;=0.5,"Tipo 2 (0,25-0,50) uT",IF(Q432&lt;=0.75,"Tipo 3 (0,50-0,75) uT","Tipo 4 (&gt;0,75) uT"))))</f>
        <v>Tipo 1 (≤0,25) uT</v>
      </c>
    </row>
    <row r="433" spans="1:59" x14ac:dyDescent="0.3">
      <c r="A433" s="26">
        <v>46171</v>
      </c>
      <c r="B433" s="107">
        <v>0.8125</v>
      </c>
      <c r="C433" s="116">
        <v>1133</v>
      </c>
      <c r="D433" s="116">
        <v>83</v>
      </c>
      <c r="E433" s="116">
        <v>549</v>
      </c>
      <c r="F433" s="116">
        <v>1804</v>
      </c>
      <c r="G433" s="10" t="s">
        <v>100</v>
      </c>
      <c r="H433" s="122">
        <v>7.3</v>
      </c>
      <c r="I433" s="116">
        <v>90</v>
      </c>
      <c r="J433" s="116">
        <v>90</v>
      </c>
      <c r="K433" s="116">
        <v>90</v>
      </c>
      <c r="L433" s="122">
        <v>23.8</v>
      </c>
      <c r="M433" s="122">
        <v>6.8</v>
      </c>
      <c r="N433" s="79">
        <v>3.19</v>
      </c>
      <c r="O433" s="116">
        <v>16</v>
      </c>
      <c r="P433" s="122">
        <v>7.1</v>
      </c>
      <c r="Q433" s="79">
        <v>7.0000000000000007E-2</v>
      </c>
      <c r="R433" s="79">
        <v>22.36</v>
      </c>
      <c r="S433" s="79">
        <v>0.88</v>
      </c>
      <c r="T433" s="79">
        <v>0.7</v>
      </c>
      <c r="U433" s="85">
        <f t="shared" si="58"/>
        <v>1269.5650000000001</v>
      </c>
      <c r="V433" s="79">
        <f t="shared" si="59"/>
        <v>1542.83917268</v>
      </c>
      <c r="W433" s="79">
        <f t="shared" si="60"/>
        <v>1.2152502413661372</v>
      </c>
      <c r="X433" s="116">
        <v>2</v>
      </c>
      <c r="Y433" s="116">
        <v>4</v>
      </c>
      <c r="Z433" s="122">
        <v>6.53</v>
      </c>
      <c r="AA433" s="116">
        <v>19</v>
      </c>
      <c r="AB433" s="122">
        <v>6.5</v>
      </c>
      <c r="AC433" s="122">
        <v>6.2</v>
      </c>
      <c r="AD433" s="10">
        <v>0.31</v>
      </c>
      <c r="AE433" s="79">
        <v>0.22</v>
      </c>
      <c r="AF433" s="85">
        <f t="shared" si="61"/>
        <v>1692.7533333333333</v>
      </c>
      <c r="AG433" s="85">
        <f t="shared" si="62"/>
        <v>1849.8816169599997</v>
      </c>
      <c r="AH433" s="85">
        <f t="shared" si="63"/>
        <v>1.092824087557549</v>
      </c>
      <c r="AI433" s="116">
        <v>2</v>
      </c>
      <c r="AJ433" s="116">
        <v>3</v>
      </c>
      <c r="AK433" s="79">
        <v>6.48</v>
      </c>
      <c r="AL433" s="79">
        <v>23</v>
      </c>
      <c r="AM433" s="122">
        <v>6.5</v>
      </c>
      <c r="AN433" s="122">
        <v>6.1</v>
      </c>
      <c r="AO433" s="79">
        <v>0.28999999999999998</v>
      </c>
      <c r="AP433" s="127">
        <v>0.26</v>
      </c>
      <c r="AQ433" s="132">
        <f t="shared" si="54"/>
        <v>1765</v>
      </c>
      <c r="AR433" s="134">
        <f t="shared" si="55"/>
        <v>0.64192634560906514</v>
      </c>
      <c r="AS433" s="134">
        <f t="shared" si="56"/>
        <v>4.7025495750708218E-2</v>
      </c>
      <c r="AT433" s="134">
        <f t="shared" si="57"/>
        <v>0.31104815864022661</v>
      </c>
      <c r="AU433" s="43">
        <f>IF(AND(F433&lt;&gt;"",Y433&lt;&gt;""),AA433/(F433/2/Y433),"")</f>
        <v>8.4257206208425722E-2</v>
      </c>
      <c r="AV433" s="43">
        <f>IF(AND(F433&lt;&gt;"",AJ433&lt;&gt;""),AL433/(F433/2/AJ433),"")</f>
        <v>7.6496674057649663E-2</v>
      </c>
      <c r="AW433" s="41">
        <f>IF(AND(AP433&lt;&gt;"",1-(AP433/N433)&gt;0),1-(AP433/N433),"")</f>
        <v>0.91849529780564265</v>
      </c>
      <c r="AX433" s="41">
        <f>IF(AND(AE433&lt;&gt;"",1-(AE433/N433)&gt;0),1-(AE433/N433),"")</f>
        <v>0.93103448275862066</v>
      </c>
      <c r="AY433" s="136" t="str">
        <f>IF(P433="","",IF(P433&lt;2.5,"Alc. Bruta &lt; 2,5 mg/L",IF(P433&lt;5,"2,5 ≤ Alc. Bruta &lt; 5,0 mg/L",IF(P433&lt;7.5,"5,0 ≤ Alc. Bruta &lt; 7,5 mg/L",IF(P433&lt;10,"7,5 ≤ Alc. Bruta &lt; 10,0 mg/L",IF(P433&lt;15,"10,0 ≤ Alca. Bruta &lt; 15,0 mg/L","Alc. Bruta &gt; 15 mg/L"))))))</f>
        <v>5,0 ≤ Alc. Bruta &lt; 7,5 mg/L</v>
      </c>
      <c r="AZ433" s="136" t="str">
        <f>IF(O433="","",IF(O433&lt;5,"Cor &lt;5 uC",IF(O433&lt;10,"5 ≤ Cor &lt; 10 uC",IF(O433&lt;15,"10 ≤ Cor &lt;15 uC",IF(O433&lt;30,"15 ≤ Cor &lt; 30 uC",IF(O433&lt;50,"30 ≤ Cor &lt; 50 uC","Cor &gt; 50 uC"))))))</f>
        <v>15 ≤ Cor &lt; 30 uC</v>
      </c>
      <c r="BA433" s="137" t="str">
        <f>IF(N433="","",IF(N433&lt;2.5,"Turbidez &lt; 2,5 uT",IF(N433&lt;5,"2,5 ≤ Turb &lt; 5,0 uT",IF(N433&lt;7.5,"5,0 ≤ Turb &lt; 7,5 uT",IF(N433&lt;10,"7,5 ≤ Turb &lt; 10,0 uT",IF(N433&lt;15,"10,0 ≤ Turb &lt; 15,0 uT","Turb &gt; 15 uT"))))))</f>
        <v>2,5 ≤ Turb &lt; 5,0 uT</v>
      </c>
      <c r="BB433" s="138" t="str">
        <f>IF(AND(C433&gt;D433,D433&gt;E433),"TOR &gt; SM &gt; BNN",IF(AND(C433&gt;E433,E433&gt;D433),"TOR &gt; BNN &gt; SM",IF(AND(D433&gt;C433,C433&gt;E433),"SM &gt; TOR &gt; BNN",IF(AND(D433&gt;E433,E433&gt;C433),"SM &gt; BNN &gt; TOR",IF(AND(C433=D433,D433=E433),"TOR = SM = BNN","Comb. diferentes")))))</f>
        <v>TOR &gt; BNN &gt; SM</v>
      </c>
      <c r="BC433" s="137" t="str">
        <f>IF(OR(AD433="",AP433="-"),"",IF(AD433&lt;=0.25,"Tipo 1 (≤0,25) uT",IF(AD433&lt;=0.5,"Tipo 2 (0,25-0,50) uT",IF(AD433&lt;=0.75,"Tipo 3 (0,50-0,75) uT","Tipo 4 (&gt;0,75) uT"))))</f>
        <v>Tipo 2 (0,25-0,50) uT</v>
      </c>
      <c r="BD433" s="137" t="str">
        <f>IF(OR(AO433="",AY433="-"),"",IF(AO433&lt;=0.25,"Tipo 1 (≤0,25) uT",IF(AO433&lt;=0.5,"Tipo 2 (0,25-0,50) uT",IF(AO433&lt;=0.75,"Tipo 3 (0,50-0,75) uT","Tipo 4 (&gt;0,75) uT"))))</f>
        <v>Tipo 2 (0,25-0,50) uT</v>
      </c>
      <c r="BE433" s="137" t="str">
        <f>IF(OR(AE433="",AP433="-"),"",IF(AE433&lt;=0.25,"Tipo 1 (≤0,25) uT",IF(AE433&lt;=0.5,"Tipo 2 (0,25-0,50) uT",IF(AE433&lt;=0.75,"Tipo 3 (0,50-0,75) uT","Tipo 4 (&gt;0,75) uT"))))</f>
        <v>Tipo 1 (≤0,25) uT</v>
      </c>
      <c r="BF433" s="137" t="str">
        <f>IF(OR(AP433="",AP433="-"),"",IF(AP433&lt;=0.25,"Tipo 1 (≤0,25) uT",IF(AP433&lt;=0.5,"Tipo 2 (0,25-0,50) uT",IF(AP433&lt;=0.75,"Tipo 3 (0,50-0,75) uT","Tipo 4 (&gt;0,75) uT"))))</f>
        <v>Tipo 2 (0,25-0,50) uT</v>
      </c>
      <c r="BG433" s="137" t="str">
        <f>IF(OR(Q433="",Q433="-"),"",IF(Q433&lt;=0.25,"Tipo 1 (≤0,25) uT",IF(Q433&lt;=0.5,"Tipo 2 (0,25-0,50) uT",IF(Q433&lt;=0.75,"Tipo 3 (0,50-0,75) uT","Tipo 4 (&gt;0,75) uT"))))</f>
        <v>Tipo 1 (≤0,25) uT</v>
      </c>
    </row>
    <row r="434" spans="1:59" x14ac:dyDescent="0.3">
      <c r="A434" s="26">
        <v>46171</v>
      </c>
      <c r="B434" s="107">
        <v>0.89583333333333337</v>
      </c>
      <c r="C434" s="116">
        <v>1090</v>
      </c>
      <c r="D434" s="116">
        <v>88</v>
      </c>
      <c r="E434" s="116">
        <v>549</v>
      </c>
      <c r="F434" s="116">
        <v>1820</v>
      </c>
      <c r="G434" s="10" t="s">
        <v>100</v>
      </c>
      <c r="H434" s="122">
        <v>7.3</v>
      </c>
      <c r="I434" s="116">
        <v>90</v>
      </c>
      <c r="J434" s="116">
        <v>90</v>
      </c>
      <c r="K434" s="116">
        <v>90</v>
      </c>
      <c r="L434" s="122">
        <v>23.3</v>
      </c>
      <c r="M434" s="122">
        <v>6.7</v>
      </c>
      <c r="N434" s="79">
        <v>2.96</v>
      </c>
      <c r="O434" s="116">
        <v>12</v>
      </c>
      <c r="P434" s="122">
        <v>6.9</v>
      </c>
      <c r="Q434" s="79">
        <v>7.0000000000000007E-2</v>
      </c>
      <c r="R434" s="79">
        <v>22.36</v>
      </c>
      <c r="S434" s="79">
        <v>0.88</v>
      </c>
      <c r="T434" s="79">
        <v>0.7</v>
      </c>
      <c r="U434" s="85">
        <f t="shared" si="58"/>
        <v>1228.5</v>
      </c>
      <c r="V434" s="79">
        <f t="shared" si="59"/>
        <v>1531.0982944399998</v>
      </c>
      <c r="W434" s="79">
        <f t="shared" si="60"/>
        <v>1.2463152579894179</v>
      </c>
      <c r="X434" s="116">
        <v>2</v>
      </c>
      <c r="Y434" s="116">
        <v>4</v>
      </c>
      <c r="Z434" s="122">
        <v>6.49</v>
      </c>
      <c r="AA434" s="116">
        <v>19</v>
      </c>
      <c r="AB434" s="122">
        <v>6.5</v>
      </c>
      <c r="AC434" s="122">
        <v>5.8</v>
      </c>
      <c r="AD434" s="10">
        <v>0.28000000000000003</v>
      </c>
      <c r="AE434" s="79">
        <v>0.22</v>
      </c>
      <c r="AF434" s="85">
        <f t="shared" si="61"/>
        <v>1638</v>
      </c>
      <c r="AG434" s="85">
        <f t="shared" si="62"/>
        <v>1027.8425570399997</v>
      </c>
      <c r="AH434" s="85">
        <f t="shared" si="63"/>
        <v>0.62749850857142841</v>
      </c>
      <c r="AI434" s="116">
        <v>2</v>
      </c>
      <c r="AJ434" s="116">
        <v>3</v>
      </c>
      <c r="AK434" s="79">
        <v>4.97</v>
      </c>
      <c r="AL434" s="79">
        <v>18</v>
      </c>
      <c r="AM434" s="122">
        <v>6.5</v>
      </c>
      <c r="AN434" s="122">
        <v>6.3</v>
      </c>
      <c r="AO434" s="79">
        <v>0.27</v>
      </c>
      <c r="AP434" s="127">
        <v>0.22</v>
      </c>
      <c r="AQ434" s="132">
        <f t="shared" si="54"/>
        <v>1727</v>
      </c>
      <c r="AR434" s="134">
        <f t="shared" si="55"/>
        <v>0.63115228720324257</v>
      </c>
      <c r="AS434" s="134">
        <f t="shared" si="56"/>
        <v>5.0955414012738856E-2</v>
      </c>
      <c r="AT434" s="134">
        <f t="shared" si="57"/>
        <v>0.31789229878401853</v>
      </c>
      <c r="AU434" s="43">
        <f>IF(AND(F434&lt;&gt;"",Y434&lt;&gt;""),AA434/(F434/2/Y434),"")</f>
        <v>8.3516483516483511E-2</v>
      </c>
      <c r="AV434" s="43">
        <f>IF(AND(F434&lt;&gt;"",AJ434&lt;&gt;""),AL434/(F434/2/AJ434),"")</f>
        <v>5.9340659340659345E-2</v>
      </c>
      <c r="AW434" s="41">
        <f>IF(AND(AP434&lt;&gt;"",1-(AP434/N434)&gt;0),1-(AP434/N434),"")</f>
        <v>0.92567567567567566</v>
      </c>
      <c r="AX434" s="41">
        <f>IF(AND(AE434&lt;&gt;"",1-(AE434/N434)&gt;0),1-(AE434/N434),"")</f>
        <v>0.92567567567567566</v>
      </c>
      <c r="AY434" s="136" t="str">
        <f>IF(P434="","",IF(P434&lt;2.5,"Alc. Bruta &lt; 2,5 mg/L",IF(P434&lt;5,"2,5 ≤ Alc. Bruta &lt; 5,0 mg/L",IF(P434&lt;7.5,"5,0 ≤ Alc. Bruta &lt; 7,5 mg/L",IF(P434&lt;10,"7,5 ≤ Alc. Bruta &lt; 10,0 mg/L",IF(P434&lt;15,"10,0 ≤ Alca. Bruta &lt; 15,0 mg/L","Alc. Bruta &gt; 15 mg/L"))))))</f>
        <v>5,0 ≤ Alc. Bruta &lt; 7,5 mg/L</v>
      </c>
      <c r="AZ434" s="136" t="str">
        <f>IF(O434="","",IF(O434&lt;5,"Cor &lt;5 uC",IF(O434&lt;10,"5 ≤ Cor &lt; 10 uC",IF(O434&lt;15,"10 ≤ Cor &lt;15 uC",IF(O434&lt;30,"15 ≤ Cor &lt; 30 uC",IF(O434&lt;50,"30 ≤ Cor &lt; 50 uC","Cor &gt; 50 uC"))))))</f>
        <v>10 ≤ Cor &lt;15 uC</v>
      </c>
      <c r="BA434" s="137" t="str">
        <f>IF(N434="","",IF(N434&lt;2.5,"Turbidez &lt; 2,5 uT",IF(N434&lt;5,"2,5 ≤ Turb &lt; 5,0 uT",IF(N434&lt;7.5,"5,0 ≤ Turb &lt; 7,5 uT",IF(N434&lt;10,"7,5 ≤ Turb &lt; 10,0 uT",IF(N434&lt;15,"10,0 ≤ Turb &lt; 15,0 uT","Turb &gt; 15 uT"))))))</f>
        <v>2,5 ≤ Turb &lt; 5,0 uT</v>
      </c>
      <c r="BB434" s="138" t="str">
        <f>IF(AND(C434&gt;D434,D434&gt;E434),"TOR &gt; SM &gt; BNN",IF(AND(C434&gt;E434,E434&gt;D434),"TOR &gt; BNN &gt; SM",IF(AND(D434&gt;C434,C434&gt;E434),"SM &gt; TOR &gt; BNN",IF(AND(D434&gt;E434,E434&gt;C434),"SM &gt; BNN &gt; TOR",IF(AND(C434=D434,D434=E434),"TOR = SM = BNN","Comb. diferentes")))))</f>
        <v>TOR &gt; BNN &gt; SM</v>
      </c>
      <c r="BC434" s="137" t="str">
        <f>IF(OR(AD434="",AP434="-"),"",IF(AD434&lt;=0.25,"Tipo 1 (≤0,25) uT",IF(AD434&lt;=0.5,"Tipo 2 (0,25-0,50) uT",IF(AD434&lt;=0.75,"Tipo 3 (0,50-0,75) uT","Tipo 4 (&gt;0,75) uT"))))</f>
        <v>Tipo 2 (0,25-0,50) uT</v>
      </c>
      <c r="BD434" s="137" t="str">
        <f>IF(OR(AO434="",AY434="-"),"",IF(AO434&lt;=0.25,"Tipo 1 (≤0,25) uT",IF(AO434&lt;=0.5,"Tipo 2 (0,25-0,50) uT",IF(AO434&lt;=0.75,"Tipo 3 (0,50-0,75) uT","Tipo 4 (&gt;0,75) uT"))))</f>
        <v>Tipo 2 (0,25-0,50) uT</v>
      </c>
      <c r="BE434" s="137" t="str">
        <f>IF(OR(AE434="",AP434="-"),"",IF(AE434&lt;=0.25,"Tipo 1 (≤0,25) uT",IF(AE434&lt;=0.5,"Tipo 2 (0,25-0,50) uT",IF(AE434&lt;=0.75,"Tipo 3 (0,50-0,75) uT","Tipo 4 (&gt;0,75) uT"))))</f>
        <v>Tipo 1 (≤0,25) uT</v>
      </c>
      <c r="BF434" s="137" t="str">
        <f>IF(OR(AP434="",AP434="-"),"",IF(AP434&lt;=0.25,"Tipo 1 (≤0,25) uT",IF(AP434&lt;=0.5,"Tipo 2 (0,25-0,50) uT",IF(AP434&lt;=0.75,"Tipo 3 (0,50-0,75) uT","Tipo 4 (&gt;0,75) uT"))))</f>
        <v>Tipo 1 (≤0,25) uT</v>
      </c>
      <c r="BG434" s="137" t="str">
        <f>IF(OR(Q434="",Q434="-"),"",IF(Q434&lt;=0.25,"Tipo 1 (≤0,25) uT",IF(Q434&lt;=0.5,"Tipo 2 (0,25-0,50) uT",IF(Q434&lt;=0.75,"Tipo 3 (0,50-0,75) uT","Tipo 4 (&gt;0,75) uT"))))</f>
        <v>Tipo 1 (≤0,25) uT</v>
      </c>
    </row>
    <row r="435" spans="1:59" x14ac:dyDescent="0.3">
      <c r="A435" s="26">
        <v>46171</v>
      </c>
      <c r="B435" s="107">
        <v>0.97916666666666663</v>
      </c>
      <c r="C435" s="116">
        <v>1081</v>
      </c>
      <c r="D435" s="116">
        <v>93</v>
      </c>
      <c r="E435" s="116">
        <v>550</v>
      </c>
      <c r="F435" s="116">
        <v>1815</v>
      </c>
      <c r="G435" s="10" t="s">
        <v>100</v>
      </c>
      <c r="H435" s="122">
        <v>7.3</v>
      </c>
      <c r="I435" s="116">
        <v>90</v>
      </c>
      <c r="J435" s="116">
        <v>90</v>
      </c>
      <c r="K435" s="116">
        <v>90</v>
      </c>
      <c r="L435" s="122">
        <v>23</v>
      </c>
      <c r="M435" s="122">
        <v>6.8</v>
      </c>
      <c r="N435" s="79">
        <v>3.08</v>
      </c>
      <c r="O435" s="116">
        <v>13</v>
      </c>
      <c r="P435" s="122">
        <v>6.9</v>
      </c>
      <c r="Q435" s="79">
        <v>7.0000000000000007E-2</v>
      </c>
      <c r="R435" s="79">
        <v>22.36</v>
      </c>
      <c r="S435" s="79">
        <v>0.88</v>
      </c>
      <c r="T435" s="79">
        <v>0.7</v>
      </c>
      <c r="U435" s="85">
        <f t="shared" si="58"/>
        <v>1252.3499999999999</v>
      </c>
      <c r="V435" s="79">
        <f t="shared" si="59"/>
        <v>1536.9687335599997</v>
      </c>
      <c r="W435" s="79">
        <f t="shared" si="60"/>
        <v>1.2272677235277676</v>
      </c>
      <c r="X435" s="116">
        <v>2</v>
      </c>
      <c r="Y435" s="116">
        <v>4</v>
      </c>
      <c r="Z435" s="122">
        <v>6.51</v>
      </c>
      <c r="AA435" s="116">
        <v>19</v>
      </c>
      <c r="AB435" s="122">
        <v>6.4</v>
      </c>
      <c r="AC435" s="122">
        <v>5.9</v>
      </c>
      <c r="AD435" s="10">
        <v>0.18</v>
      </c>
      <c r="AE435" s="79">
        <v>0.21</v>
      </c>
      <c r="AF435" s="85">
        <f t="shared" si="61"/>
        <v>1669.8</v>
      </c>
      <c r="AG435" s="85">
        <f t="shared" si="62"/>
        <v>1860.5410985199997</v>
      </c>
      <c r="AH435" s="85">
        <f t="shared" si="63"/>
        <v>1.1142299068870523</v>
      </c>
      <c r="AI435" s="116">
        <v>2</v>
      </c>
      <c r="AJ435" s="116">
        <v>3</v>
      </c>
      <c r="AK435" s="79">
        <v>6.51</v>
      </c>
      <c r="AL435" s="79">
        <v>23</v>
      </c>
      <c r="AM435" s="122">
        <v>6.4</v>
      </c>
      <c r="AN435" s="122">
        <v>6</v>
      </c>
      <c r="AO435" s="79">
        <v>0.2</v>
      </c>
      <c r="AP435" s="127">
        <v>0.2</v>
      </c>
      <c r="AQ435" s="132">
        <f t="shared" si="54"/>
        <v>1724</v>
      </c>
      <c r="AR435" s="134">
        <f t="shared" si="55"/>
        <v>0.62703016241299303</v>
      </c>
      <c r="AS435" s="134">
        <f t="shared" si="56"/>
        <v>5.3944315545243621E-2</v>
      </c>
      <c r="AT435" s="134">
        <f t="shared" si="57"/>
        <v>0.31902552204176332</v>
      </c>
      <c r="AU435" s="43">
        <f>IF(AND(F435&lt;&gt;"",Y435&lt;&gt;""),AA435/(F435/2/Y435),"")</f>
        <v>8.3746556473829198E-2</v>
      </c>
      <c r="AV435" s="43">
        <f>IF(AND(F435&lt;&gt;"",AJ435&lt;&gt;""),AL435/(F435/2/AJ435),"")</f>
        <v>7.6033057851239663E-2</v>
      </c>
      <c r="AW435" s="41">
        <f>IF(AND(AP435&lt;&gt;"",1-(AP435/N435)&gt;0),1-(AP435/N435),"")</f>
        <v>0.93506493506493504</v>
      </c>
      <c r="AX435" s="41">
        <f>IF(AND(AE435&lt;&gt;"",1-(AE435/N435)&gt;0),1-(AE435/N435),"")</f>
        <v>0.93181818181818188</v>
      </c>
      <c r="AY435" s="136" t="str">
        <f>IF(P435="","",IF(P435&lt;2.5,"Alc. Bruta &lt; 2,5 mg/L",IF(P435&lt;5,"2,5 ≤ Alc. Bruta &lt; 5,0 mg/L",IF(P435&lt;7.5,"5,0 ≤ Alc. Bruta &lt; 7,5 mg/L",IF(P435&lt;10,"7,5 ≤ Alc. Bruta &lt; 10,0 mg/L",IF(P435&lt;15,"10,0 ≤ Alca. Bruta &lt; 15,0 mg/L","Alc. Bruta &gt; 15 mg/L"))))))</f>
        <v>5,0 ≤ Alc. Bruta &lt; 7,5 mg/L</v>
      </c>
      <c r="AZ435" s="136" t="str">
        <f>IF(O435="","",IF(O435&lt;5,"Cor &lt;5 uC",IF(O435&lt;10,"5 ≤ Cor &lt; 10 uC",IF(O435&lt;15,"10 ≤ Cor &lt;15 uC",IF(O435&lt;30,"15 ≤ Cor &lt; 30 uC",IF(O435&lt;50,"30 ≤ Cor &lt; 50 uC","Cor &gt; 50 uC"))))))</f>
        <v>10 ≤ Cor &lt;15 uC</v>
      </c>
      <c r="BA435" s="137" t="str">
        <f>IF(N435="","",IF(N435&lt;2.5,"Turbidez &lt; 2,5 uT",IF(N435&lt;5,"2,5 ≤ Turb &lt; 5,0 uT",IF(N435&lt;7.5,"5,0 ≤ Turb &lt; 7,5 uT",IF(N435&lt;10,"7,5 ≤ Turb &lt; 10,0 uT",IF(N435&lt;15,"10,0 ≤ Turb &lt; 15,0 uT","Turb &gt; 15 uT"))))))</f>
        <v>2,5 ≤ Turb &lt; 5,0 uT</v>
      </c>
      <c r="BB435" s="138" t="str">
        <f>IF(AND(C435&gt;D435,D435&gt;E435),"TOR &gt; SM &gt; BNN",IF(AND(C435&gt;E435,E435&gt;D435),"TOR &gt; BNN &gt; SM",IF(AND(D435&gt;C435,C435&gt;E435),"SM &gt; TOR &gt; BNN",IF(AND(D435&gt;E435,E435&gt;C435),"SM &gt; BNN &gt; TOR",IF(AND(C435=D435,D435=E435),"TOR = SM = BNN","Comb. diferentes")))))</f>
        <v>TOR &gt; BNN &gt; SM</v>
      </c>
      <c r="BC435" s="137" t="str">
        <f>IF(OR(AD435="",AP435="-"),"",IF(AD435&lt;=0.25,"Tipo 1 (≤0,25) uT",IF(AD435&lt;=0.5,"Tipo 2 (0,25-0,50) uT",IF(AD435&lt;=0.75,"Tipo 3 (0,50-0,75) uT","Tipo 4 (&gt;0,75) uT"))))</f>
        <v>Tipo 1 (≤0,25) uT</v>
      </c>
      <c r="BD435" s="137" t="str">
        <f>IF(OR(AO435="",AY435="-"),"",IF(AO435&lt;=0.25,"Tipo 1 (≤0,25) uT",IF(AO435&lt;=0.5,"Tipo 2 (0,25-0,50) uT",IF(AO435&lt;=0.75,"Tipo 3 (0,50-0,75) uT","Tipo 4 (&gt;0,75) uT"))))</f>
        <v>Tipo 1 (≤0,25) uT</v>
      </c>
      <c r="BE435" s="137" t="str">
        <f>IF(OR(AE435="",AP435="-"),"",IF(AE435&lt;=0.25,"Tipo 1 (≤0,25) uT",IF(AE435&lt;=0.5,"Tipo 2 (0,25-0,50) uT",IF(AE435&lt;=0.75,"Tipo 3 (0,50-0,75) uT","Tipo 4 (&gt;0,75) uT"))))</f>
        <v>Tipo 1 (≤0,25) uT</v>
      </c>
      <c r="BF435" s="137" t="str">
        <f>IF(OR(AP435="",AP435="-"),"",IF(AP435&lt;=0.25,"Tipo 1 (≤0,25) uT",IF(AP435&lt;=0.5,"Tipo 2 (0,25-0,50) uT",IF(AP435&lt;=0.75,"Tipo 3 (0,50-0,75) uT","Tipo 4 (&gt;0,75) uT"))))</f>
        <v>Tipo 1 (≤0,25) uT</v>
      </c>
      <c r="BG435" s="137" t="str">
        <f>IF(OR(Q435="",Q435="-"),"",IF(Q435&lt;=0.25,"Tipo 1 (≤0,25) uT",IF(Q435&lt;=0.5,"Tipo 2 (0,25-0,50) uT",IF(Q435&lt;=0.75,"Tipo 3 (0,50-0,75) uT","Tipo 4 (&gt;0,75) uT"))))</f>
        <v>Tipo 1 (≤0,25) uT</v>
      </c>
    </row>
    <row r="436" spans="1:59" x14ac:dyDescent="0.3">
      <c r="A436" s="26">
        <v>46172</v>
      </c>
      <c r="B436" s="107">
        <v>0.14583333333333334</v>
      </c>
      <c r="C436" s="116">
        <v>1078</v>
      </c>
      <c r="D436" s="116">
        <v>90</v>
      </c>
      <c r="E436" s="116">
        <v>550</v>
      </c>
      <c r="F436" s="116">
        <v>1811</v>
      </c>
      <c r="G436" s="10" t="s">
        <v>100</v>
      </c>
      <c r="H436" s="122">
        <v>7.3</v>
      </c>
      <c r="I436" s="116">
        <v>90</v>
      </c>
      <c r="J436" s="116">
        <v>90</v>
      </c>
      <c r="K436" s="116">
        <v>90</v>
      </c>
      <c r="L436" s="122">
        <v>22.9</v>
      </c>
      <c r="M436" s="122">
        <v>6.7</v>
      </c>
      <c r="N436" s="79">
        <v>3.68</v>
      </c>
      <c r="O436" s="116">
        <v>11</v>
      </c>
      <c r="P436" s="122">
        <v>7.4</v>
      </c>
      <c r="Q436" s="79">
        <v>7.0000000000000007E-2</v>
      </c>
      <c r="R436" s="79">
        <v>22.36</v>
      </c>
      <c r="S436" s="79">
        <v>0.88</v>
      </c>
      <c r="T436" s="79">
        <v>0.7</v>
      </c>
      <c r="U436" s="85">
        <f t="shared" si="58"/>
        <v>1385.415</v>
      </c>
      <c r="V436" s="79">
        <f t="shared" si="59"/>
        <v>1375.1825510799999</v>
      </c>
      <c r="W436" s="79">
        <f t="shared" si="60"/>
        <v>0.9926141633229032</v>
      </c>
      <c r="X436" s="116">
        <v>2</v>
      </c>
      <c r="Y436" s="116">
        <v>4</v>
      </c>
      <c r="Z436" s="122">
        <v>6.51</v>
      </c>
      <c r="AA436" s="116">
        <v>17</v>
      </c>
      <c r="AB436" s="122">
        <v>6.5</v>
      </c>
      <c r="AC436" s="122">
        <v>11.9</v>
      </c>
      <c r="AD436" s="10">
        <v>0.16</v>
      </c>
      <c r="AE436" s="79">
        <v>0.24</v>
      </c>
      <c r="AF436" s="85">
        <f t="shared" si="61"/>
        <v>1847.22</v>
      </c>
      <c r="AG436" s="85">
        <f t="shared" si="62"/>
        <v>1364.9976962960002</v>
      </c>
      <c r="AH436" s="85">
        <f t="shared" si="63"/>
        <v>0.73894701026190712</v>
      </c>
      <c r="AI436" s="116">
        <v>2</v>
      </c>
      <c r="AJ436" s="116">
        <v>3</v>
      </c>
      <c r="AK436" s="79">
        <v>4.9400000000000004</v>
      </c>
      <c r="AL436" s="79">
        <v>24.1</v>
      </c>
      <c r="AM436" s="122">
        <v>6.5</v>
      </c>
      <c r="AN436" s="122">
        <v>9.3000000000000007</v>
      </c>
      <c r="AO436" s="79">
        <v>0.28999999999999998</v>
      </c>
      <c r="AP436" s="127">
        <v>0.21</v>
      </c>
      <c r="AQ436" s="132">
        <f t="shared" si="54"/>
        <v>1718</v>
      </c>
      <c r="AR436" s="134">
        <f t="shared" si="55"/>
        <v>0.62747380675203723</v>
      </c>
      <c r="AS436" s="134">
        <f t="shared" si="56"/>
        <v>5.2386495925494762E-2</v>
      </c>
      <c r="AT436" s="134">
        <f t="shared" si="57"/>
        <v>0.320139697322468</v>
      </c>
      <c r="AU436" s="43">
        <f>IF(AND(F436&lt;&gt;"",Y436&lt;&gt;""),AA436/(F436/2/Y436),"")</f>
        <v>7.5096631695196023E-2</v>
      </c>
      <c r="AV436" s="43">
        <f>IF(AND(F436&lt;&gt;"",AJ436&lt;&gt;""),AL436/(F436/2/AJ436),"")</f>
        <v>7.9845389287686377E-2</v>
      </c>
      <c r="AW436" s="41">
        <f>IF(AND(AP436&lt;&gt;"",1-(AP436/N436)&gt;0),1-(AP436/N436),"")</f>
        <v>0.94293478260869568</v>
      </c>
      <c r="AX436" s="41">
        <f>IF(AND(AE436&lt;&gt;"",1-(AE436/N436)&gt;0),1-(AE436/N436),"")</f>
        <v>0.93478260869565222</v>
      </c>
      <c r="AY436" s="136" t="str">
        <f>IF(P436="","",IF(P436&lt;2.5,"Alc. Bruta &lt; 2,5 mg/L",IF(P436&lt;5,"2,5 ≤ Alc. Bruta &lt; 5,0 mg/L",IF(P436&lt;7.5,"5,0 ≤ Alc. Bruta &lt; 7,5 mg/L",IF(P436&lt;10,"7,5 ≤ Alc. Bruta &lt; 10,0 mg/L",IF(P436&lt;15,"10,0 ≤ Alca. Bruta &lt; 15,0 mg/L","Alc. Bruta &gt; 15 mg/L"))))))</f>
        <v>5,0 ≤ Alc. Bruta &lt; 7,5 mg/L</v>
      </c>
      <c r="AZ436" s="136" t="str">
        <f>IF(O436="","",IF(O436&lt;5,"Cor &lt;5 uC",IF(O436&lt;10,"5 ≤ Cor &lt; 10 uC",IF(O436&lt;15,"10 ≤ Cor &lt;15 uC",IF(O436&lt;30,"15 ≤ Cor &lt; 30 uC",IF(O436&lt;50,"30 ≤ Cor &lt; 50 uC","Cor &gt; 50 uC"))))))</f>
        <v>10 ≤ Cor &lt;15 uC</v>
      </c>
      <c r="BA436" s="137" t="str">
        <f>IF(N436="","",IF(N436&lt;2.5,"Turbidez &lt; 2,5 uT",IF(N436&lt;5,"2,5 ≤ Turb &lt; 5,0 uT",IF(N436&lt;7.5,"5,0 ≤ Turb &lt; 7,5 uT",IF(N436&lt;10,"7,5 ≤ Turb &lt; 10,0 uT",IF(N436&lt;15,"10,0 ≤ Turb &lt; 15,0 uT","Turb &gt; 15 uT"))))))</f>
        <v>2,5 ≤ Turb &lt; 5,0 uT</v>
      </c>
      <c r="BB436" s="138" t="str">
        <f>IF(AND(C436&gt;D436,D436&gt;E436),"TOR &gt; SM &gt; BNN",IF(AND(C436&gt;E436,E436&gt;D436),"TOR &gt; BNN &gt; SM",IF(AND(D436&gt;C436,C436&gt;E436),"SM &gt; TOR &gt; BNN",IF(AND(D436&gt;E436,E436&gt;C436),"SM &gt; BNN &gt; TOR",IF(AND(C436=D436,D436=E436),"TOR = SM = BNN","Comb. diferentes")))))</f>
        <v>TOR &gt; BNN &gt; SM</v>
      </c>
      <c r="BC436" s="137" t="str">
        <f>IF(OR(AD436="",AP436="-"),"",IF(AD436&lt;=0.25,"Tipo 1 (≤0,25) uT",IF(AD436&lt;=0.5,"Tipo 2 (0,25-0,50) uT",IF(AD436&lt;=0.75,"Tipo 3 (0,50-0,75) uT","Tipo 4 (&gt;0,75) uT"))))</f>
        <v>Tipo 1 (≤0,25) uT</v>
      </c>
      <c r="BD436" s="137" t="str">
        <f>IF(OR(AO436="",AY436="-"),"",IF(AO436&lt;=0.25,"Tipo 1 (≤0,25) uT",IF(AO436&lt;=0.5,"Tipo 2 (0,25-0,50) uT",IF(AO436&lt;=0.75,"Tipo 3 (0,50-0,75) uT","Tipo 4 (&gt;0,75) uT"))))</f>
        <v>Tipo 2 (0,25-0,50) uT</v>
      </c>
      <c r="BE436" s="137" t="str">
        <f>IF(OR(AE436="",AP436="-"),"",IF(AE436&lt;=0.25,"Tipo 1 (≤0,25) uT",IF(AE436&lt;=0.5,"Tipo 2 (0,25-0,50) uT",IF(AE436&lt;=0.75,"Tipo 3 (0,50-0,75) uT","Tipo 4 (&gt;0,75) uT"))))</f>
        <v>Tipo 1 (≤0,25) uT</v>
      </c>
      <c r="BF436" s="137" t="str">
        <f>IF(OR(AP436="",AP436="-"),"",IF(AP436&lt;=0.25,"Tipo 1 (≤0,25) uT",IF(AP436&lt;=0.5,"Tipo 2 (0,25-0,50) uT",IF(AP436&lt;=0.75,"Tipo 3 (0,50-0,75) uT","Tipo 4 (&gt;0,75) uT"))))</f>
        <v>Tipo 1 (≤0,25) uT</v>
      </c>
      <c r="BG436" s="137" t="str">
        <f>IF(OR(Q436="",Q436="-"),"",IF(Q436&lt;=0.25,"Tipo 1 (≤0,25) uT",IF(Q436&lt;=0.5,"Tipo 2 (0,25-0,50) uT",IF(Q436&lt;=0.75,"Tipo 3 (0,50-0,75) uT","Tipo 4 (&gt;0,75) uT"))))</f>
        <v>Tipo 1 (≤0,25) uT</v>
      </c>
    </row>
    <row r="437" spans="1:59" ht="15" thickBot="1" x14ac:dyDescent="0.35">
      <c r="A437" s="26">
        <v>46172</v>
      </c>
      <c r="B437" s="110">
        <v>0.22916666666666666</v>
      </c>
      <c r="C437" s="117">
        <v>1145</v>
      </c>
      <c r="D437" s="117">
        <v>80</v>
      </c>
      <c r="E437" s="117">
        <v>550</v>
      </c>
      <c r="F437" s="117">
        <v>1799</v>
      </c>
      <c r="G437" s="11" t="s">
        <v>100</v>
      </c>
      <c r="H437" s="123">
        <v>7.3</v>
      </c>
      <c r="I437" s="117">
        <v>90</v>
      </c>
      <c r="J437" s="117">
        <v>90</v>
      </c>
      <c r="K437" s="117">
        <v>90</v>
      </c>
      <c r="L437" s="123">
        <v>22.7</v>
      </c>
      <c r="M437" s="123">
        <v>6.8</v>
      </c>
      <c r="N437" s="80">
        <v>3.21</v>
      </c>
      <c r="O437" s="117">
        <v>10</v>
      </c>
      <c r="P437" s="123">
        <v>7.1</v>
      </c>
      <c r="Q437" s="80">
        <v>7.0000000000000007E-2</v>
      </c>
      <c r="R437" s="79">
        <v>22.36</v>
      </c>
      <c r="S437" s="79">
        <v>0.88</v>
      </c>
      <c r="T437" s="79">
        <v>0.7</v>
      </c>
      <c r="U437" s="85">
        <f t="shared" si="58"/>
        <v>1270.54375</v>
      </c>
      <c r="V437" s="79">
        <f t="shared" si="59"/>
        <v>1375.1825510799999</v>
      </c>
      <c r="W437" s="79">
        <f t="shared" si="60"/>
        <v>1.0823574954266628</v>
      </c>
      <c r="X437" s="117">
        <v>2</v>
      </c>
      <c r="Y437" s="117">
        <v>4</v>
      </c>
      <c r="Z437" s="123">
        <v>6.51</v>
      </c>
      <c r="AA437" s="117">
        <v>17</v>
      </c>
      <c r="AB437" s="123">
        <v>6.5</v>
      </c>
      <c r="AC437" s="123">
        <v>9.4</v>
      </c>
      <c r="AD437" s="11">
        <v>0.24</v>
      </c>
      <c r="AE437" s="80">
        <v>0.23</v>
      </c>
      <c r="AF437" s="85">
        <f t="shared" si="61"/>
        <v>1694.0583333333334</v>
      </c>
      <c r="AG437" s="85">
        <f t="shared" si="62"/>
        <v>1359.0362698639997</v>
      </c>
      <c r="AH437" s="85">
        <f t="shared" si="63"/>
        <v>0.80223699687476302</v>
      </c>
      <c r="AI437" s="117">
        <v>2</v>
      </c>
      <c r="AJ437" s="117">
        <v>3</v>
      </c>
      <c r="AK437" s="80">
        <v>4.97</v>
      </c>
      <c r="AL437" s="80">
        <v>23.8</v>
      </c>
      <c r="AM437" s="123">
        <v>6.5</v>
      </c>
      <c r="AN437" s="123">
        <v>8.6</v>
      </c>
      <c r="AO437" s="80">
        <v>0.23</v>
      </c>
      <c r="AP437" s="128">
        <v>0.21</v>
      </c>
      <c r="AQ437" s="132">
        <f t="shared" si="54"/>
        <v>1775</v>
      </c>
      <c r="AR437" s="134">
        <f t="shared" si="55"/>
        <v>0.6450704225352113</v>
      </c>
      <c r="AS437" s="134">
        <f t="shared" si="56"/>
        <v>4.507042253521127E-2</v>
      </c>
      <c r="AT437" s="134">
        <f t="shared" si="57"/>
        <v>0.30985915492957744</v>
      </c>
      <c r="AU437" s="43">
        <f>IF(AND(F437&lt;&gt;"",Y437&lt;&gt;""),AA437/(F437/2/Y437),"")</f>
        <v>7.5597554196775982E-2</v>
      </c>
      <c r="AV437" s="43">
        <f>IF(AND(F437&lt;&gt;"",AJ437&lt;&gt;""),AL437/(F437/2/AJ437),"")</f>
        <v>7.9377431906614795E-2</v>
      </c>
      <c r="AW437" s="41">
        <f>IF(AND(AP437&lt;&gt;"",1-(AP437/N437)&gt;0),1-(AP437/N437),"")</f>
        <v>0.93457943925233644</v>
      </c>
      <c r="AX437" s="41">
        <f>IF(AND(AE437&lt;&gt;"",1-(AE437/N437)&gt;0),1-(AE437/N437),"")</f>
        <v>0.92834890965732086</v>
      </c>
      <c r="AY437" s="136" t="str">
        <f>IF(P437="","",IF(P437&lt;2.5,"Alc. Bruta &lt; 2,5 mg/L",IF(P437&lt;5,"2,5 ≤ Alc. Bruta &lt; 5,0 mg/L",IF(P437&lt;7.5,"5,0 ≤ Alc. Bruta &lt; 7,5 mg/L",IF(P437&lt;10,"7,5 ≤ Alc. Bruta &lt; 10,0 mg/L",IF(P437&lt;15,"10,0 ≤ Alca. Bruta &lt; 15,0 mg/L","Alc. Bruta &gt; 15 mg/L"))))))</f>
        <v>5,0 ≤ Alc. Bruta &lt; 7,5 mg/L</v>
      </c>
      <c r="AZ437" s="136" t="str">
        <f>IF(O437="","",IF(O437&lt;5,"Cor &lt;5 uC",IF(O437&lt;10,"5 ≤ Cor &lt; 10 uC",IF(O437&lt;15,"10 ≤ Cor &lt;15 uC",IF(O437&lt;30,"15 ≤ Cor &lt; 30 uC",IF(O437&lt;50,"30 ≤ Cor &lt; 50 uC","Cor &gt; 50 uC"))))))</f>
        <v>10 ≤ Cor &lt;15 uC</v>
      </c>
      <c r="BA437" s="137" t="str">
        <f>IF(N437="","",IF(N437&lt;2.5,"Turbidez &lt; 2,5 uT",IF(N437&lt;5,"2,5 ≤ Turb &lt; 5,0 uT",IF(N437&lt;7.5,"5,0 ≤ Turb &lt; 7,5 uT",IF(N437&lt;10,"7,5 ≤ Turb &lt; 10,0 uT",IF(N437&lt;15,"10,0 ≤ Turb &lt; 15,0 uT","Turb &gt; 15 uT"))))))</f>
        <v>2,5 ≤ Turb &lt; 5,0 uT</v>
      </c>
      <c r="BB437" s="138" t="str">
        <f>IF(AND(C437&gt;D437,D437&gt;E437),"TOR &gt; SM &gt; BNN",IF(AND(C437&gt;E437,E437&gt;D437),"TOR &gt; BNN &gt; SM",IF(AND(D437&gt;C437,C437&gt;E437),"SM &gt; TOR &gt; BNN",IF(AND(D437&gt;E437,E437&gt;C437),"SM &gt; BNN &gt; TOR",IF(AND(C437=D437,D437=E437),"TOR = SM = BNN","Comb. diferentes")))))</f>
        <v>TOR &gt; BNN &gt; SM</v>
      </c>
      <c r="BC437" s="137" t="str">
        <f>IF(OR(AD437="",AP437="-"),"",IF(AD437&lt;=0.25,"Tipo 1 (≤0,25) uT",IF(AD437&lt;=0.5,"Tipo 2 (0,25-0,50) uT",IF(AD437&lt;=0.75,"Tipo 3 (0,50-0,75) uT","Tipo 4 (&gt;0,75) uT"))))</f>
        <v>Tipo 1 (≤0,25) uT</v>
      </c>
      <c r="BD437" s="137" t="str">
        <f>IF(OR(AO437="",AY437="-"),"",IF(AO437&lt;=0.25,"Tipo 1 (≤0,25) uT",IF(AO437&lt;=0.5,"Tipo 2 (0,25-0,50) uT",IF(AO437&lt;=0.75,"Tipo 3 (0,50-0,75) uT","Tipo 4 (&gt;0,75) uT"))))</f>
        <v>Tipo 1 (≤0,25) uT</v>
      </c>
      <c r="BE437" s="137" t="str">
        <f>IF(OR(AE437="",AP437="-"),"",IF(AE437&lt;=0.25,"Tipo 1 (≤0,25) uT",IF(AE437&lt;=0.5,"Tipo 2 (0,25-0,50) uT",IF(AE437&lt;=0.75,"Tipo 3 (0,50-0,75) uT","Tipo 4 (&gt;0,75) uT"))))</f>
        <v>Tipo 1 (≤0,25) uT</v>
      </c>
      <c r="BF437" s="137" t="str">
        <f>IF(OR(AP437="",AP437="-"),"",IF(AP437&lt;=0.25,"Tipo 1 (≤0,25) uT",IF(AP437&lt;=0.5,"Tipo 2 (0,25-0,50) uT",IF(AP437&lt;=0.75,"Tipo 3 (0,50-0,75) uT","Tipo 4 (&gt;0,75) uT"))))</f>
        <v>Tipo 1 (≤0,25) uT</v>
      </c>
      <c r="BG437" s="137" t="str">
        <f>IF(OR(Q437="",Q437="-"),"",IF(Q437&lt;=0.25,"Tipo 1 (≤0,25) uT",IF(Q437&lt;=0.5,"Tipo 2 (0,25-0,50) uT",IF(Q437&lt;=0.75,"Tipo 3 (0,50-0,75) uT","Tipo 4 (&gt;0,75) uT"))))</f>
        <v>Tipo 1 (≤0,25) uT</v>
      </c>
    </row>
    <row r="438" spans="1:59" x14ac:dyDescent="0.3">
      <c r="A438" s="26">
        <v>46172</v>
      </c>
      <c r="B438" s="111">
        <v>0.3125</v>
      </c>
      <c r="C438" s="118">
        <v>1102</v>
      </c>
      <c r="D438" s="116">
        <v>95</v>
      </c>
      <c r="E438" s="118">
        <v>549</v>
      </c>
      <c r="F438" s="118">
        <v>1869</v>
      </c>
      <c r="G438" s="9" t="s">
        <v>100</v>
      </c>
      <c r="H438" s="124">
        <v>7.3</v>
      </c>
      <c r="I438" s="118">
        <v>90</v>
      </c>
      <c r="J438" s="118">
        <v>90</v>
      </c>
      <c r="K438" s="118">
        <v>90</v>
      </c>
      <c r="L438" s="124">
        <v>22.3</v>
      </c>
      <c r="M438" s="124">
        <v>6.8</v>
      </c>
      <c r="N438" s="81">
        <v>2.76</v>
      </c>
      <c r="O438" s="118">
        <v>13</v>
      </c>
      <c r="P438" s="124">
        <v>7.4</v>
      </c>
      <c r="Q438" s="81">
        <v>7.0000000000000007E-2</v>
      </c>
      <c r="R438" s="79">
        <v>22.36</v>
      </c>
      <c r="S438" s="79">
        <v>0.88</v>
      </c>
      <c r="T438" s="79">
        <v>0.7</v>
      </c>
      <c r="U438" s="85">
        <f t="shared" si="58"/>
        <v>1214.8499999999999</v>
      </c>
      <c r="V438" s="79">
        <f t="shared" si="59"/>
        <v>1415.6290966999998</v>
      </c>
      <c r="W438" s="79">
        <f t="shared" si="60"/>
        <v>1.1652706891385767</v>
      </c>
      <c r="X438" s="118">
        <v>2</v>
      </c>
      <c r="Y438" s="118">
        <v>4</v>
      </c>
      <c r="Z438" s="124">
        <v>6.51</v>
      </c>
      <c r="AA438" s="118">
        <v>17.5</v>
      </c>
      <c r="AB438" s="124">
        <v>6.6</v>
      </c>
      <c r="AC438" s="124">
        <v>5.2</v>
      </c>
      <c r="AD438" s="9">
        <v>0.15</v>
      </c>
      <c r="AE438" s="81">
        <v>0.19</v>
      </c>
      <c r="AF438" s="85">
        <f t="shared" si="61"/>
        <v>1619.7999999999997</v>
      </c>
      <c r="AG438" s="85">
        <f t="shared" si="62"/>
        <v>1935.6305806551998</v>
      </c>
      <c r="AH438" s="85">
        <f t="shared" si="63"/>
        <v>1.1949812203081862</v>
      </c>
      <c r="AI438" s="118">
        <v>2</v>
      </c>
      <c r="AJ438" s="118">
        <v>3</v>
      </c>
      <c r="AK438" s="81">
        <v>6.49</v>
      </c>
      <c r="AL438" s="81">
        <v>24.02</v>
      </c>
      <c r="AM438" s="124">
        <v>6.7</v>
      </c>
      <c r="AN438" s="124">
        <v>5.5</v>
      </c>
      <c r="AO438" s="81">
        <v>0.13</v>
      </c>
      <c r="AP438" s="129">
        <v>0.2</v>
      </c>
      <c r="AQ438" s="132">
        <f t="shared" si="54"/>
        <v>1746</v>
      </c>
      <c r="AR438" s="134">
        <f t="shared" si="55"/>
        <v>0.63115693012600227</v>
      </c>
      <c r="AS438" s="134">
        <f t="shared" si="56"/>
        <v>5.4410080183276061E-2</v>
      </c>
      <c r="AT438" s="134">
        <f t="shared" si="57"/>
        <v>0.31443298969072164</v>
      </c>
      <c r="AU438" s="43">
        <f>IF(AND(F438&lt;&gt;"",Y438&lt;&gt;""),AA438/(F438/2/Y438),"")</f>
        <v>7.4906367041198504E-2</v>
      </c>
      <c r="AV438" s="43">
        <f>IF(AND(F438&lt;&gt;"",AJ438&lt;&gt;""),AL438/(F438/2/AJ438),"")</f>
        <v>7.7110754414125196E-2</v>
      </c>
      <c r="AW438" s="41">
        <f>IF(AND(AP438&lt;&gt;"",1-(AP438/N438)&gt;0),1-(AP438/N438),"")</f>
        <v>0.92753623188405798</v>
      </c>
      <c r="AX438" s="41">
        <f>IF(AND(AE438&lt;&gt;"",1-(AE438/N438)&gt;0),1-(AE438/N438),"")</f>
        <v>0.9311594202898551</v>
      </c>
      <c r="AY438" s="136" t="str">
        <f>IF(P438="","",IF(P438&lt;2.5,"Alc. Bruta &lt; 2,5 mg/L",IF(P438&lt;5,"2,5 ≤ Alc. Bruta &lt; 5,0 mg/L",IF(P438&lt;7.5,"5,0 ≤ Alc. Bruta &lt; 7,5 mg/L",IF(P438&lt;10,"7,5 ≤ Alc. Bruta &lt; 10,0 mg/L",IF(P438&lt;15,"10,0 ≤ Alca. Bruta &lt; 15,0 mg/L","Alc. Bruta &gt; 15 mg/L"))))))</f>
        <v>5,0 ≤ Alc. Bruta &lt; 7,5 mg/L</v>
      </c>
      <c r="AZ438" s="136" t="str">
        <f>IF(O438="","",IF(O438&lt;5,"Cor &lt;5 uC",IF(O438&lt;10,"5 ≤ Cor &lt; 10 uC",IF(O438&lt;15,"10 ≤ Cor &lt;15 uC",IF(O438&lt;30,"15 ≤ Cor &lt; 30 uC",IF(O438&lt;50,"30 ≤ Cor &lt; 50 uC","Cor &gt; 50 uC"))))))</f>
        <v>10 ≤ Cor &lt;15 uC</v>
      </c>
      <c r="BA438" s="137" t="str">
        <f>IF(N438="","",IF(N438&lt;2.5,"Turbidez &lt; 2,5 uT",IF(N438&lt;5,"2,5 ≤ Turb &lt; 5,0 uT",IF(N438&lt;7.5,"5,0 ≤ Turb &lt; 7,5 uT",IF(N438&lt;10,"7,5 ≤ Turb &lt; 10,0 uT",IF(N438&lt;15,"10,0 ≤ Turb &lt; 15,0 uT","Turb &gt; 15 uT"))))))</f>
        <v>2,5 ≤ Turb &lt; 5,0 uT</v>
      </c>
      <c r="BB438" s="138" t="str">
        <f>IF(AND(C438&gt;D438,D438&gt;E438),"TOR &gt; SM &gt; BNN",IF(AND(C438&gt;E438,E438&gt;D438),"TOR &gt; BNN &gt; SM",IF(AND(D438&gt;C438,C438&gt;E438),"SM &gt; TOR &gt; BNN",IF(AND(D438&gt;E438,E438&gt;C438),"SM &gt; BNN &gt; TOR",IF(AND(C438=D438,D438=E438),"TOR = SM = BNN","Comb. diferentes")))))</f>
        <v>TOR &gt; BNN &gt; SM</v>
      </c>
      <c r="BC438" s="137" t="str">
        <f>IF(OR(AD438="",AP438="-"),"",IF(AD438&lt;=0.25,"Tipo 1 (≤0,25) uT",IF(AD438&lt;=0.5,"Tipo 2 (0,25-0,50) uT",IF(AD438&lt;=0.75,"Tipo 3 (0,50-0,75) uT","Tipo 4 (&gt;0,75) uT"))))</f>
        <v>Tipo 1 (≤0,25) uT</v>
      </c>
      <c r="BD438" s="137" t="str">
        <f>IF(OR(AO438="",AY438="-"),"",IF(AO438&lt;=0.25,"Tipo 1 (≤0,25) uT",IF(AO438&lt;=0.5,"Tipo 2 (0,25-0,50) uT",IF(AO438&lt;=0.75,"Tipo 3 (0,50-0,75) uT","Tipo 4 (&gt;0,75) uT"))))</f>
        <v>Tipo 1 (≤0,25) uT</v>
      </c>
      <c r="BE438" s="137" t="str">
        <f>IF(OR(AE438="",AP438="-"),"",IF(AE438&lt;=0.25,"Tipo 1 (≤0,25) uT",IF(AE438&lt;=0.5,"Tipo 2 (0,25-0,50) uT",IF(AE438&lt;=0.75,"Tipo 3 (0,50-0,75) uT","Tipo 4 (&gt;0,75) uT"))))</f>
        <v>Tipo 1 (≤0,25) uT</v>
      </c>
      <c r="BF438" s="137" t="str">
        <f>IF(OR(AP438="",AP438="-"),"",IF(AP438&lt;=0.25,"Tipo 1 (≤0,25) uT",IF(AP438&lt;=0.5,"Tipo 2 (0,25-0,50) uT",IF(AP438&lt;=0.75,"Tipo 3 (0,50-0,75) uT","Tipo 4 (&gt;0,75) uT"))))</f>
        <v>Tipo 1 (≤0,25) uT</v>
      </c>
      <c r="BG438" s="137" t="str">
        <f>IF(OR(Q438="",Q438="-"),"",IF(Q438&lt;=0.25,"Tipo 1 (≤0,25) uT",IF(Q438&lt;=0.5,"Tipo 2 (0,25-0,50) uT",IF(Q438&lt;=0.75,"Tipo 3 (0,50-0,75) uT","Tipo 4 (&gt;0,75) uT"))))</f>
        <v>Tipo 1 (≤0,25) uT</v>
      </c>
    </row>
    <row r="439" spans="1:59" x14ac:dyDescent="0.3">
      <c r="A439" s="26">
        <v>46172</v>
      </c>
      <c r="B439" s="107">
        <v>0.39583333333333331</v>
      </c>
      <c r="C439" s="116">
        <v>1132</v>
      </c>
      <c r="D439" s="116">
        <v>82</v>
      </c>
      <c r="E439" s="116">
        <v>550</v>
      </c>
      <c r="F439" s="116">
        <v>1892</v>
      </c>
      <c r="G439" s="10" t="s">
        <v>100</v>
      </c>
      <c r="H439" s="122">
        <v>7.3</v>
      </c>
      <c r="I439" s="116">
        <v>90</v>
      </c>
      <c r="J439" s="116">
        <v>90</v>
      </c>
      <c r="K439" s="116">
        <v>90</v>
      </c>
      <c r="L439" s="122">
        <v>22.4</v>
      </c>
      <c r="M439" s="122">
        <v>6.8</v>
      </c>
      <c r="N439" s="79">
        <v>2.81</v>
      </c>
      <c r="O439" s="116">
        <v>12</v>
      </c>
      <c r="P439" s="122">
        <v>7.2</v>
      </c>
      <c r="Q439" s="79">
        <v>0.06</v>
      </c>
      <c r="R439" s="79">
        <v>22.36</v>
      </c>
      <c r="S439" s="79">
        <v>0.88</v>
      </c>
      <c r="T439" s="79">
        <v>0.7</v>
      </c>
      <c r="U439" s="85">
        <f t="shared" si="58"/>
        <v>1241.625</v>
      </c>
      <c r="V439" s="79">
        <f t="shared" si="59"/>
        <v>1391.1261813800002</v>
      </c>
      <c r="W439" s="79">
        <f t="shared" si="60"/>
        <v>1.1204076765367967</v>
      </c>
      <c r="X439" s="116">
        <v>2</v>
      </c>
      <c r="Y439" s="116">
        <v>4</v>
      </c>
      <c r="Z439" s="122">
        <v>6.5</v>
      </c>
      <c r="AA439" s="116">
        <v>17.23</v>
      </c>
      <c r="AB439" s="122">
        <v>6.7</v>
      </c>
      <c r="AC439" s="122">
        <v>5.7</v>
      </c>
      <c r="AD439" s="10">
        <v>0.13</v>
      </c>
      <c r="AE439" s="79">
        <v>0.19</v>
      </c>
      <c r="AF439" s="85">
        <f t="shared" si="61"/>
        <v>1655.5</v>
      </c>
      <c r="AG439" s="85">
        <f t="shared" si="62"/>
        <v>1934.3327342559999</v>
      </c>
      <c r="AH439" s="85">
        <f t="shared" si="63"/>
        <v>1.1684281088831168</v>
      </c>
      <c r="AI439" s="116">
        <v>2</v>
      </c>
      <c r="AJ439" s="116">
        <v>3</v>
      </c>
      <c r="AK439" s="79">
        <v>6.48</v>
      </c>
      <c r="AL439" s="79">
        <v>24.05</v>
      </c>
      <c r="AM439" s="122">
        <v>6.7</v>
      </c>
      <c r="AN439" s="122">
        <v>5.6</v>
      </c>
      <c r="AO439" s="79">
        <v>0.14000000000000001</v>
      </c>
      <c r="AP439" s="127">
        <v>0.2</v>
      </c>
      <c r="AQ439" s="132">
        <f t="shared" si="54"/>
        <v>1764</v>
      </c>
      <c r="AR439" s="134">
        <f t="shared" si="55"/>
        <v>0.64172335600907027</v>
      </c>
      <c r="AS439" s="134">
        <f t="shared" si="56"/>
        <v>4.6485260770975055E-2</v>
      </c>
      <c r="AT439" s="134">
        <f t="shared" si="57"/>
        <v>0.31179138321995464</v>
      </c>
      <c r="AU439" s="43">
        <f>IF(AND(F439&lt;&gt;"",Y439&lt;&gt;""),AA439/(F439/2/Y439),"")</f>
        <v>7.2854122621564488E-2</v>
      </c>
      <c r="AV439" s="43">
        <f>IF(AND(F439&lt;&gt;"",AJ439&lt;&gt;""),AL439/(F439/2/AJ439),"")</f>
        <v>7.6268498942917554E-2</v>
      </c>
      <c r="AW439" s="41">
        <f>IF(AND(AP439&lt;&gt;"",1-(AP439/N439)&gt;0),1-(AP439/N439),"")</f>
        <v>0.92882562277580072</v>
      </c>
      <c r="AX439" s="41">
        <f>IF(AND(AE439&lt;&gt;"",1-(AE439/N439)&gt;0),1-(AE439/N439),"")</f>
        <v>0.93238434163701067</v>
      </c>
      <c r="AY439" s="136" t="str">
        <f>IF(P439="","",IF(P439&lt;2.5,"Alc. Bruta &lt; 2,5 mg/L",IF(P439&lt;5,"2,5 ≤ Alc. Bruta &lt; 5,0 mg/L",IF(P439&lt;7.5,"5,0 ≤ Alc. Bruta &lt; 7,5 mg/L",IF(P439&lt;10,"7,5 ≤ Alc. Bruta &lt; 10,0 mg/L",IF(P439&lt;15,"10,0 ≤ Alca. Bruta &lt; 15,0 mg/L","Alc. Bruta &gt; 15 mg/L"))))))</f>
        <v>5,0 ≤ Alc. Bruta &lt; 7,5 mg/L</v>
      </c>
      <c r="AZ439" s="136" t="str">
        <f>IF(O439="","",IF(O439&lt;5,"Cor &lt;5 uC",IF(O439&lt;10,"5 ≤ Cor &lt; 10 uC",IF(O439&lt;15,"10 ≤ Cor &lt;15 uC",IF(O439&lt;30,"15 ≤ Cor &lt; 30 uC",IF(O439&lt;50,"30 ≤ Cor &lt; 50 uC","Cor &gt; 50 uC"))))))</f>
        <v>10 ≤ Cor &lt;15 uC</v>
      </c>
      <c r="BA439" s="137" t="str">
        <f>IF(N439="","",IF(N439&lt;2.5,"Turbidez &lt; 2,5 uT",IF(N439&lt;5,"2,5 ≤ Turb &lt; 5,0 uT",IF(N439&lt;7.5,"5,0 ≤ Turb &lt; 7,5 uT",IF(N439&lt;10,"7,5 ≤ Turb &lt; 10,0 uT",IF(N439&lt;15,"10,0 ≤ Turb &lt; 15,0 uT","Turb &gt; 15 uT"))))))</f>
        <v>2,5 ≤ Turb &lt; 5,0 uT</v>
      </c>
      <c r="BB439" s="138" t="str">
        <f>IF(AND(C439&gt;D439,D439&gt;E439),"TOR &gt; SM &gt; BNN",IF(AND(C439&gt;E439,E439&gt;D439),"TOR &gt; BNN &gt; SM",IF(AND(D439&gt;C439,C439&gt;E439),"SM &gt; TOR &gt; BNN",IF(AND(D439&gt;E439,E439&gt;C439),"SM &gt; BNN &gt; TOR",IF(AND(C439=D439,D439=E439),"TOR = SM = BNN","Comb. diferentes")))))</f>
        <v>TOR &gt; BNN &gt; SM</v>
      </c>
      <c r="BC439" s="137" t="str">
        <f>IF(OR(AD439="",AP439="-"),"",IF(AD439&lt;=0.25,"Tipo 1 (≤0,25) uT",IF(AD439&lt;=0.5,"Tipo 2 (0,25-0,50) uT",IF(AD439&lt;=0.75,"Tipo 3 (0,50-0,75) uT","Tipo 4 (&gt;0,75) uT"))))</f>
        <v>Tipo 1 (≤0,25) uT</v>
      </c>
      <c r="BD439" s="137" t="str">
        <f>IF(OR(AO439="",AY439="-"),"",IF(AO439&lt;=0.25,"Tipo 1 (≤0,25) uT",IF(AO439&lt;=0.5,"Tipo 2 (0,25-0,50) uT",IF(AO439&lt;=0.75,"Tipo 3 (0,50-0,75) uT","Tipo 4 (&gt;0,75) uT"))))</f>
        <v>Tipo 1 (≤0,25) uT</v>
      </c>
      <c r="BE439" s="137" t="str">
        <f>IF(OR(AE439="",AP439="-"),"",IF(AE439&lt;=0.25,"Tipo 1 (≤0,25) uT",IF(AE439&lt;=0.5,"Tipo 2 (0,25-0,50) uT",IF(AE439&lt;=0.75,"Tipo 3 (0,50-0,75) uT","Tipo 4 (&gt;0,75) uT"))))</f>
        <v>Tipo 1 (≤0,25) uT</v>
      </c>
      <c r="BF439" s="137" t="str">
        <f>IF(OR(AP439="",AP439="-"),"",IF(AP439&lt;=0.25,"Tipo 1 (≤0,25) uT",IF(AP439&lt;=0.5,"Tipo 2 (0,25-0,50) uT",IF(AP439&lt;=0.75,"Tipo 3 (0,50-0,75) uT","Tipo 4 (&gt;0,75) uT"))))</f>
        <v>Tipo 1 (≤0,25) uT</v>
      </c>
      <c r="BG439" s="137" t="str">
        <f>IF(OR(Q439="",Q439="-"),"",IF(Q439&lt;=0.25,"Tipo 1 (≤0,25) uT",IF(Q439&lt;=0.5,"Tipo 2 (0,25-0,50) uT",IF(Q439&lt;=0.75,"Tipo 3 (0,50-0,75) uT","Tipo 4 (&gt;0,75) uT"))))</f>
        <v>Tipo 1 (≤0,25) uT</v>
      </c>
    </row>
    <row r="440" spans="1:59" x14ac:dyDescent="0.3">
      <c r="A440" s="26">
        <v>46172</v>
      </c>
      <c r="B440" s="107">
        <v>0.47916666666666669</v>
      </c>
      <c r="C440" s="116">
        <v>1153</v>
      </c>
      <c r="D440" s="116">
        <v>82</v>
      </c>
      <c r="E440" s="116">
        <v>549</v>
      </c>
      <c r="F440" s="116">
        <v>1884</v>
      </c>
      <c r="G440" s="10" t="s">
        <v>100</v>
      </c>
      <c r="H440" s="122">
        <v>7.3</v>
      </c>
      <c r="I440" s="116">
        <v>90</v>
      </c>
      <c r="J440" s="116">
        <v>90</v>
      </c>
      <c r="K440" s="116">
        <v>90</v>
      </c>
      <c r="L440" s="122">
        <v>22.5</v>
      </c>
      <c r="M440" s="122">
        <v>6.8</v>
      </c>
      <c r="N440" s="79">
        <v>2.68</v>
      </c>
      <c r="O440" s="116">
        <v>11</v>
      </c>
      <c r="P440" s="122">
        <v>7.3</v>
      </c>
      <c r="Q440" s="79">
        <v>0.06</v>
      </c>
      <c r="R440" s="79">
        <v>22.36</v>
      </c>
      <c r="S440" s="79">
        <v>0.88</v>
      </c>
      <c r="T440" s="79">
        <v>0.7</v>
      </c>
      <c r="U440" s="85">
        <f t="shared" si="58"/>
        <v>1205.76</v>
      </c>
      <c r="V440" s="79">
        <f t="shared" si="59"/>
        <v>1416.1639563968001</v>
      </c>
      <c r="W440" s="79">
        <f t="shared" si="60"/>
        <v>1.174499034962845</v>
      </c>
      <c r="X440" s="116">
        <v>2</v>
      </c>
      <c r="Y440" s="116">
        <v>4</v>
      </c>
      <c r="Z440" s="122">
        <v>6.53</v>
      </c>
      <c r="AA440" s="116">
        <v>17.440000000000001</v>
      </c>
      <c r="AB440" s="122">
        <v>6.7</v>
      </c>
      <c r="AC440" s="122">
        <v>5.4</v>
      </c>
      <c r="AD440" s="10">
        <v>0.14000000000000001</v>
      </c>
      <c r="AE440" s="79">
        <v>0.2</v>
      </c>
      <c r="AF440" s="85">
        <f t="shared" si="61"/>
        <v>1607.68</v>
      </c>
      <c r="AG440" s="85">
        <f t="shared" si="62"/>
        <v>1927.1849331799999</v>
      </c>
      <c r="AH440" s="85">
        <f t="shared" si="63"/>
        <v>1.1987366473303145</v>
      </c>
      <c r="AI440" s="116">
        <v>2</v>
      </c>
      <c r="AJ440" s="116">
        <v>3</v>
      </c>
      <c r="AK440" s="79">
        <v>6.45</v>
      </c>
      <c r="AL440" s="79">
        <v>24.1</v>
      </c>
      <c r="AM440" s="122">
        <v>6.7</v>
      </c>
      <c r="AN440" s="122">
        <v>5.6</v>
      </c>
      <c r="AO440" s="79">
        <v>0.17</v>
      </c>
      <c r="AP440" s="127">
        <v>0.34</v>
      </c>
      <c r="AQ440" s="132">
        <f t="shared" si="54"/>
        <v>1784</v>
      </c>
      <c r="AR440" s="134">
        <f t="shared" si="55"/>
        <v>0.64630044843049328</v>
      </c>
      <c r="AS440" s="134">
        <f t="shared" si="56"/>
        <v>4.5964125560538117E-2</v>
      </c>
      <c r="AT440" s="134">
        <f t="shared" si="57"/>
        <v>0.30773542600896858</v>
      </c>
      <c r="AU440" s="43">
        <f>IF(AND(F440&lt;&gt;"",Y440&lt;&gt;""),AA440/(F440/2/Y440),"")</f>
        <v>7.4055201698513803E-2</v>
      </c>
      <c r="AV440" s="43">
        <f>IF(AND(F440&lt;&gt;"",AJ440&lt;&gt;""),AL440/(F440/2/AJ440),"")</f>
        <v>7.6751592356687909E-2</v>
      </c>
      <c r="AW440" s="41">
        <f>IF(AND(AP440&lt;&gt;"",1-(AP440/N440)&gt;0),1-(AP440/N440),"")</f>
        <v>0.87313432835820892</v>
      </c>
      <c r="AX440" s="41">
        <f>IF(AND(AE440&lt;&gt;"",1-(AE440/N440)&gt;0),1-(AE440/N440),"")</f>
        <v>0.92537313432835822</v>
      </c>
      <c r="AY440" s="136" t="str">
        <f>IF(P440="","",IF(P440&lt;2.5,"Alc. Bruta &lt; 2,5 mg/L",IF(P440&lt;5,"2,5 ≤ Alc. Bruta &lt; 5,0 mg/L",IF(P440&lt;7.5,"5,0 ≤ Alc. Bruta &lt; 7,5 mg/L",IF(P440&lt;10,"7,5 ≤ Alc. Bruta &lt; 10,0 mg/L",IF(P440&lt;15,"10,0 ≤ Alca. Bruta &lt; 15,0 mg/L","Alc. Bruta &gt; 15 mg/L"))))))</f>
        <v>5,0 ≤ Alc. Bruta &lt; 7,5 mg/L</v>
      </c>
      <c r="AZ440" s="136" t="str">
        <f>IF(O440="","",IF(O440&lt;5,"Cor &lt;5 uC",IF(O440&lt;10,"5 ≤ Cor &lt; 10 uC",IF(O440&lt;15,"10 ≤ Cor &lt;15 uC",IF(O440&lt;30,"15 ≤ Cor &lt; 30 uC",IF(O440&lt;50,"30 ≤ Cor &lt; 50 uC","Cor &gt; 50 uC"))))))</f>
        <v>10 ≤ Cor &lt;15 uC</v>
      </c>
      <c r="BA440" s="137" t="str">
        <f>IF(N440="","",IF(N440&lt;2.5,"Turbidez &lt; 2,5 uT",IF(N440&lt;5,"2,5 ≤ Turb &lt; 5,0 uT",IF(N440&lt;7.5,"5,0 ≤ Turb &lt; 7,5 uT",IF(N440&lt;10,"7,5 ≤ Turb &lt; 10,0 uT",IF(N440&lt;15,"10,0 ≤ Turb &lt; 15,0 uT","Turb &gt; 15 uT"))))))</f>
        <v>2,5 ≤ Turb &lt; 5,0 uT</v>
      </c>
      <c r="BB440" s="138" t="str">
        <f>IF(AND(C440&gt;D440,D440&gt;E440),"TOR &gt; SM &gt; BNN",IF(AND(C440&gt;E440,E440&gt;D440),"TOR &gt; BNN &gt; SM",IF(AND(D440&gt;C440,C440&gt;E440),"SM &gt; TOR &gt; BNN",IF(AND(D440&gt;E440,E440&gt;C440),"SM &gt; BNN &gt; TOR",IF(AND(C440=D440,D440=E440),"TOR = SM = BNN","Comb. diferentes")))))</f>
        <v>TOR &gt; BNN &gt; SM</v>
      </c>
      <c r="BC440" s="137" t="str">
        <f>IF(OR(AD440="",AP440="-"),"",IF(AD440&lt;=0.25,"Tipo 1 (≤0,25) uT",IF(AD440&lt;=0.5,"Tipo 2 (0,25-0,50) uT",IF(AD440&lt;=0.75,"Tipo 3 (0,50-0,75) uT","Tipo 4 (&gt;0,75) uT"))))</f>
        <v>Tipo 1 (≤0,25) uT</v>
      </c>
      <c r="BD440" s="137" t="str">
        <f>IF(OR(AO440="",AY440="-"),"",IF(AO440&lt;=0.25,"Tipo 1 (≤0,25) uT",IF(AO440&lt;=0.5,"Tipo 2 (0,25-0,50) uT",IF(AO440&lt;=0.75,"Tipo 3 (0,50-0,75) uT","Tipo 4 (&gt;0,75) uT"))))</f>
        <v>Tipo 1 (≤0,25) uT</v>
      </c>
      <c r="BE440" s="137" t="str">
        <f>IF(OR(AE440="",AP440="-"),"",IF(AE440&lt;=0.25,"Tipo 1 (≤0,25) uT",IF(AE440&lt;=0.5,"Tipo 2 (0,25-0,50) uT",IF(AE440&lt;=0.75,"Tipo 3 (0,50-0,75) uT","Tipo 4 (&gt;0,75) uT"))))</f>
        <v>Tipo 1 (≤0,25) uT</v>
      </c>
      <c r="BF440" s="137" t="str">
        <f>IF(OR(AP440="",AP440="-"),"",IF(AP440&lt;=0.25,"Tipo 1 (≤0,25) uT",IF(AP440&lt;=0.5,"Tipo 2 (0,25-0,50) uT",IF(AP440&lt;=0.75,"Tipo 3 (0,50-0,75) uT","Tipo 4 (&gt;0,75) uT"))))</f>
        <v>Tipo 2 (0,25-0,50) uT</v>
      </c>
      <c r="BG440" s="137" t="str">
        <f>IF(OR(Q440="",Q440="-"),"",IF(Q440&lt;=0.25,"Tipo 1 (≤0,25) uT",IF(Q440&lt;=0.5,"Tipo 2 (0,25-0,50) uT",IF(Q440&lt;=0.75,"Tipo 3 (0,50-0,75) uT","Tipo 4 (&gt;0,75) uT"))))</f>
        <v>Tipo 1 (≤0,25) uT</v>
      </c>
    </row>
    <row r="441" spans="1:59" x14ac:dyDescent="0.3">
      <c r="A441" s="26">
        <v>46172</v>
      </c>
      <c r="B441" s="107">
        <v>0.64583333333333337</v>
      </c>
      <c r="C441" s="116">
        <v>1872</v>
      </c>
      <c r="D441" s="116">
        <v>82</v>
      </c>
      <c r="E441" s="116">
        <v>550</v>
      </c>
      <c r="F441" s="116">
        <v>1208</v>
      </c>
      <c r="G441" s="10" t="s">
        <v>100</v>
      </c>
      <c r="H441" s="122">
        <v>7.3</v>
      </c>
      <c r="I441" s="116">
        <v>90</v>
      </c>
      <c r="J441" s="116">
        <v>90</v>
      </c>
      <c r="K441" s="116">
        <v>90</v>
      </c>
      <c r="L441" s="122">
        <v>22.9</v>
      </c>
      <c r="M441" s="122">
        <v>6.7</v>
      </c>
      <c r="N441" s="79">
        <v>2.5</v>
      </c>
      <c r="O441" s="116">
        <v>12</v>
      </c>
      <c r="P441" s="122">
        <v>7.6</v>
      </c>
      <c r="Q441" s="79">
        <v>7.0000000000000007E-2</v>
      </c>
      <c r="R441" s="79">
        <v>22.36</v>
      </c>
      <c r="S441" s="79">
        <v>0.88</v>
      </c>
      <c r="T441" s="79">
        <v>0.7</v>
      </c>
      <c r="U441" s="85">
        <f t="shared" si="58"/>
        <v>745.93999999999994</v>
      </c>
      <c r="V441" s="79">
        <f t="shared" si="59"/>
        <v>1364.8909147743998</v>
      </c>
      <c r="W441" s="79">
        <f t="shared" si="60"/>
        <v>1.8297596519484138</v>
      </c>
      <c r="X441" s="116">
        <v>2</v>
      </c>
      <c r="Y441" s="116">
        <v>4</v>
      </c>
      <c r="Z441" s="122">
        <v>6.48</v>
      </c>
      <c r="AA441" s="116">
        <v>16.97</v>
      </c>
      <c r="AB441" s="122">
        <v>6.6</v>
      </c>
      <c r="AC441" s="122">
        <v>5.5</v>
      </c>
      <c r="AD441" s="10">
        <v>0.21</v>
      </c>
      <c r="AE441" s="79">
        <v>0.19</v>
      </c>
      <c r="AF441" s="85">
        <f t="shared" si="61"/>
        <v>994.58666666666659</v>
      </c>
      <c r="AG441" s="85">
        <f t="shared" si="62"/>
        <v>1914.9593120527993</v>
      </c>
      <c r="AH441" s="85">
        <f t="shared" si="63"/>
        <v>1.9253820468665035</v>
      </c>
      <c r="AI441" s="116">
        <v>2</v>
      </c>
      <c r="AJ441" s="116">
        <v>3</v>
      </c>
      <c r="AK441" s="79">
        <v>6.43</v>
      </c>
      <c r="AL441" s="79">
        <v>24.04</v>
      </c>
      <c r="AM441" s="122">
        <v>6.8</v>
      </c>
      <c r="AN441" s="122">
        <v>6.2</v>
      </c>
      <c r="AO441" s="79">
        <v>0.12</v>
      </c>
      <c r="AP441" s="127">
        <v>0.23</v>
      </c>
      <c r="AQ441" s="132">
        <f t="shared" si="54"/>
        <v>2504</v>
      </c>
      <c r="AR441" s="134">
        <f t="shared" si="55"/>
        <v>0.74760383386581475</v>
      </c>
      <c r="AS441" s="134">
        <f t="shared" si="56"/>
        <v>3.2747603833865817E-2</v>
      </c>
      <c r="AT441" s="134">
        <f t="shared" si="57"/>
        <v>0.21964856230031948</v>
      </c>
      <c r="AU441" s="43">
        <f>IF(AND(F441&lt;&gt;"",Y441&lt;&gt;""),AA441/(F441/2/Y441),"")</f>
        <v>0.11238410596026489</v>
      </c>
      <c r="AV441" s="43">
        <f>IF(AND(F441&lt;&gt;"",AJ441&lt;&gt;""),AL441/(F441/2/AJ441),"")</f>
        <v>0.11940397350993376</v>
      </c>
      <c r="AW441" s="41">
        <f>IF(AND(AP441&lt;&gt;"",1-(AP441/N441)&gt;0),1-(AP441/N441),"")</f>
        <v>0.90800000000000003</v>
      </c>
      <c r="AX441" s="41">
        <f>IF(AND(AE441&lt;&gt;"",1-(AE441/N441)&gt;0),1-(AE441/N441),"")</f>
        <v>0.92400000000000004</v>
      </c>
      <c r="AY441" s="136" t="str">
        <f>IF(P441="","",IF(P441&lt;2.5,"Alc. Bruta &lt; 2,5 mg/L",IF(P441&lt;5,"2,5 ≤ Alc. Bruta &lt; 5,0 mg/L",IF(P441&lt;7.5,"5,0 ≤ Alc. Bruta &lt; 7,5 mg/L",IF(P441&lt;10,"7,5 ≤ Alc. Bruta &lt; 10,0 mg/L",IF(P441&lt;15,"10,0 ≤ Alca. Bruta &lt; 15,0 mg/L","Alc. Bruta &gt; 15 mg/L"))))))</f>
        <v>7,5 ≤ Alc. Bruta &lt; 10,0 mg/L</v>
      </c>
      <c r="AZ441" s="136" t="str">
        <f>IF(O441="","",IF(O441&lt;5,"Cor &lt;5 uC",IF(O441&lt;10,"5 ≤ Cor &lt; 10 uC",IF(O441&lt;15,"10 ≤ Cor &lt;15 uC",IF(O441&lt;30,"15 ≤ Cor &lt; 30 uC",IF(O441&lt;50,"30 ≤ Cor &lt; 50 uC","Cor &gt; 50 uC"))))))</f>
        <v>10 ≤ Cor &lt;15 uC</v>
      </c>
      <c r="BA441" s="137" t="str">
        <f>IF(N441="","",IF(N441&lt;2.5,"Turbidez &lt; 2,5 uT",IF(N441&lt;5,"2,5 ≤ Turb &lt; 5,0 uT",IF(N441&lt;7.5,"5,0 ≤ Turb &lt; 7,5 uT",IF(N441&lt;10,"7,5 ≤ Turb &lt; 10,0 uT",IF(N441&lt;15,"10,0 ≤ Turb &lt; 15,0 uT","Turb &gt; 15 uT"))))))</f>
        <v>2,5 ≤ Turb &lt; 5,0 uT</v>
      </c>
      <c r="BB441" s="138" t="str">
        <f>IF(AND(C441&gt;D441,D441&gt;E441),"TOR &gt; SM &gt; BNN",IF(AND(C441&gt;E441,E441&gt;D441),"TOR &gt; BNN &gt; SM",IF(AND(D441&gt;C441,C441&gt;E441),"SM &gt; TOR &gt; BNN",IF(AND(D441&gt;E441,E441&gt;C441),"SM &gt; BNN &gt; TOR",IF(AND(C441=D441,D441=E441),"TOR = SM = BNN","Comb. diferentes")))))</f>
        <v>TOR &gt; BNN &gt; SM</v>
      </c>
      <c r="BC441" s="137" t="str">
        <f>IF(OR(AD441="",AP441="-"),"",IF(AD441&lt;=0.25,"Tipo 1 (≤0,25) uT",IF(AD441&lt;=0.5,"Tipo 2 (0,25-0,50) uT",IF(AD441&lt;=0.75,"Tipo 3 (0,50-0,75) uT","Tipo 4 (&gt;0,75) uT"))))</f>
        <v>Tipo 1 (≤0,25) uT</v>
      </c>
      <c r="BD441" s="137" t="str">
        <f>IF(OR(AO441="",AY441="-"),"",IF(AO441&lt;=0.25,"Tipo 1 (≤0,25) uT",IF(AO441&lt;=0.5,"Tipo 2 (0,25-0,50) uT",IF(AO441&lt;=0.75,"Tipo 3 (0,50-0,75) uT","Tipo 4 (&gt;0,75) uT"))))</f>
        <v>Tipo 1 (≤0,25) uT</v>
      </c>
      <c r="BE441" s="137" t="str">
        <f>IF(OR(AE441="",AP441="-"),"",IF(AE441&lt;=0.25,"Tipo 1 (≤0,25) uT",IF(AE441&lt;=0.5,"Tipo 2 (0,25-0,50) uT",IF(AE441&lt;=0.75,"Tipo 3 (0,50-0,75) uT","Tipo 4 (&gt;0,75) uT"))))</f>
        <v>Tipo 1 (≤0,25) uT</v>
      </c>
      <c r="BF441" s="137" t="str">
        <f>IF(OR(AP441="",AP441="-"),"",IF(AP441&lt;=0.25,"Tipo 1 (≤0,25) uT",IF(AP441&lt;=0.5,"Tipo 2 (0,25-0,50) uT",IF(AP441&lt;=0.75,"Tipo 3 (0,50-0,75) uT","Tipo 4 (&gt;0,75) uT"))))</f>
        <v>Tipo 1 (≤0,25) uT</v>
      </c>
      <c r="BG441" s="137" t="str">
        <f>IF(OR(Q441="",Q441="-"),"",IF(Q441&lt;=0.25,"Tipo 1 (≤0,25) uT",IF(Q441&lt;=0.5,"Tipo 2 (0,25-0,50) uT",IF(Q441&lt;=0.75,"Tipo 3 (0,50-0,75) uT","Tipo 4 (&gt;0,75) uT"))))</f>
        <v>Tipo 1 (≤0,25) uT</v>
      </c>
    </row>
    <row r="442" spans="1:59" x14ac:dyDescent="0.3">
      <c r="A442" s="26">
        <v>46172</v>
      </c>
      <c r="B442" s="107">
        <v>0.72916666666666663</v>
      </c>
      <c r="C442" s="116">
        <v>1802</v>
      </c>
      <c r="D442" s="116">
        <v>76</v>
      </c>
      <c r="E442" s="116">
        <v>550</v>
      </c>
      <c r="F442" s="116">
        <v>1156</v>
      </c>
      <c r="G442" s="10" t="s">
        <v>100</v>
      </c>
      <c r="H442" s="122">
        <v>7.3</v>
      </c>
      <c r="I442" s="116">
        <v>90</v>
      </c>
      <c r="J442" s="116">
        <v>90</v>
      </c>
      <c r="K442" s="116">
        <v>90</v>
      </c>
      <c r="L442" s="122">
        <v>23</v>
      </c>
      <c r="M442" s="122">
        <v>6.8</v>
      </c>
      <c r="N442" s="79">
        <v>2.46</v>
      </c>
      <c r="O442" s="116">
        <v>11</v>
      </c>
      <c r="P442" s="122">
        <v>7.6</v>
      </c>
      <c r="Q442" s="79">
        <v>7.0000000000000007E-2</v>
      </c>
      <c r="R442" s="79">
        <v>22.36</v>
      </c>
      <c r="S442" s="79">
        <v>0.88</v>
      </c>
      <c r="T442" s="79">
        <v>0.7</v>
      </c>
      <c r="U442" s="85">
        <f t="shared" si="58"/>
        <v>708.05000000000007</v>
      </c>
      <c r="V442" s="79">
        <f t="shared" si="59"/>
        <v>1387.1272514528</v>
      </c>
      <c r="W442" s="79">
        <f t="shared" si="60"/>
        <v>1.9590809285400748</v>
      </c>
      <c r="X442" s="116">
        <v>2</v>
      </c>
      <c r="Y442" s="116">
        <v>4</v>
      </c>
      <c r="Z442" s="122">
        <v>6.44</v>
      </c>
      <c r="AA442" s="116">
        <v>17.38</v>
      </c>
      <c r="AB442" s="122">
        <v>6.7</v>
      </c>
      <c r="AC442" s="122">
        <v>5.3</v>
      </c>
      <c r="AD442" s="10">
        <v>0.17</v>
      </c>
      <c r="AE442" s="79">
        <v>0.19</v>
      </c>
      <c r="AF442" s="85">
        <f t="shared" si="61"/>
        <v>944.06666666666672</v>
      </c>
      <c r="AG442" s="85">
        <f t="shared" si="62"/>
        <v>1931.9198451903997</v>
      </c>
      <c r="AH442" s="85">
        <f t="shared" si="63"/>
        <v>2.0463807413216575</v>
      </c>
      <c r="AI442" s="116">
        <v>2</v>
      </c>
      <c r="AJ442" s="116">
        <v>3</v>
      </c>
      <c r="AK442" s="79">
        <v>6.48</v>
      </c>
      <c r="AL442" s="79">
        <v>24.02</v>
      </c>
      <c r="AM442" s="122">
        <v>6.7</v>
      </c>
      <c r="AN442" s="122">
        <v>6</v>
      </c>
      <c r="AO442" s="79">
        <v>0.14000000000000001</v>
      </c>
      <c r="AP442" s="127">
        <v>0.21</v>
      </c>
      <c r="AQ442" s="132">
        <f t="shared" si="54"/>
        <v>2428</v>
      </c>
      <c r="AR442" s="134">
        <f t="shared" si="55"/>
        <v>0.74217462932454692</v>
      </c>
      <c r="AS442" s="134">
        <f t="shared" si="56"/>
        <v>3.130148270181219E-2</v>
      </c>
      <c r="AT442" s="134">
        <f t="shared" si="57"/>
        <v>0.22652388797364087</v>
      </c>
      <c r="AU442" s="43">
        <f>IF(AND(F442&lt;&gt;"",Y442&lt;&gt;""),AA442/(F442/2/Y442),"")</f>
        <v>0.12027681660899653</v>
      </c>
      <c r="AV442" s="43">
        <f>IF(AND(F442&lt;&gt;"",AJ442&lt;&gt;""),AL442/(F442/2/AJ442),"")</f>
        <v>0.12467128027681661</v>
      </c>
      <c r="AW442" s="41">
        <f>IF(AND(AP442&lt;&gt;"",1-(AP442/N442)&gt;0),1-(AP442/N442),"")</f>
        <v>0.91463414634146345</v>
      </c>
      <c r="AX442" s="41">
        <f>IF(AND(AE442&lt;&gt;"",1-(AE442/N442)&gt;0),1-(AE442/N442),"")</f>
        <v>0.92276422764227639</v>
      </c>
      <c r="AY442" s="136" t="str">
        <f>IF(P442="","",IF(P442&lt;2.5,"Alc. Bruta &lt; 2,5 mg/L",IF(P442&lt;5,"2,5 ≤ Alc. Bruta &lt; 5,0 mg/L",IF(P442&lt;7.5,"5,0 ≤ Alc. Bruta &lt; 7,5 mg/L",IF(P442&lt;10,"7,5 ≤ Alc. Bruta &lt; 10,0 mg/L",IF(P442&lt;15,"10,0 ≤ Alca. Bruta &lt; 15,0 mg/L","Alc. Bruta &gt; 15 mg/L"))))))</f>
        <v>7,5 ≤ Alc. Bruta &lt; 10,0 mg/L</v>
      </c>
      <c r="AZ442" s="136" t="str">
        <f>IF(O442="","",IF(O442&lt;5,"Cor &lt;5 uC",IF(O442&lt;10,"5 ≤ Cor &lt; 10 uC",IF(O442&lt;15,"10 ≤ Cor &lt;15 uC",IF(O442&lt;30,"15 ≤ Cor &lt; 30 uC",IF(O442&lt;50,"30 ≤ Cor &lt; 50 uC","Cor &gt; 50 uC"))))))</f>
        <v>10 ≤ Cor &lt;15 uC</v>
      </c>
      <c r="BA442" s="137" t="str">
        <f>IF(N442="","",IF(N442&lt;2.5,"Turbidez &lt; 2,5 uT",IF(N442&lt;5,"2,5 ≤ Turb &lt; 5,0 uT",IF(N442&lt;7.5,"5,0 ≤ Turb &lt; 7,5 uT",IF(N442&lt;10,"7,5 ≤ Turb &lt; 10,0 uT",IF(N442&lt;15,"10,0 ≤ Turb &lt; 15,0 uT","Turb &gt; 15 uT"))))))</f>
        <v>Turbidez &lt; 2,5 uT</v>
      </c>
      <c r="BB442" s="138" t="str">
        <f>IF(AND(C442&gt;D442,D442&gt;E442),"TOR &gt; SM &gt; BNN",IF(AND(C442&gt;E442,E442&gt;D442),"TOR &gt; BNN &gt; SM",IF(AND(D442&gt;C442,C442&gt;E442),"SM &gt; TOR &gt; BNN",IF(AND(D442&gt;E442,E442&gt;C442),"SM &gt; BNN &gt; TOR",IF(AND(C442=D442,D442=E442),"TOR = SM = BNN","Comb. diferentes")))))</f>
        <v>TOR &gt; BNN &gt; SM</v>
      </c>
      <c r="BC442" s="137" t="str">
        <f>IF(OR(AD442="",AP442="-"),"",IF(AD442&lt;=0.25,"Tipo 1 (≤0,25) uT",IF(AD442&lt;=0.5,"Tipo 2 (0,25-0,50) uT",IF(AD442&lt;=0.75,"Tipo 3 (0,50-0,75) uT","Tipo 4 (&gt;0,75) uT"))))</f>
        <v>Tipo 1 (≤0,25) uT</v>
      </c>
      <c r="BD442" s="137" t="str">
        <f>IF(OR(AO442="",AY442="-"),"",IF(AO442&lt;=0.25,"Tipo 1 (≤0,25) uT",IF(AO442&lt;=0.5,"Tipo 2 (0,25-0,50) uT",IF(AO442&lt;=0.75,"Tipo 3 (0,50-0,75) uT","Tipo 4 (&gt;0,75) uT"))))</f>
        <v>Tipo 1 (≤0,25) uT</v>
      </c>
      <c r="BE442" s="137" t="str">
        <f>IF(OR(AE442="",AP442="-"),"",IF(AE442&lt;=0.25,"Tipo 1 (≤0,25) uT",IF(AE442&lt;=0.5,"Tipo 2 (0,25-0,50) uT",IF(AE442&lt;=0.75,"Tipo 3 (0,50-0,75) uT","Tipo 4 (&gt;0,75) uT"))))</f>
        <v>Tipo 1 (≤0,25) uT</v>
      </c>
      <c r="BF442" s="137" t="str">
        <f>IF(OR(AP442="",AP442="-"),"",IF(AP442&lt;=0.25,"Tipo 1 (≤0,25) uT",IF(AP442&lt;=0.5,"Tipo 2 (0,25-0,50) uT",IF(AP442&lt;=0.75,"Tipo 3 (0,50-0,75) uT","Tipo 4 (&gt;0,75) uT"))))</f>
        <v>Tipo 1 (≤0,25) uT</v>
      </c>
      <c r="BG442" s="137" t="str">
        <f>IF(OR(Q442="",Q442="-"),"",IF(Q442&lt;=0.25,"Tipo 1 (≤0,25) uT",IF(Q442&lt;=0.5,"Tipo 2 (0,25-0,50) uT",IF(Q442&lt;=0.75,"Tipo 3 (0,50-0,75) uT","Tipo 4 (&gt;0,75) uT"))))</f>
        <v>Tipo 1 (≤0,25) uT</v>
      </c>
    </row>
    <row r="443" spans="1:59" x14ac:dyDescent="0.3">
      <c r="A443" s="26">
        <v>46172</v>
      </c>
      <c r="B443" s="107">
        <v>0.8125</v>
      </c>
      <c r="C443" s="116">
        <v>551</v>
      </c>
      <c r="D443" s="116">
        <v>91</v>
      </c>
      <c r="E443" s="116">
        <v>581</v>
      </c>
      <c r="F443" s="116">
        <v>1273</v>
      </c>
      <c r="G443" s="10" t="s">
        <v>100</v>
      </c>
      <c r="H443" s="122">
        <v>7.3</v>
      </c>
      <c r="I443" s="116">
        <v>90</v>
      </c>
      <c r="J443" s="116">
        <v>90</v>
      </c>
      <c r="K443" s="116">
        <v>90</v>
      </c>
      <c r="L443" s="122">
        <v>22.8</v>
      </c>
      <c r="M443" s="122">
        <v>6.8</v>
      </c>
      <c r="N443" s="79">
        <v>2.68</v>
      </c>
      <c r="O443" s="116">
        <v>16</v>
      </c>
      <c r="P443" s="122">
        <v>7.2</v>
      </c>
      <c r="Q443" s="79">
        <v>7.0000000000000007E-2</v>
      </c>
      <c r="R443" s="79">
        <v>22.36</v>
      </c>
      <c r="S443" s="79">
        <v>0.88</v>
      </c>
      <c r="T443" s="79">
        <v>0.7</v>
      </c>
      <c r="U443" s="85">
        <f t="shared" si="58"/>
        <v>1629.44</v>
      </c>
      <c r="V443" s="79">
        <f t="shared" si="59"/>
        <v>1682.5339658399996</v>
      </c>
      <c r="W443" s="79">
        <f t="shared" si="60"/>
        <v>1.0325841797427335</v>
      </c>
      <c r="X443" s="116">
        <v>2</v>
      </c>
      <c r="Y443" s="116">
        <v>2</v>
      </c>
      <c r="Z443" s="122">
        <v>6.46</v>
      </c>
      <c r="AA443" s="116">
        <v>21</v>
      </c>
      <c r="AB443" s="122">
        <v>6.6</v>
      </c>
      <c r="AC443" s="122">
        <v>7.2</v>
      </c>
      <c r="AD443" s="10">
        <v>0.13</v>
      </c>
      <c r="AE443" s="79">
        <v>0.18</v>
      </c>
      <c r="AF443" s="85">
        <f t="shared" si="61"/>
        <v>1086.2933333333333</v>
      </c>
      <c r="AG443" s="85">
        <f t="shared" si="62"/>
        <v>1930.3112524799999</v>
      </c>
      <c r="AH443" s="85">
        <f t="shared" si="63"/>
        <v>1.7769705412411625</v>
      </c>
      <c r="AI443" s="116">
        <v>2</v>
      </c>
      <c r="AJ443" s="116">
        <v>3</v>
      </c>
      <c r="AK443" s="79">
        <v>6.48</v>
      </c>
      <c r="AL443" s="79">
        <v>24</v>
      </c>
      <c r="AM443" s="122">
        <v>6.5</v>
      </c>
      <c r="AN443" s="122">
        <v>7.4</v>
      </c>
      <c r="AO443" s="79">
        <v>0.18</v>
      </c>
      <c r="AP443" s="127">
        <v>0.25</v>
      </c>
      <c r="AQ443" s="132">
        <f t="shared" si="54"/>
        <v>1223</v>
      </c>
      <c r="AR443" s="134">
        <f t="shared" si="55"/>
        <v>0.45053147996729354</v>
      </c>
      <c r="AS443" s="134">
        <f t="shared" si="56"/>
        <v>7.4407195421095668E-2</v>
      </c>
      <c r="AT443" s="134">
        <f t="shared" si="57"/>
        <v>0.47506132461161077</v>
      </c>
      <c r="AU443" s="43">
        <f>IF(AND(F443&lt;&gt;"",Y443&lt;&gt;""),AA443/(F443/2/Y443),"")</f>
        <v>6.5985860172820113E-2</v>
      </c>
      <c r="AV443" s="43">
        <f>IF(AND(F443&lt;&gt;"",AJ443&lt;&gt;""),AL443/(F443/2/AJ443),"")</f>
        <v>0.11311861743912019</v>
      </c>
      <c r="AW443" s="41">
        <f>IF(AND(AP443&lt;&gt;"",1-(AP443/N443)&gt;0),1-(AP443/N443),"")</f>
        <v>0.90671641791044777</v>
      </c>
      <c r="AX443" s="41">
        <f>IF(AND(AE443&lt;&gt;"",1-(AE443/N443)&gt;0),1-(AE443/N443),"")</f>
        <v>0.93283582089552242</v>
      </c>
      <c r="AY443" s="136" t="str">
        <f>IF(P443="","",IF(P443&lt;2.5,"Alc. Bruta &lt; 2,5 mg/L",IF(P443&lt;5,"2,5 ≤ Alc. Bruta &lt; 5,0 mg/L",IF(P443&lt;7.5,"5,0 ≤ Alc. Bruta &lt; 7,5 mg/L",IF(P443&lt;10,"7,5 ≤ Alc. Bruta &lt; 10,0 mg/L",IF(P443&lt;15,"10,0 ≤ Alca. Bruta &lt; 15,0 mg/L","Alc. Bruta &gt; 15 mg/L"))))))</f>
        <v>5,0 ≤ Alc. Bruta &lt; 7,5 mg/L</v>
      </c>
      <c r="AZ443" s="136" t="str">
        <f>IF(O443="","",IF(O443&lt;5,"Cor &lt;5 uC",IF(O443&lt;10,"5 ≤ Cor &lt; 10 uC",IF(O443&lt;15,"10 ≤ Cor &lt;15 uC",IF(O443&lt;30,"15 ≤ Cor &lt; 30 uC",IF(O443&lt;50,"30 ≤ Cor &lt; 50 uC","Cor &gt; 50 uC"))))))</f>
        <v>15 ≤ Cor &lt; 30 uC</v>
      </c>
      <c r="BA443" s="137" t="str">
        <f>IF(N443="","",IF(N443&lt;2.5,"Turbidez &lt; 2,5 uT",IF(N443&lt;5,"2,5 ≤ Turb &lt; 5,0 uT",IF(N443&lt;7.5,"5,0 ≤ Turb &lt; 7,5 uT",IF(N443&lt;10,"7,5 ≤ Turb &lt; 10,0 uT",IF(N443&lt;15,"10,0 ≤ Turb &lt; 15,0 uT","Turb &gt; 15 uT"))))))</f>
        <v>2,5 ≤ Turb &lt; 5,0 uT</v>
      </c>
      <c r="BB443" s="138" t="str">
        <f>IF(AND(C443&gt;D443,D443&gt;E443),"TOR &gt; SM &gt; BNN",IF(AND(C443&gt;E443,E443&gt;D443),"TOR &gt; BNN &gt; SM",IF(AND(D443&gt;C443,C443&gt;E443),"SM &gt; TOR &gt; BNN",IF(AND(D443&gt;E443,E443&gt;C443),"SM &gt; BNN &gt; TOR",IF(AND(C443=D443,D443=E443),"TOR = SM = BNN","Comb. diferentes")))))</f>
        <v>Comb. diferentes</v>
      </c>
      <c r="BC443" s="137" t="str">
        <f>IF(OR(AD443="",AP443="-"),"",IF(AD443&lt;=0.25,"Tipo 1 (≤0,25) uT",IF(AD443&lt;=0.5,"Tipo 2 (0,25-0,50) uT",IF(AD443&lt;=0.75,"Tipo 3 (0,50-0,75) uT","Tipo 4 (&gt;0,75) uT"))))</f>
        <v>Tipo 1 (≤0,25) uT</v>
      </c>
      <c r="BD443" s="137" t="str">
        <f>IF(OR(AO443="",AY443="-"),"",IF(AO443&lt;=0.25,"Tipo 1 (≤0,25) uT",IF(AO443&lt;=0.5,"Tipo 2 (0,25-0,50) uT",IF(AO443&lt;=0.75,"Tipo 3 (0,50-0,75) uT","Tipo 4 (&gt;0,75) uT"))))</f>
        <v>Tipo 1 (≤0,25) uT</v>
      </c>
      <c r="BE443" s="137" t="str">
        <f>IF(OR(AE443="",AP443="-"),"",IF(AE443&lt;=0.25,"Tipo 1 (≤0,25) uT",IF(AE443&lt;=0.5,"Tipo 2 (0,25-0,50) uT",IF(AE443&lt;=0.75,"Tipo 3 (0,50-0,75) uT","Tipo 4 (&gt;0,75) uT"))))</f>
        <v>Tipo 1 (≤0,25) uT</v>
      </c>
      <c r="BF443" s="137" t="str">
        <f>IF(OR(AP443="",AP443="-"),"",IF(AP443&lt;=0.25,"Tipo 1 (≤0,25) uT",IF(AP443&lt;=0.5,"Tipo 2 (0,25-0,50) uT",IF(AP443&lt;=0.75,"Tipo 3 (0,50-0,75) uT","Tipo 4 (&gt;0,75) uT"))))</f>
        <v>Tipo 1 (≤0,25) uT</v>
      </c>
      <c r="BG443" s="137" t="str">
        <f>IF(OR(Q443="",Q443="-"),"",IF(Q443&lt;=0.25,"Tipo 1 (≤0,25) uT",IF(Q443&lt;=0.5,"Tipo 2 (0,25-0,50) uT",IF(Q443&lt;=0.75,"Tipo 3 (0,50-0,75) uT","Tipo 4 (&gt;0,75) uT"))))</f>
        <v>Tipo 1 (≤0,25) uT</v>
      </c>
    </row>
    <row r="444" spans="1:59" x14ac:dyDescent="0.3">
      <c r="A444" s="26">
        <v>46172</v>
      </c>
      <c r="B444" s="107">
        <v>0.89583333333333337</v>
      </c>
      <c r="C444" s="116">
        <v>567</v>
      </c>
      <c r="D444" s="116">
        <v>89</v>
      </c>
      <c r="E444" s="116">
        <v>551</v>
      </c>
      <c r="F444" s="116">
        <v>1267</v>
      </c>
      <c r="G444" s="10" t="s">
        <v>100</v>
      </c>
      <c r="H444" s="122">
        <v>7.3</v>
      </c>
      <c r="I444" s="116">
        <v>90</v>
      </c>
      <c r="J444" s="116">
        <v>90</v>
      </c>
      <c r="K444" s="116">
        <v>90</v>
      </c>
      <c r="L444" s="122">
        <v>22.6</v>
      </c>
      <c r="M444" s="122">
        <v>6.9</v>
      </c>
      <c r="N444" s="79">
        <v>2.36</v>
      </c>
      <c r="O444" s="116">
        <v>16</v>
      </c>
      <c r="P444" s="122">
        <v>8.1</v>
      </c>
      <c r="Q444" s="79">
        <v>0.06</v>
      </c>
      <c r="R444" s="79">
        <v>22.36</v>
      </c>
      <c r="S444" s="79">
        <v>0.88</v>
      </c>
      <c r="T444" s="79">
        <v>0.7</v>
      </c>
      <c r="U444" s="85">
        <f t="shared" si="58"/>
        <v>1520.3999999999999</v>
      </c>
      <c r="V444" s="79">
        <f t="shared" si="59"/>
        <v>1599.3235959999997</v>
      </c>
      <c r="W444" s="79">
        <f t="shared" si="60"/>
        <v>1.051909757958432</v>
      </c>
      <c r="X444" s="116">
        <v>2</v>
      </c>
      <c r="Y444" s="116">
        <v>2</v>
      </c>
      <c r="Z444" s="122">
        <v>6.45</v>
      </c>
      <c r="AA444" s="116">
        <v>20</v>
      </c>
      <c r="AB444" s="122">
        <v>6.6</v>
      </c>
      <c r="AC444" s="122">
        <v>7.1</v>
      </c>
      <c r="AD444" s="10">
        <v>0.13</v>
      </c>
      <c r="AE444" s="79">
        <v>0.24</v>
      </c>
      <c r="AF444" s="85">
        <f t="shared" si="61"/>
        <v>1013.5999999999999</v>
      </c>
      <c r="AG444" s="85">
        <f t="shared" si="62"/>
        <v>1856.9879380000002</v>
      </c>
      <c r="AH444" s="85">
        <f t="shared" si="63"/>
        <v>1.8320717620363065</v>
      </c>
      <c r="AI444" s="116">
        <v>2</v>
      </c>
      <c r="AJ444" s="116">
        <v>3</v>
      </c>
      <c r="AK444" s="79">
        <v>6.5</v>
      </c>
      <c r="AL444" s="79">
        <v>23</v>
      </c>
      <c r="AM444" s="122">
        <v>6.8</v>
      </c>
      <c r="AN444" s="122">
        <v>7.2</v>
      </c>
      <c r="AO444" s="79">
        <v>0.19</v>
      </c>
      <c r="AP444" s="127">
        <v>0.21</v>
      </c>
      <c r="AQ444" s="132">
        <f t="shared" si="54"/>
        <v>1207</v>
      </c>
      <c r="AR444" s="134">
        <f t="shared" si="55"/>
        <v>0.46975973487986744</v>
      </c>
      <c r="AS444" s="134">
        <f t="shared" si="56"/>
        <v>7.3736536868268435E-2</v>
      </c>
      <c r="AT444" s="134">
        <f t="shared" si="57"/>
        <v>0.45650372825186414</v>
      </c>
      <c r="AU444" s="43">
        <f>IF(AND(F444&lt;&gt;"",Y444&lt;&gt;""),AA444/(F444/2/Y444),"")</f>
        <v>6.3141278610891874E-2</v>
      </c>
      <c r="AV444" s="43">
        <f>IF(AND(F444&lt;&gt;"",AJ444&lt;&gt;""),AL444/(F444/2/AJ444),"")</f>
        <v>0.10891870560378848</v>
      </c>
      <c r="AW444" s="41">
        <f>IF(AND(AP444&lt;&gt;"",1-(AP444/N444)&gt;0),1-(AP444/N444),"")</f>
        <v>0.91101694915254239</v>
      </c>
      <c r="AX444" s="41">
        <f>IF(AND(AE444&lt;&gt;"",1-(AE444/N444)&gt;0),1-(AE444/N444),"")</f>
        <v>0.89830508474576276</v>
      </c>
      <c r="AY444" s="136" t="str">
        <f>IF(P444="","",IF(P444&lt;2.5,"Alc. Bruta &lt; 2,5 mg/L",IF(P444&lt;5,"2,5 ≤ Alc. Bruta &lt; 5,0 mg/L",IF(P444&lt;7.5,"5,0 ≤ Alc. Bruta &lt; 7,5 mg/L",IF(P444&lt;10,"7,5 ≤ Alc. Bruta &lt; 10,0 mg/L",IF(P444&lt;15,"10,0 ≤ Alca. Bruta &lt; 15,0 mg/L","Alc. Bruta &gt; 15 mg/L"))))))</f>
        <v>7,5 ≤ Alc. Bruta &lt; 10,0 mg/L</v>
      </c>
      <c r="AZ444" s="136" t="str">
        <f>IF(O444="","",IF(O444&lt;5,"Cor &lt;5 uC",IF(O444&lt;10,"5 ≤ Cor &lt; 10 uC",IF(O444&lt;15,"10 ≤ Cor &lt;15 uC",IF(O444&lt;30,"15 ≤ Cor &lt; 30 uC",IF(O444&lt;50,"30 ≤ Cor &lt; 50 uC","Cor &gt; 50 uC"))))))</f>
        <v>15 ≤ Cor &lt; 30 uC</v>
      </c>
      <c r="BA444" s="137" t="str">
        <f>IF(N444="","",IF(N444&lt;2.5,"Turbidez &lt; 2,5 uT",IF(N444&lt;5,"2,5 ≤ Turb &lt; 5,0 uT",IF(N444&lt;7.5,"5,0 ≤ Turb &lt; 7,5 uT",IF(N444&lt;10,"7,5 ≤ Turb &lt; 10,0 uT",IF(N444&lt;15,"10,0 ≤ Turb &lt; 15,0 uT","Turb &gt; 15 uT"))))))</f>
        <v>Turbidez &lt; 2,5 uT</v>
      </c>
      <c r="BB444" s="138" t="str">
        <f>IF(AND(C444&gt;D444,D444&gt;E444),"TOR &gt; SM &gt; BNN",IF(AND(C444&gt;E444,E444&gt;D444),"TOR &gt; BNN &gt; SM",IF(AND(D444&gt;C444,C444&gt;E444),"SM &gt; TOR &gt; BNN",IF(AND(D444&gt;E444,E444&gt;C444),"SM &gt; BNN &gt; TOR",IF(AND(C444=D444,D444=E444),"TOR = SM = BNN","Comb. diferentes")))))</f>
        <v>TOR &gt; BNN &gt; SM</v>
      </c>
      <c r="BC444" s="137" t="str">
        <f>IF(OR(AD444="",AP444="-"),"",IF(AD444&lt;=0.25,"Tipo 1 (≤0,25) uT",IF(AD444&lt;=0.5,"Tipo 2 (0,25-0,50) uT",IF(AD444&lt;=0.75,"Tipo 3 (0,50-0,75) uT","Tipo 4 (&gt;0,75) uT"))))</f>
        <v>Tipo 1 (≤0,25) uT</v>
      </c>
      <c r="BD444" s="137" t="str">
        <f>IF(OR(AO444="",AY444="-"),"",IF(AO444&lt;=0.25,"Tipo 1 (≤0,25) uT",IF(AO444&lt;=0.5,"Tipo 2 (0,25-0,50) uT",IF(AO444&lt;=0.75,"Tipo 3 (0,50-0,75) uT","Tipo 4 (&gt;0,75) uT"))))</f>
        <v>Tipo 1 (≤0,25) uT</v>
      </c>
      <c r="BE444" s="137" t="str">
        <f>IF(OR(AE444="",AP444="-"),"",IF(AE444&lt;=0.25,"Tipo 1 (≤0,25) uT",IF(AE444&lt;=0.5,"Tipo 2 (0,25-0,50) uT",IF(AE444&lt;=0.75,"Tipo 3 (0,50-0,75) uT","Tipo 4 (&gt;0,75) uT"))))</f>
        <v>Tipo 1 (≤0,25) uT</v>
      </c>
      <c r="BF444" s="137" t="str">
        <f>IF(OR(AP444="",AP444="-"),"",IF(AP444&lt;=0.25,"Tipo 1 (≤0,25) uT",IF(AP444&lt;=0.5,"Tipo 2 (0,25-0,50) uT",IF(AP444&lt;=0.75,"Tipo 3 (0,50-0,75) uT","Tipo 4 (&gt;0,75) uT"))))</f>
        <v>Tipo 1 (≤0,25) uT</v>
      </c>
      <c r="BG444" s="137" t="str">
        <f>IF(OR(Q444="",Q444="-"),"",IF(Q444&lt;=0.25,"Tipo 1 (≤0,25) uT",IF(Q444&lt;=0.5,"Tipo 2 (0,25-0,50) uT",IF(Q444&lt;=0.75,"Tipo 3 (0,50-0,75) uT","Tipo 4 (&gt;0,75) uT"))))</f>
        <v>Tipo 1 (≤0,25) uT</v>
      </c>
    </row>
    <row r="445" spans="1:59" x14ac:dyDescent="0.3">
      <c r="A445" s="26">
        <v>46173</v>
      </c>
      <c r="B445" s="107">
        <v>6.25E-2</v>
      </c>
      <c r="C445" s="116">
        <v>568</v>
      </c>
      <c r="D445" s="116">
        <v>88</v>
      </c>
      <c r="E445" s="116">
        <v>551</v>
      </c>
      <c r="F445" s="116">
        <v>1248</v>
      </c>
      <c r="G445" s="10" t="s">
        <v>100</v>
      </c>
      <c r="H445" s="122">
        <v>7.3</v>
      </c>
      <c r="I445" s="116">
        <v>90</v>
      </c>
      <c r="J445" s="116">
        <v>90</v>
      </c>
      <c r="K445" s="116">
        <v>90</v>
      </c>
      <c r="L445" s="122">
        <v>22.2</v>
      </c>
      <c r="M445" s="122">
        <v>6.8</v>
      </c>
      <c r="N445" s="79">
        <v>2.4300000000000002</v>
      </c>
      <c r="O445" s="116">
        <v>14</v>
      </c>
      <c r="P445" s="122">
        <v>8.6999999999999993</v>
      </c>
      <c r="Q445" s="79">
        <v>0.06</v>
      </c>
      <c r="R445" s="79">
        <v>22.36</v>
      </c>
      <c r="S445" s="79">
        <v>0.88</v>
      </c>
      <c r="T445" s="79">
        <v>0.7</v>
      </c>
      <c r="U445" s="85">
        <f t="shared" si="58"/>
        <v>1519.44</v>
      </c>
      <c r="V445" s="79">
        <f t="shared" si="59"/>
        <v>1676.0455857600002</v>
      </c>
      <c r="W445" s="79">
        <f t="shared" si="60"/>
        <v>1.1030679630390146</v>
      </c>
      <c r="X445" s="116">
        <v>2</v>
      </c>
      <c r="Y445" s="116">
        <v>2</v>
      </c>
      <c r="Z445" s="122">
        <v>6.44</v>
      </c>
      <c r="AA445" s="116">
        <v>21</v>
      </c>
      <c r="AB445" s="122">
        <v>6.4</v>
      </c>
      <c r="AC445" s="122">
        <v>7.1</v>
      </c>
      <c r="AD445" s="10">
        <v>0.19</v>
      </c>
      <c r="AE445" s="79">
        <v>0.24</v>
      </c>
      <c r="AF445" s="85">
        <f t="shared" si="61"/>
        <v>1012.96</v>
      </c>
      <c r="AG445" s="85">
        <f t="shared" si="62"/>
        <v>1853.4347774799999</v>
      </c>
      <c r="AH445" s="85">
        <f t="shared" si="63"/>
        <v>1.8297215857289526</v>
      </c>
      <c r="AI445" s="116">
        <v>2</v>
      </c>
      <c r="AJ445" s="116">
        <v>3</v>
      </c>
      <c r="AK445" s="79">
        <v>6.49</v>
      </c>
      <c r="AL445" s="79">
        <v>23</v>
      </c>
      <c r="AM445" s="122">
        <v>6.7</v>
      </c>
      <c r="AN445" s="122">
        <v>6.8</v>
      </c>
      <c r="AO445" s="79">
        <v>0.21</v>
      </c>
      <c r="AP445" s="127">
        <v>0.2</v>
      </c>
      <c r="AQ445" s="132">
        <f t="shared" si="54"/>
        <v>1207</v>
      </c>
      <c r="AR445" s="134">
        <f t="shared" si="55"/>
        <v>0.47058823529411764</v>
      </c>
      <c r="AS445" s="134">
        <f t="shared" si="56"/>
        <v>7.2908036454018221E-2</v>
      </c>
      <c r="AT445" s="134">
        <f t="shared" si="57"/>
        <v>0.45650372825186414</v>
      </c>
      <c r="AU445" s="43">
        <f>IF(AND(F445&lt;&gt;"",Y445&lt;&gt;""),AA445/(F445/2/Y445),"")</f>
        <v>6.7307692307692304E-2</v>
      </c>
      <c r="AV445" s="43">
        <f>IF(AND(F445&lt;&gt;"",AJ445&lt;&gt;""),AL445/(F445/2/AJ445),"")</f>
        <v>0.11057692307692307</v>
      </c>
      <c r="AW445" s="41">
        <f>IF(AND(AP445&lt;&gt;"",1-(AP445/N445)&gt;0),1-(AP445/N445),"")</f>
        <v>0.91769547325102885</v>
      </c>
      <c r="AX445" s="41">
        <f>IF(AND(AE445&lt;&gt;"",1-(AE445/N445)&gt;0),1-(AE445/N445),"")</f>
        <v>0.90123456790123457</v>
      </c>
      <c r="AY445" s="136" t="str">
        <f>IF(P445="","",IF(P445&lt;2.5,"Alc. Bruta &lt; 2,5 mg/L",IF(P445&lt;5,"2,5 ≤ Alc. Bruta &lt; 5,0 mg/L",IF(P445&lt;7.5,"5,0 ≤ Alc. Bruta &lt; 7,5 mg/L",IF(P445&lt;10,"7,5 ≤ Alc. Bruta &lt; 10,0 mg/L",IF(P445&lt;15,"10,0 ≤ Alca. Bruta &lt; 15,0 mg/L","Alc. Bruta &gt; 15 mg/L"))))))</f>
        <v>7,5 ≤ Alc. Bruta &lt; 10,0 mg/L</v>
      </c>
      <c r="AZ445" s="136" t="str">
        <f>IF(O445="","",IF(O445&lt;5,"Cor &lt;5 uC",IF(O445&lt;10,"5 ≤ Cor &lt; 10 uC",IF(O445&lt;15,"10 ≤ Cor &lt;15 uC",IF(O445&lt;30,"15 ≤ Cor &lt; 30 uC",IF(O445&lt;50,"30 ≤ Cor &lt; 50 uC","Cor &gt; 50 uC"))))))</f>
        <v>10 ≤ Cor &lt;15 uC</v>
      </c>
      <c r="BA445" s="137" t="str">
        <f>IF(N445="","",IF(N445&lt;2.5,"Turbidez &lt; 2,5 uT",IF(N445&lt;5,"2,5 ≤ Turb &lt; 5,0 uT",IF(N445&lt;7.5,"5,0 ≤ Turb &lt; 7,5 uT",IF(N445&lt;10,"7,5 ≤ Turb &lt; 10,0 uT",IF(N445&lt;15,"10,0 ≤ Turb &lt; 15,0 uT","Turb &gt; 15 uT"))))))</f>
        <v>Turbidez &lt; 2,5 uT</v>
      </c>
      <c r="BB445" s="138" t="str">
        <f>IF(AND(C445&gt;D445,D445&gt;E445),"TOR &gt; SM &gt; BNN",IF(AND(C445&gt;E445,E445&gt;D445),"TOR &gt; BNN &gt; SM",IF(AND(D445&gt;C445,C445&gt;E445),"SM &gt; TOR &gt; BNN",IF(AND(D445&gt;E445,E445&gt;C445),"SM &gt; BNN &gt; TOR",IF(AND(C445=D445,D445=E445),"TOR = SM = BNN","Comb. diferentes")))))</f>
        <v>TOR &gt; BNN &gt; SM</v>
      </c>
      <c r="BC445" s="137" t="str">
        <f>IF(OR(AD445="",AP445="-"),"",IF(AD445&lt;=0.25,"Tipo 1 (≤0,25) uT",IF(AD445&lt;=0.5,"Tipo 2 (0,25-0,50) uT",IF(AD445&lt;=0.75,"Tipo 3 (0,50-0,75) uT","Tipo 4 (&gt;0,75) uT"))))</f>
        <v>Tipo 1 (≤0,25) uT</v>
      </c>
      <c r="BD445" s="137" t="str">
        <f>IF(OR(AO445="",AY445="-"),"",IF(AO445&lt;=0.25,"Tipo 1 (≤0,25) uT",IF(AO445&lt;=0.5,"Tipo 2 (0,25-0,50) uT",IF(AO445&lt;=0.75,"Tipo 3 (0,50-0,75) uT","Tipo 4 (&gt;0,75) uT"))))</f>
        <v>Tipo 1 (≤0,25) uT</v>
      </c>
      <c r="BE445" s="137" t="str">
        <f>IF(OR(AE445="",AP445="-"),"",IF(AE445&lt;=0.25,"Tipo 1 (≤0,25) uT",IF(AE445&lt;=0.5,"Tipo 2 (0,25-0,50) uT",IF(AE445&lt;=0.75,"Tipo 3 (0,50-0,75) uT","Tipo 4 (&gt;0,75) uT"))))</f>
        <v>Tipo 1 (≤0,25) uT</v>
      </c>
      <c r="BF445" s="137" t="str">
        <f>IF(OR(AP445="",AP445="-"),"",IF(AP445&lt;=0.25,"Tipo 1 (≤0,25) uT",IF(AP445&lt;=0.5,"Tipo 2 (0,25-0,50) uT",IF(AP445&lt;=0.75,"Tipo 3 (0,50-0,75) uT","Tipo 4 (&gt;0,75) uT"))))</f>
        <v>Tipo 1 (≤0,25) uT</v>
      </c>
      <c r="BG445" s="137" t="str">
        <f>IF(OR(Q445="",Q445="-"),"",IF(Q445&lt;=0.25,"Tipo 1 (≤0,25) uT",IF(Q445&lt;=0.5,"Tipo 2 (0,25-0,50) uT",IF(Q445&lt;=0.75,"Tipo 3 (0,50-0,75) uT","Tipo 4 (&gt;0,75) uT"))))</f>
        <v>Tipo 1 (≤0,25) uT</v>
      </c>
    </row>
    <row r="446" spans="1:59" x14ac:dyDescent="0.3">
      <c r="A446" s="26">
        <v>46173</v>
      </c>
      <c r="B446" s="107">
        <v>0.14583333333333334</v>
      </c>
      <c r="C446" s="116">
        <v>573</v>
      </c>
      <c r="D446" s="116">
        <v>91</v>
      </c>
      <c r="E446" s="116">
        <v>549</v>
      </c>
      <c r="F446" s="116">
        <v>1261</v>
      </c>
      <c r="G446" s="10" t="s">
        <v>100</v>
      </c>
      <c r="H446" s="122">
        <v>7.3</v>
      </c>
      <c r="I446" s="116">
        <v>90</v>
      </c>
      <c r="J446" s="116">
        <v>90</v>
      </c>
      <c r="K446" s="116">
        <v>90</v>
      </c>
      <c r="L446" s="122">
        <v>22.1</v>
      </c>
      <c r="M446" s="122">
        <v>6.9</v>
      </c>
      <c r="N446" s="79">
        <v>2.4</v>
      </c>
      <c r="O446" s="116">
        <v>15</v>
      </c>
      <c r="P446" s="122">
        <v>9</v>
      </c>
      <c r="Q446" s="79">
        <v>7.0000000000000007E-2</v>
      </c>
      <c r="R446" s="79">
        <v>22.36</v>
      </c>
      <c r="S446" s="79">
        <v>0.88</v>
      </c>
      <c r="T446" s="79">
        <v>0.7</v>
      </c>
      <c r="U446" s="85">
        <f t="shared" si="58"/>
        <v>1525.81</v>
      </c>
      <c r="V446" s="79">
        <f t="shared" si="59"/>
        <v>1679.2897757999999</v>
      </c>
      <c r="W446" s="79">
        <f t="shared" si="60"/>
        <v>1.100589048308767</v>
      </c>
      <c r="X446" s="116">
        <v>2</v>
      </c>
      <c r="Y446" s="116">
        <v>2</v>
      </c>
      <c r="Z446" s="122">
        <v>6.45</v>
      </c>
      <c r="AA446" s="116">
        <v>21</v>
      </c>
      <c r="AB446" s="122">
        <v>6.8</v>
      </c>
      <c r="AC446" s="122">
        <v>7.2</v>
      </c>
      <c r="AD446" s="10">
        <v>0.21</v>
      </c>
      <c r="AE446" s="79">
        <v>0.25</v>
      </c>
      <c r="AF446" s="85">
        <f t="shared" si="61"/>
        <v>1017.2066666666666</v>
      </c>
      <c r="AG446" s="85">
        <f t="shared" si="62"/>
        <v>1853.4347774799999</v>
      </c>
      <c r="AH446" s="85">
        <f t="shared" si="63"/>
        <v>1.8220828059981256</v>
      </c>
      <c r="AI446" s="116">
        <v>2</v>
      </c>
      <c r="AJ446" s="116">
        <v>3</v>
      </c>
      <c r="AK446" s="79">
        <v>6.49</v>
      </c>
      <c r="AL446" s="79">
        <v>23</v>
      </c>
      <c r="AM446" s="122">
        <v>6.9</v>
      </c>
      <c r="AN446" s="122">
        <v>6.9</v>
      </c>
      <c r="AO446" s="79">
        <v>0.16</v>
      </c>
      <c r="AP446" s="127">
        <v>0.23</v>
      </c>
      <c r="AQ446" s="132">
        <f t="shared" si="54"/>
        <v>1213</v>
      </c>
      <c r="AR446" s="134">
        <f t="shared" si="55"/>
        <v>0.47238252267106345</v>
      </c>
      <c r="AS446" s="134">
        <f t="shared" si="56"/>
        <v>7.5020610057708159E-2</v>
      </c>
      <c r="AT446" s="134">
        <f t="shared" si="57"/>
        <v>0.45259686727122839</v>
      </c>
      <c r="AU446" s="43">
        <f>IF(AND(F446&lt;&gt;"",Y446&lt;&gt;""),AA446/(F446/2/Y446),"")</f>
        <v>6.6613798572561458E-2</v>
      </c>
      <c r="AV446" s="43">
        <f>IF(AND(F446&lt;&gt;"",AJ446&lt;&gt;""),AL446/(F446/2/AJ446),"")</f>
        <v>0.10943695479777954</v>
      </c>
      <c r="AW446" s="41">
        <f>IF(AND(AP446&lt;&gt;"",1-(AP446/N446)&gt;0),1-(AP446/N446),"")</f>
        <v>0.90416666666666667</v>
      </c>
      <c r="AX446" s="41">
        <f>IF(AND(AE446&lt;&gt;"",1-(AE446/N446)&gt;0),1-(AE446/N446),"")</f>
        <v>0.89583333333333337</v>
      </c>
      <c r="AY446" s="136" t="str">
        <f>IF(P446="","",IF(P446&lt;2.5,"Alc. Bruta &lt; 2,5 mg/L",IF(P446&lt;5,"2,5 ≤ Alc. Bruta &lt; 5,0 mg/L",IF(P446&lt;7.5,"5,0 ≤ Alc. Bruta &lt; 7,5 mg/L",IF(P446&lt;10,"7,5 ≤ Alc. Bruta &lt; 10,0 mg/L",IF(P446&lt;15,"10,0 ≤ Alca. Bruta &lt; 15,0 mg/L","Alc. Bruta &gt; 15 mg/L"))))))</f>
        <v>7,5 ≤ Alc. Bruta &lt; 10,0 mg/L</v>
      </c>
      <c r="AZ446" s="136" t="str">
        <f>IF(O446="","",IF(O446&lt;5,"Cor &lt;5 uC",IF(O446&lt;10,"5 ≤ Cor &lt; 10 uC",IF(O446&lt;15,"10 ≤ Cor &lt;15 uC",IF(O446&lt;30,"15 ≤ Cor &lt; 30 uC",IF(O446&lt;50,"30 ≤ Cor &lt; 50 uC","Cor &gt; 50 uC"))))))</f>
        <v>15 ≤ Cor &lt; 30 uC</v>
      </c>
      <c r="BA446" s="137" t="str">
        <f>IF(N446="","",IF(N446&lt;2.5,"Turbidez &lt; 2,5 uT",IF(N446&lt;5,"2,5 ≤ Turb &lt; 5,0 uT",IF(N446&lt;7.5,"5,0 ≤ Turb &lt; 7,5 uT",IF(N446&lt;10,"7,5 ≤ Turb &lt; 10,0 uT",IF(N446&lt;15,"10,0 ≤ Turb &lt; 15,0 uT","Turb &gt; 15 uT"))))))</f>
        <v>Turbidez &lt; 2,5 uT</v>
      </c>
      <c r="BB446" s="138" t="str">
        <f>IF(AND(C446&gt;D446,D446&gt;E446),"TOR &gt; SM &gt; BNN",IF(AND(C446&gt;E446,E446&gt;D446),"TOR &gt; BNN &gt; SM",IF(AND(D446&gt;C446,C446&gt;E446),"SM &gt; TOR &gt; BNN",IF(AND(D446&gt;E446,E446&gt;C446),"SM &gt; BNN &gt; TOR",IF(AND(C446=D446,D446=E446),"TOR = SM = BNN","Comb. diferentes")))))</f>
        <v>TOR &gt; BNN &gt; SM</v>
      </c>
      <c r="BC446" s="137" t="str">
        <f>IF(OR(AD446="",AP446="-"),"",IF(AD446&lt;=0.25,"Tipo 1 (≤0,25) uT",IF(AD446&lt;=0.5,"Tipo 2 (0,25-0,50) uT",IF(AD446&lt;=0.75,"Tipo 3 (0,50-0,75) uT","Tipo 4 (&gt;0,75) uT"))))</f>
        <v>Tipo 1 (≤0,25) uT</v>
      </c>
      <c r="BD446" s="137" t="str">
        <f>IF(OR(AO446="",AY446="-"),"",IF(AO446&lt;=0.25,"Tipo 1 (≤0,25) uT",IF(AO446&lt;=0.5,"Tipo 2 (0,25-0,50) uT",IF(AO446&lt;=0.75,"Tipo 3 (0,50-0,75) uT","Tipo 4 (&gt;0,75) uT"))))</f>
        <v>Tipo 1 (≤0,25) uT</v>
      </c>
      <c r="BE446" s="137" t="str">
        <f>IF(OR(AE446="",AP446="-"),"",IF(AE446&lt;=0.25,"Tipo 1 (≤0,25) uT",IF(AE446&lt;=0.5,"Tipo 2 (0,25-0,50) uT",IF(AE446&lt;=0.75,"Tipo 3 (0,50-0,75) uT","Tipo 4 (&gt;0,75) uT"))))</f>
        <v>Tipo 1 (≤0,25) uT</v>
      </c>
      <c r="BF446" s="137" t="str">
        <f>IF(OR(AP446="",AP446="-"),"",IF(AP446&lt;=0.25,"Tipo 1 (≤0,25) uT",IF(AP446&lt;=0.5,"Tipo 2 (0,25-0,50) uT",IF(AP446&lt;=0.75,"Tipo 3 (0,50-0,75) uT","Tipo 4 (&gt;0,75) uT"))))</f>
        <v>Tipo 1 (≤0,25) uT</v>
      </c>
      <c r="BG446" s="137" t="str">
        <f>IF(OR(Q446="",Q446="-"),"",IF(Q446&lt;=0.25,"Tipo 1 (≤0,25) uT",IF(Q446&lt;=0.5,"Tipo 2 (0,25-0,50) uT",IF(Q446&lt;=0.75,"Tipo 3 (0,50-0,75) uT","Tipo 4 (&gt;0,75) uT"))))</f>
        <v>Tipo 1 (≤0,25) uT</v>
      </c>
    </row>
    <row r="447" spans="1:59" ht="15" thickBot="1" x14ac:dyDescent="0.35">
      <c r="A447" s="26">
        <v>46173</v>
      </c>
      <c r="B447" s="110">
        <v>0.22916666666666666</v>
      </c>
      <c r="C447" s="117">
        <v>576</v>
      </c>
      <c r="D447" s="117">
        <v>86</v>
      </c>
      <c r="E447" s="117">
        <v>550</v>
      </c>
      <c r="F447" s="117">
        <v>1269</v>
      </c>
      <c r="G447" s="11" t="s">
        <v>100</v>
      </c>
      <c r="H447" s="123">
        <v>7.3</v>
      </c>
      <c r="I447" s="117">
        <v>90</v>
      </c>
      <c r="J447" s="117">
        <v>90</v>
      </c>
      <c r="K447" s="117">
        <v>90</v>
      </c>
      <c r="L447" s="123">
        <v>21.9</v>
      </c>
      <c r="M447" s="123">
        <v>6.8</v>
      </c>
      <c r="N447" s="80">
        <v>2.4500000000000002</v>
      </c>
      <c r="O447" s="117">
        <v>14</v>
      </c>
      <c r="P447" s="123">
        <v>9.1999999999999993</v>
      </c>
      <c r="Q447" s="80">
        <v>7.0000000000000007E-2</v>
      </c>
      <c r="R447" s="79">
        <v>22.36</v>
      </c>
      <c r="S447" s="79">
        <v>0.88</v>
      </c>
      <c r="T447" s="79">
        <v>0.7</v>
      </c>
      <c r="U447" s="85">
        <f t="shared" si="58"/>
        <v>1551.3525000000002</v>
      </c>
      <c r="V447" s="79">
        <f t="shared" si="59"/>
        <v>1679.2897757999999</v>
      </c>
      <c r="W447" s="79">
        <f t="shared" si="60"/>
        <v>1.0824682177648211</v>
      </c>
      <c r="X447" s="117">
        <v>2</v>
      </c>
      <c r="Y447" s="117">
        <v>2</v>
      </c>
      <c r="Z447" s="123">
        <v>6.45</v>
      </c>
      <c r="AA447" s="117">
        <v>21</v>
      </c>
      <c r="AB447" s="123">
        <v>6.6</v>
      </c>
      <c r="AC447" s="123">
        <v>8.1</v>
      </c>
      <c r="AD447" s="11">
        <v>0.76</v>
      </c>
      <c r="AE447" s="80">
        <v>0.2</v>
      </c>
      <c r="AF447" s="85">
        <f t="shared" si="61"/>
        <v>1034.2350000000001</v>
      </c>
      <c r="AG447" s="85">
        <f t="shared" si="62"/>
        <v>1856.9879380000002</v>
      </c>
      <c r="AH447" s="85">
        <f t="shared" si="63"/>
        <v>1.795518366715495</v>
      </c>
      <c r="AI447" s="117">
        <v>2</v>
      </c>
      <c r="AJ447" s="117">
        <v>3</v>
      </c>
      <c r="AK447" s="80">
        <v>6.5</v>
      </c>
      <c r="AL447" s="80">
        <v>23</v>
      </c>
      <c r="AM447" s="123">
        <v>6.7</v>
      </c>
      <c r="AN447" s="123">
        <v>8.4</v>
      </c>
      <c r="AO447" s="80">
        <v>0.15</v>
      </c>
      <c r="AP447" s="128">
        <v>0.19</v>
      </c>
      <c r="AQ447" s="132">
        <f t="shared" si="54"/>
        <v>1212</v>
      </c>
      <c r="AR447" s="134">
        <f t="shared" si="55"/>
        <v>0.47524752475247523</v>
      </c>
      <c r="AS447" s="134">
        <f t="shared" si="56"/>
        <v>7.0957095709570955E-2</v>
      </c>
      <c r="AT447" s="134">
        <f t="shared" si="57"/>
        <v>0.45379537953795379</v>
      </c>
      <c r="AU447" s="43">
        <f>IF(AND(F447&lt;&gt;"",Y447&lt;&gt;""),AA447/(F447/2/Y447),"")</f>
        <v>6.6193853427895979E-2</v>
      </c>
      <c r="AV447" s="43">
        <f>IF(AND(F447&lt;&gt;"",AJ447&lt;&gt;""),AL447/(F447/2/AJ447),"")</f>
        <v>0.10874704491725769</v>
      </c>
      <c r="AW447" s="41">
        <f>IF(AND(AP447&lt;&gt;"",1-(AP447/N447)&gt;0),1-(AP447/N447),"")</f>
        <v>0.92244897959183669</v>
      </c>
      <c r="AX447" s="41">
        <f>IF(AND(AE447&lt;&gt;"",1-(AE447/N447)&gt;0),1-(AE447/N447),"")</f>
        <v>0.91836734693877553</v>
      </c>
      <c r="AY447" s="136" t="str">
        <f>IF(P447="","",IF(P447&lt;2.5,"Alc. Bruta &lt; 2,5 mg/L",IF(P447&lt;5,"2,5 ≤ Alc. Bruta &lt; 5,0 mg/L",IF(P447&lt;7.5,"5,0 ≤ Alc. Bruta &lt; 7,5 mg/L",IF(P447&lt;10,"7,5 ≤ Alc. Bruta &lt; 10,0 mg/L",IF(P447&lt;15,"10,0 ≤ Alca. Bruta &lt; 15,0 mg/L","Alc. Bruta &gt; 15 mg/L"))))))</f>
        <v>7,5 ≤ Alc. Bruta &lt; 10,0 mg/L</v>
      </c>
      <c r="AZ447" s="136" t="str">
        <f>IF(O447="","",IF(O447&lt;5,"Cor &lt;5 uC",IF(O447&lt;10,"5 ≤ Cor &lt; 10 uC",IF(O447&lt;15,"10 ≤ Cor &lt;15 uC",IF(O447&lt;30,"15 ≤ Cor &lt; 30 uC",IF(O447&lt;50,"30 ≤ Cor &lt; 50 uC","Cor &gt; 50 uC"))))))</f>
        <v>10 ≤ Cor &lt;15 uC</v>
      </c>
      <c r="BA447" s="137" t="str">
        <f>IF(N447="","",IF(N447&lt;2.5,"Turbidez &lt; 2,5 uT",IF(N447&lt;5,"2,5 ≤ Turb &lt; 5,0 uT",IF(N447&lt;7.5,"5,0 ≤ Turb &lt; 7,5 uT",IF(N447&lt;10,"7,5 ≤ Turb &lt; 10,0 uT",IF(N447&lt;15,"10,0 ≤ Turb &lt; 15,0 uT","Turb &gt; 15 uT"))))))</f>
        <v>Turbidez &lt; 2,5 uT</v>
      </c>
      <c r="BB447" s="138" t="str">
        <f>IF(AND(C447&gt;D447,D447&gt;E447),"TOR &gt; SM &gt; BNN",IF(AND(C447&gt;E447,E447&gt;D447),"TOR &gt; BNN &gt; SM",IF(AND(D447&gt;C447,C447&gt;E447),"SM &gt; TOR &gt; BNN",IF(AND(D447&gt;E447,E447&gt;C447),"SM &gt; BNN &gt; TOR",IF(AND(C447=D447,D447=E447),"TOR = SM = BNN","Comb. diferentes")))))</f>
        <v>TOR &gt; BNN &gt; SM</v>
      </c>
      <c r="BC447" s="137" t="str">
        <f>IF(OR(AD447="",AP447="-"),"",IF(AD447&lt;=0.25,"Tipo 1 (≤0,25) uT",IF(AD447&lt;=0.5,"Tipo 2 (0,25-0,50) uT",IF(AD447&lt;=0.75,"Tipo 3 (0,50-0,75) uT","Tipo 4 (&gt;0,75) uT"))))</f>
        <v>Tipo 4 (&gt;0,75) uT</v>
      </c>
      <c r="BD447" s="137" t="str">
        <f>IF(OR(AO447="",AY447="-"),"",IF(AO447&lt;=0.25,"Tipo 1 (≤0,25) uT",IF(AO447&lt;=0.5,"Tipo 2 (0,25-0,50) uT",IF(AO447&lt;=0.75,"Tipo 3 (0,50-0,75) uT","Tipo 4 (&gt;0,75) uT"))))</f>
        <v>Tipo 1 (≤0,25) uT</v>
      </c>
      <c r="BE447" s="137" t="str">
        <f>IF(OR(AE447="",AP447="-"),"",IF(AE447&lt;=0.25,"Tipo 1 (≤0,25) uT",IF(AE447&lt;=0.5,"Tipo 2 (0,25-0,50) uT",IF(AE447&lt;=0.75,"Tipo 3 (0,50-0,75) uT","Tipo 4 (&gt;0,75) uT"))))</f>
        <v>Tipo 1 (≤0,25) uT</v>
      </c>
      <c r="BF447" s="137" t="str">
        <f>IF(OR(AP447="",AP447="-"),"",IF(AP447&lt;=0.25,"Tipo 1 (≤0,25) uT",IF(AP447&lt;=0.5,"Tipo 2 (0,25-0,50) uT",IF(AP447&lt;=0.75,"Tipo 3 (0,50-0,75) uT","Tipo 4 (&gt;0,75) uT"))))</f>
        <v>Tipo 1 (≤0,25) uT</v>
      </c>
      <c r="BG447" s="137" t="str">
        <f>IF(OR(Q447="",Q447="-"),"",IF(Q447&lt;=0.25,"Tipo 1 (≤0,25) uT",IF(Q447&lt;=0.5,"Tipo 2 (0,25-0,50) uT",IF(Q447&lt;=0.75,"Tipo 3 (0,50-0,75) uT","Tipo 4 (&gt;0,75) uT"))))</f>
        <v>Tipo 1 (≤0,25) uT</v>
      </c>
    </row>
    <row r="448" spans="1:59" x14ac:dyDescent="0.3">
      <c r="A448" s="26">
        <v>46173</v>
      </c>
      <c r="B448" s="111">
        <v>0.3125</v>
      </c>
      <c r="C448" s="118">
        <v>570</v>
      </c>
      <c r="D448" s="116">
        <v>85</v>
      </c>
      <c r="E448" s="118">
        <v>550</v>
      </c>
      <c r="F448" s="118">
        <v>1213</v>
      </c>
      <c r="G448" s="9" t="s">
        <v>100</v>
      </c>
      <c r="H448" s="124">
        <v>7.3</v>
      </c>
      <c r="I448" s="118">
        <v>90</v>
      </c>
      <c r="J448" s="118">
        <v>90</v>
      </c>
      <c r="K448" s="118">
        <v>90</v>
      </c>
      <c r="L448" s="124">
        <v>21.5</v>
      </c>
      <c r="M448" s="124">
        <v>6.8</v>
      </c>
      <c r="N448" s="81">
        <v>2.35</v>
      </c>
      <c r="O448" s="118">
        <v>12</v>
      </c>
      <c r="P448" s="124">
        <v>10</v>
      </c>
      <c r="Q448" s="81">
        <v>7.0000000000000007E-2</v>
      </c>
      <c r="R448" s="79">
        <v>22.36</v>
      </c>
      <c r="S448" s="79">
        <v>0.88</v>
      </c>
      <c r="T448" s="79">
        <v>0.7</v>
      </c>
      <c r="U448" s="85">
        <f t="shared" si="58"/>
        <v>1452.5675000000001</v>
      </c>
      <c r="V448" s="79">
        <f t="shared" si="59"/>
        <v>1682.5339658399996</v>
      </c>
      <c r="W448" s="79">
        <f t="shared" si="60"/>
        <v>1.1583172319634023</v>
      </c>
      <c r="X448" s="118">
        <v>3</v>
      </c>
      <c r="Y448" s="118">
        <v>2</v>
      </c>
      <c r="Z448" s="124">
        <v>6.46</v>
      </c>
      <c r="AA448" s="118">
        <v>21</v>
      </c>
      <c r="AB448" s="124">
        <v>6.7</v>
      </c>
      <c r="AC448" s="124">
        <v>7.6</v>
      </c>
      <c r="AD448" s="9">
        <v>0.13</v>
      </c>
      <c r="AE448" s="81">
        <v>0.22</v>
      </c>
      <c r="AF448" s="85">
        <f t="shared" si="61"/>
        <v>968.37833333333333</v>
      </c>
      <c r="AG448" s="85">
        <f t="shared" si="62"/>
        <v>1919.1883151999998</v>
      </c>
      <c r="AH448" s="85">
        <f t="shared" si="63"/>
        <v>1.9818579672201118</v>
      </c>
      <c r="AI448" s="118">
        <v>3</v>
      </c>
      <c r="AJ448" s="118">
        <v>3</v>
      </c>
      <c r="AK448" s="81">
        <v>6.45</v>
      </c>
      <c r="AL448" s="81">
        <v>24</v>
      </c>
      <c r="AM448" s="124">
        <v>6.7</v>
      </c>
      <c r="AN448" s="124">
        <v>7.9</v>
      </c>
      <c r="AO448" s="81">
        <v>0.19</v>
      </c>
      <c r="AP448" s="129">
        <v>0.2</v>
      </c>
      <c r="AQ448" s="132">
        <f t="shared" si="54"/>
        <v>1205</v>
      </c>
      <c r="AR448" s="134">
        <f t="shared" si="55"/>
        <v>0.47302904564315351</v>
      </c>
      <c r="AS448" s="134">
        <f t="shared" si="56"/>
        <v>7.0539419087136929E-2</v>
      </c>
      <c r="AT448" s="134">
        <f t="shared" si="57"/>
        <v>0.45643153526970953</v>
      </c>
      <c r="AU448" s="43">
        <f>IF(AND(F448&lt;&gt;"",Y448&lt;&gt;""),AA448/(F448/2/Y448),"")</f>
        <v>6.9249793899422915E-2</v>
      </c>
      <c r="AV448" s="43">
        <f>IF(AND(F448&lt;&gt;"",AJ448&lt;&gt;""),AL448/(F448/2/AJ448),"")</f>
        <v>0.11871393239901072</v>
      </c>
      <c r="AW448" s="41">
        <f>IF(AND(AP448&lt;&gt;"",1-(AP448/N448)&gt;0),1-(AP448/N448),"")</f>
        <v>0.91489361702127658</v>
      </c>
      <c r="AX448" s="41">
        <f>IF(AND(AE448&lt;&gt;"",1-(AE448/N448)&gt;0),1-(AE448/N448),"")</f>
        <v>0.90638297872340423</v>
      </c>
      <c r="AY448" s="136" t="str">
        <f>IF(P448="","",IF(P448&lt;2.5,"Alc. Bruta &lt; 2,5 mg/L",IF(P448&lt;5,"2,5 ≤ Alc. Bruta &lt; 5,0 mg/L",IF(P448&lt;7.5,"5,0 ≤ Alc. Bruta &lt; 7,5 mg/L",IF(P448&lt;10,"7,5 ≤ Alc. Bruta &lt; 10,0 mg/L",IF(P448&lt;15,"10,0 ≤ Alca. Bruta &lt; 15,0 mg/L","Alc. Bruta &gt; 15 mg/L"))))))</f>
        <v>10,0 ≤ Alca. Bruta &lt; 15,0 mg/L</v>
      </c>
      <c r="AZ448" s="136" t="str">
        <f>IF(O448="","",IF(O448&lt;5,"Cor &lt;5 uC",IF(O448&lt;10,"5 ≤ Cor &lt; 10 uC",IF(O448&lt;15,"10 ≤ Cor &lt;15 uC",IF(O448&lt;30,"15 ≤ Cor &lt; 30 uC",IF(O448&lt;50,"30 ≤ Cor &lt; 50 uC","Cor &gt; 50 uC"))))))</f>
        <v>10 ≤ Cor &lt;15 uC</v>
      </c>
      <c r="BA448" s="137" t="str">
        <f>IF(N448="","",IF(N448&lt;2.5,"Turbidez &lt; 2,5 uT",IF(N448&lt;5,"2,5 ≤ Turb &lt; 5,0 uT",IF(N448&lt;7.5,"5,0 ≤ Turb &lt; 7,5 uT",IF(N448&lt;10,"7,5 ≤ Turb &lt; 10,0 uT",IF(N448&lt;15,"10,0 ≤ Turb &lt; 15,0 uT","Turb &gt; 15 uT"))))))</f>
        <v>Turbidez &lt; 2,5 uT</v>
      </c>
      <c r="BB448" s="138" t="str">
        <f>IF(AND(C448&gt;D448,D448&gt;E448),"TOR &gt; SM &gt; BNN",IF(AND(C448&gt;E448,E448&gt;D448),"TOR &gt; BNN &gt; SM",IF(AND(D448&gt;C448,C448&gt;E448),"SM &gt; TOR &gt; BNN",IF(AND(D448&gt;E448,E448&gt;C448),"SM &gt; BNN &gt; TOR",IF(AND(C448=D448,D448=E448),"TOR = SM = BNN","Comb. diferentes")))))</f>
        <v>TOR &gt; BNN &gt; SM</v>
      </c>
      <c r="BC448" s="137" t="str">
        <f>IF(OR(AD448="",AP448="-"),"",IF(AD448&lt;=0.25,"Tipo 1 (≤0,25) uT",IF(AD448&lt;=0.5,"Tipo 2 (0,25-0,50) uT",IF(AD448&lt;=0.75,"Tipo 3 (0,50-0,75) uT","Tipo 4 (&gt;0,75) uT"))))</f>
        <v>Tipo 1 (≤0,25) uT</v>
      </c>
      <c r="BD448" s="137" t="str">
        <f>IF(OR(AO448="",AY448="-"),"",IF(AO448&lt;=0.25,"Tipo 1 (≤0,25) uT",IF(AO448&lt;=0.5,"Tipo 2 (0,25-0,50) uT",IF(AO448&lt;=0.75,"Tipo 3 (0,50-0,75) uT","Tipo 4 (&gt;0,75) uT"))))</f>
        <v>Tipo 1 (≤0,25) uT</v>
      </c>
      <c r="BE448" s="137" t="str">
        <f>IF(OR(AE448="",AP448="-"),"",IF(AE448&lt;=0.25,"Tipo 1 (≤0,25) uT",IF(AE448&lt;=0.5,"Tipo 2 (0,25-0,50) uT",IF(AE448&lt;=0.75,"Tipo 3 (0,50-0,75) uT","Tipo 4 (&gt;0,75) uT"))))</f>
        <v>Tipo 1 (≤0,25) uT</v>
      </c>
      <c r="BF448" s="137" t="str">
        <f>IF(OR(AP448="",AP448="-"),"",IF(AP448&lt;=0.25,"Tipo 1 (≤0,25) uT",IF(AP448&lt;=0.5,"Tipo 2 (0,25-0,50) uT",IF(AP448&lt;=0.75,"Tipo 3 (0,50-0,75) uT","Tipo 4 (&gt;0,75) uT"))))</f>
        <v>Tipo 1 (≤0,25) uT</v>
      </c>
      <c r="BG448" s="137" t="str">
        <f>IF(OR(Q448="",Q448="-"),"",IF(Q448&lt;=0.25,"Tipo 1 (≤0,25) uT",IF(Q448&lt;=0.5,"Tipo 2 (0,25-0,50) uT",IF(Q448&lt;=0.75,"Tipo 3 (0,50-0,75) uT","Tipo 4 (&gt;0,75) uT"))))</f>
        <v>Tipo 1 (≤0,25) uT</v>
      </c>
    </row>
    <row r="449" spans="1:59" x14ac:dyDescent="0.3">
      <c r="A449" s="26">
        <v>46173</v>
      </c>
      <c r="B449" s="107">
        <v>0.39583333333333331</v>
      </c>
      <c r="C449" s="116">
        <v>1143</v>
      </c>
      <c r="D449" s="116">
        <v>86</v>
      </c>
      <c r="E449" s="116">
        <v>550</v>
      </c>
      <c r="F449" s="116">
        <v>1853</v>
      </c>
      <c r="G449" s="10" t="s">
        <v>100</v>
      </c>
      <c r="H449" s="122">
        <v>7.3</v>
      </c>
      <c r="I449" s="116">
        <v>90</v>
      </c>
      <c r="J449" s="116">
        <v>90</v>
      </c>
      <c r="K449" s="116">
        <v>90</v>
      </c>
      <c r="L449" s="122">
        <v>21.9</v>
      </c>
      <c r="M449" s="122">
        <v>6.8</v>
      </c>
      <c r="N449" s="79">
        <v>2.59</v>
      </c>
      <c r="O449" s="116">
        <v>12</v>
      </c>
      <c r="P449" s="122">
        <v>9.3000000000000007</v>
      </c>
      <c r="Q449" s="79">
        <v>7.0000000000000007E-2</v>
      </c>
      <c r="R449" s="79">
        <v>22.36</v>
      </c>
      <c r="S449" s="79">
        <v>0.88</v>
      </c>
      <c r="T449" s="79">
        <v>0.7</v>
      </c>
      <c r="U449" s="85">
        <f t="shared" si="58"/>
        <v>1165.0737499999998</v>
      </c>
      <c r="V449" s="79">
        <f t="shared" si="59"/>
        <v>1375.1825510799999</v>
      </c>
      <c r="W449" s="79">
        <f t="shared" si="60"/>
        <v>1.1803394858737486</v>
      </c>
      <c r="X449" s="116">
        <v>3</v>
      </c>
      <c r="Y449" s="116">
        <v>4</v>
      </c>
      <c r="Z449" s="122">
        <v>6.51</v>
      </c>
      <c r="AA449" s="116">
        <v>17</v>
      </c>
      <c r="AB449" s="122">
        <v>6.7</v>
      </c>
      <c r="AC449" s="122">
        <v>6.9</v>
      </c>
      <c r="AD449" s="10">
        <v>0.14000000000000001</v>
      </c>
      <c r="AE449" s="79">
        <v>0.24</v>
      </c>
      <c r="AF449" s="85">
        <f t="shared" si="61"/>
        <v>1553.4316666666664</v>
      </c>
      <c r="AG449" s="85">
        <f t="shared" si="62"/>
        <v>1919.1883151999998</v>
      </c>
      <c r="AH449" s="85">
        <f t="shared" si="63"/>
        <v>1.2354507484182868</v>
      </c>
      <c r="AI449" s="116">
        <v>3</v>
      </c>
      <c r="AJ449" s="116">
        <v>3</v>
      </c>
      <c r="AK449" s="79">
        <v>6.45</v>
      </c>
      <c r="AL449" s="79">
        <v>24</v>
      </c>
      <c r="AM449" s="122">
        <v>6.8</v>
      </c>
      <c r="AN449" s="122">
        <v>7.1</v>
      </c>
      <c r="AO449" s="79">
        <v>0.15</v>
      </c>
      <c r="AP449" s="127">
        <v>0.19</v>
      </c>
      <c r="AQ449" s="132">
        <f t="shared" si="54"/>
        <v>1779</v>
      </c>
      <c r="AR449" s="134">
        <f t="shared" si="55"/>
        <v>0.64249578414839803</v>
      </c>
      <c r="AS449" s="134">
        <f t="shared" si="56"/>
        <v>4.8341765036537379E-2</v>
      </c>
      <c r="AT449" s="134">
        <f t="shared" si="57"/>
        <v>0.30916245081506466</v>
      </c>
      <c r="AU449" s="43">
        <f>IF(AND(F449&lt;&gt;"",Y449&lt;&gt;""),AA449/(F449/2/Y449),"")</f>
        <v>7.3394495412844041E-2</v>
      </c>
      <c r="AV449" s="43">
        <f>IF(AND(F449&lt;&gt;"",AJ449&lt;&gt;""),AL449/(F449/2/AJ449),"")</f>
        <v>7.7711818672423105E-2</v>
      </c>
      <c r="AW449" s="41">
        <f>IF(AND(AP449&lt;&gt;"",1-(AP449/N449)&gt;0),1-(AP449/N449),"")</f>
        <v>0.92664092664092668</v>
      </c>
      <c r="AX449" s="41">
        <f>IF(AND(AE449&lt;&gt;"",1-(AE449/N449)&gt;0),1-(AE449/N449),"")</f>
        <v>0.9073359073359073</v>
      </c>
      <c r="AY449" s="136" t="str">
        <f>IF(P449="","",IF(P449&lt;2.5,"Alc. Bruta &lt; 2,5 mg/L",IF(P449&lt;5,"2,5 ≤ Alc. Bruta &lt; 5,0 mg/L",IF(P449&lt;7.5,"5,0 ≤ Alc. Bruta &lt; 7,5 mg/L",IF(P449&lt;10,"7,5 ≤ Alc. Bruta &lt; 10,0 mg/L",IF(P449&lt;15,"10,0 ≤ Alca. Bruta &lt; 15,0 mg/L","Alc. Bruta &gt; 15 mg/L"))))))</f>
        <v>7,5 ≤ Alc. Bruta &lt; 10,0 mg/L</v>
      </c>
      <c r="AZ449" s="136" t="str">
        <f>IF(O449="","",IF(O449&lt;5,"Cor &lt;5 uC",IF(O449&lt;10,"5 ≤ Cor &lt; 10 uC",IF(O449&lt;15,"10 ≤ Cor &lt;15 uC",IF(O449&lt;30,"15 ≤ Cor &lt; 30 uC",IF(O449&lt;50,"30 ≤ Cor &lt; 50 uC","Cor &gt; 50 uC"))))))</f>
        <v>10 ≤ Cor &lt;15 uC</v>
      </c>
      <c r="BA449" s="137" t="str">
        <f>IF(N449="","",IF(N449&lt;2.5,"Turbidez &lt; 2,5 uT",IF(N449&lt;5,"2,5 ≤ Turb &lt; 5,0 uT",IF(N449&lt;7.5,"5,0 ≤ Turb &lt; 7,5 uT",IF(N449&lt;10,"7,5 ≤ Turb &lt; 10,0 uT",IF(N449&lt;15,"10,0 ≤ Turb &lt; 15,0 uT","Turb &gt; 15 uT"))))))</f>
        <v>2,5 ≤ Turb &lt; 5,0 uT</v>
      </c>
      <c r="BB449" s="138" t="str">
        <f>IF(AND(C449&gt;D449,D449&gt;E449),"TOR &gt; SM &gt; BNN",IF(AND(C449&gt;E449,E449&gt;D449),"TOR &gt; BNN &gt; SM",IF(AND(D449&gt;C449,C449&gt;E449),"SM &gt; TOR &gt; BNN",IF(AND(D449&gt;E449,E449&gt;C449),"SM &gt; BNN &gt; TOR",IF(AND(C449=D449,D449=E449),"TOR = SM = BNN","Comb. diferentes")))))</f>
        <v>TOR &gt; BNN &gt; SM</v>
      </c>
      <c r="BC449" s="137" t="str">
        <f>IF(OR(AD449="",AP449="-"),"",IF(AD449&lt;=0.25,"Tipo 1 (≤0,25) uT",IF(AD449&lt;=0.5,"Tipo 2 (0,25-0,50) uT",IF(AD449&lt;=0.75,"Tipo 3 (0,50-0,75) uT","Tipo 4 (&gt;0,75) uT"))))</f>
        <v>Tipo 1 (≤0,25) uT</v>
      </c>
      <c r="BD449" s="137" t="str">
        <f>IF(OR(AO449="",AY449="-"),"",IF(AO449&lt;=0.25,"Tipo 1 (≤0,25) uT",IF(AO449&lt;=0.5,"Tipo 2 (0,25-0,50) uT",IF(AO449&lt;=0.75,"Tipo 3 (0,50-0,75) uT","Tipo 4 (&gt;0,75) uT"))))</f>
        <v>Tipo 1 (≤0,25) uT</v>
      </c>
      <c r="BE449" s="137" t="str">
        <f>IF(OR(AE449="",AP449="-"),"",IF(AE449&lt;=0.25,"Tipo 1 (≤0,25) uT",IF(AE449&lt;=0.5,"Tipo 2 (0,25-0,50) uT",IF(AE449&lt;=0.75,"Tipo 3 (0,50-0,75) uT","Tipo 4 (&gt;0,75) uT"))))</f>
        <v>Tipo 1 (≤0,25) uT</v>
      </c>
      <c r="BF449" s="137" t="str">
        <f>IF(OR(AP449="",AP449="-"),"",IF(AP449&lt;=0.25,"Tipo 1 (≤0,25) uT",IF(AP449&lt;=0.5,"Tipo 2 (0,25-0,50) uT",IF(AP449&lt;=0.75,"Tipo 3 (0,50-0,75) uT","Tipo 4 (&gt;0,75) uT"))))</f>
        <v>Tipo 1 (≤0,25) uT</v>
      </c>
      <c r="BG449" s="137" t="str">
        <f>IF(OR(Q449="",Q449="-"),"",IF(Q449&lt;=0.25,"Tipo 1 (≤0,25) uT",IF(Q449&lt;=0.5,"Tipo 2 (0,25-0,50) uT",IF(Q449&lt;=0.75,"Tipo 3 (0,50-0,75) uT","Tipo 4 (&gt;0,75) uT"))))</f>
        <v>Tipo 1 (≤0,25) uT</v>
      </c>
    </row>
    <row r="450" spans="1:59" x14ac:dyDescent="0.3">
      <c r="A450" s="26">
        <v>46173</v>
      </c>
      <c r="B450" s="107">
        <v>0.5625</v>
      </c>
      <c r="C450" s="116">
        <v>1158</v>
      </c>
      <c r="D450" s="116">
        <v>83</v>
      </c>
      <c r="E450" s="116">
        <v>550</v>
      </c>
      <c r="F450" s="116">
        <v>1789</v>
      </c>
      <c r="G450" s="10" t="s">
        <v>100</v>
      </c>
      <c r="H450" s="122">
        <v>7.3</v>
      </c>
      <c r="I450" s="116">
        <v>90</v>
      </c>
      <c r="J450" s="116">
        <v>90</v>
      </c>
      <c r="K450" s="116">
        <v>90</v>
      </c>
      <c r="L450" s="122">
        <v>23.1</v>
      </c>
      <c r="M450" s="122">
        <v>6.8</v>
      </c>
      <c r="N450" s="79">
        <v>2.98</v>
      </c>
      <c r="O450" s="116">
        <v>12</v>
      </c>
      <c r="P450" s="122">
        <v>8.1999999999999993</v>
      </c>
      <c r="Q450" s="79">
        <v>7.0000000000000007E-2</v>
      </c>
      <c r="R450" s="79">
        <v>22.36</v>
      </c>
      <c r="S450" s="79">
        <v>0.88</v>
      </c>
      <c r="T450" s="79">
        <v>0.7</v>
      </c>
      <c r="U450" s="85">
        <f t="shared" si="58"/>
        <v>1212.0474999999999</v>
      </c>
      <c r="V450" s="79">
        <f t="shared" si="59"/>
        <v>1372.556302</v>
      </c>
      <c r="W450" s="79">
        <f t="shared" si="60"/>
        <v>1.1324278149164946</v>
      </c>
      <c r="X450" s="116">
        <v>3</v>
      </c>
      <c r="Y450" s="116">
        <v>4</v>
      </c>
      <c r="Z450" s="122">
        <v>6.5</v>
      </c>
      <c r="AA450" s="116">
        <v>17</v>
      </c>
      <c r="AB450" s="122">
        <v>6.6</v>
      </c>
      <c r="AC450" s="122">
        <v>6.6</v>
      </c>
      <c r="AD450" s="10">
        <v>0.13</v>
      </c>
      <c r="AE450" s="79">
        <v>0.18</v>
      </c>
      <c r="AF450" s="85">
        <f t="shared" si="61"/>
        <v>1616.0633333333335</v>
      </c>
      <c r="AG450" s="85">
        <f t="shared" si="62"/>
        <v>1919.1883151999998</v>
      </c>
      <c r="AH450" s="85">
        <f t="shared" si="63"/>
        <v>1.1875699891299638</v>
      </c>
      <c r="AI450" s="116">
        <v>3</v>
      </c>
      <c r="AJ450" s="116">
        <v>3</v>
      </c>
      <c r="AK450" s="79">
        <v>6.45</v>
      </c>
      <c r="AL450" s="79">
        <v>24</v>
      </c>
      <c r="AM450" s="122">
        <v>6.7</v>
      </c>
      <c r="AN450" s="122">
        <v>6.3</v>
      </c>
      <c r="AO450" s="79">
        <v>0.14000000000000001</v>
      </c>
      <c r="AP450" s="127">
        <v>0.2</v>
      </c>
      <c r="AQ450" s="132">
        <f t="shared" ref="AQ450:AQ513" si="64">SUM(C450:E450)</f>
        <v>1791</v>
      </c>
      <c r="AR450" s="134">
        <f t="shared" ref="AR450:AR513" si="65">C450/AQ450</f>
        <v>0.64656616415410384</v>
      </c>
      <c r="AS450" s="134">
        <f t="shared" ref="AS450:AS513" si="66">D450/AQ450</f>
        <v>4.6342825237297602E-2</v>
      </c>
      <c r="AT450" s="134">
        <f t="shared" ref="AT450:AT513" si="67">E450/AQ450</f>
        <v>0.30709101060859856</v>
      </c>
      <c r="AU450" s="43">
        <f>IF(AND(F450&lt;&gt;"",Y450&lt;&gt;""),AA450/(F450/2/Y450),"")</f>
        <v>7.6020122973728343E-2</v>
      </c>
      <c r="AV450" s="43">
        <f>IF(AND(F450&lt;&gt;"",AJ450&lt;&gt;""),AL450/(F450/2/AJ450),"")</f>
        <v>8.049189491335941E-2</v>
      </c>
      <c r="AW450" s="41">
        <f>IF(AND(AP450&lt;&gt;"",1-(AP450/N450)&gt;0),1-(AP450/N450),"")</f>
        <v>0.93288590604026844</v>
      </c>
      <c r="AX450" s="41">
        <f>IF(AND(AE450&lt;&gt;"",1-(AE450/N450)&gt;0),1-(AE450/N450),"")</f>
        <v>0.93959731543624159</v>
      </c>
      <c r="AY450" s="136" t="str">
        <f>IF(P450="","",IF(P450&lt;2.5,"Alc. Bruta &lt; 2,5 mg/L",IF(P450&lt;5,"2,5 ≤ Alc. Bruta &lt; 5,0 mg/L",IF(P450&lt;7.5,"5,0 ≤ Alc. Bruta &lt; 7,5 mg/L",IF(P450&lt;10,"7,5 ≤ Alc. Bruta &lt; 10,0 mg/L",IF(P450&lt;15,"10,0 ≤ Alca. Bruta &lt; 15,0 mg/L","Alc. Bruta &gt; 15 mg/L"))))))</f>
        <v>7,5 ≤ Alc. Bruta &lt; 10,0 mg/L</v>
      </c>
      <c r="AZ450" s="136" t="str">
        <f>IF(O450="","",IF(O450&lt;5,"Cor &lt;5 uC",IF(O450&lt;10,"5 ≤ Cor &lt; 10 uC",IF(O450&lt;15,"10 ≤ Cor &lt;15 uC",IF(O450&lt;30,"15 ≤ Cor &lt; 30 uC",IF(O450&lt;50,"30 ≤ Cor &lt; 50 uC","Cor &gt; 50 uC"))))))</f>
        <v>10 ≤ Cor &lt;15 uC</v>
      </c>
      <c r="BA450" s="137" t="str">
        <f>IF(N450="","",IF(N450&lt;2.5,"Turbidez &lt; 2,5 uT",IF(N450&lt;5,"2,5 ≤ Turb &lt; 5,0 uT",IF(N450&lt;7.5,"5,0 ≤ Turb &lt; 7,5 uT",IF(N450&lt;10,"7,5 ≤ Turb &lt; 10,0 uT",IF(N450&lt;15,"10,0 ≤ Turb &lt; 15,0 uT","Turb &gt; 15 uT"))))))</f>
        <v>2,5 ≤ Turb &lt; 5,0 uT</v>
      </c>
      <c r="BB450" s="138" t="str">
        <f>IF(AND(C450&gt;D450,D450&gt;E450),"TOR &gt; SM &gt; BNN",IF(AND(C450&gt;E450,E450&gt;D450),"TOR &gt; BNN &gt; SM",IF(AND(D450&gt;C450,C450&gt;E450),"SM &gt; TOR &gt; BNN",IF(AND(D450&gt;E450,E450&gt;C450),"SM &gt; BNN &gt; TOR",IF(AND(C450=D450,D450=E450),"TOR = SM = BNN","Comb. diferentes")))))</f>
        <v>TOR &gt; BNN &gt; SM</v>
      </c>
      <c r="BC450" s="137" t="str">
        <f>IF(OR(AD450="",AP450="-"),"",IF(AD450&lt;=0.25,"Tipo 1 (≤0,25) uT",IF(AD450&lt;=0.5,"Tipo 2 (0,25-0,50) uT",IF(AD450&lt;=0.75,"Tipo 3 (0,50-0,75) uT","Tipo 4 (&gt;0,75) uT"))))</f>
        <v>Tipo 1 (≤0,25) uT</v>
      </c>
      <c r="BD450" s="137" t="str">
        <f>IF(OR(AO450="",AY450="-"),"",IF(AO450&lt;=0.25,"Tipo 1 (≤0,25) uT",IF(AO450&lt;=0.5,"Tipo 2 (0,25-0,50) uT",IF(AO450&lt;=0.75,"Tipo 3 (0,50-0,75) uT","Tipo 4 (&gt;0,75) uT"))))</f>
        <v>Tipo 1 (≤0,25) uT</v>
      </c>
      <c r="BE450" s="137" t="str">
        <f>IF(OR(AE450="",AP450="-"),"",IF(AE450&lt;=0.25,"Tipo 1 (≤0,25) uT",IF(AE450&lt;=0.5,"Tipo 2 (0,25-0,50) uT",IF(AE450&lt;=0.75,"Tipo 3 (0,50-0,75) uT","Tipo 4 (&gt;0,75) uT"))))</f>
        <v>Tipo 1 (≤0,25) uT</v>
      </c>
      <c r="BF450" s="137" t="str">
        <f>IF(OR(AP450="",AP450="-"),"",IF(AP450&lt;=0.25,"Tipo 1 (≤0,25) uT",IF(AP450&lt;=0.5,"Tipo 2 (0,25-0,50) uT",IF(AP450&lt;=0.75,"Tipo 3 (0,50-0,75) uT","Tipo 4 (&gt;0,75) uT"))))</f>
        <v>Tipo 1 (≤0,25) uT</v>
      </c>
      <c r="BG450" s="137" t="str">
        <f>IF(OR(Q450="",Q450="-"),"",IF(Q450&lt;=0.25,"Tipo 1 (≤0,25) uT",IF(Q450&lt;=0.5,"Tipo 2 (0,25-0,50) uT",IF(Q450&lt;=0.75,"Tipo 3 (0,50-0,75) uT","Tipo 4 (&gt;0,75) uT"))))</f>
        <v>Tipo 1 (≤0,25) uT</v>
      </c>
    </row>
    <row r="451" spans="1:59" x14ac:dyDescent="0.3">
      <c r="A451" s="26">
        <v>46173</v>
      </c>
      <c r="B451" s="107">
        <v>0.64583333333333337</v>
      </c>
      <c r="C451" s="116">
        <v>1137</v>
      </c>
      <c r="D451" s="116">
        <v>89</v>
      </c>
      <c r="E451" s="116">
        <v>550</v>
      </c>
      <c r="F451" s="116">
        <v>1853</v>
      </c>
      <c r="G451" s="10" t="s">
        <v>100</v>
      </c>
      <c r="H451" s="122">
        <v>7.3</v>
      </c>
      <c r="I451" s="116">
        <v>90</v>
      </c>
      <c r="J451" s="116">
        <v>90</v>
      </c>
      <c r="K451" s="116">
        <v>90</v>
      </c>
      <c r="L451" s="122">
        <v>23.7</v>
      </c>
      <c r="M451" s="122">
        <v>6.8</v>
      </c>
      <c r="N451" s="79">
        <v>2.78</v>
      </c>
      <c r="O451" s="116">
        <v>12</v>
      </c>
      <c r="P451" s="122">
        <v>7.3</v>
      </c>
      <c r="Q451" s="79">
        <v>7.0000000000000007E-2</v>
      </c>
      <c r="R451" s="79">
        <v>22.36</v>
      </c>
      <c r="S451" s="79">
        <v>0.88</v>
      </c>
      <c r="T451" s="79">
        <v>0.7</v>
      </c>
      <c r="U451" s="85">
        <f t="shared" si="58"/>
        <v>1209.0825</v>
      </c>
      <c r="V451" s="79">
        <f t="shared" si="59"/>
        <v>1372.556302</v>
      </c>
      <c r="W451" s="79">
        <f t="shared" si="60"/>
        <v>1.1352048367253682</v>
      </c>
      <c r="X451" s="116">
        <v>3</v>
      </c>
      <c r="Y451" s="116">
        <v>4</v>
      </c>
      <c r="Z451" s="122">
        <v>6.5</v>
      </c>
      <c r="AA451" s="116">
        <v>17</v>
      </c>
      <c r="AB451" s="122">
        <v>6.6</v>
      </c>
      <c r="AC451" s="122">
        <v>5.5</v>
      </c>
      <c r="AD451" s="10">
        <v>0.13</v>
      </c>
      <c r="AE451" s="79">
        <v>0.18</v>
      </c>
      <c r="AF451" s="85">
        <f t="shared" si="61"/>
        <v>1612.11</v>
      </c>
      <c r="AG451" s="85">
        <f t="shared" si="62"/>
        <v>1919.1883151999998</v>
      </c>
      <c r="AH451" s="85">
        <f t="shared" si="63"/>
        <v>1.1904822345869699</v>
      </c>
      <c r="AI451" s="116">
        <v>3</v>
      </c>
      <c r="AJ451" s="116">
        <v>3</v>
      </c>
      <c r="AK451" s="79">
        <v>6.45</v>
      </c>
      <c r="AL451" s="79">
        <v>24</v>
      </c>
      <c r="AM451" s="122">
        <v>6.6</v>
      </c>
      <c r="AN451" s="122">
        <v>6.1</v>
      </c>
      <c r="AO451" s="79">
        <v>0.15</v>
      </c>
      <c r="AP451" s="127">
        <v>0.19</v>
      </c>
      <c r="AQ451" s="132">
        <f t="shared" si="64"/>
        <v>1776</v>
      </c>
      <c r="AR451" s="134">
        <f t="shared" si="65"/>
        <v>0.64020270270270274</v>
      </c>
      <c r="AS451" s="134">
        <f t="shared" si="66"/>
        <v>5.0112612612612614E-2</v>
      </c>
      <c r="AT451" s="134">
        <f t="shared" si="67"/>
        <v>0.30968468468468469</v>
      </c>
      <c r="AU451" s="43">
        <f>IF(AND(F451&lt;&gt;"",Y451&lt;&gt;""),AA451/(F451/2/Y451),"")</f>
        <v>7.3394495412844041E-2</v>
      </c>
      <c r="AV451" s="43">
        <f>IF(AND(F451&lt;&gt;"",AJ451&lt;&gt;""),AL451/(F451/2/AJ451),"")</f>
        <v>7.7711818672423105E-2</v>
      </c>
      <c r="AW451" s="41">
        <f>IF(AND(AP451&lt;&gt;"",1-(AP451/N451)&gt;0),1-(AP451/N451),"")</f>
        <v>0.93165467625899279</v>
      </c>
      <c r="AX451" s="41">
        <f>IF(AND(AE451&lt;&gt;"",1-(AE451/N451)&gt;0),1-(AE451/N451),"")</f>
        <v>0.93525179856115104</v>
      </c>
      <c r="AY451" s="136" t="str">
        <f>IF(P451="","",IF(P451&lt;2.5,"Alc. Bruta &lt; 2,5 mg/L",IF(P451&lt;5,"2,5 ≤ Alc. Bruta &lt; 5,0 mg/L",IF(P451&lt;7.5,"5,0 ≤ Alc. Bruta &lt; 7,5 mg/L",IF(P451&lt;10,"7,5 ≤ Alc. Bruta &lt; 10,0 mg/L",IF(P451&lt;15,"10,0 ≤ Alca. Bruta &lt; 15,0 mg/L","Alc. Bruta &gt; 15 mg/L"))))))</f>
        <v>5,0 ≤ Alc. Bruta &lt; 7,5 mg/L</v>
      </c>
      <c r="AZ451" s="136" t="str">
        <f>IF(O451="","",IF(O451&lt;5,"Cor &lt;5 uC",IF(O451&lt;10,"5 ≤ Cor &lt; 10 uC",IF(O451&lt;15,"10 ≤ Cor &lt;15 uC",IF(O451&lt;30,"15 ≤ Cor &lt; 30 uC",IF(O451&lt;50,"30 ≤ Cor &lt; 50 uC","Cor &gt; 50 uC"))))))</f>
        <v>10 ≤ Cor &lt;15 uC</v>
      </c>
      <c r="BA451" s="137" t="str">
        <f>IF(N451="","",IF(N451&lt;2.5,"Turbidez &lt; 2,5 uT",IF(N451&lt;5,"2,5 ≤ Turb &lt; 5,0 uT",IF(N451&lt;7.5,"5,0 ≤ Turb &lt; 7,5 uT",IF(N451&lt;10,"7,5 ≤ Turb &lt; 10,0 uT",IF(N451&lt;15,"10,0 ≤ Turb &lt; 15,0 uT","Turb &gt; 15 uT"))))))</f>
        <v>2,5 ≤ Turb &lt; 5,0 uT</v>
      </c>
      <c r="BB451" s="138" t="str">
        <f>IF(AND(C451&gt;D451,D451&gt;E451),"TOR &gt; SM &gt; BNN",IF(AND(C451&gt;E451,E451&gt;D451),"TOR &gt; BNN &gt; SM",IF(AND(D451&gt;C451,C451&gt;E451),"SM &gt; TOR &gt; BNN",IF(AND(D451&gt;E451,E451&gt;C451),"SM &gt; BNN &gt; TOR",IF(AND(C451=D451,D451=E451),"TOR = SM = BNN","Comb. diferentes")))))</f>
        <v>TOR &gt; BNN &gt; SM</v>
      </c>
      <c r="BC451" s="137" t="str">
        <f>IF(OR(AD451="",AP451="-"),"",IF(AD451&lt;=0.25,"Tipo 1 (≤0,25) uT",IF(AD451&lt;=0.5,"Tipo 2 (0,25-0,50) uT",IF(AD451&lt;=0.75,"Tipo 3 (0,50-0,75) uT","Tipo 4 (&gt;0,75) uT"))))</f>
        <v>Tipo 1 (≤0,25) uT</v>
      </c>
      <c r="BD451" s="137" t="str">
        <f>IF(OR(AO451="",AY451="-"),"",IF(AO451&lt;=0.25,"Tipo 1 (≤0,25) uT",IF(AO451&lt;=0.5,"Tipo 2 (0,25-0,50) uT",IF(AO451&lt;=0.75,"Tipo 3 (0,50-0,75) uT","Tipo 4 (&gt;0,75) uT"))))</f>
        <v>Tipo 1 (≤0,25) uT</v>
      </c>
      <c r="BE451" s="137" t="str">
        <f>IF(OR(AE451="",AP451="-"),"",IF(AE451&lt;=0.25,"Tipo 1 (≤0,25) uT",IF(AE451&lt;=0.5,"Tipo 2 (0,25-0,50) uT",IF(AE451&lt;=0.75,"Tipo 3 (0,50-0,75) uT","Tipo 4 (&gt;0,75) uT"))))</f>
        <v>Tipo 1 (≤0,25) uT</v>
      </c>
      <c r="BF451" s="137" t="str">
        <f>IF(OR(AP451="",AP451="-"),"",IF(AP451&lt;=0.25,"Tipo 1 (≤0,25) uT",IF(AP451&lt;=0.5,"Tipo 2 (0,25-0,50) uT",IF(AP451&lt;=0.75,"Tipo 3 (0,50-0,75) uT","Tipo 4 (&gt;0,75) uT"))))</f>
        <v>Tipo 1 (≤0,25) uT</v>
      </c>
      <c r="BG451" s="137" t="str">
        <f>IF(OR(Q451="",Q451="-"),"",IF(Q451&lt;=0.25,"Tipo 1 (≤0,25) uT",IF(Q451&lt;=0.5,"Tipo 2 (0,25-0,50) uT",IF(Q451&lt;=0.75,"Tipo 3 (0,50-0,75) uT","Tipo 4 (&gt;0,75) uT"))))</f>
        <v>Tipo 1 (≤0,25) uT</v>
      </c>
    </row>
    <row r="452" spans="1:59" x14ac:dyDescent="0.3">
      <c r="A452" s="26">
        <v>46173</v>
      </c>
      <c r="B452" s="107">
        <v>0.72916666666666663</v>
      </c>
      <c r="C452" s="116">
        <v>1159</v>
      </c>
      <c r="D452" s="116">
        <v>87</v>
      </c>
      <c r="E452" s="116">
        <v>550</v>
      </c>
      <c r="F452" s="116">
        <v>1883</v>
      </c>
      <c r="G452" s="10" t="s">
        <v>100</v>
      </c>
      <c r="H452" s="122">
        <v>7.3</v>
      </c>
      <c r="I452" s="116">
        <v>90</v>
      </c>
      <c r="J452" s="116">
        <v>90</v>
      </c>
      <c r="K452" s="116">
        <v>90</v>
      </c>
      <c r="L452" s="122">
        <v>23</v>
      </c>
      <c r="M452" s="122">
        <v>6.7</v>
      </c>
      <c r="N452" s="79">
        <v>2.97</v>
      </c>
      <c r="O452" s="116">
        <v>13</v>
      </c>
      <c r="P452" s="122">
        <v>7.4</v>
      </c>
      <c r="Q452" s="79">
        <v>0.08</v>
      </c>
      <c r="R452" s="79">
        <v>22.36</v>
      </c>
      <c r="S452" s="79">
        <v>0.88</v>
      </c>
      <c r="T452" s="79">
        <v>0.7</v>
      </c>
      <c r="U452" s="85">
        <f t="shared" si="58"/>
        <v>1273.3787500000001</v>
      </c>
      <c r="V452" s="79">
        <f t="shared" si="59"/>
        <v>1372.556302</v>
      </c>
      <c r="W452" s="79">
        <f t="shared" si="60"/>
        <v>1.0778853518640858</v>
      </c>
      <c r="X452" s="116">
        <v>3</v>
      </c>
      <c r="Y452" s="116">
        <v>4</v>
      </c>
      <c r="Z452" s="122">
        <v>6.5</v>
      </c>
      <c r="AA452" s="116">
        <v>17</v>
      </c>
      <c r="AB452" s="122">
        <v>6.5</v>
      </c>
      <c r="AC452" s="122">
        <v>6.4</v>
      </c>
      <c r="AD452" s="10">
        <v>0.11</v>
      </c>
      <c r="AE452" s="79">
        <v>0.19</v>
      </c>
      <c r="AF452" s="85">
        <f t="shared" si="61"/>
        <v>1697.8383333333334</v>
      </c>
      <c r="AG452" s="85">
        <f t="shared" si="62"/>
        <v>1919.1883151999998</v>
      </c>
      <c r="AH452" s="85">
        <f t="shared" si="63"/>
        <v>1.1303716481840143</v>
      </c>
      <c r="AI452" s="116">
        <v>3</v>
      </c>
      <c r="AJ452" s="116">
        <v>3</v>
      </c>
      <c r="AK452" s="79">
        <v>6.45</v>
      </c>
      <c r="AL452" s="79">
        <v>24</v>
      </c>
      <c r="AM452" s="122">
        <v>6.6</v>
      </c>
      <c r="AN452" s="122">
        <v>6.5</v>
      </c>
      <c r="AO452" s="79">
        <v>0.17</v>
      </c>
      <c r="AP452" s="127">
        <v>0.17</v>
      </c>
      <c r="AQ452" s="132">
        <f t="shared" si="64"/>
        <v>1796</v>
      </c>
      <c r="AR452" s="134">
        <f t="shared" si="65"/>
        <v>0.64532293986636968</v>
      </c>
      <c r="AS452" s="134">
        <f t="shared" si="66"/>
        <v>4.844097995545657E-2</v>
      </c>
      <c r="AT452" s="134">
        <f t="shared" si="67"/>
        <v>0.30623608017817372</v>
      </c>
      <c r="AU452" s="43">
        <f>IF(AND(F452&lt;&gt;"",Y452&lt;&gt;""),AA452/(F452/2/Y452),"")</f>
        <v>7.2225172596919809E-2</v>
      </c>
      <c r="AV452" s="43">
        <f>IF(AND(F452&lt;&gt;"",AJ452&lt;&gt;""),AL452/(F452/2/AJ452),"")</f>
        <v>7.647371216144451E-2</v>
      </c>
      <c r="AW452" s="41">
        <f>IF(AND(AP452&lt;&gt;"",1-(AP452/N452)&gt;0),1-(AP452/N452),"")</f>
        <v>0.9427609427609428</v>
      </c>
      <c r="AX452" s="41">
        <f>IF(AND(AE452&lt;&gt;"",1-(AE452/N452)&gt;0),1-(AE452/N452),"")</f>
        <v>0.93602693602693599</v>
      </c>
      <c r="AY452" s="136" t="str">
        <f>IF(P452="","",IF(P452&lt;2.5,"Alc. Bruta &lt; 2,5 mg/L",IF(P452&lt;5,"2,5 ≤ Alc. Bruta &lt; 5,0 mg/L",IF(P452&lt;7.5,"5,0 ≤ Alc. Bruta &lt; 7,5 mg/L",IF(P452&lt;10,"7,5 ≤ Alc. Bruta &lt; 10,0 mg/L",IF(P452&lt;15,"10,0 ≤ Alca. Bruta &lt; 15,0 mg/L","Alc. Bruta &gt; 15 mg/L"))))))</f>
        <v>5,0 ≤ Alc. Bruta &lt; 7,5 mg/L</v>
      </c>
      <c r="AZ452" s="136" t="str">
        <f>IF(O452="","",IF(O452&lt;5,"Cor &lt;5 uC",IF(O452&lt;10,"5 ≤ Cor &lt; 10 uC",IF(O452&lt;15,"10 ≤ Cor &lt;15 uC",IF(O452&lt;30,"15 ≤ Cor &lt; 30 uC",IF(O452&lt;50,"30 ≤ Cor &lt; 50 uC","Cor &gt; 50 uC"))))))</f>
        <v>10 ≤ Cor &lt;15 uC</v>
      </c>
      <c r="BA452" s="137" t="str">
        <f>IF(N452="","",IF(N452&lt;2.5,"Turbidez &lt; 2,5 uT",IF(N452&lt;5,"2,5 ≤ Turb &lt; 5,0 uT",IF(N452&lt;7.5,"5,0 ≤ Turb &lt; 7,5 uT",IF(N452&lt;10,"7,5 ≤ Turb &lt; 10,0 uT",IF(N452&lt;15,"10,0 ≤ Turb &lt; 15,0 uT","Turb &gt; 15 uT"))))))</f>
        <v>2,5 ≤ Turb &lt; 5,0 uT</v>
      </c>
      <c r="BB452" s="138" t="str">
        <f>IF(AND(C452&gt;D452,D452&gt;E452),"TOR &gt; SM &gt; BNN",IF(AND(C452&gt;E452,E452&gt;D452),"TOR &gt; BNN &gt; SM",IF(AND(D452&gt;C452,C452&gt;E452),"SM &gt; TOR &gt; BNN",IF(AND(D452&gt;E452,E452&gt;C452),"SM &gt; BNN &gt; TOR",IF(AND(C452=D452,D452=E452),"TOR = SM = BNN","Comb. diferentes")))))</f>
        <v>TOR &gt; BNN &gt; SM</v>
      </c>
      <c r="BC452" s="137" t="str">
        <f>IF(OR(AD452="",AP452="-"),"",IF(AD452&lt;=0.25,"Tipo 1 (≤0,25) uT",IF(AD452&lt;=0.5,"Tipo 2 (0,25-0,50) uT",IF(AD452&lt;=0.75,"Tipo 3 (0,50-0,75) uT","Tipo 4 (&gt;0,75) uT"))))</f>
        <v>Tipo 1 (≤0,25) uT</v>
      </c>
      <c r="BD452" s="137" t="str">
        <f>IF(OR(AO452="",AY452="-"),"",IF(AO452&lt;=0.25,"Tipo 1 (≤0,25) uT",IF(AO452&lt;=0.5,"Tipo 2 (0,25-0,50) uT",IF(AO452&lt;=0.75,"Tipo 3 (0,50-0,75) uT","Tipo 4 (&gt;0,75) uT"))))</f>
        <v>Tipo 1 (≤0,25) uT</v>
      </c>
      <c r="BE452" s="137" t="str">
        <f>IF(OR(AE452="",AP452="-"),"",IF(AE452&lt;=0.25,"Tipo 1 (≤0,25) uT",IF(AE452&lt;=0.5,"Tipo 2 (0,25-0,50) uT",IF(AE452&lt;=0.75,"Tipo 3 (0,50-0,75) uT","Tipo 4 (&gt;0,75) uT"))))</f>
        <v>Tipo 1 (≤0,25) uT</v>
      </c>
      <c r="BF452" s="137" t="str">
        <f>IF(OR(AP452="",AP452="-"),"",IF(AP452&lt;=0.25,"Tipo 1 (≤0,25) uT",IF(AP452&lt;=0.5,"Tipo 2 (0,25-0,50) uT",IF(AP452&lt;=0.75,"Tipo 3 (0,50-0,75) uT","Tipo 4 (&gt;0,75) uT"))))</f>
        <v>Tipo 1 (≤0,25) uT</v>
      </c>
      <c r="BG452" s="137" t="str">
        <f>IF(OR(Q452="",Q452="-"),"",IF(Q452&lt;=0.25,"Tipo 1 (≤0,25) uT",IF(Q452&lt;=0.5,"Tipo 2 (0,25-0,50) uT",IF(Q452&lt;=0.75,"Tipo 3 (0,50-0,75) uT","Tipo 4 (&gt;0,75) uT"))))</f>
        <v>Tipo 1 (≤0,25) uT</v>
      </c>
    </row>
    <row r="453" spans="1:59" x14ac:dyDescent="0.3">
      <c r="A453" s="26">
        <v>46173</v>
      </c>
      <c r="B453" s="107">
        <v>0.8125</v>
      </c>
      <c r="C453" s="116">
        <v>1137</v>
      </c>
      <c r="D453" s="116">
        <v>89</v>
      </c>
      <c r="E453" s="116">
        <v>549</v>
      </c>
      <c r="F453" s="116">
        <v>1885</v>
      </c>
      <c r="G453" s="10" t="s">
        <v>100</v>
      </c>
      <c r="H453" s="122">
        <v>7.3</v>
      </c>
      <c r="I453" s="116">
        <v>90</v>
      </c>
      <c r="J453" s="116">
        <v>90</v>
      </c>
      <c r="K453" s="116">
        <v>90</v>
      </c>
      <c r="L453" s="122">
        <v>23.9</v>
      </c>
      <c r="M453" s="122">
        <v>6.9</v>
      </c>
      <c r="N453" s="79">
        <v>3</v>
      </c>
      <c r="O453" s="116">
        <v>11</v>
      </c>
      <c r="P453" s="122">
        <v>9.4</v>
      </c>
      <c r="Q453" s="79">
        <v>7.0000000000000007E-2</v>
      </c>
      <c r="R453" s="79">
        <v>22.36</v>
      </c>
      <c r="S453" s="79">
        <v>0.88</v>
      </c>
      <c r="T453" s="79">
        <v>0.7</v>
      </c>
      <c r="U453" s="85">
        <f t="shared" si="58"/>
        <v>1281.8</v>
      </c>
      <c r="V453" s="79">
        <f t="shared" si="59"/>
        <v>1548.8268010071997</v>
      </c>
      <c r="W453" s="79">
        <f t="shared" si="60"/>
        <v>1.2083217358458416</v>
      </c>
      <c r="X453" s="116">
        <v>2</v>
      </c>
      <c r="Y453" s="116">
        <v>4</v>
      </c>
      <c r="Z453" s="122">
        <v>6.49</v>
      </c>
      <c r="AA453" s="116">
        <v>19.22</v>
      </c>
      <c r="AB453" s="122">
        <v>6.7</v>
      </c>
      <c r="AC453" s="122">
        <v>8.1</v>
      </c>
      <c r="AD453" s="10">
        <v>0.15</v>
      </c>
      <c r="AE453" s="79">
        <v>0.2</v>
      </c>
      <c r="AF453" s="85">
        <f t="shared" si="61"/>
        <v>1709.0666666666666</v>
      </c>
      <c r="AG453" s="85">
        <f t="shared" si="62"/>
        <v>1935.3043858200001</v>
      </c>
      <c r="AH453" s="85">
        <f t="shared" si="63"/>
        <v>1.1323750112068967</v>
      </c>
      <c r="AI453" s="116">
        <v>2</v>
      </c>
      <c r="AJ453" s="116">
        <v>3</v>
      </c>
      <c r="AK453" s="79">
        <v>6.5</v>
      </c>
      <c r="AL453" s="79">
        <v>23.97</v>
      </c>
      <c r="AM453" s="122">
        <v>6.5</v>
      </c>
      <c r="AN453" s="122">
        <v>6.3</v>
      </c>
      <c r="AO453" s="79">
        <v>0.2</v>
      </c>
      <c r="AP453" s="127">
        <v>0.17</v>
      </c>
      <c r="AQ453" s="132">
        <f t="shared" si="64"/>
        <v>1775</v>
      </c>
      <c r="AR453" s="134">
        <f t="shared" si="65"/>
        <v>0.64056338028169013</v>
      </c>
      <c r="AS453" s="134">
        <f t="shared" si="66"/>
        <v>5.0140845070422532E-2</v>
      </c>
      <c r="AT453" s="134">
        <f t="shared" si="67"/>
        <v>0.30929577464788732</v>
      </c>
      <c r="AU453" s="43">
        <f>IF(AND(F453&lt;&gt;"",Y453&lt;&gt;""),AA453/(F453/2/Y453),"")</f>
        <v>8.1570291777188331E-2</v>
      </c>
      <c r="AV453" s="43">
        <f>IF(AND(F453&lt;&gt;"",AJ453&lt;&gt;""),AL453/(F453/2/AJ453),"")</f>
        <v>7.6297082228116708E-2</v>
      </c>
      <c r="AW453" s="41">
        <f>IF(AND(AP453&lt;&gt;"",1-(AP453/N453)&gt;0),1-(AP453/N453),"")</f>
        <v>0.94333333333333336</v>
      </c>
      <c r="AX453" s="41">
        <f>IF(AND(AE453&lt;&gt;"",1-(AE453/N453)&gt;0),1-(AE453/N453),"")</f>
        <v>0.93333333333333335</v>
      </c>
      <c r="AY453" s="136" t="str">
        <f>IF(P453="","",IF(P453&lt;2.5,"Alc. Bruta &lt; 2,5 mg/L",IF(P453&lt;5,"2,5 ≤ Alc. Bruta &lt; 5,0 mg/L",IF(P453&lt;7.5,"5,0 ≤ Alc. Bruta &lt; 7,5 mg/L",IF(P453&lt;10,"7,5 ≤ Alc. Bruta &lt; 10,0 mg/L",IF(P453&lt;15,"10,0 ≤ Alca. Bruta &lt; 15,0 mg/L","Alc. Bruta &gt; 15 mg/L"))))))</f>
        <v>7,5 ≤ Alc. Bruta &lt; 10,0 mg/L</v>
      </c>
      <c r="AZ453" s="136" t="str">
        <f>IF(O453="","",IF(O453&lt;5,"Cor &lt;5 uC",IF(O453&lt;10,"5 ≤ Cor &lt; 10 uC",IF(O453&lt;15,"10 ≤ Cor &lt;15 uC",IF(O453&lt;30,"15 ≤ Cor &lt; 30 uC",IF(O453&lt;50,"30 ≤ Cor &lt; 50 uC","Cor &gt; 50 uC"))))))</f>
        <v>10 ≤ Cor &lt;15 uC</v>
      </c>
      <c r="BA453" s="137" t="str">
        <f>IF(N453="","",IF(N453&lt;2.5,"Turbidez &lt; 2,5 uT",IF(N453&lt;5,"2,5 ≤ Turb &lt; 5,0 uT",IF(N453&lt;7.5,"5,0 ≤ Turb &lt; 7,5 uT",IF(N453&lt;10,"7,5 ≤ Turb &lt; 10,0 uT",IF(N453&lt;15,"10,0 ≤ Turb &lt; 15,0 uT","Turb &gt; 15 uT"))))))</f>
        <v>2,5 ≤ Turb &lt; 5,0 uT</v>
      </c>
      <c r="BB453" s="138" t="str">
        <f>IF(AND(C453&gt;D453,D453&gt;E453),"TOR &gt; SM &gt; BNN",IF(AND(C453&gt;E453,E453&gt;D453),"TOR &gt; BNN &gt; SM",IF(AND(D453&gt;C453,C453&gt;E453),"SM &gt; TOR &gt; BNN",IF(AND(D453&gt;E453,E453&gt;C453),"SM &gt; BNN &gt; TOR",IF(AND(C453=D453,D453=E453),"TOR = SM = BNN","Comb. diferentes")))))</f>
        <v>TOR &gt; BNN &gt; SM</v>
      </c>
      <c r="BC453" s="137" t="str">
        <f>IF(OR(AD453="",AP453="-"),"",IF(AD453&lt;=0.25,"Tipo 1 (≤0,25) uT",IF(AD453&lt;=0.5,"Tipo 2 (0,25-0,50) uT",IF(AD453&lt;=0.75,"Tipo 3 (0,50-0,75) uT","Tipo 4 (&gt;0,75) uT"))))</f>
        <v>Tipo 1 (≤0,25) uT</v>
      </c>
      <c r="BD453" s="137" t="str">
        <f>IF(OR(AO453="",AY453="-"),"",IF(AO453&lt;=0.25,"Tipo 1 (≤0,25) uT",IF(AO453&lt;=0.5,"Tipo 2 (0,25-0,50) uT",IF(AO453&lt;=0.75,"Tipo 3 (0,50-0,75) uT","Tipo 4 (&gt;0,75) uT"))))</f>
        <v>Tipo 1 (≤0,25) uT</v>
      </c>
      <c r="BE453" s="137" t="str">
        <f>IF(OR(AE453="",AP453="-"),"",IF(AE453&lt;=0.25,"Tipo 1 (≤0,25) uT",IF(AE453&lt;=0.5,"Tipo 2 (0,25-0,50) uT",IF(AE453&lt;=0.75,"Tipo 3 (0,50-0,75) uT","Tipo 4 (&gt;0,75) uT"))))</f>
        <v>Tipo 1 (≤0,25) uT</v>
      </c>
      <c r="BF453" s="137" t="str">
        <f>IF(OR(AP453="",AP453="-"),"",IF(AP453&lt;=0.25,"Tipo 1 (≤0,25) uT",IF(AP453&lt;=0.5,"Tipo 2 (0,25-0,50) uT",IF(AP453&lt;=0.75,"Tipo 3 (0,50-0,75) uT","Tipo 4 (&gt;0,75) uT"))))</f>
        <v>Tipo 1 (≤0,25) uT</v>
      </c>
      <c r="BG453" s="137" t="str">
        <f>IF(OR(Q453="",Q453="-"),"",IF(Q453&lt;=0.25,"Tipo 1 (≤0,25) uT",IF(Q453&lt;=0.5,"Tipo 2 (0,25-0,50) uT",IF(Q453&lt;=0.75,"Tipo 3 (0,50-0,75) uT","Tipo 4 (&gt;0,75) uT"))))</f>
        <v>Tipo 1 (≤0,25) uT</v>
      </c>
    </row>
    <row r="454" spans="1:59" x14ac:dyDescent="0.3">
      <c r="A454" s="26">
        <v>46173</v>
      </c>
      <c r="B454" s="107">
        <v>0.89583333333333337</v>
      </c>
      <c r="C454" s="116">
        <v>1198</v>
      </c>
      <c r="D454" s="116">
        <v>89</v>
      </c>
      <c r="E454" s="116">
        <v>550</v>
      </c>
      <c r="F454" s="116">
        <v>1890</v>
      </c>
      <c r="G454" s="10" t="s">
        <v>100</v>
      </c>
      <c r="H454" s="122">
        <v>7.3</v>
      </c>
      <c r="I454" s="116">
        <v>90</v>
      </c>
      <c r="J454" s="116">
        <v>90</v>
      </c>
      <c r="K454" s="116">
        <v>90</v>
      </c>
      <c r="L454" s="122">
        <v>23.3</v>
      </c>
      <c r="M454" s="122">
        <v>6.9</v>
      </c>
      <c r="N454" s="79">
        <v>2.77</v>
      </c>
      <c r="O454" s="116">
        <v>12</v>
      </c>
      <c r="P454" s="122">
        <v>8.1999999999999993</v>
      </c>
      <c r="Q454" s="79">
        <v>7.0000000000000007E-2</v>
      </c>
      <c r="R454" s="79">
        <v>22.36</v>
      </c>
      <c r="S454" s="79">
        <v>0.88</v>
      </c>
      <c r="T454" s="79">
        <v>0.7</v>
      </c>
      <c r="U454" s="85">
        <f t="shared" si="58"/>
        <v>1230.8625</v>
      </c>
      <c r="V454" s="79">
        <f t="shared" si="59"/>
        <v>1372.556302</v>
      </c>
      <c r="W454" s="79">
        <f t="shared" si="60"/>
        <v>1.1151174903776824</v>
      </c>
      <c r="X454" s="116">
        <v>2</v>
      </c>
      <c r="Y454" s="116">
        <v>4</v>
      </c>
      <c r="Z454" s="122">
        <v>6.5</v>
      </c>
      <c r="AA454" s="116">
        <v>17</v>
      </c>
      <c r="AB454" s="122">
        <v>6.7</v>
      </c>
      <c r="AC454" s="122">
        <v>7.2</v>
      </c>
      <c r="AD454" s="10">
        <v>0.14000000000000001</v>
      </c>
      <c r="AE454" s="79">
        <v>0.17</v>
      </c>
      <c r="AF454" s="85">
        <f t="shared" si="61"/>
        <v>1641.15</v>
      </c>
      <c r="AG454" s="85">
        <f t="shared" si="62"/>
        <v>1846.3284564400001</v>
      </c>
      <c r="AH454" s="85">
        <f t="shared" si="63"/>
        <v>1.1250211476342808</v>
      </c>
      <c r="AI454" s="116">
        <v>2</v>
      </c>
      <c r="AJ454" s="116">
        <v>3</v>
      </c>
      <c r="AK454" s="79">
        <v>6.47</v>
      </c>
      <c r="AL454" s="79">
        <v>23</v>
      </c>
      <c r="AM454" s="122">
        <v>6.5</v>
      </c>
      <c r="AN454" s="122">
        <v>5.5</v>
      </c>
      <c r="AO454" s="79">
        <v>0.26</v>
      </c>
      <c r="AP454" s="127">
        <v>0.18</v>
      </c>
      <c r="AQ454" s="132">
        <f t="shared" si="64"/>
        <v>1837</v>
      </c>
      <c r="AR454" s="134">
        <f t="shared" si="65"/>
        <v>0.65215024496461627</v>
      </c>
      <c r="AS454" s="134">
        <f t="shared" si="66"/>
        <v>4.8448557430593356E-2</v>
      </c>
      <c r="AT454" s="134">
        <f t="shared" si="67"/>
        <v>0.29940119760479039</v>
      </c>
      <c r="AU454" s="43">
        <f>IF(AND(F454&lt;&gt;"",Y454&lt;&gt;""),AA454/(F454/2/Y454),"")</f>
        <v>7.1957671957671956E-2</v>
      </c>
      <c r="AV454" s="43">
        <f>IF(AND(F454&lt;&gt;"",AJ454&lt;&gt;""),AL454/(F454/2/AJ454),"")</f>
        <v>7.301587301587302E-2</v>
      </c>
      <c r="AW454" s="41">
        <f>IF(AND(AP454&lt;&gt;"",1-(AP454/N454)&gt;0),1-(AP454/N454),"")</f>
        <v>0.93501805054151621</v>
      </c>
      <c r="AX454" s="41">
        <f>IF(AND(AE454&lt;&gt;"",1-(AE454/N454)&gt;0),1-(AE454/N454),"")</f>
        <v>0.93862815884476536</v>
      </c>
      <c r="AY454" s="136" t="str">
        <f>IF(P454="","",IF(P454&lt;2.5,"Alc. Bruta &lt; 2,5 mg/L",IF(P454&lt;5,"2,5 ≤ Alc. Bruta &lt; 5,0 mg/L",IF(P454&lt;7.5,"5,0 ≤ Alc. Bruta &lt; 7,5 mg/L",IF(P454&lt;10,"7,5 ≤ Alc. Bruta &lt; 10,0 mg/L",IF(P454&lt;15,"10,0 ≤ Alca. Bruta &lt; 15,0 mg/L","Alc. Bruta &gt; 15 mg/L"))))))</f>
        <v>7,5 ≤ Alc. Bruta &lt; 10,0 mg/L</v>
      </c>
      <c r="AZ454" s="136" t="str">
        <f>IF(O454="","",IF(O454&lt;5,"Cor &lt;5 uC",IF(O454&lt;10,"5 ≤ Cor &lt; 10 uC",IF(O454&lt;15,"10 ≤ Cor &lt;15 uC",IF(O454&lt;30,"15 ≤ Cor &lt; 30 uC",IF(O454&lt;50,"30 ≤ Cor &lt; 50 uC","Cor &gt; 50 uC"))))))</f>
        <v>10 ≤ Cor &lt;15 uC</v>
      </c>
      <c r="BA454" s="137" t="str">
        <f>IF(N454="","",IF(N454&lt;2.5,"Turbidez &lt; 2,5 uT",IF(N454&lt;5,"2,5 ≤ Turb &lt; 5,0 uT",IF(N454&lt;7.5,"5,0 ≤ Turb &lt; 7,5 uT",IF(N454&lt;10,"7,5 ≤ Turb &lt; 10,0 uT",IF(N454&lt;15,"10,0 ≤ Turb &lt; 15,0 uT","Turb &gt; 15 uT"))))))</f>
        <v>2,5 ≤ Turb &lt; 5,0 uT</v>
      </c>
      <c r="BB454" s="138" t="str">
        <f>IF(AND(C454&gt;D454,D454&gt;E454),"TOR &gt; SM &gt; BNN",IF(AND(C454&gt;E454,E454&gt;D454),"TOR &gt; BNN &gt; SM",IF(AND(D454&gt;C454,C454&gt;E454),"SM &gt; TOR &gt; BNN",IF(AND(D454&gt;E454,E454&gt;C454),"SM &gt; BNN &gt; TOR",IF(AND(C454=D454,D454=E454),"TOR = SM = BNN","Comb. diferentes")))))</f>
        <v>TOR &gt; BNN &gt; SM</v>
      </c>
      <c r="BC454" s="137" t="str">
        <f>IF(OR(AD454="",AP454="-"),"",IF(AD454&lt;=0.25,"Tipo 1 (≤0,25) uT",IF(AD454&lt;=0.5,"Tipo 2 (0,25-0,50) uT",IF(AD454&lt;=0.75,"Tipo 3 (0,50-0,75) uT","Tipo 4 (&gt;0,75) uT"))))</f>
        <v>Tipo 1 (≤0,25) uT</v>
      </c>
      <c r="BD454" s="137" t="str">
        <f>IF(OR(AO454="",AY454="-"),"",IF(AO454&lt;=0.25,"Tipo 1 (≤0,25) uT",IF(AO454&lt;=0.5,"Tipo 2 (0,25-0,50) uT",IF(AO454&lt;=0.75,"Tipo 3 (0,50-0,75) uT","Tipo 4 (&gt;0,75) uT"))))</f>
        <v>Tipo 2 (0,25-0,50) uT</v>
      </c>
      <c r="BE454" s="137" t="str">
        <f>IF(OR(AE454="",AP454="-"),"",IF(AE454&lt;=0.25,"Tipo 1 (≤0,25) uT",IF(AE454&lt;=0.5,"Tipo 2 (0,25-0,50) uT",IF(AE454&lt;=0.75,"Tipo 3 (0,50-0,75) uT","Tipo 4 (&gt;0,75) uT"))))</f>
        <v>Tipo 1 (≤0,25) uT</v>
      </c>
      <c r="BF454" s="137" t="str">
        <f>IF(OR(AP454="",AP454="-"),"",IF(AP454&lt;=0.25,"Tipo 1 (≤0,25) uT",IF(AP454&lt;=0.5,"Tipo 2 (0,25-0,50) uT",IF(AP454&lt;=0.75,"Tipo 3 (0,50-0,75) uT","Tipo 4 (&gt;0,75) uT"))))</f>
        <v>Tipo 1 (≤0,25) uT</v>
      </c>
      <c r="BG454" s="137" t="str">
        <f>IF(OR(Q454="",Q454="-"),"",IF(Q454&lt;=0.25,"Tipo 1 (≤0,25) uT",IF(Q454&lt;=0.5,"Tipo 2 (0,25-0,50) uT",IF(Q454&lt;=0.75,"Tipo 3 (0,50-0,75) uT","Tipo 4 (&gt;0,75) uT"))))</f>
        <v>Tipo 1 (≤0,25) uT</v>
      </c>
    </row>
    <row r="455" spans="1:59" x14ac:dyDescent="0.3">
      <c r="A455" s="26">
        <v>46174</v>
      </c>
      <c r="B455" s="107">
        <v>6.25E-2</v>
      </c>
      <c r="C455" s="116">
        <v>1139</v>
      </c>
      <c r="D455" s="116">
        <v>90</v>
      </c>
      <c r="E455" s="116">
        <v>549</v>
      </c>
      <c r="F455" s="116">
        <v>1822</v>
      </c>
      <c r="G455" s="10" t="s">
        <v>100</v>
      </c>
      <c r="H455" s="122">
        <v>7.3</v>
      </c>
      <c r="I455" s="116">
        <v>90</v>
      </c>
      <c r="J455" s="116">
        <v>90</v>
      </c>
      <c r="K455" s="116">
        <v>90</v>
      </c>
      <c r="L455" s="122">
        <v>22.7</v>
      </c>
      <c r="M455" s="122">
        <v>6.8</v>
      </c>
      <c r="N455" s="79">
        <v>2.56</v>
      </c>
      <c r="O455" s="116">
        <v>9</v>
      </c>
      <c r="P455" s="122">
        <v>7.9</v>
      </c>
      <c r="Q455" s="79">
        <v>7.0000000000000007E-2</v>
      </c>
      <c r="R455" s="79">
        <v>22.36</v>
      </c>
      <c r="S455" s="79">
        <v>0.88</v>
      </c>
      <c r="T455" s="79">
        <v>0.7</v>
      </c>
      <c r="U455" s="85">
        <f t="shared" si="58"/>
        <v>1138.75</v>
      </c>
      <c r="V455" s="79">
        <f t="shared" si="59"/>
        <v>1455.7764029119999</v>
      </c>
      <c r="W455" s="79">
        <f t="shared" si="60"/>
        <v>1.2783985975077936</v>
      </c>
      <c r="X455" s="116">
        <v>2</v>
      </c>
      <c r="Y455" s="116">
        <v>4</v>
      </c>
      <c r="Z455" s="122">
        <v>6.48</v>
      </c>
      <c r="AA455" s="116">
        <v>18.100000000000001</v>
      </c>
      <c r="AB455" s="122">
        <v>6.6</v>
      </c>
      <c r="AC455" s="122">
        <v>7.4</v>
      </c>
      <c r="AD455" s="10">
        <v>0.28999999999999998</v>
      </c>
      <c r="AE455" s="79">
        <v>0.18</v>
      </c>
      <c r="AF455" s="85">
        <f t="shared" si="61"/>
        <v>1518.3333333333335</v>
      </c>
      <c r="AG455" s="85">
        <f t="shared" si="62"/>
        <v>1934.0188982399998</v>
      </c>
      <c r="AH455" s="85">
        <f t="shared" si="63"/>
        <v>1.2737775400043905</v>
      </c>
      <c r="AI455" s="116">
        <v>2</v>
      </c>
      <c r="AJ455" s="116">
        <v>3</v>
      </c>
      <c r="AK455" s="79">
        <v>6.49</v>
      </c>
      <c r="AL455" s="79">
        <v>24</v>
      </c>
      <c r="AM455" s="122">
        <v>6.5</v>
      </c>
      <c r="AN455" s="122">
        <v>7.7</v>
      </c>
      <c r="AO455" s="79">
        <v>0.23</v>
      </c>
      <c r="AP455" s="127">
        <v>0.16</v>
      </c>
      <c r="AQ455" s="132">
        <f t="shared" si="64"/>
        <v>1778</v>
      </c>
      <c r="AR455" s="134">
        <f t="shared" si="65"/>
        <v>0.64060742407199101</v>
      </c>
      <c r="AS455" s="134">
        <f t="shared" si="66"/>
        <v>5.0618672665916763E-2</v>
      </c>
      <c r="AT455" s="134">
        <f t="shared" si="67"/>
        <v>0.30877390326209225</v>
      </c>
      <c r="AU455" s="43">
        <f>IF(AND(F455&lt;&gt;"",Y455&lt;&gt;""),AA455/(F455/2/Y455),"")</f>
        <v>7.947310647639956E-2</v>
      </c>
      <c r="AV455" s="43">
        <f>IF(AND(F455&lt;&gt;"",AJ455&lt;&gt;""),AL455/(F455/2/AJ455),"")</f>
        <v>7.9034028540065859E-2</v>
      </c>
      <c r="AW455" s="41">
        <f>IF(AND(AP455&lt;&gt;"",1-(AP455/N455)&gt;0),1-(AP455/N455),"")</f>
        <v>0.9375</v>
      </c>
      <c r="AX455" s="41">
        <f>IF(AND(AE455&lt;&gt;"",1-(AE455/N455)&gt;0),1-(AE455/N455),"")</f>
        <v>0.9296875</v>
      </c>
      <c r="AY455" s="136" t="str">
        <f>IF(P455="","",IF(P455&lt;2.5,"Alc. Bruta &lt; 2,5 mg/L",IF(P455&lt;5,"2,5 ≤ Alc. Bruta &lt; 5,0 mg/L",IF(P455&lt;7.5,"5,0 ≤ Alc. Bruta &lt; 7,5 mg/L",IF(P455&lt;10,"7,5 ≤ Alc. Bruta &lt; 10,0 mg/L",IF(P455&lt;15,"10,0 ≤ Alca. Bruta &lt; 15,0 mg/L","Alc. Bruta &gt; 15 mg/L"))))))</f>
        <v>7,5 ≤ Alc. Bruta &lt; 10,0 mg/L</v>
      </c>
      <c r="AZ455" s="136" t="str">
        <f>IF(O455="","",IF(O455&lt;5,"Cor &lt;5 uC",IF(O455&lt;10,"5 ≤ Cor &lt; 10 uC",IF(O455&lt;15,"10 ≤ Cor &lt;15 uC",IF(O455&lt;30,"15 ≤ Cor &lt; 30 uC",IF(O455&lt;50,"30 ≤ Cor &lt; 50 uC","Cor &gt; 50 uC"))))))</f>
        <v>5 ≤ Cor &lt; 10 uC</v>
      </c>
      <c r="BA455" s="137" t="str">
        <f>IF(N455="","",IF(N455&lt;2.5,"Turbidez &lt; 2,5 uT",IF(N455&lt;5,"2,5 ≤ Turb &lt; 5,0 uT",IF(N455&lt;7.5,"5,0 ≤ Turb &lt; 7,5 uT",IF(N455&lt;10,"7,5 ≤ Turb &lt; 10,0 uT",IF(N455&lt;15,"10,0 ≤ Turb &lt; 15,0 uT","Turb &gt; 15 uT"))))))</f>
        <v>2,5 ≤ Turb &lt; 5,0 uT</v>
      </c>
      <c r="BB455" s="138" t="str">
        <f>IF(AND(C455&gt;D455,D455&gt;E455),"TOR &gt; SM &gt; BNN",IF(AND(C455&gt;E455,E455&gt;D455),"TOR &gt; BNN &gt; SM",IF(AND(D455&gt;C455,C455&gt;E455),"SM &gt; TOR &gt; BNN",IF(AND(D455&gt;E455,E455&gt;C455),"SM &gt; BNN &gt; TOR",IF(AND(C455=D455,D455=E455),"TOR = SM = BNN","Comb. diferentes")))))</f>
        <v>TOR &gt; BNN &gt; SM</v>
      </c>
      <c r="BC455" s="137" t="str">
        <f>IF(OR(AD455="",AP455="-"),"",IF(AD455&lt;=0.25,"Tipo 1 (≤0,25) uT",IF(AD455&lt;=0.5,"Tipo 2 (0,25-0,50) uT",IF(AD455&lt;=0.75,"Tipo 3 (0,50-0,75) uT","Tipo 4 (&gt;0,75) uT"))))</f>
        <v>Tipo 2 (0,25-0,50) uT</v>
      </c>
      <c r="BD455" s="137" t="str">
        <f>IF(OR(AO455="",AY455="-"),"",IF(AO455&lt;=0.25,"Tipo 1 (≤0,25) uT",IF(AO455&lt;=0.5,"Tipo 2 (0,25-0,50) uT",IF(AO455&lt;=0.75,"Tipo 3 (0,50-0,75) uT","Tipo 4 (&gt;0,75) uT"))))</f>
        <v>Tipo 1 (≤0,25) uT</v>
      </c>
      <c r="BE455" s="137" t="str">
        <f>IF(OR(AE455="",AP455="-"),"",IF(AE455&lt;=0.25,"Tipo 1 (≤0,25) uT",IF(AE455&lt;=0.5,"Tipo 2 (0,25-0,50) uT",IF(AE455&lt;=0.75,"Tipo 3 (0,50-0,75) uT","Tipo 4 (&gt;0,75) uT"))))</f>
        <v>Tipo 1 (≤0,25) uT</v>
      </c>
      <c r="BF455" s="137" t="str">
        <f>IF(OR(AP455="",AP455="-"),"",IF(AP455&lt;=0.25,"Tipo 1 (≤0,25) uT",IF(AP455&lt;=0.5,"Tipo 2 (0,25-0,50) uT",IF(AP455&lt;=0.75,"Tipo 3 (0,50-0,75) uT","Tipo 4 (&gt;0,75) uT"))))</f>
        <v>Tipo 1 (≤0,25) uT</v>
      </c>
      <c r="BG455" s="137" t="str">
        <f>IF(OR(Q455="",Q455="-"),"",IF(Q455&lt;=0.25,"Tipo 1 (≤0,25) uT",IF(Q455&lt;=0.5,"Tipo 2 (0,25-0,50) uT",IF(Q455&lt;=0.75,"Tipo 3 (0,50-0,75) uT","Tipo 4 (&gt;0,75) uT"))))</f>
        <v>Tipo 1 (≤0,25) uT</v>
      </c>
    </row>
    <row r="456" spans="1:59" x14ac:dyDescent="0.3">
      <c r="A456" s="26">
        <v>46174</v>
      </c>
      <c r="B456" s="107">
        <v>0.14583333333333334</v>
      </c>
      <c r="C456" s="116">
        <v>1120</v>
      </c>
      <c r="D456" s="116">
        <v>90</v>
      </c>
      <c r="E456" s="116">
        <v>550</v>
      </c>
      <c r="F456" s="116">
        <v>1870</v>
      </c>
      <c r="G456" s="10" t="s">
        <v>100</v>
      </c>
      <c r="H456" s="122">
        <v>7.3</v>
      </c>
      <c r="I456" s="116">
        <v>90</v>
      </c>
      <c r="J456" s="116">
        <v>90</v>
      </c>
      <c r="K456" s="116">
        <v>90</v>
      </c>
      <c r="L456" s="122">
        <v>22.3</v>
      </c>
      <c r="M456" s="122">
        <v>6.8</v>
      </c>
      <c r="N456" s="79">
        <v>2.66</v>
      </c>
      <c r="O456" s="116">
        <v>11</v>
      </c>
      <c r="P456" s="122">
        <v>8</v>
      </c>
      <c r="Q456" s="79">
        <v>7.0000000000000007E-2</v>
      </c>
      <c r="R456" s="79">
        <v>22.36</v>
      </c>
      <c r="S456" s="79">
        <v>0.88</v>
      </c>
      <c r="T456" s="79">
        <v>0.7</v>
      </c>
      <c r="U456" s="85">
        <f t="shared" si="58"/>
        <v>1192.125</v>
      </c>
      <c r="V456" s="79">
        <f t="shared" si="59"/>
        <v>1450.5141736799999</v>
      </c>
      <c r="W456" s="79">
        <f t="shared" si="60"/>
        <v>1.2167467116955015</v>
      </c>
      <c r="X456" s="116">
        <v>2</v>
      </c>
      <c r="Y456" s="116">
        <v>4</v>
      </c>
      <c r="Z456" s="122">
        <v>6.49</v>
      </c>
      <c r="AA456" s="116">
        <v>18</v>
      </c>
      <c r="AB456" s="122">
        <v>6.6</v>
      </c>
      <c r="AC456" s="122">
        <v>7.5</v>
      </c>
      <c r="AD456" s="10">
        <v>0.16</v>
      </c>
      <c r="AE456" s="79">
        <v>0.2</v>
      </c>
      <c r="AF456" s="85">
        <f t="shared" si="61"/>
        <v>1589.5</v>
      </c>
      <c r="AG456" s="85">
        <f t="shared" si="62"/>
        <v>1934.0188982399998</v>
      </c>
      <c r="AH456" s="85">
        <f t="shared" si="63"/>
        <v>1.2167467116955015</v>
      </c>
      <c r="AI456" s="116">
        <v>2</v>
      </c>
      <c r="AJ456" s="116">
        <v>3</v>
      </c>
      <c r="AK456" s="79">
        <v>6.49</v>
      </c>
      <c r="AL456" s="79">
        <v>24</v>
      </c>
      <c r="AM456" s="122">
        <v>6.6</v>
      </c>
      <c r="AN456" s="122">
        <v>7.1</v>
      </c>
      <c r="AO456" s="79">
        <v>0.21</v>
      </c>
      <c r="AP456" s="127">
        <v>0.17</v>
      </c>
      <c r="AQ456" s="132">
        <f t="shared" si="64"/>
        <v>1760</v>
      </c>
      <c r="AR456" s="134">
        <f t="shared" si="65"/>
        <v>0.63636363636363635</v>
      </c>
      <c r="AS456" s="134">
        <f t="shared" si="66"/>
        <v>5.113636363636364E-2</v>
      </c>
      <c r="AT456" s="134">
        <f t="shared" si="67"/>
        <v>0.3125</v>
      </c>
      <c r="AU456" s="43">
        <f>IF(AND(F456&lt;&gt;"",Y456&lt;&gt;""),AA456/(F456/2/Y456),"")</f>
        <v>7.7005347593582893E-2</v>
      </c>
      <c r="AV456" s="43">
        <f>IF(AND(F456&lt;&gt;"",AJ456&lt;&gt;""),AL456/(F456/2/AJ456),"")</f>
        <v>7.7005347593582879E-2</v>
      </c>
      <c r="AW456" s="41">
        <f>IF(AND(AP456&lt;&gt;"",1-(AP456/N456)&gt;0),1-(AP456/N456),"")</f>
        <v>0.93609022556390975</v>
      </c>
      <c r="AX456" s="41">
        <f>IF(AND(AE456&lt;&gt;"",1-(AE456/N456)&gt;0),1-(AE456/N456),"")</f>
        <v>0.92481203007518797</v>
      </c>
      <c r="AY456" s="136" t="str">
        <f>IF(P456="","",IF(P456&lt;2.5,"Alc. Bruta &lt; 2,5 mg/L",IF(P456&lt;5,"2,5 ≤ Alc. Bruta &lt; 5,0 mg/L",IF(P456&lt;7.5,"5,0 ≤ Alc. Bruta &lt; 7,5 mg/L",IF(P456&lt;10,"7,5 ≤ Alc. Bruta &lt; 10,0 mg/L",IF(P456&lt;15,"10,0 ≤ Alca. Bruta &lt; 15,0 mg/L","Alc. Bruta &gt; 15 mg/L"))))))</f>
        <v>7,5 ≤ Alc. Bruta &lt; 10,0 mg/L</v>
      </c>
      <c r="AZ456" s="136" t="str">
        <f>IF(O456="","",IF(O456&lt;5,"Cor &lt;5 uC",IF(O456&lt;10,"5 ≤ Cor &lt; 10 uC",IF(O456&lt;15,"10 ≤ Cor &lt;15 uC",IF(O456&lt;30,"15 ≤ Cor &lt; 30 uC",IF(O456&lt;50,"30 ≤ Cor &lt; 50 uC","Cor &gt; 50 uC"))))))</f>
        <v>10 ≤ Cor &lt;15 uC</v>
      </c>
      <c r="BA456" s="137" t="str">
        <f>IF(N456="","",IF(N456&lt;2.5,"Turbidez &lt; 2,5 uT",IF(N456&lt;5,"2,5 ≤ Turb &lt; 5,0 uT",IF(N456&lt;7.5,"5,0 ≤ Turb &lt; 7,5 uT",IF(N456&lt;10,"7,5 ≤ Turb &lt; 10,0 uT",IF(N456&lt;15,"10,0 ≤ Turb &lt; 15,0 uT","Turb &gt; 15 uT"))))))</f>
        <v>2,5 ≤ Turb &lt; 5,0 uT</v>
      </c>
      <c r="BB456" s="138" t="str">
        <f>IF(AND(C456&gt;D456,D456&gt;E456),"TOR &gt; SM &gt; BNN",IF(AND(C456&gt;E456,E456&gt;D456),"TOR &gt; BNN &gt; SM",IF(AND(D456&gt;C456,C456&gt;E456),"SM &gt; TOR &gt; BNN",IF(AND(D456&gt;E456,E456&gt;C456),"SM &gt; BNN &gt; TOR",IF(AND(C456=D456,D456=E456),"TOR = SM = BNN","Comb. diferentes")))))</f>
        <v>TOR &gt; BNN &gt; SM</v>
      </c>
      <c r="BC456" s="137" t="str">
        <f>IF(OR(AD456="",AP456="-"),"",IF(AD456&lt;=0.25,"Tipo 1 (≤0,25) uT",IF(AD456&lt;=0.5,"Tipo 2 (0,25-0,50) uT",IF(AD456&lt;=0.75,"Tipo 3 (0,50-0,75) uT","Tipo 4 (&gt;0,75) uT"))))</f>
        <v>Tipo 1 (≤0,25) uT</v>
      </c>
      <c r="BD456" s="137" t="str">
        <f>IF(OR(AO456="",AY456="-"),"",IF(AO456&lt;=0.25,"Tipo 1 (≤0,25) uT",IF(AO456&lt;=0.5,"Tipo 2 (0,25-0,50) uT",IF(AO456&lt;=0.75,"Tipo 3 (0,50-0,75) uT","Tipo 4 (&gt;0,75) uT"))))</f>
        <v>Tipo 1 (≤0,25) uT</v>
      </c>
      <c r="BE456" s="137" t="str">
        <f>IF(OR(AE456="",AP456="-"),"",IF(AE456&lt;=0.25,"Tipo 1 (≤0,25) uT",IF(AE456&lt;=0.5,"Tipo 2 (0,25-0,50) uT",IF(AE456&lt;=0.75,"Tipo 3 (0,50-0,75) uT","Tipo 4 (&gt;0,75) uT"))))</f>
        <v>Tipo 1 (≤0,25) uT</v>
      </c>
      <c r="BF456" s="137" t="str">
        <f>IF(OR(AP456="",AP456="-"),"",IF(AP456&lt;=0.25,"Tipo 1 (≤0,25) uT",IF(AP456&lt;=0.5,"Tipo 2 (0,25-0,50) uT",IF(AP456&lt;=0.75,"Tipo 3 (0,50-0,75) uT","Tipo 4 (&gt;0,75) uT"))))</f>
        <v>Tipo 1 (≤0,25) uT</v>
      </c>
      <c r="BG456" s="137" t="str">
        <f>IF(OR(Q456="",Q456="-"),"",IF(Q456&lt;=0.25,"Tipo 1 (≤0,25) uT",IF(Q456&lt;=0.5,"Tipo 2 (0,25-0,50) uT",IF(Q456&lt;=0.75,"Tipo 3 (0,50-0,75) uT","Tipo 4 (&gt;0,75) uT"))))</f>
        <v>Tipo 1 (≤0,25) uT</v>
      </c>
    </row>
    <row r="457" spans="1:59" ht="15" thickBot="1" x14ac:dyDescent="0.35">
      <c r="A457" s="26">
        <v>46174</v>
      </c>
      <c r="B457" s="110">
        <v>0.22916666666666666</v>
      </c>
      <c r="C457" s="117">
        <v>1112</v>
      </c>
      <c r="D457" s="117">
        <v>85</v>
      </c>
      <c r="E457" s="117">
        <v>549</v>
      </c>
      <c r="F457" s="117">
        <v>1923</v>
      </c>
      <c r="G457" s="11" t="s">
        <v>100</v>
      </c>
      <c r="H457" s="123">
        <v>7.3</v>
      </c>
      <c r="I457" s="117">
        <v>90</v>
      </c>
      <c r="J457" s="117">
        <v>90</v>
      </c>
      <c r="K457" s="117">
        <v>90</v>
      </c>
      <c r="L457" s="123">
        <v>22.5</v>
      </c>
      <c r="M457" s="123">
        <v>6.7</v>
      </c>
      <c r="N457" s="80">
        <v>2.58</v>
      </c>
      <c r="O457" s="117">
        <v>11</v>
      </c>
      <c r="P457" s="123">
        <v>7.8</v>
      </c>
      <c r="Q457" s="80">
        <v>7.0000000000000007E-2</v>
      </c>
      <c r="R457" s="79">
        <v>22.36</v>
      </c>
      <c r="S457" s="79">
        <v>0.88</v>
      </c>
      <c r="T457" s="79">
        <v>0.7</v>
      </c>
      <c r="U457" s="85">
        <f t="shared" si="58"/>
        <v>1206.6824999999999</v>
      </c>
      <c r="V457" s="79">
        <f t="shared" si="59"/>
        <v>1453.2949080000001</v>
      </c>
      <c r="W457" s="79">
        <f t="shared" si="60"/>
        <v>1.2043722420769343</v>
      </c>
      <c r="X457" s="117">
        <v>2</v>
      </c>
      <c r="Y457" s="117">
        <v>4</v>
      </c>
      <c r="Z457" s="123">
        <v>6.5</v>
      </c>
      <c r="AA457" s="117">
        <v>18</v>
      </c>
      <c r="AB457" s="123">
        <v>6.6</v>
      </c>
      <c r="AC457" s="123">
        <v>6.4</v>
      </c>
      <c r="AD457" s="11">
        <v>0.17</v>
      </c>
      <c r="AE457" s="80">
        <v>0.21</v>
      </c>
      <c r="AF457" s="85">
        <f t="shared" si="61"/>
        <v>1608.9099999999999</v>
      </c>
      <c r="AG457" s="85">
        <f t="shared" si="62"/>
        <v>1922.8959609599995</v>
      </c>
      <c r="AH457" s="85">
        <f t="shared" si="63"/>
        <v>1.1951544592053003</v>
      </c>
      <c r="AI457" s="117">
        <v>2</v>
      </c>
      <c r="AJ457" s="117">
        <v>3</v>
      </c>
      <c r="AK457" s="80">
        <v>6.46</v>
      </c>
      <c r="AL457" s="80">
        <v>24</v>
      </c>
      <c r="AM457" s="123">
        <v>6.6</v>
      </c>
      <c r="AN457" s="123">
        <v>5.6</v>
      </c>
      <c r="AO457" s="80">
        <v>0.16</v>
      </c>
      <c r="AP457" s="128">
        <v>0.2</v>
      </c>
      <c r="AQ457" s="132">
        <f t="shared" si="64"/>
        <v>1746</v>
      </c>
      <c r="AR457" s="134">
        <f t="shared" si="65"/>
        <v>0.63688430698739973</v>
      </c>
      <c r="AS457" s="134">
        <f t="shared" si="66"/>
        <v>4.868270332187858E-2</v>
      </c>
      <c r="AT457" s="134">
        <f t="shared" si="67"/>
        <v>0.31443298969072164</v>
      </c>
      <c r="AU457" s="43">
        <f>IF(AND(F457&lt;&gt;"",Y457&lt;&gt;""),AA457/(F457/2/Y457),"")</f>
        <v>7.4882995319812795E-2</v>
      </c>
      <c r="AV457" s="43">
        <f>IF(AND(F457&lt;&gt;"",AJ457&lt;&gt;""),AL457/(F457/2/AJ457),"")</f>
        <v>7.4882995319812795E-2</v>
      </c>
      <c r="AW457" s="43">
        <f>IF(AND(AP457&lt;&gt;"",1-(AP457/N457)&gt;0),1-(AP457/N457),"")</f>
        <v>0.92248062015503873</v>
      </c>
      <c r="AX457" s="41">
        <f>IF(AND(AE457&lt;&gt;"",1-(AE457/N457)&gt;0),1-(AE457/N457),"")</f>
        <v>0.91860465116279066</v>
      </c>
      <c r="AY457" s="136" t="str">
        <f>IF(P457="","",IF(P457&lt;2.5,"Alc. Bruta &lt; 2,5 mg/L",IF(P457&lt;5,"2,5 ≤ Alc. Bruta &lt; 5,0 mg/L",IF(P457&lt;7.5,"5,0 ≤ Alc. Bruta &lt; 7,5 mg/L",IF(P457&lt;10,"7,5 ≤ Alc. Bruta &lt; 10,0 mg/L",IF(P457&lt;15,"10,0 ≤ Alca. Bruta &lt; 15,0 mg/L","Alc. Bruta &gt; 15 mg/L"))))))</f>
        <v>7,5 ≤ Alc. Bruta &lt; 10,0 mg/L</v>
      </c>
      <c r="AZ457" s="136" t="str">
        <f>IF(O457="","",IF(O457&lt;5,"Cor &lt;5 uC",IF(O457&lt;10,"5 ≤ Cor &lt; 10 uC",IF(O457&lt;15,"10 ≤ Cor &lt;15 uC",IF(O457&lt;30,"15 ≤ Cor &lt; 30 uC",IF(O457&lt;50,"30 ≤ Cor &lt; 50 uC","Cor &gt; 50 uC"))))))</f>
        <v>10 ≤ Cor &lt;15 uC</v>
      </c>
      <c r="BA457" s="137" t="str">
        <f>IF(N457="","",IF(N457&lt;2.5,"Turbidez &lt; 2,5 uT",IF(N457&lt;5,"2,5 ≤ Turb &lt; 5,0 uT",IF(N457&lt;7.5,"5,0 ≤ Turb &lt; 7,5 uT",IF(N457&lt;10,"7,5 ≤ Turb &lt; 10,0 uT",IF(N457&lt;15,"10,0 ≤ Turb &lt; 15,0 uT","Turb &gt; 15 uT"))))))</f>
        <v>2,5 ≤ Turb &lt; 5,0 uT</v>
      </c>
      <c r="BB457" s="138" t="str">
        <f>IF(AND(C457&gt;D457,D457&gt;E457),"TOR &gt; SM &gt; BNN",IF(AND(C457&gt;E457,E457&gt;D457),"TOR &gt; BNN &gt; SM",IF(AND(D457&gt;C457,C457&gt;E457),"SM &gt; TOR &gt; BNN",IF(AND(D457&gt;E457,E457&gt;C457),"SM &gt; BNN &gt; TOR",IF(AND(C457=D457,D457=E457),"TOR = SM = BNN","Comb. diferentes")))))</f>
        <v>TOR &gt; BNN &gt; SM</v>
      </c>
      <c r="BC457" s="137" t="str">
        <f>IF(OR(AD457="",AP457="-"),"",IF(AD457&lt;=0.25,"Tipo 1 (≤0,25) uT",IF(AD457&lt;=0.5,"Tipo 2 (0,25-0,50) uT",IF(AD457&lt;=0.75,"Tipo 3 (0,50-0,75) uT","Tipo 4 (&gt;0,75) uT"))))</f>
        <v>Tipo 1 (≤0,25) uT</v>
      </c>
      <c r="BD457" s="137" t="str">
        <f>IF(OR(AO457="",AY457="-"),"",IF(AO457&lt;=0.25,"Tipo 1 (≤0,25) uT",IF(AO457&lt;=0.5,"Tipo 2 (0,25-0,50) uT",IF(AO457&lt;=0.75,"Tipo 3 (0,50-0,75) uT","Tipo 4 (&gt;0,75) uT"))))</f>
        <v>Tipo 1 (≤0,25) uT</v>
      </c>
      <c r="BE457" s="137" t="str">
        <f>IF(OR(AE457="",AP457="-"),"",IF(AE457&lt;=0.25,"Tipo 1 (≤0,25) uT",IF(AE457&lt;=0.5,"Tipo 2 (0,25-0,50) uT",IF(AE457&lt;=0.75,"Tipo 3 (0,50-0,75) uT","Tipo 4 (&gt;0,75) uT"))))</f>
        <v>Tipo 1 (≤0,25) uT</v>
      </c>
      <c r="BF457" s="137" t="str">
        <f>IF(OR(AP457="",AP457="-"),"",IF(AP457&lt;=0.25,"Tipo 1 (≤0,25) uT",IF(AP457&lt;=0.5,"Tipo 2 (0,25-0,50) uT",IF(AP457&lt;=0.75,"Tipo 3 (0,50-0,75) uT","Tipo 4 (&gt;0,75) uT"))))</f>
        <v>Tipo 1 (≤0,25) uT</v>
      </c>
      <c r="BG457" s="137" t="str">
        <f>IF(OR(Q457="",Q457="-"),"",IF(Q457&lt;=0.25,"Tipo 1 (≤0,25) uT",IF(Q457&lt;=0.5,"Tipo 2 (0,25-0,50) uT",IF(Q457&lt;=0.75,"Tipo 3 (0,50-0,75) uT","Tipo 4 (&gt;0,75) uT"))))</f>
        <v>Tipo 1 (≤0,25) uT</v>
      </c>
    </row>
    <row r="458" spans="1:59" x14ac:dyDescent="0.3">
      <c r="A458" s="26">
        <v>46174</v>
      </c>
      <c r="B458" s="111">
        <v>0.3125</v>
      </c>
      <c r="C458" s="118">
        <v>1068</v>
      </c>
      <c r="D458" s="116">
        <v>89</v>
      </c>
      <c r="E458" s="118">
        <v>550</v>
      </c>
      <c r="F458" s="118">
        <v>1828</v>
      </c>
      <c r="G458" s="9" t="s">
        <v>100</v>
      </c>
      <c r="H458" s="124">
        <v>7.3</v>
      </c>
      <c r="I458" s="118">
        <v>90</v>
      </c>
      <c r="J458" s="118">
        <v>90</v>
      </c>
      <c r="K458" s="118">
        <v>90</v>
      </c>
      <c r="L458" s="124">
        <v>22.4</v>
      </c>
      <c r="M458" s="124">
        <v>6.8</v>
      </c>
      <c r="N458" s="81">
        <v>2.36</v>
      </c>
      <c r="O458" s="118">
        <v>15</v>
      </c>
      <c r="P458" s="124">
        <v>7.7</v>
      </c>
      <c r="Q458" s="81">
        <v>0.06</v>
      </c>
      <c r="R458" s="79">
        <v>22.36</v>
      </c>
      <c r="S458" s="79">
        <v>0.88</v>
      </c>
      <c r="T458" s="79">
        <v>0.7</v>
      </c>
      <c r="U458" s="85">
        <f t="shared" si="58"/>
        <v>1096.8</v>
      </c>
      <c r="V458" s="79">
        <f t="shared" si="59"/>
        <v>1369.9300529199998</v>
      </c>
      <c r="W458" s="79">
        <f t="shared" si="60"/>
        <v>1.2490244829686359</v>
      </c>
      <c r="X458" s="118">
        <v>2</v>
      </c>
      <c r="Y458" s="118">
        <v>4</v>
      </c>
      <c r="Z458" s="124">
        <v>6.49</v>
      </c>
      <c r="AA458" s="118">
        <v>17</v>
      </c>
      <c r="AB458" s="124">
        <v>6.5</v>
      </c>
      <c r="AC458" s="124">
        <v>6.4</v>
      </c>
      <c r="AD458" s="9">
        <v>0.16</v>
      </c>
      <c r="AE458" s="81">
        <v>0.32</v>
      </c>
      <c r="AF458" s="85">
        <f t="shared" si="61"/>
        <v>1462.4</v>
      </c>
      <c r="AG458" s="85">
        <f t="shared" si="62"/>
        <v>1849.8816169599997</v>
      </c>
      <c r="AH458" s="85">
        <f t="shared" si="63"/>
        <v>1.2649628124726475</v>
      </c>
      <c r="AI458" s="118">
        <v>2</v>
      </c>
      <c r="AJ458" s="118">
        <v>3</v>
      </c>
      <c r="AK458" s="81">
        <v>6.48</v>
      </c>
      <c r="AL458" s="81">
        <v>23</v>
      </c>
      <c r="AM458" s="124">
        <v>6.6</v>
      </c>
      <c r="AN458" s="124">
        <v>6.4</v>
      </c>
      <c r="AO458" s="81">
        <v>0.21</v>
      </c>
      <c r="AP458" s="129">
        <v>0.18</v>
      </c>
      <c r="AQ458" s="132">
        <f t="shared" si="64"/>
        <v>1707</v>
      </c>
      <c r="AR458" s="134">
        <f t="shared" si="65"/>
        <v>0.62565905096660812</v>
      </c>
      <c r="AS458" s="134">
        <f t="shared" si="66"/>
        <v>5.2138254247217339E-2</v>
      </c>
      <c r="AT458" s="134">
        <f t="shared" si="67"/>
        <v>0.32220269478617458</v>
      </c>
      <c r="AU458" s="43">
        <f>IF(AND(F458&lt;&gt;"",Y458&lt;&gt;""),AA458/(F458/2/Y458),"")</f>
        <v>7.4398249452954049E-2</v>
      </c>
      <c r="AV458" s="43">
        <f>IF(AND(F458&lt;&gt;"",AJ458&lt;&gt;""),AL458/(F458/2/AJ458),"")</f>
        <v>7.5492341356673959E-2</v>
      </c>
      <c r="AW458" s="43">
        <f>IF(AND(AP458&lt;&gt;"",1-(AP458/N458)&gt;0),1-(AP458/N458),"")</f>
        <v>0.92372881355932202</v>
      </c>
      <c r="AX458" s="41">
        <f>IF(AND(AE458&lt;&gt;"",1-(AE458/N458)&gt;0),1-(AE458/N458),"")</f>
        <v>0.86440677966101698</v>
      </c>
      <c r="AY458" s="136" t="str">
        <f>IF(P458="","",IF(P458&lt;2.5,"Alc. Bruta &lt; 2,5 mg/L",IF(P458&lt;5,"2,5 ≤ Alc. Bruta &lt; 5,0 mg/L",IF(P458&lt;7.5,"5,0 ≤ Alc. Bruta &lt; 7,5 mg/L",IF(P458&lt;10,"7,5 ≤ Alc. Bruta &lt; 10,0 mg/L",IF(P458&lt;15,"10,0 ≤ Alca. Bruta &lt; 15,0 mg/L","Alc. Bruta &gt; 15 mg/L"))))))</f>
        <v>7,5 ≤ Alc. Bruta &lt; 10,0 mg/L</v>
      </c>
      <c r="AZ458" s="136" t="str">
        <f>IF(O458="","",IF(O458&lt;5,"Cor &lt;5 uC",IF(O458&lt;10,"5 ≤ Cor &lt; 10 uC",IF(O458&lt;15,"10 ≤ Cor &lt;15 uC",IF(O458&lt;30,"15 ≤ Cor &lt; 30 uC",IF(O458&lt;50,"30 ≤ Cor &lt; 50 uC","Cor &gt; 50 uC"))))))</f>
        <v>15 ≤ Cor &lt; 30 uC</v>
      </c>
      <c r="BA458" s="137" t="str">
        <f>IF(N458="","",IF(N458&lt;2.5,"Turbidez &lt; 2,5 uT",IF(N458&lt;5,"2,5 ≤ Turb &lt; 5,0 uT",IF(N458&lt;7.5,"5,0 ≤ Turb &lt; 7,5 uT",IF(N458&lt;10,"7,5 ≤ Turb &lt; 10,0 uT",IF(N458&lt;15,"10,0 ≤ Turb &lt; 15,0 uT","Turb &gt; 15 uT"))))))</f>
        <v>Turbidez &lt; 2,5 uT</v>
      </c>
      <c r="BB458" s="138" t="str">
        <f>IF(AND(C458&gt;D458,D458&gt;E458),"TOR &gt; SM &gt; BNN",IF(AND(C458&gt;E458,E458&gt;D458),"TOR &gt; BNN &gt; SM",IF(AND(D458&gt;C458,C458&gt;E458),"SM &gt; TOR &gt; BNN",IF(AND(D458&gt;E458,E458&gt;C458),"SM &gt; BNN &gt; TOR",IF(AND(C458=D458,D458=E458),"TOR = SM = BNN","Comb. diferentes")))))</f>
        <v>TOR &gt; BNN &gt; SM</v>
      </c>
      <c r="BC458" s="137" t="str">
        <f>IF(OR(AD458="",AP458="-"),"",IF(AD458&lt;=0.25,"Tipo 1 (≤0,25) uT",IF(AD458&lt;=0.5,"Tipo 2 (0,25-0,50) uT",IF(AD458&lt;=0.75,"Tipo 3 (0,50-0,75) uT","Tipo 4 (&gt;0,75) uT"))))</f>
        <v>Tipo 1 (≤0,25) uT</v>
      </c>
      <c r="BD458" s="137" t="str">
        <f>IF(OR(AO458="",AY458="-"),"",IF(AO458&lt;=0.25,"Tipo 1 (≤0,25) uT",IF(AO458&lt;=0.5,"Tipo 2 (0,25-0,50) uT",IF(AO458&lt;=0.75,"Tipo 3 (0,50-0,75) uT","Tipo 4 (&gt;0,75) uT"))))</f>
        <v>Tipo 1 (≤0,25) uT</v>
      </c>
      <c r="BE458" s="137" t="str">
        <f>IF(OR(AE458="",AP458="-"),"",IF(AE458&lt;=0.25,"Tipo 1 (≤0,25) uT",IF(AE458&lt;=0.5,"Tipo 2 (0,25-0,50) uT",IF(AE458&lt;=0.75,"Tipo 3 (0,50-0,75) uT","Tipo 4 (&gt;0,75) uT"))))</f>
        <v>Tipo 2 (0,25-0,50) uT</v>
      </c>
      <c r="BF458" s="137" t="str">
        <f>IF(OR(AP458="",AP458="-"),"",IF(AP458&lt;=0.25,"Tipo 1 (≤0,25) uT",IF(AP458&lt;=0.5,"Tipo 2 (0,25-0,50) uT",IF(AP458&lt;=0.75,"Tipo 3 (0,50-0,75) uT","Tipo 4 (&gt;0,75) uT"))))</f>
        <v>Tipo 1 (≤0,25) uT</v>
      </c>
      <c r="BG458" s="137" t="str">
        <f>IF(OR(Q458="",Q458="-"),"",IF(Q458&lt;=0.25,"Tipo 1 (≤0,25) uT",IF(Q458&lt;=0.5,"Tipo 2 (0,25-0,50) uT",IF(Q458&lt;=0.75,"Tipo 3 (0,50-0,75) uT","Tipo 4 (&gt;0,75) uT"))))</f>
        <v>Tipo 1 (≤0,25) uT</v>
      </c>
    </row>
    <row r="459" spans="1:59" x14ac:dyDescent="0.3">
      <c r="A459" s="26">
        <v>46174</v>
      </c>
      <c r="B459" s="107">
        <v>0.39583333333333331</v>
      </c>
      <c r="C459" s="116">
        <v>1121</v>
      </c>
      <c r="D459" s="116">
        <v>86</v>
      </c>
      <c r="E459" s="116">
        <v>551</v>
      </c>
      <c r="F459" s="116">
        <v>1794</v>
      </c>
      <c r="G459" s="10" t="s">
        <v>100</v>
      </c>
      <c r="H459" s="122">
        <v>7.3</v>
      </c>
      <c r="I459" s="116">
        <v>90</v>
      </c>
      <c r="J459" s="116">
        <v>90</v>
      </c>
      <c r="K459" s="116">
        <v>90</v>
      </c>
      <c r="L459" s="122">
        <v>22.6</v>
      </c>
      <c r="M459" s="122">
        <v>6.8</v>
      </c>
      <c r="N459" s="79">
        <v>2.61</v>
      </c>
      <c r="O459" s="116">
        <v>12</v>
      </c>
      <c r="P459" s="122">
        <v>7.7</v>
      </c>
      <c r="Q459" s="79">
        <v>7.0000000000000007E-2</v>
      </c>
      <c r="R459" s="79">
        <v>22.36</v>
      </c>
      <c r="S459" s="79">
        <v>0.88</v>
      </c>
      <c r="T459" s="79">
        <v>0.7</v>
      </c>
      <c r="U459" s="85">
        <f t="shared" si="58"/>
        <v>1509.95</v>
      </c>
      <c r="V459" s="79">
        <f t="shared" si="59"/>
        <v>1450.5141736799999</v>
      </c>
      <c r="W459" s="79">
        <f t="shared" si="60"/>
        <v>0.96063722221265591</v>
      </c>
      <c r="X459" s="116">
        <v>2</v>
      </c>
      <c r="Y459" s="116">
        <v>3</v>
      </c>
      <c r="Z459" s="122">
        <v>6.49</v>
      </c>
      <c r="AA459" s="116">
        <v>18</v>
      </c>
      <c r="AB459" s="122">
        <v>6.6</v>
      </c>
      <c r="AC459" s="122">
        <v>6.5</v>
      </c>
      <c r="AD459" s="10">
        <v>0.4</v>
      </c>
      <c r="AE459" s="79">
        <v>0.31</v>
      </c>
      <c r="AF459" s="85">
        <f t="shared" si="61"/>
        <v>1132.4624999999999</v>
      </c>
      <c r="AG459" s="85">
        <f t="shared" si="62"/>
        <v>1948.84948128</v>
      </c>
      <c r="AH459" s="85">
        <f t="shared" si="63"/>
        <v>1.7208953773568663</v>
      </c>
      <c r="AI459" s="116">
        <v>2</v>
      </c>
      <c r="AJ459" s="116">
        <v>4</v>
      </c>
      <c r="AK459" s="79">
        <v>6.53</v>
      </c>
      <c r="AL459" s="79">
        <v>24</v>
      </c>
      <c r="AM459" s="122">
        <v>6.6</v>
      </c>
      <c r="AN459" s="122">
        <v>6.2</v>
      </c>
      <c r="AO459" s="79">
        <v>0.19</v>
      </c>
      <c r="AP459" s="127">
        <v>0.26</v>
      </c>
      <c r="AQ459" s="132">
        <f t="shared" si="64"/>
        <v>1758</v>
      </c>
      <c r="AR459" s="134">
        <f t="shared" si="65"/>
        <v>0.63765642775881681</v>
      </c>
      <c r="AS459" s="134">
        <f t="shared" si="66"/>
        <v>4.8919226393629126E-2</v>
      </c>
      <c r="AT459" s="134">
        <f t="shared" si="67"/>
        <v>0.31342434584755402</v>
      </c>
      <c r="AU459" s="43">
        <f>IF(AND(F459&lt;&gt;"",Y459&lt;&gt;""),AA459/(F459/2/Y459),"")</f>
        <v>6.0200668896321072E-2</v>
      </c>
      <c r="AV459" s="43">
        <f>IF(AND(F459&lt;&gt;"",AJ459&lt;&gt;""),AL459/(F459/2/AJ459),"")</f>
        <v>0.10702341137123746</v>
      </c>
      <c r="AW459" s="43">
        <f>IF(AND(AP459&lt;&gt;"",1-(AP459/N459)&gt;0),1-(AP459/N459),"")</f>
        <v>0.90038314176245215</v>
      </c>
      <c r="AX459" s="41">
        <f>IF(AND(AE459&lt;&gt;"",1-(AE459/N459)&gt;0),1-(AE459/N459),"")</f>
        <v>0.88122605363984674</v>
      </c>
      <c r="AY459" s="136" t="str">
        <f>IF(P459="","",IF(P459&lt;2.5,"Alc. Bruta &lt; 2,5 mg/L",IF(P459&lt;5,"2,5 ≤ Alc. Bruta &lt; 5,0 mg/L",IF(P459&lt;7.5,"5,0 ≤ Alc. Bruta &lt; 7,5 mg/L",IF(P459&lt;10,"7,5 ≤ Alc. Bruta &lt; 10,0 mg/L",IF(P459&lt;15,"10,0 ≤ Alca. Bruta &lt; 15,0 mg/L","Alc. Bruta &gt; 15 mg/L"))))))</f>
        <v>7,5 ≤ Alc. Bruta &lt; 10,0 mg/L</v>
      </c>
      <c r="AZ459" s="136" t="str">
        <f>IF(O459="","",IF(O459&lt;5,"Cor &lt;5 uC",IF(O459&lt;10,"5 ≤ Cor &lt; 10 uC",IF(O459&lt;15,"10 ≤ Cor &lt;15 uC",IF(O459&lt;30,"15 ≤ Cor &lt; 30 uC",IF(O459&lt;50,"30 ≤ Cor &lt; 50 uC","Cor &gt; 50 uC"))))))</f>
        <v>10 ≤ Cor &lt;15 uC</v>
      </c>
      <c r="BA459" s="137" t="str">
        <f>IF(N459="","",IF(N459&lt;2.5,"Turbidez &lt; 2,5 uT",IF(N459&lt;5,"2,5 ≤ Turb &lt; 5,0 uT",IF(N459&lt;7.5,"5,0 ≤ Turb &lt; 7,5 uT",IF(N459&lt;10,"7,5 ≤ Turb &lt; 10,0 uT",IF(N459&lt;15,"10,0 ≤ Turb &lt; 15,0 uT","Turb &gt; 15 uT"))))))</f>
        <v>2,5 ≤ Turb &lt; 5,0 uT</v>
      </c>
      <c r="BB459" s="138" t="str">
        <f>IF(AND(C459&gt;D459,D459&gt;E459),"TOR &gt; SM &gt; BNN",IF(AND(C459&gt;E459,E459&gt;D459),"TOR &gt; BNN &gt; SM",IF(AND(D459&gt;C459,C459&gt;E459),"SM &gt; TOR &gt; BNN",IF(AND(D459&gt;E459,E459&gt;C459),"SM &gt; BNN &gt; TOR",IF(AND(C459=D459,D459=E459),"TOR = SM = BNN","Comb. diferentes")))))</f>
        <v>TOR &gt; BNN &gt; SM</v>
      </c>
      <c r="BC459" s="137" t="str">
        <f>IF(OR(AD459="",AP459="-"),"",IF(AD459&lt;=0.25,"Tipo 1 (≤0,25) uT",IF(AD459&lt;=0.5,"Tipo 2 (0,25-0,50) uT",IF(AD459&lt;=0.75,"Tipo 3 (0,50-0,75) uT","Tipo 4 (&gt;0,75) uT"))))</f>
        <v>Tipo 2 (0,25-0,50) uT</v>
      </c>
      <c r="BD459" s="137" t="str">
        <f>IF(OR(AO459="",AY459="-"),"",IF(AO459&lt;=0.25,"Tipo 1 (≤0,25) uT",IF(AO459&lt;=0.5,"Tipo 2 (0,25-0,50) uT",IF(AO459&lt;=0.75,"Tipo 3 (0,50-0,75) uT","Tipo 4 (&gt;0,75) uT"))))</f>
        <v>Tipo 1 (≤0,25) uT</v>
      </c>
      <c r="BE459" s="137" t="str">
        <f>IF(OR(AE459="",AP459="-"),"",IF(AE459&lt;=0.25,"Tipo 1 (≤0,25) uT",IF(AE459&lt;=0.5,"Tipo 2 (0,25-0,50) uT",IF(AE459&lt;=0.75,"Tipo 3 (0,50-0,75) uT","Tipo 4 (&gt;0,75) uT"))))</f>
        <v>Tipo 2 (0,25-0,50) uT</v>
      </c>
      <c r="BF459" s="137" t="str">
        <f>IF(OR(AP459="",AP459="-"),"",IF(AP459&lt;=0.25,"Tipo 1 (≤0,25) uT",IF(AP459&lt;=0.5,"Tipo 2 (0,25-0,50) uT",IF(AP459&lt;=0.75,"Tipo 3 (0,50-0,75) uT","Tipo 4 (&gt;0,75) uT"))))</f>
        <v>Tipo 2 (0,25-0,50) uT</v>
      </c>
      <c r="BG459" s="137" t="str">
        <f>IF(OR(Q459="",Q459="-"),"",IF(Q459&lt;=0.25,"Tipo 1 (≤0,25) uT",IF(Q459&lt;=0.5,"Tipo 2 (0,25-0,50) uT",IF(Q459&lt;=0.75,"Tipo 3 (0,50-0,75) uT","Tipo 4 (&gt;0,75) uT"))))</f>
        <v>Tipo 1 (≤0,25) uT</v>
      </c>
    </row>
    <row r="460" spans="1:59" x14ac:dyDescent="0.3">
      <c r="A460" s="26">
        <v>46174</v>
      </c>
      <c r="B460" s="107">
        <v>0.5625</v>
      </c>
      <c r="C460" s="116">
        <v>1259</v>
      </c>
      <c r="D460" s="116">
        <v>92</v>
      </c>
      <c r="E460" s="116">
        <v>550</v>
      </c>
      <c r="F460" s="116">
        <v>1816</v>
      </c>
      <c r="G460" s="10" t="s">
        <v>100</v>
      </c>
      <c r="H460" s="122">
        <v>7.3</v>
      </c>
      <c r="I460" s="116">
        <v>90</v>
      </c>
      <c r="J460" s="116">
        <v>90</v>
      </c>
      <c r="K460" s="116">
        <v>90</v>
      </c>
      <c r="L460" s="122">
        <v>23</v>
      </c>
      <c r="M460" s="122">
        <v>6.8</v>
      </c>
      <c r="N460" s="79">
        <v>2.4900000000000002</v>
      </c>
      <c r="O460" s="116">
        <v>13</v>
      </c>
      <c r="P460" s="122">
        <v>8.1</v>
      </c>
      <c r="Q460" s="79">
        <v>0.08</v>
      </c>
      <c r="R460" s="79">
        <v>22.36</v>
      </c>
      <c r="S460" s="79">
        <v>0.88</v>
      </c>
      <c r="T460" s="79">
        <v>0.7</v>
      </c>
      <c r="U460" s="85">
        <f t="shared" si="58"/>
        <v>1492.1466666666668</v>
      </c>
      <c r="V460" s="79">
        <f t="shared" si="59"/>
        <v>1377.8088001599995</v>
      </c>
      <c r="W460" s="79">
        <f t="shared" si="60"/>
        <v>0.92337357375056928</v>
      </c>
      <c r="X460" s="116">
        <v>2</v>
      </c>
      <c r="Y460" s="116">
        <v>3</v>
      </c>
      <c r="Z460" s="122">
        <v>6.52</v>
      </c>
      <c r="AA460" s="116">
        <v>17</v>
      </c>
      <c r="AB460" s="122">
        <v>6.8</v>
      </c>
      <c r="AC460" s="122">
        <v>6.4</v>
      </c>
      <c r="AD460" s="10">
        <v>0.24</v>
      </c>
      <c r="AE460" s="79">
        <v>0.3</v>
      </c>
      <c r="AF460" s="85">
        <f t="shared" si="61"/>
        <v>1119.1099999999999</v>
      </c>
      <c r="AG460" s="85">
        <f t="shared" si="62"/>
        <v>1937.7265440000001</v>
      </c>
      <c r="AH460" s="85">
        <f t="shared" si="63"/>
        <v>1.7314889010016892</v>
      </c>
      <c r="AI460" s="116">
        <v>4</v>
      </c>
      <c r="AJ460" s="116">
        <v>4</v>
      </c>
      <c r="AK460" s="79">
        <v>6.5</v>
      </c>
      <c r="AL460" s="79">
        <v>24</v>
      </c>
      <c r="AM460" s="122">
        <v>6.7</v>
      </c>
      <c r="AN460" s="122">
        <v>6.6</v>
      </c>
      <c r="AO460" s="79">
        <v>0.32</v>
      </c>
      <c r="AP460" s="127">
        <v>0.3</v>
      </c>
      <c r="AQ460" s="132">
        <f t="shared" si="64"/>
        <v>1901</v>
      </c>
      <c r="AR460" s="134">
        <f t="shared" si="65"/>
        <v>0.66228300894266179</v>
      </c>
      <c r="AS460" s="134">
        <f t="shared" si="66"/>
        <v>4.8395581273014202E-2</v>
      </c>
      <c r="AT460" s="134">
        <f t="shared" si="67"/>
        <v>0.28932140978432402</v>
      </c>
      <c r="AU460" s="43">
        <f>IF(AND(F460&lt;&gt;"",Y460&lt;&gt;""),AA460/(F460/2/Y460),"")</f>
        <v>5.6167400881057268E-2</v>
      </c>
      <c r="AV460" s="43">
        <f>IF(AND(F460&lt;&gt;"",AJ460&lt;&gt;""),AL460/(F460/2/AJ460),"")</f>
        <v>0.10572687224669604</v>
      </c>
      <c r="AW460" s="43">
        <f>IF(AND(AP460&lt;&gt;"",1-(AP460/N460)&gt;0),1-(AP460/N460),"")</f>
        <v>0.87951807228915668</v>
      </c>
      <c r="AX460" s="41">
        <f>IF(AND(AE460&lt;&gt;"",1-(AE460/N460)&gt;0),1-(AE460/N460),"")</f>
        <v>0.87951807228915668</v>
      </c>
      <c r="AY460" s="136" t="str">
        <f>IF(P460="","",IF(P460&lt;2.5,"Alc. Bruta &lt; 2,5 mg/L",IF(P460&lt;5,"2,5 ≤ Alc. Bruta &lt; 5,0 mg/L",IF(P460&lt;7.5,"5,0 ≤ Alc. Bruta &lt; 7,5 mg/L",IF(P460&lt;10,"7,5 ≤ Alc. Bruta &lt; 10,0 mg/L",IF(P460&lt;15,"10,0 ≤ Alca. Bruta &lt; 15,0 mg/L","Alc. Bruta &gt; 15 mg/L"))))))</f>
        <v>7,5 ≤ Alc. Bruta &lt; 10,0 mg/L</v>
      </c>
      <c r="AZ460" s="136" t="str">
        <f>IF(O460="","",IF(O460&lt;5,"Cor &lt;5 uC",IF(O460&lt;10,"5 ≤ Cor &lt; 10 uC",IF(O460&lt;15,"10 ≤ Cor &lt;15 uC",IF(O460&lt;30,"15 ≤ Cor &lt; 30 uC",IF(O460&lt;50,"30 ≤ Cor &lt; 50 uC","Cor &gt; 50 uC"))))))</f>
        <v>10 ≤ Cor &lt;15 uC</v>
      </c>
      <c r="BA460" s="137" t="str">
        <f>IF(N460="","",IF(N460&lt;2.5,"Turbidez &lt; 2,5 uT",IF(N460&lt;5,"2,5 ≤ Turb &lt; 5,0 uT",IF(N460&lt;7.5,"5,0 ≤ Turb &lt; 7,5 uT",IF(N460&lt;10,"7,5 ≤ Turb &lt; 10,0 uT",IF(N460&lt;15,"10,0 ≤ Turb &lt; 15,0 uT","Turb &gt; 15 uT"))))))</f>
        <v>Turbidez &lt; 2,5 uT</v>
      </c>
      <c r="BB460" s="138" t="str">
        <f>IF(AND(C460&gt;D460,D460&gt;E460),"TOR &gt; SM &gt; BNN",IF(AND(C460&gt;E460,E460&gt;D460),"TOR &gt; BNN &gt; SM",IF(AND(D460&gt;C460,C460&gt;E460),"SM &gt; TOR &gt; BNN",IF(AND(D460&gt;E460,E460&gt;C460),"SM &gt; BNN &gt; TOR",IF(AND(C460=D460,D460=E460),"TOR = SM = BNN","Comb. diferentes")))))</f>
        <v>TOR &gt; BNN &gt; SM</v>
      </c>
      <c r="BC460" s="137" t="str">
        <f>IF(OR(AD460="",AP460="-"),"",IF(AD460&lt;=0.25,"Tipo 1 (≤0,25) uT",IF(AD460&lt;=0.5,"Tipo 2 (0,25-0,50) uT",IF(AD460&lt;=0.75,"Tipo 3 (0,50-0,75) uT","Tipo 4 (&gt;0,75) uT"))))</f>
        <v>Tipo 1 (≤0,25) uT</v>
      </c>
      <c r="BD460" s="137" t="str">
        <f>IF(OR(AO460="",AY460="-"),"",IF(AO460&lt;=0.25,"Tipo 1 (≤0,25) uT",IF(AO460&lt;=0.5,"Tipo 2 (0,25-0,50) uT",IF(AO460&lt;=0.75,"Tipo 3 (0,50-0,75) uT","Tipo 4 (&gt;0,75) uT"))))</f>
        <v>Tipo 2 (0,25-0,50) uT</v>
      </c>
      <c r="BE460" s="137" t="str">
        <f>IF(OR(AE460="",AP460="-"),"",IF(AE460&lt;=0.25,"Tipo 1 (≤0,25) uT",IF(AE460&lt;=0.5,"Tipo 2 (0,25-0,50) uT",IF(AE460&lt;=0.75,"Tipo 3 (0,50-0,75) uT","Tipo 4 (&gt;0,75) uT"))))</f>
        <v>Tipo 2 (0,25-0,50) uT</v>
      </c>
      <c r="BF460" s="137" t="str">
        <f>IF(OR(AP460="",AP460="-"),"",IF(AP460&lt;=0.25,"Tipo 1 (≤0,25) uT",IF(AP460&lt;=0.5,"Tipo 2 (0,25-0,50) uT",IF(AP460&lt;=0.75,"Tipo 3 (0,50-0,75) uT","Tipo 4 (&gt;0,75) uT"))))</f>
        <v>Tipo 2 (0,25-0,50) uT</v>
      </c>
      <c r="BG460" s="137" t="str">
        <f>IF(OR(Q460="",Q460="-"),"",IF(Q460&lt;=0.25,"Tipo 1 (≤0,25) uT",IF(Q460&lt;=0.5,"Tipo 2 (0,25-0,50) uT",IF(Q460&lt;=0.75,"Tipo 3 (0,50-0,75) uT","Tipo 4 (&gt;0,75) uT"))))</f>
        <v>Tipo 1 (≤0,25) uT</v>
      </c>
    </row>
    <row r="461" spans="1:59" ht="15" thickBot="1" x14ac:dyDescent="0.35">
      <c r="A461" s="26">
        <v>46174</v>
      </c>
      <c r="B461" s="107">
        <v>0.72916666666666663</v>
      </c>
      <c r="C461" s="116">
        <v>1043</v>
      </c>
      <c r="D461" s="116">
        <v>80</v>
      </c>
      <c r="E461" s="116">
        <v>550</v>
      </c>
      <c r="F461" s="116">
        <v>1786</v>
      </c>
      <c r="G461" s="10" t="s">
        <v>100</v>
      </c>
      <c r="H461" s="122">
        <v>7.3</v>
      </c>
      <c r="I461" s="116">
        <v>90</v>
      </c>
      <c r="J461" s="116">
        <v>90</v>
      </c>
      <c r="K461" s="116">
        <v>90</v>
      </c>
      <c r="L461" s="122">
        <v>24.5</v>
      </c>
      <c r="M461" s="122">
        <v>6.8</v>
      </c>
      <c r="N461" s="79">
        <v>2.68</v>
      </c>
      <c r="O461" s="116">
        <v>13</v>
      </c>
      <c r="P461" s="122">
        <v>7.6</v>
      </c>
      <c r="Q461" s="79">
        <v>0.12</v>
      </c>
      <c r="R461" s="79">
        <v>22.36</v>
      </c>
      <c r="S461" s="79">
        <v>0.88</v>
      </c>
      <c r="T461" s="79">
        <v>0.7</v>
      </c>
      <c r="U461" s="85">
        <f t="shared" si="58"/>
        <v>1524.0533333333335</v>
      </c>
      <c r="V461" s="79">
        <f t="shared" si="59"/>
        <v>1456.0756423199998</v>
      </c>
      <c r="W461" s="79">
        <f t="shared" si="60"/>
        <v>0.95539677678821366</v>
      </c>
      <c r="X461" s="116">
        <v>2</v>
      </c>
      <c r="Y461" s="116">
        <v>3</v>
      </c>
      <c r="Z461" s="122">
        <v>6.51</v>
      </c>
      <c r="AA461" s="116">
        <v>18</v>
      </c>
      <c r="AB461" s="122">
        <v>6.7</v>
      </c>
      <c r="AC461" s="122">
        <v>6.6</v>
      </c>
      <c r="AD461" s="10">
        <v>0.44</v>
      </c>
      <c r="AE461" s="79">
        <v>0.52</v>
      </c>
      <c r="AF461" s="85">
        <f t="shared" si="61"/>
        <v>1143.04</v>
      </c>
      <c r="AG461" s="85">
        <f t="shared" si="62"/>
        <v>1941.4341897599998</v>
      </c>
      <c r="AH461" s="85">
        <f t="shared" si="63"/>
        <v>1.6984831587346023</v>
      </c>
      <c r="AI461" s="116">
        <v>2</v>
      </c>
      <c r="AJ461" s="116">
        <v>4</v>
      </c>
      <c r="AK461" s="79">
        <v>6.51</v>
      </c>
      <c r="AL461" s="79">
        <v>24</v>
      </c>
      <c r="AM461" s="122">
        <v>6.6</v>
      </c>
      <c r="AN461" s="122">
        <v>6.5</v>
      </c>
      <c r="AO461" s="79">
        <v>0.41</v>
      </c>
      <c r="AP461" s="127">
        <v>0.78</v>
      </c>
      <c r="AQ461" s="132">
        <f t="shared" si="64"/>
        <v>1673</v>
      </c>
      <c r="AR461" s="134">
        <f t="shared" si="65"/>
        <v>0.62343096234309625</v>
      </c>
      <c r="AS461" s="134">
        <f t="shared" si="66"/>
        <v>4.7818290496114767E-2</v>
      </c>
      <c r="AT461" s="134">
        <f t="shared" si="67"/>
        <v>0.328750747160789</v>
      </c>
      <c r="AU461" s="43">
        <f>IF(AND(F461&lt;&gt;"",Y461&lt;&gt;""),AA461/(F461/2/Y461),"")</f>
        <v>6.0470324748040309E-2</v>
      </c>
      <c r="AV461" s="43">
        <f>IF(AND(F461&lt;&gt;"",AJ461&lt;&gt;""),AL461/(F461/2/AJ461),"")</f>
        <v>0.10750279955207166</v>
      </c>
      <c r="AW461" s="43">
        <f>IF(AND(AP461&lt;&gt;"",1-(AP461/N461)&gt;0),1-(AP461/N461),"")</f>
        <v>0.70895522388059695</v>
      </c>
      <c r="AX461" s="41">
        <f>IF(AND(AE461&lt;&gt;"",1-(AE461/N461)&gt;0),1-(AE461/N461),"")</f>
        <v>0.80597014925373134</v>
      </c>
      <c r="AY461" s="136" t="str">
        <f>IF(P461="","",IF(P461&lt;2.5,"Alc. Bruta &lt; 2,5 mg/L",IF(P461&lt;5,"2,5 ≤ Alc. Bruta &lt; 5,0 mg/L",IF(P461&lt;7.5,"5,0 ≤ Alc. Bruta &lt; 7,5 mg/L",IF(P461&lt;10,"7,5 ≤ Alc. Bruta &lt; 10,0 mg/L",IF(P461&lt;15,"10,0 ≤ Alca. Bruta &lt; 15,0 mg/L","Alc. Bruta &gt; 15 mg/L"))))))</f>
        <v>7,5 ≤ Alc. Bruta &lt; 10,0 mg/L</v>
      </c>
      <c r="AZ461" s="136" t="str">
        <f>IF(O461="","",IF(O461&lt;5,"Cor &lt;5 uC",IF(O461&lt;10,"5 ≤ Cor &lt; 10 uC",IF(O461&lt;15,"10 ≤ Cor &lt;15 uC",IF(O461&lt;30,"15 ≤ Cor &lt; 30 uC",IF(O461&lt;50,"30 ≤ Cor &lt; 50 uC","Cor &gt; 50 uC"))))))</f>
        <v>10 ≤ Cor &lt;15 uC</v>
      </c>
      <c r="BA461" s="137" t="str">
        <f>IF(N461="","",IF(N461&lt;2.5,"Turbidez &lt; 2,5 uT",IF(N461&lt;5,"2,5 ≤ Turb &lt; 5,0 uT",IF(N461&lt;7.5,"5,0 ≤ Turb &lt; 7,5 uT",IF(N461&lt;10,"7,5 ≤ Turb &lt; 10,0 uT",IF(N461&lt;15,"10,0 ≤ Turb &lt; 15,0 uT","Turb &gt; 15 uT"))))))</f>
        <v>2,5 ≤ Turb &lt; 5,0 uT</v>
      </c>
      <c r="BB461" s="138" t="str">
        <f>IF(AND(C461&gt;D461,D461&gt;E461),"TOR &gt; SM &gt; BNN",IF(AND(C461&gt;E461,E461&gt;D461),"TOR &gt; BNN &gt; SM",IF(AND(D461&gt;C461,C461&gt;E461),"SM &gt; TOR &gt; BNN",IF(AND(D461&gt;E461,E461&gt;C461),"SM &gt; BNN &gt; TOR",IF(AND(C461=D461,D461=E461),"TOR = SM = BNN","Comb. diferentes")))))</f>
        <v>TOR &gt; BNN &gt; SM</v>
      </c>
      <c r="BC461" s="137" t="str">
        <f>IF(OR(AD461="",AP461="-"),"",IF(AD461&lt;=0.25,"Tipo 1 (≤0,25) uT",IF(AD461&lt;=0.5,"Tipo 2 (0,25-0,50) uT",IF(AD461&lt;=0.75,"Tipo 3 (0,50-0,75) uT","Tipo 4 (&gt;0,75) uT"))))</f>
        <v>Tipo 2 (0,25-0,50) uT</v>
      </c>
      <c r="BD461" s="137" t="str">
        <f>IF(OR(AO461="",AY461="-"),"",IF(AO461&lt;=0.25,"Tipo 1 (≤0,25) uT",IF(AO461&lt;=0.5,"Tipo 2 (0,25-0,50) uT",IF(AO461&lt;=0.75,"Tipo 3 (0,50-0,75) uT","Tipo 4 (&gt;0,75) uT"))))</f>
        <v>Tipo 2 (0,25-0,50) uT</v>
      </c>
      <c r="BE461" s="137" t="str">
        <f>IF(OR(AE461="",AP461="-"),"",IF(AE461&lt;=0.25,"Tipo 1 (≤0,25) uT",IF(AE461&lt;=0.5,"Tipo 2 (0,25-0,50) uT",IF(AE461&lt;=0.75,"Tipo 3 (0,50-0,75) uT","Tipo 4 (&gt;0,75) uT"))))</f>
        <v>Tipo 3 (0,50-0,75) uT</v>
      </c>
      <c r="BF461" s="137" t="str">
        <f>IF(OR(AP461="",AP461="-"),"",IF(AP461&lt;=0.25,"Tipo 1 (≤0,25) uT",IF(AP461&lt;=0.5,"Tipo 2 (0,25-0,50) uT",IF(AP461&lt;=0.75,"Tipo 3 (0,50-0,75) uT","Tipo 4 (&gt;0,75) uT"))))</f>
        <v>Tipo 4 (&gt;0,75) uT</v>
      </c>
      <c r="BG461" s="137" t="str">
        <f>IF(OR(Q461="",Q461="-"),"",IF(Q461&lt;=0.25,"Tipo 1 (≤0,25) uT",IF(Q461&lt;=0.5,"Tipo 2 (0,25-0,50) uT",IF(Q461&lt;=0.75,"Tipo 3 (0,50-0,75) uT","Tipo 4 (&gt;0,75) uT"))))</f>
        <v>Tipo 1 (≤0,25) uT</v>
      </c>
    </row>
    <row r="462" spans="1:59" x14ac:dyDescent="0.3">
      <c r="A462" s="26">
        <v>46175</v>
      </c>
      <c r="B462" s="111">
        <v>0.3125</v>
      </c>
      <c r="C462" s="118">
        <v>1100</v>
      </c>
      <c r="D462" s="116">
        <v>86</v>
      </c>
      <c r="E462" s="118">
        <v>550</v>
      </c>
      <c r="F462" s="118">
        <v>1740</v>
      </c>
      <c r="G462" s="9" t="s">
        <v>100</v>
      </c>
      <c r="H462" s="124">
        <v>7.5</v>
      </c>
      <c r="I462" s="118">
        <v>90</v>
      </c>
      <c r="J462" s="118">
        <v>90</v>
      </c>
      <c r="K462" s="118">
        <v>90</v>
      </c>
      <c r="L462" s="122">
        <v>23.2</v>
      </c>
      <c r="M462" s="122">
        <v>6.8</v>
      </c>
      <c r="N462" s="79">
        <v>4.41</v>
      </c>
      <c r="O462" s="116">
        <v>16</v>
      </c>
      <c r="P462" s="122">
        <v>8.6999999999999993</v>
      </c>
      <c r="Q462" s="81">
        <v>0.11</v>
      </c>
      <c r="R462" s="79">
        <v>22.36</v>
      </c>
      <c r="S462" s="79">
        <v>0.88</v>
      </c>
      <c r="T462" s="79">
        <v>0.7</v>
      </c>
      <c r="U462" s="85">
        <f t="shared" si="58"/>
        <v>3005.85</v>
      </c>
      <c r="V462" s="79">
        <f t="shared" si="59"/>
        <v>1534.0335140000002</v>
      </c>
      <c r="W462" s="79">
        <f t="shared" si="60"/>
        <v>0.51034932348586926</v>
      </c>
      <c r="X462" s="118">
        <v>2</v>
      </c>
      <c r="Y462" s="118">
        <v>2</v>
      </c>
      <c r="Z462" s="124">
        <v>6.5</v>
      </c>
      <c r="AA462" s="118">
        <v>19</v>
      </c>
      <c r="AB462" s="124">
        <v>6.7</v>
      </c>
      <c r="AC462" s="124">
        <v>5.7</v>
      </c>
      <c r="AD462" s="9">
        <v>0.28000000000000003</v>
      </c>
      <c r="AE462" s="81">
        <v>0.31</v>
      </c>
      <c r="AF462" s="85">
        <f t="shared" si="61"/>
        <v>3005.85</v>
      </c>
      <c r="AG462" s="85">
        <f t="shared" si="62"/>
        <v>1692.2665359599998</v>
      </c>
      <c r="AH462" s="85">
        <f t="shared" si="63"/>
        <v>0.56299101284495234</v>
      </c>
      <c r="AI462" s="118">
        <v>2</v>
      </c>
      <c r="AJ462" s="118">
        <v>2</v>
      </c>
      <c r="AK462" s="81">
        <v>6.49</v>
      </c>
      <c r="AL462" s="81">
        <v>21</v>
      </c>
      <c r="AM462" s="124">
        <v>6.8</v>
      </c>
      <c r="AN462" s="124">
        <v>5.7</v>
      </c>
      <c r="AO462" s="81">
        <v>0.19</v>
      </c>
      <c r="AP462" s="129">
        <v>0.38</v>
      </c>
      <c r="AQ462" s="132">
        <f t="shared" si="64"/>
        <v>1736</v>
      </c>
      <c r="AR462" s="134">
        <f t="shared" si="65"/>
        <v>0.63364055299539168</v>
      </c>
      <c r="AS462" s="134">
        <f t="shared" si="66"/>
        <v>4.9539170506912443E-2</v>
      </c>
      <c r="AT462" s="134">
        <f t="shared" si="67"/>
        <v>0.31682027649769584</v>
      </c>
      <c r="AU462" s="43">
        <f>IF(AND(F462&lt;&gt;"",Y462&lt;&gt;""),AA462/(F462/2/Y462),"")</f>
        <v>4.3678160919540229E-2</v>
      </c>
      <c r="AV462" s="43">
        <f>IF(AND(F462&lt;&gt;"",AJ462&lt;&gt;""),AL462/(F462/2/AJ462),"")</f>
        <v>4.8275862068965517E-2</v>
      </c>
      <c r="AW462" s="43"/>
      <c r="AX462" s="41"/>
      <c r="AY462" s="136" t="str">
        <f>IF(P462="","",IF(P462&lt;2.5,"Alc. Bruta &lt; 2,5 mg/L",IF(P462&lt;5,"2,5 ≤ Alc. Bruta &lt; 5,0 mg/L",IF(P462&lt;7.5,"5,0 ≤ Alc. Bruta &lt; 7,5 mg/L",IF(P462&lt;10,"7,5 ≤ Alc. Bruta &lt; 10,0 mg/L",IF(P462&lt;15,"10,0 ≤ Alca. Bruta &lt; 15,0 mg/L","Alc. Bruta &gt; 15 mg/L"))))))</f>
        <v>7,5 ≤ Alc. Bruta &lt; 10,0 mg/L</v>
      </c>
      <c r="AZ462" s="136" t="str">
        <f>IF(O462="","",IF(O462&lt;5,"Cor &lt;5 uC",IF(O462&lt;10,"5 ≤ Cor &lt; 10 uC",IF(O462&lt;15,"10 ≤ Cor &lt;15 uC",IF(O462&lt;30,"15 ≤ Cor &lt; 30 uC",IF(O462&lt;50,"30 ≤ Cor &lt; 50 uC","Cor &gt; 50 uC"))))))</f>
        <v>15 ≤ Cor &lt; 30 uC</v>
      </c>
      <c r="BA462" s="137" t="str">
        <f>IF(N462="","",IF(N462&lt;2.5,"Turbidez &lt; 2,5 uT",IF(N462&lt;5,"2,5 ≤ Turb &lt; 5,0 uT",IF(N462&lt;7.5,"5,0 ≤ Turb &lt; 7,5 uT",IF(N462&lt;10,"7,5 ≤ Turb &lt; 10,0 uT",IF(N462&lt;15,"10,0 ≤ Turb &lt; 15,0 uT","Turb &gt; 15 uT"))))))</f>
        <v>2,5 ≤ Turb &lt; 5,0 uT</v>
      </c>
      <c r="BB462" s="138" t="str">
        <f>IF(AND(C462&gt;D462,D462&gt;E462),"TOR &gt; SM &gt; BNN",IF(AND(C462&gt;E462,E462&gt;D462),"TOR &gt; BNN &gt; SM",IF(AND(D462&gt;C462,C462&gt;E462),"SM &gt; TOR &gt; BNN",IF(AND(D462&gt;E462,E462&gt;C462),"SM &gt; BNN &gt; TOR",IF(AND(C462=D462,D462=E462),"TOR = SM = BNN","Comb. diferentes")))))</f>
        <v>TOR &gt; BNN &gt; SM</v>
      </c>
      <c r="BC462" s="137" t="str">
        <f>IF(OR(AD462="",AP462="-"),"",IF(AD462&lt;=0.25,"Tipo 1 (≤0,25) uT",IF(AD462&lt;=0.5,"Tipo 2 (0,25-0,50) uT",IF(AD462&lt;=0.75,"Tipo 3 (0,50-0,75) uT","Tipo 4 (&gt;0,75) uT"))))</f>
        <v>Tipo 2 (0,25-0,50) uT</v>
      </c>
      <c r="BD462" s="137" t="str">
        <f>IF(OR(AO462="",AY462="-"),"",IF(AO462&lt;=0.25,"Tipo 1 (≤0,25) uT",IF(AO462&lt;=0.5,"Tipo 2 (0,25-0,50) uT",IF(AO462&lt;=0.75,"Tipo 3 (0,50-0,75) uT","Tipo 4 (&gt;0,75) uT"))))</f>
        <v>Tipo 1 (≤0,25) uT</v>
      </c>
      <c r="BE462" s="137" t="str">
        <f>IF(OR(AE462="",AP462="-"),"",IF(AE462&lt;=0.25,"Tipo 1 (≤0,25) uT",IF(AE462&lt;=0.5,"Tipo 2 (0,25-0,50) uT",IF(AE462&lt;=0.75,"Tipo 3 (0,50-0,75) uT","Tipo 4 (&gt;0,75) uT"))))</f>
        <v>Tipo 2 (0,25-0,50) uT</v>
      </c>
      <c r="BF462" s="137" t="str">
        <f>IF(OR(AP462="",AP462="-"),"",IF(AP462&lt;=0.25,"Tipo 1 (≤0,25) uT",IF(AP462&lt;=0.5,"Tipo 2 (0,25-0,50) uT",IF(AP462&lt;=0.75,"Tipo 3 (0,50-0,75) uT","Tipo 4 (&gt;0,75) uT"))))</f>
        <v>Tipo 2 (0,25-0,50) uT</v>
      </c>
      <c r="BG462" s="137" t="str">
        <f>IF(OR(Q462="",Q462="-"),"",IF(Q462&lt;=0.25,"Tipo 1 (≤0,25) uT",IF(Q462&lt;=0.5,"Tipo 2 (0,25-0,50) uT",IF(Q462&lt;=0.75,"Tipo 3 (0,50-0,75) uT","Tipo 4 (&gt;0,75) uT"))))</f>
        <v>Tipo 1 (≤0,25) uT</v>
      </c>
    </row>
    <row r="463" spans="1:59" x14ac:dyDescent="0.3">
      <c r="A463" s="26">
        <v>46175</v>
      </c>
      <c r="B463" s="107">
        <v>0.39583333333333331</v>
      </c>
      <c r="C463" s="116">
        <v>1068</v>
      </c>
      <c r="D463" s="116">
        <v>93</v>
      </c>
      <c r="E463" s="116">
        <v>550</v>
      </c>
      <c r="F463" s="116">
        <v>1713</v>
      </c>
      <c r="G463" s="10" t="s">
        <v>100</v>
      </c>
      <c r="H463" s="122">
        <v>7.5</v>
      </c>
      <c r="I463" s="116">
        <v>90</v>
      </c>
      <c r="J463" s="116">
        <v>90</v>
      </c>
      <c r="K463" s="116">
        <v>90</v>
      </c>
      <c r="L463" s="122">
        <v>23.2</v>
      </c>
      <c r="M463" s="122">
        <v>6.8</v>
      </c>
      <c r="N463" s="79">
        <v>4.41</v>
      </c>
      <c r="O463" s="116">
        <v>16</v>
      </c>
      <c r="P463" s="122">
        <v>8.6999999999999993</v>
      </c>
      <c r="Q463" s="79">
        <v>0.25</v>
      </c>
      <c r="R463" s="79">
        <v>22.36</v>
      </c>
      <c r="S463" s="79">
        <v>0.88</v>
      </c>
      <c r="T463" s="79">
        <v>0.7</v>
      </c>
      <c r="U463" s="85">
        <f t="shared" si="58"/>
        <v>2959.2075</v>
      </c>
      <c r="V463" s="79">
        <f t="shared" si="59"/>
        <v>1534.0335140000002</v>
      </c>
      <c r="W463" s="79">
        <f t="shared" si="60"/>
        <v>0.51839335835692502</v>
      </c>
      <c r="X463" s="116">
        <v>2</v>
      </c>
      <c r="Y463" s="116">
        <v>2</v>
      </c>
      <c r="Z463" s="122">
        <v>6.5</v>
      </c>
      <c r="AA463" s="116">
        <v>19</v>
      </c>
      <c r="AB463" s="122">
        <v>6.7</v>
      </c>
      <c r="AC463" s="122">
        <v>6.7</v>
      </c>
      <c r="AD463" s="10">
        <v>0.26</v>
      </c>
      <c r="AE463" s="79">
        <v>0.36</v>
      </c>
      <c r="AF463" s="85">
        <f t="shared" si="61"/>
        <v>1479.60375</v>
      </c>
      <c r="AG463" s="85">
        <f t="shared" si="62"/>
        <v>1860.5410985199997</v>
      </c>
      <c r="AH463" s="85">
        <f t="shared" si="63"/>
        <v>1.2574590315278666</v>
      </c>
      <c r="AI463" s="116">
        <v>2</v>
      </c>
      <c r="AJ463" s="116">
        <v>4</v>
      </c>
      <c r="AK463" s="79">
        <v>6.51</v>
      </c>
      <c r="AL463" s="79">
        <v>23</v>
      </c>
      <c r="AM463" s="122">
        <v>6.7</v>
      </c>
      <c r="AN463" s="122">
        <v>6.8</v>
      </c>
      <c r="AO463" s="79">
        <v>0.23</v>
      </c>
      <c r="AP463" s="127">
        <v>0.47</v>
      </c>
      <c r="AQ463" s="132">
        <f t="shared" si="64"/>
        <v>1711</v>
      </c>
      <c r="AR463" s="134">
        <f t="shared" si="65"/>
        <v>0.62419637638807712</v>
      </c>
      <c r="AS463" s="134">
        <f t="shared" si="66"/>
        <v>5.4354178842782E-2</v>
      </c>
      <c r="AT463" s="134">
        <f t="shared" si="67"/>
        <v>0.32144944476914084</v>
      </c>
      <c r="AU463" s="43">
        <f>IF(AND(F463&lt;&gt;"",Y463&lt;&gt;""),AA463/(F463/2/Y463),"")</f>
        <v>4.4366608289550497E-2</v>
      </c>
      <c r="AV463" s="43">
        <f>IF(AND(F463&lt;&gt;"",AJ463&lt;&gt;""),AL463/(F463/2/AJ463),"")</f>
        <v>0.10741389375364857</v>
      </c>
      <c r="AW463" s="43"/>
      <c r="AX463" s="41"/>
      <c r="AY463" s="136" t="str">
        <f>IF(P463="","",IF(P463&lt;2.5,"Alc. Bruta &lt; 2,5 mg/L",IF(P463&lt;5,"2,5 ≤ Alc. Bruta &lt; 5,0 mg/L",IF(P463&lt;7.5,"5,0 ≤ Alc. Bruta &lt; 7,5 mg/L",IF(P463&lt;10,"7,5 ≤ Alc. Bruta &lt; 10,0 mg/L",IF(P463&lt;15,"10,0 ≤ Alca. Bruta &lt; 15,0 mg/L","Alc. Bruta &gt; 15 mg/L"))))))</f>
        <v>7,5 ≤ Alc. Bruta &lt; 10,0 mg/L</v>
      </c>
      <c r="AZ463" s="136" t="str">
        <f>IF(O463="","",IF(O463&lt;5,"Cor &lt;5 uC",IF(O463&lt;10,"5 ≤ Cor &lt; 10 uC",IF(O463&lt;15,"10 ≤ Cor &lt;15 uC",IF(O463&lt;30,"15 ≤ Cor &lt; 30 uC",IF(O463&lt;50,"30 ≤ Cor &lt; 50 uC","Cor &gt; 50 uC"))))))</f>
        <v>15 ≤ Cor &lt; 30 uC</v>
      </c>
      <c r="BA463" s="137" t="str">
        <f>IF(N463="","",IF(N463&lt;2.5,"Turbidez &lt; 2,5 uT",IF(N463&lt;5,"2,5 ≤ Turb &lt; 5,0 uT",IF(N463&lt;7.5,"5,0 ≤ Turb &lt; 7,5 uT",IF(N463&lt;10,"7,5 ≤ Turb &lt; 10,0 uT",IF(N463&lt;15,"10,0 ≤ Turb &lt; 15,0 uT","Turb &gt; 15 uT"))))))</f>
        <v>2,5 ≤ Turb &lt; 5,0 uT</v>
      </c>
      <c r="BB463" s="138" t="str">
        <f>IF(AND(C463&gt;D463,D463&gt;E463),"TOR &gt; SM &gt; BNN",IF(AND(C463&gt;E463,E463&gt;D463),"TOR &gt; BNN &gt; SM",IF(AND(D463&gt;C463,C463&gt;E463),"SM &gt; TOR &gt; BNN",IF(AND(D463&gt;E463,E463&gt;C463),"SM &gt; BNN &gt; TOR",IF(AND(C463=D463,D463=E463),"TOR = SM = BNN","Comb. diferentes")))))</f>
        <v>TOR &gt; BNN &gt; SM</v>
      </c>
      <c r="BC463" s="137" t="str">
        <f>IF(OR(AD463="",AP463="-"),"",IF(AD463&lt;=0.25,"Tipo 1 (≤0,25) uT",IF(AD463&lt;=0.5,"Tipo 2 (0,25-0,50) uT",IF(AD463&lt;=0.75,"Tipo 3 (0,50-0,75) uT","Tipo 4 (&gt;0,75) uT"))))</f>
        <v>Tipo 2 (0,25-0,50) uT</v>
      </c>
      <c r="BD463" s="137" t="str">
        <f>IF(OR(AO463="",AY463="-"),"",IF(AO463&lt;=0.25,"Tipo 1 (≤0,25) uT",IF(AO463&lt;=0.5,"Tipo 2 (0,25-0,50) uT",IF(AO463&lt;=0.75,"Tipo 3 (0,50-0,75) uT","Tipo 4 (&gt;0,75) uT"))))</f>
        <v>Tipo 1 (≤0,25) uT</v>
      </c>
      <c r="BE463" s="137" t="str">
        <f>IF(OR(AE463="",AP463="-"),"",IF(AE463&lt;=0.25,"Tipo 1 (≤0,25) uT",IF(AE463&lt;=0.5,"Tipo 2 (0,25-0,50) uT",IF(AE463&lt;=0.75,"Tipo 3 (0,50-0,75) uT","Tipo 4 (&gt;0,75) uT"))))</f>
        <v>Tipo 2 (0,25-0,50) uT</v>
      </c>
      <c r="BF463" s="137" t="str">
        <f>IF(OR(AP463="",AP463="-"),"",IF(AP463&lt;=0.25,"Tipo 1 (≤0,25) uT",IF(AP463&lt;=0.5,"Tipo 2 (0,25-0,50) uT",IF(AP463&lt;=0.75,"Tipo 3 (0,50-0,75) uT","Tipo 4 (&gt;0,75) uT"))))</f>
        <v>Tipo 2 (0,25-0,50) uT</v>
      </c>
      <c r="BG463" s="137" t="str">
        <f>IF(OR(Q463="",Q463="-"),"",IF(Q463&lt;=0.25,"Tipo 1 (≤0,25) uT",IF(Q463&lt;=0.5,"Tipo 2 (0,25-0,50) uT",IF(Q463&lt;=0.75,"Tipo 3 (0,50-0,75) uT","Tipo 4 (&gt;0,75) uT"))))</f>
        <v>Tipo 1 (≤0,25) uT</v>
      </c>
    </row>
    <row r="464" spans="1:59" x14ac:dyDescent="0.3">
      <c r="A464" s="26">
        <v>46175</v>
      </c>
      <c r="B464" s="107">
        <v>0.47916666666666669</v>
      </c>
      <c r="C464" s="116">
        <v>1096</v>
      </c>
      <c r="D464" s="116">
        <v>91</v>
      </c>
      <c r="E464" s="116">
        <v>550</v>
      </c>
      <c r="F464" s="116">
        <v>1737</v>
      </c>
      <c r="G464" s="10" t="s">
        <v>100</v>
      </c>
      <c r="H464" s="122">
        <v>7.3</v>
      </c>
      <c r="I464" s="116">
        <v>90</v>
      </c>
      <c r="J464" s="116">
        <v>90</v>
      </c>
      <c r="K464" s="116">
        <v>90</v>
      </c>
      <c r="L464" s="122">
        <v>23.2</v>
      </c>
      <c r="M464" s="122">
        <v>6.8</v>
      </c>
      <c r="N464" s="79">
        <v>4.41</v>
      </c>
      <c r="O464" s="116">
        <v>16</v>
      </c>
      <c r="P464" s="122">
        <v>8.6999999999999993</v>
      </c>
      <c r="Q464" s="79">
        <v>0.12</v>
      </c>
      <c r="R464" s="79">
        <v>22.36</v>
      </c>
      <c r="S464" s="79">
        <v>0.88</v>
      </c>
      <c r="T464" s="79">
        <v>0.7</v>
      </c>
      <c r="U464" s="85">
        <f t="shared" si="58"/>
        <v>1983.0749999999998</v>
      </c>
      <c r="V464" s="79">
        <f t="shared" si="59"/>
        <v>1536.9687335599997</v>
      </c>
      <c r="W464" s="79">
        <f t="shared" si="60"/>
        <v>0.77504316960276332</v>
      </c>
      <c r="X464" s="116">
        <v>2</v>
      </c>
      <c r="Y464" s="116">
        <v>3</v>
      </c>
      <c r="Z464" s="122">
        <v>6.51</v>
      </c>
      <c r="AA464" s="116">
        <v>19</v>
      </c>
      <c r="AB464" s="122">
        <v>6.8</v>
      </c>
      <c r="AC464" s="122">
        <v>6.7</v>
      </c>
      <c r="AD464" s="10">
        <v>0.15</v>
      </c>
      <c r="AE464" s="79">
        <v>0.2</v>
      </c>
      <c r="AF464" s="85">
        <f t="shared" si="61"/>
        <v>1487.3062499999999</v>
      </c>
      <c r="AG464" s="85">
        <f t="shared" si="62"/>
        <v>1849.8816169599997</v>
      </c>
      <c r="AH464" s="85">
        <f t="shared" si="63"/>
        <v>1.2437798986994104</v>
      </c>
      <c r="AI464" s="116">
        <v>2</v>
      </c>
      <c r="AJ464" s="116">
        <v>4</v>
      </c>
      <c r="AK464" s="79">
        <v>6.48</v>
      </c>
      <c r="AL464" s="79">
        <v>23</v>
      </c>
      <c r="AM464" s="122">
        <v>6.6</v>
      </c>
      <c r="AN464" s="122">
        <v>6.9</v>
      </c>
      <c r="AO464" s="79">
        <v>0.44</v>
      </c>
      <c r="AP464" s="127">
        <v>0.28999999999999998</v>
      </c>
      <c r="AQ464" s="132">
        <f t="shared" si="64"/>
        <v>1737</v>
      </c>
      <c r="AR464" s="134">
        <f t="shared" si="65"/>
        <v>0.63097294185377084</v>
      </c>
      <c r="AS464" s="134">
        <f t="shared" si="66"/>
        <v>5.238917674150835E-2</v>
      </c>
      <c r="AT464" s="134">
        <f t="shared" si="67"/>
        <v>0.31663788140472077</v>
      </c>
      <c r="AU464" s="43">
        <f>IF(AND(F464&lt;&gt;"",Y464&lt;&gt;""),AA464/(F464/2/Y464),"")</f>
        <v>6.563039723661486E-2</v>
      </c>
      <c r="AV464" s="43">
        <f>IF(AND(F464&lt;&gt;"",AJ464&lt;&gt;""),AL464/(F464/2/AJ464),"")</f>
        <v>0.10592976396085205</v>
      </c>
      <c r="AW464" s="43"/>
      <c r="AX464" s="41"/>
      <c r="AY464" s="136" t="str">
        <f>IF(P464="","",IF(P464&lt;2.5,"Alc. Bruta &lt; 2,5 mg/L",IF(P464&lt;5,"2,5 ≤ Alc. Bruta &lt; 5,0 mg/L",IF(P464&lt;7.5,"5,0 ≤ Alc. Bruta &lt; 7,5 mg/L",IF(P464&lt;10,"7,5 ≤ Alc. Bruta &lt; 10,0 mg/L",IF(P464&lt;15,"10,0 ≤ Alca. Bruta &lt; 15,0 mg/L","Alc. Bruta &gt; 15 mg/L"))))))</f>
        <v>7,5 ≤ Alc. Bruta &lt; 10,0 mg/L</v>
      </c>
      <c r="AZ464" s="136" t="str">
        <f>IF(O464="","",IF(O464&lt;5,"Cor &lt;5 uC",IF(O464&lt;10,"5 ≤ Cor &lt; 10 uC",IF(O464&lt;15,"10 ≤ Cor &lt;15 uC",IF(O464&lt;30,"15 ≤ Cor &lt; 30 uC",IF(O464&lt;50,"30 ≤ Cor &lt; 50 uC","Cor &gt; 50 uC"))))))</f>
        <v>15 ≤ Cor &lt; 30 uC</v>
      </c>
      <c r="BA464" s="137" t="str">
        <f>IF(N464="","",IF(N464&lt;2.5,"Turbidez &lt; 2,5 uT",IF(N464&lt;5,"2,5 ≤ Turb &lt; 5,0 uT",IF(N464&lt;7.5,"5,0 ≤ Turb &lt; 7,5 uT",IF(N464&lt;10,"7,5 ≤ Turb &lt; 10,0 uT",IF(N464&lt;15,"10,0 ≤ Turb &lt; 15,0 uT","Turb &gt; 15 uT"))))))</f>
        <v>2,5 ≤ Turb &lt; 5,0 uT</v>
      </c>
      <c r="BB464" s="138" t="str">
        <f>IF(AND(C464&gt;D464,D464&gt;E464),"TOR &gt; SM &gt; BNN",IF(AND(C464&gt;E464,E464&gt;D464),"TOR &gt; BNN &gt; SM",IF(AND(D464&gt;C464,C464&gt;E464),"SM &gt; TOR &gt; BNN",IF(AND(D464&gt;E464,E464&gt;C464),"SM &gt; BNN &gt; TOR",IF(AND(C464=D464,D464=E464),"TOR = SM = BNN","Comb. diferentes")))))</f>
        <v>TOR &gt; BNN &gt; SM</v>
      </c>
      <c r="BC464" s="137" t="str">
        <f>IF(OR(AD464="",AP464="-"),"",IF(AD464&lt;=0.25,"Tipo 1 (≤0,25) uT",IF(AD464&lt;=0.5,"Tipo 2 (0,25-0,50) uT",IF(AD464&lt;=0.75,"Tipo 3 (0,50-0,75) uT","Tipo 4 (&gt;0,75) uT"))))</f>
        <v>Tipo 1 (≤0,25) uT</v>
      </c>
      <c r="BD464" s="137" t="str">
        <f>IF(OR(AO464="",AY464="-"),"",IF(AO464&lt;=0.25,"Tipo 1 (≤0,25) uT",IF(AO464&lt;=0.5,"Tipo 2 (0,25-0,50) uT",IF(AO464&lt;=0.75,"Tipo 3 (0,50-0,75) uT","Tipo 4 (&gt;0,75) uT"))))</f>
        <v>Tipo 2 (0,25-0,50) uT</v>
      </c>
      <c r="BE464" s="137" t="str">
        <f>IF(OR(AE464="",AP464="-"),"",IF(AE464&lt;=0.25,"Tipo 1 (≤0,25) uT",IF(AE464&lt;=0.5,"Tipo 2 (0,25-0,50) uT",IF(AE464&lt;=0.75,"Tipo 3 (0,50-0,75) uT","Tipo 4 (&gt;0,75) uT"))))</f>
        <v>Tipo 1 (≤0,25) uT</v>
      </c>
      <c r="BF464" s="137" t="str">
        <f>IF(OR(AP464="",AP464="-"),"",IF(AP464&lt;=0.25,"Tipo 1 (≤0,25) uT",IF(AP464&lt;=0.5,"Tipo 2 (0,25-0,50) uT",IF(AP464&lt;=0.75,"Tipo 3 (0,50-0,75) uT","Tipo 4 (&gt;0,75) uT"))))</f>
        <v>Tipo 2 (0,25-0,50) uT</v>
      </c>
      <c r="BG464" s="137" t="str">
        <f>IF(OR(Q464="",Q464="-"),"",IF(Q464&lt;=0.25,"Tipo 1 (≤0,25) uT",IF(Q464&lt;=0.5,"Tipo 2 (0,25-0,50) uT",IF(Q464&lt;=0.75,"Tipo 3 (0,50-0,75) uT","Tipo 4 (&gt;0,75) uT"))))</f>
        <v>Tipo 1 (≤0,25) uT</v>
      </c>
    </row>
    <row r="465" spans="1:59" x14ac:dyDescent="0.3">
      <c r="A465" s="26">
        <v>46175</v>
      </c>
      <c r="B465" s="107">
        <v>0.64583333333333337</v>
      </c>
      <c r="C465" s="116">
        <v>1051</v>
      </c>
      <c r="D465" s="116">
        <v>93</v>
      </c>
      <c r="E465" s="116">
        <v>549</v>
      </c>
      <c r="F465" s="116">
        <v>1710</v>
      </c>
      <c r="G465" s="10" t="s">
        <v>100</v>
      </c>
      <c r="H465" s="122">
        <v>7.3</v>
      </c>
      <c r="I465" s="116">
        <v>90</v>
      </c>
      <c r="J465" s="116">
        <v>90</v>
      </c>
      <c r="K465" s="116">
        <v>90</v>
      </c>
      <c r="L465" s="122">
        <v>23.2</v>
      </c>
      <c r="M465" s="122">
        <v>6.8</v>
      </c>
      <c r="N465" s="79">
        <v>4.41</v>
      </c>
      <c r="O465" s="116">
        <v>16</v>
      </c>
      <c r="P465" s="122">
        <v>8.6999999999999993</v>
      </c>
      <c r="Q465" s="79">
        <v>0.13</v>
      </c>
      <c r="R465" s="79">
        <v>22.36</v>
      </c>
      <c r="S465" s="79">
        <v>0.88</v>
      </c>
      <c r="T465" s="79">
        <v>0.7</v>
      </c>
      <c r="U465" s="85">
        <f t="shared" si="58"/>
        <v>1952.25</v>
      </c>
      <c r="V465" s="79">
        <f t="shared" si="59"/>
        <v>1536.9687335599997</v>
      </c>
      <c r="W465" s="79">
        <f t="shared" si="60"/>
        <v>0.78728069333333317</v>
      </c>
      <c r="X465" s="116">
        <v>2</v>
      </c>
      <c r="Y465" s="116">
        <v>3</v>
      </c>
      <c r="Z465" s="122">
        <v>6.51</v>
      </c>
      <c r="AA465" s="116">
        <v>19</v>
      </c>
      <c r="AB465" s="122">
        <v>6.7</v>
      </c>
      <c r="AC465" s="122">
        <v>6.9</v>
      </c>
      <c r="AD465" s="10">
        <v>0.23</v>
      </c>
      <c r="AE465" s="79">
        <v>0.43</v>
      </c>
      <c r="AF465" s="85">
        <f t="shared" si="61"/>
        <v>1952.25</v>
      </c>
      <c r="AG465" s="85">
        <f t="shared" si="62"/>
        <v>1853.4347774799999</v>
      </c>
      <c r="AH465" s="85">
        <f t="shared" si="63"/>
        <v>0.94938393007043154</v>
      </c>
      <c r="AI465" s="116">
        <v>2</v>
      </c>
      <c r="AJ465" s="116">
        <v>3</v>
      </c>
      <c r="AK465" s="79">
        <v>6.49</v>
      </c>
      <c r="AL465" s="79">
        <v>23</v>
      </c>
      <c r="AM465" s="122">
        <v>6.6</v>
      </c>
      <c r="AN465" s="122">
        <v>7.2</v>
      </c>
      <c r="AO465" s="79">
        <v>0.28999999999999998</v>
      </c>
      <c r="AP465" s="127">
        <v>0.41</v>
      </c>
      <c r="AQ465" s="132">
        <f t="shared" si="64"/>
        <v>1693</v>
      </c>
      <c r="AR465" s="134">
        <f t="shared" si="65"/>
        <v>0.62079149438865922</v>
      </c>
      <c r="AS465" s="134">
        <f t="shared" si="66"/>
        <v>5.493207324276432E-2</v>
      </c>
      <c r="AT465" s="134">
        <f t="shared" si="67"/>
        <v>0.32427643236857651</v>
      </c>
      <c r="AU465" s="43">
        <f>IF(AND(F465&lt;&gt;"",Y465&lt;&gt;""),AA465/(F465/2/Y465),"")</f>
        <v>6.6666666666666666E-2</v>
      </c>
      <c r="AV465" s="43">
        <f>IF(AND(F465&lt;&gt;"",AJ465&lt;&gt;""),AL465/(F465/2/AJ465),"")</f>
        <v>8.0701754385964913E-2</v>
      </c>
      <c r="AW465" s="43">
        <f>IF(AND(AP465&lt;&gt;"",1-(AP465/N465)&gt;0),1-(AP465/N465),"")</f>
        <v>0.90702947845804993</v>
      </c>
      <c r="AX465" s="41">
        <f>IF(AND(AE465&lt;&gt;"",1-(AE465/N465)&gt;0),1-(AE465/N465),"")</f>
        <v>0.9024943310657596</v>
      </c>
      <c r="AY465" s="136" t="str">
        <f>IF(P465="","",IF(P465&lt;2.5,"Alc. Bruta &lt; 2,5 mg/L",IF(P465&lt;5,"2,5 ≤ Alc. Bruta &lt; 5,0 mg/L",IF(P465&lt;7.5,"5,0 ≤ Alc. Bruta &lt; 7,5 mg/L",IF(P465&lt;10,"7,5 ≤ Alc. Bruta &lt; 10,0 mg/L",IF(P465&lt;15,"10,0 ≤ Alca. Bruta &lt; 15,0 mg/L","Alc. Bruta &gt; 15 mg/L"))))))</f>
        <v>7,5 ≤ Alc. Bruta &lt; 10,0 mg/L</v>
      </c>
      <c r="AZ465" s="136" t="str">
        <f>IF(O465="","",IF(O465&lt;5,"Cor &lt;5 uC",IF(O465&lt;10,"5 ≤ Cor &lt; 10 uC",IF(O465&lt;15,"10 ≤ Cor &lt;15 uC",IF(O465&lt;30,"15 ≤ Cor &lt; 30 uC",IF(O465&lt;50,"30 ≤ Cor &lt; 50 uC","Cor &gt; 50 uC"))))))</f>
        <v>15 ≤ Cor &lt; 30 uC</v>
      </c>
      <c r="BA465" s="137" t="str">
        <f>IF(N465="","",IF(N465&lt;2.5,"Turbidez &lt; 2,5 uT",IF(N465&lt;5,"2,5 ≤ Turb &lt; 5,0 uT",IF(N465&lt;7.5,"5,0 ≤ Turb &lt; 7,5 uT",IF(N465&lt;10,"7,5 ≤ Turb &lt; 10,0 uT",IF(N465&lt;15,"10,0 ≤ Turb &lt; 15,0 uT","Turb &gt; 15 uT"))))))</f>
        <v>2,5 ≤ Turb &lt; 5,0 uT</v>
      </c>
      <c r="BB465" s="138" t="str">
        <f>IF(AND(C465&gt;D465,D465&gt;E465),"TOR &gt; SM &gt; BNN",IF(AND(C465&gt;E465,E465&gt;D465),"TOR &gt; BNN &gt; SM",IF(AND(D465&gt;C465,C465&gt;E465),"SM &gt; TOR &gt; BNN",IF(AND(D465&gt;E465,E465&gt;C465),"SM &gt; BNN &gt; TOR",IF(AND(C465=D465,D465=E465),"TOR = SM = BNN","Comb. diferentes")))))</f>
        <v>TOR &gt; BNN &gt; SM</v>
      </c>
      <c r="BC465" s="137" t="str">
        <f>IF(OR(AD465="",AP465="-"),"",IF(AD465&lt;=0.25,"Tipo 1 (≤0,25) uT",IF(AD465&lt;=0.5,"Tipo 2 (0,25-0,50) uT",IF(AD465&lt;=0.75,"Tipo 3 (0,50-0,75) uT","Tipo 4 (&gt;0,75) uT"))))</f>
        <v>Tipo 1 (≤0,25) uT</v>
      </c>
      <c r="BD465" s="137" t="str">
        <f>IF(OR(AO465="",AY465="-"),"",IF(AO465&lt;=0.25,"Tipo 1 (≤0,25) uT",IF(AO465&lt;=0.5,"Tipo 2 (0,25-0,50) uT",IF(AO465&lt;=0.75,"Tipo 3 (0,50-0,75) uT","Tipo 4 (&gt;0,75) uT"))))</f>
        <v>Tipo 2 (0,25-0,50) uT</v>
      </c>
      <c r="BE465" s="137" t="str">
        <f>IF(OR(AE465="",AP465="-"),"",IF(AE465&lt;=0.25,"Tipo 1 (≤0,25) uT",IF(AE465&lt;=0.5,"Tipo 2 (0,25-0,50) uT",IF(AE465&lt;=0.75,"Tipo 3 (0,50-0,75) uT","Tipo 4 (&gt;0,75) uT"))))</f>
        <v>Tipo 2 (0,25-0,50) uT</v>
      </c>
      <c r="BF465" s="137" t="str">
        <f>IF(OR(AP465="",AP465="-"),"",IF(AP465&lt;=0.25,"Tipo 1 (≤0,25) uT",IF(AP465&lt;=0.5,"Tipo 2 (0,25-0,50) uT",IF(AP465&lt;=0.75,"Tipo 3 (0,50-0,75) uT","Tipo 4 (&gt;0,75) uT"))))</f>
        <v>Tipo 2 (0,25-0,50) uT</v>
      </c>
      <c r="BG465" s="137" t="str">
        <f>IF(OR(Q465="",Q465="-"),"",IF(Q465&lt;=0.25,"Tipo 1 (≤0,25) uT",IF(Q465&lt;=0.5,"Tipo 2 (0,25-0,50) uT",IF(Q465&lt;=0.75,"Tipo 3 (0,50-0,75) uT","Tipo 4 (&gt;0,75) uT"))))</f>
        <v>Tipo 1 (≤0,25) uT</v>
      </c>
    </row>
    <row r="466" spans="1:59" x14ac:dyDescent="0.3">
      <c r="A466" s="26">
        <v>46175</v>
      </c>
      <c r="B466" s="107">
        <v>0.72916666666666663</v>
      </c>
      <c r="C466" s="116">
        <v>1146</v>
      </c>
      <c r="D466" s="116">
        <v>87</v>
      </c>
      <c r="E466" s="116">
        <v>549</v>
      </c>
      <c r="F466" s="116">
        <v>1813</v>
      </c>
      <c r="G466" s="10" t="s">
        <v>100</v>
      </c>
      <c r="H466" s="122">
        <v>7.3</v>
      </c>
      <c r="I466" s="116">
        <v>90</v>
      </c>
      <c r="J466" s="116">
        <v>90</v>
      </c>
      <c r="K466" s="116">
        <v>90</v>
      </c>
      <c r="L466" s="122">
        <v>23.1</v>
      </c>
      <c r="M466" s="122">
        <v>6.7</v>
      </c>
      <c r="N466" s="79">
        <v>3.9</v>
      </c>
      <c r="O466" s="116">
        <v>16</v>
      </c>
      <c r="P466" s="122">
        <v>8.9</v>
      </c>
      <c r="Q466" s="79">
        <v>0.12</v>
      </c>
      <c r="R466" s="79">
        <v>22.36</v>
      </c>
      <c r="S466" s="79">
        <v>0.88</v>
      </c>
      <c r="T466" s="79">
        <v>0.7</v>
      </c>
      <c r="U466" s="85">
        <f t="shared" si="58"/>
        <v>1915.7366666666667</v>
      </c>
      <c r="V466" s="79">
        <f t="shared" si="59"/>
        <v>1536.9687335599997</v>
      </c>
      <c r="W466" s="79">
        <f t="shared" si="60"/>
        <v>0.80228601367968089</v>
      </c>
      <c r="X466" s="116">
        <v>2</v>
      </c>
      <c r="Y466" s="116">
        <v>3</v>
      </c>
      <c r="Z466" s="122">
        <v>6.51</v>
      </c>
      <c r="AA466" s="116">
        <v>19</v>
      </c>
      <c r="AB466" s="122">
        <v>6.7</v>
      </c>
      <c r="AC466" s="122">
        <v>6.8</v>
      </c>
      <c r="AD466" s="10">
        <v>0.16</v>
      </c>
      <c r="AE466" s="79">
        <v>0.37</v>
      </c>
      <c r="AF466" s="85">
        <f t="shared" si="61"/>
        <v>1915.7366666666667</v>
      </c>
      <c r="AG466" s="85">
        <f t="shared" si="62"/>
        <v>1853.4347774799999</v>
      </c>
      <c r="AH466" s="85">
        <f t="shared" si="63"/>
        <v>0.96747888670154725</v>
      </c>
      <c r="AI466" s="116">
        <v>2</v>
      </c>
      <c r="AJ466" s="116">
        <v>3</v>
      </c>
      <c r="AK466" s="79">
        <v>6.49</v>
      </c>
      <c r="AL466" s="79">
        <v>23</v>
      </c>
      <c r="AM466" s="122">
        <v>6.6</v>
      </c>
      <c r="AN466" s="122">
        <v>7</v>
      </c>
      <c r="AO466" s="79">
        <v>0.23</v>
      </c>
      <c r="AP466" s="127">
        <v>0.47</v>
      </c>
      <c r="AQ466" s="132">
        <f t="shared" si="64"/>
        <v>1782</v>
      </c>
      <c r="AR466" s="134">
        <f t="shared" si="65"/>
        <v>0.64309764309764306</v>
      </c>
      <c r="AS466" s="134">
        <f t="shared" si="66"/>
        <v>4.8821548821548821E-2</v>
      </c>
      <c r="AT466" s="134">
        <f t="shared" si="67"/>
        <v>0.30808080808080807</v>
      </c>
      <c r="AU466" s="43">
        <f>IF(AND(F466&lt;&gt;"",Y466&lt;&gt;""),AA466/(F466/2/Y466),"")</f>
        <v>6.2879205736348587E-2</v>
      </c>
      <c r="AV466" s="43">
        <f>IF(AND(F466&lt;&gt;"",AJ466&lt;&gt;""),AL466/(F466/2/AJ466),"")</f>
        <v>7.6116933259790395E-2</v>
      </c>
      <c r="AW466" s="43">
        <f>IF(AND(AP466&lt;&gt;"",1-(AP466/N466)&gt;0),1-(AP466/N466),"")</f>
        <v>0.87948717948717947</v>
      </c>
      <c r="AX466" s="41">
        <f>IF(AND(AE466&lt;&gt;"",1-(AE466/N466)&gt;0),1-(AE466/N466),"")</f>
        <v>0.90512820512820513</v>
      </c>
      <c r="AY466" s="136" t="str">
        <f>IF(P466="","",IF(P466&lt;2.5,"Alc. Bruta &lt; 2,5 mg/L",IF(P466&lt;5,"2,5 ≤ Alc. Bruta &lt; 5,0 mg/L",IF(P466&lt;7.5,"5,0 ≤ Alc. Bruta &lt; 7,5 mg/L",IF(P466&lt;10,"7,5 ≤ Alc. Bruta &lt; 10,0 mg/L",IF(P466&lt;15,"10,0 ≤ Alca. Bruta &lt; 15,0 mg/L","Alc. Bruta &gt; 15 mg/L"))))))</f>
        <v>7,5 ≤ Alc. Bruta &lt; 10,0 mg/L</v>
      </c>
      <c r="AZ466" s="136" t="str">
        <f>IF(O466="","",IF(O466&lt;5,"Cor &lt;5 uC",IF(O466&lt;10,"5 ≤ Cor &lt; 10 uC",IF(O466&lt;15,"10 ≤ Cor &lt;15 uC",IF(O466&lt;30,"15 ≤ Cor &lt; 30 uC",IF(O466&lt;50,"30 ≤ Cor &lt; 50 uC","Cor &gt; 50 uC"))))))</f>
        <v>15 ≤ Cor &lt; 30 uC</v>
      </c>
      <c r="BA466" s="137" t="str">
        <f>IF(N466="","",IF(N466&lt;2.5,"Turbidez &lt; 2,5 uT",IF(N466&lt;5,"2,5 ≤ Turb &lt; 5,0 uT",IF(N466&lt;7.5,"5,0 ≤ Turb &lt; 7,5 uT",IF(N466&lt;10,"7,5 ≤ Turb &lt; 10,0 uT",IF(N466&lt;15,"10,0 ≤ Turb &lt; 15,0 uT","Turb &gt; 15 uT"))))))</f>
        <v>2,5 ≤ Turb &lt; 5,0 uT</v>
      </c>
      <c r="BB466" s="138" t="str">
        <f>IF(AND(C466&gt;D466,D466&gt;E466),"TOR &gt; SM &gt; BNN",IF(AND(C466&gt;E466,E466&gt;D466),"TOR &gt; BNN &gt; SM",IF(AND(D466&gt;C466,C466&gt;E466),"SM &gt; TOR &gt; BNN",IF(AND(D466&gt;E466,E466&gt;C466),"SM &gt; BNN &gt; TOR",IF(AND(C466=D466,D466=E466),"TOR = SM = BNN","Comb. diferentes")))))</f>
        <v>TOR &gt; BNN &gt; SM</v>
      </c>
      <c r="BC466" s="137" t="str">
        <f>IF(OR(AD466="",AP466="-"),"",IF(AD466&lt;=0.25,"Tipo 1 (≤0,25) uT",IF(AD466&lt;=0.5,"Tipo 2 (0,25-0,50) uT",IF(AD466&lt;=0.75,"Tipo 3 (0,50-0,75) uT","Tipo 4 (&gt;0,75) uT"))))</f>
        <v>Tipo 1 (≤0,25) uT</v>
      </c>
      <c r="BD466" s="137" t="str">
        <f>IF(OR(AO466="",AY466="-"),"",IF(AO466&lt;=0.25,"Tipo 1 (≤0,25) uT",IF(AO466&lt;=0.5,"Tipo 2 (0,25-0,50) uT",IF(AO466&lt;=0.75,"Tipo 3 (0,50-0,75) uT","Tipo 4 (&gt;0,75) uT"))))</f>
        <v>Tipo 1 (≤0,25) uT</v>
      </c>
      <c r="BE466" s="137" t="str">
        <f>IF(OR(AE466="",AP466="-"),"",IF(AE466&lt;=0.25,"Tipo 1 (≤0,25) uT",IF(AE466&lt;=0.5,"Tipo 2 (0,25-0,50) uT",IF(AE466&lt;=0.75,"Tipo 3 (0,50-0,75) uT","Tipo 4 (&gt;0,75) uT"))))</f>
        <v>Tipo 2 (0,25-0,50) uT</v>
      </c>
      <c r="BF466" s="137" t="str">
        <f>IF(OR(AP466="",AP466="-"),"",IF(AP466&lt;=0.25,"Tipo 1 (≤0,25) uT",IF(AP466&lt;=0.5,"Tipo 2 (0,25-0,50) uT",IF(AP466&lt;=0.75,"Tipo 3 (0,50-0,75) uT","Tipo 4 (&gt;0,75) uT"))))</f>
        <v>Tipo 2 (0,25-0,50) uT</v>
      </c>
      <c r="BG466" s="137" t="str">
        <f>IF(OR(Q466="",Q466="-"),"",IF(Q466&lt;=0.25,"Tipo 1 (≤0,25) uT",IF(Q466&lt;=0.5,"Tipo 2 (0,25-0,50) uT",IF(Q466&lt;=0.75,"Tipo 3 (0,50-0,75) uT","Tipo 4 (&gt;0,75) uT"))))</f>
        <v>Tipo 1 (≤0,25) uT</v>
      </c>
    </row>
    <row r="467" spans="1:59" x14ac:dyDescent="0.3">
      <c r="A467" s="26">
        <v>46175</v>
      </c>
      <c r="B467" s="107">
        <v>0.8125</v>
      </c>
      <c r="C467" s="116">
        <v>1030</v>
      </c>
      <c r="D467" s="116">
        <v>91</v>
      </c>
      <c r="E467" s="116">
        <v>551</v>
      </c>
      <c r="F467" s="116">
        <v>1748</v>
      </c>
      <c r="G467" s="10" t="s">
        <v>100</v>
      </c>
      <c r="H467" s="122">
        <v>7.3</v>
      </c>
      <c r="I467" s="116">
        <v>90</v>
      </c>
      <c r="J467" s="116">
        <v>90</v>
      </c>
      <c r="K467" s="116">
        <v>90</v>
      </c>
      <c r="L467" s="122">
        <v>23.3</v>
      </c>
      <c r="M467" s="122">
        <v>6.8</v>
      </c>
      <c r="N467" s="79">
        <v>3.5</v>
      </c>
      <c r="O467" s="116">
        <v>15</v>
      </c>
      <c r="P467" s="122">
        <v>7</v>
      </c>
      <c r="Q467" s="79">
        <v>0.11</v>
      </c>
      <c r="R467" s="79">
        <v>22.36</v>
      </c>
      <c r="S467" s="79">
        <v>0.88</v>
      </c>
      <c r="T467" s="79">
        <v>0.7</v>
      </c>
      <c r="U467" s="85">
        <f t="shared" si="58"/>
        <v>1730.5199999999998</v>
      </c>
      <c r="V467" s="79">
        <f t="shared" si="59"/>
        <v>1534.0335140000002</v>
      </c>
      <c r="W467" s="79">
        <f t="shared" si="60"/>
        <v>0.88645812472551622</v>
      </c>
      <c r="X467" s="116">
        <v>2</v>
      </c>
      <c r="Y467" s="116">
        <v>3</v>
      </c>
      <c r="Z467" s="122">
        <v>6.5</v>
      </c>
      <c r="AA467" s="116">
        <v>19</v>
      </c>
      <c r="AB467" s="122">
        <v>6.7</v>
      </c>
      <c r="AC467" s="122">
        <v>6.8</v>
      </c>
      <c r="AD467" s="10">
        <v>0.15</v>
      </c>
      <c r="AE467" s="79">
        <v>0.44</v>
      </c>
      <c r="AF467" s="85">
        <f t="shared" si="61"/>
        <v>1297.8899999999999</v>
      </c>
      <c r="AG467" s="85">
        <f t="shared" si="62"/>
        <v>1776.2493320000001</v>
      </c>
      <c r="AH467" s="85">
        <f t="shared" si="63"/>
        <v>1.3685669294007969</v>
      </c>
      <c r="AI467" s="116">
        <v>2</v>
      </c>
      <c r="AJ467" s="116">
        <v>4</v>
      </c>
      <c r="AK467" s="79">
        <v>6.5</v>
      </c>
      <c r="AL467" s="79">
        <v>22</v>
      </c>
      <c r="AM467" s="122">
        <v>6.7</v>
      </c>
      <c r="AN467" s="122">
        <v>7</v>
      </c>
      <c r="AO467" s="79">
        <v>0.24</v>
      </c>
      <c r="AP467" s="127">
        <v>0.28000000000000003</v>
      </c>
      <c r="AQ467" s="132">
        <f t="shared" si="64"/>
        <v>1672</v>
      </c>
      <c r="AR467" s="134">
        <f t="shared" si="65"/>
        <v>0.61602870813397126</v>
      </c>
      <c r="AS467" s="134">
        <f t="shared" si="66"/>
        <v>5.4425837320574162E-2</v>
      </c>
      <c r="AT467" s="134">
        <f t="shared" si="67"/>
        <v>0.32954545454545453</v>
      </c>
      <c r="AU467" s="43">
        <f>IF(AND(F467&lt;&gt;"",Y467&lt;&gt;""),AA467/(F467/2/Y467),"")</f>
        <v>6.5217391304347824E-2</v>
      </c>
      <c r="AV467" s="43">
        <f>IF(AND(F467&lt;&gt;"",AJ467&lt;&gt;""),AL467/(F467/2/AJ467),"")</f>
        <v>0.10068649885583524</v>
      </c>
      <c r="AW467" s="43">
        <f>IF(AND(AP467&lt;&gt;"",1-(AP467/N467)&gt;0),1-(AP467/N467),"")</f>
        <v>0.92</v>
      </c>
      <c r="AX467" s="41">
        <f>IF(AND(AE467&lt;&gt;"",1-(AE467/N467)&gt;0),1-(AE467/N467),"")</f>
        <v>0.87428571428571433</v>
      </c>
      <c r="AY467" s="136" t="str">
        <f>IF(P467="","",IF(P467&lt;2.5,"Alc. Bruta &lt; 2,5 mg/L",IF(P467&lt;5,"2,5 ≤ Alc. Bruta &lt; 5,0 mg/L",IF(P467&lt;7.5,"5,0 ≤ Alc. Bruta &lt; 7,5 mg/L",IF(P467&lt;10,"7,5 ≤ Alc. Bruta &lt; 10,0 mg/L",IF(P467&lt;15,"10,0 ≤ Alca. Bruta &lt; 15,0 mg/L","Alc. Bruta &gt; 15 mg/L"))))))</f>
        <v>5,0 ≤ Alc. Bruta &lt; 7,5 mg/L</v>
      </c>
      <c r="AZ467" s="136" t="str">
        <f>IF(O467="","",IF(O467&lt;5,"Cor &lt;5 uC",IF(O467&lt;10,"5 ≤ Cor &lt; 10 uC",IF(O467&lt;15,"10 ≤ Cor &lt;15 uC",IF(O467&lt;30,"15 ≤ Cor &lt; 30 uC",IF(O467&lt;50,"30 ≤ Cor &lt; 50 uC","Cor &gt; 50 uC"))))))</f>
        <v>15 ≤ Cor &lt; 30 uC</v>
      </c>
      <c r="BA467" s="137" t="str">
        <f>IF(N467="","",IF(N467&lt;2.5,"Turbidez &lt; 2,5 uT",IF(N467&lt;5,"2,5 ≤ Turb &lt; 5,0 uT",IF(N467&lt;7.5,"5,0 ≤ Turb &lt; 7,5 uT",IF(N467&lt;10,"7,5 ≤ Turb &lt; 10,0 uT",IF(N467&lt;15,"10,0 ≤ Turb &lt; 15,0 uT","Turb &gt; 15 uT"))))))</f>
        <v>2,5 ≤ Turb &lt; 5,0 uT</v>
      </c>
      <c r="BB467" s="138" t="str">
        <f>IF(AND(C467&gt;D467,D467&gt;E467),"TOR &gt; SM &gt; BNN",IF(AND(C467&gt;E467,E467&gt;D467),"TOR &gt; BNN &gt; SM",IF(AND(D467&gt;C467,C467&gt;E467),"SM &gt; TOR &gt; BNN",IF(AND(D467&gt;E467,E467&gt;C467),"SM &gt; BNN &gt; TOR",IF(AND(C467=D467,D467=E467),"TOR = SM = BNN","Comb. diferentes")))))</f>
        <v>TOR &gt; BNN &gt; SM</v>
      </c>
      <c r="BC467" s="137" t="str">
        <f>IF(OR(AD467="",AP467="-"),"",IF(AD467&lt;=0.25,"Tipo 1 (≤0,25) uT",IF(AD467&lt;=0.5,"Tipo 2 (0,25-0,50) uT",IF(AD467&lt;=0.75,"Tipo 3 (0,50-0,75) uT","Tipo 4 (&gt;0,75) uT"))))</f>
        <v>Tipo 1 (≤0,25) uT</v>
      </c>
      <c r="BD467" s="137" t="str">
        <f>IF(OR(AO467="",AY467="-"),"",IF(AO467&lt;=0.25,"Tipo 1 (≤0,25) uT",IF(AO467&lt;=0.5,"Tipo 2 (0,25-0,50) uT",IF(AO467&lt;=0.75,"Tipo 3 (0,50-0,75) uT","Tipo 4 (&gt;0,75) uT"))))</f>
        <v>Tipo 1 (≤0,25) uT</v>
      </c>
      <c r="BE467" s="137" t="str">
        <f>IF(OR(AE467="",AP467="-"),"",IF(AE467&lt;=0.25,"Tipo 1 (≤0,25) uT",IF(AE467&lt;=0.5,"Tipo 2 (0,25-0,50) uT",IF(AE467&lt;=0.75,"Tipo 3 (0,50-0,75) uT","Tipo 4 (&gt;0,75) uT"))))</f>
        <v>Tipo 2 (0,25-0,50) uT</v>
      </c>
      <c r="BF467" s="137" t="str">
        <f>IF(OR(AP467="",AP467="-"),"",IF(AP467&lt;=0.25,"Tipo 1 (≤0,25) uT",IF(AP467&lt;=0.5,"Tipo 2 (0,25-0,50) uT",IF(AP467&lt;=0.75,"Tipo 3 (0,50-0,75) uT","Tipo 4 (&gt;0,75) uT"))))</f>
        <v>Tipo 2 (0,25-0,50) uT</v>
      </c>
      <c r="BG467" s="137" t="str">
        <f>IF(OR(Q467="",Q467="-"),"",IF(Q467&lt;=0.25,"Tipo 1 (≤0,25) uT",IF(Q467&lt;=0.5,"Tipo 2 (0,25-0,50) uT",IF(Q467&lt;=0.75,"Tipo 3 (0,50-0,75) uT","Tipo 4 (&gt;0,75) uT"))))</f>
        <v>Tipo 1 (≤0,25) uT</v>
      </c>
    </row>
    <row r="468" spans="1:59" x14ac:dyDescent="0.3">
      <c r="A468" s="26">
        <v>46175</v>
      </c>
      <c r="B468" s="107">
        <v>0.89583333333333337</v>
      </c>
      <c r="C468" s="116">
        <v>1010</v>
      </c>
      <c r="D468" s="116">
        <v>95</v>
      </c>
      <c r="E468" s="116">
        <v>700</v>
      </c>
      <c r="F468" s="116">
        <v>1870</v>
      </c>
      <c r="G468" s="10" t="s">
        <v>100</v>
      </c>
      <c r="H468" s="122">
        <v>7.3</v>
      </c>
      <c r="I468" s="116">
        <v>90</v>
      </c>
      <c r="J468" s="116">
        <v>90</v>
      </c>
      <c r="K468" s="116">
        <v>90</v>
      </c>
      <c r="L468" s="122">
        <v>23.4</v>
      </c>
      <c r="M468" s="122">
        <v>6.8</v>
      </c>
      <c r="N468" s="79">
        <v>3.64</v>
      </c>
      <c r="O468" s="116">
        <v>15</v>
      </c>
      <c r="P468" s="122">
        <v>7</v>
      </c>
      <c r="Q468" s="79">
        <v>0.1</v>
      </c>
      <c r="R468" s="79">
        <v>22.36</v>
      </c>
      <c r="S468" s="79">
        <v>0.88</v>
      </c>
      <c r="T468" s="79">
        <v>0.7</v>
      </c>
      <c r="U468" s="85">
        <f t="shared" si="58"/>
        <v>1894.9333333333334</v>
      </c>
      <c r="V468" s="79">
        <f t="shared" si="59"/>
        <v>1536.9687335599997</v>
      </c>
      <c r="W468" s="79">
        <f t="shared" si="60"/>
        <v>0.81109382927807472</v>
      </c>
      <c r="X468" s="116">
        <v>2</v>
      </c>
      <c r="Y468" s="116">
        <v>3</v>
      </c>
      <c r="Z468" s="122">
        <v>6.51</v>
      </c>
      <c r="AA468" s="116">
        <v>19</v>
      </c>
      <c r="AB468" s="122">
        <v>6.7</v>
      </c>
      <c r="AC468" s="122">
        <v>6.8</v>
      </c>
      <c r="AD468" s="10">
        <v>0.21</v>
      </c>
      <c r="AE468" s="79">
        <v>0.55000000000000004</v>
      </c>
      <c r="AF468" s="85">
        <f t="shared" si="61"/>
        <v>1421.2</v>
      </c>
      <c r="AG468" s="85">
        <f t="shared" si="62"/>
        <v>1853.4347774799999</v>
      </c>
      <c r="AH468" s="85">
        <f t="shared" si="63"/>
        <v>1.3041336739938079</v>
      </c>
      <c r="AI468" s="116">
        <v>2</v>
      </c>
      <c r="AJ468" s="116">
        <v>4</v>
      </c>
      <c r="AK468" s="79">
        <v>6.49</v>
      </c>
      <c r="AL468" s="79">
        <v>23</v>
      </c>
      <c r="AM468" s="122">
        <v>6.6</v>
      </c>
      <c r="AN468" s="122">
        <v>7</v>
      </c>
      <c r="AO468" s="79">
        <v>0.25</v>
      </c>
      <c r="AP468" s="127">
        <v>0.22</v>
      </c>
      <c r="AQ468" s="132">
        <f t="shared" si="64"/>
        <v>1805</v>
      </c>
      <c r="AR468" s="134">
        <f t="shared" si="65"/>
        <v>0.55955678670360109</v>
      </c>
      <c r="AS468" s="134">
        <f t="shared" si="66"/>
        <v>5.2631578947368418E-2</v>
      </c>
      <c r="AT468" s="134">
        <f t="shared" si="67"/>
        <v>0.38781163434903049</v>
      </c>
      <c r="AU468" s="43">
        <f>IF(AND(F468&lt;&gt;"",Y468&lt;&gt;""),AA468/(F468/2/Y468),"")</f>
        <v>6.0962566844919783E-2</v>
      </c>
      <c r="AV468" s="43">
        <f>IF(AND(F468&lt;&gt;"",AJ468&lt;&gt;""),AL468/(F468/2/AJ468),"")</f>
        <v>9.8395721925133683E-2</v>
      </c>
      <c r="AW468" s="43">
        <f>IF(AND(AP468&lt;&gt;"",1-(AP468/N468)&gt;0),1-(AP468/N468),"")</f>
        <v>0.93956043956043955</v>
      </c>
      <c r="AX468" s="41">
        <f>IF(AND(AE468&lt;&gt;"",1-(AE468/N468)&gt;0),1-(AE468/N468),"")</f>
        <v>0.84890109890109888</v>
      </c>
      <c r="AY468" s="136" t="str">
        <f>IF(P468="","",IF(P468&lt;2.5,"Alc. Bruta &lt; 2,5 mg/L",IF(P468&lt;5,"2,5 ≤ Alc. Bruta &lt; 5,0 mg/L",IF(P468&lt;7.5,"5,0 ≤ Alc. Bruta &lt; 7,5 mg/L",IF(P468&lt;10,"7,5 ≤ Alc. Bruta &lt; 10,0 mg/L",IF(P468&lt;15,"10,0 ≤ Alca. Bruta &lt; 15,0 mg/L","Alc. Bruta &gt; 15 mg/L"))))))</f>
        <v>5,0 ≤ Alc. Bruta &lt; 7,5 mg/L</v>
      </c>
      <c r="AZ468" s="136" t="str">
        <f>IF(O468="","",IF(O468&lt;5,"Cor &lt;5 uC",IF(O468&lt;10,"5 ≤ Cor &lt; 10 uC",IF(O468&lt;15,"10 ≤ Cor &lt;15 uC",IF(O468&lt;30,"15 ≤ Cor &lt; 30 uC",IF(O468&lt;50,"30 ≤ Cor &lt; 50 uC","Cor &gt; 50 uC"))))))</f>
        <v>15 ≤ Cor &lt; 30 uC</v>
      </c>
      <c r="BA468" s="137" t="str">
        <f>IF(N468="","",IF(N468&lt;2.5,"Turbidez &lt; 2,5 uT",IF(N468&lt;5,"2,5 ≤ Turb &lt; 5,0 uT",IF(N468&lt;7.5,"5,0 ≤ Turb &lt; 7,5 uT",IF(N468&lt;10,"7,5 ≤ Turb &lt; 10,0 uT",IF(N468&lt;15,"10,0 ≤ Turb &lt; 15,0 uT","Turb &gt; 15 uT"))))))</f>
        <v>2,5 ≤ Turb &lt; 5,0 uT</v>
      </c>
      <c r="BB468" s="138" t="str">
        <f>IF(AND(C468&gt;D468,D468&gt;E468),"TOR &gt; SM &gt; BNN",IF(AND(C468&gt;E468,E468&gt;D468),"TOR &gt; BNN &gt; SM",IF(AND(D468&gt;C468,C468&gt;E468),"SM &gt; TOR &gt; BNN",IF(AND(D468&gt;E468,E468&gt;C468),"SM &gt; BNN &gt; TOR",IF(AND(C468=D468,D468=E468),"TOR = SM = BNN","Comb. diferentes")))))</f>
        <v>TOR &gt; BNN &gt; SM</v>
      </c>
      <c r="BC468" s="137" t="str">
        <f>IF(OR(AD468="",AP468="-"),"",IF(AD468&lt;=0.25,"Tipo 1 (≤0,25) uT",IF(AD468&lt;=0.5,"Tipo 2 (0,25-0,50) uT",IF(AD468&lt;=0.75,"Tipo 3 (0,50-0,75) uT","Tipo 4 (&gt;0,75) uT"))))</f>
        <v>Tipo 1 (≤0,25) uT</v>
      </c>
      <c r="BD468" s="137" t="str">
        <f>IF(OR(AO468="",AY468="-"),"",IF(AO468&lt;=0.25,"Tipo 1 (≤0,25) uT",IF(AO468&lt;=0.5,"Tipo 2 (0,25-0,50) uT",IF(AO468&lt;=0.75,"Tipo 3 (0,50-0,75) uT","Tipo 4 (&gt;0,75) uT"))))</f>
        <v>Tipo 1 (≤0,25) uT</v>
      </c>
      <c r="BE468" s="137" t="str">
        <f>IF(OR(AE468="",AP468="-"),"",IF(AE468&lt;=0.25,"Tipo 1 (≤0,25) uT",IF(AE468&lt;=0.5,"Tipo 2 (0,25-0,50) uT",IF(AE468&lt;=0.75,"Tipo 3 (0,50-0,75) uT","Tipo 4 (&gt;0,75) uT"))))</f>
        <v>Tipo 3 (0,50-0,75) uT</v>
      </c>
      <c r="BF468" s="137" t="str">
        <f>IF(OR(AP468="",AP468="-"),"",IF(AP468&lt;=0.25,"Tipo 1 (≤0,25) uT",IF(AP468&lt;=0.5,"Tipo 2 (0,25-0,50) uT",IF(AP468&lt;=0.75,"Tipo 3 (0,50-0,75) uT","Tipo 4 (&gt;0,75) uT"))))</f>
        <v>Tipo 1 (≤0,25) uT</v>
      </c>
      <c r="BG468" s="137" t="str">
        <f>IF(OR(Q468="",Q468="-"),"",IF(Q468&lt;=0.25,"Tipo 1 (≤0,25) uT",IF(Q468&lt;=0.5,"Tipo 2 (0,25-0,50) uT",IF(Q468&lt;=0.75,"Tipo 3 (0,50-0,75) uT","Tipo 4 (&gt;0,75) uT"))))</f>
        <v>Tipo 1 (≤0,25) uT</v>
      </c>
    </row>
    <row r="469" spans="1:59" x14ac:dyDescent="0.3">
      <c r="A469" s="26">
        <v>46175</v>
      </c>
      <c r="B469" s="107">
        <v>0.97916666666666663</v>
      </c>
      <c r="C469" s="116">
        <v>1568</v>
      </c>
      <c r="D469" s="116">
        <v>88</v>
      </c>
      <c r="E469" s="116">
        <v>390</v>
      </c>
      <c r="F469" s="116">
        <v>1981</v>
      </c>
      <c r="G469" s="10" t="s">
        <v>100</v>
      </c>
      <c r="H469" s="122">
        <v>7.3</v>
      </c>
      <c r="I469" s="116">
        <v>90</v>
      </c>
      <c r="J469" s="116">
        <v>90</v>
      </c>
      <c r="K469" s="116">
        <v>90</v>
      </c>
      <c r="L469" s="122">
        <v>23</v>
      </c>
      <c r="M469" s="122">
        <v>6.8</v>
      </c>
      <c r="N469" s="79">
        <v>3.71</v>
      </c>
      <c r="O469" s="116">
        <v>17</v>
      </c>
      <c r="P469" s="122">
        <v>6.9</v>
      </c>
      <c r="Q469" s="79">
        <v>0.11</v>
      </c>
      <c r="R469" s="79">
        <v>22.36</v>
      </c>
      <c r="S469" s="79">
        <v>0.88</v>
      </c>
      <c r="T469" s="79">
        <v>0.7</v>
      </c>
      <c r="U469" s="85">
        <f t="shared" si="58"/>
        <v>2030.5250000000003</v>
      </c>
      <c r="V469" s="79">
        <f t="shared" si="59"/>
        <v>1614.7721200000001</v>
      </c>
      <c r="W469" s="79">
        <f t="shared" si="60"/>
        <v>0.79524857856958164</v>
      </c>
      <c r="X469" s="116">
        <v>2</v>
      </c>
      <c r="Y469" s="116">
        <v>3</v>
      </c>
      <c r="Z469" s="122">
        <v>6.5</v>
      </c>
      <c r="AA469" s="116">
        <v>20</v>
      </c>
      <c r="AB469" s="122">
        <v>6.6</v>
      </c>
      <c r="AC469" s="122">
        <v>6.7</v>
      </c>
      <c r="AD469" s="10">
        <v>0.39</v>
      </c>
      <c r="AE469" s="79">
        <v>0.57999999999999996</v>
      </c>
      <c r="AF469" s="85">
        <f t="shared" si="61"/>
        <v>1522.8937500000002</v>
      </c>
      <c r="AG469" s="85">
        <f t="shared" si="62"/>
        <v>1776.2493320000001</v>
      </c>
      <c r="AH469" s="85">
        <f t="shared" si="63"/>
        <v>1.1663645819020532</v>
      </c>
      <c r="AI469" s="116">
        <v>2</v>
      </c>
      <c r="AJ469" s="116">
        <v>4</v>
      </c>
      <c r="AK469" s="79">
        <v>6.5</v>
      </c>
      <c r="AL469" s="79">
        <v>22</v>
      </c>
      <c r="AM469" s="122">
        <v>6.5</v>
      </c>
      <c r="AN469" s="122">
        <v>6.8</v>
      </c>
      <c r="AO469" s="79">
        <v>0.27</v>
      </c>
      <c r="AP469" s="127">
        <v>0.28999999999999998</v>
      </c>
      <c r="AQ469" s="132">
        <f t="shared" si="64"/>
        <v>2046</v>
      </c>
      <c r="AR469" s="134">
        <f t="shared" si="65"/>
        <v>0.76637341153470184</v>
      </c>
      <c r="AS469" s="134">
        <f t="shared" si="66"/>
        <v>4.3010752688172046E-2</v>
      </c>
      <c r="AT469" s="134">
        <f t="shared" si="67"/>
        <v>0.1906158357771261</v>
      </c>
      <c r="AU469" s="43">
        <f>IF(AND(F469&lt;&gt;"",Y469&lt;&gt;""),AA469/(F469/2/Y469),"")</f>
        <v>6.0575466935890963E-2</v>
      </c>
      <c r="AV469" s="43">
        <f>IF(AND(F469&lt;&gt;"",AJ469&lt;&gt;""),AL469/(F469/2/AJ469),"")</f>
        <v>8.884401817264008E-2</v>
      </c>
      <c r="AW469" s="43">
        <f>IF(AND(AP469&lt;&gt;"",1-(AP469/N469)&gt;0),1-(AP469/N469),"")</f>
        <v>0.92183288409703501</v>
      </c>
      <c r="AX469" s="41">
        <f>IF(AND(AE469&lt;&gt;"",1-(AE469/N469)&gt;0),1-(AE469/N469),"")</f>
        <v>0.84366576819407013</v>
      </c>
      <c r="AY469" s="136" t="str">
        <f>IF(P469="","",IF(P469&lt;2.5,"Alc. Bruta &lt; 2,5 mg/L",IF(P469&lt;5,"2,5 ≤ Alc. Bruta &lt; 5,0 mg/L",IF(P469&lt;7.5,"5,0 ≤ Alc. Bruta &lt; 7,5 mg/L",IF(P469&lt;10,"7,5 ≤ Alc. Bruta &lt; 10,0 mg/L",IF(P469&lt;15,"10,0 ≤ Alca. Bruta &lt; 15,0 mg/L","Alc. Bruta &gt; 15 mg/L"))))))</f>
        <v>5,0 ≤ Alc. Bruta &lt; 7,5 mg/L</v>
      </c>
      <c r="AZ469" s="136" t="str">
        <f>IF(O469="","",IF(O469&lt;5,"Cor &lt;5 uC",IF(O469&lt;10,"5 ≤ Cor &lt; 10 uC",IF(O469&lt;15,"10 ≤ Cor &lt;15 uC",IF(O469&lt;30,"15 ≤ Cor &lt; 30 uC",IF(O469&lt;50,"30 ≤ Cor &lt; 50 uC","Cor &gt; 50 uC"))))))</f>
        <v>15 ≤ Cor &lt; 30 uC</v>
      </c>
      <c r="BA469" s="137" t="str">
        <f>IF(N469="","",IF(N469&lt;2.5,"Turbidez &lt; 2,5 uT",IF(N469&lt;5,"2,5 ≤ Turb &lt; 5,0 uT",IF(N469&lt;7.5,"5,0 ≤ Turb &lt; 7,5 uT",IF(N469&lt;10,"7,5 ≤ Turb &lt; 10,0 uT",IF(N469&lt;15,"10,0 ≤ Turb &lt; 15,0 uT","Turb &gt; 15 uT"))))))</f>
        <v>2,5 ≤ Turb &lt; 5,0 uT</v>
      </c>
      <c r="BB469" s="138" t="str">
        <f>IF(AND(C469&gt;D469,D469&gt;E469),"TOR &gt; SM &gt; BNN",IF(AND(C469&gt;E469,E469&gt;D469),"TOR &gt; BNN &gt; SM",IF(AND(D469&gt;C469,C469&gt;E469),"SM &gt; TOR &gt; BNN",IF(AND(D469&gt;E469,E469&gt;C469),"SM &gt; BNN &gt; TOR",IF(AND(C469=D469,D469=E469),"TOR = SM = BNN","Comb. diferentes")))))</f>
        <v>TOR &gt; BNN &gt; SM</v>
      </c>
      <c r="BC469" s="137" t="str">
        <f>IF(OR(AD469="",AP469="-"),"",IF(AD469&lt;=0.25,"Tipo 1 (≤0,25) uT",IF(AD469&lt;=0.5,"Tipo 2 (0,25-0,50) uT",IF(AD469&lt;=0.75,"Tipo 3 (0,50-0,75) uT","Tipo 4 (&gt;0,75) uT"))))</f>
        <v>Tipo 2 (0,25-0,50) uT</v>
      </c>
      <c r="BD469" s="137" t="str">
        <f>IF(OR(AO469="",AY469="-"),"",IF(AO469&lt;=0.25,"Tipo 1 (≤0,25) uT",IF(AO469&lt;=0.5,"Tipo 2 (0,25-0,50) uT",IF(AO469&lt;=0.75,"Tipo 3 (0,50-0,75) uT","Tipo 4 (&gt;0,75) uT"))))</f>
        <v>Tipo 2 (0,25-0,50) uT</v>
      </c>
      <c r="BE469" s="137" t="str">
        <f>IF(OR(AE469="",AP469="-"),"",IF(AE469&lt;=0.25,"Tipo 1 (≤0,25) uT",IF(AE469&lt;=0.5,"Tipo 2 (0,25-0,50) uT",IF(AE469&lt;=0.75,"Tipo 3 (0,50-0,75) uT","Tipo 4 (&gt;0,75) uT"))))</f>
        <v>Tipo 3 (0,50-0,75) uT</v>
      </c>
      <c r="BF469" s="137" t="str">
        <f>IF(OR(AP469="",AP469="-"),"",IF(AP469&lt;=0.25,"Tipo 1 (≤0,25) uT",IF(AP469&lt;=0.5,"Tipo 2 (0,25-0,50) uT",IF(AP469&lt;=0.75,"Tipo 3 (0,50-0,75) uT","Tipo 4 (&gt;0,75) uT"))))</f>
        <v>Tipo 2 (0,25-0,50) uT</v>
      </c>
      <c r="BG469" s="137" t="str">
        <f>IF(OR(Q469="",Q469="-"),"",IF(Q469&lt;=0.25,"Tipo 1 (≤0,25) uT",IF(Q469&lt;=0.5,"Tipo 2 (0,25-0,50) uT",IF(Q469&lt;=0.75,"Tipo 3 (0,50-0,75) uT","Tipo 4 (&gt;0,75) uT"))))</f>
        <v>Tipo 1 (≤0,25) uT</v>
      </c>
    </row>
    <row r="470" spans="1:59" x14ac:dyDescent="0.3">
      <c r="A470" s="26">
        <v>46176</v>
      </c>
      <c r="B470" s="107">
        <v>0.14583333333333334</v>
      </c>
      <c r="C470" s="116">
        <v>1524</v>
      </c>
      <c r="D470" s="116">
        <v>85</v>
      </c>
      <c r="E470" s="116">
        <v>357</v>
      </c>
      <c r="F470" s="116">
        <v>2101</v>
      </c>
      <c r="G470" s="10" t="s">
        <v>100</v>
      </c>
      <c r="H470" s="122">
        <v>7.3</v>
      </c>
      <c r="I470" s="116">
        <v>90</v>
      </c>
      <c r="J470" s="116">
        <v>90</v>
      </c>
      <c r="K470" s="116">
        <v>90</v>
      </c>
      <c r="L470" s="122">
        <v>22.5</v>
      </c>
      <c r="M470" s="122">
        <v>6.7</v>
      </c>
      <c r="N470" s="79">
        <v>3.65</v>
      </c>
      <c r="O470" s="116">
        <v>16</v>
      </c>
      <c r="P470" s="122">
        <v>6.9</v>
      </c>
      <c r="Q470" s="79">
        <v>0.12</v>
      </c>
      <c r="R470" s="79">
        <v>22.36</v>
      </c>
      <c r="S470" s="79">
        <v>0.88</v>
      </c>
      <c r="T470" s="79">
        <v>0.7</v>
      </c>
      <c r="U470" s="85">
        <f t="shared" si="58"/>
        <v>2132.5149999999999</v>
      </c>
      <c r="V470" s="79">
        <f t="shared" si="59"/>
        <v>1614.7721200000001</v>
      </c>
      <c r="W470" s="79">
        <f t="shared" si="60"/>
        <v>0.75721489415080323</v>
      </c>
      <c r="X470" s="116">
        <v>2</v>
      </c>
      <c r="Y470" s="116">
        <v>3</v>
      </c>
      <c r="Z470" s="122">
        <v>6.5</v>
      </c>
      <c r="AA470" s="116">
        <v>20</v>
      </c>
      <c r="AB470" s="122">
        <v>6.5</v>
      </c>
      <c r="AC470" s="122">
        <v>6.7</v>
      </c>
      <c r="AD470" s="10">
        <v>0.36</v>
      </c>
      <c r="AE470" s="79">
        <v>0.53</v>
      </c>
      <c r="AF470" s="85">
        <f t="shared" si="61"/>
        <v>1599.38625</v>
      </c>
      <c r="AG470" s="85">
        <f t="shared" si="62"/>
        <v>1776.2493320000001</v>
      </c>
      <c r="AH470" s="85">
        <f t="shared" si="63"/>
        <v>1.1105818447545113</v>
      </c>
      <c r="AI470" s="116">
        <v>2</v>
      </c>
      <c r="AJ470" s="116">
        <v>4</v>
      </c>
      <c r="AK470" s="79">
        <v>6.5</v>
      </c>
      <c r="AL470" s="79">
        <v>22</v>
      </c>
      <c r="AM470" s="122">
        <v>6.6</v>
      </c>
      <c r="AN470" s="122">
        <v>6.7</v>
      </c>
      <c r="AO470" s="79">
        <v>0.28999999999999998</v>
      </c>
      <c r="AP470" s="127">
        <v>0.28999999999999998</v>
      </c>
      <c r="AQ470" s="132">
        <f t="shared" si="64"/>
        <v>1966</v>
      </c>
      <c r="AR470" s="134">
        <f t="shared" si="65"/>
        <v>0.77517802644964395</v>
      </c>
      <c r="AS470" s="134">
        <f t="shared" si="66"/>
        <v>4.3234994913530007E-2</v>
      </c>
      <c r="AT470" s="134">
        <f t="shared" si="67"/>
        <v>0.18158697863682605</v>
      </c>
      <c r="AU470" s="43">
        <f>IF(AND(F470&lt;&gt;"",Y470&lt;&gt;""),AA470/(F470/2/Y470),"")</f>
        <v>5.7115659209900048E-2</v>
      </c>
      <c r="AV470" s="43">
        <f>IF(AND(F470&lt;&gt;"",AJ470&lt;&gt;""),AL470/(F470/2/AJ470),"")</f>
        <v>8.3769633507853408E-2</v>
      </c>
      <c r="AW470" s="43">
        <f>IF(AND(AP470&lt;&gt;"",1-(AP470/N470)&gt;0),1-(AP470/N470),"")</f>
        <v>0.92054794520547945</v>
      </c>
      <c r="AX470" s="41">
        <f>IF(AND(AE470&lt;&gt;"",1-(AE470/N470)&gt;0),1-(AE470/N470),"")</f>
        <v>0.85479452054794525</v>
      </c>
      <c r="AY470" s="136" t="str">
        <f>IF(P470="","",IF(P470&lt;2.5,"Alc. Bruta &lt; 2,5 mg/L",IF(P470&lt;5,"2,5 ≤ Alc. Bruta &lt; 5,0 mg/L",IF(P470&lt;7.5,"5,0 ≤ Alc. Bruta &lt; 7,5 mg/L",IF(P470&lt;10,"7,5 ≤ Alc. Bruta &lt; 10,0 mg/L",IF(P470&lt;15,"10,0 ≤ Alca. Bruta &lt; 15,0 mg/L","Alc. Bruta &gt; 15 mg/L"))))))</f>
        <v>5,0 ≤ Alc. Bruta &lt; 7,5 mg/L</v>
      </c>
      <c r="AZ470" s="136" t="str">
        <f>IF(O470="","",IF(O470&lt;5,"Cor &lt;5 uC",IF(O470&lt;10,"5 ≤ Cor &lt; 10 uC",IF(O470&lt;15,"10 ≤ Cor &lt;15 uC",IF(O470&lt;30,"15 ≤ Cor &lt; 30 uC",IF(O470&lt;50,"30 ≤ Cor &lt; 50 uC","Cor &gt; 50 uC"))))))</f>
        <v>15 ≤ Cor &lt; 30 uC</v>
      </c>
      <c r="BA470" s="137" t="str">
        <f>IF(N470="","",IF(N470&lt;2.5,"Turbidez &lt; 2,5 uT",IF(N470&lt;5,"2,5 ≤ Turb &lt; 5,0 uT",IF(N470&lt;7.5,"5,0 ≤ Turb &lt; 7,5 uT",IF(N470&lt;10,"7,5 ≤ Turb &lt; 10,0 uT",IF(N470&lt;15,"10,0 ≤ Turb &lt; 15,0 uT","Turb &gt; 15 uT"))))))</f>
        <v>2,5 ≤ Turb &lt; 5,0 uT</v>
      </c>
      <c r="BB470" s="138" t="str">
        <f>IF(AND(C470&gt;D470,D470&gt;E470),"TOR &gt; SM &gt; BNN",IF(AND(C470&gt;E470,E470&gt;D470),"TOR &gt; BNN &gt; SM",IF(AND(D470&gt;C470,C470&gt;E470),"SM &gt; TOR &gt; BNN",IF(AND(D470&gt;E470,E470&gt;C470),"SM &gt; BNN &gt; TOR",IF(AND(C470=D470,D470=E470),"TOR = SM = BNN","Comb. diferentes")))))</f>
        <v>TOR &gt; BNN &gt; SM</v>
      </c>
      <c r="BC470" s="137" t="str">
        <f>IF(OR(AD470="",AP470="-"),"",IF(AD470&lt;=0.25,"Tipo 1 (≤0,25) uT",IF(AD470&lt;=0.5,"Tipo 2 (0,25-0,50) uT",IF(AD470&lt;=0.75,"Tipo 3 (0,50-0,75) uT","Tipo 4 (&gt;0,75) uT"))))</f>
        <v>Tipo 2 (0,25-0,50) uT</v>
      </c>
      <c r="BD470" s="137" t="str">
        <f>IF(OR(AO470="",AY470="-"),"",IF(AO470&lt;=0.25,"Tipo 1 (≤0,25) uT",IF(AO470&lt;=0.5,"Tipo 2 (0,25-0,50) uT",IF(AO470&lt;=0.75,"Tipo 3 (0,50-0,75) uT","Tipo 4 (&gt;0,75) uT"))))</f>
        <v>Tipo 2 (0,25-0,50) uT</v>
      </c>
      <c r="BE470" s="137" t="str">
        <f>IF(OR(AE470="",AP470="-"),"",IF(AE470&lt;=0.25,"Tipo 1 (≤0,25) uT",IF(AE470&lt;=0.5,"Tipo 2 (0,25-0,50) uT",IF(AE470&lt;=0.75,"Tipo 3 (0,50-0,75) uT","Tipo 4 (&gt;0,75) uT"))))</f>
        <v>Tipo 3 (0,50-0,75) uT</v>
      </c>
      <c r="BF470" s="137" t="str">
        <f>IF(OR(AP470="",AP470="-"),"",IF(AP470&lt;=0.25,"Tipo 1 (≤0,25) uT",IF(AP470&lt;=0.5,"Tipo 2 (0,25-0,50) uT",IF(AP470&lt;=0.75,"Tipo 3 (0,50-0,75) uT","Tipo 4 (&gt;0,75) uT"))))</f>
        <v>Tipo 2 (0,25-0,50) uT</v>
      </c>
      <c r="BG470" s="137" t="str">
        <f>IF(OR(Q470="",Q470="-"),"",IF(Q470&lt;=0.25,"Tipo 1 (≤0,25) uT",IF(Q470&lt;=0.5,"Tipo 2 (0,25-0,50) uT",IF(Q470&lt;=0.75,"Tipo 3 (0,50-0,75) uT","Tipo 4 (&gt;0,75) uT"))))</f>
        <v>Tipo 1 (≤0,25) uT</v>
      </c>
    </row>
    <row r="471" spans="1:59" ht="15" thickBot="1" x14ac:dyDescent="0.35">
      <c r="A471" s="26">
        <v>46176</v>
      </c>
      <c r="B471" s="110">
        <v>0.22916666666666666</v>
      </c>
      <c r="C471" s="117">
        <v>1340</v>
      </c>
      <c r="D471" s="117">
        <v>77</v>
      </c>
      <c r="E471" s="117">
        <v>388</v>
      </c>
      <c r="F471" s="117">
        <v>2098</v>
      </c>
      <c r="G471" s="11" t="s">
        <v>100</v>
      </c>
      <c r="H471" s="123">
        <v>7.3</v>
      </c>
      <c r="I471" s="117">
        <v>90</v>
      </c>
      <c r="J471" s="117">
        <v>90</v>
      </c>
      <c r="K471" s="117">
        <v>90</v>
      </c>
      <c r="L471" s="123">
        <v>22.5</v>
      </c>
      <c r="M471" s="123">
        <v>6.7</v>
      </c>
      <c r="N471" s="80">
        <v>3.96</v>
      </c>
      <c r="O471" s="117">
        <v>14</v>
      </c>
      <c r="P471" s="123">
        <v>6.9</v>
      </c>
      <c r="Q471" s="80">
        <v>0.1</v>
      </c>
      <c r="R471" s="79">
        <v>22.36</v>
      </c>
      <c r="S471" s="79">
        <v>0.88</v>
      </c>
      <c r="T471" s="79">
        <v>0.7</v>
      </c>
      <c r="U471" s="85">
        <f t="shared" si="58"/>
        <v>2237.8666666666668</v>
      </c>
      <c r="V471" s="79">
        <f t="shared" si="59"/>
        <v>1614.7721200000001</v>
      </c>
      <c r="W471" s="79">
        <f t="shared" si="60"/>
        <v>0.72156761796949476</v>
      </c>
      <c r="X471" s="117">
        <v>2</v>
      </c>
      <c r="Y471" s="117">
        <v>3</v>
      </c>
      <c r="Z471" s="123">
        <v>6.5</v>
      </c>
      <c r="AA471" s="117">
        <v>20</v>
      </c>
      <c r="AB471" s="123">
        <v>6.4</v>
      </c>
      <c r="AC471" s="123">
        <v>6.6</v>
      </c>
      <c r="AD471" s="11">
        <v>0.26</v>
      </c>
      <c r="AE471" s="80">
        <v>0.55000000000000004</v>
      </c>
      <c r="AF471" s="85">
        <f t="shared" si="61"/>
        <v>1678.4</v>
      </c>
      <c r="AG471" s="85">
        <f t="shared" si="62"/>
        <v>1695.510726</v>
      </c>
      <c r="AH471" s="85">
        <f t="shared" si="63"/>
        <v>1.0101946651572926</v>
      </c>
      <c r="AI471" s="117">
        <v>2</v>
      </c>
      <c r="AJ471" s="117">
        <v>4</v>
      </c>
      <c r="AK471" s="80">
        <v>6.5</v>
      </c>
      <c r="AL471" s="80">
        <v>21</v>
      </c>
      <c r="AM471" s="123">
        <v>6.4</v>
      </c>
      <c r="AN471" s="123">
        <v>6.6</v>
      </c>
      <c r="AO471" s="80">
        <v>0.18</v>
      </c>
      <c r="AP471" s="128">
        <v>0.53</v>
      </c>
      <c r="AQ471" s="132">
        <f t="shared" si="64"/>
        <v>1805</v>
      </c>
      <c r="AR471" s="134">
        <f t="shared" si="65"/>
        <v>0.74238227146814406</v>
      </c>
      <c r="AS471" s="134">
        <f t="shared" si="66"/>
        <v>4.2659279778393351E-2</v>
      </c>
      <c r="AT471" s="134">
        <f t="shared" si="67"/>
        <v>0.21495844875346259</v>
      </c>
      <c r="AU471" s="43">
        <f>IF(AND(F471&lt;&gt;"",Y471&lt;&gt;""),AA471/(F471/2/Y471),"")</f>
        <v>5.7197330791229739E-2</v>
      </c>
      <c r="AV471" s="43">
        <f>IF(AND(F471&lt;&gt;"",AJ471&lt;&gt;""),AL471/(F471/2/AJ471),"")</f>
        <v>8.0076263107721646E-2</v>
      </c>
      <c r="AW471" s="43">
        <f>IF(AND(AP471&lt;&gt;"",1-(AP471/N471)&gt;0),1-(AP471/N471),"")</f>
        <v>0.86616161616161613</v>
      </c>
      <c r="AX471" s="41">
        <f>IF(AND(AE471&lt;&gt;"",1-(AE471/N471)&gt;0),1-(AE471/N471),"")</f>
        <v>0.86111111111111116</v>
      </c>
      <c r="AY471" s="136" t="str">
        <f>IF(P471="","",IF(P471&lt;2.5,"Alc. Bruta &lt; 2,5 mg/L",IF(P471&lt;5,"2,5 ≤ Alc. Bruta &lt; 5,0 mg/L",IF(P471&lt;7.5,"5,0 ≤ Alc. Bruta &lt; 7,5 mg/L",IF(P471&lt;10,"7,5 ≤ Alc. Bruta &lt; 10,0 mg/L",IF(P471&lt;15,"10,0 ≤ Alca. Bruta &lt; 15,0 mg/L","Alc. Bruta &gt; 15 mg/L"))))))</f>
        <v>5,0 ≤ Alc. Bruta &lt; 7,5 mg/L</v>
      </c>
      <c r="AZ471" s="136" t="str">
        <f>IF(O471="","",IF(O471&lt;5,"Cor &lt;5 uC",IF(O471&lt;10,"5 ≤ Cor &lt; 10 uC",IF(O471&lt;15,"10 ≤ Cor &lt;15 uC",IF(O471&lt;30,"15 ≤ Cor &lt; 30 uC",IF(O471&lt;50,"30 ≤ Cor &lt; 50 uC","Cor &gt; 50 uC"))))))</f>
        <v>10 ≤ Cor &lt;15 uC</v>
      </c>
      <c r="BA471" s="137" t="str">
        <f>IF(N471="","",IF(N471&lt;2.5,"Turbidez &lt; 2,5 uT",IF(N471&lt;5,"2,5 ≤ Turb &lt; 5,0 uT",IF(N471&lt;7.5,"5,0 ≤ Turb &lt; 7,5 uT",IF(N471&lt;10,"7,5 ≤ Turb &lt; 10,0 uT",IF(N471&lt;15,"10,0 ≤ Turb &lt; 15,0 uT","Turb &gt; 15 uT"))))))</f>
        <v>2,5 ≤ Turb &lt; 5,0 uT</v>
      </c>
      <c r="BB471" s="138" t="str">
        <f>IF(AND(C471&gt;D471,D471&gt;E471),"TOR &gt; SM &gt; BNN",IF(AND(C471&gt;E471,E471&gt;D471),"TOR &gt; BNN &gt; SM",IF(AND(D471&gt;C471,C471&gt;E471),"SM &gt; TOR &gt; BNN",IF(AND(D471&gt;E471,E471&gt;C471),"SM &gt; BNN &gt; TOR",IF(AND(C471=D471,D471=E471),"TOR = SM = BNN","Comb. diferentes")))))</f>
        <v>TOR &gt; BNN &gt; SM</v>
      </c>
      <c r="BC471" s="137" t="str">
        <f>IF(OR(AD471="",AP471="-"),"",IF(AD471&lt;=0.25,"Tipo 1 (≤0,25) uT",IF(AD471&lt;=0.5,"Tipo 2 (0,25-0,50) uT",IF(AD471&lt;=0.75,"Tipo 3 (0,50-0,75) uT","Tipo 4 (&gt;0,75) uT"))))</f>
        <v>Tipo 2 (0,25-0,50) uT</v>
      </c>
      <c r="BD471" s="137" t="str">
        <f>IF(OR(AO471="",AY471="-"),"",IF(AO471&lt;=0.25,"Tipo 1 (≤0,25) uT",IF(AO471&lt;=0.5,"Tipo 2 (0,25-0,50) uT",IF(AO471&lt;=0.75,"Tipo 3 (0,50-0,75) uT","Tipo 4 (&gt;0,75) uT"))))</f>
        <v>Tipo 1 (≤0,25) uT</v>
      </c>
      <c r="BE471" s="137" t="str">
        <f>IF(OR(AE471="",AP471="-"),"",IF(AE471&lt;=0.25,"Tipo 1 (≤0,25) uT",IF(AE471&lt;=0.5,"Tipo 2 (0,25-0,50) uT",IF(AE471&lt;=0.75,"Tipo 3 (0,50-0,75) uT","Tipo 4 (&gt;0,75) uT"))))</f>
        <v>Tipo 3 (0,50-0,75) uT</v>
      </c>
      <c r="BF471" s="137" t="str">
        <f>IF(OR(AP471="",AP471="-"),"",IF(AP471&lt;=0.25,"Tipo 1 (≤0,25) uT",IF(AP471&lt;=0.5,"Tipo 2 (0,25-0,50) uT",IF(AP471&lt;=0.75,"Tipo 3 (0,50-0,75) uT","Tipo 4 (&gt;0,75) uT"))))</f>
        <v>Tipo 3 (0,50-0,75) uT</v>
      </c>
      <c r="BG471" s="137" t="str">
        <f>IF(OR(Q471="",Q471="-"),"",IF(Q471&lt;=0.25,"Tipo 1 (≤0,25) uT",IF(Q471&lt;=0.5,"Tipo 2 (0,25-0,50) uT",IF(Q471&lt;=0.75,"Tipo 3 (0,50-0,75) uT","Tipo 4 (&gt;0,75) uT"))))</f>
        <v>Tipo 1 (≤0,25) uT</v>
      </c>
    </row>
    <row r="472" spans="1:59" x14ac:dyDescent="0.3">
      <c r="A472" s="26">
        <v>46176</v>
      </c>
      <c r="B472" s="111">
        <v>0.3125</v>
      </c>
      <c r="C472" s="118">
        <v>1453</v>
      </c>
      <c r="D472" s="116">
        <v>86</v>
      </c>
      <c r="E472" s="118">
        <v>387</v>
      </c>
      <c r="F472" s="118">
        <v>1958</v>
      </c>
      <c r="G472" s="9" t="s">
        <v>100</v>
      </c>
      <c r="H472" s="124">
        <v>7.3</v>
      </c>
      <c r="I472" s="118">
        <v>90</v>
      </c>
      <c r="J472" s="118">
        <v>90</v>
      </c>
      <c r="K472" s="118">
        <v>90</v>
      </c>
      <c r="L472" s="124">
        <v>21.9</v>
      </c>
      <c r="M472" s="124">
        <v>6.7</v>
      </c>
      <c r="N472" s="81">
        <v>3.56</v>
      </c>
      <c r="O472" s="118">
        <v>18</v>
      </c>
      <c r="P472" s="124">
        <v>6.7</v>
      </c>
      <c r="Q472" s="81">
        <v>0.1</v>
      </c>
      <c r="R472" s="79">
        <v>22.36</v>
      </c>
      <c r="S472" s="79">
        <v>0.88</v>
      </c>
      <c r="T472" s="79">
        <v>0.7</v>
      </c>
      <c r="U472" s="85">
        <f t="shared" si="58"/>
        <v>1958</v>
      </c>
      <c r="V472" s="79">
        <f t="shared" si="59"/>
        <v>1525.2278553200001</v>
      </c>
      <c r="W472" s="79">
        <f t="shared" si="60"/>
        <v>0.77897234694586315</v>
      </c>
      <c r="X472" s="118">
        <v>4</v>
      </c>
      <c r="Y472" s="118">
        <v>3</v>
      </c>
      <c r="Z472" s="124">
        <v>6.47</v>
      </c>
      <c r="AA472" s="118">
        <v>19</v>
      </c>
      <c r="AB472" s="124">
        <v>6.6</v>
      </c>
      <c r="AC472" s="124">
        <v>6.1</v>
      </c>
      <c r="AD472" s="9">
        <v>0.18</v>
      </c>
      <c r="AE472" s="81">
        <v>0.56000000000000005</v>
      </c>
      <c r="AF472" s="85">
        <f t="shared" si="61"/>
        <v>1468.5</v>
      </c>
      <c r="AG472" s="85">
        <f t="shared" si="62"/>
        <v>1842.7752959199995</v>
      </c>
      <c r="AH472" s="85">
        <f t="shared" si="63"/>
        <v>1.2548691153694242</v>
      </c>
      <c r="AI472" s="118">
        <v>3</v>
      </c>
      <c r="AJ472" s="118">
        <v>4</v>
      </c>
      <c r="AK472" s="81">
        <v>6.46</v>
      </c>
      <c r="AL472" s="81">
        <v>23</v>
      </c>
      <c r="AM472" s="124">
        <v>6.5</v>
      </c>
      <c r="AN472" s="124">
        <v>6.8</v>
      </c>
      <c r="AO472" s="81">
        <v>0.3</v>
      </c>
      <c r="AP472" s="129">
        <v>0.32</v>
      </c>
      <c r="AQ472" s="132">
        <f t="shared" si="64"/>
        <v>1926</v>
      </c>
      <c r="AR472" s="134">
        <f t="shared" si="65"/>
        <v>0.75441329179646932</v>
      </c>
      <c r="AS472" s="134">
        <f t="shared" si="66"/>
        <v>4.46521287642783E-2</v>
      </c>
      <c r="AT472" s="134">
        <f t="shared" si="67"/>
        <v>0.20093457943925233</v>
      </c>
      <c r="AU472" s="43">
        <f>IF(AND(F472&lt;&gt;"",Y472&lt;&gt;""),AA472/(F472/2/Y472),"")</f>
        <v>5.8222676200204292E-2</v>
      </c>
      <c r="AV472" s="43">
        <f>IF(AND(F472&lt;&gt;"",AJ472&lt;&gt;""),AL472/(F472/2/AJ472),"")</f>
        <v>9.3973442288049033E-2</v>
      </c>
      <c r="AW472" s="43">
        <f>IF(AND(AP472&lt;&gt;"",1-(AP472/N472)&gt;0),1-(AP472/N472),"")</f>
        <v>0.9101123595505618</v>
      </c>
      <c r="AX472" s="41">
        <f>IF(AND(AE472&lt;&gt;"",1-(AE472/N472)&gt;0),1-(AE472/N472),"")</f>
        <v>0.84269662921348309</v>
      </c>
      <c r="AY472" s="136" t="str">
        <f>IF(P472="","",IF(P472&lt;2.5,"Alc. Bruta &lt; 2,5 mg/L",IF(P472&lt;5,"2,5 ≤ Alc. Bruta &lt; 5,0 mg/L",IF(P472&lt;7.5,"5,0 ≤ Alc. Bruta &lt; 7,5 mg/L",IF(P472&lt;10,"7,5 ≤ Alc. Bruta &lt; 10,0 mg/L",IF(P472&lt;15,"10,0 ≤ Alca. Bruta &lt; 15,0 mg/L","Alc. Bruta &gt; 15 mg/L"))))))</f>
        <v>5,0 ≤ Alc. Bruta &lt; 7,5 mg/L</v>
      </c>
      <c r="AZ472" s="136" t="str">
        <f>IF(O472="","",IF(O472&lt;5,"Cor &lt;5 uC",IF(O472&lt;10,"5 ≤ Cor &lt; 10 uC",IF(O472&lt;15,"10 ≤ Cor &lt;15 uC",IF(O472&lt;30,"15 ≤ Cor &lt; 30 uC",IF(O472&lt;50,"30 ≤ Cor &lt; 50 uC","Cor &gt; 50 uC"))))))</f>
        <v>15 ≤ Cor &lt; 30 uC</v>
      </c>
      <c r="BA472" s="137" t="str">
        <f>IF(N472="","",IF(N472&lt;2.5,"Turbidez &lt; 2,5 uT",IF(N472&lt;5,"2,5 ≤ Turb &lt; 5,0 uT",IF(N472&lt;7.5,"5,0 ≤ Turb &lt; 7,5 uT",IF(N472&lt;10,"7,5 ≤ Turb &lt; 10,0 uT",IF(N472&lt;15,"10,0 ≤ Turb &lt; 15,0 uT","Turb &gt; 15 uT"))))))</f>
        <v>2,5 ≤ Turb &lt; 5,0 uT</v>
      </c>
      <c r="BB472" s="138" t="str">
        <f>IF(AND(C472&gt;D472,D472&gt;E472),"TOR &gt; SM &gt; BNN",IF(AND(C472&gt;E472,E472&gt;D472),"TOR &gt; BNN &gt; SM",IF(AND(D472&gt;C472,C472&gt;E472),"SM &gt; TOR &gt; BNN",IF(AND(D472&gt;E472,E472&gt;C472),"SM &gt; BNN &gt; TOR",IF(AND(C472=D472,D472=E472),"TOR = SM = BNN","Comb. diferentes")))))</f>
        <v>TOR &gt; BNN &gt; SM</v>
      </c>
      <c r="BC472" s="137" t="str">
        <f>IF(OR(AD472="",AP472="-"),"",IF(AD472&lt;=0.25,"Tipo 1 (≤0,25) uT",IF(AD472&lt;=0.5,"Tipo 2 (0,25-0,50) uT",IF(AD472&lt;=0.75,"Tipo 3 (0,50-0,75) uT","Tipo 4 (&gt;0,75) uT"))))</f>
        <v>Tipo 1 (≤0,25) uT</v>
      </c>
      <c r="BD472" s="137" t="str">
        <f>IF(OR(AO472="",AY472="-"),"",IF(AO472&lt;=0.25,"Tipo 1 (≤0,25) uT",IF(AO472&lt;=0.5,"Tipo 2 (0,25-0,50) uT",IF(AO472&lt;=0.75,"Tipo 3 (0,50-0,75) uT","Tipo 4 (&gt;0,75) uT"))))</f>
        <v>Tipo 2 (0,25-0,50) uT</v>
      </c>
      <c r="BE472" s="137" t="str">
        <f>IF(OR(AE472="",AP472="-"),"",IF(AE472&lt;=0.25,"Tipo 1 (≤0,25) uT",IF(AE472&lt;=0.5,"Tipo 2 (0,25-0,50) uT",IF(AE472&lt;=0.75,"Tipo 3 (0,50-0,75) uT","Tipo 4 (&gt;0,75) uT"))))</f>
        <v>Tipo 3 (0,50-0,75) uT</v>
      </c>
      <c r="BF472" s="137" t="str">
        <f>IF(OR(AP472="",AP472="-"),"",IF(AP472&lt;=0.25,"Tipo 1 (≤0,25) uT",IF(AP472&lt;=0.5,"Tipo 2 (0,25-0,50) uT",IF(AP472&lt;=0.75,"Tipo 3 (0,50-0,75) uT","Tipo 4 (&gt;0,75) uT"))))</f>
        <v>Tipo 2 (0,25-0,50) uT</v>
      </c>
      <c r="BG472" s="137" t="str">
        <f>IF(OR(Q472="",Q472="-"),"",IF(Q472&lt;=0.25,"Tipo 1 (≤0,25) uT",IF(Q472&lt;=0.5,"Tipo 2 (0,25-0,50) uT",IF(Q472&lt;=0.75,"Tipo 3 (0,50-0,75) uT","Tipo 4 (&gt;0,75) uT"))))</f>
        <v>Tipo 1 (≤0,25) uT</v>
      </c>
    </row>
    <row r="473" spans="1:59" x14ac:dyDescent="0.3">
      <c r="A473" s="26">
        <v>46176</v>
      </c>
      <c r="B473" s="107">
        <v>0.47916666666666669</v>
      </c>
      <c r="C473" s="116">
        <v>1485</v>
      </c>
      <c r="D473" s="116">
        <v>88</v>
      </c>
      <c r="E473" s="116">
        <v>500</v>
      </c>
      <c r="F473" s="116">
        <v>2203</v>
      </c>
      <c r="G473" s="10" t="s">
        <v>100</v>
      </c>
      <c r="H473" s="122">
        <v>7.3</v>
      </c>
      <c r="I473" s="116">
        <v>90</v>
      </c>
      <c r="J473" s="116">
        <v>90</v>
      </c>
      <c r="K473" s="116">
        <v>90</v>
      </c>
      <c r="L473" s="122">
        <v>22.6</v>
      </c>
      <c r="M473" s="122">
        <v>6.7</v>
      </c>
      <c r="N473" s="79">
        <v>3.01</v>
      </c>
      <c r="O473" s="116">
        <v>16</v>
      </c>
      <c r="P473" s="122">
        <v>6.2</v>
      </c>
      <c r="Q473" s="79">
        <v>0.14000000000000001</v>
      </c>
      <c r="R473" s="79">
        <v>22.36</v>
      </c>
      <c r="S473" s="79">
        <v>0.88</v>
      </c>
      <c r="T473" s="79">
        <v>0.7</v>
      </c>
      <c r="U473" s="85">
        <f t="shared" si="58"/>
        <v>1500.7937499999998</v>
      </c>
      <c r="V473" s="79">
        <f t="shared" si="59"/>
        <v>1614.7721200000001</v>
      </c>
      <c r="W473" s="79">
        <f t="shared" si="60"/>
        <v>1.0759453922299451</v>
      </c>
      <c r="X473" s="116">
        <v>4</v>
      </c>
      <c r="Y473" s="116">
        <v>4</v>
      </c>
      <c r="Z473" s="122">
        <v>6.5</v>
      </c>
      <c r="AA473" s="116">
        <v>20</v>
      </c>
      <c r="AB473" s="122">
        <v>6.6</v>
      </c>
      <c r="AC473" s="122">
        <v>4.7</v>
      </c>
      <c r="AD473" s="10">
        <v>0.2</v>
      </c>
      <c r="AE473" s="79">
        <v>0.61</v>
      </c>
      <c r="AF473" s="85">
        <f t="shared" si="61"/>
        <v>1500.7937499999998</v>
      </c>
      <c r="AG473" s="85">
        <f t="shared" si="62"/>
        <v>1839.2221353999998</v>
      </c>
      <c r="AH473" s="85">
        <f t="shared" si="63"/>
        <v>1.2254995967300637</v>
      </c>
      <c r="AI473" s="116">
        <v>3</v>
      </c>
      <c r="AJ473" s="116">
        <v>4</v>
      </c>
      <c r="AK473" s="79">
        <v>6.45</v>
      </c>
      <c r="AL473" s="79">
        <v>23</v>
      </c>
      <c r="AM473" s="122">
        <v>6.6</v>
      </c>
      <c r="AN473" s="122">
        <v>4.5999999999999996</v>
      </c>
      <c r="AO473" s="79">
        <v>0.16</v>
      </c>
      <c r="AP473" s="127">
        <v>0.36</v>
      </c>
      <c r="AQ473" s="132">
        <f t="shared" si="64"/>
        <v>2073</v>
      </c>
      <c r="AR473" s="134">
        <f t="shared" si="65"/>
        <v>0.71635311143270619</v>
      </c>
      <c r="AS473" s="134">
        <f t="shared" si="66"/>
        <v>4.2450554751567775E-2</v>
      </c>
      <c r="AT473" s="134">
        <f t="shared" si="67"/>
        <v>0.241196333815726</v>
      </c>
      <c r="AU473" s="43">
        <f>IF(AND(F473&lt;&gt;"",Y473&lt;&gt;""),AA473/(F473/2/Y473),"")</f>
        <v>7.2628234226055383E-2</v>
      </c>
      <c r="AV473" s="43">
        <f>IF(AND(F473&lt;&gt;"",AJ473&lt;&gt;""),AL473/(F473/2/AJ473),"")</f>
        <v>8.3522469359963686E-2</v>
      </c>
      <c r="AW473" s="43">
        <f>IF(AND(AP473&lt;&gt;"",1-(AP473/N473)&gt;0),1-(AP473/N473),"")</f>
        <v>0.88039867109634551</v>
      </c>
      <c r="AX473" s="41">
        <f>IF(AND(AE473&lt;&gt;"",1-(AE473/N473)&gt;0),1-(AE473/N473),"")</f>
        <v>0.79734219269102991</v>
      </c>
      <c r="AY473" s="136" t="str">
        <f>IF(P473="","",IF(P473&lt;2.5,"Alc. Bruta &lt; 2,5 mg/L",IF(P473&lt;5,"2,5 ≤ Alc. Bruta &lt; 5,0 mg/L",IF(P473&lt;7.5,"5,0 ≤ Alc. Bruta &lt; 7,5 mg/L",IF(P473&lt;10,"7,5 ≤ Alc. Bruta &lt; 10,0 mg/L",IF(P473&lt;15,"10,0 ≤ Alca. Bruta &lt; 15,0 mg/L","Alc. Bruta &gt; 15 mg/L"))))))</f>
        <v>5,0 ≤ Alc. Bruta &lt; 7,5 mg/L</v>
      </c>
      <c r="AZ473" s="136" t="str">
        <f>IF(O473="","",IF(O473&lt;5,"Cor &lt;5 uC",IF(O473&lt;10,"5 ≤ Cor &lt; 10 uC",IF(O473&lt;15,"10 ≤ Cor &lt;15 uC",IF(O473&lt;30,"15 ≤ Cor &lt; 30 uC",IF(O473&lt;50,"30 ≤ Cor &lt; 50 uC","Cor &gt; 50 uC"))))))</f>
        <v>15 ≤ Cor &lt; 30 uC</v>
      </c>
      <c r="BA473" s="137" t="str">
        <f>IF(N473="","",IF(N473&lt;2.5,"Turbidez &lt; 2,5 uT",IF(N473&lt;5,"2,5 ≤ Turb &lt; 5,0 uT",IF(N473&lt;7.5,"5,0 ≤ Turb &lt; 7,5 uT",IF(N473&lt;10,"7,5 ≤ Turb &lt; 10,0 uT",IF(N473&lt;15,"10,0 ≤ Turb &lt; 15,0 uT","Turb &gt; 15 uT"))))))</f>
        <v>2,5 ≤ Turb &lt; 5,0 uT</v>
      </c>
      <c r="BB473" s="138" t="str">
        <f>IF(AND(C473&gt;D473,D473&gt;E473),"TOR &gt; SM &gt; BNN",IF(AND(C473&gt;E473,E473&gt;D473),"TOR &gt; BNN &gt; SM",IF(AND(D473&gt;C473,C473&gt;E473),"SM &gt; TOR &gt; BNN",IF(AND(D473&gt;E473,E473&gt;C473),"SM &gt; BNN &gt; TOR",IF(AND(C473=D473,D473=E473),"TOR = SM = BNN","Comb. diferentes")))))</f>
        <v>TOR &gt; BNN &gt; SM</v>
      </c>
      <c r="BC473" s="137" t="str">
        <f>IF(OR(AD473="",AP473="-"),"",IF(AD473&lt;=0.25,"Tipo 1 (≤0,25) uT",IF(AD473&lt;=0.5,"Tipo 2 (0,25-0,50) uT",IF(AD473&lt;=0.75,"Tipo 3 (0,50-0,75) uT","Tipo 4 (&gt;0,75) uT"))))</f>
        <v>Tipo 1 (≤0,25) uT</v>
      </c>
      <c r="BD473" s="137" t="str">
        <f>IF(OR(AO473="",AY473="-"),"",IF(AO473&lt;=0.25,"Tipo 1 (≤0,25) uT",IF(AO473&lt;=0.5,"Tipo 2 (0,25-0,50) uT",IF(AO473&lt;=0.75,"Tipo 3 (0,50-0,75) uT","Tipo 4 (&gt;0,75) uT"))))</f>
        <v>Tipo 1 (≤0,25) uT</v>
      </c>
      <c r="BE473" s="137" t="str">
        <f>IF(OR(AE473="",AP473="-"),"",IF(AE473&lt;=0.25,"Tipo 1 (≤0,25) uT",IF(AE473&lt;=0.5,"Tipo 2 (0,25-0,50) uT",IF(AE473&lt;=0.75,"Tipo 3 (0,50-0,75) uT","Tipo 4 (&gt;0,75) uT"))))</f>
        <v>Tipo 3 (0,50-0,75) uT</v>
      </c>
      <c r="BF473" s="137" t="str">
        <f>IF(OR(AP473="",AP473="-"),"",IF(AP473&lt;=0.25,"Tipo 1 (≤0,25) uT",IF(AP473&lt;=0.5,"Tipo 2 (0,25-0,50) uT",IF(AP473&lt;=0.75,"Tipo 3 (0,50-0,75) uT","Tipo 4 (&gt;0,75) uT"))))</f>
        <v>Tipo 2 (0,25-0,50) uT</v>
      </c>
      <c r="BG473" s="137" t="str">
        <f>IF(OR(Q473="",Q473="-"),"",IF(Q473&lt;=0.25,"Tipo 1 (≤0,25) uT",IF(Q473&lt;=0.5,"Tipo 2 (0,25-0,50) uT",IF(Q473&lt;=0.75,"Tipo 3 (0,50-0,75) uT","Tipo 4 (&gt;0,75) uT"))))</f>
        <v>Tipo 1 (≤0,25) uT</v>
      </c>
    </row>
    <row r="474" spans="1:59" x14ac:dyDescent="0.3">
      <c r="A474" s="26">
        <v>46176</v>
      </c>
      <c r="B474" s="107">
        <v>0.64583333333333337</v>
      </c>
      <c r="C474" s="116">
        <v>1420</v>
      </c>
      <c r="D474" s="116">
        <v>87</v>
      </c>
      <c r="E474" s="116">
        <v>500</v>
      </c>
      <c r="F474" s="116">
        <v>2090</v>
      </c>
      <c r="G474" s="10" t="s">
        <v>100</v>
      </c>
      <c r="H474" s="122">
        <v>7.3</v>
      </c>
      <c r="I474" s="116">
        <v>90</v>
      </c>
      <c r="J474" s="116">
        <v>90</v>
      </c>
      <c r="K474" s="116">
        <v>90</v>
      </c>
      <c r="L474" s="122">
        <v>23.9</v>
      </c>
      <c r="M474" s="122">
        <v>6.8</v>
      </c>
      <c r="N474" s="79">
        <v>2.78</v>
      </c>
      <c r="O474" s="116">
        <v>13</v>
      </c>
      <c r="P474" s="122">
        <v>7.8</v>
      </c>
      <c r="Q474" s="79">
        <v>0.12</v>
      </c>
      <c r="R474" s="79">
        <v>22.36</v>
      </c>
      <c r="S474" s="79">
        <v>0.88</v>
      </c>
      <c r="T474" s="79">
        <v>0.7</v>
      </c>
      <c r="U474" s="85">
        <f t="shared" si="58"/>
        <v>1363.7249999999999</v>
      </c>
      <c r="V474" s="79">
        <f t="shared" si="59"/>
        <v>1534.0335140000002</v>
      </c>
      <c r="W474" s="79">
        <f t="shared" si="60"/>
        <v>1.1248847927551378</v>
      </c>
      <c r="X474" s="116">
        <v>4</v>
      </c>
      <c r="Y474" s="116">
        <v>4</v>
      </c>
      <c r="Z474" s="122">
        <v>6.5</v>
      </c>
      <c r="AA474" s="116">
        <v>19</v>
      </c>
      <c r="AB474" s="122">
        <v>6.7</v>
      </c>
      <c r="AC474" s="122">
        <v>5.6</v>
      </c>
      <c r="AD474" s="10">
        <v>0.16</v>
      </c>
      <c r="AE474" s="79">
        <v>0.46</v>
      </c>
      <c r="AF474" s="85">
        <f t="shared" si="61"/>
        <v>1363.7249999999999</v>
      </c>
      <c r="AG474" s="85">
        <f t="shared" si="62"/>
        <v>1839.2221353999998</v>
      </c>
      <c r="AH474" s="85">
        <f t="shared" si="63"/>
        <v>1.348675235403032</v>
      </c>
      <c r="AI474" s="116">
        <v>3</v>
      </c>
      <c r="AJ474" s="116">
        <v>4</v>
      </c>
      <c r="AK474" s="79">
        <v>6.45</v>
      </c>
      <c r="AL474" s="79">
        <v>23</v>
      </c>
      <c r="AM474" s="122">
        <v>6.7</v>
      </c>
      <c r="AN474" s="122">
        <v>6.1</v>
      </c>
      <c r="AO474" s="79">
        <v>0.23</v>
      </c>
      <c r="AP474" s="127">
        <v>0.37</v>
      </c>
      <c r="AQ474" s="132">
        <f t="shared" si="64"/>
        <v>2007</v>
      </c>
      <c r="AR474" s="134">
        <f t="shared" si="65"/>
        <v>0.70752366716492276</v>
      </c>
      <c r="AS474" s="134">
        <f t="shared" si="66"/>
        <v>4.3348281016442454E-2</v>
      </c>
      <c r="AT474" s="134">
        <f t="shared" si="67"/>
        <v>0.24912805181863479</v>
      </c>
      <c r="AU474" s="43">
        <f>IF(AND(F474&lt;&gt;"",Y474&lt;&gt;""),AA474/(F474/2/Y474),"")</f>
        <v>7.2727272727272724E-2</v>
      </c>
      <c r="AV474" s="43">
        <f>IF(AND(F474&lt;&gt;"",AJ474&lt;&gt;""),AL474/(F474/2/AJ474),"")</f>
        <v>8.8038277511961721E-2</v>
      </c>
      <c r="AW474" s="43">
        <f>IF(AND(AP474&lt;&gt;"",1-(AP474/N474)&gt;0),1-(AP474/N474),"")</f>
        <v>0.86690647482014382</v>
      </c>
      <c r="AX474" s="41">
        <f>IF(AND(AE474&lt;&gt;"",1-(AE474/N474)&gt;0),1-(AE474/N474),"")</f>
        <v>0.83453237410071934</v>
      </c>
      <c r="AY474" s="136" t="str">
        <f>IF(P474="","",IF(P474&lt;2.5,"Alc. Bruta &lt; 2,5 mg/L",IF(P474&lt;5,"2,5 ≤ Alc. Bruta &lt; 5,0 mg/L",IF(P474&lt;7.5,"5,0 ≤ Alc. Bruta &lt; 7,5 mg/L",IF(P474&lt;10,"7,5 ≤ Alc. Bruta &lt; 10,0 mg/L",IF(P474&lt;15,"10,0 ≤ Alca. Bruta &lt; 15,0 mg/L","Alc. Bruta &gt; 15 mg/L"))))))</f>
        <v>7,5 ≤ Alc. Bruta &lt; 10,0 mg/L</v>
      </c>
      <c r="AZ474" s="136" t="str">
        <f>IF(O474="","",IF(O474&lt;5,"Cor &lt;5 uC",IF(O474&lt;10,"5 ≤ Cor &lt; 10 uC",IF(O474&lt;15,"10 ≤ Cor &lt;15 uC",IF(O474&lt;30,"15 ≤ Cor &lt; 30 uC",IF(O474&lt;50,"30 ≤ Cor &lt; 50 uC","Cor &gt; 50 uC"))))))</f>
        <v>10 ≤ Cor &lt;15 uC</v>
      </c>
      <c r="BA474" s="137" t="str">
        <f>IF(N474="","",IF(N474&lt;2.5,"Turbidez &lt; 2,5 uT",IF(N474&lt;5,"2,5 ≤ Turb &lt; 5,0 uT",IF(N474&lt;7.5,"5,0 ≤ Turb &lt; 7,5 uT",IF(N474&lt;10,"7,5 ≤ Turb &lt; 10,0 uT",IF(N474&lt;15,"10,0 ≤ Turb &lt; 15,0 uT","Turb &gt; 15 uT"))))))</f>
        <v>2,5 ≤ Turb &lt; 5,0 uT</v>
      </c>
      <c r="BB474" s="138" t="str">
        <f>IF(AND(C474&gt;D474,D474&gt;E474),"TOR &gt; SM &gt; BNN",IF(AND(C474&gt;E474,E474&gt;D474),"TOR &gt; BNN &gt; SM",IF(AND(D474&gt;C474,C474&gt;E474),"SM &gt; TOR &gt; BNN",IF(AND(D474&gt;E474,E474&gt;C474),"SM &gt; BNN &gt; TOR",IF(AND(C474=D474,D474=E474),"TOR = SM = BNN","Comb. diferentes")))))</f>
        <v>TOR &gt; BNN &gt; SM</v>
      </c>
      <c r="BC474" s="137" t="str">
        <f>IF(OR(AD474="",AP474="-"),"",IF(AD474&lt;=0.25,"Tipo 1 (≤0,25) uT",IF(AD474&lt;=0.5,"Tipo 2 (0,25-0,50) uT",IF(AD474&lt;=0.75,"Tipo 3 (0,50-0,75) uT","Tipo 4 (&gt;0,75) uT"))))</f>
        <v>Tipo 1 (≤0,25) uT</v>
      </c>
      <c r="BD474" s="137" t="str">
        <f>IF(OR(AO474="",AY474="-"),"",IF(AO474&lt;=0.25,"Tipo 1 (≤0,25) uT",IF(AO474&lt;=0.5,"Tipo 2 (0,25-0,50) uT",IF(AO474&lt;=0.75,"Tipo 3 (0,50-0,75) uT","Tipo 4 (&gt;0,75) uT"))))</f>
        <v>Tipo 1 (≤0,25) uT</v>
      </c>
      <c r="BE474" s="137" t="str">
        <f>IF(OR(AE474="",AP474="-"),"",IF(AE474&lt;=0.25,"Tipo 1 (≤0,25) uT",IF(AE474&lt;=0.5,"Tipo 2 (0,25-0,50) uT",IF(AE474&lt;=0.75,"Tipo 3 (0,50-0,75) uT","Tipo 4 (&gt;0,75) uT"))))</f>
        <v>Tipo 2 (0,25-0,50) uT</v>
      </c>
      <c r="BF474" s="137" t="str">
        <f>IF(OR(AP474="",AP474="-"),"",IF(AP474&lt;=0.25,"Tipo 1 (≤0,25) uT",IF(AP474&lt;=0.5,"Tipo 2 (0,25-0,50) uT",IF(AP474&lt;=0.75,"Tipo 3 (0,50-0,75) uT","Tipo 4 (&gt;0,75) uT"))))</f>
        <v>Tipo 2 (0,25-0,50) uT</v>
      </c>
      <c r="BG474" s="137" t="str">
        <f>IF(OR(Q474="",Q474="-"),"",IF(Q474&lt;=0.25,"Tipo 1 (≤0,25) uT",IF(Q474&lt;=0.5,"Tipo 2 (0,25-0,50) uT",IF(Q474&lt;=0.75,"Tipo 3 (0,50-0,75) uT","Tipo 4 (&gt;0,75) uT"))))</f>
        <v>Tipo 1 (≤0,25) uT</v>
      </c>
    </row>
    <row r="475" spans="1:59" x14ac:dyDescent="0.3">
      <c r="A475" s="26">
        <v>46176</v>
      </c>
      <c r="B475" s="107">
        <v>0.72916666666666663</v>
      </c>
      <c r="C475" s="116">
        <v>1493</v>
      </c>
      <c r="D475" s="116">
        <v>95</v>
      </c>
      <c r="E475" s="116">
        <v>500</v>
      </c>
      <c r="F475" s="116">
        <v>2135</v>
      </c>
      <c r="G475" s="10" t="s">
        <v>100</v>
      </c>
      <c r="H475" s="122">
        <v>7.3</v>
      </c>
      <c r="I475" s="116">
        <v>90</v>
      </c>
      <c r="J475" s="116">
        <v>90</v>
      </c>
      <c r="K475" s="116">
        <v>90</v>
      </c>
      <c r="L475" s="122">
        <v>23.6</v>
      </c>
      <c r="M475" s="122">
        <v>6.8</v>
      </c>
      <c r="N475" s="79">
        <v>2.86</v>
      </c>
      <c r="O475" s="116">
        <v>14</v>
      </c>
      <c r="P475" s="122">
        <v>7.9</v>
      </c>
      <c r="Q475" s="79">
        <v>0.23</v>
      </c>
      <c r="R475" s="79">
        <v>22.36</v>
      </c>
      <c r="S475" s="79">
        <v>0.88</v>
      </c>
      <c r="T475" s="79">
        <v>0.7</v>
      </c>
      <c r="U475" s="85">
        <f t="shared" si="58"/>
        <v>1414.4375</v>
      </c>
      <c r="V475" s="79">
        <f t="shared" si="59"/>
        <v>1525.2278553200001</v>
      </c>
      <c r="W475" s="79">
        <f t="shared" si="60"/>
        <v>1.0783282084362158</v>
      </c>
      <c r="X475" s="116">
        <v>4</v>
      </c>
      <c r="Y475" s="116">
        <v>4</v>
      </c>
      <c r="Z475" s="122">
        <v>6.47</v>
      </c>
      <c r="AA475" s="116">
        <v>19</v>
      </c>
      <c r="AB475" s="122">
        <v>6.7</v>
      </c>
      <c r="AC475" s="122">
        <v>7.1</v>
      </c>
      <c r="AD475" s="10">
        <v>0.17</v>
      </c>
      <c r="AE475" s="79">
        <v>0.31</v>
      </c>
      <c r="AF475" s="85">
        <f t="shared" si="61"/>
        <v>1414.4375</v>
      </c>
      <c r="AG475" s="85">
        <f t="shared" si="62"/>
        <v>1860.5410985199997</v>
      </c>
      <c r="AH475" s="85">
        <f t="shared" si="63"/>
        <v>1.3153929378427818</v>
      </c>
      <c r="AI475" s="116">
        <v>3</v>
      </c>
      <c r="AJ475" s="116">
        <v>4</v>
      </c>
      <c r="AK475" s="79">
        <v>6.51</v>
      </c>
      <c r="AL475" s="79">
        <v>23</v>
      </c>
      <c r="AM475" s="122">
        <v>6.5</v>
      </c>
      <c r="AN475" s="122">
        <v>6.1</v>
      </c>
      <c r="AO475" s="79">
        <v>0.2</v>
      </c>
      <c r="AP475" s="127">
        <v>0.28000000000000003</v>
      </c>
      <c r="AQ475" s="132">
        <f t="shared" si="64"/>
        <v>2088</v>
      </c>
      <c r="AR475" s="134">
        <f t="shared" si="65"/>
        <v>0.71503831417624519</v>
      </c>
      <c r="AS475" s="134">
        <f t="shared" si="66"/>
        <v>4.5498084291187742E-2</v>
      </c>
      <c r="AT475" s="134">
        <f t="shared" si="67"/>
        <v>0.23946360153256704</v>
      </c>
      <c r="AU475" s="43">
        <f>IF(AND(F475&lt;&gt;"",Y475&lt;&gt;""),AA475/(F475/2/Y475),"")</f>
        <v>7.1194379391100709E-2</v>
      </c>
      <c r="AV475" s="43">
        <f>IF(AND(F475&lt;&gt;"",AJ475&lt;&gt;""),AL475/(F475/2/AJ475),"")</f>
        <v>8.6182669789227173E-2</v>
      </c>
      <c r="AW475" s="43">
        <f>IF(AND(AP475&lt;&gt;"",1-(AP475/N475)&gt;0),1-(AP475/N475),"")</f>
        <v>0.90209790209790208</v>
      </c>
      <c r="AX475" s="41">
        <f>IF(AND(AE475&lt;&gt;"",1-(AE475/N475)&gt;0),1-(AE475/N475),"")</f>
        <v>0.89160839160839156</v>
      </c>
      <c r="AY475" s="136" t="str">
        <f>IF(P475="","",IF(P475&lt;2.5,"Alc. Bruta &lt; 2,5 mg/L",IF(P475&lt;5,"2,5 ≤ Alc. Bruta &lt; 5,0 mg/L",IF(P475&lt;7.5,"5,0 ≤ Alc. Bruta &lt; 7,5 mg/L",IF(P475&lt;10,"7,5 ≤ Alc. Bruta &lt; 10,0 mg/L",IF(P475&lt;15,"10,0 ≤ Alca. Bruta &lt; 15,0 mg/L","Alc. Bruta &gt; 15 mg/L"))))))</f>
        <v>7,5 ≤ Alc. Bruta &lt; 10,0 mg/L</v>
      </c>
      <c r="AZ475" s="136" t="str">
        <f>IF(O475="","",IF(O475&lt;5,"Cor &lt;5 uC",IF(O475&lt;10,"5 ≤ Cor &lt; 10 uC",IF(O475&lt;15,"10 ≤ Cor &lt;15 uC",IF(O475&lt;30,"15 ≤ Cor &lt; 30 uC",IF(O475&lt;50,"30 ≤ Cor &lt; 50 uC","Cor &gt; 50 uC"))))))</f>
        <v>10 ≤ Cor &lt;15 uC</v>
      </c>
      <c r="BA475" s="137" t="str">
        <f>IF(N475="","",IF(N475&lt;2.5,"Turbidez &lt; 2,5 uT",IF(N475&lt;5,"2,5 ≤ Turb &lt; 5,0 uT",IF(N475&lt;7.5,"5,0 ≤ Turb &lt; 7,5 uT",IF(N475&lt;10,"7,5 ≤ Turb &lt; 10,0 uT",IF(N475&lt;15,"10,0 ≤ Turb &lt; 15,0 uT","Turb &gt; 15 uT"))))))</f>
        <v>2,5 ≤ Turb &lt; 5,0 uT</v>
      </c>
      <c r="BB475" s="138" t="str">
        <f>IF(AND(C475&gt;D475,D475&gt;E475),"TOR &gt; SM &gt; BNN",IF(AND(C475&gt;E475,E475&gt;D475),"TOR &gt; BNN &gt; SM",IF(AND(D475&gt;C475,C475&gt;E475),"SM &gt; TOR &gt; BNN",IF(AND(D475&gt;E475,E475&gt;C475),"SM &gt; BNN &gt; TOR",IF(AND(C475=D475,D475=E475),"TOR = SM = BNN","Comb. diferentes")))))</f>
        <v>TOR &gt; BNN &gt; SM</v>
      </c>
      <c r="BC475" s="137" t="str">
        <f>IF(OR(AD475="",AP475="-"),"",IF(AD475&lt;=0.25,"Tipo 1 (≤0,25) uT",IF(AD475&lt;=0.5,"Tipo 2 (0,25-0,50) uT",IF(AD475&lt;=0.75,"Tipo 3 (0,50-0,75) uT","Tipo 4 (&gt;0,75) uT"))))</f>
        <v>Tipo 1 (≤0,25) uT</v>
      </c>
      <c r="BD475" s="137" t="str">
        <f>IF(OR(AO475="",AY475="-"),"",IF(AO475&lt;=0.25,"Tipo 1 (≤0,25) uT",IF(AO475&lt;=0.5,"Tipo 2 (0,25-0,50) uT",IF(AO475&lt;=0.75,"Tipo 3 (0,50-0,75) uT","Tipo 4 (&gt;0,75) uT"))))</f>
        <v>Tipo 1 (≤0,25) uT</v>
      </c>
      <c r="BE475" s="137" t="str">
        <f>IF(OR(AE475="",AP475="-"),"",IF(AE475&lt;=0.25,"Tipo 1 (≤0,25) uT",IF(AE475&lt;=0.5,"Tipo 2 (0,25-0,50) uT",IF(AE475&lt;=0.75,"Tipo 3 (0,50-0,75) uT","Tipo 4 (&gt;0,75) uT"))))</f>
        <v>Tipo 2 (0,25-0,50) uT</v>
      </c>
      <c r="BF475" s="137" t="str">
        <f>IF(OR(AP475="",AP475="-"),"",IF(AP475&lt;=0.25,"Tipo 1 (≤0,25) uT",IF(AP475&lt;=0.5,"Tipo 2 (0,25-0,50) uT",IF(AP475&lt;=0.75,"Tipo 3 (0,50-0,75) uT","Tipo 4 (&gt;0,75) uT"))))</f>
        <v>Tipo 2 (0,25-0,50) uT</v>
      </c>
      <c r="BG475" s="137" t="str">
        <f>IF(OR(Q475="",Q475="-"),"",IF(Q475&lt;=0.25,"Tipo 1 (≤0,25) uT",IF(Q475&lt;=0.5,"Tipo 2 (0,25-0,50) uT",IF(Q475&lt;=0.75,"Tipo 3 (0,50-0,75) uT","Tipo 4 (&gt;0,75) uT"))))</f>
        <v>Tipo 1 (≤0,25) uT</v>
      </c>
    </row>
    <row r="476" spans="1:59" x14ac:dyDescent="0.3">
      <c r="A476" s="26">
        <v>46176</v>
      </c>
      <c r="B476" s="107">
        <v>0.8125</v>
      </c>
      <c r="C476" s="116">
        <v>1412</v>
      </c>
      <c r="D476" s="116">
        <v>85</v>
      </c>
      <c r="E476" s="116">
        <v>499</v>
      </c>
      <c r="F476" s="116">
        <v>2038</v>
      </c>
      <c r="G476" s="10" t="s">
        <v>100</v>
      </c>
      <c r="H476" s="122">
        <v>7.3</v>
      </c>
      <c r="I476" s="116">
        <v>90</v>
      </c>
      <c r="J476" s="116">
        <v>90</v>
      </c>
      <c r="K476" s="116">
        <v>90</v>
      </c>
      <c r="L476" s="122">
        <v>22.9</v>
      </c>
      <c r="M476" s="122">
        <v>6.7</v>
      </c>
      <c r="N476" s="79">
        <v>2.96</v>
      </c>
      <c r="O476" s="116">
        <v>14</v>
      </c>
      <c r="P476" s="122">
        <v>9.3000000000000007</v>
      </c>
      <c r="Q476" s="79">
        <v>0.11</v>
      </c>
      <c r="R476" s="79">
        <v>22.36</v>
      </c>
      <c r="S476" s="79">
        <v>0.88</v>
      </c>
      <c r="T476" s="79">
        <v>0.7</v>
      </c>
      <c r="U476" s="85">
        <f t="shared" si="58"/>
        <v>1375.65</v>
      </c>
      <c r="V476" s="79">
        <f t="shared" si="59"/>
        <v>1513.4869770799996</v>
      </c>
      <c r="W476" s="79">
        <f t="shared" si="60"/>
        <v>1.1001977080507392</v>
      </c>
      <c r="X476" s="116">
        <v>4</v>
      </c>
      <c r="Y476" s="116">
        <v>4</v>
      </c>
      <c r="Z476" s="122">
        <v>6.43</v>
      </c>
      <c r="AA476" s="116">
        <v>19</v>
      </c>
      <c r="AB476" s="122">
        <v>6.5</v>
      </c>
      <c r="AC476" s="122">
        <v>8.8000000000000007</v>
      </c>
      <c r="AD476" s="10">
        <v>0.22</v>
      </c>
      <c r="AE476" s="79">
        <v>0.28000000000000003</v>
      </c>
      <c r="AF476" s="85">
        <f t="shared" si="61"/>
        <v>1375.65</v>
      </c>
      <c r="AG476" s="85">
        <f t="shared" si="62"/>
        <v>1841.8386534079996</v>
      </c>
      <c r="AH476" s="85">
        <f t="shared" si="63"/>
        <v>1.3388860926892738</v>
      </c>
      <c r="AI476" s="116">
        <v>3</v>
      </c>
      <c r="AJ476" s="116">
        <v>4</v>
      </c>
      <c r="AK476" s="79">
        <v>6.48</v>
      </c>
      <c r="AL476" s="79">
        <v>22.9</v>
      </c>
      <c r="AM476" s="122">
        <v>6.6</v>
      </c>
      <c r="AN476" s="122">
        <v>6.3</v>
      </c>
      <c r="AO476" s="79">
        <v>0.17</v>
      </c>
      <c r="AP476" s="127">
        <v>0.28000000000000003</v>
      </c>
      <c r="AQ476" s="132">
        <f t="shared" si="64"/>
        <v>1996</v>
      </c>
      <c r="AR476" s="134">
        <f t="shared" si="65"/>
        <v>0.70741482965931868</v>
      </c>
      <c r="AS476" s="134">
        <f t="shared" si="66"/>
        <v>4.2585170340681364E-2</v>
      </c>
      <c r="AT476" s="134">
        <f t="shared" si="67"/>
        <v>0.25</v>
      </c>
      <c r="AU476" s="43">
        <f>IF(AND(F476&lt;&gt;"",Y476&lt;&gt;""),AA476/(F476/2/Y476),"")</f>
        <v>7.4582924435721301E-2</v>
      </c>
      <c r="AV476" s="43">
        <f>IF(AND(F476&lt;&gt;"",AJ476&lt;&gt;""),AL476/(F476/2/AJ476),"")</f>
        <v>8.9892051030421971E-2</v>
      </c>
      <c r="AW476" s="43">
        <f>IF(AND(AP476&lt;&gt;"",1-(AP476/N476)&gt;0),1-(AP476/N476),"")</f>
        <v>0.90540540540540537</v>
      </c>
      <c r="AX476" s="41">
        <f>IF(AND(AE476&lt;&gt;"",1-(AE476/N476)&gt;0),1-(AE476/N476),"")</f>
        <v>0.90540540540540537</v>
      </c>
      <c r="AY476" s="136" t="str">
        <f>IF(P476="","",IF(P476&lt;2.5,"Alc. Bruta &lt; 2,5 mg/L",IF(P476&lt;5,"2,5 ≤ Alc. Bruta &lt; 5,0 mg/L",IF(P476&lt;7.5,"5,0 ≤ Alc. Bruta &lt; 7,5 mg/L",IF(P476&lt;10,"7,5 ≤ Alc. Bruta &lt; 10,0 mg/L",IF(P476&lt;15,"10,0 ≤ Alca. Bruta &lt; 15,0 mg/L","Alc. Bruta &gt; 15 mg/L"))))))</f>
        <v>7,5 ≤ Alc. Bruta &lt; 10,0 mg/L</v>
      </c>
      <c r="AZ476" s="136" t="str">
        <f>IF(O476="","",IF(O476&lt;5,"Cor &lt;5 uC",IF(O476&lt;10,"5 ≤ Cor &lt; 10 uC",IF(O476&lt;15,"10 ≤ Cor &lt;15 uC",IF(O476&lt;30,"15 ≤ Cor &lt; 30 uC",IF(O476&lt;50,"30 ≤ Cor &lt; 50 uC","Cor &gt; 50 uC"))))))</f>
        <v>10 ≤ Cor &lt;15 uC</v>
      </c>
      <c r="BA476" s="137" t="str">
        <f>IF(N476="","",IF(N476&lt;2.5,"Turbidez &lt; 2,5 uT",IF(N476&lt;5,"2,5 ≤ Turb &lt; 5,0 uT",IF(N476&lt;7.5,"5,0 ≤ Turb &lt; 7,5 uT",IF(N476&lt;10,"7,5 ≤ Turb &lt; 10,0 uT",IF(N476&lt;15,"10,0 ≤ Turb &lt; 15,0 uT","Turb &gt; 15 uT"))))))</f>
        <v>2,5 ≤ Turb &lt; 5,0 uT</v>
      </c>
      <c r="BB476" s="138" t="str">
        <f>IF(AND(C476&gt;D476,D476&gt;E476),"TOR &gt; SM &gt; BNN",IF(AND(C476&gt;E476,E476&gt;D476),"TOR &gt; BNN &gt; SM",IF(AND(D476&gt;C476,C476&gt;E476),"SM &gt; TOR &gt; BNN",IF(AND(D476&gt;E476,E476&gt;C476),"SM &gt; BNN &gt; TOR",IF(AND(C476=D476,D476=E476),"TOR = SM = BNN","Comb. diferentes")))))</f>
        <v>TOR &gt; BNN &gt; SM</v>
      </c>
      <c r="BC476" s="137" t="str">
        <f>IF(OR(AD476="",AP476="-"),"",IF(AD476&lt;=0.25,"Tipo 1 (≤0,25) uT",IF(AD476&lt;=0.5,"Tipo 2 (0,25-0,50) uT",IF(AD476&lt;=0.75,"Tipo 3 (0,50-0,75) uT","Tipo 4 (&gt;0,75) uT"))))</f>
        <v>Tipo 1 (≤0,25) uT</v>
      </c>
      <c r="BD476" s="137" t="str">
        <f>IF(OR(AO476="",AY476="-"),"",IF(AO476&lt;=0.25,"Tipo 1 (≤0,25) uT",IF(AO476&lt;=0.5,"Tipo 2 (0,25-0,50) uT",IF(AO476&lt;=0.75,"Tipo 3 (0,50-0,75) uT","Tipo 4 (&gt;0,75) uT"))))</f>
        <v>Tipo 1 (≤0,25) uT</v>
      </c>
      <c r="BE476" s="137" t="str">
        <f>IF(OR(AE476="",AP476="-"),"",IF(AE476&lt;=0.25,"Tipo 1 (≤0,25) uT",IF(AE476&lt;=0.5,"Tipo 2 (0,25-0,50) uT",IF(AE476&lt;=0.75,"Tipo 3 (0,50-0,75) uT","Tipo 4 (&gt;0,75) uT"))))</f>
        <v>Tipo 2 (0,25-0,50) uT</v>
      </c>
      <c r="BF476" s="137" t="str">
        <f>IF(OR(AP476="",AP476="-"),"",IF(AP476&lt;=0.25,"Tipo 1 (≤0,25) uT",IF(AP476&lt;=0.5,"Tipo 2 (0,25-0,50) uT",IF(AP476&lt;=0.75,"Tipo 3 (0,50-0,75) uT","Tipo 4 (&gt;0,75) uT"))))</f>
        <v>Tipo 2 (0,25-0,50) uT</v>
      </c>
      <c r="BG476" s="137" t="str">
        <f>IF(OR(Q476="",Q476="-"),"",IF(Q476&lt;=0.25,"Tipo 1 (≤0,25) uT",IF(Q476&lt;=0.5,"Tipo 2 (0,25-0,50) uT",IF(Q476&lt;=0.75,"Tipo 3 (0,50-0,75) uT","Tipo 4 (&gt;0,75) uT"))))</f>
        <v>Tipo 1 (≤0,25) uT</v>
      </c>
    </row>
    <row r="477" spans="1:59" x14ac:dyDescent="0.3">
      <c r="A477" s="26">
        <v>46176</v>
      </c>
      <c r="B477" s="107">
        <v>0.89583333333333337</v>
      </c>
      <c r="C477" s="116">
        <v>1502</v>
      </c>
      <c r="D477" s="116">
        <v>85</v>
      </c>
      <c r="E477" s="116">
        <v>500</v>
      </c>
      <c r="F477" s="116">
        <v>2027</v>
      </c>
      <c r="G477" s="10" t="s">
        <v>100</v>
      </c>
      <c r="H477" s="122">
        <v>7.3</v>
      </c>
      <c r="I477" s="116">
        <v>90</v>
      </c>
      <c r="J477" s="116">
        <v>90</v>
      </c>
      <c r="K477" s="116">
        <v>90</v>
      </c>
      <c r="L477" s="122">
        <v>22.8</v>
      </c>
      <c r="M477" s="122">
        <v>6.7</v>
      </c>
      <c r="N477" s="79">
        <v>2.83</v>
      </c>
      <c r="O477" s="116">
        <v>16</v>
      </c>
      <c r="P477" s="122">
        <v>8.5</v>
      </c>
      <c r="Q477" s="79">
        <v>0.09</v>
      </c>
      <c r="R477" s="79">
        <v>22.36</v>
      </c>
      <c r="S477" s="79">
        <v>0.88</v>
      </c>
      <c r="T477" s="79">
        <v>0.7</v>
      </c>
      <c r="U477" s="85">
        <f t="shared" si="58"/>
        <v>1335.2862499999999</v>
      </c>
      <c r="V477" s="79">
        <f t="shared" si="59"/>
        <v>1452.5147689415999</v>
      </c>
      <c r="W477" s="79">
        <f t="shared" si="60"/>
        <v>1.087792800189173</v>
      </c>
      <c r="X477" s="116">
        <v>2</v>
      </c>
      <c r="Y477" s="116">
        <v>4</v>
      </c>
      <c r="Z477" s="122">
        <v>6.42</v>
      </c>
      <c r="AA477" s="116">
        <v>18.27</v>
      </c>
      <c r="AB477" s="122">
        <v>6.5</v>
      </c>
      <c r="AC477" s="122">
        <v>7.5</v>
      </c>
      <c r="AD477" s="10">
        <v>0.2</v>
      </c>
      <c r="AE477" s="79">
        <v>0.16</v>
      </c>
      <c r="AF477" s="85">
        <f t="shared" si="61"/>
        <v>1335.2862499999999</v>
      </c>
      <c r="AG477" s="85">
        <f t="shared" si="62"/>
        <v>1852.4517893959996</v>
      </c>
      <c r="AH477" s="85">
        <f t="shared" si="63"/>
        <v>1.387306871014361</v>
      </c>
      <c r="AI477" s="116">
        <v>3</v>
      </c>
      <c r="AJ477" s="116">
        <v>4</v>
      </c>
      <c r="AK477" s="79">
        <v>6.51</v>
      </c>
      <c r="AL477" s="79">
        <v>22.9</v>
      </c>
      <c r="AM477" s="122">
        <v>6.6</v>
      </c>
      <c r="AN477" s="122">
        <v>7.2</v>
      </c>
      <c r="AO477" s="79">
        <v>0.25</v>
      </c>
      <c r="AP477" s="127">
        <v>0.28000000000000003</v>
      </c>
      <c r="AQ477" s="132">
        <f t="shared" si="64"/>
        <v>2087</v>
      </c>
      <c r="AR477" s="134">
        <f t="shared" si="65"/>
        <v>0.71969333972208915</v>
      </c>
      <c r="AS477" s="134">
        <f t="shared" si="66"/>
        <v>4.0728318160038329E-2</v>
      </c>
      <c r="AT477" s="134">
        <f t="shared" si="67"/>
        <v>0.23957834211787254</v>
      </c>
      <c r="AU477" s="43">
        <f>IF(AND(F477&lt;&gt;"",Y477&lt;&gt;""),AA477/(F477/2/Y477),"")</f>
        <v>7.2106561420818949E-2</v>
      </c>
      <c r="AV477" s="43">
        <f>IF(AND(F477&lt;&gt;"",AJ477&lt;&gt;""),AL477/(F477/2/AJ477),"")</f>
        <v>9.0379871731623082E-2</v>
      </c>
      <c r="AW477" s="43">
        <f>IF(AND(AP477&lt;&gt;"",1-(AP477/N477)&gt;0),1-(AP477/N477),"")</f>
        <v>0.90106007067137805</v>
      </c>
      <c r="AX477" s="41">
        <f>IF(AND(AE477&lt;&gt;"",1-(AE477/N477)&gt;0),1-(AE477/N477),"")</f>
        <v>0.94346289752650181</v>
      </c>
      <c r="AY477" s="136" t="str">
        <f>IF(P477="","",IF(P477&lt;2.5,"Alc. Bruta &lt; 2,5 mg/L",IF(P477&lt;5,"2,5 ≤ Alc. Bruta &lt; 5,0 mg/L",IF(P477&lt;7.5,"5,0 ≤ Alc. Bruta &lt; 7,5 mg/L",IF(P477&lt;10,"7,5 ≤ Alc. Bruta &lt; 10,0 mg/L",IF(P477&lt;15,"10,0 ≤ Alca. Bruta &lt; 15,0 mg/L","Alc. Bruta &gt; 15 mg/L"))))))</f>
        <v>7,5 ≤ Alc. Bruta &lt; 10,0 mg/L</v>
      </c>
      <c r="AZ477" s="136" t="str">
        <f>IF(O477="","",IF(O477&lt;5,"Cor &lt;5 uC",IF(O477&lt;10,"5 ≤ Cor &lt; 10 uC",IF(O477&lt;15,"10 ≤ Cor &lt;15 uC",IF(O477&lt;30,"15 ≤ Cor &lt; 30 uC",IF(O477&lt;50,"30 ≤ Cor &lt; 50 uC","Cor &gt; 50 uC"))))))</f>
        <v>15 ≤ Cor &lt; 30 uC</v>
      </c>
      <c r="BA477" s="137" t="str">
        <f>IF(N477="","",IF(N477&lt;2.5,"Turbidez &lt; 2,5 uT",IF(N477&lt;5,"2,5 ≤ Turb &lt; 5,0 uT",IF(N477&lt;7.5,"5,0 ≤ Turb &lt; 7,5 uT",IF(N477&lt;10,"7,5 ≤ Turb &lt; 10,0 uT",IF(N477&lt;15,"10,0 ≤ Turb &lt; 15,0 uT","Turb &gt; 15 uT"))))))</f>
        <v>2,5 ≤ Turb &lt; 5,0 uT</v>
      </c>
      <c r="BB477" s="138" t="str">
        <f>IF(AND(C477&gt;D477,D477&gt;E477),"TOR &gt; SM &gt; BNN",IF(AND(C477&gt;E477,E477&gt;D477),"TOR &gt; BNN &gt; SM",IF(AND(D477&gt;C477,C477&gt;E477),"SM &gt; TOR &gt; BNN",IF(AND(D477&gt;E477,E477&gt;C477),"SM &gt; BNN &gt; TOR",IF(AND(C477=D477,D477=E477),"TOR = SM = BNN","Comb. diferentes")))))</f>
        <v>TOR &gt; BNN &gt; SM</v>
      </c>
      <c r="BC477" s="137" t="str">
        <f>IF(OR(AD477="",AP477="-"),"",IF(AD477&lt;=0.25,"Tipo 1 (≤0,25) uT",IF(AD477&lt;=0.5,"Tipo 2 (0,25-0,50) uT",IF(AD477&lt;=0.75,"Tipo 3 (0,50-0,75) uT","Tipo 4 (&gt;0,75) uT"))))</f>
        <v>Tipo 1 (≤0,25) uT</v>
      </c>
      <c r="BD477" s="137" t="str">
        <f>IF(OR(AO477="",AY477="-"),"",IF(AO477&lt;=0.25,"Tipo 1 (≤0,25) uT",IF(AO477&lt;=0.5,"Tipo 2 (0,25-0,50) uT",IF(AO477&lt;=0.75,"Tipo 3 (0,50-0,75) uT","Tipo 4 (&gt;0,75) uT"))))</f>
        <v>Tipo 1 (≤0,25) uT</v>
      </c>
      <c r="BE477" s="137" t="str">
        <f>IF(OR(AE477="",AP477="-"),"",IF(AE477&lt;=0.25,"Tipo 1 (≤0,25) uT",IF(AE477&lt;=0.5,"Tipo 2 (0,25-0,50) uT",IF(AE477&lt;=0.75,"Tipo 3 (0,50-0,75) uT","Tipo 4 (&gt;0,75) uT"))))</f>
        <v>Tipo 1 (≤0,25) uT</v>
      </c>
      <c r="BF477" s="137" t="str">
        <f>IF(OR(AP477="",AP477="-"),"",IF(AP477&lt;=0.25,"Tipo 1 (≤0,25) uT",IF(AP477&lt;=0.5,"Tipo 2 (0,25-0,50) uT",IF(AP477&lt;=0.75,"Tipo 3 (0,50-0,75) uT","Tipo 4 (&gt;0,75) uT"))))</f>
        <v>Tipo 2 (0,25-0,50) uT</v>
      </c>
      <c r="BG477" s="137" t="str">
        <f>IF(OR(Q477="",Q477="-"),"",IF(Q477&lt;=0.25,"Tipo 1 (≤0,25) uT",IF(Q477&lt;=0.5,"Tipo 2 (0,25-0,50) uT",IF(Q477&lt;=0.75,"Tipo 3 (0,50-0,75) uT","Tipo 4 (&gt;0,75) uT"))))</f>
        <v>Tipo 1 (≤0,25) uT</v>
      </c>
    </row>
    <row r="478" spans="1:59" x14ac:dyDescent="0.3">
      <c r="A478" s="26">
        <v>46176</v>
      </c>
      <c r="B478" s="107">
        <v>0.97916666666666663</v>
      </c>
      <c r="C478" s="116">
        <v>1433</v>
      </c>
      <c r="D478" s="116">
        <v>85</v>
      </c>
      <c r="E478" s="116">
        <v>500</v>
      </c>
      <c r="F478" s="116">
        <v>2033</v>
      </c>
      <c r="G478" s="10" t="s">
        <v>100</v>
      </c>
      <c r="H478" s="122">
        <v>7.3</v>
      </c>
      <c r="I478" s="116">
        <v>90</v>
      </c>
      <c r="J478" s="116">
        <v>90</v>
      </c>
      <c r="K478" s="116">
        <v>90</v>
      </c>
      <c r="L478" s="122">
        <v>22.3</v>
      </c>
      <c r="M478" s="122">
        <v>6.7</v>
      </c>
      <c r="N478" s="79">
        <v>2.9</v>
      </c>
      <c r="O478" s="116">
        <v>13</v>
      </c>
      <c r="P478" s="122">
        <v>7.5</v>
      </c>
      <c r="Q478" s="79">
        <v>0.1</v>
      </c>
      <c r="R478" s="79">
        <v>22.36</v>
      </c>
      <c r="S478" s="79">
        <v>0.88</v>
      </c>
      <c r="T478" s="79">
        <v>0.7</v>
      </c>
      <c r="U478" s="85">
        <f t="shared" si="58"/>
        <v>1357.0274999999999</v>
      </c>
      <c r="V478" s="79">
        <f t="shared" si="59"/>
        <v>1527.3540341799999</v>
      </c>
      <c r="W478" s="79">
        <f t="shared" si="60"/>
        <v>1.1255144307539824</v>
      </c>
      <c r="X478" s="116">
        <v>2</v>
      </c>
      <c r="Y478" s="116">
        <v>4</v>
      </c>
      <c r="Z478" s="122">
        <v>6.45</v>
      </c>
      <c r="AA478" s="116">
        <v>19.100000000000001</v>
      </c>
      <c r="AB478" s="122">
        <v>6.5</v>
      </c>
      <c r="AC478" s="122">
        <v>5.7</v>
      </c>
      <c r="AD478" s="10">
        <v>0.14000000000000001</v>
      </c>
      <c r="AE478" s="79">
        <v>0.21</v>
      </c>
      <c r="AF478" s="85">
        <f t="shared" si="61"/>
        <v>1357.0274999999999</v>
      </c>
      <c r="AG478" s="85">
        <f t="shared" si="62"/>
        <v>1861.6628317455993</v>
      </c>
      <c r="AH478" s="85">
        <f t="shared" si="63"/>
        <v>1.371868169027967</v>
      </c>
      <c r="AI478" s="116">
        <v>3</v>
      </c>
      <c r="AJ478" s="116">
        <v>4</v>
      </c>
      <c r="AK478" s="79">
        <v>6.52</v>
      </c>
      <c r="AL478" s="79">
        <v>22.97</v>
      </c>
      <c r="AM478" s="122">
        <v>6.6</v>
      </c>
      <c r="AN478" s="122">
        <v>6</v>
      </c>
      <c r="AO478" s="79">
        <v>0.12</v>
      </c>
      <c r="AP478" s="127">
        <v>0.27</v>
      </c>
      <c r="AQ478" s="132">
        <f t="shared" si="64"/>
        <v>2018</v>
      </c>
      <c r="AR478" s="134">
        <f t="shared" si="65"/>
        <v>0.71010901883052524</v>
      </c>
      <c r="AS478" s="134">
        <f t="shared" si="66"/>
        <v>4.2120911793855305E-2</v>
      </c>
      <c r="AT478" s="134">
        <f t="shared" si="67"/>
        <v>0.24777006937561943</v>
      </c>
      <c r="AU478" s="43">
        <f>IF(AND(F478&lt;&gt;"",Y478&lt;&gt;""),AA478/(F478/2/Y478),"")</f>
        <v>7.5159862272503694E-2</v>
      </c>
      <c r="AV478" s="43">
        <f>IF(AND(F478&lt;&gt;"",AJ478&lt;&gt;""),AL478/(F478/2/AJ478),"")</f>
        <v>9.0388588293162805E-2</v>
      </c>
      <c r="AW478" s="43">
        <f>IF(AND(AP478&lt;&gt;"",1-(AP478/N478)&gt;0),1-(AP478/N478),"")</f>
        <v>0.90689655172413797</v>
      </c>
      <c r="AX478" s="41">
        <f>IF(AND(AE478&lt;&gt;"",1-(AE478/N478)&gt;0),1-(AE478/N478),"")</f>
        <v>0.92758620689655169</v>
      </c>
      <c r="AY478" s="136" t="str">
        <f>IF(P478="","",IF(P478&lt;2.5,"Alc. Bruta &lt; 2,5 mg/L",IF(P478&lt;5,"2,5 ≤ Alc. Bruta &lt; 5,0 mg/L",IF(P478&lt;7.5,"5,0 ≤ Alc. Bruta &lt; 7,5 mg/L",IF(P478&lt;10,"7,5 ≤ Alc. Bruta &lt; 10,0 mg/L",IF(P478&lt;15,"10,0 ≤ Alca. Bruta &lt; 15,0 mg/L","Alc. Bruta &gt; 15 mg/L"))))))</f>
        <v>7,5 ≤ Alc. Bruta &lt; 10,0 mg/L</v>
      </c>
      <c r="AZ478" s="136" t="str">
        <f>IF(O478="","",IF(O478&lt;5,"Cor &lt;5 uC",IF(O478&lt;10,"5 ≤ Cor &lt; 10 uC",IF(O478&lt;15,"10 ≤ Cor &lt;15 uC",IF(O478&lt;30,"15 ≤ Cor &lt; 30 uC",IF(O478&lt;50,"30 ≤ Cor &lt; 50 uC","Cor &gt; 50 uC"))))))</f>
        <v>10 ≤ Cor &lt;15 uC</v>
      </c>
      <c r="BA478" s="137" t="str">
        <f>IF(N478="","",IF(N478&lt;2.5,"Turbidez &lt; 2,5 uT",IF(N478&lt;5,"2,5 ≤ Turb &lt; 5,0 uT",IF(N478&lt;7.5,"5,0 ≤ Turb &lt; 7,5 uT",IF(N478&lt;10,"7,5 ≤ Turb &lt; 10,0 uT",IF(N478&lt;15,"10,0 ≤ Turb &lt; 15,0 uT","Turb &gt; 15 uT"))))))</f>
        <v>2,5 ≤ Turb &lt; 5,0 uT</v>
      </c>
      <c r="BB478" s="138" t="str">
        <f>IF(AND(C478&gt;D478,D478&gt;E478),"TOR &gt; SM &gt; BNN",IF(AND(C478&gt;E478,E478&gt;D478),"TOR &gt; BNN &gt; SM",IF(AND(D478&gt;C478,C478&gt;E478),"SM &gt; TOR &gt; BNN",IF(AND(D478&gt;E478,E478&gt;C478),"SM &gt; BNN &gt; TOR",IF(AND(C478=D478,D478=E478),"TOR = SM = BNN","Comb. diferentes")))))</f>
        <v>TOR &gt; BNN &gt; SM</v>
      </c>
      <c r="BC478" s="137" t="str">
        <f>IF(OR(AD478="",AP478="-"),"",IF(AD478&lt;=0.25,"Tipo 1 (≤0,25) uT",IF(AD478&lt;=0.5,"Tipo 2 (0,25-0,50) uT",IF(AD478&lt;=0.75,"Tipo 3 (0,50-0,75) uT","Tipo 4 (&gt;0,75) uT"))))</f>
        <v>Tipo 1 (≤0,25) uT</v>
      </c>
      <c r="BD478" s="137" t="str">
        <f>IF(OR(AO478="",AY478="-"),"",IF(AO478&lt;=0.25,"Tipo 1 (≤0,25) uT",IF(AO478&lt;=0.5,"Tipo 2 (0,25-0,50) uT",IF(AO478&lt;=0.75,"Tipo 3 (0,50-0,75) uT","Tipo 4 (&gt;0,75) uT"))))</f>
        <v>Tipo 1 (≤0,25) uT</v>
      </c>
      <c r="BE478" s="137" t="str">
        <f>IF(OR(AE478="",AP478="-"),"",IF(AE478&lt;=0.25,"Tipo 1 (≤0,25) uT",IF(AE478&lt;=0.5,"Tipo 2 (0,25-0,50) uT",IF(AE478&lt;=0.75,"Tipo 3 (0,50-0,75) uT","Tipo 4 (&gt;0,75) uT"))))</f>
        <v>Tipo 1 (≤0,25) uT</v>
      </c>
      <c r="BF478" s="137" t="str">
        <f>IF(OR(AP478="",AP478="-"),"",IF(AP478&lt;=0.25,"Tipo 1 (≤0,25) uT",IF(AP478&lt;=0.5,"Tipo 2 (0,25-0,50) uT",IF(AP478&lt;=0.75,"Tipo 3 (0,50-0,75) uT","Tipo 4 (&gt;0,75) uT"))))</f>
        <v>Tipo 2 (0,25-0,50) uT</v>
      </c>
      <c r="BG478" s="137" t="str">
        <f>IF(OR(Q478="",Q478="-"),"",IF(Q478&lt;=0.25,"Tipo 1 (≤0,25) uT",IF(Q478&lt;=0.5,"Tipo 2 (0,25-0,50) uT",IF(Q478&lt;=0.75,"Tipo 3 (0,50-0,75) uT","Tipo 4 (&gt;0,75) uT"))))</f>
        <v>Tipo 1 (≤0,25) uT</v>
      </c>
    </row>
    <row r="479" spans="1:59" x14ac:dyDescent="0.3">
      <c r="A479" s="26">
        <v>46177</v>
      </c>
      <c r="B479" s="107">
        <v>6.25E-2</v>
      </c>
      <c r="C479" s="116">
        <v>1460</v>
      </c>
      <c r="D479" s="116">
        <v>84</v>
      </c>
      <c r="E479" s="116">
        <v>500</v>
      </c>
      <c r="F479" s="116">
        <v>2099</v>
      </c>
      <c r="G479" s="10" t="s">
        <v>100</v>
      </c>
      <c r="H479" s="122">
        <v>7.3</v>
      </c>
      <c r="I479" s="116">
        <v>90</v>
      </c>
      <c r="J479" s="116">
        <v>90</v>
      </c>
      <c r="K479" s="116">
        <v>90</v>
      </c>
      <c r="L479" s="122">
        <v>22.1</v>
      </c>
      <c r="M479" s="122">
        <v>6.7</v>
      </c>
      <c r="N479" s="79">
        <v>2.86</v>
      </c>
      <c r="O479" s="116">
        <v>14</v>
      </c>
      <c r="P479" s="122">
        <v>8.1</v>
      </c>
      <c r="Q479" s="79">
        <v>0.09</v>
      </c>
      <c r="R479" s="79">
        <v>22.36</v>
      </c>
      <c r="S479" s="79">
        <v>0.88</v>
      </c>
      <c r="T479" s="79">
        <v>0.7</v>
      </c>
      <c r="U479" s="85">
        <f t="shared" si="58"/>
        <v>1390.5874999999999</v>
      </c>
      <c r="V479" s="79">
        <f t="shared" si="59"/>
        <v>1497.5555352159997</v>
      </c>
      <c r="W479" s="79">
        <f t="shared" si="60"/>
        <v>1.0769229086382552</v>
      </c>
      <c r="X479" s="116">
        <v>2</v>
      </c>
      <c r="Y479" s="116">
        <v>4</v>
      </c>
      <c r="Z479" s="122">
        <v>6.43</v>
      </c>
      <c r="AA479" s="116">
        <v>18.8</v>
      </c>
      <c r="AB479" s="122">
        <v>6.5</v>
      </c>
      <c r="AC479" s="122">
        <v>6</v>
      </c>
      <c r="AD479" s="10">
        <v>0.14000000000000001</v>
      </c>
      <c r="AE479" s="79">
        <v>0.23</v>
      </c>
      <c r="AF479" s="85">
        <f t="shared" si="61"/>
        <v>1390.5874999999999</v>
      </c>
      <c r="AG479" s="85">
        <f t="shared" si="62"/>
        <v>1853.4347774799999</v>
      </c>
      <c r="AH479" s="85">
        <f t="shared" si="63"/>
        <v>1.3328429728298292</v>
      </c>
      <c r="AI479" s="116">
        <v>3</v>
      </c>
      <c r="AJ479" s="116">
        <v>4</v>
      </c>
      <c r="AK479" s="79">
        <v>6.49</v>
      </c>
      <c r="AL479" s="79">
        <v>23</v>
      </c>
      <c r="AM479" s="122">
        <v>6.5</v>
      </c>
      <c r="AN479" s="122">
        <v>6.1</v>
      </c>
      <c r="AO479" s="79">
        <v>0.1</v>
      </c>
      <c r="AP479" s="127">
        <v>0.28000000000000003</v>
      </c>
      <c r="AQ479" s="132">
        <f t="shared" si="64"/>
        <v>2044</v>
      </c>
      <c r="AR479" s="134">
        <f t="shared" si="65"/>
        <v>0.7142857142857143</v>
      </c>
      <c r="AS479" s="134">
        <f t="shared" si="66"/>
        <v>4.1095890410958902E-2</v>
      </c>
      <c r="AT479" s="134">
        <f t="shared" si="67"/>
        <v>0.2446183953033268</v>
      </c>
      <c r="AU479" s="43">
        <f>IF(AND(F479&lt;&gt;"",Y479&lt;&gt;""),AA479/(F479/2/Y479),"")</f>
        <v>7.165316817532158E-2</v>
      </c>
      <c r="AV479" s="43">
        <f>IF(AND(F479&lt;&gt;"",AJ479&lt;&gt;""),AL479/(F479/2/AJ479),"")</f>
        <v>8.7660790852787038E-2</v>
      </c>
      <c r="AW479" s="43">
        <f>IF(AND(AP479&lt;&gt;"",1-(AP479/N479)&gt;0),1-(AP479/N479),"")</f>
        <v>0.90209790209790208</v>
      </c>
      <c r="AX479" s="41">
        <f>IF(AND(AE479&lt;&gt;"",1-(AE479/N479)&gt;0),1-(AE479/N479),"")</f>
        <v>0.91958041958041958</v>
      </c>
      <c r="AY479" s="136" t="str">
        <f>IF(P479="","",IF(P479&lt;2.5,"Alc. Bruta &lt; 2,5 mg/L",IF(P479&lt;5,"2,5 ≤ Alc. Bruta &lt; 5,0 mg/L",IF(P479&lt;7.5,"5,0 ≤ Alc. Bruta &lt; 7,5 mg/L",IF(P479&lt;10,"7,5 ≤ Alc. Bruta &lt; 10,0 mg/L",IF(P479&lt;15,"10,0 ≤ Alca. Bruta &lt; 15,0 mg/L","Alc. Bruta &gt; 15 mg/L"))))))</f>
        <v>7,5 ≤ Alc. Bruta &lt; 10,0 mg/L</v>
      </c>
      <c r="AZ479" s="136" t="str">
        <f>IF(O479="","",IF(O479&lt;5,"Cor &lt;5 uC",IF(O479&lt;10,"5 ≤ Cor &lt; 10 uC",IF(O479&lt;15,"10 ≤ Cor &lt;15 uC",IF(O479&lt;30,"15 ≤ Cor &lt; 30 uC",IF(O479&lt;50,"30 ≤ Cor &lt; 50 uC","Cor &gt; 50 uC"))))))</f>
        <v>10 ≤ Cor &lt;15 uC</v>
      </c>
      <c r="BA479" s="137" t="str">
        <f>IF(N479="","",IF(N479&lt;2.5,"Turbidez &lt; 2,5 uT",IF(N479&lt;5,"2,5 ≤ Turb &lt; 5,0 uT",IF(N479&lt;7.5,"5,0 ≤ Turb &lt; 7,5 uT",IF(N479&lt;10,"7,5 ≤ Turb &lt; 10,0 uT",IF(N479&lt;15,"10,0 ≤ Turb &lt; 15,0 uT","Turb &gt; 15 uT"))))))</f>
        <v>2,5 ≤ Turb &lt; 5,0 uT</v>
      </c>
      <c r="BB479" s="138" t="str">
        <f>IF(AND(C479&gt;D479,D479&gt;E479),"TOR &gt; SM &gt; BNN",IF(AND(C479&gt;E479,E479&gt;D479),"TOR &gt; BNN &gt; SM",IF(AND(D479&gt;C479,C479&gt;E479),"SM &gt; TOR &gt; BNN",IF(AND(D479&gt;E479,E479&gt;C479),"SM &gt; BNN &gt; TOR",IF(AND(C479=D479,D479=E479),"TOR = SM = BNN","Comb. diferentes")))))</f>
        <v>TOR &gt; BNN &gt; SM</v>
      </c>
      <c r="BC479" s="137" t="str">
        <f>IF(OR(AD479="",AP479="-"),"",IF(AD479&lt;=0.25,"Tipo 1 (≤0,25) uT",IF(AD479&lt;=0.5,"Tipo 2 (0,25-0,50) uT",IF(AD479&lt;=0.75,"Tipo 3 (0,50-0,75) uT","Tipo 4 (&gt;0,75) uT"))))</f>
        <v>Tipo 1 (≤0,25) uT</v>
      </c>
      <c r="BD479" s="137" t="str">
        <f>IF(OR(AO479="",AY479="-"),"",IF(AO479&lt;=0.25,"Tipo 1 (≤0,25) uT",IF(AO479&lt;=0.5,"Tipo 2 (0,25-0,50) uT",IF(AO479&lt;=0.75,"Tipo 3 (0,50-0,75) uT","Tipo 4 (&gt;0,75) uT"))))</f>
        <v>Tipo 1 (≤0,25) uT</v>
      </c>
      <c r="BE479" s="137" t="str">
        <f>IF(OR(AE479="",AP479="-"),"",IF(AE479&lt;=0.25,"Tipo 1 (≤0,25) uT",IF(AE479&lt;=0.5,"Tipo 2 (0,25-0,50) uT",IF(AE479&lt;=0.75,"Tipo 3 (0,50-0,75) uT","Tipo 4 (&gt;0,75) uT"))))</f>
        <v>Tipo 1 (≤0,25) uT</v>
      </c>
      <c r="BF479" s="137" t="str">
        <f>IF(OR(AP479="",AP479="-"),"",IF(AP479&lt;=0.25,"Tipo 1 (≤0,25) uT",IF(AP479&lt;=0.5,"Tipo 2 (0,25-0,50) uT",IF(AP479&lt;=0.75,"Tipo 3 (0,50-0,75) uT","Tipo 4 (&gt;0,75) uT"))))</f>
        <v>Tipo 2 (0,25-0,50) uT</v>
      </c>
      <c r="BG479" s="137" t="str">
        <f>IF(OR(Q479="",Q479="-"),"",IF(Q479&lt;=0.25,"Tipo 1 (≤0,25) uT",IF(Q479&lt;=0.5,"Tipo 2 (0,25-0,50) uT",IF(Q479&lt;=0.75,"Tipo 3 (0,50-0,75) uT","Tipo 4 (&gt;0,75) uT"))))</f>
        <v>Tipo 1 (≤0,25) uT</v>
      </c>
    </row>
    <row r="480" spans="1:59" x14ac:dyDescent="0.3">
      <c r="A480" s="26">
        <v>46177</v>
      </c>
      <c r="B480" s="107">
        <v>0.14583333333333334</v>
      </c>
      <c r="C480" s="116">
        <v>1063</v>
      </c>
      <c r="D480" s="116">
        <v>91</v>
      </c>
      <c r="E480" s="116">
        <v>499</v>
      </c>
      <c r="F480" s="116">
        <v>1697</v>
      </c>
      <c r="G480" s="10" t="s">
        <v>100</v>
      </c>
      <c r="H480" s="122">
        <v>7.3</v>
      </c>
      <c r="I480" s="116">
        <v>90</v>
      </c>
      <c r="J480" s="116">
        <v>90</v>
      </c>
      <c r="K480" s="116">
        <v>90</v>
      </c>
      <c r="L480" s="122">
        <v>21.8</v>
      </c>
      <c r="M480" s="122">
        <v>6.8</v>
      </c>
      <c r="N480" s="79">
        <v>2.6</v>
      </c>
      <c r="O480" s="116">
        <v>13</v>
      </c>
      <c r="P480" s="122">
        <v>7.1</v>
      </c>
      <c r="Q480" s="79">
        <v>0.08</v>
      </c>
      <c r="R480" s="79">
        <v>22.36</v>
      </c>
      <c r="S480" s="79">
        <v>0.88</v>
      </c>
      <c r="T480" s="79">
        <v>0.7</v>
      </c>
      <c r="U480" s="85">
        <f t="shared" si="58"/>
        <v>1425.48</v>
      </c>
      <c r="V480" s="79">
        <f t="shared" si="59"/>
        <v>1488.84256768</v>
      </c>
      <c r="W480" s="79">
        <f t="shared" si="60"/>
        <v>1.0444499871481887</v>
      </c>
      <c r="X480" s="116">
        <v>2</v>
      </c>
      <c r="Y480" s="116">
        <v>3</v>
      </c>
      <c r="Z480" s="122">
        <v>6.4</v>
      </c>
      <c r="AA480" s="116">
        <v>18.8</v>
      </c>
      <c r="AB480" s="122">
        <v>6.5</v>
      </c>
      <c r="AC480" s="122">
        <v>6.8</v>
      </c>
      <c r="AD480" s="10">
        <v>0.19</v>
      </c>
      <c r="AE480" s="79">
        <v>0.25</v>
      </c>
      <c r="AF480" s="85">
        <f t="shared" si="61"/>
        <v>1425.48</v>
      </c>
      <c r="AG480" s="85">
        <f t="shared" si="62"/>
        <v>1861.3500294323999</v>
      </c>
      <c r="AH480" s="85">
        <f t="shared" si="63"/>
        <v>1.3057707084156915</v>
      </c>
      <c r="AI480" s="116">
        <v>2</v>
      </c>
      <c r="AJ480" s="116">
        <v>3</v>
      </c>
      <c r="AK480" s="79">
        <v>6.51</v>
      </c>
      <c r="AL480" s="79">
        <v>23.01</v>
      </c>
      <c r="AM480" s="122">
        <v>6.5</v>
      </c>
      <c r="AN480" s="122">
        <v>5.8</v>
      </c>
      <c r="AO480" s="79">
        <v>0.2</v>
      </c>
      <c r="AP480" s="127">
        <v>0.32</v>
      </c>
      <c r="AQ480" s="132">
        <f t="shared" si="64"/>
        <v>1653</v>
      </c>
      <c r="AR480" s="134">
        <f t="shared" si="65"/>
        <v>0.64307320024198422</v>
      </c>
      <c r="AS480" s="134">
        <f t="shared" si="66"/>
        <v>5.5051421657592255E-2</v>
      </c>
      <c r="AT480" s="134">
        <f t="shared" si="67"/>
        <v>0.30187537810042347</v>
      </c>
      <c r="AU480" s="43">
        <f>IF(AND(F480&lt;&gt;"",Y480&lt;&gt;""),AA480/(F480/2/Y480),"")</f>
        <v>6.6470241602828523E-2</v>
      </c>
      <c r="AV480" s="43">
        <f>IF(AND(F480&lt;&gt;"",AJ480&lt;&gt;""),AL480/(F480/2/AJ480),"")</f>
        <v>8.1355332940483222E-2</v>
      </c>
      <c r="AW480" s="43">
        <f>IF(AND(AP480&lt;&gt;"",1-(AP480/N480)&gt;0),1-(AP480/N480),"")</f>
        <v>0.87692307692307692</v>
      </c>
      <c r="AX480" s="41">
        <f>IF(AND(AE480&lt;&gt;"",1-(AE480/N480)&gt;0),1-(AE480/N480),"")</f>
        <v>0.90384615384615385</v>
      </c>
      <c r="AY480" s="136" t="str">
        <f>IF(P480="","",IF(P480&lt;2.5,"Alc. Bruta &lt; 2,5 mg/L",IF(P480&lt;5,"2,5 ≤ Alc. Bruta &lt; 5,0 mg/L",IF(P480&lt;7.5,"5,0 ≤ Alc. Bruta &lt; 7,5 mg/L",IF(P480&lt;10,"7,5 ≤ Alc. Bruta &lt; 10,0 mg/L",IF(P480&lt;15,"10,0 ≤ Alca. Bruta &lt; 15,0 mg/L","Alc. Bruta &gt; 15 mg/L"))))))</f>
        <v>5,0 ≤ Alc. Bruta &lt; 7,5 mg/L</v>
      </c>
      <c r="AZ480" s="136" t="str">
        <f>IF(O480="","",IF(O480&lt;5,"Cor &lt;5 uC",IF(O480&lt;10,"5 ≤ Cor &lt; 10 uC",IF(O480&lt;15,"10 ≤ Cor &lt;15 uC",IF(O480&lt;30,"15 ≤ Cor &lt; 30 uC",IF(O480&lt;50,"30 ≤ Cor &lt; 50 uC","Cor &gt; 50 uC"))))))</f>
        <v>10 ≤ Cor &lt;15 uC</v>
      </c>
      <c r="BA480" s="137" t="str">
        <f>IF(N480="","",IF(N480&lt;2.5,"Turbidez &lt; 2,5 uT",IF(N480&lt;5,"2,5 ≤ Turb &lt; 5,0 uT",IF(N480&lt;7.5,"5,0 ≤ Turb &lt; 7,5 uT",IF(N480&lt;10,"7,5 ≤ Turb &lt; 10,0 uT",IF(N480&lt;15,"10,0 ≤ Turb &lt; 15,0 uT","Turb &gt; 15 uT"))))))</f>
        <v>2,5 ≤ Turb &lt; 5,0 uT</v>
      </c>
      <c r="BB480" s="138" t="str">
        <f>IF(AND(C480&gt;D480,D480&gt;E480),"TOR &gt; SM &gt; BNN",IF(AND(C480&gt;E480,E480&gt;D480),"TOR &gt; BNN &gt; SM",IF(AND(D480&gt;C480,C480&gt;E480),"SM &gt; TOR &gt; BNN",IF(AND(D480&gt;E480,E480&gt;C480),"SM &gt; BNN &gt; TOR",IF(AND(C480=D480,D480=E480),"TOR = SM = BNN","Comb. diferentes")))))</f>
        <v>TOR &gt; BNN &gt; SM</v>
      </c>
      <c r="BC480" s="137" t="str">
        <f>IF(OR(AD480="",AP480="-"),"",IF(AD480&lt;=0.25,"Tipo 1 (≤0,25) uT",IF(AD480&lt;=0.5,"Tipo 2 (0,25-0,50) uT",IF(AD480&lt;=0.75,"Tipo 3 (0,50-0,75) uT","Tipo 4 (&gt;0,75) uT"))))</f>
        <v>Tipo 1 (≤0,25) uT</v>
      </c>
      <c r="BD480" s="137" t="str">
        <f>IF(OR(AO480="",AY480="-"),"",IF(AO480&lt;=0.25,"Tipo 1 (≤0,25) uT",IF(AO480&lt;=0.5,"Tipo 2 (0,25-0,50) uT",IF(AO480&lt;=0.75,"Tipo 3 (0,50-0,75) uT","Tipo 4 (&gt;0,75) uT"))))</f>
        <v>Tipo 1 (≤0,25) uT</v>
      </c>
      <c r="BE480" s="137" t="str">
        <f>IF(OR(AE480="",AP480="-"),"",IF(AE480&lt;=0.25,"Tipo 1 (≤0,25) uT",IF(AE480&lt;=0.5,"Tipo 2 (0,25-0,50) uT",IF(AE480&lt;=0.75,"Tipo 3 (0,50-0,75) uT","Tipo 4 (&gt;0,75) uT"))))</f>
        <v>Tipo 1 (≤0,25) uT</v>
      </c>
      <c r="BF480" s="137" t="str">
        <f>IF(OR(AP480="",AP480="-"),"",IF(AP480&lt;=0.25,"Tipo 1 (≤0,25) uT",IF(AP480&lt;=0.5,"Tipo 2 (0,25-0,50) uT",IF(AP480&lt;=0.75,"Tipo 3 (0,50-0,75) uT","Tipo 4 (&gt;0,75) uT"))))</f>
        <v>Tipo 2 (0,25-0,50) uT</v>
      </c>
      <c r="BG480" s="137" t="str">
        <f>IF(OR(Q480="",Q480="-"),"",IF(Q480&lt;=0.25,"Tipo 1 (≤0,25) uT",IF(Q480&lt;=0.5,"Tipo 2 (0,25-0,50) uT",IF(Q480&lt;=0.75,"Tipo 3 (0,50-0,75) uT","Tipo 4 (&gt;0,75) uT"))))</f>
        <v>Tipo 1 (≤0,25) uT</v>
      </c>
    </row>
    <row r="481" spans="1:59" ht="15" thickBot="1" x14ac:dyDescent="0.35">
      <c r="A481" s="26">
        <v>46177</v>
      </c>
      <c r="B481" s="110">
        <v>0.22916666666666666</v>
      </c>
      <c r="C481" s="117">
        <v>1028</v>
      </c>
      <c r="D481" s="117">
        <v>87</v>
      </c>
      <c r="E481" s="117">
        <v>499</v>
      </c>
      <c r="F481" s="117">
        <v>1775</v>
      </c>
      <c r="G481" s="11" t="s">
        <v>100</v>
      </c>
      <c r="H481" s="123">
        <v>7.3</v>
      </c>
      <c r="I481" s="117">
        <v>90</v>
      </c>
      <c r="J481" s="117">
        <v>90</v>
      </c>
      <c r="K481" s="117">
        <v>90</v>
      </c>
      <c r="L481" s="123">
        <v>21.6</v>
      </c>
      <c r="M481" s="123">
        <v>6.7</v>
      </c>
      <c r="N481" s="80">
        <v>3.09</v>
      </c>
      <c r="O481" s="117">
        <v>14</v>
      </c>
      <c r="P481" s="123">
        <v>8.6999999999999993</v>
      </c>
      <c r="Q481" s="80">
        <v>0.08</v>
      </c>
      <c r="R481" s="79">
        <v>22.36</v>
      </c>
      <c r="S481" s="79">
        <v>0.88</v>
      </c>
      <c r="T481" s="79">
        <v>0.7</v>
      </c>
      <c r="U481" s="85">
        <f t="shared" si="58"/>
        <v>1635.958333333333</v>
      </c>
      <c r="V481" s="79">
        <f t="shared" si="59"/>
        <v>1505.5212561479996</v>
      </c>
      <c r="W481" s="79">
        <f t="shared" si="60"/>
        <v>0.92026870457051158</v>
      </c>
      <c r="X481" s="117">
        <v>2</v>
      </c>
      <c r="Y481" s="117">
        <v>3</v>
      </c>
      <c r="Z481" s="123">
        <v>6.43</v>
      </c>
      <c r="AA481" s="117">
        <v>18.899999999999999</v>
      </c>
      <c r="AB481" s="122">
        <v>6.5</v>
      </c>
      <c r="AC481" s="123">
        <v>6.9</v>
      </c>
      <c r="AD481" s="11">
        <v>0.23</v>
      </c>
      <c r="AE481" s="80">
        <v>0.28000000000000003</v>
      </c>
      <c r="AF481" s="85">
        <f t="shared" si="61"/>
        <v>1635.958333333333</v>
      </c>
      <c r="AG481" s="85">
        <f t="shared" si="62"/>
        <v>1859.2314044511995</v>
      </c>
      <c r="AH481" s="85">
        <f t="shared" si="63"/>
        <v>1.1364784582642384</v>
      </c>
      <c r="AI481" s="117">
        <v>2</v>
      </c>
      <c r="AJ481" s="117">
        <v>3</v>
      </c>
      <c r="AK481" s="80">
        <v>6.52</v>
      </c>
      <c r="AL481" s="80">
        <v>22.94</v>
      </c>
      <c r="AM481" s="123">
        <v>6.6</v>
      </c>
      <c r="AN481" s="123">
        <v>6.5</v>
      </c>
      <c r="AO481" s="80">
        <v>0.14000000000000001</v>
      </c>
      <c r="AP481" s="128">
        <v>0.3</v>
      </c>
      <c r="AQ481" s="132">
        <f t="shared" si="64"/>
        <v>1614</v>
      </c>
      <c r="AR481" s="134">
        <f t="shared" si="65"/>
        <v>0.63692688971499378</v>
      </c>
      <c r="AS481" s="134">
        <f t="shared" si="66"/>
        <v>5.3903345724907063E-2</v>
      </c>
      <c r="AT481" s="134">
        <f t="shared" si="67"/>
        <v>0.30916976456009915</v>
      </c>
      <c r="AU481" s="43">
        <f>IF(AND(F481&lt;&gt;"",Y481&lt;&gt;""),AA481/(F481/2/Y481),"")</f>
        <v>6.3887323943661978E-2</v>
      </c>
      <c r="AV481" s="43">
        <f>IF(AND(F481&lt;&gt;"",AJ481&lt;&gt;""),AL481/(F481/2/AJ481),"")</f>
        <v>7.7543661971830991E-2</v>
      </c>
      <c r="AW481" s="43">
        <f>IF(AND(AP481&lt;&gt;"",1-(AP481/N481)&gt;0),1-(AP481/N481),"")</f>
        <v>0.90291262135922334</v>
      </c>
      <c r="AX481" s="41">
        <f>IF(AND(AE481&lt;&gt;"",1-(AE481/N481)&gt;0),1-(AE481/N481),"")</f>
        <v>0.90938511326860838</v>
      </c>
      <c r="AY481" s="136" t="str">
        <f>IF(P481="","",IF(P481&lt;2.5,"Alc. Bruta &lt; 2,5 mg/L",IF(P481&lt;5,"2,5 ≤ Alc. Bruta &lt; 5,0 mg/L",IF(P481&lt;7.5,"5,0 ≤ Alc. Bruta &lt; 7,5 mg/L",IF(P481&lt;10,"7,5 ≤ Alc. Bruta &lt; 10,0 mg/L",IF(P481&lt;15,"10,0 ≤ Alca. Bruta &lt; 15,0 mg/L","Alc. Bruta &gt; 15 mg/L"))))))</f>
        <v>7,5 ≤ Alc. Bruta &lt; 10,0 mg/L</v>
      </c>
      <c r="AZ481" s="136" t="str">
        <f>IF(O481="","",IF(O481&lt;5,"Cor &lt;5 uC",IF(O481&lt;10,"5 ≤ Cor &lt; 10 uC",IF(O481&lt;15,"10 ≤ Cor &lt;15 uC",IF(O481&lt;30,"15 ≤ Cor &lt; 30 uC",IF(O481&lt;50,"30 ≤ Cor &lt; 50 uC","Cor &gt; 50 uC"))))))</f>
        <v>10 ≤ Cor &lt;15 uC</v>
      </c>
      <c r="BA481" s="137" t="str">
        <f>IF(N481="","",IF(N481&lt;2.5,"Turbidez &lt; 2,5 uT",IF(N481&lt;5,"2,5 ≤ Turb &lt; 5,0 uT",IF(N481&lt;7.5,"5,0 ≤ Turb &lt; 7,5 uT",IF(N481&lt;10,"7,5 ≤ Turb &lt; 10,0 uT",IF(N481&lt;15,"10,0 ≤ Turb &lt; 15,0 uT","Turb &gt; 15 uT"))))))</f>
        <v>2,5 ≤ Turb &lt; 5,0 uT</v>
      </c>
      <c r="BB481" s="138" t="str">
        <f>IF(AND(C481&gt;D481,D481&gt;E481),"TOR &gt; SM &gt; BNN",IF(AND(C481&gt;E481,E481&gt;D481),"TOR &gt; BNN &gt; SM",IF(AND(D481&gt;C481,C481&gt;E481),"SM &gt; TOR &gt; BNN",IF(AND(D481&gt;E481,E481&gt;C481),"SM &gt; BNN &gt; TOR",IF(AND(C481=D481,D481=E481),"TOR = SM = BNN","Comb. diferentes")))))</f>
        <v>TOR &gt; BNN &gt; SM</v>
      </c>
      <c r="BC481" s="137" t="str">
        <f>IF(OR(AD481="",AP481="-"),"",IF(AD481&lt;=0.25,"Tipo 1 (≤0,25) uT",IF(AD481&lt;=0.5,"Tipo 2 (0,25-0,50) uT",IF(AD481&lt;=0.75,"Tipo 3 (0,50-0,75) uT","Tipo 4 (&gt;0,75) uT"))))</f>
        <v>Tipo 1 (≤0,25) uT</v>
      </c>
      <c r="BD481" s="137" t="str">
        <f>IF(OR(AO481="",AY481="-"),"",IF(AO481&lt;=0.25,"Tipo 1 (≤0,25) uT",IF(AO481&lt;=0.5,"Tipo 2 (0,25-0,50) uT",IF(AO481&lt;=0.75,"Tipo 3 (0,50-0,75) uT","Tipo 4 (&gt;0,75) uT"))))</f>
        <v>Tipo 1 (≤0,25) uT</v>
      </c>
      <c r="BE481" s="137" t="str">
        <f>IF(OR(AE481="",AP481="-"),"",IF(AE481&lt;=0.25,"Tipo 1 (≤0,25) uT",IF(AE481&lt;=0.5,"Tipo 2 (0,25-0,50) uT",IF(AE481&lt;=0.75,"Tipo 3 (0,50-0,75) uT","Tipo 4 (&gt;0,75) uT"))))</f>
        <v>Tipo 2 (0,25-0,50) uT</v>
      </c>
      <c r="BF481" s="137" t="str">
        <f>IF(OR(AP481="",AP481="-"),"",IF(AP481&lt;=0.25,"Tipo 1 (≤0,25) uT",IF(AP481&lt;=0.5,"Tipo 2 (0,25-0,50) uT",IF(AP481&lt;=0.75,"Tipo 3 (0,50-0,75) uT","Tipo 4 (&gt;0,75) uT"))))</f>
        <v>Tipo 2 (0,25-0,50) uT</v>
      </c>
      <c r="BG481" s="137" t="str">
        <f>IF(OR(Q481="",Q481="-"),"",IF(Q481&lt;=0.25,"Tipo 1 (≤0,25) uT",IF(Q481&lt;=0.5,"Tipo 2 (0,25-0,50) uT",IF(Q481&lt;=0.75,"Tipo 3 (0,50-0,75) uT","Tipo 4 (&gt;0,75) uT"))))</f>
        <v>Tipo 1 (≤0,25) uT</v>
      </c>
    </row>
    <row r="482" spans="1:59" x14ac:dyDescent="0.3">
      <c r="A482" s="26">
        <v>46177</v>
      </c>
      <c r="B482" s="111">
        <v>0.3125</v>
      </c>
      <c r="C482" s="118">
        <v>1102</v>
      </c>
      <c r="D482" s="116">
        <v>90</v>
      </c>
      <c r="E482" s="118">
        <v>499</v>
      </c>
      <c r="F482" s="118">
        <v>1775</v>
      </c>
      <c r="G482" s="9" t="s">
        <v>100</v>
      </c>
      <c r="H482" s="124">
        <v>7.3</v>
      </c>
      <c r="I482" s="118">
        <v>90</v>
      </c>
      <c r="J482" s="118">
        <v>90</v>
      </c>
      <c r="K482" s="118">
        <v>90</v>
      </c>
      <c r="L482" s="124">
        <v>21.5</v>
      </c>
      <c r="M482" s="124">
        <v>6.8</v>
      </c>
      <c r="N482" s="81">
        <v>2.88</v>
      </c>
      <c r="O482" s="118">
        <v>13</v>
      </c>
      <c r="P482" s="124">
        <v>7.3</v>
      </c>
      <c r="Q482" s="81">
        <v>0.08</v>
      </c>
      <c r="R482" s="79">
        <v>22.36</v>
      </c>
      <c r="S482" s="79">
        <v>0.88</v>
      </c>
      <c r="T482" s="79">
        <v>0.7</v>
      </c>
      <c r="U482" s="85">
        <f t="shared" si="58"/>
        <v>1573.8333333333333</v>
      </c>
      <c r="V482" s="79">
        <f t="shared" si="59"/>
        <v>1608.5927103999998</v>
      </c>
      <c r="W482" s="79">
        <f t="shared" si="60"/>
        <v>1.022085805612623</v>
      </c>
      <c r="X482" s="118">
        <v>2</v>
      </c>
      <c r="Y482" s="118">
        <v>3</v>
      </c>
      <c r="Z482" s="124">
        <v>6.48</v>
      </c>
      <c r="AA482" s="118">
        <v>20</v>
      </c>
      <c r="AB482" s="124">
        <v>6.6</v>
      </c>
      <c r="AC482" s="124">
        <v>6</v>
      </c>
      <c r="AD482" s="9">
        <v>0.16</v>
      </c>
      <c r="AE482" s="81">
        <v>0.31</v>
      </c>
      <c r="AF482" s="85">
        <f t="shared" si="61"/>
        <v>1573.8333333333333</v>
      </c>
      <c r="AG482" s="85">
        <f t="shared" si="62"/>
        <v>1821.4563327999999</v>
      </c>
      <c r="AH482" s="85">
        <f t="shared" si="63"/>
        <v>1.1573374983373927</v>
      </c>
      <c r="AI482" s="118">
        <v>2</v>
      </c>
      <c r="AJ482" s="118">
        <v>3</v>
      </c>
      <c r="AK482" s="81">
        <v>6.4</v>
      </c>
      <c r="AL482" s="81">
        <v>23</v>
      </c>
      <c r="AM482" s="124">
        <v>6.5</v>
      </c>
      <c r="AN482" s="124">
        <v>5.6</v>
      </c>
      <c r="AO482" s="81">
        <v>0.15</v>
      </c>
      <c r="AP482" s="129">
        <v>0.32</v>
      </c>
      <c r="AQ482" s="132">
        <f t="shared" si="64"/>
        <v>1691</v>
      </c>
      <c r="AR482" s="134">
        <f t="shared" si="65"/>
        <v>0.651685393258427</v>
      </c>
      <c r="AS482" s="134">
        <f t="shared" si="66"/>
        <v>5.322294500295683E-2</v>
      </c>
      <c r="AT482" s="134">
        <f t="shared" si="67"/>
        <v>0.29509166173861623</v>
      </c>
      <c r="AU482" s="43">
        <f>IF(AND(F482&lt;&gt;"",Y482&lt;&gt;""),AA482/(F482/2/Y482),"")</f>
        <v>6.7605633802816908E-2</v>
      </c>
      <c r="AV482" s="43">
        <f>IF(AND(F482&lt;&gt;"",AJ482&lt;&gt;""),AL482/(F482/2/AJ482),"")</f>
        <v>7.7746478873239447E-2</v>
      </c>
      <c r="AW482" s="43">
        <f>IF(AND(AP482&lt;&gt;"",1-(AP482/N482)&gt;0),1-(AP482/N482),"")</f>
        <v>0.88888888888888884</v>
      </c>
      <c r="AX482" s="41">
        <f>IF(AND(AE482&lt;&gt;"",1-(AE482/N482)&gt;0),1-(AE482/N482),"")</f>
        <v>0.89236111111111116</v>
      </c>
      <c r="AY482" s="136" t="str">
        <f>IF(P482="","",IF(P482&lt;2.5,"Alc. Bruta &lt; 2,5 mg/L",IF(P482&lt;5,"2,5 ≤ Alc. Bruta &lt; 5,0 mg/L",IF(P482&lt;7.5,"5,0 ≤ Alc. Bruta &lt; 7,5 mg/L",IF(P482&lt;10,"7,5 ≤ Alc. Bruta &lt; 10,0 mg/L",IF(P482&lt;15,"10,0 ≤ Alca. Bruta &lt; 15,0 mg/L","Alc. Bruta &gt; 15 mg/L"))))))</f>
        <v>5,0 ≤ Alc. Bruta &lt; 7,5 mg/L</v>
      </c>
      <c r="AZ482" s="136" t="str">
        <f>IF(O482="","",IF(O482&lt;5,"Cor &lt;5 uC",IF(O482&lt;10,"5 ≤ Cor &lt; 10 uC",IF(O482&lt;15,"10 ≤ Cor &lt;15 uC",IF(O482&lt;30,"15 ≤ Cor &lt; 30 uC",IF(O482&lt;50,"30 ≤ Cor &lt; 50 uC","Cor &gt; 50 uC"))))))</f>
        <v>10 ≤ Cor &lt;15 uC</v>
      </c>
      <c r="BA482" s="137" t="str">
        <f>IF(N482="","",IF(N482&lt;2.5,"Turbidez &lt; 2,5 uT",IF(N482&lt;5,"2,5 ≤ Turb &lt; 5,0 uT",IF(N482&lt;7.5,"5,0 ≤ Turb &lt; 7,5 uT",IF(N482&lt;10,"7,5 ≤ Turb &lt; 10,0 uT",IF(N482&lt;15,"10,0 ≤ Turb &lt; 15,0 uT","Turb &gt; 15 uT"))))))</f>
        <v>2,5 ≤ Turb &lt; 5,0 uT</v>
      </c>
      <c r="BB482" s="138" t="str">
        <f>IF(AND(C482&gt;D482,D482&gt;E482),"TOR &gt; SM &gt; BNN",IF(AND(C482&gt;E482,E482&gt;D482),"TOR &gt; BNN &gt; SM",IF(AND(D482&gt;C482,C482&gt;E482),"SM &gt; TOR &gt; BNN",IF(AND(D482&gt;E482,E482&gt;C482),"SM &gt; BNN &gt; TOR",IF(AND(C482=D482,D482=E482),"TOR = SM = BNN","Comb. diferentes")))))</f>
        <v>TOR &gt; BNN &gt; SM</v>
      </c>
      <c r="BC482" s="137" t="str">
        <f>IF(OR(AD482="",AP482="-"),"",IF(AD482&lt;=0.25,"Tipo 1 (≤0,25) uT",IF(AD482&lt;=0.5,"Tipo 2 (0,25-0,50) uT",IF(AD482&lt;=0.75,"Tipo 3 (0,50-0,75) uT","Tipo 4 (&gt;0,75) uT"))))</f>
        <v>Tipo 1 (≤0,25) uT</v>
      </c>
      <c r="BD482" s="137" t="str">
        <f>IF(OR(AO482="",AY482="-"),"",IF(AO482&lt;=0.25,"Tipo 1 (≤0,25) uT",IF(AO482&lt;=0.5,"Tipo 2 (0,25-0,50) uT",IF(AO482&lt;=0.75,"Tipo 3 (0,50-0,75) uT","Tipo 4 (&gt;0,75) uT"))))</f>
        <v>Tipo 1 (≤0,25) uT</v>
      </c>
      <c r="BE482" s="137" t="str">
        <f>IF(OR(AE482="",AP482="-"),"",IF(AE482&lt;=0.25,"Tipo 1 (≤0,25) uT",IF(AE482&lt;=0.5,"Tipo 2 (0,25-0,50) uT",IF(AE482&lt;=0.75,"Tipo 3 (0,50-0,75) uT","Tipo 4 (&gt;0,75) uT"))))</f>
        <v>Tipo 2 (0,25-0,50) uT</v>
      </c>
      <c r="BF482" s="137" t="str">
        <f>IF(OR(AP482="",AP482="-"),"",IF(AP482&lt;=0.25,"Tipo 1 (≤0,25) uT",IF(AP482&lt;=0.5,"Tipo 2 (0,25-0,50) uT",IF(AP482&lt;=0.75,"Tipo 3 (0,50-0,75) uT","Tipo 4 (&gt;0,75) uT"))))</f>
        <v>Tipo 2 (0,25-0,50) uT</v>
      </c>
      <c r="BG482" s="137" t="str">
        <f>IF(OR(Q482="",Q482="-"),"",IF(Q482&lt;=0.25,"Tipo 1 (≤0,25) uT",IF(Q482&lt;=0.5,"Tipo 2 (0,25-0,50) uT",IF(Q482&lt;=0.75,"Tipo 3 (0,50-0,75) uT","Tipo 4 (&gt;0,75) uT"))))</f>
        <v>Tipo 1 (≤0,25) uT</v>
      </c>
    </row>
    <row r="483" spans="1:59" x14ac:dyDescent="0.3">
      <c r="A483" s="26">
        <v>46177</v>
      </c>
      <c r="B483" s="113">
        <v>0.39583333333333331</v>
      </c>
      <c r="C483" s="119">
        <v>1087</v>
      </c>
      <c r="D483" s="116">
        <v>79</v>
      </c>
      <c r="E483" s="119">
        <v>500</v>
      </c>
      <c r="F483" s="119">
        <v>1735</v>
      </c>
      <c r="G483" s="44" t="s">
        <v>100</v>
      </c>
      <c r="H483" s="125">
        <v>7.3</v>
      </c>
      <c r="I483" s="119">
        <v>90</v>
      </c>
      <c r="J483" s="119">
        <v>90</v>
      </c>
      <c r="K483" s="119">
        <v>90</v>
      </c>
      <c r="L483" s="125">
        <v>21.5</v>
      </c>
      <c r="M483" s="125">
        <v>6.7</v>
      </c>
      <c r="N483" s="82">
        <v>2.87</v>
      </c>
      <c r="O483" s="119">
        <v>13</v>
      </c>
      <c r="P483" s="125">
        <v>7.1</v>
      </c>
      <c r="Q483" s="82">
        <v>0.09</v>
      </c>
      <c r="R483" s="79">
        <v>22.36</v>
      </c>
      <c r="S483" s="79">
        <v>0.88</v>
      </c>
      <c r="T483" s="79">
        <v>0.7</v>
      </c>
      <c r="U483" s="85">
        <f t="shared" si="58"/>
        <v>1535.4750000000001</v>
      </c>
      <c r="V483" s="79">
        <f t="shared" si="59"/>
        <v>1534.0335140000002</v>
      </c>
      <c r="W483" s="79">
        <f t="shared" si="60"/>
        <v>0.99906121167716833</v>
      </c>
      <c r="X483" s="119">
        <v>2</v>
      </c>
      <c r="Y483" s="119">
        <v>3</v>
      </c>
      <c r="Z483" s="125">
        <v>6.5</v>
      </c>
      <c r="AA483" s="119">
        <v>19</v>
      </c>
      <c r="AB483" s="125">
        <v>6.6</v>
      </c>
      <c r="AC483" s="125">
        <v>6.1</v>
      </c>
      <c r="AD483" s="44">
        <v>0.18</v>
      </c>
      <c r="AE483" s="82">
        <v>0.25</v>
      </c>
      <c r="AF483" s="85">
        <f t="shared" si="61"/>
        <v>1535.4750000000001</v>
      </c>
      <c r="AG483" s="85">
        <f t="shared" si="62"/>
        <v>1759.2559555999999</v>
      </c>
      <c r="AH483" s="85">
        <f t="shared" si="63"/>
        <v>1.1457405399632035</v>
      </c>
      <c r="AI483" s="119">
        <v>2</v>
      </c>
      <c r="AJ483" s="119">
        <v>3</v>
      </c>
      <c r="AK483" s="82">
        <v>6.45</v>
      </c>
      <c r="AL483" s="82">
        <v>22</v>
      </c>
      <c r="AM483" s="125">
        <v>6.5</v>
      </c>
      <c r="AN483" s="125">
        <v>5.8</v>
      </c>
      <c r="AO483" s="82">
        <v>0.17</v>
      </c>
      <c r="AP483" s="130">
        <v>0.3</v>
      </c>
      <c r="AQ483" s="132">
        <f t="shared" si="64"/>
        <v>1666</v>
      </c>
      <c r="AR483" s="134">
        <f t="shared" si="65"/>
        <v>0.65246098439375755</v>
      </c>
      <c r="AS483" s="134">
        <f t="shared" si="66"/>
        <v>4.7418967587034816E-2</v>
      </c>
      <c r="AT483" s="134">
        <f t="shared" si="67"/>
        <v>0.30012004801920766</v>
      </c>
      <c r="AU483" s="43">
        <f>IF(AND(F483&lt;&gt;"",Y483&lt;&gt;""),AA483/(F483/2/Y483),"")</f>
        <v>6.5706051873198848E-2</v>
      </c>
      <c r="AV483" s="43">
        <f>IF(AND(F483&lt;&gt;"",AJ483&lt;&gt;""),AL483/(F483/2/AJ483),"")</f>
        <v>7.6080691642651285E-2</v>
      </c>
      <c r="AW483" s="43">
        <f>IF(AND(AP483&lt;&gt;"",1-(AP483/N483)&gt;0),1-(AP483/N483),"")</f>
        <v>0.89547038327526129</v>
      </c>
      <c r="AX483" s="41">
        <f>IF(AND(AE483&lt;&gt;"",1-(AE483/N483)&gt;0),1-(AE483/N483),"")</f>
        <v>0.91289198606271782</v>
      </c>
      <c r="AY483" s="136" t="str">
        <f>IF(P483="","",IF(P483&lt;2.5,"Alc. Bruta &lt; 2,5 mg/L",IF(P483&lt;5,"2,5 ≤ Alc. Bruta &lt; 5,0 mg/L",IF(P483&lt;7.5,"5,0 ≤ Alc. Bruta &lt; 7,5 mg/L",IF(P483&lt;10,"7,5 ≤ Alc. Bruta &lt; 10,0 mg/L",IF(P483&lt;15,"10,0 ≤ Alca. Bruta &lt; 15,0 mg/L","Alc. Bruta &gt; 15 mg/L"))))))</f>
        <v>5,0 ≤ Alc. Bruta &lt; 7,5 mg/L</v>
      </c>
      <c r="AZ483" s="136" t="str">
        <f>IF(O483="","",IF(O483&lt;5,"Cor &lt;5 uC",IF(O483&lt;10,"5 ≤ Cor &lt; 10 uC",IF(O483&lt;15,"10 ≤ Cor &lt;15 uC",IF(O483&lt;30,"15 ≤ Cor &lt; 30 uC",IF(O483&lt;50,"30 ≤ Cor &lt; 50 uC","Cor &gt; 50 uC"))))))</f>
        <v>10 ≤ Cor &lt;15 uC</v>
      </c>
      <c r="BA483" s="137" t="str">
        <f>IF(N483="","",IF(N483&lt;2.5,"Turbidez &lt; 2,5 uT",IF(N483&lt;5,"2,5 ≤ Turb &lt; 5,0 uT",IF(N483&lt;7.5,"5,0 ≤ Turb &lt; 7,5 uT",IF(N483&lt;10,"7,5 ≤ Turb &lt; 10,0 uT",IF(N483&lt;15,"10,0 ≤ Turb &lt; 15,0 uT","Turb &gt; 15 uT"))))))</f>
        <v>2,5 ≤ Turb &lt; 5,0 uT</v>
      </c>
      <c r="BB483" s="138" t="str">
        <f>IF(AND(C483&gt;D483,D483&gt;E483),"TOR &gt; SM &gt; BNN",IF(AND(C483&gt;E483,E483&gt;D483),"TOR &gt; BNN &gt; SM",IF(AND(D483&gt;C483,C483&gt;E483),"SM &gt; TOR &gt; BNN",IF(AND(D483&gt;E483,E483&gt;C483),"SM &gt; BNN &gt; TOR",IF(AND(C483=D483,D483=E483),"TOR = SM = BNN","Comb. diferentes")))))</f>
        <v>TOR &gt; BNN &gt; SM</v>
      </c>
      <c r="BC483" s="137" t="str">
        <f>IF(OR(AD483="",AP483="-"),"",IF(AD483&lt;=0.25,"Tipo 1 (≤0,25) uT",IF(AD483&lt;=0.5,"Tipo 2 (0,25-0,50) uT",IF(AD483&lt;=0.75,"Tipo 3 (0,50-0,75) uT","Tipo 4 (&gt;0,75) uT"))))</f>
        <v>Tipo 1 (≤0,25) uT</v>
      </c>
      <c r="BD483" s="137" t="str">
        <f>IF(OR(AO483="",AY483="-"),"",IF(AO483&lt;=0.25,"Tipo 1 (≤0,25) uT",IF(AO483&lt;=0.5,"Tipo 2 (0,25-0,50) uT",IF(AO483&lt;=0.75,"Tipo 3 (0,50-0,75) uT","Tipo 4 (&gt;0,75) uT"))))</f>
        <v>Tipo 1 (≤0,25) uT</v>
      </c>
      <c r="BE483" s="137" t="str">
        <f>IF(OR(AE483="",AP483="-"),"",IF(AE483&lt;=0.25,"Tipo 1 (≤0,25) uT",IF(AE483&lt;=0.5,"Tipo 2 (0,25-0,50) uT",IF(AE483&lt;=0.75,"Tipo 3 (0,50-0,75) uT","Tipo 4 (&gt;0,75) uT"))))</f>
        <v>Tipo 1 (≤0,25) uT</v>
      </c>
      <c r="BF483" s="137" t="str">
        <f>IF(OR(AP483="",AP483="-"),"",IF(AP483&lt;=0.25,"Tipo 1 (≤0,25) uT",IF(AP483&lt;=0.5,"Tipo 2 (0,25-0,50) uT",IF(AP483&lt;=0.75,"Tipo 3 (0,50-0,75) uT","Tipo 4 (&gt;0,75) uT"))))</f>
        <v>Tipo 2 (0,25-0,50) uT</v>
      </c>
      <c r="BG483" s="137" t="str">
        <f>IF(OR(Q483="",Q483="-"),"",IF(Q483&lt;=0.25,"Tipo 1 (≤0,25) uT",IF(Q483&lt;=0.5,"Tipo 2 (0,25-0,50) uT",IF(Q483&lt;=0.75,"Tipo 3 (0,50-0,75) uT","Tipo 4 (&gt;0,75) uT"))))</f>
        <v>Tipo 1 (≤0,25) uT</v>
      </c>
    </row>
    <row r="484" spans="1:59" x14ac:dyDescent="0.3">
      <c r="A484" s="26">
        <v>46177</v>
      </c>
      <c r="B484" s="107">
        <v>0.47916666666666669</v>
      </c>
      <c r="C484" s="116">
        <v>600</v>
      </c>
      <c r="D484" s="116">
        <v>84</v>
      </c>
      <c r="E484" s="116">
        <v>700</v>
      </c>
      <c r="F484" s="116">
        <v>1365</v>
      </c>
      <c r="G484" s="10" t="s">
        <v>100</v>
      </c>
      <c r="H484" s="122">
        <v>7.3</v>
      </c>
      <c r="I484" s="116">
        <v>90</v>
      </c>
      <c r="J484" s="116">
        <v>90</v>
      </c>
      <c r="K484" s="116">
        <v>90</v>
      </c>
      <c r="L484" s="122">
        <v>22.2</v>
      </c>
      <c r="M484" s="122">
        <v>6.8</v>
      </c>
      <c r="N484" s="79">
        <v>2.79</v>
      </c>
      <c r="O484" s="116">
        <v>12</v>
      </c>
      <c r="P484" s="122">
        <v>6.8</v>
      </c>
      <c r="Q484" s="79">
        <v>0.1</v>
      </c>
      <c r="R484" s="79">
        <v>22.36</v>
      </c>
      <c r="S484" s="79">
        <v>0.88</v>
      </c>
      <c r="T484" s="79">
        <v>0.7</v>
      </c>
      <c r="U484" s="85">
        <f t="shared" ref="U484:U531" si="68">(N484+0.3*H484+0.25)*(F484/2/Y484)</f>
        <v>1784.7375000000002</v>
      </c>
      <c r="V484" s="79">
        <f t="shared" ref="V484:V531" si="69">R484*(T484*Z484*0.987-S484)*AA484</f>
        <v>1608.5927103999998</v>
      </c>
      <c r="W484" s="79">
        <f t="shared" ref="W484:W531" si="70">V484/U484</f>
        <v>0.90130493162159675</v>
      </c>
      <c r="X484" s="116">
        <v>1</v>
      </c>
      <c r="Y484" s="116">
        <v>2</v>
      </c>
      <c r="Z484" s="122">
        <v>6.48</v>
      </c>
      <c r="AA484" s="116">
        <v>20</v>
      </c>
      <c r="AB484" s="122">
        <v>6.6</v>
      </c>
      <c r="AC484" s="122">
        <v>5.8</v>
      </c>
      <c r="AD484" s="10">
        <v>0.21</v>
      </c>
      <c r="AE484" s="79">
        <v>0.44</v>
      </c>
      <c r="AF484" s="85">
        <f t="shared" si="61"/>
        <v>1189.825</v>
      </c>
      <c r="AG484" s="85">
        <f t="shared" si="62"/>
        <v>1849.8816169599997</v>
      </c>
      <c r="AH484" s="85">
        <f t="shared" si="63"/>
        <v>1.5547510070472546</v>
      </c>
      <c r="AI484" s="116">
        <v>2</v>
      </c>
      <c r="AJ484" s="116">
        <v>3</v>
      </c>
      <c r="AK484" s="79">
        <v>6.48</v>
      </c>
      <c r="AL484" s="79">
        <v>23</v>
      </c>
      <c r="AM484" s="122">
        <v>6.5</v>
      </c>
      <c r="AN484" s="122">
        <v>6</v>
      </c>
      <c r="AO484" s="79">
        <v>0.12</v>
      </c>
      <c r="AP484" s="127">
        <v>0.28000000000000003</v>
      </c>
      <c r="AQ484" s="132">
        <f t="shared" si="64"/>
        <v>1384</v>
      </c>
      <c r="AR484" s="134">
        <f t="shared" si="65"/>
        <v>0.43352601156069365</v>
      </c>
      <c r="AS484" s="134">
        <f t="shared" si="66"/>
        <v>6.0693641618497107E-2</v>
      </c>
      <c r="AT484" s="134">
        <f t="shared" si="67"/>
        <v>0.5057803468208093</v>
      </c>
      <c r="AU484" s="43">
        <f>IF(AND(F484&lt;&gt;"",Y484&lt;&gt;""),AA484/(F484/2/Y484),"")</f>
        <v>5.8608058608058608E-2</v>
      </c>
      <c r="AV484" s="43">
        <f>IF(AND(F484&lt;&gt;"",AJ484&lt;&gt;""),AL484/(F484/2/AJ484),"")</f>
        <v>0.1010989010989011</v>
      </c>
      <c r="AW484" s="43">
        <f>IF(AND(AP484&lt;&gt;"",1-(AP484/N484)&gt;0),1-(AP484/N484),"")</f>
        <v>0.89964157706093184</v>
      </c>
      <c r="AX484" s="41">
        <f>IF(AND(AE484&lt;&gt;"",1-(AE484/N484)&gt;0),1-(AE484/N484),"")</f>
        <v>0.84229390681003591</v>
      </c>
      <c r="AY484" s="136" t="str">
        <f>IF(P484="","",IF(P484&lt;2.5,"Alc. Bruta &lt; 2,5 mg/L",IF(P484&lt;5,"2,5 ≤ Alc. Bruta &lt; 5,0 mg/L",IF(P484&lt;7.5,"5,0 ≤ Alc. Bruta &lt; 7,5 mg/L",IF(P484&lt;10,"7,5 ≤ Alc. Bruta &lt; 10,0 mg/L",IF(P484&lt;15,"10,0 ≤ Alca. Bruta &lt; 15,0 mg/L","Alc. Bruta &gt; 15 mg/L"))))))</f>
        <v>5,0 ≤ Alc. Bruta &lt; 7,5 mg/L</v>
      </c>
      <c r="AZ484" s="136" t="str">
        <f>IF(O484="","",IF(O484&lt;5,"Cor &lt;5 uC",IF(O484&lt;10,"5 ≤ Cor &lt; 10 uC",IF(O484&lt;15,"10 ≤ Cor &lt;15 uC",IF(O484&lt;30,"15 ≤ Cor &lt; 30 uC",IF(O484&lt;50,"30 ≤ Cor &lt; 50 uC","Cor &gt; 50 uC"))))))</f>
        <v>10 ≤ Cor &lt;15 uC</v>
      </c>
      <c r="BA484" s="137" t="str">
        <f>IF(N484="","",IF(N484&lt;2.5,"Turbidez &lt; 2,5 uT",IF(N484&lt;5,"2,5 ≤ Turb &lt; 5,0 uT",IF(N484&lt;7.5,"5,0 ≤ Turb &lt; 7,5 uT",IF(N484&lt;10,"7,5 ≤ Turb &lt; 10,0 uT",IF(N484&lt;15,"10,0 ≤ Turb &lt; 15,0 uT","Turb &gt; 15 uT"))))))</f>
        <v>2,5 ≤ Turb &lt; 5,0 uT</v>
      </c>
      <c r="BB484" s="138" t="str">
        <f>IF(AND(C484&gt;D484,D484&gt;E484),"TOR &gt; SM &gt; BNN",IF(AND(C484&gt;E484,E484&gt;D484),"TOR &gt; BNN &gt; SM",IF(AND(D484&gt;C484,C484&gt;E484),"SM &gt; TOR &gt; BNN",IF(AND(D484&gt;E484,E484&gt;C484),"SM &gt; BNN &gt; TOR",IF(AND(C484=D484,D484=E484),"TOR = SM = BNN","Comb. diferentes")))))</f>
        <v>Comb. diferentes</v>
      </c>
      <c r="BC484" s="137" t="str">
        <f>IF(OR(AD484="",AP484="-"),"",IF(AD484&lt;=0.25,"Tipo 1 (≤0,25) uT",IF(AD484&lt;=0.5,"Tipo 2 (0,25-0,50) uT",IF(AD484&lt;=0.75,"Tipo 3 (0,50-0,75) uT","Tipo 4 (&gt;0,75) uT"))))</f>
        <v>Tipo 1 (≤0,25) uT</v>
      </c>
      <c r="BD484" s="137" t="str">
        <f>IF(OR(AO484="",AY484="-"),"",IF(AO484&lt;=0.25,"Tipo 1 (≤0,25) uT",IF(AO484&lt;=0.5,"Tipo 2 (0,25-0,50) uT",IF(AO484&lt;=0.75,"Tipo 3 (0,50-0,75) uT","Tipo 4 (&gt;0,75) uT"))))</f>
        <v>Tipo 1 (≤0,25) uT</v>
      </c>
      <c r="BE484" s="137" t="str">
        <f>IF(OR(AE484="",AP484="-"),"",IF(AE484&lt;=0.25,"Tipo 1 (≤0,25) uT",IF(AE484&lt;=0.5,"Tipo 2 (0,25-0,50) uT",IF(AE484&lt;=0.75,"Tipo 3 (0,50-0,75) uT","Tipo 4 (&gt;0,75) uT"))))</f>
        <v>Tipo 2 (0,25-0,50) uT</v>
      </c>
      <c r="BF484" s="137" t="str">
        <f>IF(OR(AP484="",AP484="-"),"",IF(AP484&lt;=0.25,"Tipo 1 (≤0,25) uT",IF(AP484&lt;=0.5,"Tipo 2 (0,25-0,50) uT",IF(AP484&lt;=0.75,"Tipo 3 (0,50-0,75) uT","Tipo 4 (&gt;0,75) uT"))))</f>
        <v>Tipo 2 (0,25-0,50) uT</v>
      </c>
      <c r="BG484" s="137" t="str">
        <f>IF(OR(Q484="",Q484="-"),"",IF(Q484&lt;=0.25,"Tipo 1 (≤0,25) uT",IF(Q484&lt;=0.5,"Tipo 2 (0,25-0,50) uT",IF(Q484&lt;=0.75,"Tipo 3 (0,50-0,75) uT","Tipo 4 (&gt;0,75) uT"))))</f>
        <v>Tipo 1 (≤0,25) uT</v>
      </c>
    </row>
    <row r="485" spans="1:59" x14ac:dyDescent="0.3">
      <c r="A485" s="26">
        <v>46177</v>
      </c>
      <c r="B485" s="107">
        <v>0.64583333333333337</v>
      </c>
      <c r="C485" s="116">
        <v>584</v>
      </c>
      <c r="D485" s="116">
        <v>91</v>
      </c>
      <c r="E485" s="116">
        <v>692</v>
      </c>
      <c r="F485" s="116">
        <v>1311</v>
      </c>
      <c r="G485" s="10" t="s">
        <v>100</v>
      </c>
      <c r="H485" s="122">
        <v>7.3</v>
      </c>
      <c r="I485" s="116">
        <v>90</v>
      </c>
      <c r="J485" s="116">
        <v>90</v>
      </c>
      <c r="K485" s="116">
        <v>90</v>
      </c>
      <c r="L485" s="122">
        <v>22.8</v>
      </c>
      <c r="M485" s="122">
        <v>6.9</v>
      </c>
      <c r="N485" s="79">
        <v>2.71</v>
      </c>
      <c r="O485" s="116">
        <v>12</v>
      </c>
      <c r="P485" s="122">
        <v>10.5</v>
      </c>
      <c r="Q485" s="79">
        <v>0.09</v>
      </c>
      <c r="R485" s="79">
        <v>22.36</v>
      </c>
      <c r="S485" s="79">
        <v>0.88</v>
      </c>
      <c r="T485" s="79">
        <v>0.7</v>
      </c>
      <c r="U485" s="85">
        <f t="shared" si="68"/>
        <v>1687.9125000000001</v>
      </c>
      <c r="V485" s="79">
        <f t="shared" si="69"/>
        <v>1685.7781558800002</v>
      </c>
      <c r="W485" s="79">
        <f t="shared" si="70"/>
        <v>0.99873551258136906</v>
      </c>
      <c r="X485" s="116">
        <v>1</v>
      </c>
      <c r="Y485" s="116">
        <v>2</v>
      </c>
      <c r="Z485" s="122">
        <v>6.47</v>
      </c>
      <c r="AA485" s="116">
        <v>21</v>
      </c>
      <c r="AB485" s="122">
        <v>6.8</v>
      </c>
      <c r="AC485" s="122">
        <v>8.3000000000000007</v>
      </c>
      <c r="AD485" s="10">
        <v>0.31</v>
      </c>
      <c r="AE485" s="79">
        <v>0.3</v>
      </c>
      <c r="AF485" s="85">
        <f t="shared" ref="AF485:AF531" si="71">(N485+0.3*H485+0.25)*(F485/2/AJ485)</f>
        <v>1125.2750000000001</v>
      </c>
      <c r="AG485" s="85">
        <f t="shared" ref="AG485:AG531" si="72">R485*(T485*AK485*0.987-S485)*AL485</f>
        <v>1934.0188982399998</v>
      </c>
      <c r="AH485" s="85">
        <f t="shared" ref="AH485:AH531" si="73">AG485/AF485</f>
        <v>1.7187077809779827</v>
      </c>
      <c r="AI485" s="116">
        <v>2</v>
      </c>
      <c r="AJ485" s="116">
        <v>3</v>
      </c>
      <c r="AK485" s="79">
        <v>6.49</v>
      </c>
      <c r="AL485" s="79">
        <v>24</v>
      </c>
      <c r="AM485" s="122">
        <v>6.7</v>
      </c>
      <c r="AN485" s="122">
        <v>8.8000000000000007</v>
      </c>
      <c r="AO485" s="79">
        <v>0.2</v>
      </c>
      <c r="AP485" s="127">
        <v>0.31</v>
      </c>
      <c r="AQ485" s="132">
        <f t="shared" si="64"/>
        <v>1367</v>
      </c>
      <c r="AR485" s="134">
        <f t="shared" si="65"/>
        <v>0.42721287490855891</v>
      </c>
      <c r="AS485" s="134">
        <f t="shared" si="66"/>
        <v>6.6569129480614483E-2</v>
      </c>
      <c r="AT485" s="134">
        <f t="shared" si="67"/>
        <v>0.50621799561082659</v>
      </c>
      <c r="AU485" s="43">
        <f>IF(AND(F485&lt;&gt;"",Y485&lt;&gt;""),AA485/(F485/2/Y485),"")</f>
        <v>6.4073226544622428E-2</v>
      </c>
      <c r="AV485" s="43">
        <f>IF(AND(F485&lt;&gt;"",AJ485&lt;&gt;""),AL485/(F485/2/AJ485),"")</f>
        <v>0.10983981693363844</v>
      </c>
      <c r="AW485" s="43">
        <f>IF(AND(AP485&lt;&gt;"",1-(AP485/N485)&gt;0),1-(AP485/N485),"")</f>
        <v>0.88560885608856088</v>
      </c>
      <c r="AX485" s="41">
        <f>IF(AND(AE485&lt;&gt;"",1-(AE485/N485)&gt;0),1-(AE485/N485),"")</f>
        <v>0.88929889298892983</v>
      </c>
      <c r="AY485" s="136" t="str">
        <f>IF(P485="","",IF(P485&lt;2.5,"Alc. Bruta &lt; 2,5 mg/L",IF(P485&lt;5,"2,5 ≤ Alc. Bruta &lt; 5,0 mg/L",IF(P485&lt;7.5,"5,0 ≤ Alc. Bruta &lt; 7,5 mg/L",IF(P485&lt;10,"7,5 ≤ Alc. Bruta &lt; 10,0 mg/L",IF(P485&lt;15,"10,0 ≤ Alca. Bruta &lt; 15,0 mg/L","Alc. Bruta &gt; 15 mg/L"))))))</f>
        <v>10,0 ≤ Alca. Bruta &lt; 15,0 mg/L</v>
      </c>
      <c r="AZ485" s="136" t="str">
        <f>IF(O485="","",IF(O485&lt;5,"Cor &lt;5 uC",IF(O485&lt;10,"5 ≤ Cor &lt; 10 uC",IF(O485&lt;15,"10 ≤ Cor &lt;15 uC",IF(O485&lt;30,"15 ≤ Cor &lt; 30 uC",IF(O485&lt;50,"30 ≤ Cor &lt; 50 uC","Cor &gt; 50 uC"))))))</f>
        <v>10 ≤ Cor &lt;15 uC</v>
      </c>
      <c r="BA485" s="137" t="str">
        <f>IF(N485="","",IF(N485&lt;2.5,"Turbidez &lt; 2,5 uT",IF(N485&lt;5,"2,5 ≤ Turb &lt; 5,0 uT",IF(N485&lt;7.5,"5,0 ≤ Turb &lt; 7,5 uT",IF(N485&lt;10,"7,5 ≤ Turb &lt; 10,0 uT",IF(N485&lt;15,"10,0 ≤ Turb &lt; 15,0 uT","Turb &gt; 15 uT"))))))</f>
        <v>2,5 ≤ Turb &lt; 5,0 uT</v>
      </c>
      <c r="BB485" s="138" t="str">
        <f>IF(AND(C485&gt;D485,D485&gt;E485),"TOR &gt; SM &gt; BNN",IF(AND(C485&gt;E485,E485&gt;D485),"TOR &gt; BNN &gt; SM",IF(AND(D485&gt;C485,C485&gt;E485),"SM &gt; TOR &gt; BNN",IF(AND(D485&gt;E485,E485&gt;C485),"SM &gt; BNN &gt; TOR",IF(AND(C485=D485,D485=E485),"TOR = SM = BNN","Comb. diferentes")))))</f>
        <v>Comb. diferentes</v>
      </c>
      <c r="BC485" s="137" t="str">
        <f>IF(OR(AD485="",AP485="-"),"",IF(AD485&lt;=0.25,"Tipo 1 (≤0,25) uT",IF(AD485&lt;=0.5,"Tipo 2 (0,25-0,50) uT",IF(AD485&lt;=0.75,"Tipo 3 (0,50-0,75) uT","Tipo 4 (&gt;0,75) uT"))))</f>
        <v>Tipo 2 (0,25-0,50) uT</v>
      </c>
      <c r="BD485" s="137" t="str">
        <f>IF(OR(AO485="",AY485="-"),"",IF(AO485&lt;=0.25,"Tipo 1 (≤0,25) uT",IF(AO485&lt;=0.5,"Tipo 2 (0,25-0,50) uT",IF(AO485&lt;=0.75,"Tipo 3 (0,50-0,75) uT","Tipo 4 (&gt;0,75) uT"))))</f>
        <v>Tipo 1 (≤0,25) uT</v>
      </c>
      <c r="BE485" s="137" t="str">
        <f>IF(OR(AE485="",AP485="-"),"",IF(AE485&lt;=0.25,"Tipo 1 (≤0,25) uT",IF(AE485&lt;=0.5,"Tipo 2 (0,25-0,50) uT",IF(AE485&lt;=0.75,"Tipo 3 (0,50-0,75) uT","Tipo 4 (&gt;0,75) uT"))))</f>
        <v>Tipo 2 (0,25-0,50) uT</v>
      </c>
      <c r="BF485" s="137" t="str">
        <f>IF(OR(AP485="",AP485="-"),"",IF(AP485&lt;=0.25,"Tipo 1 (≤0,25) uT",IF(AP485&lt;=0.5,"Tipo 2 (0,25-0,50) uT",IF(AP485&lt;=0.75,"Tipo 3 (0,50-0,75) uT","Tipo 4 (&gt;0,75) uT"))))</f>
        <v>Tipo 2 (0,25-0,50) uT</v>
      </c>
      <c r="BG485" s="137" t="str">
        <f>IF(OR(Q485="",Q485="-"),"",IF(Q485&lt;=0.25,"Tipo 1 (≤0,25) uT",IF(Q485&lt;=0.5,"Tipo 2 (0,25-0,50) uT",IF(Q485&lt;=0.75,"Tipo 3 (0,50-0,75) uT","Tipo 4 (&gt;0,75) uT"))))</f>
        <v>Tipo 1 (≤0,25) uT</v>
      </c>
    </row>
    <row r="486" spans="1:59" x14ac:dyDescent="0.3">
      <c r="A486" s="26">
        <v>46177</v>
      </c>
      <c r="B486" s="107">
        <v>0.72916666666666663</v>
      </c>
      <c r="C486" s="116">
        <v>602</v>
      </c>
      <c r="D486" s="116">
        <v>86</v>
      </c>
      <c r="E486" s="116">
        <v>695</v>
      </c>
      <c r="F486" s="116">
        <v>1383</v>
      </c>
      <c r="G486" s="10" t="s">
        <v>100</v>
      </c>
      <c r="H486" s="122">
        <v>7.3</v>
      </c>
      <c r="I486" s="116">
        <v>90</v>
      </c>
      <c r="J486" s="116">
        <v>90</v>
      </c>
      <c r="K486" s="116">
        <v>90</v>
      </c>
      <c r="L486" s="122">
        <v>23</v>
      </c>
      <c r="M486" s="122">
        <v>6.9</v>
      </c>
      <c r="N486" s="79">
        <v>2.77</v>
      </c>
      <c r="O486" s="116">
        <v>12</v>
      </c>
      <c r="P486" s="122">
        <v>9.8000000000000007</v>
      </c>
      <c r="Q486" s="79">
        <v>0.08</v>
      </c>
      <c r="R486" s="79">
        <v>22.36</v>
      </c>
      <c r="S486" s="79">
        <v>0.88</v>
      </c>
      <c r="T486" s="79">
        <v>0.7</v>
      </c>
      <c r="U486" s="85">
        <f t="shared" si="68"/>
        <v>1801.3575000000001</v>
      </c>
      <c r="V486" s="79">
        <f t="shared" si="69"/>
        <v>1689.0223459199999</v>
      </c>
      <c r="W486" s="79">
        <f t="shared" si="70"/>
        <v>0.9376386119468233</v>
      </c>
      <c r="X486" s="116">
        <v>1</v>
      </c>
      <c r="Y486" s="116">
        <v>2</v>
      </c>
      <c r="Z486" s="122">
        <v>6.48</v>
      </c>
      <c r="AA486" s="116">
        <v>21</v>
      </c>
      <c r="AB486" s="122">
        <v>6.8</v>
      </c>
      <c r="AC486" s="122">
        <v>8</v>
      </c>
      <c r="AD486" s="10">
        <v>0.28000000000000003</v>
      </c>
      <c r="AE486" s="79">
        <v>0.35</v>
      </c>
      <c r="AF486" s="85">
        <f t="shared" si="71"/>
        <v>1200.905</v>
      </c>
      <c r="AG486" s="85">
        <f t="shared" si="72"/>
        <v>1937.7265440000001</v>
      </c>
      <c r="AH486" s="85">
        <f t="shared" si="73"/>
        <v>1.613555230430384</v>
      </c>
      <c r="AI486" s="116">
        <v>2</v>
      </c>
      <c r="AJ486" s="116">
        <v>3</v>
      </c>
      <c r="AK486" s="79">
        <v>6.5</v>
      </c>
      <c r="AL486" s="79">
        <v>24</v>
      </c>
      <c r="AM486" s="122">
        <v>6.7</v>
      </c>
      <c r="AN486" s="122">
        <v>8.1999999999999993</v>
      </c>
      <c r="AO486" s="79">
        <v>0.21</v>
      </c>
      <c r="AP486" s="127">
        <v>0.32</v>
      </c>
      <c r="AQ486" s="132">
        <f t="shared" si="64"/>
        <v>1383</v>
      </c>
      <c r="AR486" s="134">
        <f t="shared" si="65"/>
        <v>0.43528561099060015</v>
      </c>
      <c r="AS486" s="134">
        <f t="shared" si="66"/>
        <v>6.2183658712942881E-2</v>
      </c>
      <c r="AT486" s="134">
        <f t="shared" si="67"/>
        <v>0.50253073029645701</v>
      </c>
      <c r="AU486" s="43">
        <f>IF(AND(F486&lt;&gt;"",Y486&lt;&gt;""),AA486/(F486/2/Y486),"")</f>
        <v>6.0737527114967459E-2</v>
      </c>
      <c r="AV486" s="43">
        <f>IF(AND(F486&lt;&gt;"",AJ486&lt;&gt;""),AL486/(F486/2/AJ486),"")</f>
        <v>0.10412147505422993</v>
      </c>
      <c r="AW486" s="43">
        <f>IF(AND(AP486&lt;&gt;"",1-(AP486/N486)&gt;0),1-(AP486/N486),"")</f>
        <v>0.8844765342960289</v>
      </c>
      <c r="AX486" s="41">
        <f>IF(AND(AE486&lt;&gt;"",1-(AE486/N486)&gt;0),1-(AE486/N486),"")</f>
        <v>0.87364620938628157</v>
      </c>
      <c r="AY486" s="136" t="str">
        <f>IF(P486="","",IF(P486&lt;2.5,"Alc. Bruta &lt; 2,5 mg/L",IF(P486&lt;5,"2,5 ≤ Alc. Bruta &lt; 5,0 mg/L",IF(P486&lt;7.5,"5,0 ≤ Alc. Bruta &lt; 7,5 mg/L",IF(P486&lt;10,"7,5 ≤ Alc. Bruta &lt; 10,0 mg/L",IF(P486&lt;15,"10,0 ≤ Alca. Bruta &lt; 15,0 mg/L","Alc. Bruta &gt; 15 mg/L"))))))</f>
        <v>7,5 ≤ Alc. Bruta &lt; 10,0 mg/L</v>
      </c>
      <c r="AZ486" s="136" t="str">
        <f>IF(O486="","",IF(O486&lt;5,"Cor &lt;5 uC",IF(O486&lt;10,"5 ≤ Cor &lt; 10 uC",IF(O486&lt;15,"10 ≤ Cor &lt;15 uC",IF(O486&lt;30,"15 ≤ Cor &lt; 30 uC",IF(O486&lt;50,"30 ≤ Cor &lt; 50 uC","Cor &gt; 50 uC"))))))</f>
        <v>10 ≤ Cor &lt;15 uC</v>
      </c>
      <c r="BA486" s="137" t="str">
        <f>IF(N486="","",IF(N486&lt;2.5,"Turbidez &lt; 2,5 uT",IF(N486&lt;5,"2,5 ≤ Turb &lt; 5,0 uT",IF(N486&lt;7.5,"5,0 ≤ Turb &lt; 7,5 uT",IF(N486&lt;10,"7,5 ≤ Turb &lt; 10,0 uT",IF(N486&lt;15,"10,0 ≤ Turb &lt; 15,0 uT","Turb &gt; 15 uT"))))))</f>
        <v>2,5 ≤ Turb &lt; 5,0 uT</v>
      </c>
      <c r="BB486" s="138" t="str">
        <f>IF(AND(C486&gt;D486,D486&gt;E486),"TOR &gt; SM &gt; BNN",IF(AND(C486&gt;E486,E486&gt;D486),"TOR &gt; BNN &gt; SM",IF(AND(D486&gt;C486,C486&gt;E486),"SM &gt; TOR &gt; BNN",IF(AND(D486&gt;E486,E486&gt;C486),"SM &gt; BNN &gt; TOR",IF(AND(C486=D486,D486=E486),"TOR = SM = BNN","Comb. diferentes")))))</f>
        <v>Comb. diferentes</v>
      </c>
      <c r="BC486" s="137" t="str">
        <f>IF(OR(AD486="",AP486="-"),"",IF(AD486&lt;=0.25,"Tipo 1 (≤0,25) uT",IF(AD486&lt;=0.5,"Tipo 2 (0,25-0,50) uT",IF(AD486&lt;=0.75,"Tipo 3 (0,50-0,75) uT","Tipo 4 (&gt;0,75) uT"))))</f>
        <v>Tipo 2 (0,25-0,50) uT</v>
      </c>
      <c r="BD486" s="137" t="str">
        <f>IF(OR(AO486="",AY486="-"),"",IF(AO486&lt;=0.25,"Tipo 1 (≤0,25) uT",IF(AO486&lt;=0.5,"Tipo 2 (0,25-0,50) uT",IF(AO486&lt;=0.75,"Tipo 3 (0,50-0,75) uT","Tipo 4 (&gt;0,75) uT"))))</f>
        <v>Tipo 1 (≤0,25) uT</v>
      </c>
      <c r="BE486" s="137" t="str">
        <f>IF(OR(AE486="",AP486="-"),"",IF(AE486&lt;=0.25,"Tipo 1 (≤0,25) uT",IF(AE486&lt;=0.5,"Tipo 2 (0,25-0,50) uT",IF(AE486&lt;=0.75,"Tipo 3 (0,50-0,75) uT","Tipo 4 (&gt;0,75) uT"))))</f>
        <v>Tipo 2 (0,25-0,50) uT</v>
      </c>
      <c r="BF486" s="137" t="str">
        <f>IF(OR(AP486="",AP486="-"),"",IF(AP486&lt;=0.25,"Tipo 1 (≤0,25) uT",IF(AP486&lt;=0.5,"Tipo 2 (0,25-0,50) uT",IF(AP486&lt;=0.75,"Tipo 3 (0,50-0,75) uT","Tipo 4 (&gt;0,75) uT"))))</f>
        <v>Tipo 2 (0,25-0,50) uT</v>
      </c>
      <c r="BG486" s="137" t="str">
        <f>IF(OR(Q486="",Q486="-"),"",IF(Q486&lt;=0.25,"Tipo 1 (≤0,25) uT",IF(Q486&lt;=0.5,"Tipo 2 (0,25-0,50) uT",IF(Q486&lt;=0.75,"Tipo 3 (0,50-0,75) uT","Tipo 4 (&gt;0,75) uT"))))</f>
        <v>Tipo 1 (≤0,25) uT</v>
      </c>
    </row>
    <row r="487" spans="1:59" x14ac:dyDescent="0.3">
      <c r="A487" s="26">
        <v>46177</v>
      </c>
      <c r="B487" s="107">
        <v>0.8125</v>
      </c>
      <c r="C487" s="116">
        <v>596</v>
      </c>
      <c r="D487" s="116">
        <v>87</v>
      </c>
      <c r="E487" s="116">
        <v>691</v>
      </c>
      <c r="F487" s="116">
        <v>1317</v>
      </c>
      <c r="G487" s="10" t="s">
        <v>100</v>
      </c>
      <c r="H487" s="122">
        <v>7.3</v>
      </c>
      <c r="I487" s="116">
        <v>90</v>
      </c>
      <c r="J487" s="116">
        <v>90</v>
      </c>
      <c r="K487" s="116">
        <v>90</v>
      </c>
      <c r="L487" s="122">
        <v>22.6</v>
      </c>
      <c r="M487" s="122">
        <v>6.9</v>
      </c>
      <c r="N487" s="79">
        <v>2.83</v>
      </c>
      <c r="O487" s="116">
        <v>13</v>
      </c>
      <c r="P487" s="122">
        <v>10.1</v>
      </c>
      <c r="Q487" s="79">
        <v>0.08</v>
      </c>
      <c r="R487" s="79">
        <v>22.36</v>
      </c>
      <c r="S487" s="79">
        <v>0.88</v>
      </c>
      <c r="T487" s="79">
        <v>0.7</v>
      </c>
      <c r="U487" s="85">
        <f t="shared" si="68"/>
        <v>1735.1474999999998</v>
      </c>
      <c r="V487" s="79">
        <f t="shared" si="69"/>
        <v>1692.2665359599998</v>
      </c>
      <c r="W487" s="79">
        <f t="shared" si="70"/>
        <v>0.97528684792503229</v>
      </c>
      <c r="X487" s="116">
        <v>1</v>
      </c>
      <c r="Y487" s="116">
        <v>2</v>
      </c>
      <c r="Z487" s="122">
        <v>6.49</v>
      </c>
      <c r="AA487" s="116">
        <v>21</v>
      </c>
      <c r="AB487" s="122">
        <v>6.8</v>
      </c>
      <c r="AC487" s="122">
        <v>8.3000000000000007</v>
      </c>
      <c r="AD487" s="10">
        <v>0.14000000000000001</v>
      </c>
      <c r="AE487" s="79">
        <v>0.26</v>
      </c>
      <c r="AF487" s="85">
        <f t="shared" si="71"/>
        <v>1156.7649999999999</v>
      </c>
      <c r="AG487" s="85">
        <f t="shared" si="72"/>
        <v>1941.4341897599998</v>
      </c>
      <c r="AH487" s="85">
        <f t="shared" si="73"/>
        <v>1.6783306806136078</v>
      </c>
      <c r="AI487" s="116">
        <v>2</v>
      </c>
      <c r="AJ487" s="116">
        <v>3</v>
      </c>
      <c r="AK487" s="79">
        <v>6.51</v>
      </c>
      <c r="AL487" s="79">
        <v>24</v>
      </c>
      <c r="AM487" s="122">
        <v>6.8</v>
      </c>
      <c r="AN487" s="122">
        <v>9.6999999999999993</v>
      </c>
      <c r="AO487" s="79">
        <v>0.23</v>
      </c>
      <c r="AP487" s="127">
        <v>0.22</v>
      </c>
      <c r="AQ487" s="132">
        <f t="shared" si="64"/>
        <v>1374</v>
      </c>
      <c r="AR487" s="134">
        <f t="shared" si="65"/>
        <v>0.43377001455604075</v>
      </c>
      <c r="AS487" s="134">
        <f t="shared" si="66"/>
        <v>6.3318777292576414E-2</v>
      </c>
      <c r="AT487" s="134">
        <f t="shared" si="67"/>
        <v>0.50291120815138279</v>
      </c>
      <c r="AU487" s="43">
        <f>IF(AND(F487&lt;&gt;"",Y487&lt;&gt;""),AA487/(F487/2/Y487),"")</f>
        <v>6.3781321184510256E-2</v>
      </c>
      <c r="AV487" s="43">
        <f>IF(AND(F487&lt;&gt;"",AJ487&lt;&gt;""),AL487/(F487/2/AJ487),"")</f>
        <v>0.10933940774487472</v>
      </c>
      <c r="AW487" s="43">
        <f>IF(AND(AP487&lt;&gt;"",1-(AP487/N487)&gt;0),1-(AP487/N487),"")</f>
        <v>0.92226148409893993</v>
      </c>
      <c r="AX487" s="41">
        <f>IF(AND(AE487&lt;&gt;"",1-(AE487/N487)&gt;0),1-(AE487/N487),"")</f>
        <v>0.90812720848056538</v>
      </c>
      <c r="AY487" s="136" t="str">
        <f>IF(P487="","",IF(P487&lt;2.5,"Alc. Bruta &lt; 2,5 mg/L",IF(P487&lt;5,"2,5 ≤ Alc. Bruta &lt; 5,0 mg/L",IF(P487&lt;7.5,"5,0 ≤ Alc. Bruta &lt; 7,5 mg/L",IF(P487&lt;10,"7,5 ≤ Alc. Bruta &lt; 10,0 mg/L",IF(P487&lt;15,"10,0 ≤ Alca. Bruta &lt; 15,0 mg/L","Alc. Bruta &gt; 15 mg/L"))))))</f>
        <v>10,0 ≤ Alca. Bruta &lt; 15,0 mg/L</v>
      </c>
      <c r="AZ487" s="136" t="str">
        <f>IF(O487="","",IF(O487&lt;5,"Cor &lt;5 uC",IF(O487&lt;10,"5 ≤ Cor &lt; 10 uC",IF(O487&lt;15,"10 ≤ Cor &lt;15 uC",IF(O487&lt;30,"15 ≤ Cor &lt; 30 uC",IF(O487&lt;50,"30 ≤ Cor &lt; 50 uC","Cor &gt; 50 uC"))))))</f>
        <v>10 ≤ Cor &lt;15 uC</v>
      </c>
      <c r="BA487" s="137" t="str">
        <f>IF(N487="","",IF(N487&lt;2.5,"Turbidez &lt; 2,5 uT",IF(N487&lt;5,"2,5 ≤ Turb &lt; 5,0 uT",IF(N487&lt;7.5,"5,0 ≤ Turb &lt; 7,5 uT",IF(N487&lt;10,"7,5 ≤ Turb &lt; 10,0 uT",IF(N487&lt;15,"10,0 ≤ Turb &lt; 15,0 uT","Turb &gt; 15 uT"))))))</f>
        <v>2,5 ≤ Turb &lt; 5,0 uT</v>
      </c>
      <c r="BB487" s="138" t="str">
        <f>IF(AND(C487&gt;D487,D487&gt;E487),"TOR &gt; SM &gt; BNN",IF(AND(C487&gt;E487,E487&gt;D487),"TOR &gt; BNN &gt; SM",IF(AND(D487&gt;C487,C487&gt;E487),"SM &gt; TOR &gt; BNN",IF(AND(D487&gt;E487,E487&gt;C487),"SM &gt; BNN &gt; TOR",IF(AND(C487=D487,D487=E487),"TOR = SM = BNN","Comb. diferentes")))))</f>
        <v>Comb. diferentes</v>
      </c>
      <c r="BC487" s="137" t="str">
        <f>IF(OR(AD487="",AP487="-"),"",IF(AD487&lt;=0.25,"Tipo 1 (≤0,25) uT",IF(AD487&lt;=0.5,"Tipo 2 (0,25-0,50) uT",IF(AD487&lt;=0.75,"Tipo 3 (0,50-0,75) uT","Tipo 4 (&gt;0,75) uT"))))</f>
        <v>Tipo 1 (≤0,25) uT</v>
      </c>
      <c r="BD487" s="137" t="str">
        <f>IF(OR(AO487="",AY487="-"),"",IF(AO487&lt;=0.25,"Tipo 1 (≤0,25) uT",IF(AO487&lt;=0.5,"Tipo 2 (0,25-0,50) uT",IF(AO487&lt;=0.75,"Tipo 3 (0,50-0,75) uT","Tipo 4 (&gt;0,75) uT"))))</f>
        <v>Tipo 1 (≤0,25) uT</v>
      </c>
      <c r="BE487" s="137" t="str">
        <f>IF(OR(AE487="",AP487="-"),"",IF(AE487&lt;=0.25,"Tipo 1 (≤0,25) uT",IF(AE487&lt;=0.5,"Tipo 2 (0,25-0,50) uT",IF(AE487&lt;=0.75,"Tipo 3 (0,50-0,75) uT","Tipo 4 (&gt;0,75) uT"))))</f>
        <v>Tipo 2 (0,25-0,50) uT</v>
      </c>
      <c r="BF487" s="137" t="str">
        <f>IF(OR(AP487="",AP487="-"),"",IF(AP487&lt;=0.25,"Tipo 1 (≤0,25) uT",IF(AP487&lt;=0.5,"Tipo 2 (0,25-0,50) uT",IF(AP487&lt;=0.75,"Tipo 3 (0,50-0,75) uT","Tipo 4 (&gt;0,75) uT"))))</f>
        <v>Tipo 1 (≤0,25) uT</v>
      </c>
      <c r="BG487" s="137" t="str">
        <f>IF(OR(Q487="",Q487="-"),"",IF(Q487&lt;=0.25,"Tipo 1 (≤0,25) uT",IF(Q487&lt;=0.5,"Tipo 2 (0,25-0,50) uT",IF(Q487&lt;=0.75,"Tipo 3 (0,50-0,75) uT","Tipo 4 (&gt;0,75) uT"))))</f>
        <v>Tipo 1 (≤0,25) uT</v>
      </c>
    </row>
    <row r="488" spans="1:59" x14ac:dyDescent="0.3">
      <c r="A488" s="26">
        <v>46177</v>
      </c>
      <c r="B488" s="107">
        <v>0.89583333333333337</v>
      </c>
      <c r="C488" s="116">
        <v>1141</v>
      </c>
      <c r="D488" s="116">
        <v>91</v>
      </c>
      <c r="E488" s="116">
        <v>652</v>
      </c>
      <c r="F488" s="116">
        <v>1851</v>
      </c>
      <c r="G488" s="10" t="s">
        <v>100</v>
      </c>
      <c r="H488" s="122">
        <v>7.3</v>
      </c>
      <c r="I488" s="116">
        <v>90</v>
      </c>
      <c r="J488" s="116">
        <v>90</v>
      </c>
      <c r="K488" s="116">
        <v>90</v>
      </c>
      <c r="L488" s="122">
        <v>22</v>
      </c>
      <c r="M488" s="122">
        <v>6.9</v>
      </c>
      <c r="N488" s="79">
        <v>2.71</v>
      </c>
      <c r="O488" s="116">
        <v>12</v>
      </c>
      <c r="P488" s="122">
        <v>10</v>
      </c>
      <c r="Q488" s="79">
        <v>0.08</v>
      </c>
      <c r="R488" s="79">
        <v>22.36</v>
      </c>
      <c r="S488" s="79">
        <v>0.88</v>
      </c>
      <c r="T488" s="79">
        <v>0.7</v>
      </c>
      <c r="U488" s="85">
        <f t="shared" si="68"/>
        <v>1191.5812500000002</v>
      </c>
      <c r="V488" s="79">
        <f t="shared" si="69"/>
        <v>1514.2805692559994</v>
      </c>
      <c r="W488" s="79">
        <f t="shared" si="70"/>
        <v>1.2708160431829547</v>
      </c>
      <c r="X488" s="116">
        <v>2</v>
      </c>
      <c r="Y488" s="116">
        <v>4</v>
      </c>
      <c r="Z488" s="122">
        <v>6.46</v>
      </c>
      <c r="AA488" s="116">
        <v>18.899999999999999</v>
      </c>
      <c r="AB488" s="122">
        <v>6.7</v>
      </c>
      <c r="AC488" s="122">
        <v>8.1</v>
      </c>
      <c r="AD488" s="10">
        <v>0.36</v>
      </c>
      <c r="AE488" s="79">
        <v>0.3</v>
      </c>
      <c r="AF488" s="85">
        <f t="shared" si="71"/>
        <v>1588.7750000000001</v>
      </c>
      <c r="AG488" s="85">
        <f t="shared" si="72"/>
        <v>1934.0188982399998</v>
      </c>
      <c r="AH488" s="85">
        <f t="shared" si="73"/>
        <v>1.217301945360419</v>
      </c>
      <c r="AI488" s="116">
        <v>2</v>
      </c>
      <c r="AJ488" s="116">
        <v>3</v>
      </c>
      <c r="AK488" s="79">
        <v>6.49</v>
      </c>
      <c r="AL488" s="79">
        <v>24</v>
      </c>
      <c r="AM488" s="122">
        <v>6.7</v>
      </c>
      <c r="AN488" s="122">
        <v>8.1</v>
      </c>
      <c r="AO488" s="79">
        <v>0.37</v>
      </c>
      <c r="AP488" s="127">
        <v>0.25</v>
      </c>
      <c r="AQ488" s="132">
        <f t="shared" si="64"/>
        <v>1884</v>
      </c>
      <c r="AR488" s="134">
        <f t="shared" si="65"/>
        <v>0.60562632696390661</v>
      </c>
      <c r="AS488" s="134">
        <f t="shared" si="66"/>
        <v>4.8301486199575375E-2</v>
      </c>
      <c r="AT488" s="134">
        <f t="shared" si="67"/>
        <v>0.34607218683651803</v>
      </c>
      <c r="AU488" s="43">
        <f>IF(AND(F488&lt;&gt;"",Y488&lt;&gt;""),AA488/(F488/2/Y488),"")</f>
        <v>8.1685575364667737E-2</v>
      </c>
      <c r="AV488" s="43">
        <f>IF(AND(F488&lt;&gt;"",AJ488&lt;&gt;""),AL488/(F488/2/AJ488),"")</f>
        <v>7.7795786061588337E-2</v>
      </c>
      <c r="AW488" s="43">
        <f>IF(AND(AP488&lt;&gt;"",1-(AP488/N488)&gt;0),1-(AP488/N488),"")</f>
        <v>0.90774907749077494</v>
      </c>
      <c r="AX488" s="41">
        <f>IF(AND(AE488&lt;&gt;"",1-(AE488/N488)&gt;0),1-(AE488/N488),"")</f>
        <v>0.88929889298892983</v>
      </c>
      <c r="AY488" s="136" t="str">
        <f>IF(P488="","",IF(P488&lt;2.5,"Alc. Bruta &lt; 2,5 mg/L",IF(P488&lt;5,"2,5 ≤ Alc. Bruta &lt; 5,0 mg/L",IF(P488&lt;7.5,"5,0 ≤ Alc. Bruta &lt; 7,5 mg/L",IF(P488&lt;10,"7,5 ≤ Alc. Bruta &lt; 10,0 mg/L",IF(P488&lt;15,"10,0 ≤ Alca. Bruta &lt; 15,0 mg/L","Alc. Bruta &gt; 15 mg/L"))))))</f>
        <v>10,0 ≤ Alca. Bruta &lt; 15,0 mg/L</v>
      </c>
      <c r="AZ488" s="136" t="str">
        <f>IF(O488="","",IF(O488&lt;5,"Cor &lt;5 uC",IF(O488&lt;10,"5 ≤ Cor &lt; 10 uC",IF(O488&lt;15,"10 ≤ Cor &lt;15 uC",IF(O488&lt;30,"15 ≤ Cor &lt; 30 uC",IF(O488&lt;50,"30 ≤ Cor &lt; 50 uC","Cor &gt; 50 uC"))))))</f>
        <v>10 ≤ Cor &lt;15 uC</v>
      </c>
      <c r="BA488" s="137" t="str">
        <f>IF(N488="","",IF(N488&lt;2.5,"Turbidez &lt; 2,5 uT",IF(N488&lt;5,"2,5 ≤ Turb &lt; 5,0 uT",IF(N488&lt;7.5,"5,0 ≤ Turb &lt; 7,5 uT",IF(N488&lt;10,"7,5 ≤ Turb &lt; 10,0 uT",IF(N488&lt;15,"10,0 ≤ Turb &lt; 15,0 uT","Turb &gt; 15 uT"))))))</f>
        <v>2,5 ≤ Turb &lt; 5,0 uT</v>
      </c>
      <c r="BB488" s="138" t="str">
        <f>IF(AND(C488&gt;D488,D488&gt;E488),"TOR &gt; SM &gt; BNN",IF(AND(C488&gt;E488,E488&gt;D488),"TOR &gt; BNN &gt; SM",IF(AND(D488&gt;C488,C488&gt;E488),"SM &gt; TOR &gt; BNN",IF(AND(D488&gt;E488,E488&gt;C488),"SM &gt; BNN &gt; TOR",IF(AND(C488=D488,D488=E488),"TOR = SM = BNN","Comb. diferentes")))))</f>
        <v>TOR &gt; BNN &gt; SM</v>
      </c>
      <c r="BC488" s="137" t="str">
        <f>IF(OR(AD488="",AP488="-"),"",IF(AD488&lt;=0.25,"Tipo 1 (≤0,25) uT",IF(AD488&lt;=0.5,"Tipo 2 (0,25-0,50) uT",IF(AD488&lt;=0.75,"Tipo 3 (0,50-0,75) uT","Tipo 4 (&gt;0,75) uT"))))</f>
        <v>Tipo 2 (0,25-0,50) uT</v>
      </c>
      <c r="BD488" s="137" t="str">
        <f>IF(OR(AO488="",AY488="-"),"",IF(AO488&lt;=0.25,"Tipo 1 (≤0,25) uT",IF(AO488&lt;=0.5,"Tipo 2 (0,25-0,50) uT",IF(AO488&lt;=0.75,"Tipo 3 (0,50-0,75) uT","Tipo 4 (&gt;0,75) uT"))))</f>
        <v>Tipo 2 (0,25-0,50) uT</v>
      </c>
      <c r="BE488" s="137" t="str">
        <f>IF(OR(AE488="",AP488="-"),"",IF(AE488&lt;=0.25,"Tipo 1 (≤0,25) uT",IF(AE488&lt;=0.5,"Tipo 2 (0,25-0,50) uT",IF(AE488&lt;=0.75,"Tipo 3 (0,50-0,75) uT","Tipo 4 (&gt;0,75) uT"))))</f>
        <v>Tipo 2 (0,25-0,50) uT</v>
      </c>
      <c r="BF488" s="137" t="str">
        <f>IF(OR(AP488="",AP488="-"),"",IF(AP488&lt;=0.25,"Tipo 1 (≤0,25) uT",IF(AP488&lt;=0.5,"Tipo 2 (0,25-0,50) uT",IF(AP488&lt;=0.75,"Tipo 3 (0,50-0,75) uT","Tipo 4 (&gt;0,75) uT"))))</f>
        <v>Tipo 1 (≤0,25) uT</v>
      </c>
      <c r="BG488" s="137" t="str">
        <f>IF(OR(Q488="",Q488="-"),"",IF(Q488&lt;=0.25,"Tipo 1 (≤0,25) uT",IF(Q488&lt;=0.5,"Tipo 2 (0,25-0,50) uT",IF(Q488&lt;=0.75,"Tipo 3 (0,50-0,75) uT","Tipo 4 (&gt;0,75) uT"))))</f>
        <v>Tipo 1 (≤0,25) uT</v>
      </c>
    </row>
    <row r="489" spans="1:59" x14ac:dyDescent="0.3">
      <c r="A489" s="26">
        <v>46177</v>
      </c>
      <c r="B489" s="107">
        <v>0.97916666666666663</v>
      </c>
      <c r="C489" s="116">
        <v>1153</v>
      </c>
      <c r="D489" s="116">
        <v>89</v>
      </c>
      <c r="E489" s="116">
        <v>656</v>
      </c>
      <c r="F489" s="116">
        <v>1913</v>
      </c>
      <c r="G489" s="10" t="s">
        <v>100</v>
      </c>
      <c r="H489" s="122">
        <v>7.3</v>
      </c>
      <c r="I489" s="116">
        <v>90</v>
      </c>
      <c r="J489" s="116">
        <v>90</v>
      </c>
      <c r="K489" s="116">
        <v>90</v>
      </c>
      <c r="L489" s="122">
        <v>21.9</v>
      </c>
      <c r="M489" s="122">
        <v>6.9</v>
      </c>
      <c r="N489" s="79">
        <v>2.63</v>
      </c>
      <c r="O489" s="116">
        <v>12</v>
      </c>
      <c r="P489" s="122">
        <v>8.6</v>
      </c>
      <c r="Q489" s="79">
        <v>0.08</v>
      </c>
      <c r="R489" s="79">
        <v>22.36</v>
      </c>
      <c r="S489" s="79">
        <v>0.88</v>
      </c>
      <c r="T489" s="79">
        <v>0.7</v>
      </c>
      <c r="U489" s="85">
        <f t="shared" si="68"/>
        <v>1212.36375</v>
      </c>
      <c r="V489" s="79">
        <f t="shared" si="69"/>
        <v>1608.5927103999998</v>
      </c>
      <c r="W489" s="79">
        <f t="shared" si="70"/>
        <v>1.3268234969908987</v>
      </c>
      <c r="X489" s="116">
        <v>2</v>
      </c>
      <c r="Y489" s="116">
        <v>4</v>
      </c>
      <c r="Z489" s="122">
        <v>6.48</v>
      </c>
      <c r="AA489" s="116">
        <v>20</v>
      </c>
      <c r="AB489" s="122">
        <v>6.7</v>
      </c>
      <c r="AC489" s="122">
        <v>7.1</v>
      </c>
      <c r="AD489" s="10">
        <v>0.25</v>
      </c>
      <c r="AE489" s="79">
        <v>0.21</v>
      </c>
      <c r="AF489" s="85">
        <f t="shared" si="71"/>
        <v>1616.4849999999999</v>
      </c>
      <c r="AG489" s="85">
        <f t="shared" si="72"/>
        <v>1937.7265440000001</v>
      </c>
      <c r="AH489" s="85">
        <f t="shared" si="73"/>
        <v>1.1987284410310026</v>
      </c>
      <c r="AI489" s="116">
        <v>2</v>
      </c>
      <c r="AJ489" s="116">
        <v>3</v>
      </c>
      <c r="AK489" s="79">
        <v>6.5</v>
      </c>
      <c r="AL489" s="79">
        <v>24</v>
      </c>
      <c r="AM489" s="122">
        <v>6.7</v>
      </c>
      <c r="AN489" s="122">
        <v>7.6</v>
      </c>
      <c r="AO489" s="79">
        <v>0.16</v>
      </c>
      <c r="AP489" s="127">
        <v>0.34</v>
      </c>
      <c r="AQ489" s="132">
        <f t="shared" si="64"/>
        <v>1898</v>
      </c>
      <c r="AR489" s="134">
        <f t="shared" si="65"/>
        <v>0.60748155953635408</v>
      </c>
      <c r="AS489" s="134">
        <f t="shared" si="66"/>
        <v>4.6891464699683881E-2</v>
      </c>
      <c r="AT489" s="134">
        <f t="shared" si="67"/>
        <v>0.34562697576396206</v>
      </c>
      <c r="AU489" s="43">
        <f>IF(AND(F489&lt;&gt;"",Y489&lt;&gt;""),AA489/(F489/2/Y489),"")</f>
        <v>8.36382645060115E-2</v>
      </c>
      <c r="AV489" s="43">
        <f>IF(AND(F489&lt;&gt;"",AJ489&lt;&gt;""),AL489/(F489/2/AJ489),"")</f>
        <v>7.5274438055410356E-2</v>
      </c>
      <c r="AW489" s="43">
        <f>IF(AND(AP489&lt;&gt;"",1-(AP489/N489)&gt;0),1-(AP489/N489),"")</f>
        <v>0.87072243346007605</v>
      </c>
      <c r="AX489" s="41">
        <f>IF(AND(AE489&lt;&gt;"",1-(AE489/N489)&gt;0),1-(AE489/N489),"")</f>
        <v>0.92015209125475284</v>
      </c>
      <c r="AY489" s="136" t="str">
        <f>IF(P489="","",IF(P489&lt;2.5,"Alc. Bruta &lt; 2,5 mg/L",IF(P489&lt;5,"2,5 ≤ Alc. Bruta &lt; 5,0 mg/L",IF(P489&lt;7.5,"5,0 ≤ Alc. Bruta &lt; 7,5 mg/L",IF(P489&lt;10,"7,5 ≤ Alc. Bruta &lt; 10,0 mg/L",IF(P489&lt;15,"10,0 ≤ Alca. Bruta &lt; 15,0 mg/L","Alc. Bruta &gt; 15 mg/L"))))))</f>
        <v>7,5 ≤ Alc. Bruta &lt; 10,0 mg/L</v>
      </c>
      <c r="AZ489" s="136" t="str">
        <f>IF(O489="","",IF(O489&lt;5,"Cor &lt;5 uC",IF(O489&lt;10,"5 ≤ Cor &lt; 10 uC",IF(O489&lt;15,"10 ≤ Cor &lt;15 uC",IF(O489&lt;30,"15 ≤ Cor &lt; 30 uC",IF(O489&lt;50,"30 ≤ Cor &lt; 50 uC","Cor &gt; 50 uC"))))))</f>
        <v>10 ≤ Cor &lt;15 uC</v>
      </c>
      <c r="BA489" s="137" t="str">
        <f>IF(N489="","",IF(N489&lt;2.5,"Turbidez &lt; 2,5 uT",IF(N489&lt;5,"2,5 ≤ Turb &lt; 5,0 uT",IF(N489&lt;7.5,"5,0 ≤ Turb &lt; 7,5 uT",IF(N489&lt;10,"7,5 ≤ Turb &lt; 10,0 uT",IF(N489&lt;15,"10,0 ≤ Turb &lt; 15,0 uT","Turb &gt; 15 uT"))))))</f>
        <v>2,5 ≤ Turb &lt; 5,0 uT</v>
      </c>
      <c r="BB489" s="138" t="str">
        <f>IF(AND(C489&gt;D489,D489&gt;E489),"TOR &gt; SM &gt; BNN",IF(AND(C489&gt;E489,E489&gt;D489),"TOR &gt; BNN &gt; SM",IF(AND(D489&gt;C489,C489&gt;E489),"SM &gt; TOR &gt; BNN",IF(AND(D489&gt;E489,E489&gt;C489),"SM &gt; BNN &gt; TOR",IF(AND(C489=D489,D489=E489),"TOR = SM = BNN","Comb. diferentes")))))</f>
        <v>TOR &gt; BNN &gt; SM</v>
      </c>
      <c r="BC489" s="137" t="str">
        <f>IF(OR(AD489="",AP489="-"),"",IF(AD489&lt;=0.25,"Tipo 1 (≤0,25) uT",IF(AD489&lt;=0.5,"Tipo 2 (0,25-0,50) uT",IF(AD489&lt;=0.75,"Tipo 3 (0,50-0,75) uT","Tipo 4 (&gt;0,75) uT"))))</f>
        <v>Tipo 1 (≤0,25) uT</v>
      </c>
      <c r="BD489" s="137" t="str">
        <f>IF(OR(AO489="",AY489="-"),"",IF(AO489&lt;=0.25,"Tipo 1 (≤0,25) uT",IF(AO489&lt;=0.5,"Tipo 2 (0,25-0,50) uT",IF(AO489&lt;=0.75,"Tipo 3 (0,50-0,75) uT","Tipo 4 (&gt;0,75) uT"))))</f>
        <v>Tipo 1 (≤0,25) uT</v>
      </c>
      <c r="BE489" s="137" t="str">
        <f>IF(OR(AE489="",AP489="-"),"",IF(AE489&lt;=0.25,"Tipo 1 (≤0,25) uT",IF(AE489&lt;=0.5,"Tipo 2 (0,25-0,50) uT",IF(AE489&lt;=0.75,"Tipo 3 (0,50-0,75) uT","Tipo 4 (&gt;0,75) uT"))))</f>
        <v>Tipo 1 (≤0,25) uT</v>
      </c>
      <c r="BF489" s="137" t="str">
        <f>IF(OR(AP489="",AP489="-"),"",IF(AP489&lt;=0.25,"Tipo 1 (≤0,25) uT",IF(AP489&lt;=0.5,"Tipo 2 (0,25-0,50) uT",IF(AP489&lt;=0.75,"Tipo 3 (0,50-0,75) uT","Tipo 4 (&gt;0,75) uT"))))</f>
        <v>Tipo 2 (0,25-0,50) uT</v>
      </c>
      <c r="BG489" s="137" t="str">
        <f>IF(OR(Q489="",Q489="-"),"",IF(Q489&lt;=0.25,"Tipo 1 (≤0,25) uT",IF(Q489&lt;=0.5,"Tipo 2 (0,25-0,50) uT",IF(Q489&lt;=0.75,"Tipo 3 (0,50-0,75) uT","Tipo 4 (&gt;0,75) uT"))))</f>
        <v>Tipo 1 (≤0,25) uT</v>
      </c>
    </row>
    <row r="490" spans="1:59" x14ac:dyDescent="0.3">
      <c r="A490" s="26">
        <v>46178</v>
      </c>
      <c r="B490" s="107">
        <v>0.14583333333333334</v>
      </c>
      <c r="C490" s="116">
        <v>1119</v>
      </c>
      <c r="D490" s="116">
        <v>87</v>
      </c>
      <c r="E490" s="116">
        <v>649</v>
      </c>
      <c r="F490" s="116">
        <v>1939</v>
      </c>
      <c r="G490" s="10" t="s">
        <v>100</v>
      </c>
      <c r="H490" s="122">
        <v>7.3</v>
      </c>
      <c r="I490" s="116">
        <v>90</v>
      </c>
      <c r="J490" s="116">
        <v>90</v>
      </c>
      <c r="K490" s="116">
        <v>90</v>
      </c>
      <c r="L490" s="122">
        <v>21.3</v>
      </c>
      <c r="M490" s="122">
        <v>6.8</v>
      </c>
      <c r="N490" s="79">
        <v>2.86</v>
      </c>
      <c r="O490" s="116">
        <v>12</v>
      </c>
      <c r="P490" s="122">
        <v>8.9</v>
      </c>
      <c r="Q490" s="79">
        <v>0.08</v>
      </c>
      <c r="R490" s="79">
        <v>22.36</v>
      </c>
      <c r="S490" s="79">
        <v>0.88</v>
      </c>
      <c r="T490" s="79">
        <v>0.7</v>
      </c>
      <c r="U490" s="85">
        <f t="shared" si="68"/>
        <v>1284.5874999999999</v>
      </c>
      <c r="V490" s="79">
        <f t="shared" si="69"/>
        <v>1554.3409017759996</v>
      </c>
      <c r="W490" s="79">
        <f t="shared" si="70"/>
        <v>1.2099922362439302</v>
      </c>
      <c r="X490" s="116">
        <v>2</v>
      </c>
      <c r="Y490" s="116">
        <v>4</v>
      </c>
      <c r="Z490" s="122">
        <v>6.46</v>
      </c>
      <c r="AA490" s="116">
        <v>19.399999999999999</v>
      </c>
      <c r="AB490" s="122">
        <v>6.8</v>
      </c>
      <c r="AC490" s="122">
        <v>6.5</v>
      </c>
      <c r="AD490" s="10">
        <v>0.16</v>
      </c>
      <c r="AE490" s="79">
        <v>0.25</v>
      </c>
      <c r="AF490" s="85">
        <f t="shared" si="71"/>
        <v>1712.7833333333333</v>
      </c>
      <c r="AG490" s="85">
        <f t="shared" si="72"/>
        <v>1930.3112524799999</v>
      </c>
      <c r="AH490" s="85">
        <f t="shared" si="73"/>
        <v>1.1270025898274738</v>
      </c>
      <c r="AI490" s="116">
        <v>2</v>
      </c>
      <c r="AJ490" s="116">
        <v>3</v>
      </c>
      <c r="AK490" s="79">
        <v>6.48</v>
      </c>
      <c r="AL490" s="79">
        <v>24</v>
      </c>
      <c r="AM490" s="122">
        <v>6.7</v>
      </c>
      <c r="AN490" s="122">
        <v>7.4</v>
      </c>
      <c r="AO490" s="79">
        <v>0.2</v>
      </c>
      <c r="AP490" s="127">
        <v>0.27</v>
      </c>
      <c r="AQ490" s="132">
        <f t="shared" si="64"/>
        <v>1855</v>
      </c>
      <c r="AR490" s="134">
        <f t="shared" si="65"/>
        <v>0.60323450134770884</v>
      </c>
      <c r="AS490" s="134">
        <f t="shared" si="66"/>
        <v>4.6900269541778977E-2</v>
      </c>
      <c r="AT490" s="134">
        <f t="shared" si="67"/>
        <v>0.34986522911051215</v>
      </c>
      <c r="AU490" s="43">
        <f>IF(AND(F490&lt;&gt;"",Y490&lt;&gt;""),AA490/(F490/2/Y490),"")</f>
        <v>8.0041258380608549E-2</v>
      </c>
      <c r="AV490" s="43">
        <f>IF(AND(F490&lt;&gt;"",AJ490&lt;&gt;""),AL490/(F490/2/AJ490),"")</f>
        <v>7.4265085095409994E-2</v>
      </c>
      <c r="AW490" s="43">
        <f>IF(AND(AP490&lt;&gt;"",1-(AP490/N490)&gt;0),1-(AP490/N490),"")</f>
        <v>0.90559440559440563</v>
      </c>
      <c r="AX490" s="41">
        <f>IF(AND(AE490&lt;&gt;"",1-(AE490/N490)&gt;0),1-(AE490/N490),"")</f>
        <v>0.91258741258741261</v>
      </c>
      <c r="AY490" s="136" t="str">
        <f>IF(P490="","",IF(P490&lt;2.5,"Alc. Bruta &lt; 2,5 mg/L",IF(P490&lt;5,"2,5 ≤ Alc. Bruta &lt; 5,0 mg/L",IF(P490&lt;7.5,"5,0 ≤ Alc. Bruta &lt; 7,5 mg/L",IF(P490&lt;10,"7,5 ≤ Alc. Bruta &lt; 10,0 mg/L",IF(P490&lt;15,"10,0 ≤ Alca. Bruta &lt; 15,0 mg/L","Alc. Bruta &gt; 15 mg/L"))))))</f>
        <v>7,5 ≤ Alc. Bruta &lt; 10,0 mg/L</v>
      </c>
      <c r="AZ490" s="136" t="str">
        <f>IF(O490="","",IF(O490&lt;5,"Cor &lt;5 uC",IF(O490&lt;10,"5 ≤ Cor &lt; 10 uC",IF(O490&lt;15,"10 ≤ Cor &lt;15 uC",IF(O490&lt;30,"15 ≤ Cor &lt; 30 uC",IF(O490&lt;50,"30 ≤ Cor &lt; 50 uC","Cor &gt; 50 uC"))))))</f>
        <v>10 ≤ Cor &lt;15 uC</v>
      </c>
      <c r="BA490" s="137" t="str">
        <f>IF(N490="","",IF(N490&lt;2.5,"Turbidez &lt; 2,5 uT",IF(N490&lt;5,"2,5 ≤ Turb &lt; 5,0 uT",IF(N490&lt;7.5,"5,0 ≤ Turb &lt; 7,5 uT",IF(N490&lt;10,"7,5 ≤ Turb &lt; 10,0 uT",IF(N490&lt;15,"10,0 ≤ Turb &lt; 15,0 uT","Turb &gt; 15 uT"))))))</f>
        <v>2,5 ≤ Turb &lt; 5,0 uT</v>
      </c>
      <c r="BB490" s="138" t="str">
        <f>IF(AND(C490&gt;D490,D490&gt;E490),"TOR &gt; SM &gt; BNN",IF(AND(C490&gt;E490,E490&gt;D490),"TOR &gt; BNN &gt; SM",IF(AND(D490&gt;C490,C490&gt;E490),"SM &gt; TOR &gt; BNN",IF(AND(D490&gt;E490,E490&gt;C490),"SM &gt; BNN &gt; TOR",IF(AND(C490=D490,D490=E490),"TOR = SM = BNN","Comb. diferentes")))))</f>
        <v>TOR &gt; BNN &gt; SM</v>
      </c>
      <c r="BC490" s="137" t="str">
        <f>IF(OR(AD490="",AP490="-"),"",IF(AD490&lt;=0.25,"Tipo 1 (≤0,25) uT",IF(AD490&lt;=0.5,"Tipo 2 (0,25-0,50) uT",IF(AD490&lt;=0.75,"Tipo 3 (0,50-0,75) uT","Tipo 4 (&gt;0,75) uT"))))</f>
        <v>Tipo 1 (≤0,25) uT</v>
      </c>
      <c r="BD490" s="137" t="str">
        <f>IF(OR(AO490="",AY490="-"),"",IF(AO490&lt;=0.25,"Tipo 1 (≤0,25) uT",IF(AO490&lt;=0.5,"Tipo 2 (0,25-0,50) uT",IF(AO490&lt;=0.75,"Tipo 3 (0,50-0,75) uT","Tipo 4 (&gt;0,75) uT"))))</f>
        <v>Tipo 1 (≤0,25) uT</v>
      </c>
      <c r="BE490" s="137" t="str">
        <f>IF(OR(AE490="",AP490="-"),"",IF(AE490&lt;=0.25,"Tipo 1 (≤0,25) uT",IF(AE490&lt;=0.5,"Tipo 2 (0,25-0,50) uT",IF(AE490&lt;=0.75,"Tipo 3 (0,50-0,75) uT","Tipo 4 (&gt;0,75) uT"))))</f>
        <v>Tipo 1 (≤0,25) uT</v>
      </c>
      <c r="BF490" s="137" t="str">
        <f>IF(OR(AP490="",AP490="-"),"",IF(AP490&lt;=0.25,"Tipo 1 (≤0,25) uT",IF(AP490&lt;=0.5,"Tipo 2 (0,25-0,50) uT",IF(AP490&lt;=0.75,"Tipo 3 (0,50-0,75) uT","Tipo 4 (&gt;0,75) uT"))))</f>
        <v>Tipo 2 (0,25-0,50) uT</v>
      </c>
      <c r="BG490" s="137" t="str">
        <f>IF(OR(Q490="",Q490="-"),"",IF(Q490&lt;=0.25,"Tipo 1 (≤0,25) uT",IF(Q490&lt;=0.5,"Tipo 2 (0,25-0,50) uT",IF(Q490&lt;=0.75,"Tipo 3 (0,50-0,75) uT","Tipo 4 (&gt;0,75) uT"))))</f>
        <v>Tipo 1 (≤0,25) uT</v>
      </c>
    </row>
    <row r="491" spans="1:59" ht="15" thickBot="1" x14ac:dyDescent="0.35">
      <c r="A491" s="26">
        <v>46178</v>
      </c>
      <c r="B491" s="110">
        <v>0.22916666666666666</v>
      </c>
      <c r="C491" s="117">
        <v>1125</v>
      </c>
      <c r="D491" s="117">
        <v>83</v>
      </c>
      <c r="E491" s="117">
        <v>649</v>
      </c>
      <c r="F491" s="117">
        <v>1857</v>
      </c>
      <c r="G491" s="11" t="s">
        <v>100</v>
      </c>
      <c r="H491" s="123">
        <v>7.3</v>
      </c>
      <c r="I491" s="117">
        <v>90</v>
      </c>
      <c r="J491" s="117">
        <v>90</v>
      </c>
      <c r="K491" s="117">
        <v>90</v>
      </c>
      <c r="L491" s="123">
        <v>20.8</v>
      </c>
      <c r="M491" s="123">
        <v>6.7</v>
      </c>
      <c r="N491" s="80">
        <v>2.68</v>
      </c>
      <c r="O491" s="117">
        <v>12</v>
      </c>
      <c r="P491" s="123">
        <v>9.4</v>
      </c>
      <c r="Q491" s="80">
        <v>0.08</v>
      </c>
      <c r="R491" s="79">
        <v>22.36</v>
      </c>
      <c r="S491" s="79">
        <v>0.88</v>
      </c>
      <c r="T491" s="79">
        <v>0.7</v>
      </c>
      <c r="U491" s="85">
        <f t="shared" si="68"/>
        <v>1188.48</v>
      </c>
      <c r="V491" s="79">
        <f t="shared" si="69"/>
        <v>1527.3540341799999</v>
      </c>
      <c r="W491" s="79">
        <f t="shared" si="70"/>
        <v>1.2851322985494076</v>
      </c>
      <c r="X491" s="117">
        <v>2</v>
      </c>
      <c r="Y491" s="117">
        <v>4</v>
      </c>
      <c r="Z491" s="123">
        <v>6.45</v>
      </c>
      <c r="AA491" s="117">
        <v>19.100000000000001</v>
      </c>
      <c r="AB491" s="122">
        <v>6.6</v>
      </c>
      <c r="AC491" s="123">
        <v>6.7</v>
      </c>
      <c r="AD491" s="11">
        <v>0.11</v>
      </c>
      <c r="AE491" s="80">
        <v>0.26</v>
      </c>
      <c r="AF491" s="85">
        <f t="shared" si="71"/>
        <v>1584.64</v>
      </c>
      <c r="AG491" s="85">
        <f t="shared" si="72"/>
        <v>1937.7265440000001</v>
      </c>
      <c r="AH491" s="85">
        <f t="shared" si="73"/>
        <v>1.2228181441841679</v>
      </c>
      <c r="AI491" s="117">
        <v>2</v>
      </c>
      <c r="AJ491" s="117">
        <v>3</v>
      </c>
      <c r="AK491" s="80">
        <v>6.5</v>
      </c>
      <c r="AL491" s="80">
        <v>24</v>
      </c>
      <c r="AM491" s="123">
        <v>6.6</v>
      </c>
      <c r="AN491" s="123">
        <v>7.2</v>
      </c>
      <c r="AO491" s="80">
        <v>0.16</v>
      </c>
      <c r="AP491" s="128">
        <v>0.27</v>
      </c>
      <c r="AQ491" s="132">
        <f t="shared" si="64"/>
        <v>1857</v>
      </c>
      <c r="AR491" s="134">
        <f t="shared" si="65"/>
        <v>0.60581583198707589</v>
      </c>
      <c r="AS491" s="134">
        <f t="shared" si="66"/>
        <v>4.4695745826602046E-2</v>
      </c>
      <c r="AT491" s="134">
        <f t="shared" si="67"/>
        <v>0.34948842218632203</v>
      </c>
      <c r="AU491" s="43">
        <f>IF(AND(F491&lt;&gt;"",Y491&lt;&gt;""),AA491/(F491/2/Y491),"")</f>
        <v>8.2283252557889069E-2</v>
      </c>
      <c r="AV491" s="43">
        <f>IF(AND(F491&lt;&gt;"",AJ491&lt;&gt;""),AL491/(F491/2/AJ491),"")</f>
        <v>7.7544426494345717E-2</v>
      </c>
      <c r="AW491" s="43">
        <f>IF(AND(AP491&lt;&gt;"",1-(AP491/N491)&gt;0),1-(AP491/N491),"")</f>
        <v>0.89925373134328357</v>
      </c>
      <c r="AX491" s="41">
        <f>IF(AND(AE491&lt;&gt;"",1-(AE491/N491)&gt;0),1-(AE491/N491),"")</f>
        <v>0.90298507462686572</v>
      </c>
      <c r="AY491" s="136" t="str">
        <f>IF(P491="","",IF(P491&lt;2.5,"Alc. Bruta &lt; 2,5 mg/L",IF(P491&lt;5,"2,5 ≤ Alc. Bruta &lt; 5,0 mg/L",IF(P491&lt;7.5,"5,0 ≤ Alc. Bruta &lt; 7,5 mg/L",IF(P491&lt;10,"7,5 ≤ Alc. Bruta &lt; 10,0 mg/L",IF(P491&lt;15,"10,0 ≤ Alca. Bruta &lt; 15,0 mg/L","Alc. Bruta &gt; 15 mg/L"))))))</f>
        <v>7,5 ≤ Alc. Bruta &lt; 10,0 mg/L</v>
      </c>
      <c r="AZ491" s="136" t="str">
        <f>IF(O491="","",IF(O491&lt;5,"Cor &lt;5 uC",IF(O491&lt;10,"5 ≤ Cor &lt; 10 uC",IF(O491&lt;15,"10 ≤ Cor &lt;15 uC",IF(O491&lt;30,"15 ≤ Cor &lt; 30 uC",IF(O491&lt;50,"30 ≤ Cor &lt; 50 uC","Cor &gt; 50 uC"))))))</f>
        <v>10 ≤ Cor &lt;15 uC</v>
      </c>
      <c r="BA491" s="137" t="str">
        <f>IF(N491="","",IF(N491&lt;2.5,"Turbidez &lt; 2,5 uT",IF(N491&lt;5,"2,5 ≤ Turb &lt; 5,0 uT",IF(N491&lt;7.5,"5,0 ≤ Turb &lt; 7,5 uT",IF(N491&lt;10,"7,5 ≤ Turb &lt; 10,0 uT",IF(N491&lt;15,"10,0 ≤ Turb &lt; 15,0 uT","Turb &gt; 15 uT"))))))</f>
        <v>2,5 ≤ Turb &lt; 5,0 uT</v>
      </c>
      <c r="BB491" s="138" t="str">
        <f>IF(AND(C491&gt;D491,D491&gt;E491),"TOR &gt; SM &gt; BNN",IF(AND(C491&gt;E491,E491&gt;D491),"TOR &gt; BNN &gt; SM",IF(AND(D491&gt;C491,C491&gt;E491),"SM &gt; TOR &gt; BNN",IF(AND(D491&gt;E491,E491&gt;C491),"SM &gt; BNN &gt; TOR",IF(AND(C491=D491,D491=E491),"TOR = SM = BNN","Comb. diferentes")))))</f>
        <v>TOR &gt; BNN &gt; SM</v>
      </c>
      <c r="BC491" s="137" t="str">
        <f>IF(OR(AD491="",AP491="-"),"",IF(AD491&lt;=0.25,"Tipo 1 (≤0,25) uT",IF(AD491&lt;=0.5,"Tipo 2 (0,25-0,50) uT",IF(AD491&lt;=0.75,"Tipo 3 (0,50-0,75) uT","Tipo 4 (&gt;0,75) uT"))))</f>
        <v>Tipo 1 (≤0,25) uT</v>
      </c>
      <c r="BD491" s="137" t="str">
        <f>IF(OR(AO491="",AY491="-"),"",IF(AO491&lt;=0.25,"Tipo 1 (≤0,25) uT",IF(AO491&lt;=0.5,"Tipo 2 (0,25-0,50) uT",IF(AO491&lt;=0.75,"Tipo 3 (0,50-0,75) uT","Tipo 4 (&gt;0,75) uT"))))</f>
        <v>Tipo 1 (≤0,25) uT</v>
      </c>
      <c r="BE491" s="137" t="str">
        <f>IF(OR(AE491="",AP491="-"),"",IF(AE491&lt;=0.25,"Tipo 1 (≤0,25) uT",IF(AE491&lt;=0.5,"Tipo 2 (0,25-0,50) uT",IF(AE491&lt;=0.75,"Tipo 3 (0,50-0,75) uT","Tipo 4 (&gt;0,75) uT"))))</f>
        <v>Tipo 2 (0,25-0,50) uT</v>
      </c>
      <c r="BF491" s="137" t="str">
        <f>IF(OR(AP491="",AP491="-"),"",IF(AP491&lt;=0.25,"Tipo 1 (≤0,25) uT",IF(AP491&lt;=0.5,"Tipo 2 (0,25-0,50) uT",IF(AP491&lt;=0.75,"Tipo 3 (0,50-0,75) uT","Tipo 4 (&gt;0,75) uT"))))</f>
        <v>Tipo 2 (0,25-0,50) uT</v>
      </c>
      <c r="BG491" s="137" t="str">
        <f>IF(OR(Q491="",Q491="-"),"",IF(Q491&lt;=0.25,"Tipo 1 (≤0,25) uT",IF(Q491&lt;=0.5,"Tipo 2 (0,25-0,50) uT",IF(Q491&lt;=0.75,"Tipo 3 (0,50-0,75) uT","Tipo 4 (&gt;0,75) uT"))))</f>
        <v>Tipo 1 (≤0,25) uT</v>
      </c>
    </row>
    <row r="492" spans="1:59" x14ac:dyDescent="0.3">
      <c r="A492" s="26">
        <v>46178</v>
      </c>
      <c r="B492" s="111">
        <v>0.3125</v>
      </c>
      <c r="C492" s="118">
        <v>1145</v>
      </c>
      <c r="D492" s="116">
        <v>84</v>
      </c>
      <c r="E492" s="118">
        <v>648</v>
      </c>
      <c r="F492" s="118">
        <v>1935</v>
      </c>
      <c r="G492" s="9" t="s">
        <v>100</v>
      </c>
      <c r="H492" s="124">
        <v>7.3</v>
      </c>
      <c r="I492" s="118">
        <v>90</v>
      </c>
      <c r="J492" s="118">
        <v>90</v>
      </c>
      <c r="K492" s="118">
        <v>90</v>
      </c>
      <c r="L492" s="124">
        <v>20.8</v>
      </c>
      <c r="M492" s="124">
        <v>6.9</v>
      </c>
      <c r="N492" s="81">
        <v>2.81</v>
      </c>
      <c r="O492" s="118">
        <v>12</v>
      </c>
      <c r="P492" s="124">
        <v>8.1</v>
      </c>
      <c r="Q492" s="81">
        <v>0.09</v>
      </c>
      <c r="R492" s="79">
        <v>22.36</v>
      </c>
      <c r="S492" s="79">
        <v>0.88</v>
      </c>
      <c r="T492" s="79">
        <v>0.7</v>
      </c>
      <c r="U492" s="85">
        <f t="shared" si="68"/>
        <v>1269.84375</v>
      </c>
      <c r="V492" s="79">
        <f t="shared" si="69"/>
        <v>1425.4875648</v>
      </c>
      <c r="W492" s="79">
        <f t="shared" si="70"/>
        <v>1.1225692647619048</v>
      </c>
      <c r="X492" s="118">
        <v>2</v>
      </c>
      <c r="Y492" s="118">
        <v>4</v>
      </c>
      <c r="Z492" s="124">
        <v>6.4</v>
      </c>
      <c r="AA492" s="118">
        <v>18</v>
      </c>
      <c r="AB492" s="124">
        <v>6.7</v>
      </c>
      <c r="AC492" s="124">
        <v>6.4</v>
      </c>
      <c r="AD492" s="9">
        <v>0.16</v>
      </c>
      <c r="AE492" s="81">
        <v>0.3</v>
      </c>
      <c r="AF492" s="85">
        <f t="shared" si="71"/>
        <v>1693.125</v>
      </c>
      <c r="AG492" s="85">
        <f t="shared" si="72"/>
        <v>1856.9879380000002</v>
      </c>
      <c r="AH492" s="85">
        <f t="shared" si="73"/>
        <v>1.0967813587301589</v>
      </c>
      <c r="AI492" s="118">
        <v>2</v>
      </c>
      <c r="AJ492" s="118">
        <v>3</v>
      </c>
      <c r="AK492" s="81">
        <v>6.5</v>
      </c>
      <c r="AL492" s="81">
        <v>23</v>
      </c>
      <c r="AM492" s="124">
        <v>6.7</v>
      </c>
      <c r="AN492" s="124">
        <v>6.7</v>
      </c>
      <c r="AO492" s="81">
        <v>0.14000000000000001</v>
      </c>
      <c r="AP492" s="129">
        <v>0.31</v>
      </c>
      <c r="AQ492" s="132">
        <f t="shared" si="64"/>
        <v>1877</v>
      </c>
      <c r="AR492" s="134">
        <f t="shared" si="65"/>
        <v>0.61001598295151838</v>
      </c>
      <c r="AS492" s="134">
        <f t="shared" si="66"/>
        <v>4.4752264251465106E-2</v>
      </c>
      <c r="AT492" s="134">
        <f t="shared" si="67"/>
        <v>0.34523175279701651</v>
      </c>
      <c r="AU492" s="43">
        <f>IF(AND(F492&lt;&gt;"",Y492&lt;&gt;""),AA492/(F492/2/Y492),"")</f>
        <v>7.441860465116279E-2</v>
      </c>
      <c r="AV492" s="43">
        <f>IF(AND(F492&lt;&gt;"",AJ492&lt;&gt;""),AL492/(F492/2/AJ492),"")</f>
        <v>7.131782945736434E-2</v>
      </c>
      <c r="AW492" s="43">
        <f>IF(AND(AP492&lt;&gt;"",1-(AP492/N492)&gt;0),1-(AP492/N492),"")</f>
        <v>0.88967971530249113</v>
      </c>
      <c r="AX492" s="41">
        <f>IF(AND(AE492&lt;&gt;"",1-(AE492/N492)&gt;0),1-(AE492/N492),"")</f>
        <v>0.89323843416370108</v>
      </c>
      <c r="AY492" s="136" t="str">
        <f>IF(P492="","",IF(P492&lt;2.5,"Alc. Bruta &lt; 2,5 mg/L",IF(P492&lt;5,"2,5 ≤ Alc. Bruta &lt; 5,0 mg/L",IF(P492&lt;7.5,"5,0 ≤ Alc. Bruta &lt; 7,5 mg/L",IF(P492&lt;10,"7,5 ≤ Alc. Bruta &lt; 10,0 mg/L",IF(P492&lt;15,"10,0 ≤ Alca. Bruta &lt; 15,0 mg/L","Alc. Bruta &gt; 15 mg/L"))))))</f>
        <v>7,5 ≤ Alc. Bruta &lt; 10,0 mg/L</v>
      </c>
      <c r="AZ492" s="136" t="str">
        <f>IF(O492="","",IF(O492&lt;5,"Cor &lt;5 uC",IF(O492&lt;10,"5 ≤ Cor &lt; 10 uC",IF(O492&lt;15,"10 ≤ Cor &lt;15 uC",IF(O492&lt;30,"15 ≤ Cor &lt; 30 uC",IF(O492&lt;50,"30 ≤ Cor &lt; 50 uC","Cor &gt; 50 uC"))))))</f>
        <v>10 ≤ Cor &lt;15 uC</v>
      </c>
      <c r="BA492" s="137" t="str">
        <f>IF(N492="","",IF(N492&lt;2.5,"Turbidez &lt; 2,5 uT",IF(N492&lt;5,"2,5 ≤ Turb &lt; 5,0 uT",IF(N492&lt;7.5,"5,0 ≤ Turb &lt; 7,5 uT",IF(N492&lt;10,"7,5 ≤ Turb &lt; 10,0 uT",IF(N492&lt;15,"10,0 ≤ Turb &lt; 15,0 uT","Turb &gt; 15 uT"))))))</f>
        <v>2,5 ≤ Turb &lt; 5,0 uT</v>
      </c>
      <c r="BB492" s="138" t="str">
        <f>IF(AND(C492&gt;D492,D492&gt;E492),"TOR &gt; SM &gt; BNN",IF(AND(C492&gt;E492,E492&gt;D492),"TOR &gt; BNN &gt; SM",IF(AND(D492&gt;C492,C492&gt;E492),"SM &gt; TOR &gt; BNN",IF(AND(D492&gt;E492,E492&gt;C492),"SM &gt; BNN &gt; TOR",IF(AND(C492=D492,D492=E492),"TOR = SM = BNN","Comb. diferentes")))))</f>
        <v>TOR &gt; BNN &gt; SM</v>
      </c>
      <c r="BC492" s="137" t="str">
        <f>IF(OR(AD492="",AP492="-"),"",IF(AD492&lt;=0.25,"Tipo 1 (≤0,25) uT",IF(AD492&lt;=0.5,"Tipo 2 (0,25-0,50) uT",IF(AD492&lt;=0.75,"Tipo 3 (0,50-0,75) uT","Tipo 4 (&gt;0,75) uT"))))</f>
        <v>Tipo 1 (≤0,25) uT</v>
      </c>
      <c r="BD492" s="137" t="str">
        <f>IF(OR(AO492="",AY492="-"),"",IF(AO492&lt;=0.25,"Tipo 1 (≤0,25) uT",IF(AO492&lt;=0.5,"Tipo 2 (0,25-0,50) uT",IF(AO492&lt;=0.75,"Tipo 3 (0,50-0,75) uT","Tipo 4 (&gt;0,75) uT"))))</f>
        <v>Tipo 1 (≤0,25) uT</v>
      </c>
      <c r="BE492" s="137" t="str">
        <f>IF(OR(AE492="",AP492="-"),"",IF(AE492&lt;=0.25,"Tipo 1 (≤0,25) uT",IF(AE492&lt;=0.5,"Tipo 2 (0,25-0,50) uT",IF(AE492&lt;=0.75,"Tipo 3 (0,50-0,75) uT","Tipo 4 (&gt;0,75) uT"))))</f>
        <v>Tipo 2 (0,25-0,50) uT</v>
      </c>
      <c r="BF492" s="137" t="str">
        <f>IF(OR(AP492="",AP492="-"),"",IF(AP492&lt;=0.25,"Tipo 1 (≤0,25) uT",IF(AP492&lt;=0.5,"Tipo 2 (0,25-0,50) uT",IF(AP492&lt;=0.75,"Tipo 3 (0,50-0,75) uT","Tipo 4 (&gt;0,75) uT"))))</f>
        <v>Tipo 2 (0,25-0,50) uT</v>
      </c>
      <c r="BG492" s="137" t="str">
        <f>IF(OR(Q492="",Q492="-"),"",IF(Q492&lt;=0.25,"Tipo 1 (≤0,25) uT",IF(Q492&lt;=0.5,"Tipo 2 (0,25-0,50) uT",IF(Q492&lt;=0.75,"Tipo 3 (0,50-0,75) uT","Tipo 4 (&gt;0,75) uT"))))</f>
        <v>Tipo 1 (≤0,25) uT</v>
      </c>
    </row>
    <row r="493" spans="1:59" x14ac:dyDescent="0.3">
      <c r="A493" s="26">
        <v>46178</v>
      </c>
      <c r="B493" s="113">
        <v>0.39583333333333331</v>
      </c>
      <c r="C493" s="119">
        <v>1064</v>
      </c>
      <c r="D493" s="116">
        <v>80</v>
      </c>
      <c r="E493" s="119">
        <v>649</v>
      </c>
      <c r="F493" s="119">
        <v>1903</v>
      </c>
      <c r="G493" s="44" t="s">
        <v>100</v>
      </c>
      <c r="H493" s="125">
        <v>7.3</v>
      </c>
      <c r="I493" s="119">
        <v>90</v>
      </c>
      <c r="J493" s="119">
        <v>90</v>
      </c>
      <c r="K493" s="119">
        <v>90</v>
      </c>
      <c r="L493" s="125">
        <v>20.8</v>
      </c>
      <c r="M493" s="125">
        <v>6.9</v>
      </c>
      <c r="N493" s="82">
        <v>3.62</v>
      </c>
      <c r="O493" s="119">
        <v>13</v>
      </c>
      <c r="P493" s="125">
        <v>8.1999999999999993</v>
      </c>
      <c r="Q493" s="82">
        <v>0.08</v>
      </c>
      <c r="R493" s="79">
        <v>22.36</v>
      </c>
      <c r="S493" s="79">
        <v>0.88</v>
      </c>
      <c r="T493" s="79">
        <v>0.7</v>
      </c>
      <c r="U493" s="85">
        <f t="shared" si="68"/>
        <v>1441.5225</v>
      </c>
      <c r="V493" s="79">
        <f t="shared" si="69"/>
        <v>1453.2949080000001</v>
      </c>
      <c r="W493" s="79">
        <f t="shared" si="70"/>
        <v>1.0081666488036087</v>
      </c>
      <c r="X493" s="119">
        <v>2</v>
      </c>
      <c r="Y493" s="119">
        <v>4</v>
      </c>
      <c r="Z493" s="125">
        <v>6.5</v>
      </c>
      <c r="AA493" s="119">
        <v>18</v>
      </c>
      <c r="AB493" s="125">
        <v>6.8</v>
      </c>
      <c r="AC493" s="125">
        <v>6.4</v>
      </c>
      <c r="AD493" s="44">
        <v>0.14000000000000001</v>
      </c>
      <c r="AE493" s="82">
        <v>0.2</v>
      </c>
      <c r="AF493" s="85">
        <f t="shared" si="71"/>
        <v>1922.0300000000002</v>
      </c>
      <c r="AG493" s="85">
        <f t="shared" si="72"/>
        <v>1856.9879380000002</v>
      </c>
      <c r="AH493" s="85">
        <f t="shared" si="73"/>
        <v>0.96615970510345839</v>
      </c>
      <c r="AI493" s="119">
        <v>2</v>
      </c>
      <c r="AJ493" s="119">
        <v>3</v>
      </c>
      <c r="AK493" s="82">
        <v>6.5</v>
      </c>
      <c r="AL493" s="82">
        <v>23</v>
      </c>
      <c r="AM493" s="125">
        <v>6.7</v>
      </c>
      <c r="AN493" s="125">
        <v>6.3</v>
      </c>
      <c r="AO493" s="82">
        <v>0.12</v>
      </c>
      <c r="AP493" s="130">
        <v>0.28000000000000003</v>
      </c>
      <c r="AQ493" s="132">
        <f t="shared" si="64"/>
        <v>1793</v>
      </c>
      <c r="AR493" s="134">
        <f t="shared" si="65"/>
        <v>0.59341885108756276</v>
      </c>
      <c r="AS493" s="134">
        <f t="shared" si="66"/>
        <v>4.4617958728388175E-2</v>
      </c>
      <c r="AT493" s="134">
        <f t="shared" si="67"/>
        <v>0.3619631901840491</v>
      </c>
      <c r="AU493" s="43">
        <f>IF(AND(F493&lt;&gt;"",Y493&lt;&gt;""),AA493/(F493/2/Y493),"")</f>
        <v>7.566999474513926E-2</v>
      </c>
      <c r="AV493" s="43">
        <f>IF(AND(F493&lt;&gt;"",AJ493&lt;&gt;""),AL493/(F493/2/AJ493),"")</f>
        <v>7.2517078297425111E-2</v>
      </c>
      <c r="AW493" s="43">
        <f>IF(AND(AP493&lt;&gt;"",1-(AP493/N493)&gt;0),1-(AP493/N493),"")</f>
        <v>0.92265193370165743</v>
      </c>
      <c r="AX493" s="41">
        <f>IF(AND(AE493&lt;&gt;"",1-(AE493/N493)&gt;0),1-(AE493/N493),"")</f>
        <v>0.94475138121546964</v>
      </c>
      <c r="AY493" s="136" t="str">
        <f>IF(P493="","",IF(P493&lt;2.5,"Alc. Bruta &lt; 2,5 mg/L",IF(P493&lt;5,"2,5 ≤ Alc. Bruta &lt; 5,0 mg/L",IF(P493&lt;7.5,"5,0 ≤ Alc. Bruta &lt; 7,5 mg/L",IF(P493&lt;10,"7,5 ≤ Alc. Bruta &lt; 10,0 mg/L",IF(P493&lt;15,"10,0 ≤ Alca. Bruta &lt; 15,0 mg/L","Alc. Bruta &gt; 15 mg/L"))))))</f>
        <v>7,5 ≤ Alc. Bruta &lt; 10,0 mg/L</v>
      </c>
      <c r="AZ493" s="136" t="str">
        <f>IF(O493="","",IF(O493&lt;5,"Cor &lt;5 uC",IF(O493&lt;10,"5 ≤ Cor &lt; 10 uC",IF(O493&lt;15,"10 ≤ Cor &lt;15 uC",IF(O493&lt;30,"15 ≤ Cor &lt; 30 uC",IF(O493&lt;50,"30 ≤ Cor &lt; 50 uC","Cor &gt; 50 uC"))))))</f>
        <v>10 ≤ Cor &lt;15 uC</v>
      </c>
      <c r="BA493" s="137" t="str">
        <f>IF(N493="","",IF(N493&lt;2.5,"Turbidez &lt; 2,5 uT",IF(N493&lt;5,"2,5 ≤ Turb &lt; 5,0 uT",IF(N493&lt;7.5,"5,0 ≤ Turb &lt; 7,5 uT",IF(N493&lt;10,"7,5 ≤ Turb &lt; 10,0 uT",IF(N493&lt;15,"10,0 ≤ Turb &lt; 15,0 uT","Turb &gt; 15 uT"))))))</f>
        <v>2,5 ≤ Turb &lt; 5,0 uT</v>
      </c>
      <c r="BB493" s="138" t="str">
        <f>IF(AND(C493&gt;D493,D493&gt;E493),"TOR &gt; SM &gt; BNN",IF(AND(C493&gt;E493,E493&gt;D493),"TOR &gt; BNN &gt; SM",IF(AND(D493&gt;C493,C493&gt;E493),"SM &gt; TOR &gt; BNN",IF(AND(D493&gt;E493,E493&gt;C493),"SM &gt; BNN &gt; TOR",IF(AND(C493=D493,D493=E493),"TOR = SM = BNN","Comb. diferentes")))))</f>
        <v>TOR &gt; BNN &gt; SM</v>
      </c>
      <c r="BC493" s="137" t="str">
        <f>IF(OR(AD493="",AP493="-"),"",IF(AD493&lt;=0.25,"Tipo 1 (≤0,25) uT",IF(AD493&lt;=0.5,"Tipo 2 (0,25-0,50) uT",IF(AD493&lt;=0.75,"Tipo 3 (0,50-0,75) uT","Tipo 4 (&gt;0,75) uT"))))</f>
        <v>Tipo 1 (≤0,25) uT</v>
      </c>
      <c r="BD493" s="137" t="str">
        <f>IF(OR(AO493="",AY493="-"),"",IF(AO493&lt;=0.25,"Tipo 1 (≤0,25) uT",IF(AO493&lt;=0.5,"Tipo 2 (0,25-0,50) uT",IF(AO493&lt;=0.75,"Tipo 3 (0,50-0,75) uT","Tipo 4 (&gt;0,75) uT"))))</f>
        <v>Tipo 1 (≤0,25) uT</v>
      </c>
      <c r="BE493" s="137" t="str">
        <f>IF(OR(AE493="",AP493="-"),"",IF(AE493&lt;=0.25,"Tipo 1 (≤0,25) uT",IF(AE493&lt;=0.5,"Tipo 2 (0,25-0,50) uT",IF(AE493&lt;=0.75,"Tipo 3 (0,50-0,75) uT","Tipo 4 (&gt;0,75) uT"))))</f>
        <v>Tipo 1 (≤0,25) uT</v>
      </c>
      <c r="BF493" s="137" t="str">
        <f>IF(OR(AP493="",AP493="-"),"",IF(AP493&lt;=0.25,"Tipo 1 (≤0,25) uT",IF(AP493&lt;=0.5,"Tipo 2 (0,25-0,50) uT",IF(AP493&lt;=0.75,"Tipo 3 (0,50-0,75) uT","Tipo 4 (&gt;0,75) uT"))))</f>
        <v>Tipo 2 (0,25-0,50) uT</v>
      </c>
      <c r="BG493" s="137" t="str">
        <f>IF(OR(Q493="",Q493="-"),"",IF(Q493&lt;=0.25,"Tipo 1 (≤0,25) uT",IF(Q493&lt;=0.5,"Tipo 2 (0,25-0,50) uT",IF(Q493&lt;=0.75,"Tipo 3 (0,50-0,75) uT","Tipo 4 (&gt;0,75) uT"))))</f>
        <v>Tipo 1 (≤0,25) uT</v>
      </c>
    </row>
    <row r="494" spans="1:59" x14ac:dyDescent="0.3">
      <c r="A494" s="26">
        <v>46178</v>
      </c>
      <c r="B494" s="107">
        <v>0.47916666666666669</v>
      </c>
      <c r="C494" s="116">
        <v>1078</v>
      </c>
      <c r="D494" s="116">
        <v>85</v>
      </c>
      <c r="E494" s="116">
        <v>650</v>
      </c>
      <c r="F494" s="116">
        <v>1897</v>
      </c>
      <c r="G494" s="10" t="s">
        <v>100</v>
      </c>
      <c r="H494" s="122">
        <v>7.3</v>
      </c>
      <c r="I494" s="116">
        <v>90</v>
      </c>
      <c r="J494" s="116">
        <v>90</v>
      </c>
      <c r="K494" s="116">
        <v>90</v>
      </c>
      <c r="L494" s="122">
        <v>21.5</v>
      </c>
      <c r="M494" s="122">
        <v>6.9</v>
      </c>
      <c r="N494" s="79">
        <v>2.74</v>
      </c>
      <c r="O494" s="116">
        <v>13</v>
      </c>
      <c r="P494" s="122">
        <v>8.6</v>
      </c>
      <c r="Q494" s="79">
        <v>0.11</v>
      </c>
      <c r="R494" s="79">
        <v>22.36</v>
      </c>
      <c r="S494" s="79">
        <v>0.88</v>
      </c>
      <c r="T494" s="79">
        <v>0.7</v>
      </c>
      <c r="U494" s="85">
        <f t="shared" si="68"/>
        <v>1228.3074999999999</v>
      </c>
      <c r="V494" s="79">
        <f t="shared" si="69"/>
        <v>1425.4875648</v>
      </c>
      <c r="W494" s="79">
        <f t="shared" si="70"/>
        <v>1.1605298875078107</v>
      </c>
      <c r="X494" s="116">
        <v>2</v>
      </c>
      <c r="Y494" s="116">
        <v>4</v>
      </c>
      <c r="Z494" s="122">
        <v>6.4</v>
      </c>
      <c r="AA494" s="116">
        <v>18</v>
      </c>
      <c r="AB494" s="122">
        <v>6.9</v>
      </c>
      <c r="AC494" s="122">
        <v>6.3</v>
      </c>
      <c r="AD494" s="10">
        <v>0.13</v>
      </c>
      <c r="AE494" s="79">
        <v>0.23</v>
      </c>
      <c r="AF494" s="85">
        <f t="shared" si="71"/>
        <v>1637.7433333333333</v>
      </c>
      <c r="AG494" s="85">
        <f t="shared" si="72"/>
        <v>1821.4563327999999</v>
      </c>
      <c r="AH494" s="85">
        <f t="shared" si="73"/>
        <v>1.1121744755283185</v>
      </c>
      <c r="AI494" s="116">
        <v>2</v>
      </c>
      <c r="AJ494" s="116">
        <v>3</v>
      </c>
      <c r="AK494" s="79">
        <v>6.4</v>
      </c>
      <c r="AL494" s="79">
        <v>23</v>
      </c>
      <c r="AM494" s="122">
        <v>6.7</v>
      </c>
      <c r="AN494" s="122">
        <v>6.9</v>
      </c>
      <c r="AO494" s="79">
        <v>0.12</v>
      </c>
      <c r="AP494" s="127">
        <v>0.28000000000000003</v>
      </c>
      <c r="AQ494" s="132">
        <f t="shared" si="64"/>
        <v>1813</v>
      </c>
      <c r="AR494" s="134">
        <f t="shared" si="65"/>
        <v>0.59459459459459463</v>
      </c>
      <c r="AS494" s="134">
        <f t="shared" si="66"/>
        <v>4.6883618312189741E-2</v>
      </c>
      <c r="AT494" s="134">
        <f t="shared" si="67"/>
        <v>0.35852178709321564</v>
      </c>
      <c r="AU494" s="43">
        <f>IF(AND(F494&lt;&gt;"",Y494&lt;&gt;""),AA494/(F494/2/Y494),"")</f>
        <v>7.590933052187665E-2</v>
      </c>
      <c r="AV494" s="43">
        <f>IF(AND(F494&lt;&gt;"",AJ494&lt;&gt;""),AL494/(F494/2/AJ494),"")</f>
        <v>7.2746441750131785E-2</v>
      </c>
      <c r="AW494" s="43">
        <f>IF(AND(AP494&lt;&gt;"",1-(AP494/N494)&gt;0),1-(AP494/N494),"")</f>
        <v>0.8978102189781022</v>
      </c>
      <c r="AX494" s="41">
        <f>IF(AND(AE494&lt;&gt;"",1-(AE494/N494)&gt;0),1-(AE494/N494),"")</f>
        <v>0.91605839416058399</v>
      </c>
      <c r="AY494" s="136" t="str">
        <f>IF(P494="","",IF(P494&lt;2.5,"Alc. Bruta &lt; 2,5 mg/L",IF(P494&lt;5,"2,5 ≤ Alc. Bruta &lt; 5,0 mg/L",IF(P494&lt;7.5,"5,0 ≤ Alc. Bruta &lt; 7,5 mg/L",IF(P494&lt;10,"7,5 ≤ Alc. Bruta &lt; 10,0 mg/L",IF(P494&lt;15,"10,0 ≤ Alca. Bruta &lt; 15,0 mg/L","Alc. Bruta &gt; 15 mg/L"))))))</f>
        <v>7,5 ≤ Alc. Bruta &lt; 10,0 mg/L</v>
      </c>
      <c r="AZ494" s="136" t="str">
        <f>IF(O494="","",IF(O494&lt;5,"Cor &lt;5 uC",IF(O494&lt;10,"5 ≤ Cor &lt; 10 uC",IF(O494&lt;15,"10 ≤ Cor &lt;15 uC",IF(O494&lt;30,"15 ≤ Cor &lt; 30 uC",IF(O494&lt;50,"30 ≤ Cor &lt; 50 uC","Cor &gt; 50 uC"))))))</f>
        <v>10 ≤ Cor &lt;15 uC</v>
      </c>
      <c r="BA494" s="137" t="str">
        <f>IF(N494="","",IF(N494&lt;2.5,"Turbidez &lt; 2,5 uT",IF(N494&lt;5,"2,5 ≤ Turb &lt; 5,0 uT",IF(N494&lt;7.5,"5,0 ≤ Turb &lt; 7,5 uT",IF(N494&lt;10,"7,5 ≤ Turb &lt; 10,0 uT",IF(N494&lt;15,"10,0 ≤ Turb &lt; 15,0 uT","Turb &gt; 15 uT"))))))</f>
        <v>2,5 ≤ Turb &lt; 5,0 uT</v>
      </c>
      <c r="BB494" s="138" t="str">
        <f>IF(AND(C494&gt;D494,D494&gt;E494),"TOR &gt; SM &gt; BNN",IF(AND(C494&gt;E494,E494&gt;D494),"TOR &gt; BNN &gt; SM",IF(AND(D494&gt;C494,C494&gt;E494),"SM &gt; TOR &gt; BNN",IF(AND(D494&gt;E494,E494&gt;C494),"SM &gt; BNN &gt; TOR",IF(AND(C494=D494,D494=E494),"TOR = SM = BNN","Comb. diferentes")))))</f>
        <v>TOR &gt; BNN &gt; SM</v>
      </c>
      <c r="BC494" s="137" t="str">
        <f>IF(OR(AD494="",AP494="-"),"",IF(AD494&lt;=0.25,"Tipo 1 (≤0,25) uT",IF(AD494&lt;=0.5,"Tipo 2 (0,25-0,50) uT",IF(AD494&lt;=0.75,"Tipo 3 (0,50-0,75) uT","Tipo 4 (&gt;0,75) uT"))))</f>
        <v>Tipo 1 (≤0,25) uT</v>
      </c>
      <c r="BD494" s="137" t="str">
        <f>IF(OR(AO494="",AY494="-"),"",IF(AO494&lt;=0.25,"Tipo 1 (≤0,25) uT",IF(AO494&lt;=0.5,"Tipo 2 (0,25-0,50) uT",IF(AO494&lt;=0.75,"Tipo 3 (0,50-0,75) uT","Tipo 4 (&gt;0,75) uT"))))</f>
        <v>Tipo 1 (≤0,25) uT</v>
      </c>
      <c r="BE494" s="137" t="str">
        <f>IF(OR(AE494="",AP494="-"),"",IF(AE494&lt;=0.25,"Tipo 1 (≤0,25) uT",IF(AE494&lt;=0.5,"Tipo 2 (0,25-0,50) uT",IF(AE494&lt;=0.75,"Tipo 3 (0,50-0,75) uT","Tipo 4 (&gt;0,75) uT"))))</f>
        <v>Tipo 1 (≤0,25) uT</v>
      </c>
      <c r="BF494" s="137" t="str">
        <f>IF(OR(AP494="",AP494="-"),"",IF(AP494&lt;=0.25,"Tipo 1 (≤0,25) uT",IF(AP494&lt;=0.5,"Tipo 2 (0,25-0,50) uT",IF(AP494&lt;=0.75,"Tipo 3 (0,50-0,75) uT","Tipo 4 (&gt;0,75) uT"))))</f>
        <v>Tipo 2 (0,25-0,50) uT</v>
      </c>
      <c r="BG494" s="137" t="str">
        <f>IF(OR(Q494="",Q494="-"),"",IF(Q494&lt;=0.25,"Tipo 1 (≤0,25) uT",IF(Q494&lt;=0.5,"Tipo 2 (0,25-0,50) uT",IF(Q494&lt;=0.75,"Tipo 3 (0,50-0,75) uT","Tipo 4 (&gt;0,75) uT"))))</f>
        <v>Tipo 1 (≤0,25) uT</v>
      </c>
    </row>
    <row r="495" spans="1:59" x14ac:dyDescent="0.3">
      <c r="A495" s="26">
        <v>46178</v>
      </c>
      <c r="B495" s="107">
        <v>0.64583333333333337</v>
      </c>
      <c r="C495" s="116">
        <v>1138</v>
      </c>
      <c r="D495" s="116">
        <v>93</v>
      </c>
      <c r="E495" s="116">
        <v>650</v>
      </c>
      <c r="F495" s="116">
        <v>1860</v>
      </c>
      <c r="G495" s="10" t="s">
        <v>100</v>
      </c>
      <c r="H495" s="122">
        <v>7.3</v>
      </c>
      <c r="I495" s="116">
        <v>90</v>
      </c>
      <c r="J495" s="116">
        <v>90</v>
      </c>
      <c r="K495" s="116">
        <v>90</v>
      </c>
      <c r="L495" s="122">
        <v>22.5</v>
      </c>
      <c r="M495" s="122">
        <v>7</v>
      </c>
      <c r="N495" s="79">
        <v>2.64</v>
      </c>
      <c r="O495" s="116">
        <v>11</v>
      </c>
      <c r="P495" s="122">
        <v>7.5</v>
      </c>
      <c r="Q495" s="79">
        <v>0.13</v>
      </c>
      <c r="R495" s="79">
        <v>22.36</v>
      </c>
      <c r="S495" s="79">
        <v>0.88</v>
      </c>
      <c r="T495" s="79">
        <v>0.7</v>
      </c>
      <c r="U495" s="85">
        <f t="shared" si="68"/>
        <v>1181.0999999999999</v>
      </c>
      <c r="V495" s="79">
        <f t="shared" si="69"/>
        <v>1453.2949080000001</v>
      </c>
      <c r="W495" s="79">
        <f t="shared" si="70"/>
        <v>1.2304588163576329</v>
      </c>
      <c r="X495" s="116">
        <v>2</v>
      </c>
      <c r="Y495" s="116">
        <v>4</v>
      </c>
      <c r="Z495" s="122">
        <v>6.5</v>
      </c>
      <c r="AA495" s="116">
        <v>18</v>
      </c>
      <c r="AB495" s="122">
        <v>6.9</v>
      </c>
      <c r="AC495" s="122">
        <v>6.7</v>
      </c>
      <c r="AD495" s="10">
        <v>0.19</v>
      </c>
      <c r="AE495" s="79">
        <v>0.26</v>
      </c>
      <c r="AF495" s="85">
        <f t="shared" si="71"/>
        <v>1574.8</v>
      </c>
      <c r="AG495" s="85">
        <f t="shared" si="72"/>
        <v>1856.9879380000002</v>
      </c>
      <c r="AH495" s="85">
        <f t="shared" si="73"/>
        <v>1.1791896990093982</v>
      </c>
      <c r="AI495" s="116">
        <v>2</v>
      </c>
      <c r="AJ495" s="116">
        <v>3</v>
      </c>
      <c r="AK495" s="79">
        <v>6.5</v>
      </c>
      <c r="AL495" s="79">
        <v>23</v>
      </c>
      <c r="AM495" s="122">
        <v>7</v>
      </c>
      <c r="AN495" s="122">
        <v>6.3</v>
      </c>
      <c r="AO495" s="79">
        <v>0.22</v>
      </c>
      <c r="AP495" s="127">
        <v>0.28999999999999998</v>
      </c>
      <c r="AQ495" s="132">
        <f t="shared" si="64"/>
        <v>1881</v>
      </c>
      <c r="AR495" s="134">
        <f t="shared" si="65"/>
        <v>0.60499734183944709</v>
      </c>
      <c r="AS495" s="134">
        <f t="shared" si="66"/>
        <v>4.9441786283891544E-2</v>
      </c>
      <c r="AT495" s="134">
        <f t="shared" si="67"/>
        <v>0.34556087187666135</v>
      </c>
      <c r="AU495" s="43">
        <f>IF(AND(F495&lt;&gt;"",Y495&lt;&gt;""),AA495/(F495/2/Y495),"")</f>
        <v>7.7419354838709681E-2</v>
      </c>
      <c r="AV495" s="43">
        <f>IF(AND(F495&lt;&gt;"",AJ495&lt;&gt;""),AL495/(F495/2/AJ495),"")</f>
        <v>7.4193548387096769E-2</v>
      </c>
      <c r="AW495" s="43">
        <f>IF(AND(AP495&lt;&gt;"",1-(AP495/N495)&gt;0),1-(AP495/N495),"")</f>
        <v>0.89015151515151514</v>
      </c>
      <c r="AX495" s="41">
        <f>IF(AND(AE495&lt;&gt;"",1-(AE495/N495)&gt;0),1-(AE495/N495),"")</f>
        <v>0.90151515151515149</v>
      </c>
      <c r="AY495" s="136" t="str">
        <f>IF(P495="","",IF(P495&lt;2.5,"Alc. Bruta &lt; 2,5 mg/L",IF(P495&lt;5,"2,5 ≤ Alc. Bruta &lt; 5,0 mg/L",IF(P495&lt;7.5,"5,0 ≤ Alc. Bruta &lt; 7,5 mg/L",IF(P495&lt;10,"7,5 ≤ Alc. Bruta &lt; 10,0 mg/L",IF(P495&lt;15,"10,0 ≤ Alca. Bruta &lt; 15,0 mg/L","Alc. Bruta &gt; 15 mg/L"))))))</f>
        <v>7,5 ≤ Alc. Bruta &lt; 10,0 mg/L</v>
      </c>
      <c r="AZ495" s="136" t="str">
        <f>IF(O495="","",IF(O495&lt;5,"Cor &lt;5 uC",IF(O495&lt;10,"5 ≤ Cor &lt; 10 uC",IF(O495&lt;15,"10 ≤ Cor &lt;15 uC",IF(O495&lt;30,"15 ≤ Cor &lt; 30 uC",IF(O495&lt;50,"30 ≤ Cor &lt; 50 uC","Cor &gt; 50 uC"))))))</f>
        <v>10 ≤ Cor &lt;15 uC</v>
      </c>
      <c r="BA495" s="137" t="str">
        <f>IF(N495="","",IF(N495&lt;2.5,"Turbidez &lt; 2,5 uT",IF(N495&lt;5,"2,5 ≤ Turb &lt; 5,0 uT",IF(N495&lt;7.5,"5,0 ≤ Turb &lt; 7,5 uT",IF(N495&lt;10,"7,5 ≤ Turb &lt; 10,0 uT",IF(N495&lt;15,"10,0 ≤ Turb &lt; 15,0 uT","Turb &gt; 15 uT"))))))</f>
        <v>2,5 ≤ Turb &lt; 5,0 uT</v>
      </c>
      <c r="BB495" s="138" t="str">
        <f>IF(AND(C495&gt;D495,D495&gt;E495),"TOR &gt; SM &gt; BNN",IF(AND(C495&gt;E495,E495&gt;D495),"TOR &gt; BNN &gt; SM",IF(AND(D495&gt;C495,C495&gt;E495),"SM &gt; TOR &gt; BNN",IF(AND(D495&gt;E495,E495&gt;C495),"SM &gt; BNN &gt; TOR",IF(AND(C495=D495,D495=E495),"TOR = SM = BNN","Comb. diferentes")))))</f>
        <v>TOR &gt; BNN &gt; SM</v>
      </c>
      <c r="BC495" s="137" t="str">
        <f>IF(OR(AD495="",AP495="-"),"",IF(AD495&lt;=0.25,"Tipo 1 (≤0,25) uT",IF(AD495&lt;=0.5,"Tipo 2 (0,25-0,50) uT",IF(AD495&lt;=0.75,"Tipo 3 (0,50-0,75) uT","Tipo 4 (&gt;0,75) uT"))))</f>
        <v>Tipo 1 (≤0,25) uT</v>
      </c>
      <c r="BD495" s="137" t="str">
        <f>IF(OR(AO495="",AY495="-"),"",IF(AO495&lt;=0.25,"Tipo 1 (≤0,25) uT",IF(AO495&lt;=0.5,"Tipo 2 (0,25-0,50) uT",IF(AO495&lt;=0.75,"Tipo 3 (0,50-0,75) uT","Tipo 4 (&gt;0,75) uT"))))</f>
        <v>Tipo 1 (≤0,25) uT</v>
      </c>
      <c r="BE495" s="137" t="str">
        <f>IF(OR(AE495="",AP495="-"),"",IF(AE495&lt;=0.25,"Tipo 1 (≤0,25) uT",IF(AE495&lt;=0.5,"Tipo 2 (0,25-0,50) uT",IF(AE495&lt;=0.75,"Tipo 3 (0,50-0,75) uT","Tipo 4 (&gt;0,75) uT"))))</f>
        <v>Tipo 2 (0,25-0,50) uT</v>
      </c>
      <c r="BF495" s="137" t="str">
        <f>IF(OR(AP495="",AP495="-"),"",IF(AP495&lt;=0.25,"Tipo 1 (≤0,25) uT",IF(AP495&lt;=0.5,"Tipo 2 (0,25-0,50) uT",IF(AP495&lt;=0.75,"Tipo 3 (0,50-0,75) uT","Tipo 4 (&gt;0,75) uT"))))</f>
        <v>Tipo 2 (0,25-0,50) uT</v>
      </c>
      <c r="BG495" s="137" t="str">
        <f>IF(OR(Q495="",Q495="-"),"",IF(Q495&lt;=0.25,"Tipo 1 (≤0,25) uT",IF(Q495&lt;=0.5,"Tipo 2 (0,25-0,50) uT",IF(Q495&lt;=0.75,"Tipo 3 (0,50-0,75) uT","Tipo 4 (&gt;0,75) uT"))))</f>
        <v>Tipo 1 (≤0,25) uT</v>
      </c>
    </row>
    <row r="496" spans="1:59" x14ac:dyDescent="0.3">
      <c r="A496" s="26">
        <v>46178</v>
      </c>
      <c r="B496" s="107">
        <v>0.72916666666666663</v>
      </c>
      <c r="C496" s="116">
        <v>1079</v>
      </c>
      <c r="D496" s="116">
        <v>85</v>
      </c>
      <c r="E496" s="116">
        <v>649</v>
      </c>
      <c r="F496" s="116">
        <v>1926</v>
      </c>
      <c r="G496" s="10" t="s">
        <v>100</v>
      </c>
      <c r="H496" s="122">
        <v>7.3</v>
      </c>
      <c r="I496" s="116">
        <v>90</v>
      </c>
      <c r="J496" s="116">
        <v>90</v>
      </c>
      <c r="K496" s="116">
        <v>90</v>
      </c>
      <c r="L496" s="122">
        <v>22.2</v>
      </c>
      <c r="M496" s="122">
        <v>7</v>
      </c>
      <c r="N496" s="79">
        <v>2.73</v>
      </c>
      <c r="O496" s="116">
        <v>12</v>
      </c>
      <c r="P496" s="122">
        <v>7.3</v>
      </c>
      <c r="Q496" s="79">
        <v>0.13</v>
      </c>
      <c r="R496" s="79">
        <v>22.36</v>
      </c>
      <c r="S496" s="79">
        <v>0.88</v>
      </c>
      <c r="T496" s="79">
        <v>0.7</v>
      </c>
      <c r="U496" s="85">
        <f t="shared" si="68"/>
        <v>1244.6775</v>
      </c>
      <c r="V496" s="79">
        <f t="shared" si="69"/>
        <v>1453.2949080000001</v>
      </c>
      <c r="W496" s="79">
        <f t="shared" si="70"/>
        <v>1.1676075995589219</v>
      </c>
      <c r="X496" s="116">
        <v>2</v>
      </c>
      <c r="Y496" s="116">
        <v>4</v>
      </c>
      <c r="Z496" s="122">
        <v>6.5</v>
      </c>
      <c r="AA496" s="116">
        <v>18</v>
      </c>
      <c r="AB496" s="122">
        <v>6.7</v>
      </c>
      <c r="AC496" s="122">
        <v>6.8</v>
      </c>
      <c r="AD496" s="10">
        <v>0.17</v>
      </c>
      <c r="AE496" s="79">
        <v>0.26</v>
      </c>
      <c r="AF496" s="85">
        <f t="shared" si="71"/>
        <v>1659.57</v>
      </c>
      <c r="AG496" s="85">
        <f t="shared" si="72"/>
        <v>1776.2493320000001</v>
      </c>
      <c r="AH496" s="85">
        <f t="shared" si="73"/>
        <v>1.0703069662623452</v>
      </c>
      <c r="AI496" s="116">
        <v>2</v>
      </c>
      <c r="AJ496" s="116">
        <v>3</v>
      </c>
      <c r="AK496" s="79">
        <v>6.5</v>
      </c>
      <c r="AL496" s="79">
        <v>22</v>
      </c>
      <c r="AM496" s="122">
        <v>6.8</v>
      </c>
      <c r="AN496" s="122">
        <v>6.5</v>
      </c>
      <c r="AO496" s="79">
        <v>0.2</v>
      </c>
      <c r="AP496" s="127">
        <v>0.26</v>
      </c>
      <c r="AQ496" s="132">
        <f t="shared" si="64"/>
        <v>1813</v>
      </c>
      <c r="AR496" s="134">
        <f t="shared" si="65"/>
        <v>0.59514616657473796</v>
      </c>
      <c r="AS496" s="134">
        <f t="shared" si="66"/>
        <v>4.6883618312189741E-2</v>
      </c>
      <c r="AT496" s="134">
        <f t="shared" si="67"/>
        <v>0.35797021511307225</v>
      </c>
      <c r="AU496" s="43">
        <f>IF(AND(F496&lt;&gt;"",Y496&lt;&gt;""),AA496/(F496/2/Y496),"")</f>
        <v>7.476635514018691E-2</v>
      </c>
      <c r="AV496" s="43">
        <f>IF(AND(F496&lt;&gt;"",AJ496&lt;&gt;""),AL496/(F496/2/AJ496),"")</f>
        <v>6.8535825545171333E-2</v>
      </c>
      <c r="AW496" s="43">
        <f>IF(AND(AP496&lt;&gt;"",1-(AP496/N496)&gt;0),1-(AP496/N496),"")</f>
        <v>0.90476190476190477</v>
      </c>
      <c r="AX496" s="41">
        <f>IF(AND(AE496&lt;&gt;"",1-(AE496/N496)&gt;0),1-(AE496/N496),"")</f>
        <v>0.90476190476190477</v>
      </c>
      <c r="AY496" s="136" t="str">
        <f>IF(P496="","",IF(P496&lt;2.5,"Alc. Bruta &lt; 2,5 mg/L",IF(P496&lt;5,"2,5 ≤ Alc. Bruta &lt; 5,0 mg/L",IF(P496&lt;7.5,"5,0 ≤ Alc. Bruta &lt; 7,5 mg/L",IF(P496&lt;10,"7,5 ≤ Alc. Bruta &lt; 10,0 mg/L",IF(P496&lt;15,"10,0 ≤ Alca. Bruta &lt; 15,0 mg/L","Alc. Bruta &gt; 15 mg/L"))))))</f>
        <v>5,0 ≤ Alc. Bruta &lt; 7,5 mg/L</v>
      </c>
      <c r="AZ496" s="136" t="str">
        <f>IF(O496="","",IF(O496&lt;5,"Cor &lt;5 uC",IF(O496&lt;10,"5 ≤ Cor &lt; 10 uC",IF(O496&lt;15,"10 ≤ Cor &lt;15 uC",IF(O496&lt;30,"15 ≤ Cor &lt; 30 uC",IF(O496&lt;50,"30 ≤ Cor &lt; 50 uC","Cor &gt; 50 uC"))))))</f>
        <v>10 ≤ Cor &lt;15 uC</v>
      </c>
      <c r="BA496" s="137" t="str">
        <f>IF(N496="","",IF(N496&lt;2.5,"Turbidez &lt; 2,5 uT",IF(N496&lt;5,"2,5 ≤ Turb &lt; 5,0 uT",IF(N496&lt;7.5,"5,0 ≤ Turb &lt; 7,5 uT",IF(N496&lt;10,"7,5 ≤ Turb &lt; 10,0 uT",IF(N496&lt;15,"10,0 ≤ Turb &lt; 15,0 uT","Turb &gt; 15 uT"))))))</f>
        <v>2,5 ≤ Turb &lt; 5,0 uT</v>
      </c>
      <c r="BB496" s="138" t="str">
        <f>IF(AND(C496&gt;D496,D496&gt;E496),"TOR &gt; SM &gt; BNN",IF(AND(C496&gt;E496,E496&gt;D496),"TOR &gt; BNN &gt; SM",IF(AND(D496&gt;C496,C496&gt;E496),"SM &gt; TOR &gt; BNN",IF(AND(D496&gt;E496,E496&gt;C496),"SM &gt; BNN &gt; TOR",IF(AND(C496=D496,D496=E496),"TOR = SM = BNN","Comb. diferentes")))))</f>
        <v>TOR &gt; BNN &gt; SM</v>
      </c>
      <c r="BC496" s="137" t="str">
        <f>IF(OR(AD496="",AP496="-"),"",IF(AD496&lt;=0.25,"Tipo 1 (≤0,25) uT",IF(AD496&lt;=0.5,"Tipo 2 (0,25-0,50) uT",IF(AD496&lt;=0.75,"Tipo 3 (0,50-0,75) uT","Tipo 4 (&gt;0,75) uT"))))</f>
        <v>Tipo 1 (≤0,25) uT</v>
      </c>
      <c r="BD496" s="137" t="str">
        <f>IF(OR(AO496="",AY496="-"),"",IF(AO496&lt;=0.25,"Tipo 1 (≤0,25) uT",IF(AO496&lt;=0.5,"Tipo 2 (0,25-0,50) uT",IF(AO496&lt;=0.75,"Tipo 3 (0,50-0,75) uT","Tipo 4 (&gt;0,75) uT"))))</f>
        <v>Tipo 1 (≤0,25) uT</v>
      </c>
      <c r="BE496" s="137" t="str">
        <f>IF(OR(AE496="",AP496="-"),"",IF(AE496&lt;=0.25,"Tipo 1 (≤0,25) uT",IF(AE496&lt;=0.5,"Tipo 2 (0,25-0,50) uT",IF(AE496&lt;=0.75,"Tipo 3 (0,50-0,75) uT","Tipo 4 (&gt;0,75) uT"))))</f>
        <v>Tipo 2 (0,25-0,50) uT</v>
      </c>
      <c r="BF496" s="137" t="str">
        <f>IF(OR(AP496="",AP496="-"),"",IF(AP496&lt;=0.25,"Tipo 1 (≤0,25) uT",IF(AP496&lt;=0.5,"Tipo 2 (0,25-0,50) uT",IF(AP496&lt;=0.75,"Tipo 3 (0,50-0,75) uT","Tipo 4 (&gt;0,75) uT"))))</f>
        <v>Tipo 2 (0,25-0,50) uT</v>
      </c>
      <c r="BG496" s="137" t="str">
        <f>IF(OR(Q496="",Q496="-"),"",IF(Q496&lt;=0.25,"Tipo 1 (≤0,25) uT",IF(Q496&lt;=0.5,"Tipo 2 (0,25-0,50) uT",IF(Q496&lt;=0.75,"Tipo 3 (0,50-0,75) uT","Tipo 4 (&gt;0,75) uT"))))</f>
        <v>Tipo 1 (≤0,25) uT</v>
      </c>
    </row>
    <row r="497" spans="1:59" x14ac:dyDescent="0.3">
      <c r="A497" s="26">
        <v>46178</v>
      </c>
      <c r="B497" s="107">
        <v>0.8125</v>
      </c>
      <c r="C497" s="116">
        <v>1117</v>
      </c>
      <c r="D497" s="116">
        <v>89</v>
      </c>
      <c r="E497" s="116">
        <v>651</v>
      </c>
      <c r="F497" s="116">
        <v>1856</v>
      </c>
      <c r="G497" s="10" t="s">
        <v>100</v>
      </c>
      <c r="H497" s="122">
        <v>7.3</v>
      </c>
      <c r="I497" s="116">
        <v>90</v>
      </c>
      <c r="J497" s="116">
        <v>90</v>
      </c>
      <c r="K497" s="116">
        <v>90</v>
      </c>
      <c r="L497" s="122">
        <v>21.7</v>
      </c>
      <c r="M497" s="122">
        <v>6.9</v>
      </c>
      <c r="N497" s="79">
        <v>2.57</v>
      </c>
      <c r="O497" s="116">
        <v>11</v>
      </c>
      <c r="P497" s="122">
        <v>8.6999999999999993</v>
      </c>
      <c r="Q497" s="79">
        <v>0.13</v>
      </c>
      <c r="R497" s="79">
        <v>22.36</v>
      </c>
      <c r="S497" s="79">
        <v>0.88</v>
      </c>
      <c r="T497" s="79">
        <v>0.7</v>
      </c>
      <c r="U497" s="85">
        <f t="shared" si="68"/>
        <v>1162.32</v>
      </c>
      <c r="V497" s="79">
        <f t="shared" si="69"/>
        <v>1534.0335140000002</v>
      </c>
      <c r="W497" s="79">
        <f t="shared" si="70"/>
        <v>1.3198030783261065</v>
      </c>
      <c r="X497" s="116">
        <v>2</v>
      </c>
      <c r="Y497" s="116">
        <v>4</v>
      </c>
      <c r="Z497" s="122">
        <v>6.5</v>
      </c>
      <c r="AA497" s="116">
        <v>19</v>
      </c>
      <c r="AB497" s="122">
        <v>6.7</v>
      </c>
      <c r="AC497" s="122">
        <v>7.2</v>
      </c>
      <c r="AD497" s="10">
        <v>0.28999999999999998</v>
      </c>
      <c r="AE497" s="79">
        <v>0.26</v>
      </c>
      <c r="AF497" s="85">
        <f t="shared" si="71"/>
        <v>1549.7599999999998</v>
      </c>
      <c r="AG497" s="85">
        <f t="shared" si="72"/>
        <v>1742.2625791999999</v>
      </c>
      <c r="AH497" s="85">
        <f t="shared" si="73"/>
        <v>1.1242144455915755</v>
      </c>
      <c r="AI497" s="116">
        <v>2</v>
      </c>
      <c r="AJ497" s="116">
        <v>3</v>
      </c>
      <c r="AK497" s="79">
        <v>6.4</v>
      </c>
      <c r="AL497" s="79">
        <v>22</v>
      </c>
      <c r="AM497" s="122">
        <v>6.7</v>
      </c>
      <c r="AN497" s="122">
        <v>8.1</v>
      </c>
      <c r="AO497" s="79">
        <v>0.16</v>
      </c>
      <c r="AP497" s="127">
        <v>0.27</v>
      </c>
      <c r="AQ497" s="132">
        <f t="shared" si="64"/>
        <v>1857</v>
      </c>
      <c r="AR497" s="134">
        <f t="shared" si="65"/>
        <v>0.60150780829294559</v>
      </c>
      <c r="AS497" s="134">
        <f t="shared" si="66"/>
        <v>4.7926763597199787E-2</v>
      </c>
      <c r="AT497" s="134">
        <f t="shared" si="67"/>
        <v>0.35056542810985458</v>
      </c>
      <c r="AU497" s="43">
        <f>IF(AND(F497&lt;&gt;"",Y497&lt;&gt;""),AA497/(F497/2/Y497),"")</f>
        <v>8.1896551724137928E-2</v>
      </c>
      <c r="AV497" s="43">
        <f>IF(AND(F497&lt;&gt;"",AJ497&lt;&gt;""),AL497/(F497/2/AJ497),"")</f>
        <v>7.1120689655172417E-2</v>
      </c>
      <c r="AW497" s="43">
        <f>IF(AND(AP497&lt;&gt;"",1-(AP497/N497)&gt;0),1-(AP497/N497),"")</f>
        <v>0.89494163424124507</v>
      </c>
      <c r="AX497" s="41">
        <f>IF(AND(AE497&lt;&gt;"",1-(AE497/N497)&gt;0),1-(AE497/N497),"")</f>
        <v>0.89883268482490275</v>
      </c>
      <c r="AY497" s="136" t="str">
        <f>IF(P497="","",IF(P497&lt;2.5,"Alc. Bruta &lt; 2,5 mg/L",IF(P497&lt;5,"2,5 ≤ Alc. Bruta &lt; 5,0 mg/L",IF(P497&lt;7.5,"5,0 ≤ Alc. Bruta &lt; 7,5 mg/L",IF(P497&lt;10,"7,5 ≤ Alc. Bruta &lt; 10,0 mg/L",IF(P497&lt;15,"10,0 ≤ Alca. Bruta &lt; 15,0 mg/L","Alc. Bruta &gt; 15 mg/L"))))))</f>
        <v>7,5 ≤ Alc. Bruta &lt; 10,0 mg/L</v>
      </c>
      <c r="AZ497" s="136" t="str">
        <f>IF(O497="","",IF(O497&lt;5,"Cor &lt;5 uC",IF(O497&lt;10,"5 ≤ Cor &lt; 10 uC",IF(O497&lt;15,"10 ≤ Cor &lt;15 uC",IF(O497&lt;30,"15 ≤ Cor &lt; 30 uC",IF(O497&lt;50,"30 ≤ Cor &lt; 50 uC","Cor &gt; 50 uC"))))))</f>
        <v>10 ≤ Cor &lt;15 uC</v>
      </c>
      <c r="BA497" s="137" t="str">
        <f>IF(N497="","",IF(N497&lt;2.5,"Turbidez &lt; 2,5 uT",IF(N497&lt;5,"2,5 ≤ Turb &lt; 5,0 uT",IF(N497&lt;7.5,"5,0 ≤ Turb &lt; 7,5 uT",IF(N497&lt;10,"7,5 ≤ Turb &lt; 10,0 uT",IF(N497&lt;15,"10,0 ≤ Turb &lt; 15,0 uT","Turb &gt; 15 uT"))))))</f>
        <v>2,5 ≤ Turb &lt; 5,0 uT</v>
      </c>
      <c r="BB497" s="138" t="str">
        <f>IF(AND(C497&gt;D497,D497&gt;E497),"TOR &gt; SM &gt; BNN",IF(AND(C497&gt;E497,E497&gt;D497),"TOR &gt; BNN &gt; SM",IF(AND(D497&gt;C497,C497&gt;E497),"SM &gt; TOR &gt; BNN",IF(AND(D497&gt;E497,E497&gt;C497),"SM &gt; BNN &gt; TOR",IF(AND(C497=D497,D497=E497),"TOR = SM = BNN","Comb. diferentes")))))</f>
        <v>TOR &gt; BNN &gt; SM</v>
      </c>
      <c r="BC497" s="137" t="str">
        <f>IF(OR(AD497="",AP497="-"),"",IF(AD497&lt;=0.25,"Tipo 1 (≤0,25) uT",IF(AD497&lt;=0.5,"Tipo 2 (0,25-0,50) uT",IF(AD497&lt;=0.75,"Tipo 3 (0,50-0,75) uT","Tipo 4 (&gt;0,75) uT"))))</f>
        <v>Tipo 2 (0,25-0,50) uT</v>
      </c>
      <c r="BD497" s="137" t="str">
        <f>IF(OR(AO497="",AY497="-"),"",IF(AO497&lt;=0.25,"Tipo 1 (≤0,25) uT",IF(AO497&lt;=0.5,"Tipo 2 (0,25-0,50) uT",IF(AO497&lt;=0.75,"Tipo 3 (0,50-0,75) uT","Tipo 4 (&gt;0,75) uT"))))</f>
        <v>Tipo 1 (≤0,25) uT</v>
      </c>
      <c r="BE497" s="137" t="str">
        <f>IF(OR(AE497="",AP497="-"),"",IF(AE497&lt;=0.25,"Tipo 1 (≤0,25) uT",IF(AE497&lt;=0.5,"Tipo 2 (0,25-0,50) uT",IF(AE497&lt;=0.75,"Tipo 3 (0,50-0,75) uT","Tipo 4 (&gt;0,75) uT"))))</f>
        <v>Tipo 2 (0,25-0,50) uT</v>
      </c>
      <c r="BF497" s="137" t="str">
        <f>IF(OR(AP497="",AP497="-"),"",IF(AP497&lt;=0.25,"Tipo 1 (≤0,25) uT",IF(AP497&lt;=0.5,"Tipo 2 (0,25-0,50) uT",IF(AP497&lt;=0.75,"Tipo 3 (0,50-0,75) uT","Tipo 4 (&gt;0,75) uT"))))</f>
        <v>Tipo 2 (0,25-0,50) uT</v>
      </c>
      <c r="BG497" s="137" t="str">
        <f>IF(OR(Q497="",Q497="-"),"",IF(Q497&lt;=0.25,"Tipo 1 (≤0,25) uT",IF(Q497&lt;=0.5,"Tipo 2 (0,25-0,50) uT",IF(Q497&lt;=0.75,"Tipo 3 (0,50-0,75) uT","Tipo 4 (&gt;0,75) uT"))))</f>
        <v>Tipo 1 (≤0,25) uT</v>
      </c>
    </row>
    <row r="498" spans="1:59" x14ac:dyDescent="0.3">
      <c r="A498" s="26">
        <v>46178</v>
      </c>
      <c r="B498" s="107">
        <v>0.89583333333333337</v>
      </c>
      <c r="C498" s="116">
        <v>1165</v>
      </c>
      <c r="D498" s="116">
        <v>92</v>
      </c>
      <c r="E498" s="116">
        <v>649</v>
      </c>
      <c r="F498" s="116">
        <v>2089</v>
      </c>
      <c r="G498" s="10" t="s">
        <v>100</v>
      </c>
      <c r="H498" s="122">
        <v>7.3</v>
      </c>
      <c r="I498" s="116">
        <v>90</v>
      </c>
      <c r="J498" s="116">
        <v>90</v>
      </c>
      <c r="K498" s="116">
        <v>90</v>
      </c>
      <c r="L498" s="122">
        <v>21.5</v>
      </c>
      <c r="M498" s="122">
        <v>6.9</v>
      </c>
      <c r="N498" s="79">
        <v>2.42</v>
      </c>
      <c r="O498" s="116">
        <v>7</v>
      </c>
      <c r="P498" s="122">
        <v>8.6999999999999993</v>
      </c>
      <c r="Q498" s="79">
        <v>0.09</v>
      </c>
      <c r="R498" s="79">
        <v>22.36</v>
      </c>
      <c r="S498" s="79">
        <v>0.88</v>
      </c>
      <c r="T498" s="79">
        <v>0.7</v>
      </c>
      <c r="U498" s="85">
        <f t="shared" si="68"/>
        <v>1269.0674999999999</v>
      </c>
      <c r="V498" s="79">
        <f t="shared" si="69"/>
        <v>1504.6813183999998</v>
      </c>
      <c r="W498" s="79">
        <f t="shared" si="70"/>
        <v>1.1856590121486839</v>
      </c>
      <c r="X498" s="116">
        <v>2</v>
      </c>
      <c r="Y498" s="116">
        <v>4</v>
      </c>
      <c r="Z498" s="122">
        <v>6.4</v>
      </c>
      <c r="AA498" s="116">
        <v>19</v>
      </c>
      <c r="AB498" s="122">
        <v>6.8</v>
      </c>
      <c r="AC498" s="122">
        <v>7.4</v>
      </c>
      <c r="AD498" s="10">
        <v>0.24</v>
      </c>
      <c r="AE498" s="79">
        <v>0.25</v>
      </c>
      <c r="AF498" s="85">
        <f t="shared" si="71"/>
        <v>1692.09</v>
      </c>
      <c r="AG498" s="85">
        <f t="shared" si="72"/>
        <v>1856.9879380000002</v>
      </c>
      <c r="AH498" s="85">
        <f t="shared" si="73"/>
        <v>1.0974522265364137</v>
      </c>
      <c r="AI498" s="116">
        <v>2</v>
      </c>
      <c r="AJ498" s="116">
        <v>3</v>
      </c>
      <c r="AK498" s="79">
        <v>6.5</v>
      </c>
      <c r="AL498" s="79">
        <v>23</v>
      </c>
      <c r="AM498" s="122">
        <v>6.8</v>
      </c>
      <c r="AN498" s="122">
        <v>6.9</v>
      </c>
      <c r="AO498" s="79">
        <v>0.22</v>
      </c>
      <c r="AP498" s="127">
        <v>0.26</v>
      </c>
      <c r="AQ498" s="132">
        <f t="shared" si="64"/>
        <v>1906</v>
      </c>
      <c r="AR498" s="134">
        <f t="shared" si="65"/>
        <v>0.61122770199370413</v>
      </c>
      <c r="AS498" s="134">
        <f t="shared" si="66"/>
        <v>4.8268625393494226E-2</v>
      </c>
      <c r="AT498" s="134">
        <f t="shared" si="67"/>
        <v>0.34050367261280168</v>
      </c>
      <c r="AU498" s="43">
        <f>IF(AND(F498&lt;&gt;"",Y498&lt;&gt;""),AA498/(F498/2/Y498),"")</f>
        <v>7.2762087123025371E-2</v>
      </c>
      <c r="AV498" s="43">
        <f>IF(AND(F498&lt;&gt;"",AJ498&lt;&gt;""),AL498/(F498/2/AJ498),"")</f>
        <v>6.6060315940641448E-2</v>
      </c>
      <c r="AW498" s="43">
        <f>IF(AND(AP498&lt;&gt;"",1-(AP498/N498)&gt;0),1-(AP498/N498),"")</f>
        <v>0.8925619834710744</v>
      </c>
      <c r="AX498" s="41">
        <f>IF(AND(AE498&lt;&gt;"",1-(AE498/N498)&gt;0),1-(AE498/N498),"")</f>
        <v>0.89669421487603307</v>
      </c>
      <c r="AY498" s="136" t="str">
        <f>IF(P498="","",IF(P498&lt;2.5,"Alc. Bruta &lt; 2,5 mg/L",IF(P498&lt;5,"2,5 ≤ Alc. Bruta &lt; 5,0 mg/L",IF(P498&lt;7.5,"5,0 ≤ Alc. Bruta &lt; 7,5 mg/L",IF(P498&lt;10,"7,5 ≤ Alc. Bruta &lt; 10,0 mg/L",IF(P498&lt;15,"10,0 ≤ Alca. Bruta &lt; 15,0 mg/L","Alc. Bruta &gt; 15 mg/L"))))))</f>
        <v>7,5 ≤ Alc. Bruta &lt; 10,0 mg/L</v>
      </c>
      <c r="AZ498" s="136" t="str">
        <f>IF(O498="","",IF(O498&lt;5,"Cor &lt;5 uC",IF(O498&lt;10,"5 ≤ Cor &lt; 10 uC",IF(O498&lt;15,"10 ≤ Cor &lt;15 uC",IF(O498&lt;30,"15 ≤ Cor &lt; 30 uC",IF(O498&lt;50,"30 ≤ Cor &lt; 50 uC","Cor &gt; 50 uC"))))))</f>
        <v>5 ≤ Cor &lt; 10 uC</v>
      </c>
      <c r="BA498" s="137" t="str">
        <f>IF(N498="","",IF(N498&lt;2.5,"Turbidez &lt; 2,5 uT",IF(N498&lt;5,"2,5 ≤ Turb &lt; 5,0 uT",IF(N498&lt;7.5,"5,0 ≤ Turb &lt; 7,5 uT",IF(N498&lt;10,"7,5 ≤ Turb &lt; 10,0 uT",IF(N498&lt;15,"10,0 ≤ Turb &lt; 15,0 uT","Turb &gt; 15 uT"))))))</f>
        <v>Turbidez &lt; 2,5 uT</v>
      </c>
      <c r="BB498" s="138" t="str">
        <f>IF(AND(C498&gt;D498,D498&gt;E498),"TOR &gt; SM &gt; BNN",IF(AND(C498&gt;E498,E498&gt;D498),"TOR &gt; BNN &gt; SM",IF(AND(D498&gt;C498,C498&gt;E498),"SM &gt; TOR &gt; BNN",IF(AND(D498&gt;E498,E498&gt;C498),"SM &gt; BNN &gt; TOR",IF(AND(C498=D498,D498=E498),"TOR = SM = BNN","Comb. diferentes")))))</f>
        <v>TOR &gt; BNN &gt; SM</v>
      </c>
      <c r="BC498" s="137" t="str">
        <f>IF(OR(AD498="",AP498="-"),"",IF(AD498&lt;=0.25,"Tipo 1 (≤0,25) uT",IF(AD498&lt;=0.5,"Tipo 2 (0,25-0,50) uT",IF(AD498&lt;=0.75,"Tipo 3 (0,50-0,75) uT","Tipo 4 (&gt;0,75) uT"))))</f>
        <v>Tipo 1 (≤0,25) uT</v>
      </c>
      <c r="BD498" s="137" t="str">
        <f>IF(OR(AO498="",AY498="-"),"",IF(AO498&lt;=0.25,"Tipo 1 (≤0,25) uT",IF(AO498&lt;=0.5,"Tipo 2 (0,25-0,50) uT",IF(AO498&lt;=0.75,"Tipo 3 (0,50-0,75) uT","Tipo 4 (&gt;0,75) uT"))))</f>
        <v>Tipo 1 (≤0,25) uT</v>
      </c>
      <c r="BE498" s="137" t="str">
        <f>IF(OR(AE498="",AP498="-"),"",IF(AE498&lt;=0.25,"Tipo 1 (≤0,25) uT",IF(AE498&lt;=0.5,"Tipo 2 (0,25-0,50) uT",IF(AE498&lt;=0.75,"Tipo 3 (0,50-0,75) uT","Tipo 4 (&gt;0,75) uT"))))</f>
        <v>Tipo 1 (≤0,25) uT</v>
      </c>
      <c r="BF498" s="137" t="str">
        <f>IF(OR(AP498="",AP498="-"),"",IF(AP498&lt;=0.25,"Tipo 1 (≤0,25) uT",IF(AP498&lt;=0.5,"Tipo 2 (0,25-0,50) uT",IF(AP498&lt;=0.75,"Tipo 3 (0,50-0,75) uT","Tipo 4 (&gt;0,75) uT"))))</f>
        <v>Tipo 2 (0,25-0,50) uT</v>
      </c>
      <c r="BG498" s="137" t="str">
        <f>IF(OR(Q498="",Q498="-"),"",IF(Q498&lt;=0.25,"Tipo 1 (≤0,25) uT",IF(Q498&lt;=0.5,"Tipo 2 (0,25-0,50) uT",IF(Q498&lt;=0.75,"Tipo 3 (0,50-0,75) uT","Tipo 4 (&gt;0,75) uT"))))</f>
        <v>Tipo 1 (≤0,25) uT</v>
      </c>
    </row>
    <row r="499" spans="1:59" x14ac:dyDescent="0.3">
      <c r="A499" s="26">
        <v>46179</v>
      </c>
      <c r="B499" s="107">
        <v>6.25E-2</v>
      </c>
      <c r="C499" s="116">
        <v>1110</v>
      </c>
      <c r="D499" s="116">
        <v>90</v>
      </c>
      <c r="E499" s="116">
        <v>650</v>
      </c>
      <c r="F499" s="116">
        <v>1932</v>
      </c>
      <c r="G499" s="10" t="s">
        <v>100</v>
      </c>
      <c r="H499" s="122">
        <v>7.3</v>
      </c>
      <c r="I499" s="116">
        <v>90</v>
      </c>
      <c r="J499" s="116">
        <v>90</v>
      </c>
      <c r="K499" s="116">
        <v>90</v>
      </c>
      <c r="L499" s="122">
        <v>20.7</v>
      </c>
      <c r="M499" s="122">
        <v>6.8</v>
      </c>
      <c r="N499" s="79">
        <v>2.4700000000000002</v>
      </c>
      <c r="O499" s="116">
        <v>9</v>
      </c>
      <c r="P499" s="122">
        <v>9.3000000000000007</v>
      </c>
      <c r="Q499" s="79">
        <v>0.11</v>
      </c>
      <c r="R499" s="79">
        <v>22.36</v>
      </c>
      <c r="S499" s="79">
        <v>0.88</v>
      </c>
      <c r="T499" s="79">
        <v>0.7</v>
      </c>
      <c r="U499" s="85">
        <f t="shared" si="68"/>
        <v>1185.7650000000001</v>
      </c>
      <c r="V499" s="79">
        <f t="shared" si="69"/>
        <v>1453.2949080000001</v>
      </c>
      <c r="W499" s="79">
        <f t="shared" si="70"/>
        <v>1.2256179833272192</v>
      </c>
      <c r="X499" s="116">
        <v>2</v>
      </c>
      <c r="Y499" s="116">
        <v>4</v>
      </c>
      <c r="Z499" s="122">
        <v>6.5</v>
      </c>
      <c r="AA499" s="116">
        <v>18</v>
      </c>
      <c r="AB499" s="122">
        <v>6.7</v>
      </c>
      <c r="AC499" s="122">
        <v>7.4</v>
      </c>
      <c r="AD499" s="10">
        <v>0.22</v>
      </c>
      <c r="AE499" s="79">
        <v>0.3</v>
      </c>
      <c r="AF499" s="85">
        <f t="shared" si="71"/>
        <v>1581.02</v>
      </c>
      <c r="AG499" s="85">
        <f t="shared" si="72"/>
        <v>1856.9879380000002</v>
      </c>
      <c r="AH499" s="85">
        <f t="shared" si="73"/>
        <v>1.1745505673552519</v>
      </c>
      <c r="AI499" s="116">
        <v>2</v>
      </c>
      <c r="AJ499" s="116">
        <v>3</v>
      </c>
      <c r="AK499" s="79">
        <v>6.5</v>
      </c>
      <c r="AL499" s="79">
        <v>23</v>
      </c>
      <c r="AM499" s="122">
        <v>6.7</v>
      </c>
      <c r="AN499" s="122">
        <v>7.8</v>
      </c>
      <c r="AO499" s="79">
        <v>0.22</v>
      </c>
      <c r="AP499" s="127">
        <v>0.28999999999999998</v>
      </c>
      <c r="AQ499" s="132">
        <f t="shared" si="64"/>
        <v>1850</v>
      </c>
      <c r="AR499" s="134">
        <f t="shared" si="65"/>
        <v>0.6</v>
      </c>
      <c r="AS499" s="134">
        <f t="shared" si="66"/>
        <v>4.8648648648648651E-2</v>
      </c>
      <c r="AT499" s="134">
        <f t="shared" si="67"/>
        <v>0.35135135135135137</v>
      </c>
      <c r="AU499" s="43">
        <f>IF(AND(F499&lt;&gt;"",Y499&lt;&gt;""),AA499/(F499/2/Y499),"")</f>
        <v>7.4534161490683232E-2</v>
      </c>
      <c r="AV499" s="43">
        <f>IF(AND(F499&lt;&gt;"",AJ499&lt;&gt;""),AL499/(F499/2/AJ499),"")</f>
        <v>7.1428571428571425E-2</v>
      </c>
      <c r="AW499" s="43">
        <f>IF(AND(AP499&lt;&gt;"",1-(AP499/N499)&gt;0),1-(AP499/N499),"")</f>
        <v>0.88259109311740891</v>
      </c>
      <c r="AX499" s="41">
        <f>IF(AND(AE499&lt;&gt;"",1-(AE499/N499)&gt;0),1-(AE499/N499),"")</f>
        <v>0.87854251012145745</v>
      </c>
      <c r="AY499" s="136" t="str">
        <f>IF(P499="","",IF(P499&lt;2.5,"Alc. Bruta &lt; 2,5 mg/L",IF(P499&lt;5,"2,5 ≤ Alc. Bruta &lt; 5,0 mg/L",IF(P499&lt;7.5,"5,0 ≤ Alc. Bruta &lt; 7,5 mg/L",IF(P499&lt;10,"7,5 ≤ Alc. Bruta &lt; 10,0 mg/L",IF(P499&lt;15,"10,0 ≤ Alca. Bruta &lt; 15,0 mg/L","Alc. Bruta &gt; 15 mg/L"))))))</f>
        <v>7,5 ≤ Alc. Bruta &lt; 10,0 mg/L</v>
      </c>
      <c r="AZ499" s="136" t="str">
        <f>IF(O499="","",IF(O499&lt;5,"Cor &lt;5 uC",IF(O499&lt;10,"5 ≤ Cor &lt; 10 uC",IF(O499&lt;15,"10 ≤ Cor &lt;15 uC",IF(O499&lt;30,"15 ≤ Cor &lt; 30 uC",IF(O499&lt;50,"30 ≤ Cor &lt; 50 uC","Cor &gt; 50 uC"))))))</f>
        <v>5 ≤ Cor &lt; 10 uC</v>
      </c>
      <c r="BA499" s="137" t="str">
        <f>IF(N499="","",IF(N499&lt;2.5,"Turbidez &lt; 2,5 uT",IF(N499&lt;5,"2,5 ≤ Turb &lt; 5,0 uT",IF(N499&lt;7.5,"5,0 ≤ Turb &lt; 7,5 uT",IF(N499&lt;10,"7,5 ≤ Turb &lt; 10,0 uT",IF(N499&lt;15,"10,0 ≤ Turb &lt; 15,0 uT","Turb &gt; 15 uT"))))))</f>
        <v>Turbidez &lt; 2,5 uT</v>
      </c>
      <c r="BB499" s="138" t="str">
        <f>IF(AND(C499&gt;D499,D499&gt;E499),"TOR &gt; SM &gt; BNN",IF(AND(C499&gt;E499,E499&gt;D499),"TOR &gt; BNN &gt; SM",IF(AND(D499&gt;C499,C499&gt;E499),"SM &gt; TOR &gt; BNN",IF(AND(D499&gt;E499,E499&gt;C499),"SM &gt; BNN &gt; TOR",IF(AND(C499=D499,D499=E499),"TOR = SM = BNN","Comb. diferentes")))))</f>
        <v>TOR &gt; BNN &gt; SM</v>
      </c>
      <c r="BC499" s="137" t="str">
        <f>IF(OR(AD499="",AP499="-"),"",IF(AD499&lt;=0.25,"Tipo 1 (≤0,25) uT",IF(AD499&lt;=0.5,"Tipo 2 (0,25-0,50) uT",IF(AD499&lt;=0.75,"Tipo 3 (0,50-0,75) uT","Tipo 4 (&gt;0,75) uT"))))</f>
        <v>Tipo 1 (≤0,25) uT</v>
      </c>
      <c r="BD499" s="137" t="str">
        <f>IF(OR(AO499="",AY499="-"),"",IF(AO499&lt;=0.25,"Tipo 1 (≤0,25) uT",IF(AO499&lt;=0.5,"Tipo 2 (0,25-0,50) uT",IF(AO499&lt;=0.75,"Tipo 3 (0,50-0,75) uT","Tipo 4 (&gt;0,75) uT"))))</f>
        <v>Tipo 1 (≤0,25) uT</v>
      </c>
      <c r="BE499" s="137" t="str">
        <f>IF(OR(AE499="",AP499="-"),"",IF(AE499&lt;=0.25,"Tipo 1 (≤0,25) uT",IF(AE499&lt;=0.5,"Tipo 2 (0,25-0,50) uT",IF(AE499&lt;=0.75,"Tipo 3 (0,50-0,75) uT","Tipo 4 (&gt;0,75) uT"))))</f>
        <v>Tipo 2 (0,25-0,50) uT</v>
      </c>
      <c r="BF499" s="137" t="str">
        <f>IF(OR(AP499="",AP499="-"),"",IF(AP499&lt;=0.25,"Tipo 1 (≤0,25) uT",IF(AP499&lt;=0.5,"Tipo 2 (0,25-0,50) uT",IF(AP499&lt;=0.75,"Tipo 3 (0,50-0,75) uT","Tipo 4 (&gt;0,75) uT"))))</f>
        <v>Tipo 2 (0,25-0,50) uT</v>
      </c>
      <c r="BG499" s="137" t="str">
        <f>IF(OR(Q499="",Q499="-"),"",IF(Q499&lt;=0.25,"Tipo 1 (≤0,25) uT",IF(Q499&lt;=0.5,"Tipo 2 (0,25-0,50) uT",IF(Q499&lt;=0.75,"Tipo 3 (0,50-0,75) uT","Tipo 4 (&gt;0,75) uT"))))</f>
        <v>Tipo 1 (≤0,25) uT</v>
      </c>
    </row>
    <row r="500" spans="1:59" x14ac:dyDescent="0.3">
      <c r="A500" s="26">
        <v>46179</v>
      </c>
      <c r="B500" s="107">
        <v>0.14583333333333334</v>
      </c>
      <c r="C500" s="116">
        <v>1137</v>
      </c>
      <c r="D500" s="116">
        <v>87</v>
      </c>
      <c r="E500" s="116">
        <v>650</v>
      </c>
      <c r="F500" s="116">
        <v>1970</v>
      </c>
      <c r="G500" s="10" t="s">
        <v>100</v>
      </c>
      <c r="H500" s="122">
        <v>7.3</v>
      </c>
      <c r="I500" s="116">
        <v>90</v>
      </c>
      <c r="J500" s="116">
        <v>90</v>
      </c>
      <c r="K500" s="116">
        <v>90</v>
      </c>
      <c r="L500" s="122">
        <v>20.3</v>
      </c>
      <c r="M500" s="122">
        <v>6.8</v>
      </c>
      <c r="N500" s="79">
        <v>2.4500000000000002</v>
      </c>
      <c r="O500" s="116">
        <v>10</v>
      </c>
      <c r="P500" s="122">
        <v>8</v>
      </c>
      <c r="Q500" s="79">
        <v>0.09</v>
      </c>
      <c r="R500" s="79">
        <v>22.36</v>
      </c>
      <c r="S500" s="79">
        <v>0.88</v>
      </c>
      <c r="T500" s="79">
        <v>0.7</v>
      </c>
      <c r="U500" s="85">
        <f t="shared" si="68"/>
        <v>1204.1625000000001</v>
      </c>
      <c r="V500" s="79">
        <f t="shared" si="69"/>
        <v>1453.2949080000001</v>
      </c>
      <c r="W500" s="79">
        <f t="shared" si="70"/>
        <v>1.2068926810127369</v>
      </c>
      <c r="X500" s="116">
        <v>2</v>
      </c>
      <c r="Y500" s="116">
        <v>4</v>
      </c>
      <c r="Z500" s="122">
        <v>6.5</v>
      </c>
      <c r="AA500" s="116">
        <v>18</v>
      </c>
      <c r="AB500" s="122">
        <v>6.7</v>
      </c>
      <c r="AC500" s="122">
        <v>7</v>
      </c>
      <c r="AD500" s="10">
        <v>0.23</v>
      </c>
      <c r="AE500" s="79">
        <v>0.26</v>
      </c>
      <c r="AF500" s="85">
        <f t="shared" si="71"/>
        <v>1605.5500000000002</v>
      </c>
      <c r="AG500" s="85">
        <f t="shared" si="72"/>
        <v>1776.2493320000001</v>
      </c>
      <c r="AH500" s="85">
        <f t="shared" si="73"/>
        <v>1.1063182909283422</v>
      </c>
      <c r="AI500" s="116">
        <v>2</v>
      </c>
      <c r="AJ500" s="116">
        <v>3</v>
      </c>
      <c r="AK500" s="79">
        <v>6.5</v>
      </c>
      <c r="AL500" s="79">
        <v>22</v>
      </c>
      <c r="AM500" s="122">
        <v>6.8</v>
      </c>
      <c r="AN500" s="122">
        <v>7.4</v>
      </c>
      <c r="AO500" s="79">
        <v>0.21</v>
      </c>
      <c r="AP500" s="127">
        <v>0.27</v>
      </c>
      <c r="AQ500" s="132">
        <f t="shared" si="64"/>
        <v>1874</v>
      </c>
      <c r="AR500" s="134">
        <f t="shared" si="65"/>
        <v>0.60672358591248665</v>
      </c>
      <c r="AS500" s="134">
        <f t="shared" si="66"/>
        <v>4.6424759871931696E-2</v>
      </c>
      <c r="AT500" s="134">
        <f t="shared" si="67"/>
        <v>0.34685165421558162</v>
      </c>
      <c r="AU500" s="43">
        <f>IF(AND(F500&lt;&gt;"",Y500&lt;&gt;""),AA500/(F500/2/Y500),"")</f>
        <v>7.309644670050762E-2</v>
      </c>
      <c r="AV500" s="43">
        <f>IF(AND(F500&lt;&gt;"",AJ500&lt;&gt;""),AL500/(F500/2/AJ500),"")</f>
        <v>6.7005076142131983E-2</v>
      </c>
      <c r="AW500" s="43">
        <f>IF(AND(AP500&lt;&gt;"",1-(AP500/N500)&gt;0),1-(AP500/N500),"")</f>
        <v>0.88979591836734695</v>
      </c>
      <c r="AX500" s="41">
        <f>IF(AND(AE500&lt;&gt;"",1-(AE500/N500)&gt;0),1-(AE500/N500),"")</f>
        <v>0.89387755102040822</v>
      </c>
      <c r="AY500" s="136" t="str">
        <f>IF(P500="","",IF(P500&lt;2.5,"Alc. Bruta &lt; 2,5 mg/L",IF(P500&lt;5,"2,5 ≤ Alc. Bruta &lt; 5,0 mg/L",IF(P500&lt;7.5,"5,0 ≤ Alc. Bruta &lt; 7,5 mg/L",IF(P500&lt;10,"7,5 ≤ Alc. Bruta &lt; 10,0 mg/L",IF(P500&lt;15,"10,0 ≤ Alca. Bruta &lt; 15,0 mg/L","Alc. Bruta &gt; 15 mg/L"))))))</f>
        <v>7,5 ≤ Alc. Bruta &lt; 10,0 mg/L</v>
      </c>
      <c r="AZ500" s="136" t="str">
        <f>IF(O500="","",IF(O500&lt;5,"Cor &lt;5 uC",IF(O500&lt;10,"5 ≤ Cor &lt; 10 uC",IF(O500&lt;15,"10 ≤ Cor &lt;15 uC",IF(O500&lt;30,"15 ≤ Cor &lt; 30 uC",IF(O500&lt;50,"30 ≤ Cor &lt; 50 uC","Cor &gt; 50 uC"))))))</f>
        <v>10 ≤ Cor &lt;15 uC</v>
      </c>
      <c r="BA500" s="137" t="str">
        <f>IF(N500="","",IF(N500&lt;2.5,"Turbidez &lt; 2,5 uT",IF(N500&lt;5,"2,5 ≤ Turb &lt; 5,0 uT",IF(N500&lt;7.5,"5,0 ≤ Turb &lt; 7,5 uT",IF(N500&lt;10,"7,5 ≤ Turb &lt; 10,0 uT",IF(N500&lt;15,"10,0 ≤ Turb &lt; 15,0 uT","Turb &gt; 15 uT"))))))</f>
        <v>Turbidez &lt; 2,5 uT</v>
      </c>
      <c r="BB500" s="138" t="str">
        <f>IF(AND(C500&gt;D500,D500&gt;E500),"TOR &gt; SM &gt; BNN",IF(AND(C500&gt;E500,E500&gt;D500),"TOR &gt; BNN &gt; SM",IF(AND(D500&gt;C500,C500&gt;E500),"SM &gt; TOR &gt; BNN",IF(AND(D500&gt;E500,E500&gt;C500),"SM &gt; BNN &gt; TOR",IF(AND(C500=D500,D500=E500),"TOR = SM = BNN","Comb. diferentes")))))</f>
        <v>TOR &gt; BNN &gt; SM</v>
      </c>
      <c r="BC500" s="137" t="str">
        <f>IF(OR(AD500="",AP500="-"),"",IF(AD500&lt;=0.25,"Tipo 1 (≤0,25) uT",IF(AD500&lt;=0.5,"Tipo 2 (0,25-0,50) uT",IF(AD500&lt;=0.75,"Tipo 3 (0,50-0,75) uT","Tipo 4 (&gt;0,75) uT"))))</f>
        <v>Tipo 1 (≤0,25) uT</v>
      </c>
      <c r="BD500" s="137" t="str">
        <f>IF(OR(AO500="",AY500="-"),"",IF(AO500&lt;=0.25,"Tipo 1 (≤0,25) uT",IF(AO500&lt;=0.5,"Tipo 2 (0,25-0,50) uT",IF(AO500&lt;=0.75,"Tipo 3 (0,50-0,75) uT","Tipo 4 (&gt;0,75) uT"))))</f>
        <v>Tipo 1 (≤0,25) uT</v>
      </c>
      <c r="BE500" s="137" t="str">
        <f>IF(OR(AE500="",AP500="-"),"",IF(AE500&lt;=0.25,"Tipo 1 (≤0,25) uT",IF(AE500&lt;=0.5,"Tipo 2 (0,25-0,50) uT",IF(AE500&lt;=0.75,"Tipo 3 (0,50-0,75) uT","Tipo 4 (&gt;0,75) uT"))))</f>
        <v>Tipo 2 (0,25-0,50) uT</v>
      </c>
      <c r="BF500" s="137" t="str">
        <f>IF(OR(AP500="",AP500="-"),"",IF(AP500&lt;=0.25,"Tipo 1 (≤0,25) uT",IF(AP500&lt;=0.5,"Tipo 2 (0,25-0,50) uT",IF(AP500&lt;=0.75,"Tipo 3 (0,50-0,75) uT","Tipo 4 (&gt;0,75) uT"))))</f>
        <v>Tipo 2 (0,25-0,50) uT</v>
      </c>
      <c r="BG500" s="137" t="str">
        <f>IF(OR(Q500="",Q500="-"),"",IF(Q500&lt;=0.25,"Tipo 1 (≤0,25) uT",IF(Q500&lt;=0.5,"Tipo 2 (0,25-0,50) uT",IF(Q500&lt;=0.75,"Tipo 3 (0,50-0,75) uT","Tipo 4 (&gt;0,75) uT"))))</f>
        <v>Tipo 1 (≤0,25) uT</v>
      </c>
    </row>
    <row r="501" spans="1:59" ht="15" thickBot="1" x14ac:dyDescent="0.35">
      <c r="A501" s="26">
        <v>46179</v>
      </c>
      <c r="B501" s="110">
        <v>0.22916666666666666</v>
      </c>
      <c r="C501" s="117">
        <v>1005</v>
      </c>
      <c r="D501" s="117">
        <v>92</v>
      </c>
      <c r="E501" s="117">
        <v>651</v>
      </c>
      <c r="F501" s="117">
        <v>2087</v>
      </c>
      <c r="G501" s="11" t="s">
        <v>100</v>
      </c>
      <c r="H501" s="123">
        <v>7.3</v>
      </c>
      <c r="I501" s="117">
        <v>90</v>
      </c>
      <c r="J501" s="117">
        <v>90</v>
      </c>
      <c r="K501" s="117">
        <v>90</v>
      </c>
      <c r="L501" s="123">
        <v>19.899999999999999</v>
      </c>
      <c r="M501" s="123">
        <v>6.8</v>
      </c>
      <c r="N501" s="80">
        <v>2.73</v>
      </c>
      <c r="O501" s="117">
        <v>9</v>
      </c>
      <c r="P501" s="123">
        <v>8.1999999999999993</v>
      </c>
      <c r="Q501" s="80">
        <v>0.09</v>
      </c>
      <c r="R501" s="79">
        <v>22.36</v>
      </c>
      <c r="S501" s="79">
        <v>0.88</v>
      </c>
      <c r="T501" s="79">
        <v>0.7</v>
      </c>
      <c r="U501" s="85">
        <f t="shared" si="68"/>
        <v>1348.7237499999999</v>
      </c>
      <c r="V501" s="79">
        <f t="shared" si="69"/>
        <v>1425.4875648</v>
      </c>
      <c r="W501" s="79">
        <f t="shared" si="70"/>
        <v>1.0569158916345918</v>
      </c>
      <c r="X501" s="117">
        <v>2</v>
      </c>
      <c r="Y501" s="117">
        <v>4</v>
      </c>
      <c r="Z501" s="123">
        <v>6.4</v>
      </c>
      <c r="AA501" s="117">
        <v>18</v>
      </c>
      <c r="AB501" s="122">
        <v>6.7</v>
      </c>
      <c r="AC501" s="123">
        <v>6.9</v>
      </c>
      <c r="AD501" s="11">
        <v>0.23</v>
      </c>
      <c r="AE501" s="80">
        <v>0.26</v>
      </c>
      <c r="AF501" s="85">
        <f t="shared" si="71"/>
        <v>1798.2983333333332</v>
      </c>
      <c r="AG501" s="85">
        <f t="shared" si="72"/>
        <v>1856.9879380000002</v>
      </c>
      <c r="AH501" s="85">
        <f t="shared" si="73"/>
        <v>1.0326361892122091</v>
      </c>
      <c r="AI501" s="117">
        <v>2</v>
      </c>
      <c r="AJ501" s="117">
        <v>3</v>
      </c>
      <c r="AK501" s="80">
        <v>6.5</v>
      </c>
      <c r="AL501" s="80">
        <v>23</v>
      </c>
      <c r="AM501" s="123">
        <v>6.7</v>
      </c>
      <c r="AN501" s="123">
        <v>7.2</v>
      </c>
      <c r="AO501" s="80">
        <v>0.14000000000000001</v>
      </c>
      <c r="AP501" s="128">
        <v>0.28000000000000003</v>
      </c>
      <c r="AQ501" s="132">
        <f t="shared" si="64"/>
        <v>1748</v>
      </c>
      <c r="AR501" s="134">
        <f t="shared" si="65"/>
        <v>0.57494279176201368</v>
      </c>
      <c r="AS501" s="134">
        <f t="shared" si="66"/>
        <v>5.2631578947368418E-2</v>
      </c>
      <c r="AT501" s="134">
        <f t="shared" si="67"/>
        <v>0.37242562929061784</v>
      </c>
      <c r="AU501" s="43">
        <f>IF(AND(F501&lt;&gt;"",Y501&lt;&gt;""),AA501/(F501/2/Y501),"")</f>
        <v>6.8998562529947294E-2</v>
      </c>
      <c r="AV501" s="43">
        <f>IF(AND(F501&lt;&gt;"",AJ501&lt;&gt;""),AL501/(F501/2/AJ501),"")</f>
        <v>6.6123622424532832E-2</v>
      </c>
      <c r="AW501" s="43">
        <f>IF(AND(AP501&lt;&gt;"",1-(AP501/N501)&gt;0),1-(AP501/N501),"")</f>
        <v>0.89743589743589747</v>
      </c>
      <c r="AX501" s="41">
        <f>IF(AND(AE501&lt;&gt;"",1-(AE501/N501)&gt;0),1-(AE501/N501),"")</f>
        <v>0.90476190476190477</v>
      </c>
      <c r="AY501" s="136" t="str">
        <f>IF(P501="","",IF(P501&lt;2.5,"Alc. Bruta &lt; 2,5 mg/L",IF(P501&lt;5,"2,5 ≤ Alc. Bruta &lt; 5,0 mg/L",IF(P501&lt;7.5,"5,0 ≤ Alc. Bruta &lt; 7,5 mg/L",IF(P501&lt;10,"7,5 ≤ Alc. Bruta &lt; 10,0 mg/L",IF(P501&lt;15,"10,0 ≤ Alca. Bruta &lt; 15,0 mg/L","Alc. Bruta &gt; 15 mg/L"))))))</f>
        <v>7,5 ≤ Alc. Bruta &lt; 10,0 mg/L</v>
      </c>
      <c r="AZ501" s="136" t="str">
        <f>IF(O501="","",IF(O501&lt;5,"Cor &lt;5 uC",IF(O501&lt;10,"5 ≤ Cor &lt; 10 uC",IF(O501&lt;15,"10 ≤ Cor &lt;15 uC",IF(O501&lt;30,"15 ≤ Cor &lt; 30 uC",IF(O501&lt;50,"30 ≤ Cor &lt; 50 uC","Cor &gt; 50 uC"))))))</f>
        <v>5 ≤ Cor &lt; 10 uC</v>
      </c>
      <c r="BA501" s="137" t="str">
        <f>IF(N501="","",IF(N501&lt;2.5,"Turbidez &lt; 2,5 uT",IF(N501&lt;5,"2,5 ≤ Turb &lt; 5,0 uT",IF(N501&lt;7.5,"5,0 ≤ Turb &lt; 7,5 uT",IF(N501&lt;10,"7,5 ≤ Turb &lt; 10,0 uT",IF(N501&lt;15,"10,0 ≤ Turb &lt; 15,0 uT","Turb &gt; 15 uT"))))))</f>
        <v>2,5 ≤ Turb &lt; 5,0 uT</v>
      </c>
      <c r="BB501" s="138" t="str">
        <f>IF(AND(C501&gt;D501,D501&gt;E501),"TOR &gt; SM &gt; BNN",IF(AND(C501&gt;E501,E501&gt;D501),"TOR &gt; BNN &gt; SM",IF(AND(D501&gt;C501,C501&gt;E501),"SM &gt; TOR &gt; BNN",IF(AND(D501&gt;E501,E501&gt;C501),"SM &gt; BNN &gt; TOR",IF(AND(C501=D501,D501=E501),"TOR = SM = BNN","Comb. diferentes")))))</f>
        <v>TOR &gt; BNN &gt; SM</v>
      </c>
      <c r="BC501" s="137" t="str">
        <f>IF(OR(AD501="",AP501="-"),"",IF(AD501&lt;=0.25,"Tipo 1 (≤0,25) uT",IF(AD501&lt;=0.5,"Tipo 2 (0,25-0,50) uT",IF(AD501&lt;=0.75,"Tipo 3 (0,50-0,75) uT","Tipo 4 (&gt;0,75) uT"))))</f>
        <v>Tipo 1 (≤0,25) uT</v>
      </c>
      <c r="BD501" s="137" t="str">
        <f>IF(OR(AO501="",AY501="-"),"",IF(AO501&lt;=0.25,"Tipo 1 (≤0,25) uT",IF(AO501&lt;=0.5,"Tipo 2 (0,25-0,50) uT",IF(AO501&lt;=0.75,"Tipo 3 (0,50-0,75) uT","Tipo 4 (&gt;0,75) uT"))))</f>
        <v>Tipo 1 (≤0,25) uT</v>
      </c>
      <c r="BE501" s="137" t="str">
        <f>IF(OR(AE501="",AP501="-"),"",IF(AE501&lt;=0.25,"Tipo 1 (≤0,25) uT",IF(AE501&lt;=0.5,"Tipo 2 (0,25-0,50) uT",IF(AE501&lt;=0.75,"Tipo 3 (0,50-0,75) uT","Tipo 4 (&gt;0,75) uT"))))</f>
        <v>Tipo 2 (0,25-0,50) uT</v>
      </c>
      <c r="BF501" s="137" t="str">
        <f>IF(OR(AP501="",AP501="-"),"",IF(AP501&lt;=0.25,"Tipo 1 (≤0,25) uT",IF(AP501&lt;=0.5,"Tipo 2 (0,25-0,50) uT",IF(AP501&lt;=0.75,"Tipo 3 (0,50-0,75) uT","Tipo 4 (&gt;0,75) uT"))))</f>
        <v>Tipo 2 (0,25-0,50) uT</v>
      </c>
      <c r="BG501" s="137" t="str">
        <f>IF(OR(Q501="",Q501="-"),"",IF(Q501&lt;=0.25,"Tipo 1 (≤0,25) uT",IF(Q501&lt;=0.5,"Tipo 2 (0,25-0,50) uT",IF(Q501&lt;=0.75,"Tipo 3 (0,50-0,75) uT","Tipo 4 (&gt;0,75) uT"))))</f>
        <v>Tipo 1 (≤0,25) uT</v>
      </c>
    </row>
    <row r="502" spans="1:59" x14ac:dyDescent="0.3">
      <c r="A502" s="26">
        <v>46179</v>
      </c>
      <c r="B502" s="111">
        <v>0.3125</v>
      </c>
      <c r="C502" s="118">
        <v>1088</v>
      </c>
      <c r="D502" s="116">
        <v>83</v>
      </c>
      <c r="E502" s="118">
        <v>651</v>
      </c>
      <c r="F502" s="118">
        <v>1936</v>
      </c>
      <c r="G502" s="9" t="s">
        <v>100</v>
      </c>
      <c r="H502" s="124">
        <v>7.3</v>
      </c>
      <c r="I502" s="118">
        <v>90</v>
      </c>
      <c r="J502" s="118">
        <v>90</v>
      </c>
      <c r="K502" s="118">
        <v>90</v>
      </c>
      <c r="L502" s="124">
        <v>20.6</v>
      </c>
      <c r="M502" s="124">
        <v>6.9</v>
      </c>
      <c r="N502" s="81">
        <v>2.4900000000000002</v>
      </c>
      <c r="O502" s="118">
        <v>13</v>
      </c>
      <c r="P502" s="124">
        <v>8</v>
      </c>
      <c r="Q502" s="81">
        <v>0.09</v>
      </c>
      <c r="R502" s="79">
        <v>22.36</v>
      </c>
      <c r="S502" s="79">
        <v>0.88</v>
      </c>
      <c r="T502" s="79">
        <v>0.7</v>
      </c>
      <c r="U502" s="85">
        <f t="shared" si="68"/>
        <v>1193.06</v>
      </c>
      <c r="V502" s="79">
        <f t="shared" si="69"/>
        <v>1623.0700447935999</v>
      </c>
      <c r="W502" s="79">
        <f t="shared" si="70"/>
        <v>1.3604261686701422</v>
      </c>
      <c r="X502" s="118">
        <v>2</v>
      </c>
      <c r="Y502" s="118">
        <v>4</v>
      </c>
      <c r="Z502" s="124">
        <v>6.48</v>
      </c>
      <c r="AA502" s="118">
        <v>20.18</v>
      </c>
      <c r="AB502" s="124">
        <v>6.7</v>
      </c>
      <c r="AC502" s="124">
        <v>6.8</v>
      </c>
      <c r="AD502" s="9">
        <v>0.19</v>
      </c>
      <c r="AE502" s="81">
        <v>0.24</v>
      </c>
      <c r="AF502" s="85">
        <f t="shared" si="71"/>
        <v>1590.7466666666667</v>
      </c>
      <c r="AG502" s="85">
        <f t="shared" si="72"/>
        <v>1846.3284564400001</v>
      </c>
      <c r="AH502" s="85">
        <f t="shared" si="73"/>
        <v>1.1606678141334048</v>
      </c>
      <c r="AI502" s="118">
        <v>2</v>
      </c>
      <c r="AJ502" s="118">
        <v>3</v>
      </c>
      <c r="AK502" s="81">
        <v>6.47</v>
      </c>
      <c r="AL502" s="81">
        <v>23</v>
      </c>
      <c r="AM502" s="124">
        <v>3.6</v>
      </c>
      <c r="AN502" s="124">
        <v>7.1</v>
      </c>
      <c r="AO502" s="81">
        <v>0.22</v>
      </c>
      <c r="AP502" s="129">
        <v>0.23</v>
      </c>
      <c r="AQ502" s="132">
        <f t="shared" si="64"/>
        <v>1822</v>
      </c>
      <c r="AR502" s="134">
        <f t="shared" si="65"/>
        <v>0.5971459934138309</v>
      </c>
      <c r="AS502" s="134">
        <f t="shared" si="66"/>
        <v>4.5554335894621295E-2</v>
      </c>
      <c r="AT502" s="134">
        <f t="shared" si="67"/>
        <v>0.35729967069154778</v>
      </c>
      <c r="AU502" s="43">
        <f>IF(AND(F502&lt;&gt;"",Y502&lt;&gt;""),AA502/(F502/2/Y502),"")</f>
        <v>8.3388429752066118E-2</v>
      </c>
      <c r="AV502" s="43">
        <f>IF(AND(F502&lt;&gt;"",AJ502&lt;&gt;""),AL502/(F502/2/AJ502),"")</f>
        <v>7.1280991735537189E-2</v>
      </c>
      <c r="AW502" s="43">
        <f>IF(AND(AP502&lt;&gt;"",1-(AP502/N502)&gt;0),1-(AP502/N502),"")</f>
        <v>0.90763052208835338</v>
      </c>
      <c r="AX502" s="41">
        <f>IF(AND(AE502&lt;&gt;"",1-(AE502/N502)&gt;0),1-(AE502/N502),"")</f>
        <v>0.90361445783132532</v>
      </c>
      <c r="AY502" s="136" t="str">
        <f>IF(P502="","",IF(P502&lt;2.5,"Alc. Bruta &lt; 2,5 mg/L",IF(P502&lt;5,"2,5 ≤ Alc. Bruta &lt; 5,0 mg/L",IF(P502&lt;7.5,"5,0 ≤ Alc. Bruta &lt; 7,5 mg/L",IF(P502&lt;10,"7,5 ≤ Alc. Bruta &lt; 10,0 mg/L",IF(P502&lt;15,"10,0 ≤ Alca. Bruta &lt; 15,0 mg/L","Alc. Bruta &gt; 15 mg/L"))))))</f>
        <v>7,5 ≤ Alc. Bruta &lt; 10,0 mg/L</v>
      </c>
      <c r="AZ502" s="136" t="str">
        <f>IF(O502="","",IF(O502&lt;5,"Cor &lt;5 uC",IF(O502&lt;10,"5 ≤ Cor &lt; 10 uC",IF(O502&lt;15,"10 ≤ Cor &lt;15 uC",IF(O502&lt;30,"15 ≤ Cor &lt; 30 uC",IF(O502&lt;50,"30 ≤ Cor &lt; 50 uC","Cor &gt; 50 uC"))))))</f>
        <v>10 ≤ Cor &lt;15 uC</v>
      </c>
      <c r="BA502" s="137" t="str">
        <f>IF(N502="","",IF(N502&lt;2.5,"Turbidez &lt; 2,5 uT",IF(N502&lt;5,"2,5 ≤ Turb &lt; 5,0 uT",IF(N502&lt;7.5,"5,0 ≤ Turb &lt; 7,5 uT",IF(N502&lt;10,"7,5 ≤ Turb &lt; 10,0 uT",IF(N502&lt;15,"10,0 ≤ Turb &lt; 15,0 uT","Turb &gt; 15 uT"))))))</f>
        <v>Turbidez &lt; 2,5 uT</v>
      </c>
      <c r="BB502" s="138" t="str">
        <f>IF(AND(C502&gt;D502,D502&gt;E502),"TOR &gt; SM &gt; BNN",IF(AND(C502&gt;E502,E502&gt;D502),"TOR &gt; BNN &gt; SM",IF(AND(D502&gt;C502,C502&gt;E502),"SM &gt; TOR &gt; BNN",IF(AND(D502&gt;E502,E502&gt;C502),"SM &gt; BNN &gt; TOR",IF(AND(C502=D502,D502=E502),"TOR = SM = BNN","Comb. diferentes")))))</f>
        <v>TOR &gt; BNN &gt; SM</v>
      </c>
      <c r="BC502" s="137" t="str">
        <f>IF(OR(AD502="",AP502="-"),"",IF(AD502&lt;=0.25,"Tipo 1 (≤0,25) uT",IF(AD502&lt;=0.5,"Tipo 2 (0,25-0,50) uT",IF(AD502&lt;=0.75,"Tipo 3 (0,50-0,75) uT","Tipo 4 (&gt;0,75) uT"))))</f>
        <v>Tipo 1 (≤0,25) uT</v>
      </c>
      <c r="BD502" s="137" t="str">
        <f>IF(OR(AO502="",AY502="-"),"",IF(AO502&lt;=0.25,"Tipo 1 (≤0,25) uT",IF(AO502&lt;=0.5,"Tipo 2 (0,25-0,50) uT",IF(AO502&lt;=0.75,"Tipo 3 (0,50-0,75) uT","Tipo 4 (&gt;0,75) uT"))))</f>
        <v>Tipo 1 (≤0,25) uT</v>
      </c>
      <c r="BE502" s="137" t="str">
        <f>IF(OR(AE502="",AP502="-"),"",IF(AE502&lt;=0.25,"Tipo 1 (≤0,25) uT",IF(AE502&lt;=0.5,"Tipo 2 (0,25-0,50) uT",IF(AE502&lt;=0.75,"Tipo 3 (0,50-0,75) uT","Tipo 4 (&gt;0,75) uT"))))</f>
        <v>Tipo 1 (≤0,25) uT</v>
      </c>
      <c r="BF502" s="137" t="str">
        <f>IF(OR(AP502="",AP502="-"),"",IF(AP502&lt;=0.25,"Tipo 1 (≤0,25) uT",IF(AP502&lt;=0.5,"Tipo 2 (0,25-0,50) uT",IF(AP502&lt;=0.75,"Tipo 3 (0,50-0,75) uT","Tipo 4 (&gt;0,75) uT"))))</f>
        <v>Tipo 1 (≤0,25) uT</v>
      </c>
      <c r="BG502" s="137" t="str">
        <f>IF(OR(Q502="",Q502="-"),"",IF(Q502&lt;=0.25,"Tipo 1 (≤0,25) uT",IF(Q502&lt;=0.5,"Tipo 2 (0,25-0,50) uT",IF(Q502&lt;=0.75,"Tipo 3 (0,50-0,75) uT","Tipo 4 (&gt;0,75) uT"))))</f>
        <v>Tipo 1 (≤0,25) uT</v>
      </c>
    </row>
    <row r="503" spans="1:59" x14ac:dyDescent="0.3">
      <c r="A503" s="26">
        <v>46179</v>
      </c>
      <c r="B503" s="113">
        <v>0.39583333333333331</v>
      </c>
      <c r="C503" s="119">
        <v>1077</v>
      </c>
      <c r="D503" s="116">
        <v>82</v>
      </c>
      <c r="E503" s="119">
        <v>649</v>
      </c>
      <c r="F503" s="119">
        <v>1913</v>
      </c>
      <c r="G503" s="44" t="s">
        <v>100</v>
      </c>
      <c r="H503" s="125">
        <v>7.3</v>
      </c>
      <c r="I503" s="119">
        <v>90</v>
      </c>
      <c r="J503" s="119">
        <v>90</v>
      </c>
      <c r="K503" s="119">
        <v>90</v>
      </c>
      <c r="L503" s="125">
        <v>20.9</v>
      </c>
      <c r="M503" s="125">
        <v>6.8</v>
      </c>
      <c r="N503" s="82">
        <v>2.5099999999999998</v>
      </c>
      <c r="O503" s="119">
        <v>13</v>
      </c>
      <c r="P503" s="125">
        <v>7.9</v>
      </c>
      <c r="Q503" s="82">
        <v>0.09</v>
      </c>
      <c r="R503" s="79">
        <v>22.36</v>
      </c>
      <c r="S503" s="79">
        <v>0.88</v>
      </c>
      <c r="T503" s="79">
        <v>0.7</v>
      </c>
      <c r="U503" s="85">
        <f t="shared" si="68"/>
        <v>1183.6687499999998</v>
      </c>
      <c r="V503" s="79">
        <f t="shared" si="69"/>
        <v>1711.7316761999998</v>
      </c>
      <c r="W503" s="79">
        <f t="shared" si="70"/>
        <v>1.4461239060336772</v>
      </c>
      <c r="X503" s="119">
        <v>2</v>
      </c>
      <c r="Y503" s="119">
        <v>4</v>
      </c>
      <c r="Z503" s="125">
        <v>6.55</v>
      </c>
      <c r="AA503" s="119">
        <v>21</v>
      </c>
      <c r="AB503" s="125">
        <v>6.6</v>
      </c>
      <c r="AC503" s="125">
        <v>6.7</v>
      </c>
      <c r="AD503" s="44">
        <v>0.21</v>
      </c>
      <c r="AE503" s="82">
        <v>0.27</v>
      </c>
      <c r="AF503" s="85">
        <f t="shared" si="71"/>
        <v>1578.2249999999997</v>
      </c>
      <c r="AG503" s="85">
        <f t="shared" si="72"/>
        <v>1793.2427083999996</v>
      </c>
      <c r="AH503" s="85">
        <f t="shared" si="73"/>
        <v>1.1362402118836035</v>
      </c>
      <c r="AI503" s="119">
        <v>2</v>
      </c>
      <c r="AJ503" s="119">
        <v>3</v>
      </c>
      <c r="AK503" s="82">
        <v>6.55</v>
      </c>
      <c r="AL503" s="82">
        <v>22</v>
      </c>
      <c r="AM503" s="125">
        <v>6.5</v>
      </c>
      <c r="AN503" s="125">
        <v>7</v>
      </c>
      <c r="AO503" s="82">
        <v>0.21</v>
      </c>
      <c r="AP503" s="130">
        <v>0.25</v>
      </c>
      <c r="AQ503" s="132">
        <f t="shared" si="64"/>
        <v>1808</v>
      </c>
      <c r="AR503" s="134">
        <f t="shared" si="65"/>
        <v>0.5956858407079646</v>
      </c>
      <c r="AS503" s="134">
        <f t="shared" si="66"/>
        <v>4.5353982300884957E-2</v>
      </c>
      <c r="AT503" s="134">
        <f t="shared" si="67"/>
        <v>0.35896017699115046</v>
      </c>
      <c r="AU503" s="43">
        <f>IF(AND(F503&lt;&gt;"",Y503&lt;&gt;""),AA503/(F503/2/Y503),"")</f>
        <v>8.782017773131208E-2</v>
      </c>
      <c r="AV503" s="43">
        <f>IF(AND(F503&lt;&gt;"",AJ503&lt;&gt;""),AL503/(F503/2/AJ503),"")</f>
        <v>6.9001568217459494E-2</v>
      </c>
      <c r="AW503" s="43">
        <f>IF(AND(AP503&lt;&gt;"",1-(AP503/N503)&gt;0),1-(AP503/N503),"")</f>
        <v>0.90039840637450197</v>
      </c>
      <c r="AX503" s="41">
        <f>IF(AND(AE503&lt;&gt;"",1-(AE503/N503)&gt;0),1-(AE503/N503),"")</f>
        <v>0.89243027888446214</v>
      </c>
      <c r="AY503" s="136" t="str">
        <f>IF(P503="","",IF(P503&lt;2.5,"Alc. Bruta &lt; 2,5 mg/L",IF(P503&lt;5,"2,5 ≤ Alc. Bruta &lt; 5,0 mg/L",IF(P503&lt;7.5,"5,0 ≤ Alc. Bruta &lt; 7,5 mg/L",IF(P503&lt;10,"7,5 ≤ Alc. Bruta &lt; 10,0 mg/L",IF(P503&lt;15,"10,0 ≤ Alca. Bruta &lt; 15,0 mg/L","Alc. Bruta &gt; 15 mg/L"))))))</f>
        <v>7,5 ≤ Alc. Bruta &lt; 10,0 mg/L</v>
      </c>
      <c r="AZ503" s="136" t="str">
        <f>IF(O503="","",IF(O503&lt;5,"Cor &lt;5 uC",IF(O503&lt;10,"5 ≤ Cor &lt; 10 uC",IF(O503&lt;15,"10 ≤ Cor &lt;15 uC",IF(O503&lt;30,"15 ≤ Cor &lt; 30 uC",IF(O503&lt;50,"30 ≤ Cor &lt; 50 uC","Cor &gt; 50 uC"))))))</f>
        <v>10 ≤ Cor &lt;15 uC</v>
      </c>
      <c r="BA503" s="137" t="str">
        <f>IF(N503="","",IF(N503&lt;2.5,"Turbidez &lt; 2,5 uT",IF(N503&lt;5,"2,5 ≤ Turb &lt; 5,0 uT",IF(N503&lt;7.5,"5,0 ≤ Turb &lt; 7,5 uT",IF(N503&lt;10,"7,5 ≤ Turb &lt; 10,0 uT",IF(N503&lt;15,"10,0 ≤ Turb &lt; 15,0 uT","Turb &gt; 15 uT"))))))</f>
        <v>2,5 ≤ Turb &lt; 5,0 uT</v>
      </c>
      <c r="BB503" s="138" t="str">
        <f>IF(AND(C503&gt;D503,D503&gt;E503),"TOR &gt; SM &gt; BNN",IF(AND(C503&gt;E503,E503&gt;D503),"TOR &gt; BNN &gt; SM",IF(AND(D503&gt;C503,C503&gt;E503),"SM &gt; TOR &gt; BNN",IF(AND(D503&gt;E503,E503&gt;C503),"SM &gt; BNN &gt; TOR",IF(AND(C503=D503,D503=E503),"TOR = SM = BNN","Comb. diferentes")))))</f>
        <v>TOR &gt; BNN &gt; SM</v>
      </c>
      <c r="BC503" s="137" t="str">
        <f>IF(OR(AD503="",AP503="-"),"",IF(AD503&lt;=0.25,"Tipo 1 (≤0,25) uT",IF(AD503&lt;=0.5,"Tipo 2 (0,25-0,50) uT",IF(AD503&lt;=0.75,"Tipo 3 (0,50-0,75) uT","Tipo 4 (&gt;0,75) uT"))))</f>
        <v>Tipo 1 (≤0,25) uT</v>
      </c>
      <c r="BD503" s="137" t="str">
        <f>IF(OR(AO503="",AY503="-"),"",IF(AO503&lt;=0.25,"Tipo 1 (≤0,25) uT",IF(AO503&lt;=0.5,"Tipo 2 (0,25-0,50) uT",IF(AO503&lt;=0.75,"Tipo 3 (0,50-0,75) uT","Tipo 4 (&gt;0,75) uT"))))</f>
        <v>Tipo 1 (≤0,25) uT</v>
      </c>
      <c r="BE503" s="137" t="str">
        <f>IF(OR(AE503="",AP503="-"),"",IF(AE503&lt;=0.25,"Tipo 1 (≤0,25) uT",IF(AE503&lt;=0.5,"Tipo 2 (0,25-0,50) uT",IF(AE503&lt;=0.75,"Tipo 3 (0,50-0,75) uT","Tipo 4 (&gt;0,75) uT"))))</f>
        <v>Tipo 2 (0,25-0,50) uT</v>
      </c>
      <c r="BF503" s="137" t="str">
        <f>IF(OR(AP503="",AP503="-"),"",IF(AP503&lt;=0.25,"Tipo 1 (≤0,25) uT",IF(AP503&lt;=0.5,"Tipo 2 (0,25-0,50) uT",IF(AP503&lt;=0.75,"Tipo 3 (0,50-0,75) uT","Tipo 4 (&gt;0,75) uT"))))</f>
        <v>Tipo 1 (≤0,25) uT</v>
      </c>
      <c r="BG503" s="137" t="str">
        <f>IF(OR(Q503="",Q503="-"),"",IF(Q503&lt;=0.25,"Tipo 1 (≤0,25) uT",IF(Q503&lt;=0.5,"Tipo 2 (0,25-0,50) uT",IF(Q503&lt;=0.75,"Tipo 3 (0,50-0,75) uT","Tipo 4 (&gt;0,75) uT"))))</f>
        <v>Tipo 1 (≤0,25) uT</v>
      </c>
    </row>
    <row r="504" spans="1:59" x14ac:dyDescent="0.3">
      <c r="A504" s="26">
        <v>46179</v>
      </c>
      <c r="B504" s="107">
        <v>0.47916666666666669</v>
      </c>
      <c r="C504" s="116">
        <v>603</v>
      </c>
      <c r="D504" s="116">
        <v>92</v>
      </c>
      <c r="E504" s="116">
        <v>693</v>
      </c>
      <c r="F504" s="116">
        <v>1310</v>
      </c>
      <c r="G504" s="10" t="s">
        <v>100</v>
      </c>
      <c r="H504" s="122">
        <v>7.3</v>
      </c>
      <c r="I504" s="116">
        <v>90</v>
      </c>
      <c r="J504" s="116">
        <v>90</v>
      </c>
      <c r="K504" s="116">
        <v>90</v>
      </c>
      <c r="L504" s="122">
        <v>22.3</v>
      </c>
      <c r="M504" s="122">
        <v>6.9</v>
      </c>
      <c r="N504" s="79">
        <v>2.36</v>
      </c>
      <c r="O504" s="116">
        <v>13</v>
      </c>
      <c r="P504" s="122">
        <v>9</v>
      </c>
      <c r="Q504" s="79">
        <v>0.08</v>
      </c>
      <c r="R504" s="79">
        <v>22.36</v>
      </c>
      <c r="S504" s="79">
        <v>0.88</v>
      </c>
      <c r="T504" s="79">
        <v>0.7</v>
      </c>
      <c r="U504" s="85">
        <f t="shared" si="68"/>
        <v>1048</v>
      </c>
      <c r="V504" s="79">
        <f t="shared" si="69"/>
        <v>1620.9515295999995</v>
      </c>
      <c r="W504" s="79">
        <f t="shared" si="70"/>
        <v>1.5467094748091599</v>
      </c>
      <c r="X504" s="116">
        <v>1</v>
      </c>
      <c r="Y504" s="116">
        <v>3</v>
      </c>
      <c r="Z504" s="122">
        <v>6.52</v>
      </c>
      <c r="AA504" s="116">
        <v>20</v>
      </c>
      <c r="AB504" s="122">
        <v>6.7</v>
      </c>
      <c r="AC504" s="122">
        <v>8.1999999999999993</v>
      </c>
      <c r="AD504" s="10">
        <v>0.13</v>
      </c>
      <c r="AE504" s="79">
        <v>0.28000000000000003</v>
      </c>
      <c r="AF504" s="85">
        <f t="shared" si="71"/>
        <v>1572</v>
      </c>
      <c r="AG504" s="85">
        <f t="shared" si="72"/>
        <v>1835.6689748800002</v>
      </c>
      <c r="AH504" s="85">
        <f t="shared" si="73"/>
        <v>1.1677283555216287</v>
      </c>
      <c r="AI504" s="116">
        <v>2</v>
      </c>
      <c r="AJ504" s="116">
        <v>2</v>
      </c>
      <c r="AK504" s="79">
        <v>6.44</v>
      </c>
      <c r="AL504" s="79">
        <v>23</v>
      </c>
      <c r="AM504" s="122">
        <v>6.7</v>
      </c>
      <c r="AN504" s="122">
        <v>7.4</v>
      </c>
      <c r="AO504" s="79">
        <v>0.12</v>
      </c>
      <c r="AP504" s="127">
        <v>0.25</v>
      </c>
      <c r="AQ504" s="132">
        <f t="shared" si="64"/>
        <v>1388</v>
      </c>
      <c r="AR504" s="134">
        <f t="shared" si="65"/>
        <v>0.43443804034582134</v>
      </c>
      <c r="AS504" s="134">
        <f t="shared" si="66"/>
        <v>6.6282420749279536E-2</v>
      </c>
      <c r="AT504" s="134">
        <f t="shared" si="67"/>
        <v>0.49927953890489912</v>
      </c>
      <c r="AU504" s="43">
        <f>IF(AND(F504&lt;&gt;"",Y504&lt;&gt;""),AA504/(F504/2/Y504),"")</f>
        <v>9.1603053435114504E-2</v>
      </c>
      <c r="AV504" s="43">
        <f>IF(AND(F504&lt;&gt;"",AJ504&lt;&gt;""),AL504/(F504/2/AJ504),"")</f>
        <v>7.0229007633587789E-2</v>
      </c>
      <c r="AW504" s="43">
        <f>IF(AND(AP504&lt;&gt;"",1-(AP504/N504)&gt;0),1-(AP504/N504),"")</f>
        <v>0.89406779661016944</v>
      </c>
      <c r="AX504" s="41">
        <f>IF(AND(AE504&lt;&gt;"",1-(AE504/N504)&gt;0),1-(AE504/N504),"")</f>
        <v>0.88135593220338981</v>
      </c>
      <c r="AY504" s="136" t="str">
        <f>IF(P504="","",IF(P504&lt;2.5,"Alc. Bruta &lt; 2,5 mg/L",IF(P504&lt;5,"2,5 ≤ Alc. Bruta &lt; 5,0 mg/L",IF(P504&lt;7.5,"5,0 ≤ Alc. Bruta &lt; 7,5 mg/L",IF(P504&lt;10,"7,5 ≤ Alc. Bruta &lt; 10,0 mg/L",IF(P504&lt;15,"10,0 ≤ Alca. Bruta &lt; 15,0 mg/L","Alc. Bruta &gt; 15 mg/L"))))))</f>
        <v>7,5 ≤ Alc. Bruta &lt; 10,0 mg/L</v>
      </c>
      <c r="AZ504" s="136" t="str">
        <f>IF(O504="","",IF(O504&lt;5,"Cor &lt;5 uC",IF(O504&lt;10,"5 ≤ Cor &lt; 10 uC",IF(O504&lt;15,"10 ≤ Cor &lt;15 uC",IF(O504&lt;30,"15 ≤ Cor &lt; 30 uC",IF(O504&lt;50,"30 ≤ Cor &lt; 50 uC","Cor &gt; 50 uC"))))))</f>
        <v>10 ≤ Cor &lt;15 uC</v>
      </c>
      <c r="BA504" s="137" t="str">
        <f>IF(N504="","",IF(N504&lt;2.5,"Turbidez &lt; 2,5 uT",IF(N504&lt;5,"2,5 ≤ Turb &lt; 5,0 uT",IF(N504&lt;7.5,"5,0 ≤ Turb &lt; 7,5 uT",IF(N504&lt;10,"7,5 ≤ Turb &lt; 10,0 uT",IF(N504&lt;15,"10,0 ≤ Turb &lt; 15,0 uT","Turb &gt; 15 uT"))))))</f>
        <v>Turbidez &lt; 2,5 uT</v>
      </c>
      <c r="BB504" s="138" t="str">
        <f>IF(AND(C504&gt;D504,D504&gt;E504),"TOR &gt; SM &gt; BNN",IF(AND(C504&gt;E504,E504&gt;D504),"TOR &gt; BNN &gt; SM",IF(AND(D504&gt;C504,C504&gt;E504),"SM &gt; TOR &gt; BNN",IF(AND(D504&gt;E504,E504&gt;C504),"SM &gt; BNN &gt; TOR",IF(AND(C504=D504,D504=E504),"TOR = SM = BNN","Comb. diferentes")))))</f>
        <v>Comb. diferentes</v>
      </c>
      <c r="BC504" s="137" t="str">
        <f>IF(OR(AD504="",AP504="-"),"",IF(AD504&lt;=0.25,"Tipo 1 (≤0,25) uT",IF(AD504&lt;=0.5,"Tipo 2 (0,25-0,50) uT",IF(AD504&lt;=0.75,"Tipo 3 (0,50-0,75) uT","Tipo 4 (&gt;0,75) uT"))))</f>
        <v>Tipo 1 (≤0,25) uT</v>
      </c>
      <c r="BD504" s="137" t="str">
        <f>IF(OR(AO504="",AY504="-"),"",IF(AO504&lt;=0.25,"Tipo 1 (≤0,25) uT",IF(AO504&lt;=0.5,"Tipo 2 (0,25-0,50) uT",IF(AO504&lt;=0.75,"Tipo 3 (0,50-0,75) uT","Tipo 4 (&gt;0,75) uT"))))</f>
        <v>Tipo 1 (≤0,25) uT</v>
      </c>
      <c r="BE504" s="137" t="str">
        <f>IF(OR(AE504="",AP504="-"),"",IF(AE504&lt;=0.25,"Tipo 1 (≤0,25) uT",IF(AE504&lt;=0.5,"Tipo 2 (0,25-0,50) uT",IF(AE504&lt;=0.75,"Tipo 3 (0,50-0,75) uT","Tipo 4 (&gt;0,75) uT"))))</f>
        <v>Tipo 2 (0,25-0,50) uT</v>
      </c>
      <c r="BF504" s="137" t="str">
        <f>IF(OR(AP504="",AP504="-"),"",IF(AP504&lt;=0.25,"Tipo 1 (≤0,25) uT",IF(AP504&lt;=0.5,"Tipo 2 (0,25-0,50) uT",IF(AP504&lt;=0.75,"Tipo 3 (0,50-0,75) uT","Tipo 4 (&gt;0,75) uT"))))</f>
        <v>Tipo 1 (≤0,25) uT</v>
      </c>
      <c r="BG504" s="137" t="str">
        <f>IF(OR(Q504="",Q504="-"),"",IF(Q504&lt;=0.25,"Tipo 1 (≤0,25) uT",IF(Q504&lt;=0.5,"Tipo 2 (0,25-0,50) uT",IF(Q504&lt;=0.75,"Tipo 3 (0,50-0,75) uT","Tipo 4 (&gt;0,75) uT"))))</f>
        <v>Tipo 1 (≤0,25) uT</v>
      </c>
    </row>
    <row r="505" spans="1:59" x14ac:dyDescent="0.3">
      <c r="A505" s="26">
        <v>46179</v>
      </c>
      <c r="B505" s="107">
        <v>0.64583333333333337</v>
      </c>
      <c r="C505" s="116">
        <v>620</v>
      </c>
      <c r="D505" s="116">
        <v>91</v>
      </c>
      <c r="E505" s="116">
        <v>594</v>
      </c>
      <c r="F505" s="116">
        <v>1908</v>
      </c>
      <c r="G505" s="10" t="s">
        <v>100</v>
      </c>
      <c r="H505" s="122">
        <v>7.3</v>
      </c>
      <c r="I505" s="116">
        <v>90</v>
      </c>
      <c r="J505" s="116">
        <v>90</v>
      </c>
      <c r="K505" s="116">
        <v>90</v>
      </c>
      <c r="L505" s="122">
        <v>22</v>
      </c>
      <c r="M505" s="122">
        <v>6.9</v>
      </c>
      <c r="N505" s="79">
        <v>2.31</v>
      </c>
      <c r="O505" s="116">
        <v>12</v>
      </c>
      <c r="P505" s="122">
        <v>10.7</v>
      </c>
      <c r="Q505" s="79">
        <v>0.09</v>
      </c>
      <c r="R505" s="79">
        <v>22.36</v>
      </c>
      <c r="S505" s="79">
        <v>0.88</v>
      </c>
      <c r="T505" s="79">
        <v>0.7</v>
      </c>
      <c r="U505" s="85">
        <f t="shared" si="68"/>
        <v>1510.5</v>
      </c>
      <c r="V505" s="79">
        <f t="shared" si="69"/>
        <v>1614.7721200000001</v>
      </c>
      <c r="W505" s="79">
        <f t="shared" si="70"/>
        <v>1.0690315259847734</v>
      </c>
      <c r="X505" s="116">
        <v>1</v>
      </c>
      <c r="Y505" s="116">
        <v>3</v>
      </c>
      <c r="Z505" s="122">
        <v>6.5</v>
      </c>
      <c r="AA505" s="116">
        <v>20</v>
      </c>
      <c r="AB505" s="122">
        <v>6.9</v>
      </c>
      <c r="AC505" s="122">
        <v>9.5</v>
      </c>
      <c r="AD505" s="10">
        <v>0.22</v>
      </c>
      <c r="AE505" s="79">
        <v>0.28999999999999998</v>
      </c>
      <c r="AF505" s="85">
        <f t="shared" si="71"/>
        <v>2265.75</v>
      </c>
      <c r="AG505" s="85">
        <f t="shared" si="72"/>
        <v>1769.4519814399998</v>
      </c>
      <c r="AH505" s="85">
        <f t="shared" si="73"/>
        <v>0.78095640800617894</v>
      </c>
      <c r="AI505" s="116">
        <v>2</v>
      </c>
      <c r="AJ505" s="116">
        <v>2</v>
      </c>
      <c r="AK505" s="79">
        <v>6.48</v>
      </c>
      <c r="AL505" s="79">
        <v>22</v>
      </c>
      <c r="AM505" s="122">
        <v>6.8</v>
      </c>
      <c r="AN505" s="122">
        <v>9.6999999999999993</v>
      </c>
      <c r="AO505" s="79">
        <v>0.22</v>
      </c>
      <c r="AP505" s="127">
        <v>0.26</v>
      </c>
      <c r="AQ505" s="132">
        <f t="shared" si="64"/>
        <v>1305</v>
      </c>
      <c r="AR505" s="134">
        <f t="shared" si="65"/>
        <v>0.47509578544061304</v>
      </c>
      <c r="AS505" s="134">
        <f t="shared" si="66"/>
        <v>6.9731800766283519E-2</v>
      </c>
      <c r="AT505" s="134">
        <f t="shared" si="67"/>
        <v>0.45517241379310347</v>
      </c>
      <c r="AU505" s="43">
        <f>IF(AND(F505&lt;&gt;"",Y505&lt;&gt;""),AA505/(F505/2/Y505),"")</f>
        <v>6.2893081761006289E-2</v>
      </c>
      <c r="AV505" s="43">
        <f>IF(AND(F505&lt;&gt;"",AJ505&lt;&gt;""),AL505/(F505/2/AJ505),"")</f>
        <v>4.6121593291404611E-2</v>
      </c>
      <c r="AW505" s="43">
        <f>IF(AND(AP505&lt;&gt;"",1-(AP505/N505)&gt;0),1-(AP505/N505),"")</f>
        <v>0.88744588744588748</v>
      </c>
      <c r="AX505" s="41">
        <f>IF(AND(AE505&lt;&gt;"",1-(AE505/N505)&gt;0),1-(AE505/N505),"")</f>
        <v>0.87445887445887449</v>
      </c>
      <c r="AY505" s="136" t="str">
        <f>IF(P505="","",IF(P505&lt;2.5,"Alc. Bruta &lt; 2,5 mg/L",IF(P505&lt;5,"2,5 ≤ Alc. Bruta &lt; 5,0 mg/L",IF(P505&lt;7.5,"5,0 ≤ Alc. Bruta &lt; 7,5 mg/L",IF(P505&lt;10,"7,5 ≤ Alc. Bruta &lt; 10,0 mg/L",IF(P505&lt;15,"10,0 ≤ Alca. Bruta &lt; 15,0 mg/L","Alc. Bruta &gt; 15 mg/L"))))))</f>
        <v>10,0 ≤ Alca. Bruta &lt; 15,0 mg/L</v>
      </c>
      <c r="AZ505" s="136" t="str">
        <f>IF(O505="","",IF(O505&lt;5,"Cor &lt;5 uC",IF(O505&lt;10,"5 ≤ Cor &lt; 10 uC",IF(O505&lt;15,"10 ≤ Cor &lt;15 uC",IF(O505&lt;30,"15 ≤ Cor &lt; 30 uC",IF(O505&lt;50,"30 ≤ Cor &lt; 50 uC","Cor &gt; 50 uC"))))))</f>
        <v>10 ≤ Cor &lt;15 uC</v>
      </c>
      <c r="BA505" s="137" t="str">
        <f>IF(N505="","",IF(N505&lt;2.5,"Turbidez &lt; 2,5 uT",IF(N505&lt;5,"2,5 ≤ Turb &lt; 5,0 uT",IF(N505&lt;7.5,"5,0 ≤ Turb &lt; 7,5 uT",IF(N505&lt;10,"7,5 ≤ Turb &lt; 10,0 uT",IF(N505&lt;15,"10,0 ≤ Turb &lt; 15,0 uT","Turb &gt; 15 uT"))))))</f>
        <v>Turbidez &lt; 2,5 uT</v>
      </c>
      <c r="BB505" s="138" t="str">
        <f>IF(AND(C505&gt;D505,D505&gt;E505),"TOR &gt; SM &gt; BNN",IF(AND(C505&gt;E505,E505&gt;D505),"TOR &gt; BNN &gt; SM",IF(AND(D505&gt;C505,C505&gt;E505),"SM &gt; TOR &gt; BNN",IF(AND(D505&gt;E505,E505&gt;C505),"SM &gt; BNN &gt; TOR",IF(AND(C505=D505,D505=E505),"TOR = SM = BNN","Comb. diferentes")))))</f>
        <v>TOR &gt; BNN &gt; SM</v>
      </c>
      <c r="BC505" s="137" t="str">
        <f>IF(OR(AD505="",AP505="-"),"",IF(AD505&lt;=0.25,"Tipo 1 (≤0,25) uT",IF(AD505&lt;=0.5,"Tipo 2 (0,25-0,50) uT",IF(AD505&lt;=0.75,"Tipo 3 (0,50-0,75) uT","Tipo 4 (&gt;0,75) uT"))))</f>
        <v>Tipo 1 (≤0,25) uT</v>
      </c>
      <c r="BD505" s="137" t="str">
        <f>IF(OR(AO505="",AY505="-"),"",IF(AO505&lt;=0.25,"Tipo 1 (≤0,25) uT",IF(AO505&lt;=0.5,"Tipo 2 (0,25-0,50) uT",IF(AO505&lt;=0.75,"Tipo 3 (0,50-0,75) uT","Tipo 4 (&gt;0,75) uT"))))</f>
        <v>Tipo 1 (≤0,25) uT</v>
      </c>
      <c r="BE505" s="137" t="str">
        <f>IF(OR(AE505="",AP505="-"),"",IF(AE505&lt;=0.25,"Tipo 1 (≤0,25) uT",IF(AE505&lt;=0.5,"Tipo 2 (0,25-0,50) uT",IF(AE505&lt;=0.75,"Tipo 3 (0,50-0,75) uT","Tipo 4 (&gt;0,75) uT"))))</f>
        <v>Tipo 2 (0,25-0,50) uT</v>
      </c>
      <c r="BF505" s="137" t="str">
        <f>IF(OR(AP505="",AP505="-"),"",IF(AP505&lt;=0.25,"Tipo 1 (≤0,25) uT",IF(AP505&lt;=0.5,"Tipo 2 (0,25-0,50) uT",IF(AP505&lt;=0.75,"Tipo 3 (0,50-0,75) uT","Tipo 4 (&gt;0,75) uT"))))</f>
        <v>Tipo 2 (0,25-0,50) uT</v>
      </c>
      <c r="BG505" s="137" t="str">
        <f>IF(OR(Q505="",Q505="-"),"",IF(Q505&lt;=0.25,"Tipo 1 (≤0,25) uT",IF(Q505&lt;=0.5,"Tipo 2 (0,25-0,50) uT",IF(Q505&lt;=0.75,"Tipo 3 (0,50-0,75) uT","Tipo 4 (&gt;0,75) uT"))))</f>
        <v>Tipo 1 (≤0,25) uT</v>
      </c>
    </row>
    <row r="506" spans="1:59" x14ac:dyDescent="0.3">
      <c r="A506" s="26">
        <v>46179</v>
      </c>
      <c r="B506" s="107">
        <v>0.72916666666666663</v>
      </c>
      <c r="C506" s="116">
        <v>1071</v>
      </c>
      <c r="D506" s="116">
        <v>95</v>
      </c>
      <c r="E506" s="116">
        <v>578</v>
      </c>
      <c r="F506" s="116">
        <v>1749</v>
      </c>
      <c r="G506" s="10" t="s">
        <v>100</v>
      </c>
      <c r="H506" s="122">
        <v>7.3</v>
      </c>
      <c r="I506" s="116">
        <v>90</v>
      </c>
      <c r="J506" s="116">
        <v>90</v>
      </c>
      <c r="K506" s="116">
        <v>90</v>
      </c>
      <c r="L506" s="122">
        <v>21.9</v>
      </c>
      <c r="M506" s="122">
        <v>6.9</v>
      </c>
      <c r="N506" s="79">
        <v>2.38</v>
      </c>
      <c r="O506" s="116">
        <v>12</v>
      </c>
      <c r="P506" s="122">
        <v>10.4</v>
      </c>
      <c r="Q506" s="79">
        <v>0.1</v>
      </c>
      <c r="R506" s="79">
        <v>22.36</v>
      </c>
      <c r="S506" s="79">
        <v>0.88</v>
      </c>
      <c r="T506" s="79">
        <v>0.7</v>
      </c>
      <c r="U506" s="85">
        <f t="shared" si="68"/>
        <v>1405.03</v>
      </c>
      <c r="V506" s="79">
        <f t="shared" si="69"/>
        <v>1692.2665359599998</v>
      </c>
      <c r="W506" s="79">
        <f t="shared" si="70"/>
        <v>1.2044344504814843</v>
      </c>
      <c r="X506" s="116">
        <v>2</v>
      </c>
      <c r="Y506" s="116">
        <v>3</v>
      </c>
      <c r="Z506" s="122">
        <v>6.49</v>
      </c>
      <c r="AA506" s="116">
        <v>21</v>
      </c>
      <c r="AB506" s="122">
        <v>6.8</v>
      </c>
      <c r="AC506" s="122">
        <v>9.3000000000000007</v>
      </c>
      <c r="AD506" s="10">
        <v>0.21</v>
      </c>
      <c r="AE506" s="79">
        <v>0.28000000000000003</v>
      </c>
      <c r="AF506" s="85">
        <f t="shared" si="71"/>
        <v>1405.03</v>
      </c>
      <c r="AG506" s="85">
        <f t="shared" si="72"/>
        <v>1846.3284564400001</v>
      </c>
      <c r="AH506" s="85">
        <f t="shared" si="73"/>
        <v>1.3140847216358371</v>
      </c>
      <c r="AI506" s="116">
        <v>2</v>
      </c>
      <c r="AJ506" s="116">
        <v>3</v>
      </c>
      <c r="AK506" s="79">
        <v>6.47</v>
      </c>
      <c r="AL506" s="79">
        <v>23</v>
      </c>
      <c r="AM506" s="122">
        <v>6.7</v>
      </c>
      <c r="AN506" s="122">
        <v>9.4</v>
      </c>
      <c r="AO506" s="79">
        <v>0.23</v>
      </c>
      <c r="AP506" s="127">
        <v>0.28999999999999998</v>
      </c>
      <c r="AQ506" s="132">
        <f t="shared" si="64"/>
        <v>1744</v>
      </c>
      <c r="AR506" s="134">
        <f t="shared" si="65"/>
        <v>0.61410550458715596</v>
      </c>
      <c r="AS506" s="134">
        <f t="shared" si="66"/>
        <v>5.4472477064220183E-2</v>
      </c>
      <c r="AT506" s="134">
        <f t="shared" si="67"/>
        <v>0.33142201834862384</v>
      </c>
      <c r="AU506" s="43">
        <f>IF(AND(F506&lt;&gt;"",Y506&lt;&gt;""),AA506/(F506/2/Y506),"")</f>
        <v>7.2041166380789029E-2</v>
      </c>
      <c r="AV506" s="43">
        <f>IF(AND(F506&lt;&gt;"",AJ506&lt;&gt;""),AL506/(F506/2/AJ506),"")</f>
        <v>7.8902229845626073E-2</v>
      </c>
      <c r="AW506" s="43">
        <f>IF(AND(AP506&lt;&gt;"",1-(AP506/N506)&gt;0),1-(AP506/N506),"")</f>
        <v>0.87815126050420167</v>
      </c>
      <c r="AX506" s="41">
        <f>IF(AND(AE506&lt;&gt;"",1-(AE506/N506)&gt;0),1-(AE506/N506),"")</f>
        <v>0.88235294117647056</v>
      </c>
      <c r="AY506" s="136" t="str">
        <f>IF(P506="","",IF(P506&lt;2.5,"Alc. Bruta &lt; 2,5 mg/L",IF(P506&lt;5,"2,5 ≤ Alc. Bruta &lt; 5,0 mg/L",IF(P506&lt;7.5,"5,0 ≤ Alc. Bruta &lt; 7,5 mg/L",IF(P506&lt;10,"7,5 ≤ Alc. Bruta &lt; 10,0 mg/L",IF(P506&lt;15,"10,0 ≤ Alca. Bruta &lt; 15,0 mg/L","Alc. Bruta &gt; 15 mg/L"))))))</f>
        <v>10,0 ≤ Alca. Bruta &lt; 15,0 mg/L</v>
      </c>
      <c r="AZ506" s="136" t="str">
        <f>IF(O506="","",IF(O506&lt;5,"Cor &lt;5 uC",IF(O506&lt;10,"5 ≤ Cor &lt; 10 uC",IF(O506&lt;15,"10 ≤ Cor &lt;15 uC",IF(O506&lt;30,"15 ≤ Cor &lt; 30 uC",IF(O506&lt;50,"30 ≤ Cor &lt; 50 uC","Cor &gt; 50 uC"))))))</f>
        <v>10 ≤ Cor &lt;15 uC</v>
      </c>
      <c r="BA506" s="137" t="str">
        <f>IF(N506="","",IF(N506&lt;2.5,"Turbidez &lt; 2,5 uT",IF(N506&lt;5,"2,5 ≤ Turb &lt; 5,0 uT",IF(N506&lt;7.5,"5,0 ≤ Turb &lt; 7,5 uT",IF(N506&lt;10,"7,5 ≤ Turb &lt; 10,0 uT",IF(N506&lt;15,"10,0 ≤ Turb &lt; 15,0 uT","Turb &gt; 15 uT"))))))</f>
        <v>Turbidez &lt; 2,5 uT</v>
      </c>
      <c r="BB506" s="138" t="str">
        <f>IF(AND(C506&gt;D506,D506&gt;E506),"TOR &gt; SM &gt; BNN",IF(AND(C506&gt;E506,E506&gt;D506),"TOR &gt; BNN &gt; SM",IF(AND(D506&gt;C506,C506&gt;E506),"SM &gt; TOR &gt; BNN",IF(AND(D506&gt;E506,E506&gt;C506),"SM &gt; BNN &gt; TOR",IF(AND(C506=D506,D506=E506),"TOR = SM = BNN","Comb. diferentes")))))</f>
        <v>TOR &gt; BNN &gt; SM</v>
      </c>
      <c r="BC506" s="137" t="str">
        <f>IF(OR(AD506="",AP506="-"),"",IF(AD506&lt;=0.25,"Tipo 1 (≤0,25) uT",IF(AD506&lt;=0.5,"Tipo 2 (0,25-0,50) uT",IF(AD506&lt;=0.75,"Tipo 3 (0,50-0,75) uT","Tipo 4 (&gt;0,75) uT"))))</f>
        <v>Tipo 1 (≤0,25) uT</v>
      </c>
      <c r="BD506" s="137" t="str">
        <f>IF(OR(AO506="",AY506="-"),"",IF(AO506&lt;=0.25,"Tipo 1 (≤0,25) uT",IF(AO506&lt;=0.5,"Tipo 2 (0,25-0,50) uT",IF(AO506&lt;=0.75,"Tipo 3 (0,50-0,75) uT","Tipo 4 (&gt;0,75) uT"))))</f>
        <v>Tipo 1 (≤0,25) uT</v>
      </c>
      <c r="BE506" s="137" t="str">
        <f>IF(OR(AE506="",AP506="-"),"",IF(AE506&lt;=0.25,"Tipo 1 (≤0,25) uT",IF(AE506&lt;=0.5,"Tipo 2 (0,25-0,50) uT",IF(AE506&lt;=0.75,"Tipo 3 (0,50-0,75) uT","Tipo 4 (&gt;0,75) uT"))))</f>
        <v>Tipo 2 (0,25-0,50) uT</v>
      </c>
      <c r="BF506" s="137" t="str">
        <f>IF(OR(AP506="",AP506="-"),"",IF(AP506&lt;=0.25,"Tipo 1 (≤0,25) uT",IF(AP506&lt;=0.5,"Tipo 2 (0,25-0,50) uT",IF(AP506&lt;=0.75,"Tipo 3 (0,50-0,75) uT","Tipo 4 (&gt;0,75) uT"))))</f>
        <v>Tipo 2 (0,25-0,50) uT</v>
      </c>
      <c r="BG506" s="137" t="str">
        <f>IF(OR(Q506="",Q506="-"),"",IF(Q506&lt;=0.25,"Tipo 1 (≤0,25) uT",IF(Q506&lt;=0.5,"Tipo 2 (0,25-0,50) uT",IF(Q506&lt;=0.75,"Tipo 3 (0,50-0,75) uT","Tipo 4 (&gt;0,75) uT"))))</f>
        <v>Tipo 1 (≤0,25) uT</v>
      </c>
    </row>
    <row r="507" spans="1:59" x14ac:dyDescent="0.3">
      <c r="A507" s="26">
        <v>46179</v>
      </c>
      <c r="B507" s="107">
        <v>0.8125</v>
      </c>
      <c r="C507" s="116">
        <v>1132</v>
      </c>
      <c r="D507" s="116">
        <v>94</v>
      </c>
      <c r="E507" s="116">
        <v>578</v>
      </c>
      <c r="F507" s="116">
        <v>1874</v>
      </c>
      <c r="G507" s="10" t="s">
        <v>100</v>
      </c>
      <c r="H507" s="122">
        <v>7.3</v>
      </c>
      <c r="I507" s="116">
        <v>90</v>
      </c>
      <c r="J507" s="116">
        <v>90</v>
      </c>
      <c r="K507" s="116">
        <v>90</v>
      </c>
      <c r="L507" s="122">
        <v>21.5</v>
      </c>
      <c r="M507" s="122">
        <v>6.9</v>
      </c>
      <c r="N507" s="79">
        <v>2.21</v>
      </c>
      <c r="O507" s="116">
        <v>10</v>
      </c>
      <c r="P507" s="122">
        <v>7.5</v>
      </c>
      <c r="Q507" s="79">
        <v>0.1</v>
      </c>
      <c r="R507" s="79">
        <v>22.36</v>
      </c>
      <c r="S507" s="79">
        <v>0.88</v>
      </c>
      <c r="T507" s="79">
        <v>0.7</v>
      </c>
      <c r="U507" s="85">
        <f t="shared" si="68"/>
        <v>1452.3500000000001</v>
      </c>
      <c r="V507" s="79">
        <f t="shared" si="69"/>
        <v>1695.510726</v>
      </c>
      <c r="W507" s="79">
        <f t="shared" si="70"/>
        <v>1.1674257073019587</v>
      </c>
      <c r="X507" s="116">
        <v>2</v>
      </c>
      <c r="Y507" s="116">
        <v>3</v>
      </c>
      <c r="Z507" s="122">
        <v>6.5</v>
      </c>
      <c r="AA507" s="116">
        <v>21</v>
      </c>
      <c r="AB507" s="122">
        <v>6.7</v>
      </c>
      <c r="AC507" s="122">
        <v>6.3</v>
      </c>
      <c r="AD507" s="10">
        <v>0.26</v>
      </c>
      <c r="AE507" s="79">
        <v>0.27</v>
      </c>
      <c r="AF507" s="85">
        <f t="shared" si="71"/>
        <v>1089.2625</v>
      </c>
      <c r="AG507" s="85">
        <f t="shared" si="72"/>
        <v>1856.9879380000002</v>
      </c>
      <c r="AH507" s="85">
        <f t="shared" si="73"/>
        <v>1.7048121439965116</v>
      </c>
      <c r="AI507" s="116">
        <v>2</v>
      </c>
      <c r="AJ507" s="116">
        <v>4</v>
      </c>
      <c r="AK507" s="79">
        <v>6.5</v>
      </c>
      <c r="AL507" s="79">
        <v>23</v>
      </c>
      <c r="AM507" s="122">
        <v>6.6</v>
      </c>
      <c r="AN507" s="122">
        <v>6.6</v>
      </c>
      <c r="AO507" s="79">
        <v>0.24</v>
      </c>
      <c r="AP507" s="127">
        <v>0.28000000000000003</v>
      </c>
      <c r="AQ507" s="132">
        <f t="shared" si="64"/>
        <v>1804</v>
      </c>
      <c r="AR507" s="134">
        <f t="shared" si="65"/>
        <v>0.6274944567627494</v>
      </c>
      <c r="AS507" s="134">
        <f t="shared" si="66"/>
        <v>5.2106430155210645E-2</v>
      </c>
      <c r="AT507" s="134">
        <f t="shared" si="67"/>
        <v>0.32039911308203989</v>
      </c>
      <c r="AU507" s="43">
        <f>IF(AND(F507&lt;&gt;"",Y507&lt;&gt;""),AA507/(F507/2/Y507),"")</f>
        <v>6.7235859124866598E-2</v>
      </c>
      <c r="AV507" s="43">
        <f>IF(AND(F507&lt;&gt;"",AJ507&lt;&gt;""),AL507/(F507/2/AJ507),"")</f>
        <v>9.818569903948772E-2</v>
      </c>
      <c r="AW507" s="43">
        <f>IF(AND(AP507&lt;&gt;"",1-(AP507/N507)&gt;0),1-(AP507/N507),"")</f>
        <v>0.87330316742081449</v>
      </c>
      <c r="AX507" s="41">
        <f>IF(AND(AE507&lt;&gt;"",1-(AE507/N507)&gt;0),1-(AE507/N507),"")</f>
        <v>0.87782805429864252</v>
      </c>
      <c r="AY507" s="136" t="str">
        <f>IF(P507="","",IF(P507&lt;2.5,"Alc. Bruta &lt; 2,5 mg/L",IF(P507&lt;5,"2,5 ≤ Alc. Bruta &lt; 5,0 mg/L",IF(P507&lt;7.5,"5,0 ≤ Alc. Bruta &lt; 7,5 mg/L",IF(P507&lt;10,"7,5 ≤ Alc. Bruta &lt; 10,0 mg/L",IF(P507&lt;15,"10,0 ≤ Alca. Bruta &lt; 15,0 mg/L","Alc. Bruta &gt; 15 mg/L"))))))</f>
        <v>7,5 ≤ Alc. Bruta &lt; 10,0 mg/L</v>
      </c>
      <c r="AZ507" s="136" t="str">
        <f>IF(O507="","",IF(O507&lt;5,"Cor &lt;5 uC",IF(O507&lt;10,"5 ≤ Cor &lt; 10 uC",IF(O507&lt;15,"10 ≤ Cor &lt;15 uC",IF(O507&lt;30,"15 ≤ Cor &lt; 30 uC",IF(O507&lt;50,"30 ≤ Cor &lt; 50 uC","Cor &gt; 50 uC"))))))</f>
        <v>10 ≤ Cor &lt;15 uC</v>
      </c>
      <c r="BA507" s="137" t="str">
        <f>IF(N507="","",IF(N507&lt;2.5,"Turbidez &lt; 2,5 uT",IF(N507&lt;5,"2,5 ≤ Turb &lt; 5,0 uT",IF(N507&lt;7.5,"5,0 ≤ Turb &lt; 7,5 uT",IF(N507&lt;10,"7,5 ≤ Turb &lt; 10,0 uT",IF(N507&lt;15,"10,0 ≤ Turb &lt; 15,0 uT","Turb &gt; 15 uT"))))))</f>
        <v>Turbidez &lt; 2,5 uT</v>
      </c>
      <c r="BB507" s="138" t="str">
        <f>IF(AND(C507&gt;D507,D507&gt;E507),"TOR &gt; SM &gt; BNN",IF(AND(C507&gt;E507,E507&gt;D507),"TOR &gt; BNN &gt; SM",IF(AND(D507&gt;C507,C507&gt;E507),"SM &gt; TOR &gt; BNN",IF(AND(D507&gt;E507,E507&gt;C507),"SM &gt; BNN &gt; TOR",IF(AND(C507=D507,D507=E507),"TOR = SM = BNN","Comb. diferentes")))))</f>
        <v>TOR &gt; BNN &gt; SM</v>
      </c>
      <c r="BC507" s="137" t="str">
        <f>IF(OR(AD507="",AP507="-"),"",IF(AD507&lt;=0.25,"Tipo 1 (≤0,25) uT",IF(AD507&lt;=0.5,"Tipo 2 (0,25-0,50) uT",IF(AD507&lt;=0.75,"Tipo 3 (0,50-0,75) uT","Tipo 4 (&gt;0,75) uT"))))</f>
        <v>Tipo 2 (0,25-0,50) uT</v>
      </c>
      <c r="BD507" s="137" t="str">
        <f>IF(OR(AO507="",AY507="-"),"",IF(AO507&lt;=0.25,"Tipo 1 (≤0,25) uT",IF(AO507&lt;=0.5,"Tipo 2 (0,25-0,50) uT",IF(AO507&lt;=0.75,"Tipo 3 (0,50-0,75) uT","Tipo 4 (&gt;0,75) uT"))))</f>
        <v>Tipo 1 (≤0,25) uT</v>
      </c>
      <c r="BE507" s="137" t="str">
        <f>IF(OR(AE507="",AP507="-"),"",IF(AE507&lt;=0.25,"Tipo 1 (≤0,25) uT",IF(AE507&lt;=0.5,"Tipo 2 (0,25-0,50) uT",IF(AE507&lt;=0.75,"Tipo 3 (0,50-0,75) uT","Tipo 4 (&gt;0,75) uT"))))</f>
        <v>Tipo 2 (0,25-0,50) uT</v>
      </c>
      <c r="BF507" s="137" t="str">
        <f>IF(OR(AP507="",AP507="-"),"",IF(AP507&lt;=0.25,"Tipo 1 (≤0,25) uT",IF(AP507&lt;=0.5,"Tipo 2 (0,25-0,50) uT",IF(AP507&lt;=0.75,"Tipo 3 (0,50-0,75) uT","Tipo 4 (&gt;0,75) uT"))))</f>
        <v>Tipo 2 (0,25-0,50) uT</v>
      </c>
      <c r="BG507" s="137" t="str">
        <f>IF(OR(Q507="",Q507="-"),"",IF(Q507&lt;=0.25,"Tipo 1 (≤0,25) uT",IF(Q507&lt;=0.5,"Tipo 2 (0,25-0,50) uT",IF(Q507&lt;=0.75,"Tipo 3 (0,50-0,75) uT","Tipo 4 (&gt;0,75) uT"))))</f>
        <v>Tipo 1 (≤0,25) uT</v>
      </c>
    </row>
    <row r="508" spans="1:59" x14ac:dyDescent="0.3">
      <c r="A508" s="26">
        <v>46179</v>
      </c>
      <c r="B508" s="107">
        <v>0.89583333333333337</v>
      </c>
      <c r="C508" s="116">
        <v>1148</v>
      </c>
      <c r="D508" s="116">
        <v>92</v>
      </c>
      <c r="E508" s="116">
        <v>578</v>
      </c>
      <c r="F508" s="116">
        <v>1872</v>
      </c>
      <c r="G508" s="10" t="s">
        <v>100</v>
      </c>
      <c r="H508" s="122">
        <v>7.3</v>
      </c>
      <c r="I508" s="116">
        <v>90</v>
      </c>
      <c r="J508" s="116">
        <v>90</v>
      </c>
      <c r="K508" s="116">
        <v>90</v>
      </c>
      <c r="L508" s="122">
        <v>20.9</v>
      </c>
      <c r="M508" s="122">
        <v>7</v>
      </c>
      <c r="N508" s="79">
        <v>2.4700000000000002</v>
      </c>
      <c r="O508" s="116">
        <v>11</v>
      </c>
      <c r="P508" s="122">
        <v>8</v>
      </c>
      <c r="Q508" s="79">
        <v>0.09</v>
      </c>
      <c r="R508" s="79">
        <v>22.36</v>
      </c>
      <c r="S508" s="79">
        <v>0.88</v>
      </c>
      <c r="T508" s="79">
        <v>0.7</v>
      </c>
      <c r="U508" s="85">
        <f t="shared" si="68"/>
        <v>1531.92</v>
      </c>
      <c r="V508" s="79">
        <f t="shared" si="69"/>
        <v>1682.5339658399996</v>
      </c>
      <c r="W508" s="79">
        <f t="shared" si="70"/>
        <v>1.0983171221995924</v>
      </c>
      <c r="X508" s="116">
        <v>2</v>
      </c>
      <c r="Y508" s="116">
        <v>3</v>
      </c>
      <c r="Z508" s="122">
        <v>6.46</v>
      </c>
      <c r="AA508" s="116">
        <v>21</v>
      </c>
      <c r="AB508" s="122">
        <v>6.8</v>
      </c>
      <c r="AC508" s="122">
        <v>3.8</v>
      </c>
      <c r="AD508" s="10">
        <v>0.22</v>
      </c>
      <c r="AE508" s="79">
        <v>0.21</v>
      </c>
      <c r="AF508" s="85">
        <f t="shared" si="71"/>
        <v>1148.94</v>
      </c>
      <c r="AG508" s="85">
        <f t="shared" si="72"/>
        <v>1821.4563327999999</v>
      </c>
      <c r="AH508" s="85">
        <f t="shared" si="73"/>
        <v>1.5853363385381307</v>
      </c>
      <c r="AI508" s="116">
        <v>2</v>
      </c>
      <c r="AJ508" s="116">
        <v>4</v>
      </c>
      <c r="AK508" s="79">
        <v>6.4</v>
      </c>
      <c r="AL508" s="79">
        <v>23</v>
      </c>
      <c r="AM508" s="122">
        <v>6.7</v>
      </c>
      <c r="AN508" s="122">
        <v>6.7</v>
      </c>
      <c r="AO508" s="79">
        <v>0.12</v>
      </c>
      <c r="AP508" s="127">
        <v>0.21</v>
      </c>
      <c r="AQ508" s="132">
        <f t="shared" si="64"/>
        <v>1818</v>
      </c>
      <c r="AR508" s="134">
        <f t="shared" si="65"/>
        <v>0.63146314631463152</v>
      </c>
      <c r="AS508" s="134">
        <f t="shared" si="66"/>
        <v>5.0605060506050605E-2</v>
      </c>
      <c r="AT508" s="134">
        <f t="shared" si="67"/>
        <v>0.31793179317931791</v>
      </c>
      <c r="AU508" s="43">
        <f>IF(AND(F508&lt;&gt;"",Y508&lt;&gt;""),AA508/(F508/2/Y508),"")</f>
        <v>6.7307692307692304E-2</v>
      </c>
      <c r="AV508" s="43">
        <f>IF(AND(F508&lt;&gt;"",AJ508&lt;&gt;""),AL508/(F508/2/AJ508),"")</f>
        <v>9.8290598290598288E-2</v>
      </c>
      <c r="AW508" s="43">
        <f>IF(AND(AP508&lt;&gt;"",1-(AP508/N508)&gt;0),1-(AP508/N508),"")</f>
        <v>0.91497975708502022</v>
      </c>
      <c r="AX508" s="41">
        <f>IF(AND(AE508&lt;&gt;"",1-(AE508/N508)&gt;0),1-(AE508/N508),"")</f>
        <v>0.91497975708502022</v>
      </c>
      <c r="AY508" s="136" t="str">
        <f>IF(P508="","",IF(P508&lt;2.5,"Alc. Bruta &lt; 2,5 mg/L",IF(P508&lt;5,"2,5 ≤ Alc. Bruta &lt; 5,0 mg/L",IF(P508&lt;7.5,"5,0 ≤ Alc. Bruta &lt; 7,5 mg/L",IF(P508&lt;10,"7,5 ≤ Alc. Bruta &lt; 10,0 mg/L",IF(P508&lt;15,"10,0 ≤ Alca. Bruta &lt; 15,0 mg/L","Alc. Bruta &gt; 15 mg/L"))))))</f>
        <v>7,5 ≤ Alc. Bruta &lt; 10,0 mg/L</v>
      </c>
      <c r="AZ508" s="136" t="str">
        <f>IF(O508="","",IF(O508&lt;5,"Cor &lt;5 uC",IF(O508&lt;10,"5 ≤ Cor &lt; 10 uC",IF(O508&lt;15,"10 ≤ Cor &lt;15 uC",IF(O508&lt;30,"15 ≤ Cor &lt; 30 uC",IF(O508&lt;50,"30 ≤ Cor &lt; 50 uC","Cor &gt; 50 uC"))))))</f>
        <v>10 ≤ Cor &lt;15 uC</v>
      </c>
      <c r="BA508" s="137" t="str">
        <f>IF(N508="","",IF(N508&lt;2.5,"Turbidez &lt; 2,5 uT",IF(N508&lt;5,"2,5 ≤ Turb &lt; 5,0 uT",IF(N508&lt;7.5,"5,0 ≤ Turb &lt; 7,5 uT",IF(N508&lt;10,"7,5 ≤ Turb &lt; 10,0 uT",IF(N508&lt;15,"10,0 ≤ Turb &lt; 15,0 uT","Turb &gt; 15 uT"))))))</f>
        <v>Turbidez &lt; 2,5 uT</v>
      </c>
      <c r="BB508" s="138" t="str">
        <f>IF(AND(C508&gt;D508,D508&gt;E508),"TOR &gt; SM &gt; BNN",IF(AND(C508&gt;E508,E508&gt;D508),"TOR &gt; BNN &gt; SM",IF(AND(D508&gt;C508,C508&gt;E508),"SM &gt; TOR &gt; BNN",IF(AND(D508&gt;E508,E508&gt;C508),"SM &gt; BNN &gt; TOR",IF(AND(C508=D508,D508=E508),"TOR = SM = BNN","Comb. diferentes")))))</f>
        <v>TOR &gt; BNN &gt; SM</v>
      </c>
      <c r="BC508" s="137" t="str">
        <f>IF(OR(AD508="",AP508="-"),"",IF(AD508&lt;=0.25,"Tipo 1 (≤0,25) uT",IF(AD508&lt;=0.5,"Tipo 2 (0,25-0,50) uT",IF(AD508&lt;=0.75,"Tipo 3 (0,50-0,75) uT","Tipo 4 (&gt;0,75) uT"))))</f>
        <v>Tipo 1 (≤0,25) uT</v>
      </c>
      <c r="BD508" s="137" t="str">
        <f>IF(OR(AO508="",AY508="-"),"",IF(AO508&lt;=0.25,"Tipo 1 (≤0,25) uT",IF(AO508&lt;=0.5,"Tipo 2 (0,25-0,50) uT",IF(AO508&lt;=0.75,"Tipo 3 (0,50-0,75) uT","Tipo 4 (&gt;0,75) uT"))))</f>
        <v>Tipo 1 (≤0,25) uT</v>
      </c>
      <c r="BE508" s="137" t="str">
        <f>IF(OR(AE508="",AP508="-"),"",IF(AE508&lt;=0.25,"Tipo 1 (≤0,25) uT",IF(AE508&lt;=0.5,"Tipo 2 (0,25-0,50) uT",IF(AE508&lt;=0.75,"Tipo 3 (0,50-0,75) uT","Tipo 4 (&gt;0,75) uT"))))</f>
        <v>Tipo 1 (≤0,25) uT</v>
      </c>
      <c r="BF508" s="137" t="str">
        <f>IF(OR(AP508="",AP508="-"),"",IF(AP508&lt;=0.25,"Tipo 1 (≤0,25) uT",IF(AP508&lt;=0.5,"Tipo 2 (0,25-0,50) uT",IF(AP508&lt;=0.75,"Tipo 3 (0,50-0,75) uT","Tipo 4 (&gt;0,75) uT"))))</f>
        <v>Tipo 1 (≤0,25) uT</v>
      </c>
      <c r="BG508" s="137" t="str">
        <f>IF(OR(Q508="",Q508="-"),"",IF(Q508&lt;=0.25,"Tipo 1 (≤0,25) uT",IF(Q508&lt;=0.5,"Tipo 2 (0,25-0,50) uT",IF(Q508&lt;=0.75,"Tipo 3 (0,50-0,75) uT","Tipo 4 (&gt;0,75) uT"))))</f>
        <v>Tipo 1 (≤0,25) uT</v>
      </c>
    </row>
    <row r="509" spans="1:59" x14ac:dyDescent="0.3">
      <c r="A509" s="26">
        <v>46180</v>
      </c>
      <c r="B509" s="107">
        <v>6.25E-2</v>
      </c>
      <c r="C509" s="116">
        <v>1103</v>
      </c>
      <c r="D509" s="116">
        <v>94</v>
      </c>
      <c r="E509" s="116">
        <v>578</v>
      </c>
      <c r="F509" s="116">
        <v>1797</v>
      </c>
      <c r="G509" s="10" t="s">
        <v>100</v>
      </c>
      <c r="H509" s="122">
        <v>7.3</v>
      </c>
      <c r="I509" s="116">
        <v>90</v>
      </c>
      <c r="J509" s="116">
        <v>90</v>
      </c>
      <c r="K509" s="116">
        <v>90</v>
      </c>
      <c r="L509" s="122">
        <v>20.6</v>
      </c>
      <c r="M509" s="122">
        <v>6.9</v>
      </c>
      <c r="N509" s="79">
        <v>2.48</v>
      </c>
      <c r="O509" s="116">
        <v>11</v>
      </c>
      <c r="P509" s="122">
        <v>7.3</v>
      </c>
      <c r="Q509" s="79">
        <v>0.1</v>
      </c>
      <c r="R509" s="79">
        <v>22.36</v>
      </c>
      <c r="S509" s="79">
        <v>0.88</v>
      </c>
      <c r="T509" s="79">
        <v>0.7</v>
      </c>
      <c r="U509" s="85">
        <f t="shared" si="68"/>
        <v>1473.54</v>
      </c>
      <c r="V509" s="79">
        <f t="shared" si="69"/>
        <v>1698.7549160399999</v>
      </c>
      <c r="W509" s="79">
        <f t="shared" si="70"/>
        <v>1.1528393637363084</v>
      </c>
      <c r="X509" s="116">
        <v>2</v>
      </c>
      <c r="Y509" s="116">
        <v>3</v>
      </c>
      <c r="Z509" s="122">
        <v>6.51</v>
      </c>
      <c r="AA509" s="116">
        <v>21</v>
      </c>
      <c r="AB509" s="122">
        <v>6.7</v>
      </c>
      <c r="AC509" s="122">
        <v>6.7</v>
      </c>
      <c r="AD509" s="10">
        <v>0.16</v>
      </c>
      <c r="AE509" s="79">
        <v>0.22</v>
      </c>
      <c r="AF509" s="85">
        <f t="shared" si="71"/>
        <v>1105.155</v>
      </c>
      <c r="AG509" s="85">
        <f t="shared" si="72"/>
        <v>1849.8816169599997</v>
      </c>
      <c r="AH509" s="85">
        <f t="shared" si="73"/>
        <v>1.6738662151100976</v>
      </c>
      <c r="AI509" s="116">
        <v>2</v>
      </c>
      <c r="AJ509" s="116">
        <v>4</v>
      </c>
      <c r="AK509" s="79">
        <v>6.48</v>
      </c>
      <c r="AL509" s="79">
        <v>23</v>
      </c>
      <c r="AM509" s="122">
        <v>6.7</v>
      </c>
      <c r="AN509" s="122">
        <v>6.7</v>
      </c>
      <c r="AO509" s="79">
        <v>0.14000000000000001</v>
      </c>
      <c r="AP509" s="127">
        <v>0.21</v>
      </c>
      <c r="AQ509" s="132">
        <f t="shared" si="64"/>
        <v>1775</v>
      </c>
      <c r="AR509" s="134">
        <f t="shared" si="65"/>
        <v>0.62140845070422535</v>
      </c>
      <c r="AS509" s="134">
        <f t="shared" si="66"/>
        <v>5.295774647887324E-2</v>
      </c>
      <c r="AT509" s="134">
        <f t="shared" si="67"/>
        <v>0.32563380281690141</v>
      </c>
      <c r="AU509" s="43">
        <f>IF(AND(F509&lt;&gt;"",Y509&lt;&gt;""),AA509/(F509/2/Y509),"")</f>
        <v>7.0116861435726208E-2</v>
      </c>
      <c r="AV509" s="43">
        <f>IF(AND(F509&lt;&gt;"",AJ509&lt;&gt;""),AL509/(F509/2/AJ509),"")</f>
        <v>0.10239287701725097</v>
      </c>
      <c r="AW509" s="43">
        <f>IF(AND(AP509&lt;&gt;"",1-(AP509/N509)&gt;0),1-(AP509/N509),"")</f>
        <v>0.91532258064516125</v>
      </c>
      <c r="AX509" s="41">
        <f>IF(AND(AE509&lt;&gt;"",1-(AE509/N509)&gt;0),1-(AE509/N509),"")</f>
        <v>0.91129032258064513</v>
      </c>
      <c r="AY509" s="136" t="str">
        <f>IF(P509="","",IF(P509&lt;2.5,"Alc. Bruta &lt; 2,5 mg/L",IF(P509&lt;5,"2,5 ≤ Alc. Bruta &lt; 5,0 mg/L",IF(P509&lt;7.5,"5,0 ≤ Alc. Bruta &lt; 7,5 mg/L",IF(P509&lt;10,"7,5 ≤ Alc. Bruta &lt; 10,0 mg/L",IF(P509&lt;15,"10,0 ≤ Alca. Bruta &lt; 15,0 mg/L","Alc. Bruta &gt; 15 mg/L"))))))</f>
        <v>5,0 ≤ Alc. Bruta &lt; 7,5 mg/L</v>
      </c>
      <c r="AZ509" s="136" t="str">
        <f>IF(O509="","",IF(O509&lt;5,"Cor &lt;5 uC",IF(O509&lt;10,"5 ≤ Cor &lt; 10 uC",IF(O509&lt;15,"10 ≤ Cor &lt;15 uC",IF(O509&lt;30,"15 ≤ Cor &lt; 30 uC",IF(O509&lt;50,"30 ≤ Cor &lt; 50 uC","Cor &gt; 50 uC"))))))</f>
        <v>10 ≤ Cor &lt;15 uC</v>
      </c>
      <c r="BA509" s="137" t="str">
        <f>IF(N509="","",IF(N509&lt;2.5,"Turbidez &lt; 2,5 uT",IF(N509&lt;5,"2,5 ≤ Turb &lt; 5,0 uT",IF(N509&lt;7.5,"5,0 ≤ Turb &lt; 7,5 uT",IF(N509&lt;10,"7,5 ≤ Turb &lt; 10,0 uT",IF(N509&lt;15,"10,0 ≤ Turb &lt; 15,0 uT","Turb &gt; 15 uT"))))))</f>
        <v>Turbidez &lt; 2,5 uT</v>
      </c>
      <c r="BB509" s="138" t="str">
        <f>IF(AND(C509&gt;D509,D509&gt;E509),"TOR &gt; SM &gt; BNN",IF(AND(C509&gt;E509,E509&gt;D509),"TOR &gt; BNN &gt; SM",IF(AND(D509&gt;C509,C509&gt;E509),"SM &gt; TOR &gt; BNN",IF(AND(D509&gt;E509,E509&gt;C509),"SM &gt; BNN &gt; TOR",IF(AND(C509=D509,D509=E509),"TOR = SM = BNN","Comb. diferentes")))))</f>
        <v>TOR &gt; BNN &gt; SM</v>
      </c>
      <c r="BC509" s="137" t="str">
        <f>IF(OR(AD509="",AP509="-"),"",IF(AD509&lt;=0.25,"Tipo 1 (≤0,25) uT",IF(AD509&lt;=0.5,"Tipo 2 (0,25-0,50) uT",IF(AD509&lt;=0.75,"Tipo 3 (0,50-0,75) uT","Tipo 4 (&gt;0,75) uT"))))</f>
        <v>Tipo 1 (≤0,25) uT</v>
      </c>
      <c r="BD509" s="137" t="str">
        <f>IF(OR(AO509="",AY509="-"),"",IF(AO509&lt;=0.25,"Tipo 1 (≤0,25) uT",IF(AO509&lt;=0.5,"Tipo 2 (0,25-0,50) uT",IF(AO509&lt;=0.75,"Tipo 3 (0,50-0,75) uT","Tipo 4 (&gt;0,75) uT"))))</f>
        <v>Tipo 1 (≤0,25) uT</v>
      </c>
      <c r="BE509" s="137" t="str">
        <f>IF(OR(AE509="",AP509="-"),"",IF(AE509&lt;=0.25,"Tipo 1 (≤0,25) uT",IF(AE509&lt;=0.5,"Tipo 2 (0,25-0,50) uT",IF(AE509&lt;=0.75,"Tipo 3 (0,50-0,75) uT","Tipo 4 (&gt;0,75) uT"))))</f>
        <v>Tipo 1 (≤0,25) uT</v>
      </c>
      <c r="BF509" s="137" t="str">
        <f>IF(OR(AP509="",AP509="-"),"",IF(AP509&lt;=0.25,"Tipo 1 (≤0,25) uT",IF(AP509&lt;=0.5,"Tipo 2 (0,25-0,50) uT",IF(AP509&lt;=0.75,"Tipo 3 (0,50-0,75) uT","Tipo 4 (&gt;0,75) uT"))))</f>
        <v>Tipo 1 (≤0,25) uT</v>
      </c>
      <c r="BG509" s="137" t="str">
        <f>IF(OR(Q509="",Q509="-"),"",IF(Q509&lt;=0.25,"Tipo 1 (≤0,25) uT",IF(Q509&lt;=0.5,"Tipo 2 (0,25-0,50) uT",IF(Q509&lt;=0.75,"Tipo 3 (0,50-0,75) uT","Tipo 4 (&gt;0,75) uT"))))</f>
        <v>Tipo 1 (≤0,25) uT</v>
      </c>
    </row>
    <row r="510" spans="1:59" x14ac:dyDescent="0.3">
      <c r="A510" s="26">
        <v>46180</v>
      </c>
      <c r="B510" s="107">
        <v>0.14583333333333334</v>
      </c>
      <c r="C510" s="116">
        <v>1147</v>
      </c>
      <c r="D510" s="116">
        <v>86</v>
      </c>
      <c r="E510" s="116">
        <v>579</v>
      </c>
      <c r="F510" s="116">
        <v>1792</v>
      </c>
      <c r="G510" s="10" t="s">
        <v>100</v>
      </c>
      <c r="H510" s="122">
        <v>7.3</v>
      </c>
      <c r="I510" s="116">
        <v>90</v>
      </c>
      <c r="J510" s="116">
        <v>90</v>
      </c>
      <c r="K510" s="116">
        <v>90</v>
      </c>
      <c r="L510" s="122">
        <v>20.5</v>
      </c>
      <c r="M510" s="122">
        <v>7</v>
      </c>
      <c r="N510" s="79">
        <v>2.34</v>
      </c>
      <c r="O510" s="116">
        <v>11</v>
      </c>
      <c r="P510" s="122">
        <v>7.4</v>
      </c>
      <c r="Q510" s="79">
        <v>0.1</v>
      </c>
      <c r="R510" s="79">
        <v>22.36</v>
      </c>
      <c r="S510" s="79">
        <v>0.88</v>
      </c>
      <c r="T510" s="79">
        <v>0.7</v>
      </c>
      <c r="U510" s="85">
        <f t="shared" si="68"/>
        <v>1427.6266666666666</v>
      </c>
      <c r="V510" s="79">
        <f t="shared" si="69"/>
        <v>1698.7549160399999</v>
      </c>
      <c r="W510" s="79">
        <f t="shared" si="70"/>
        <v>1.1899153719273012</v>
      </c>
      <c r="X510" s="116">
        <v>2</v>
      </c>
      <c r="Y510" s="116">
        <v>3</v>
      </c>
      <c r="Z510" s="122">
        <v>6.51</v>
      </c>
      <c r="AA510" s="116">
        <v>21</v>
      </c>
      <c r="AB510" s="122">
        <v>6.8</v>
      </c>
      <c r="AC510" s="122">
        <v>6.8</v>
      </c>
      <c r="AD510" s="10">
        <v>0.17</v>
      </c>
      <c r="AE510" s="79">
        <v>0.22</v>
      </c>
      <c r="AF510" s="85">
        <f t="shared" si="71"/>
        <v>1070.7199999999998</v>
      </c>
      <c r="AG510" s="85">
        <f t="shared" si="72"/>
        <v>1839.2221353999998</v>
      </c>
      <c r="AH510" s="85">
        <f t="shared" si="73"/>
        <v>1.7177433272937839</v>
      </c>
      <c r="AI510" s="116">
        <v>2</v>
      </c>
      <c r="AJ510" s="116">
        <v>4</v>
      </c>
      <c r="AK510" s="79">
        <v>6.45</v>
      </c>
      <c r="AL510" s="79">
        <v>23</v>
      </c>
      <c r="AM510" s="122">
        <v>6.8</v>
      </c>
      <c r="AN510" s="122">
        <v>6.8</v>
      </c>
      <c r="AO510" s="79">
        <v>0.15</v>
      </c>
      <c r="AP510" s="127">
        <v>0.23</v>
      </c>
      <c r="AQ510" s="132">
        <f t="shared" si="64"/>
        <v>1812</v>
      </c>
      <c r="AR510" s="134">
        <f t="shared" si="65"/>
        <v>0.63300220750551872</v>
      </c>
      <c r="AS510" s="134">
        <f t="shared" si="66"/>
        <v>4.7461368653421633E-2</v>
      </c>
      <c r="AT510" s="134">
        <f t="shared" si="67"/>
        <v>0.31953642384105962</v>
      </c>
      <c r="AU510" s="43">
        <f>IF(AND(F510&lt;&gt;"",Y510&lt;&gt;""),AA510/(F510/2/Y510),"")</f>
        <v>7.03125E-2</v>
      </c>
      <c r="AV510" s="43">
        <f>IF(AND(F510&lt;&gt;"",AJ510&lt;&gt;""),AL510/(F510/2/AJ510),"")</f>
        <v>0.10267857142857142</v>
      </c>
      <c r="AW510" s="43">
        <f>IF(AND(AP510&lt;&gt;"",1-(AP510/N510)&gt;0),1-(AP510/N510),"")</f>
        <v>0.90170940170940173</v>
      </c>
      <c r="AX510" s="41">
        <f>IF(AND(AE510&lt;&gt;"",1-(AE510/N510)&gt;0),1-(AE510/N510),"")</f>
        <v>0.90598290598290598</v>
      </c>
      <c r="AY510" s="136" t="str">
        <f>IF(P510="","",IF(P510&lt;2.5,"Alc. Bruta &lt; 2,5 mg/L",IF(P510&lt;5,"2,5 ≤ Alc. Bruta &lt; 5,0 mg/L",IF(P510&lt;7.5,"5,0 ≤ Alc. Bruta &lt; 7,5 mg/L",IF(P510&lt;10,"7,5 ≤ Alc. Bruta &lt; 10,0 mg/L",IF(P510&lt;15,"10,0 ≤ Alca. Bruta &lt; 15,0 mg/L","Alc. Bruta &gt; 15 mg/L"))))))</f>
        <v>5,0 ≤ Alc. Bruta &lt; 7,5 mg/L</v>
      </c>
      <c r="AZ510" s="136" t="str">
        <f>IF(O510="","",IF(O510&lt;5,"Cor &lt;5 uC",IF(O510&lt;10,"5 ≤ Cor &lt; 10 uC",IF(O510&lt;15,"10 ≤ Cor &lt;15 uC",IF(O510&lt;30,"15 ≤ Cor &lt; 30 uC",IF(O510&lt;50,"30 ≤ Cor &lt; 50 uC","Cor &gt; 50 uC"))))))</f>
        <v>10 ≤ Cor &lt;15 uC</v>
      </c>
      <c r="BA510" s="137" t="str">
        <f>IF(N510="","",IF(N510&lt;2.5,"Turbidez &lt; 2,5 uT",IF(N510&lt;5,"2,5 ≤ Turb &lt; 5,0 uT",IF(N510&lt;7.5,"5,0 ≤ Turb &lt; 7,5 uT",IF(N510&lt;10,"7,5 ≤ Turb &lt; 10,0 uT",IF(N510&lt;15,"10,0 ≤ Turb &lt; 15,0 uT","Turb &gt; 15 uT"))))))</f>
        <v>Turbidez &lt; 2,5 uT</v>
      </c>
      <c r="BB510" s="138" t="str">
        <f>IF(AND(C510&gt;D510,D510&gt;E510),"TOR &gt; SM &gt; BNN",IF(AND(C510&gt;E510,E510&gt;D510),"TOR &gt; BNN &gt; SM",IF(AND(D510&gt;C510,C510&gt;E510),"SM &gt; TOR &gt; BNN",IF(AND(D510&gt;E510,E510&gt;C510),"SM &gt; BNN &gt; TOR",IF(AND(C510=D510,D510=E510),"TOR = SM = BNN","Comb. diferentes")))))</f>
        <v>TOR &gt; BNN &gt; SM</v>
      </c>
      <c r="BC510" s="137" t="str">
        <f>IF(OR(AD510="",AP510="-"),"",IF(AD510&lt;=0.25,"Tipo 1 (≤0,25) uT",IF(AD510&lt;=0.5,"Tipo 2 (0,25-0,50) uT",IF(AD510&lt;=0.75,"Tipo 3 (0,50-0,75) uT","Tipo 4 (&gt;0,75) uT"))))</f>
        <v>Tipo 1 (≤0,25) uT</v>
      </c>
      <c r="BD510" s="137" t="str">
        <f>IF(OR(AO510="",AY510="-"),"",IF(AO510&lt;=0.25,"Tipo 1 (≤0,25) uT",IF(AO510&lt;=0.5,"Tipo 2 (0,25-0,50) uT",IF(AO510&lt;=0.75,"Tipo 3 (0,50-0,75) uT","Tipo 4 (&gt;0,75) uT"))))</f>
        <v>Tipo 1 (≤0,25) uT</v>
      </c>
      <c r="BE510" s="137" t="str">
        <f>IF(OR(AE510="",AP510="-"),"",IF(AE510&lt;=0.25,"Tipo 1 (≤0,25) uT",IF(AE510&lt;=0.5,"Tipo 2 (0,25-0,50) uT",IF(AE510&lt;=0.75,"Tipo 3 (0,50-0,75) uT","Tipo 4 (&gt;0,75) uT"))))</f>
        <v>Tipo 1 (≤0,25) uT</v>
      </c>
      <c r="BF510" s="137" t="str">
        <f>IF(OR(AP510="",AP510="-"),"",IF(AP510&lt;=0.25,"Tipo 1 (≤0,25) uT",IF(AP510&lt;=0.5,"Tipo 2 (0,25-0,50) uT",IF(AP510&lt;=0.75,"Tipo 3 (0,50-0,75) uT","Tipo 4 (&gt;0,75) uT"))))</f>
        <v>Tipo 1 (≤0,25) uT</v>
      </c>
      <c r="BG510" s="137" t="str">
        <f>IF(OR(Q510="",Q510="-"),"",IF(Q510&lt;=0.25,"Tipo 1 (≤0,25) uT",IF(Q510&lt;=0.5,"Tipo 2 (0,25-0,50) uT",IF(Q510&lt;=0.75,"Tipo 3 (0,50-0,75) uT","Tipo 4 (&gt;0,75) uT"))))</f>
        <v>Tipo 1 (≤0,25) uT</v>
      </c>
    </row>
    <row r="511" spans="1:59" ht="15" thickBot="1" x14ac:dyDescent="0.35">
      <c r="A511" s="26">
        <v>46180</v>
      </c>
      <c r="B511" s="110">
        <v>0.22916666666666666</v>
      </c>
      <c r="C511" s="117">
        <v>597</v>
      </c>
      <c r="D511" s="117">
        <v>85</v>
      </c>
      <c r="E511" s="117">
        <v>619</v>
      </c>
      <c r="F511" s="117">
        <v>1362</v>
      </c>
      <c r="G511" s="11" t="s">
        <v>100</v>
      </c>
      <c r="H511" s="123">
        <v>7.3</v>
      </c>
      <c r="I511" s="117">
        <v>90</v>
      </c>
      <c r="J511" s="117">
        <v>90</v>
      </c>
      <c r="K511" s="117">
        <v>90</v>
      </c>
      <c r="L511" s="123">
        <v>19.899999999999999</v>
      </c>
      <c r="M511" s="123">
        <v>6.8</v>
      </c>
      <c r="N511" s="80">
        <v>2.79</v>
      </c>
      <c r="O511" s="117">
        <v>11</v>
      </c>
      <c r="P511" s="123">
        <v>8.1</v>
      </c>
      <c r="Q511" s="80">
        <v>0.08</v>
      </c>
      <c r="R511" s="79">
        <v>22.36</v>
      </c>
      <c r="S511" s="79">
        <v>0.88</v>
      </c>
      <c r="T511" s="79">
        <v>0.7</v>
      </c>
      <c r="U511" s="85">
        <f t="shared" si="68"/>
        <v>1780.8150000000001</v>
      </c>
      <c r="V511" s="79">
        <f t="shared" si="69"/>
        <v>1698.7549160399999</v>
      </c>
      <c r="W511" s="79">
        <f t="shared" si="70"/>
        <v>0.95391992769602674</v>
      </c>
      <c r="X511" s="117">
        <v>1</v>
      </c>
      <c r="Y511" s="117">
        <v>2</v>
      </c>
      <c r="Z511" s="123">
        <v>6.51</v>
      </c>
      <c r="AA511" s="117">
        <v>21</v>
      </c>
      <c r="AB511" s="122">
        <v>6.7</v>
      </c>
      <c r="AC511" s="123">
        <v>6.9</v>
      </c>
      <c r="AD511" s="11">
        <v>0.21</v>
      </c>
      <c r="AE511" s="80">
        <v>0.23</v>
      </c>
      <c r="AF511" s="85">
        <f t="shared" si="71"/>
        <v>1187.21</v>
      </c>
      <c r="AG511" s="85">
        <f t="shared" si="72"/>
        <v>1919.1883151999998</v>
      </c>
      <c r="AH511" s="85">
        <f t="shared" si="73"/>
        <v>1.6165533605680542</v>
      </c>
      <c r="AI511" s="117">
        <v>1</v>
      </c>
      <c r="AJ511" s="117">
        <v>3</v>
      </c>
      <c r="AK511" s="80">
        <v>6.45</v>
      </c>
      <c r="AL511" s="80">
        <v>24</v>
      </c>
      <c r="AM511" s="123">
        <v>6.9</v>
      </c>
      <c r="AN511" s="123">
        <v>6.9</v>
      </c>
      <c r="AO511" s="80">
        <v>0.19</v>
      </c>
      <c r="AP511" s="128">
        <v>0.23</v>
      </c>
      <c r="AQ511" s="132">
        <f t="shared" si="64"/>
        <v>1301</v>
      </c>
      <c r="AR511" s="134">
        <f t="shared" si="65"/>
        <v>0.45887778631821674</v>
      </c>
      <c r="AS511" s="134">
        <f t="shared" si="66"/>
        <v>6.5334358186010758E-2</v>
      </c>
      <c r="AT511" s="134">
        <f t="shared" si="67"/>
        <v>0.47578785549577246</v>
      </c>
      <c r="AU511" s="43">
        <f>IF(AND(F511&lt;&gt;"",Y511&lt;&gt;""),AA511/(F511/2/Y511),"")</f>
        <v>6.1674008810572688E-2</v>
      </c>
      <c r="AV511" s="43">
        <f>IF(AND(F511&lt;&gt;"",AJ511&lt;&gt;""),AL511/(F511/2/AJ511),"")</f>
        <v>0.10572687224669604</v>
      </c>
      <c r="AW511" s="43">
        <f>IF(AND(AP511&lt;&gt;"",1-(AP511/N511)&gt;0),1-(AP511/N511),"")</f>
        <v>0.91756272401433692</v>
      </c>
      <c r="AX511" s="41">
        <f>IF(AND(AE511&lt;&gt;"",1-(AE511/N511)&gt;0),1-(AE511/N511),"")</f>
        <v>0.91756272401433692</v>
      </c>
      <c r="AY511" s="136" t="str">
        <f>IF(P511="","",IF(P511&lt;2.5,"Alc. Bruta &lt; 2,5 mg/L",IF(P511&lt;5,"2,5 ≤ Alc. Bruta &lt; 5,0 mg/L",IF(P511&lt;7.5,"5,0 ≤ Alc. Bruta &lt; 7,5 mg/L",IF(P511&lt;10,"7,5 ≤ Alc. Bruta &lt; 10,0 mg/L",IF(P511&lt;15,"10,0 ≤ Alca. Bruta &lt; 15,0 mg/L","Alc. Bruta &gt; 15 mg/L"))))))</f>
        <v>7,5 ≤ Alc. Bruta &lt; 10,0 mg/L</v>
      </c>
      <c r="AZ511" s="136" t="str">
        <f>IF(O511="","",IF(O511&lt;5,"Cor &lt;5 uC",IF(O511&lt;10,"5 ≤ Cor &lt; 10 uC",IF(O511&lt;15,"10 ≤ Cor &lt;15 uC",IF(O511&lt;30,"15 ≤ Cor &lt; 30 uC",IF(O511&lt;50,"30 ≤ Cor &lt; 50 uC","Cor &gt; 50 uC"))))))</f>
        <v>10 ≤ Cor &lt;15 uC</v>
      </c>
      <c r="BA511" s="137" t="str">
        <f>IF(N511="","",IF(N511&lt;2.5,"Turbidez &lt; 2,5 uT",IF(N511&lt;5,"2,5 ≤ Turb &lt; 5,0 uT",IF(N511&lt;7.5,"5,0 ≤ Turb &lt; 7,5 uT",IF(N511&lt;10,"7,5 ≤ Turb &lt; 10,0 uT",IF(N511&lt;15,"10,0 ≤ Turb &lt; 15,0 uT","Turb &gt; 15 uT"))))))</f>
        <v>2,5 ≤ Turb &lt; 5,0 uT</v>
      </c>
      <c r="BB511" s="138" t="str">
        <f>IF(AND(C511&gt;D511,D511&gt;E511),"TOR &gt; SM &gt; BNN",IF(AND(C511&gt;E511,E511&gt;D511),"TOR &gt; BNN &gt; SM",IF(AND(D511&gt;C511,C511&gt;E511),"SM &gt; TOR &gt; BNN",IF(AND(D511&gt;E511,E511&gt;C511),"SM &gt; BNN &gt; TOR",IF(AND(C511=D511,D511=E511),"TOR = SM = BNN","Comb. diferentes")))))</f>
        <v>Comb. diferentes</v>
      </c>
      <c r="BC511" s="137" t="str">
        <f>IF(OR(AD511="",AP511="-"),"",IF(AD511&lt;=0.25,"Tipo 1 (≤0,25) uT",IF(AD511&lt;=0.5,"Tipo 2 (0,25-0,50) uT",IF(AD511&lt;=0.75,"Tipo 3 (0,50-0,75) uT","Tipo 4 (&gt;0,75) uT"))))</f>
        <v>Tipo 1 (≤0,25) uT</v>
      </c>
      <c r="BD511" s="137" t="str">
        <f>IF(OR(AO511="",AY511="-"),"",IF(AO511&lt;=0.25,"Tipo 1 (≤0,25) uT",IF(AO511&lt;=0.5,"Tipo 2 (0,25-0,50) uT",IF(AO511&lt;=0.75,"Tipo 3 (0,50-0,75) uT","Tipo 4 (&gt;0,75) uT"))))</f>
        <v>Tipo 1 (≤0,25) uT</v>
      </c>
      <c r="BE511" s="137" t="str">
        <f>IF(OR(AE511="",AP511="-"),"",IF(AE511&lt;=0.25,"Tipo 1 (≤0,25) uT",IF(AE511&lt;=0.5,"Tipo 2 (0,25-0,50) uT",IF(AE511&lt;=0.75,"Tipo 3 (0,50-0,75) uT","Tipo 4 (&gt;0,75) uT"))))</f>
        <v>Tipo 1 (≤0,25) uT</v>
      </c>
      <c r="BF511" s="137" t="str">
        <f>IF(OR(AP511="",AP511="-"),"",IF(AP511&lt;=0.25,"Tipo 1 (≤0,25) uT",IF(AP511&lt;=0.5,"Tipo 2 (0,25-0,50) uT",IF(AP511&lt;=0.75,"Tipo 3 (0,50-0,75) uT","Tipo 4 (&gt;0,75) uT"))))</f>
        <v>Tipo 1 (≤0,25) uT</v>
      </c>
      <c r="BG511" s="137" t="str">
        <f>IF(OR(Q511="",Q511="-"),"",IF(Q511&lt;=0.25,"Tipo 1 (≤0,25) uT",IF(Q511&lt;=0.5,"Tipo 2 (0,25-0,50) uT",IF(Q511&lt;=0.75,"Tipo 3 (0,50-0,75) uT","Tipo 4 (&gt;0,75) uT"))))</f>
        <v>Tipo 1 (≤0,25) uT</v>
      </c>
    </row>
    <row r="512" spans="1:59" x14ac:dyDescent="0.3">
      <c r="A512" s="26">
        <v>46180</v>
      </c>
      <c r="B512" s="111">
        <v>0.3125</v>
      </c>
      <c r="C512" s="118">
        <v>595</v>
      </c>
      <c r="D512" s="116">
        <v>84</v>
      </c>
      <c r="E512" s="118">
        <v>617</v>
      </c>
      <c r="F512" s="118">
        <v>1367</v>
      </c>
      <c r="G512" s="9" t="s">
        <v>100</v>
      </c>
      <c r="H512" s="124">
        <v>7.3</v>
      </c>
      <c r="I512" s="118">
        <v>90</v>
      </c>
      <c r="J512" s="118">
        <v>90</v>
      </c>
      <c r="K512" s="118">
        <v>90</v>
      </c>
      <c r="L512" s="124">
        <v>19.8</v>
      </c>
      <c r="M512" s="124">
        <v>6.9</v>
      </c>
      <c r="N512" s="81">
        <v>2.37</v>
      </c>
      <c r="O512" s="118">
        <v>11</v>
      </c>
      <c r="P512" s="124">
        <v>9.9</v>
      </c>
      <c r="Q512" s="81">
        <v>0.08</v>
      </c>
      <c r="R512" s="79">
        <v>22.36</v>
      </c>
      <c r="S512" s="79">
        <v>0.88</v>
      </c>
      <c r="T512" s="79">
        <v>0.7</v>
      </c>
      <c r="U512" s="85">
        <f t="shared" si="68"/>
        <v>1643.8175000000001</v>
      </c>
      <c r="V512" s="79">
        <f t="shared" si="69"/>
        <v>1788.0693990744001</v>
      </c>
      <c r="W512" s="79">
        <f t="shared" si="70"/>
        <v>1.0877542057280689</v>
      </c>
      <c r="X512" s="118">
        <v>1</v>
      </c>
      <c r="Y512" s="118">
        <v>2</v>
      </c>
      <c r="Z512" s="124">
        <v>6.53</v>
      </c>
      <c r="AA512" s="118">
        <v>22.02</v>
      </c>
      <c r="AB512" s="124">
        <v>6.8</v>
      </c>
      <c r="AC512" s="124">
        <v>9.3000000000000007</v>
      </c>
      <c r="AD512" s="9">
        <v>0.17</v>
      </c>
      <c r="AE512" s="81">
        <v>0.28000000000000003</v>
      </c>
      <c r="AF512" s="85">
        <f t="shared" si="71"/>
        <v>1095.8783333333336</v>
      </c>
      <c r="AG512" s="85">
        <f t="shared" si="72"/>
        <v>1925.9604861639996</v>
      </c>
      <c r="AH512" s="85">
        <f t="shared" si="73"/>
        <v>1.7574583122797991</v>
      </c>
      <c r="AI512" s="118">
        <v>1</v>
      </c>
      <c r="AJ512" s="118">
        <v>3</v>
      </c>
      <c r="AK512" s="81">
        <v>6.49</v>
      </c>
      <c r="AL512" s="81">
        <v>23.9</v>
      </c>
      <c r="AM512" s="124">
        <v>6.7</v>
      </c>
      <c r="AN512" s="124">
        <v>9.1</v>
      </c>
      <c r="AO512" s="81">
        <v>0.15</v>
      </c>
      <c r="AP512" s="129">
        <v>0.25</v>
      </c>
      <c r="AQ512" s="132">
        <f t="shared" si="64"/>
        <v>1296</v>
      </c>
      <c r="AR512" s="134">
        <f t="shared" si="65"/>
        <v>0.45910493827160492</v>
      </c>
      <c r="AS512" s="134">
        <f t="shared" si="66"/>
        <v>6.4814814814814811E-2</v>
      </c>
      <c r="AT512" s="134">
        <f t="shared" si="67"/>
        <v>0.47608024691358025</v>
      </c>
      <c r="AU512" s="43">
        <f>IF(AND(F512&lt;&gt;"",Y512&lt;&gt;""),AA512/(F512/2/Y512),"")</f>
        <v>6.4433065106071691E-2</v>
      </c>
      <c r="AV512" s="43">
        <f>IF(AND(F512&lt;&gt;"",AJ512&lt;&gt;""),AL512/(F512/2/AJ512),"")</f>
        <v>0.10490124359912216</v>
      </c>
      <c r="AW512" s="43">
        <f>IF(AND(AP512&lt;&gt;"",1-(AP512/N512)&gt;0),1-(AP512/N512),"")</f>
        <v>0.89451476793248941</v>
      </c>
      <c r="AX512" s="41">
        <f>IF(AND(AE512&lt;&gt;"",1-(AE512/N512)&gt;0),1-(AE512/N512),"")</f>
        <v>0.88185654008438819</v>
      </c>
      <c r="AY512" s="136" t="str">
        <f>IF(P512="","",IF(P512&lt;2.5,"Alc. Bruta &lt; 2,5 mg/L",IF(P512&lt;5,"2,5 ≤ Alc. Bruta &lt; 5,0 mg/L",IF(P512&lt;7.5,"5,0 ≤ Alc. Bruta &lt; 7,5 mg/L",IF(P512&lt;10,"7,5 ≤ Alc. Bruta &lt; 10,0 mg/L",IF(P512&lt;15,"10,0 ≤ Alca. Bruta &lt; 15,0 mg/L","Alc. Bruta &gt; 15 mg/L"))))))</f>
        <v>7,5 ≤ Alc. Bruta &lt; 10,0 mg/L</v>
      </c>
      <c r="AZ512" s="136" t="str">
        <f>IF(O512="","",IF(O512&lt;5,"Cor &lt;5 uC",IF(O512&lt;10,"5 ≤ Cor &lt; 10 uC",IF(O512&lt;15,"10 ≤ Cor &lt;15 uC",IF(O512&lt;30,"15 ≤ Cor &lt; 30 uC",IF(O512&lt;50,"30 ≤ Cor &lt; 50 uC","Cor &gt; 50 uC"))))))</f>
        <v>10 ≤ Cor &lt;15 uC</v>
      </c>
      <c r="BA512" s="137" t="str">
        <f>IF(N512="","",IF(N512&lt;2.5,"Turbidez &lt; 2,5 uT",IF(N512&lt;5,"2,5 ≤ Turb &lt; 5,0 uT",IF(N512&lt;7.5,"5,0 ≤ Turb &lt; 7,5 uT",IF(N512&lt;10,"7,5 ≤ Turb &lt; 10,0 uT",IF(N512&lt;15,"10,0 ≤ Turb &lt; 15,0 uT","Turb &gt; 15 uT"))))))</f>
        <v>Turbidez &lt; 2,5 uT</v>
      </c>
      <c r="BB512" s="138" t="str">
        <f>IF(AND(C512&gt;D512,D512&gt;E512),"TOR &gt; SM &gt; BNN",IF(AND(C512&gt;E512,E512&gt;D512),"TOR &gt; BNN &gt; SM",IF(AND(D512&gt;C512,C512&gt;E512),"SM &gt; TOR &gt; BNN",IF(AND(D512&gt;E512,E512&gt;C512),"SM &gt; BNN &gt; TOR",IF(AND(C512=D512,D512=E512),"TOR = SM = BNN","Comb. diferentes")))))</f>
        <v>Comb. diferentes</v>
      </c>
      <c r="BC512" s="137" t="str">
        <f>IF(OR(AD512="",AP512="-"),"",IF(AD512&lt;=0.25,"Tipo 1 (≤0,25) uT",IF(AD512&lt;=0.5,"Tipo 2 (0,25-0,50) uT",IF(AD512&lt;=0.75,"Tipo 3 (0,50-0,75) uT","Tipo 4 (&gt;0,75) uT"))))</f>
        <v>Tipo 1 (≤0,25) uT</v>
      </c>
      <c r="BD512" s="137" t="str">
        <f>IF(OR(AO512="",AY512="-"),"",IF(AO512&lt;=0.25,"Tipo 1 (≤0,25) uT",IF(AO512&lt;=0.5,"Tipo 2 (0,25-0,50) uT",IF(AO512&lt;=0.75,"Tipo 3 (0,50-0,75) uT","Tipo 4 (&gt;0,75) uT"))))</f>
        <v>Tipo 1 (≤0,25) uT</v>
      </c>
      <c r="BE512" s="137" t="str">
        <f>IF(OR(AE512="",AP512="-"),"",IF(AE512&lt;=0.25,"Tipo 1 (≤0,25) uT",IF(AE512&lt;=0.5,"Tipo 2 (0,25-0,50) uT",IF(AE512&lt;=0.75,"Tipo 3 (0,50-0,75) uT","Tipo 4 (&gt;0,75) uT"))))</f>
        <v>Tipo 2 (0,25-0,50) uT</v>
      </c>
      <c r="BF512" s="137" t="str">
        <f>IF(OR(AP512="",AP512="-"),"",IF(AP512&lt;=0.25,"Tipo 1 (≤0,25) uT",IF(AP512&lt;=0.5,"Tipo 2 (0,25-0,50) uT",IF(AP512&lt;=0.75,"Tipo 3 (0,50-0,75) uT","Tipo 4 (&gt;0,75) uT"))))</f>
        <v>Tipo 1 (≤0,25) uT</v>
      </c>
      <c r="BG512" s="137" t="str">
        <f>IF(OR(Q512="",Q512="-"),"",IF(Q512&lt;=0.25,"Tipo 1 (≤0,25) uT",IF(Q512&lt;=0.5,"Tipo 2 (0,25-0,50) uT",IF(Q512&lt;=0.75,"Tipo 3 (0,50-0,75) uT","Tipo 4 (&gt;0,75) uT"))))</f>
        <v>Tipo 1 (≤0,25) uT</v>
      </c>
    </row>
    <row r="513" spans="1:59" x14ac:dyDescent="0.3">
      <c r="A513" s="26">
        <v>46180</v>
      </c>
      <c r="B513" s="113">
        <v>0.39583333333333331</v>
      </c>
      <c r="C513" s="119">
        <v>564</v>
      </c>
      <c r="D513" s="116">
        <v>86</v>
      </c>
      <c r="E513" s="119">
        <v>619</v>
      </c>
      <c r="F513" s="119">
        <v>1255</v>
      </c>
      <c r="G513" s="44" t="s">
        <v>100</v>
      </c>
      <c r="H513" s="125">
        <v>7.3</v>
      </c>
      <c r="I513" s="119">
        <v>90</v>
      </c>
      <c r="J513" s="119">
        <v>90</v>
      </c>
      <c r="K513" s="119">
        <v>90</v>
      </c>
      <c r="L513" s="125">
        <v>20.3</v>
      </c>
      <c r="M513" s="125">
        <v>6.8</v>
      </c>
      <c r="N513" s="82">
        <v>2.38</v>
      </c>
      <c r="O513" s="119">
        <v>11</v>
      </c>
      <c r="P513" s="125">
        <v>10.199999999999999</v>
      </c>
      <c r="Q513" s="82">
        <v>0.08</v>
      </c>
      <c r="R513" s="79">
        <v>22.36</v>
      </c>
      <c r="S513" s="79">
        <v>0.88</v>
      </c>
      <c r="T513" s="79">
        <v>0.7</v>
      </c>
      <c r="U513" s="85">
        <f t="shared" si="68"/>
        <v>1512.2750000000001</v>
      </c>
      <c r="V513" s="79">
        <f t="shared" si="69"/>
        <v>1798.4036589064001</v>
      </c>
      <c r="W513" s="79">
        <f t="shared" si="70"/>
        <v>1.1892041188979519</v>
      </c>
      <c r="X513" s="119">
        <v>1</v>
      </c>
      <c r="Y513" s="119">
        <v>2</v>
      </c>
      <c r="Z513" s="125">
        <v>6.57</v>
      </c>
      <c r="AA513" s="119">
        <v>21.98</v>
      </c>
      <c r="AB513" s="125">
        <v>6.6</v>
      </c>
      <c r="AC513" s="125">
        <v>8.3000000000000007</v>
      </c>
      <c r="AD513" s="44">
        <v>0.2</v>
      </c>
      <c r="AE513" s="82">
        <v>0.33</v>
      </c>
      <c r="AF513" s="85">
        <f t="shared" si="71"/>
        <v>1008.1833333333334</v>
      </c>
      <c r="AG513" s="85">
        <f t="shared" si="72"/>
        <v>1925.4854743487999</v>
      </c>
      <c r="AH513" s="85">
        <f t="shared" si="73"/>
        <v>1.9098564821366482</v>
      </c>
      <c r="AI513" s="119">
        <v>1</v>
      </c>
      <c r="AJ513" s="119">
        <v>3</v>
      </c>
      <c r="AK513" s="82">
        <v>6.48</v>
      </c>
      <c r="AL513" s="82">
        <v>23.94</v>
      </c>
      <c r="AM513" s="125">
        <v>6.6</v>
      </c>
      <c r="AN513" s="125">
        <v>6.5</v>
      </c>
      <c r="AO513" s="82">
        <v>0.16</v>
      </c>
      <c r="AP513" s="130">
        <v>0.37</v>
      </c>
      <c r="AQ513" s="132">
        <f t="shared" si="64"/>
        <v>1269</v>
      </c>
      <c r="AR513" s="134">
        <f t="shared" si="65"/>
        <v>0.44444444444444442</v>
      </c>
      <c r="AS513" s="134">
        <f t="shared" si="66"/>
        <v>6.77698975571316E-2</v>
      </c>
      <c r="AT513" s="134">
        <f t="shared" si="67"/>
        <v>0.48778565799842394</v>
      </c>
      <c r="AU513" s="43">
        <f>IF(AND(F513&lt;&gt;"",Y513&lt;&gt;""),AA513/(F513/2/Y513),"")</f>
        <v>7.0055776892430283E-2</v>
      </c>
      <c r="AV513" s="43">
        <f>IF(AND(F513&lt;&gt;"",AJ513&lt;&gt;""),AL513/(F513/2/AJ513),"")</f>
        <v>0.11445418326693228</v>
      </c>
      <c r="AW513" s="43">
        <f>IF(AND(AP513&lt;&gt;"",1-(AP513/N513)&gt;0),1-(AP513/N513),"")</f>
        <v>0.84453781512605042</v>
      </c>
      <c r="AX513" s="41">
        <f>IF(AND(AE513&lt;&gt;"",1-(AE513/N513)&gt;0),1-(AE513/N513),"")</f>
        <v>0.8613445378151261</v>
      </c>
      <c r="AY513" s="136" t="str">
        <f>IF(P513="","",IF(P513&lt;2.5,"Alc. Bruta &lt; 2,5 mg/L",IF(P513&lt;5,"2,5 ≤ Alc. Bruta &lt; 5,0 mg/L",IF(P513&lt;7.5,"5,0 ≤ Alc. Bruta &lt; 7,5 mg/L",IF(P513&lt;10,"7,5 ≤ Alc. Bruta &lt; 10,0 mg/L",IF(P513&lt;15,"10,0 ≤ Alca. Bruta &lt; 15,0 mg/L","Alc. Bruta &gt; 15 mg/L"))))))</f>
        <v>10,0 ≤ Alca. Bruta &lt; 15,0 mg/L</v>
      </c>
      <c r="AZ513" s="136" t="str">
        <f>IF(O513="","",IF(O513&lt;5,"Cor &lt;5 uC",IF(O513&lt;10,"5 ≤ Cor &lt; 10 uC",IF(O513&lt;15,"10 ≤ Cor &lt;15 uC",IF(O513&lt;30,"15 ≤ Cor &lt; 30 uC",IF(O513&lt;50,"30 ≤ Cor &lt; 50 uC","Cor &gt; 50 uC"))))))</f>
        <v>10 ≤ Cor &lt;15 uC</v>
      </c>
      <c r="BA513" s="137" t="str">
        <f>IF(N513="","",IF(N513&lt;2.5,"Turbidez &lt; 2,5 uT",IF(N513&lt;5,"2,5 ≤ Turb &lt; 5,0 uT",IF(N513&lt;7.5,"5,0 ≤ Turb &lt; 7,5 uT",IF(N513&lt;10,"7,5 ≤ Turb &lt; 10,0 uT",IF(N513&lt;15,"10,0 ≤ Turb &lt; 15,0 uT","Turb &gt; 15 uT"))))))</f>
        <v>Turbidez &lt; 2,5 uT</v>
      </c>
      <c r="BB513" s="138" t="str">
        <f>IF(AND(C513&gt;D513,D513&gt;E513),"TOR &gt; SM &gt; BNN",IF(AND(C513&gt;E513,E513&gt;D513),"TOR &gt; BNN &gt; SM",IF(AND(D513&gt;C513,C513&gt;E513),"SM &gt; TOR &gt; BNN",IF(AND(D513&gt;E513,E513&gt;C513),"SM &gt; BNN &gt; TOR",IF(AND(C513=D513,D513=E513),"TOR = SM = BNN","Comb. diferentes")))))</f>
        <v>Comb. diferentes</v>
      </c>
      <c r="BC513" s="137" t="str">
        <f>IF(OR(AD513="",AP513="-"),"",IF(AD513&lt;=0.25,"Tipo 1 (≤0,25) uT",IF(AD513&lt;=0.5,"Tipo 2 (0,25-0,50) uT",IF(AD513&lt;=0.75,"Tipo 3 (0,50-0,75) uT","Tipo 4 (&gt;0,75) uT"))))</f>
        <v>Tipo 1 (≤0,25) uT</v>
      </c>
      <c r="BD513" s="137" t="str">
        <f>IF(OR(AO513="",AY513="-"),"",IF(AO513&lt;=0.25,"Tipo 1 (≤0,25) uT",IF(AO513&lt;=0.5,"Tipo 2 (0,25-0,50) uT",IF(AO513&lt;=0.75,"Tipo 3 (0,50-0,75) uT","Tipo 4 (&gt;0,75) uT"))))</f>
        <v>Tipo 1 (≤0,25) uT</v>
      </c>
      <c r="BE513" s="137" t="str">
        <f>IF(OR(AE513="",AP513="-"),"",IF(AE513&lt;=0.25,"Tipo 1 (≤0,25) uT",IF(AE513&lt;=0.5,"Tipo 2 (0,25-0,50) uT",IF(AE513&lt;=0.75,"Tipo 3 (0,50-0,75) uT","Tipo 4 (&gt;0,75) uT"))))</f>
        <v>Tipo 2 (0,25-0,50) uT</v>
      </c>
      <c r="BF513" s="137" t="str">
        <f>IF(OR(AP513="",AP513="-"),"",IF(AP513&lt;=0.25,"Tipo 1 (≤0,25) uT",IF(AP513&lt;=0.5,"Tipo 2 (0,25-0,50) uT",IF(AP513&lt;=0.75,"Tipo 3 (0,50-0,75) uT","Tipo 4 (&gt;0,75) uT"))))</f>
        <v>Tipo 2 (0,25-0,50) uT</v>
      </c>
      <c r="BG513" s="137" t="str">
        <f>IF(OR(Q513="",Q513="-"),"",IF(Q513&lt;=0.25,"Tipo 1 (≤0,25) uT",IF(Q513&lt;=0.5,"Tipo 2 (0,25-0,50) uT",IF(Q513&lt;=0.75,"Tipo 3 (0,50-0,75) uT","Tipo 4 (&gt;0,75) uT"))))</f>
        <v>Tipo 1 (≤0,25) uT</v>
      </c>
    </row>
    <row r="514" spans="1:59" x14ac:dyDescent="0.3">
      <c r="A514" s="26">
        <v>46180</v>
      </c>
      <c r="B514" s="107">
        <v>0.47916666666666669</v>
      </c>
      <c r="C514" s="116">
        <v>582</v>
      </c>
      <c r="D514" s="116">
        <v>85</v>
      </c>
      <c r="E514" s="116">
        <v>620</v>
      </c>
      <c r="F514" s="116">
        <v>1241</v>
      </c>
      <c r="G514" s="10" t="s">
        <v>100</v>
      </c>
      <c r="H514" s="122">
        <v>7.3</v>
      </c>
      <c r="I514" s="116">
        <v>90</v>
      </c>
      <c r="J514" s="116">
        <v>90</v>
      </c>
      <c r="K514" s="116">
        <v>90</v>
      </c>
      <c r="L514" s="122">
        <v>20.5</v>
      </c>
      <c r="M514" s="122">
        <v>6.8</v>
      </c>
      <c r="N514" s="79">
        <v>2.2000000000000002</v>
      </c>
      <c r="O514" s="116">
        <v>10</v>
      </c>
      <c r="P514" s="122">
        <v>11</v>
      </c>
      <c r="Q514" s="79">
        <v>7.0000000000000007E-2</v>
      </c>
      <c r="R514" s="79">
        <v>22.36</v>
      </c>
      <c r="S514" s="79">
        <v>0.88</v>
      </c>
      <c r="T514" s="79">
        <v>0.7</v>
      </c>
      <c r="U514" s="85">
        <f t="shared" si="68"/>
        <v>1439.5600000000002</v>
      </c>
      <c r="V514" s="79">
        <f t="shared" si="69"/>
        <v>1760.1016108000001</v>
      </c>
      <c r="W514" s="79">
        <f t="shared" si="70"/>
        <v>1.2226663777821001</v>
      </c>
      <c r="X514" s="116">
        <v>1</v>
      </c>
      <c r="Y514" s="116">
        <v>2</v>
      </c>
      <c r="Z514" s="122">
        <v>6.5</v>
      </c>
      <c r="AA514" s="116">
        <v>21.8</v>
      </c>
      <c r="AB514" s="122">
        <v>6.7</v>
      </c>
      <c r="AC514" s="122">
        <v>8.5</v>
      </c>
      <c r="AD514" s="10">
        <v>0.15</v>
      </c>
      <c r="AE514" s="79">
        <v>0.28000000000000003</v>
      </c>
      <c r="AF514" s="85">
        <f t="shared" si="71"/>
        <v>959.70666666666682</v>
      </c>
      <c r="AG514" s="85">
        <f t="shared" si="72"/>
        <v>1939.9628087423998</v>
      </c>
      <c r="AH514" s="85">
        <f t="shared" si="73"/>
        <v>2.0214122461818884</v>
      </c>
      <c r="AI514" s="116">
        <v>1</v>
      </c>
      <c r="AJ514" s="116">
        <v>3</v>
      </c>
      <c r="AK514" s="79">
        <v>6.48</v>
      </c>
      <c r="AL514" s="79">
        <v>24.12</v>
      </c>
      <c r="AM514" s="122">
        <v>6.7</v>
      </c>
      <c r="AN514" s="122">
        <v>8.6</v>
      </c>
      <c r="AO514" s="79">
        <v>0.1</v>
      </c>
      <c r="AP514" s="127">
        <v>0.22</v>
      </c>
      <c r="AQ514" s="132">
        <f t="shared" ref="AQ514:AQ531" si="74">SUM(C514:E514)</f>
        <v>1287</v>
      </c>
      <c r="AR514" s="134">
        <f t="shared" ref="AR514:AR531" si="75">C514/AQ514</f>
        <v>0.45221445221445222</v>
      </c>
      <c r="AS514" s="134">
        <f t="shared" ref="AS514:AS531" si="76">D514/AQ514</f>
        <v>6.6045066045066048E-2</v>
      </c>
      <c r="AT514" s="134">
        <f t="shared" ref="AT514:AT531" si="77">E514/AQ514</f>
        <v>0.48174048174048173</v>
      </c>
      <c r="AU514" s="43">
        <f>IF(AND(F514&lt;&gt;"",Y514&lt;&gt;""),AA514/(F514/2/Y514),"")</f>
        <v>7.0265914585012093E-2</v>
      </c>
      <c r="AV514" s="43">
        <f>IF(AND(F514&lt;&gt;"",AJ514&lt;&gt;""),AL514/(F514/2/AJ514),"")</f>
        <v>0.11661563255439161</v>
      </c>
      <c r="AW514" s="43">
        <f>IF(AND(AP514&lt;&gt;"",1-(AP514/N514)&gt;0),1-(AP514/N514),"")</f>
        <v>0.9</v>
      </c>
      <c r="AX514" s="41">
        <f>IF(AND(AE514&lt;&gt;"",1-(AE514/N514)&gt;0),1-(AE514/N514),"")</f>
        <v>0.87272727272727268</v>
      </c>
      <c r="AY514" s="136" t="str">
        <f>IF(P514="","",IF(P514&lt;2.5,"Alc. Bruta &lt; 2,5 mg/L",IF(P514&lt;5,"2,5 ≤ Alc. Bruta &lt; 5,0 mg/L",IF(P514&lt;7.5,"5,0 ≤ Alc. Bruta &lt; 7,5 mg/L",IF(P514&lt;10,"7,5 ≤ Alc. Bruta &lt; 10,0 mg/L",IF(P514&lt;15,"10,0 ≤ Alca. Bruta &lt; 15,0 mg/L","Alc. Bruta &gt; 15 mg/L"))))))</f>
        <v>10,0 ≤ Alca. Bruta &lt; 15,0 mg/L</v>
      </c>
      <c r="AZ514" s="136" t="str">
        <f>IF(O514="","",IF(O514&lt;5,"Cor &lt;5 uC",IF(O514&lt;10,"5 ≤ Cor &lt; 10 uC",IF(O514&lt;15,"10 ≤ Cor &lt;15 uC",IF(O514&lt;30,"15 ≤ Cor &lt; 30 uC",IF(O514&lt;50,"30 ≤ Cor &lt; 50 uC","Cor &gt; 50 uC"))))))</f>
        <v>10 ≤ Cor &lt;15 uC</v>
      </c>
      <c r="BA514" s="137" t="str">
        <f>IF(N514="","",IF(N514&lt;2.5,"Turbidez &lt; 2,5 uT",IF(N514&lt;5,"2,5 ≤ Turb &lt; 5,0 uT",IF(N514&lt;7.5,"5,0 ≤ Turb &lt; 7,5 uT",IF(N514&lt;10,"7,5 ≤ Turb &lt; 10,0 uT",IF(N514&lt;15,"10,0 ≤ Turb &lt; 15,0 uT","Turb &gt; 15 uT"))))))</f>
        <v>Turbidez &lt; 2,5 uT</v>
      </c>
      <c r="BB514" s="138" t="str">
        <f>IF(AND(C514&gt;D514,D514&gt;E514),"TOR &gt; SM &gt; BNN",IF(AND(C514&gt;E514,E514&gt;D514),"TOR &gt; BNN &gt; SM",IF(AND(D514&gt;C514,C514&gt;E514),"SM &gt; TOR &gt; BNN",IF(AND(D514&gt;E514,E514&gt;C514),"SM &gt; BNN &gt; TOR",IF(AND(C514=D514,D514=E514),"TOR = SM = BNN","Comb. diferentes")))))</f>
        <v>Comb. diferentes</v>
      </c>
      <c r="BC514" s="137" t="str">
        <f>IF(OR(AD514="",AP514="-"),"",IF(AD514&lt;=0.25,"Tipo 1 (≤0,25) uT",IF(AD514&lt;=0.5,"Tipo 2 (0,25-0,50) uT",IF(AD514&lt;=0.75,"Tipo 3 (0,50-0,75) uT","Tipo 4 (&gt;0,75) uT"))))</f>
        <v>Tipo 1 (≤0,25) uT</v>
      </c>
      <c r="BD514" s="137" t="str">
        <f>IF(OR(AO514="",AY514="-"),"",IF(AO514&lt;=0.25,"Tipo 1 (≤0,25) uT",IF(AO514&lt;=0.5,"Tipo 2 (0,25-0,50) uT",IF(AO514&lt;=0.75,"Tipo 3 (0,50-0,75) uT","Tipo 4 (&gt;0,75) uT"))))</f>
        <v>Tipo 1 (≤0,25) uT</v>
      </c>
      <c r="BE514" s="137" t="str">
        <f>IF(OR(AE514="",AP514="-"),"",IF(AE514&lt;=0.25,"Tipo 1 (≤0,25) uT",IF(AE514&lt;=0.5,"Tipo 2 (0,25-0,50) uT",IF(AE514&lt;=0.75,"Tipo 3 (0,50-0,75) uT","Tipo 4 (&gt;0,75) uT"))))</f>
        <v>Tipo 2 (0,25-0,50) uT</v>
      </c>
      <c r="BF514" s="137" t="str">
        <f>IF(OR(AP514="",AP514="-"),"",IF(AP514&lt;=0.25,"Tipo 1 (≤0,25) uT",IF(AP514&lt;=0.5,"Tipo 2 (0,25-0,50) uT",IF(AP514&lt;=0.75,"Tipo 3 (0,50-0,75) uT","Tipo 4 (&gt;0,75) uT"))))</f>
        <v>Tipo 1 (≤0,25) uT</v>
      </c>
      <c r="BG514" s="137" t="str">
        <f>IF(OR(Q514="",Q514="-"),"",IF(Q514&lt;=0.25,"Tipo 1 (≤0,25) uT",IF(Q514&lt;=0.5,"Tipo 2 (0,25-0,50) uT",IF(Q514&lt;=0.75,"Tipo 3 (0,50-0,75) uT","Tipo 4 (&gt;0,75) uT"))))</f>
        <v>Tipo 1 (≤0,25) uT</v>
      </c>
    </row>
    <row r="515" spans="1:59" x14ac:dyDescent="0.3">
      <c r="A515" s="26">
        <v>46180</v>
      </c>
      <c r="B515" s="107">
        <v>0.64583333333333337</v>
      </c>
      <c r="C515" s="116">
        <v>591</v>
      </c>
      <c r="D515" s="116">
        <v>79</v>
      </c>
      <c r="E515" s="116">
        <v>620</v>
      </c>
      <c r="F515" s="116">
        <v>1323</v>
      </c>
      <c r="G515" s="10" t="s">
        <v>100</v>
      </c>
      <c r="H515" s="122">
        <v>7.3</v>
      </c>
      <c r="I515" s="116">
        <v>90</v>
      </c>
      <c r="J515" s="116">
        <v>90</v>
      </c>
      <c r="K515" s="116">
        <v>90</v>
      </c>
      <c r="L515" s="122">
        <v>21.7</v>
      </c>
      <c r="M515" s="122">
        <v>6.9</v>
      </c>
      <c r="N515" s="79">
        <v>2.95</v>
      </c>
      <c r="O515" s="116">
        <v>12</v>
      </c>
      <c r="P515" s="122">
        <v>10.9</v>
      </c>
      <c r="Q515" s="79">
        <v>0.08</v>
      </c>
      <c r="R515" s="79">
        <v>22.36</v>
      </c>
      <c r="S515" s="79">
        <v>0.88</v>
      </c>
      <c r="T515" s="79">
        <v>0.7</v>
      </c>
      <c r="U515" s="85">
        <f t="shared" si="68"/>
        <v>1782.7425000000003</v>
      </c>
      <c r="V515" s="79">
        <f t="shared" si="69"/>
        <v>1743.0345320387996</v>
      </c>
      <c r="W515" s="79">
        <f t="shared" si="70"/>
        <v>0.97772647033365689</v>
      </c>
      <c r="X515" s="116">
        <v>1</v>
      </c>
      <c r="Y515" s="116">
        <v>2</v>
      </c>
      <c r="Z515" s="122">
        <v>6.49</v>
      </c>
      <c r="AA515" s="116">
        <v>21.63</v>
      </c>
      <c r="AB515" s="122">
        <v>6.8</v>
      </c>
      <c r="AC515" s="122">
        <v>8.9</v>
      </c>
      <c r="AD515" s="10">
        <v>0.18</v>
      </c>
      <c r="AE515" s="79">
        <v>0.28000000000000003</v>
      </c>
      <c r="AF515" s="85">
        <f t="shared" si="71"/>
        <v>1188.4950000000001</v>
      </c>
      <c r="AG515" s="85">
        <f t="shared" si="72"/>
        <v>1935.9413269663999</v>
      </c>
      <c r="AH515" s="85">
        <f t="shared" si="73"/>
        <v>1.6289015325822991</v>
      </c>
      <c r="AI515" s="116">
        <v>1</v>
      </c>
      <c r="AJ515" s="116">
        <v>3</v>
      </c>
      <c r="AK515" s="79">
        <v>6.48</v>
      </c>
      <c r="AL515" s="79">
        <v>24.07</v>
      </c>
      <c r="AM515" s="122">
        <v>6.8</v>
      </c>
      <c r="AN515" s="122">
        <v>9.1999999999999993</v>
      </c>
      <c r="AO515" s="79">
        <v>0.12</v>
      </c>
      <c r="AP515" s="127">
        <v>0.33</v>
      </c>
      <c r="AQ515" s="132">
        <f t="shared" si="74"/>
        <v>1290</v>
      </c>
      <c r="AR515" s="134">
        <f t="shared" si="75"/>
        <v>0.45813953488372094</v>
      </c>
      <c r="AS515" s="134">
        <f t="shared" si="76"/>
        <v>6.1240310077519379E-2</v>
      </c>
      <c r="AT515" s="134">
        <f t="shared" si="77"/>
        <v>0.48062015503875971</v>
      </c>
      <c r="AU515" s="43">
        <f>IF(AND(F515&lt;&gt;"",Y515&lt;&gt;""),AA515/(F515/2/Y515),"")</f>
        <v>6.5396825396825398E-2</v>
      </c>
      <c r="AV515" s="43">
        <f>IF(AND(F515&lt;&gt;"",AJ515&lt;&gt;""),AL515/(F515/2/AJ515),"")</f>
        <v>0.10916099773242631</v>
      </c>
      <c r="AW515" s="43">
        <f>IF(AND(AP515&lt;&gt;"",1-(AP515/N515)&gt;0),1-(AP515/N515),"")</f>
        <v>0.88813559322033897</v>
      </c>
      <c r="AX515" s="41">
        <f>IF(AND(AE515&lt;&gt;"",1-(AE515/N515)&gt;0),1-(AE515/N515),"")</f>
        <v>0.90508474576271181</v>
      </c>
      <c r="AY515" s="136" t="str">
        <f>IF(P515="","",IF(P515&lt;2.5,"Alc. Bruta &lt; 2,5 mg/L",IF(P515&lt;5,"2,5 ≤ Alc. Bruta &lt; 5,0 mg/L",IF(P515&lt;7.5,"5,0 ≤ Alc. Bruta &lt; 7,5 mg/L",IF(P515&lt;10,"7,5 ≤ Alc. Bruta &lt; 10,0 mg/L",IF(P515&lt;15,"10,0 ≤ Alca. Bruta &lt; 15,0 mg/L","Alc. Bruta &gt; 15 mg/L"))))))</f>
        <v>10,0 ≤ Alca. Bruta &lt; 15,0 mg/L</v>
      </c>
      <c r="AZ515" s="136" t="str">
        <f>IF(O515="","",IF(O515&lt;5,"Cor &lt;5 uC",IF(O515&lt;10,"5 ≤ Cor &lt; 10 uC",IF(O515&lt;15,"10 ≤ Cor &lt;15 uC",IF(O515&lt;30,"15 ≤ Cor &lt; 30 uC",IF(O515&lt;50,"30 ≤ Cor &lt; 50 uC","Cor &gt; 50 uC"))))))</f>
        <v>10 ≤ Cor &lt;15 uC</v>
      </c>
      <c r="BA515" s="137" t="str">
        <f>IF(N515="","",IF(N515&lt;2.5,"Turbidez &lt; 2,5 uT",IF(N515&lt;5,"2,5 ≤ Turb &lt; 5,0 uT",IF(N515&lt;7.5,"5,0 ≤ Turb &lt; 7,5 uT",IF(N515&lt;10,"7,5 ≤ Turb &lt; 10,0 uT",IF(N515&lt;15,"10,0 ≤ Turb &lt; 15,0 uT","Turb &gt; 15 uT"))))))</f>
        <v>2,5 ≤ Turb &lt; 5,0 uT</v>
      </c>
      <c r="BB515" s="138" t="str">
        <f>IF(AND(C515&gt;D515,D515&gt;E515),"TOR &gt; SM &gt; BNN",IF(AND(C515&gt;E515,E515&gt;D515),"TOR &gt; BNN &gt; SM",IF(AND(D515&gt;C515,C515&gt;E515),"SM &gt; TOR &gt; BNN",IF(AND(D515&gt;E515,E515&gt;C515),"SM &gt; BNN &gt; TOR",IF(AND(C515=D515,D515=E515),"TOR = SM = BNN","Comb. diferentes")))))</f>
        <v>Comb. diferentes</v>
      </c>
      <c r="BC515" s="137" t="str">
        <f>IF(OR(AD515="",AP515="-"),"",IF(AD515&lt;=0.25,"Tipo 1 (≤0,25) uT",IF(AD515&lt;=0.5,"Tipo 2 (0,25-0,50) uT",IF(AD515&lt;=0.75,"Tipo 3 (0,50-0,75) uT","Tipo 4 (&gt;0,75) uT"))))</f>
        <v>Tipo 1 (≤0,25) uT</v>
      </c>
      <c r="BD515" s="137" t="str">
        <f>IF(OR(AO515="",AY515="-"),"",IF(AO515&lt;=0.25,"Tipo 1 (≤0,25) uT",IF(AO515&lt;=0.5,"Tipo 2 (0,25-0,50) uT",IF(AO515&lt;=0.75,"Tipo 3 (0,50-0,75) uT","Tipo 4 (&gt;0,75) uT"))))</f>
        <v>Tipo 1 (≤0,25) uT</v>
      </c>
      <c r="BE515" s="137" t="str">
        <f>IF(OR(AE515="",AP515="-"),"",IF(AE515&lt;=0.25,"Tipo 1 (≤0,25) uT",IF(AE515&lt;=0.5,"Tipo 2 (0,25-0,50) uT",IF(AE515&lt;=0.75,"Tipo 3 (0,50-0,75) uT","Tipo 4 (&gt;0,75) uT"))))</f>
        <v>Tipo 2 (0,25-0,50) uT</v>
      </c>
      <c r="BF515" s="137" t="str">
        <f>IF(OR(AP515="",AP515="-"),"",IF(AP515&lt;=0.25,"Tipo 1 (≤0,25) uT",IF(AP515&lt;=0.5,"Tipo 2 (0,25-0,50) uT",IF(AP515&lt;=0.75,"Tipo 3 (0,50-0,75) uT","Tipo 4 (&gt;0,75) uT"))))</f>
        <v>Tipo 2 (0,25-0,50) uT</v>
      </c>
      <c r="BG515" s="137" t="str">
        <f>IF(OR(Q515="",Q515="-"),"",IF(Q515&lt;=0.25,"Tipo 1 (≤0,25) uT",IF(Q515&lt;=0.5,"Tipo 2 (0,25-0,50) uT",IF(Q515&lt;=0.75,"Tipo 3 (0,50-0,75) uT","Tipo 4 (&gt;0,75) uT"))))</f>
        <v>Tipo 1 (≤0,25) uT</v>
      </c>
    </row>
    <row r="516" spans="1:59" x14ac:dyDescent="0.3">
      <c r="A516" s="26">
        <v>46180</v>
      </c>
      <c r="B516" s="107">
        <v>0.72916666666666663</v>
      </c>
      <c r="C516" s="116">
        <v>582</v>
      </c>
      <c r="D516" s="116">
        <v>87</v>
      </c>
      <c r="E516" s="116">
        <v>621</v>
      </c>
      <c r="F516" s="116">
        <v>1336</v>
      </c>
      <c r="G516" s="10" t="s">
        <v>100</v>
      </c>
      <c r="H516" s="122">
        <v>7.3</v>
      </c>
      <c r="I516" s="116">
        <v>90</v>
      </c>
      <c r="J516" s="116">
        <v>90</v>
      </c>
      <c r="K516" s="116">
        <v>90</v>
      </c>
      <c r="L516" s="122">
        <v>22</v>
      </c>
      <c r="M516" s="122">
        <v>6.9</v>
      </c>
      <c r="N516" s="79">
        <v>2.79</v>
      </c>
      <c r="O516" s="116">
        <v>10</v>
      </c>
      <c r="P516" s="122">
        <v>10.1</v>
      </c>
      <c r="Q516" s="79">
        <v>0.09</v>
      </c>
      <c r="R516" s="79">
        <v>22.36</v>
      </c>
      <c r="S516" s="79">
        <v>0.88</v>
      </c>
      <c r="T516" s="79">
        <v>0.7</v>
      </c>
      <c r="U516" s="85">
        <f t="shared" si="68"/>
        <v>1746.8200000000002</v>
      </c>
      <c r="V516" s="79">
        <f t="shared" si="69"/>
        <v>1426.6915658319999</v>
      </c>
      <c r="W516" s="79">
        <f t="shared" si="70"/>
        <v>0.81673645013910978</v>
      </c>
      <c r="X516" s="116">
        <v>1</v>
      </c>
      <c r="Y516" s="116">
        <v>2</v>
      </c>
      <c r="Z516" s="122">
        <v>5.51</v>
      </c>
      <c r="AA516" s="116">
        <v>21.8</v>
      </c>
      <c r="AB516" s="122">
        <v>6.8</v>
      </c>
      <c r="AC516" s="122">
        <v>8.6</v>
      </c>
      <c r="AD516" s="10">
        <v>0.11</v>
      </c>
      <c r="AE516" s="79">
        <v>0.25</v>
      </c>
      <c r="AF516" s="85">
        <f t="shared" si="71"/>
        <v>1164.5466666666666</v>
      </c>
      <c r="AG516" s="85">
        <f t="shared" si="72"/>
        <v>1930.7955334095998</v>
      </c>
      <c r="AH516" s="85">
        <f t="shared" si="73"/>
        <v>1.6579803872834062</v>
      </c>
      <c r="AI516" s="116">
        <v>1</v>
      </c>
      <c r="AJ516" s="116">
        <v>3</v>
      </c>
      <c r="AK516" s="79">
        <v>6.49</v>
      </c>
      <c r="AL516" s="79">
        <v>23.96</v>
      </c>
      <c r="AM516" s="122">
        <v>6.8</v>
      </c>
      <c r="AN516" s="122">
        <v>9.3000000000000007</v>
      </c>
      <c r="AO516" s="79">
        <v>0.17</v>
      </c>
      <c r="AP516" s="127">
        <v>0.23</v>
      </c>
      <c r="AQ516" s="132">
        <f t="shared" si="74"/>
        <v>1290</v>
      </c>
      <c r="AR516" s="134">
        <f t="shared" si="75"/>
        <v>0.4511627906976744</v>
      </c>
      <c r="AS516" s="134">
        <f t="shared" si="76"/>
        <v>6.7441860465116285E-2</v>
      </c>
      <c r="AT516" s="134">
        <f t="shared" si="77"/>
        <v>0.4813953488372093</v>
      </c>
      <c r="AU516" s="43">
        <f>IF(AND(F516&lt;&gt;"",Y516&lt;&gt;""),AA516/(F516/2/Y516),"")</f>
        <v>6.5269461077844315E-2</v>
      </c>
      <c r="AV516" s="43">
        <f>IF(AND(F516&lt;&gt;"",AJ516&lt;&gt;""),AL516/(F516/2/AJ516),"")</f>
        <v>0.10760479041916168</v>
      </c>
      <c r="AW516" s="43">
        <f>IF(AND(AP516&lt;&gt;"",1-(AP516/N516)&gt;0),1-(AP516/N516),"")</f>
        <v>0.91756272401433692</v>
      </c>
      <c r="AX516" s="41">
        <f>IF(AND(AE516&lt;&gt;"",1-(AE516/N516)&gt;0),1-(AE516/N516),"")</f>
        <v>0.91039426523297495</v>
      </c>
      <c r="AY516" s="136" t="str">
        <f>IF(P516="","",IF(P516&lt;2.5,"Alc. Bruta &lt; 2,5 mg/L",IF(P516&lt;5,"2,5 ≤ Alc. Bruta &lt; 5,0 mg/L",IF(P516&lt;7.5,"5,0 ≤ Alc. Bruta &lt; 7,5 mg/L",IF(P516&lt;10,"7,5 ≤ Alc. Bruta &lt; 10,0 mg/L",IF(P516&lt;15,"10,0 ≤ Alca. Bruta &lt; 15,0 mg/L","Alc. Bruta &gt; 15 mg/L"))))))</f>
        <v>10,0 ≤ Alca. Bruta &lt; 15,0 mg/L</v>
      </c>
      <c r="AZ516" s="136" t="str">
        <f>IF(O516="","",IF(O516&lt;5,"Cor &lt;5 uC",IF(O516&lt;10,"5 ≤ Cor &lt; 10 uC",IF(O516&lt;15,"10 ≤ Cor &lt;15 uC",IF(O516&lt;30,"15 ≤ Cor &lt; 30 uC",IF(O516&lt;50,"30 ≤ Cor &lt; 50 uC","Cor &gt; 50 uC"))))))</f>
        <v>10 ≤ Cor &lt;15 uC</v>
      </c>
      <c r="BA516" s="137" t="str">
        <f>IF(N516="","",IF(N516&lt;2.5,"Turbidez &lt; 2,5 uT",IF(N516&lt;5,"2,5 ≤ Turb &lt; 5,0 uT",IF(N516&lt;7.5,"5,0 ≤ Turb &lt; 7,5 uT",IF(N516&lt;10,"7,5 ≤ Turb &lt; 10,0 uT",IF(N516&lt;15,"10,0 ≤ Turb &lt; 15,0 uT","Turb &gt; 15 uT"))))))</f>
        <v>2,5 ≤ Turb &lt; 5,0 uT</v>
      </c>
      <c r="BB516" s="138" t="str">
        <f>IF(AND(C516&gt;D516,D516&gt;E516),"TOR &gt; SM &gt; BNN",IF(AND(C516&gt;E516,E516&gt;D516),"TOR &gt; BNN &gt; SM",IF(AND(D516&gt;C516,C516&gt;E516),"SM &gt; TOR &gt; BNN",IF(AND(D516&gt;E516,E516&gt;C516),"SM &gt; BNN &gt; TOR",IF(AND(C516=D516,D516=E516),"TOR = SM = BNN","Comb. diferentes")))))</f>
        <v>Comb. diferentes</v>
      </c>
      <c r="BC516" s="137" t="str">
        <f>IF(OR(AD516="",AP516="-"),"",IF(AD516&lt;=0.25,"Tipo 1 (≤0,25) uT",IF(AD516&lt;=0.5,"Tipo 2 (0,25-0,50) uT",IF(AD516&lt;=0.75,"Tipo 3 (0,50-0,75) uT","Tipo 4 (&gt;0,75) uT"))))</f>
        <v>Tipo 1 (≤0,25) uT</v>
      </c>
      <c r="BD516" s="137" t="str">
        <f>IF(OR(AO516="",AY516="-"),"",IF(AO516&lt;=0.25,"Tipo 1 (≤0,25) uT",IF(AO516&lt;=0.5,"Tipo 2 (0,25-0,50) uT",IF(AO516&lt;=0.75,"Tipo 3 (0,50-0,75) uT","Tipo 4 (&gt;0,75) uT"))))</f>
        <v>Tipo 1 (≤0,25) uT</v>
      </c>
      <c r="BE516" s="137" t="str">
        <f>IF(OR(AE516="",AP516="-"),"",IF(AE516&lt;=0.25,"Tipo 1 (≤0,25) uT",IF(AE516&lt;=0.5,"Tipo 2 (0,25-0,50) uT",IF(AE516&lt;=0.75,"Tipo 3 (0,50-0,75) uT","Tipo 4 (&gt;0,75) uT"))))</f>
        <v>Tipo 1 (≤0,25) uT</v>
      </c>
      <c r="BF516" s="137" t="str">
        <f>IF(OR(AP516="",AP516="-"),"",IF(AP516&lt;=0.25,"Tipo 1 (≤0,25) uT",IF(AP516&lt;=0.5,"Tipo 2 (0,25-0,50) uT",IF(AP516&lt;=0.75,"Tipo 3 (0,50-0,75) uT","Tipo 4 (&gt;0,75) uT"))))</f>
        <v>Tipo 1 (≤0,25) uT</v>
      </c>
      <c r="BG516" s="137" t="str">
        <f>IF(OR(Q516="",Q516="-"),"",IF(Q516&lt;=0.25,"Tipo 1 (≤0,25) uT",IF(Q516&lt;=0.5,"Tipo 2 (0,25-0,50) uT",IF(Q516&lt;=0.75,"Tipo 3 (0,50-0,75) uT","Tipo 4 (&gt;0,75) uT"))))</f>
        <v>Tipo 1 (≤0,25) uT</v>
      </c>
    </row>
    <row r="517" spans="1:59" x14ac:dyDescent="0.3">
      <c r="A517" s="26">
        <v>46180</v>
      </c>
      <c r="B517" s="107">
        <v>0.8125</v>
      </c>
      <c r="C517" s="116">
        <v>1125</v>
      </c>
      <c r="D517" s="116">
        <v>94</v>
      </c>
      <c r="E517" s="116">
        <v>578</v>
      </c>
      <c r="F517" s="116">
        <v>1787</v>
      </c>
      <c r="G517" s="10" t="s">
        <v>100</v>
      </c>
      <c r="H517" s="122">
        <v>7.3</v>
      </c>
      <c r="I517" s="116">
        <v>90</v>
      </c>
      <c r="J517" s="116">
        <v>90</v>
      </c>
      <c r="K517" s="116">
        <v>90</v>
      </c>
      <c r="L517" s="122">
        <v>22.3</v>
      </c>
      <c r="M517" s="122">
        <v>6.9</v>
      </c>
      <c r="N517" s="79">
        <v>2.4700000000000002</v>
      </c>
      <c r="O517" s="116">
        <v>12</v>
      </c>
      <c r="P517" s="122">
        <v>10.5</v>
      </c>
      <c r="Q517" s="79">
        <v>0.09</v>
      </c>
      <c r="R517" s="79">
        <v>22.36</v>
      </c>
      <c r="S517" s="79">
        <v>0.88</v>
      </c>
      <c r="T517" s="79">
        <v>0.7</v>
      </c>
      <c r="U517" s="85">
        <f t="shared" si="68"/>
        <v>1096.77125</v>
      </c>
      <c r="V517" s="79">
        <f t="shared" si="69"/>
        <v>1776.2493320000001</v>
      </c>
      <c r="W517" s="79">
        <f t="shared" si="70"/>
        <v>1.6195257962861445</v>
      </c>
      <c r="X517" s="116">
        <v>2</v>
      </c>
      <c r="Y517" s="116">
        <v>4</v>
      </c>
      <c r="Z517" s="122">
        <v>6.5</v>
      </c>
      <c r="AA517" s="116">
        <v>22</v>
      </c>
      <c r="AB517" s="122">
        <v>6.8</v>
      </c>
      <c r="AC517" s="122">
        <v>9.1</v>
      </c>
      <c r="AD517" s="10">
        <v>0.19</v>
      </c>
      <c r="AE517" s="79">
        <v>0.31</v>
      </c>
      <c r="AF517" s="85">
        <f t="shared" si="71"/>
        <v>1462.3616666666667</v>
      </c>
      <c r="AG517" s="85">
        <f t="shared" si="72"/>
        <v>1937.7265440000001</v>
      </c>
      <c r="AH517" s="85">
        <f t="shared" si="73"/>
        <v>1.3250665605977545</v>
      </c>
      <c r="AI517" s="116">
        <v>2</v>
      </c>
      <c r="AJ517" s="116">
        <v>3</v>
      </c>
      <c r="AK517" s="79">
        <v>6.5</v>
      </c>
      <c r="AL517" s="79">
        <v>24</v>
      </c>
      <c r="AM517" s="122">
        <v>6.8</v>
      </c>
      <c r="AN517" s="122">
        <v>9.5</v>
      </c>
      <c r="AO517" s="79">
        <v>0.19</v>
      </c>
      <c r="AP517" s="127">
        <v>0.26</v>
      </c>
      <c r="AQ517" s="132">
        <f t="shared" si="74"/>
        <v>1797</v>
      </c>
      <c r="AR517" s="134">
        <f t="shared" si="75"/>
        <v>0.62604340567612693</v>
      </c>
      <c r="AS517" s="134">
        <f t="shared" si="76"/>
        <v>5.230940456316082E-2</v>
      </c>
      <c r="AT517" s="134">
        <f t="shared" si="77"/>
        <v>0.32164718976071227</v>
      </c>
      <c r="AU517" s="43">
        <f>IF(AND(F517&lt;&gt;"",Y517&lt;&gt;""),AA517/(F517/2/Y517),"")</f>
        <v>9.8489087856743152E-2</v>
      </c>
      <c r="AV517" s="43">
        <f>IF(AND(F517&lt;&gt;"",AJ517&lt;&gt;""),AL517/(F517/2/AJ517),"")</f>
        <v>8.0581980973698938E-2</v>
      </c>
      <c r="AW517" s="43">
        <f>IF(AND(AP517&lt;&gt;"",1-(AP517/N517)&gt;0),1-(AP517/N517),"")</f>
        <v>0.89473684210526316</v>
      </c>
      <c r="AX517" s="41">
        <f>IF(AND(AE517&lt;&gt;"",1-(AE517/N517)&gt;0),1-(AE517/N517),"")</f>
        <v>0.87449392712550611</v>
      </c>
      <c r="AY517" s="136" t="str">
        <f>IF(P517="","",IF(P517&lt;2.5,"Alc. Bruta &lt; 2,5 mg/L",IF(P517&lt;5,"2,5 ≤ Alc. Bruta &lt; 5,0 mg/L",IF(P517&lt;7.5,"5,0 ≤ Alc. Bruta &lt; 7,5 mg/L",IF(P517&lt;10,"7,5 ≤ Alc. Bruta &lt; 10,0 mg/L",IF(P517&lt;15,"10,0 ≤ Alca. Bruta &lt; 15,0 mg/L","Alc. Bruta &gt; 15 mg/L"))))))</f>
        <v>10,0 ≤ Alca. Bruta &lt; 15,0 mg/L</v>
      </c>
      <c r="AZ517" s="136" t="str">
        <f>IF(O517="","",IF(O517&lt;5,"Cor &lt;5 uC",IF(O517&lt;10,"5 ≤ Cor &lt; 10 uC",IF(O517&lt;15,"10 ≤ Cor &lt;15 uC",IF(O517&lt;30,"15 ≤ Cor &lt; 30 uC",IF(O517&lt;50,"30 ≤ Cor &lt; 50 uC","Cor &gt; 50 uC"))))))</f>
        <v>10 ≤ Cor &lt;15 uC</v>
      </c>
      <c r="BA517" s="137" t="str">
        <f>IF(N517="","",IF(N517&lt;2.5,"Turbidez &lt; 2,5 uT",IF(N517&lt;5,"2,5 ≤ Turb &lt; 5,0 uT",IF(N517&lt;7.5,"5,0 ≤ Turb &lt; 7,5 uT",IF(N517&lt;10,"7,5 ≤ Turb &lt; 10,0 uT",IF(N517&lt;15,"10,0 ≤ Turb &lt; 15,0 uT","Turb &gt; 15 uT"))))))</f>
        <v>Turbidez &lt; 2,5 uT</v>
      </c>
      <c r="BB517" s="138" t="str">
        <f>IF(AND(C517&gt;D517,D517&gt;E517),"TOR &gt; SM &gt; BNN",IF(AND(C517&gt;E517,E517&gt;D517),"TOR &gt; BNN &gt; SM",IF(AND(D517&gt;C517,C517&gt;E517),"SM &gt; TOR &gt; BNN",IF(AND(D517&gt;E517,E517&gt;C517),"SM &gt; BNN &gt; TOR",IF(AND(C517=D517,D517=E517),"TOR = SM = BNN","Comb. diferentes")))))</f>
        <v>TOR &gt; BNN &gt; SM</v>
      </c>
      <c r="BC517" s="137" t="str">
        <f>IF(OR(AD517="",AP517="-"),"",IF(AD517&lt;=0.25,"Tipo 1 (≤0,25) uT",IF(AD517&lt;=0.5,"Tipo 2 (0,25-0,50) uT",IF(AD517&lt;=0.75,"Tipo 3 (0,50-0,75) uT","Tipo 4 (&gt;0,75) uT"))))</f>
        <v>Tipo 1 (≤0,25) uT</v>
      </c>
      <c r="BD517" s="137" t="str">
        <f>IF(OR(AO517="",AY517="-"),"",IF(AO517&lt;=0.25,"Tipo 1 (≤0,25) uT",IF(AO517&lt;=0.5,"Tipo 2 (0,25-0,50) uT",IF(AO517&lt;=0.75,"Tipo 3 (0,50-0,75) uT","Tipo 4 (&gt;0,75) uT"))))</f>
        <v>Tipo 1 (≤0,25) uT</v>
      </c>
      <c r="BE517" s="137" t="str">
        <f>IF(OR(AE517="",AP517="-"),"",IF(AE517&lt;=0.25,"Tipo 1 (≤0,25) uT",IF(AE517&lt;=0.5,"Tipo 2 (0,25-0,50) uT",IF(AE517&lt;=0.75,"Tipo 3 (0,50-0,75) uT","Tipo 4 (&gt;0,75) uT"))))</f>
        <v>Tipo 2 (0,25-0,50) uT</v>
      </c>
      <c r="BF517" s="137" t="str">
        <f>IF(OR(AP517="",AP517="-"),"",IF(AP517&lt;=0.25,"Tipo 1 (≤0,25) uT",IF(AP517&lt;=0.5,"Tipo 2 (0,25-0,50) uT",IF(AP517&lt;=0.75,"Tipo 3 (0,50-0,75) uT","Tipo 4 (&gt;0,75) uT"))))</f>
        <v>Tipo 2 (0,25-0,50) uT</v>
      </c>
      <c r="BG517" s="137" t="str">
        <f>IF(OR(Q517="",Q517="-"),"",IF(Q517&lt;=0.25,"Tipo 1 (≤0,25) uT",IF(Q517&lt;=0.5,"Tipo 2 (0,25-0,50) uT",IF(Q517&lt;=0.75,"Tipo 3 (0,50-0,75) uT","Tipo 4 (&gt;0,75) uT"))))</f>
        <v>Tipo 1 (≤0,25) uT</v>
      </c>
    </row>
    <row r="518" spans="1:59" x14ac:dyDescent="0.3">
      <c r="A518" s="26">
        <v>46180</v>
      </c>
      <c r="B518" s="107">
        <v>0.89583333333333337</v>
      </c>
      <c r="C518" s="116">
        <v>1113</v>
      </c>
      <c r="D518" s="116">
        <v>89</v>
      </c>
      <c r="E518" s="116">
        <v>577</v>
      </c>
      <c r="F518" s="116">
        <v>1802</v>
      </c>
      <c r="G518" s="10" t="s">
        <v>100</v>
      </c>
      <c r="H518" s="122">
        <v>7.3</v>
      </c>
      <c r="I518" s="116">
        <v>90</v>
      </c>
      <c r="J518" s="116">
        <v>90</v>
      </c>
      <c r="K518" s="116">
        <v>90</v>
      </c>
      <c r="L518" s="122">
        <v>21.7</v>
      </c>
      <c r="M518" s="122">
        <v>7</v>
      </c>
      <c r="N518" s="79">
        <v>2.82</v>
      </c>
      <c r="O518" s="116">
        <v>13</v>
      </c>
      <c r="P518" s="122">
        <v>10.7</v>
      </c>
      <c r="Q518" s="79">
        <v>0.09</v>
      </c>
      <c r="R518" s="79">
        <v>22.36</v>
      </c>
      <c r="S518" s="79">
        <v>0.88</v>
      </c>
      <c r="T518" s="79">
        <v>0.7</v>
      </c>
      <c r="U518" s="85">
        <f t="shared" si="68"/>
        <v>1184.8150000000001</v>
      </c>
      <c r="V518" s="79">
        <f t="shared" si="69"/>
        <v>1776.2493320000001</v>
      </c>
      <c r="W518" s="79">
        <f t="shared" si="70"/>
        <v>1.4991786329511358</v>
      </c>
      <c r="X518" s="116">
        <v>2</v>
      </c>
      <c r="Y518" s="116">
        <v>4</v>
      </c>
      <c r="Z518" s="122">
        <v>6.5</v>
      </c>
      <c r="AA518" s="116">
        <v>22</v>
      </c>
      <c r="AB518" s="122">
        <v>6.8</v>
      </c>
      <c r="AC518" s="122">
        <v>8.6999999999999993</v>
      </c>
      <c r="AD518" s="10">
        <v>0.17</v>
      </c>
      <c r="AE518" s="79">
        <v>0.2</v>
      </c>
      <c r="AF518" s="85">
        <f t="shared" si="71"/>
        <v>1579.7533333333331</v>
      </c>
      <c r="AG518" s="85">
        <f t="shared" si="72"/>
        <v>1937.7265440000001</v>
      </c>
      <c r="AH518" s="85">
        <f t="shared" si="73"/>
        <v>1.2266006996872931</v>
      </c>
      <c r="AI518" s="116">
        <v>2</v>
      </c>
      <c r="AJ518" s="116">
        <v>3</v>
      </c>
      <c r="AK518" s="79">
        <v>6.5</v>
      </c>
      <c r="AL518" s="79">
        <v>24</v>
      </c>
      <c r="AM518" s="122">
        <v>6.9</v>
      </c>
      <c r="AN518" s="122">
        <v>9.9</v>
      </c>
      <c r="AO518" s="79">
        <v>0.14000000000000001</v>
      </c>
      <c r="AP518" s="127">
        <v>0.2</v>
      </c>
      <c r="AQ518" s="132">
        <f t="shared" si="74"/>
        <v>1779</v>
      </c>
      <c r="AR518" s="134">
        <f t="shared" si="75"/>
        <v>0.62563237774030356</v>
      </c>
      <c r="AS518" s="134">
        <f t="shared" si="76"/>
        <v>5.0028105677346821E-2</v>
      </c>
      <c r="AT518" s="134">
        <f t="shared" si="77"/>
        <v>0.32433951658234961</v>
      </c>
      <c r="AU518" s="43">
        <f>IF(AND(F518&lt;&gt;"",Y518&lt;&gt;""),AA518/(F518/2/Y518),"")</f>
        <v>9.7669256381798006E-2</v>
      </c>
      <c r="AV518" s="43">
        <f>IF(AND(F518&lt;&gt;"",AJ518&lt;&gt;""),AL518/(F518/2/AJ518),"")</f>
        <v>7.9911209766925645E-2</v>
      </c>
      <c r="AW518" s="43">
        <f>IF(AND(AP518&lt;&gt;"",1-(AP518/N518)&gt;0),1-(AP518/N518),"")</f>
        <v>0.92907801418439717</v>
      </c>
      <c r="AX518" s="41">
        <f>IF(AND(AE518&lt;&gt;"",1-(AE518/N518)&gt;0),1-(AE518/N518),"")</f>
        <v>0.92907801418439717</v>
      </c>
      <c r="AY518" s="136" t="str">
        <f>IF(P518="","",IF(P518&lt;2.5,"Alc. Bruta &lt; 2,5 mg/L",IF(P518&lt;5,"2,5 ≤ Alc. Bruta &lt; 5,0 mg/L",IF(P518&lt;7.5,"5,0 ≤ Alc. Bruta &lt; 7,5 mg/L",IF(P518&lt;10,"7,5 ≤ Alc. Bruta &lt; 10,0 mg/L",IF(P518&lt;15,"10,0 ≤ Alca. Bruta &lt; 15,0 mg/L","Alc. Bruta &gt; 15 mg/L"))))))</f>
        <v>10,0 ≤ Alca. Bruta &lt; 15,0 mg/L</v>
      </c>
      <c r="AZ518" s="136" t="str">
        <f>IF(O518="","",IF(O518&lt;5,"Cor &lt;5 uC",IF(O518&lt;10,"5 ≤ Cor &lt; 10 uC",IF(O518&lt;15,"10 ≤ Cor &lt;15 uC",IF(O518&lt;30,"15 ≤ Cor &lt; 30 uC",IF(O518&lt;50,"30 ≤ Cor &lt; 50 uC","Cor &gt; 50 uC"))))))</f>
        <v>10 ≤ Cor &lt;15 uC</v>
      </c>
      <c r="BA518" s="137" t="str">
        <f>IF(N518="","",IF(N518&lt;2.5,"Turbidez &lt; 2,5 uT",IF(N518&lt;5,"2,5 ≤ Turb &lt; 5,0 uT",IF(N518&lt;7.5,"5,0 ≤ Turb &lt; 7,5 uT",IF(N518&lt;10,"7,5 ≤ Turb &lt; 10,0 uT",IF(N518&lt;15,"10,0 ≤ Turb &lt; 15,0 uT","Turb &gt; 15 uT"))))))</f>
        <v>2,5 ≤ Turb &lt; 5,0 uT</v>
      </c>
      <c r="BB518" s="138" t="str">
        <f>IF(AND(C518&gt;D518,D518&gt;E518),"TOR &gt; SM &gt; BNN",IF(AND(C518&gt;E518,E518&gt;D518),"TOR &gt; BNN &gt; SM",IF(AND(D518&gt;C518,C518&gt;E518),"SM &gt; TOR &gt; BNN",IF(AND(D518&gt;E518,E518&gt;C518),"SM &gt; BNN &gt; TOR",IF(AND(C518=D518,D518=E518),"TOR = SM = BNN","Comb. diferentes")))))</f>
        <v>TOR &gt; BNN &gt; SM</v>
      </c>
      <c r="BC518" s="137" t="str">
        <f>IF(OR(AD518="",AP518="-"),"",IF(AD518&lt;=0.25,"Tipo 1 (≤0,25) uT",IF(AD518&lt;=0.5,"Tipo 2 (0,25-0,50) uT",IF(AD518&lt;=0.75,"Tipo 3 (0,50-0,75) uT","Tipo 4 (&gt;0,75) uT"))))</f>
        <v>Tipo 1 (≤0,25) uT</v>
      </c>
      <c r="BD518" s="137" t="str">
        <f>IF(OR(AO518="",AY518="-"),"",IF(AO518&lt;=0.25,"Tipo 1 (≤0,25) uT",IF(AO518&lt;=0.5,"Tipo 2 (0,25-0,50) uT",IF(AO518&lt;=0.75,"Tipo 3 (0,50-0,75) uT","Tipo 4 (&gt;0,75) uT"))))</f>
        <v>Tipo 1 (≤0,25) uT</v>
      </c>
      <c r="BE518" s="137" t="str">
        <f>IF(OR(AE518="",AP518="-"),"",IF(AE518&lt;=0.25,"Tipo 1 (≤0,25) uT",IF(AE518&lt;=0.5,"Tipo 2 (0,25-0,50) uT",IF(AE518&lt;=0.75,"Tipo 3 (0,50-0,75) uT","Tipo 4 (&gt;0,75) uT"))))</f>
        <v>Tipo 1 (≤0,25) uT</v>
      </c>
      <c r="BF518" s="137" t="str">
        <f>IF(OR(AP518="",AP518="-"),"",IF(AP518&lt;=0.25,"Tipo 1 (≤0,25) uT",IF(AP518&lt;=0.5,"Tipo 2 (0,25-0,50) uT",IF(AP518&lt;=0.75,"Tipo 3 (0,50-0,75) uT","Tipo 4 (&gt;0,75) uT"))))</f>
        <v>Tipo 1 (≤0,25) uT</v>
      </c>
      <c r="BG518" s="137" t="str">
        <f>IF(OR(Q518="",Q518="-"),"",IF(Q518&lt;=0.25,"Tipo 1 (≤0,25) uT",IF(Q518&lt;=0.5,"Tipo 2 (0,25-0,50) uT",IF(Q518&lt;=0.75,"Tipo 3 (0,50-0,75) uT","Tipo 4 (&gt;0,75) uT"))))</f>
        <v>Tipo 1 (≤0,25) uT</v>
      </c>
    </row>
    <row r="519" spans="1:59" x14ac:dyDescent="0.3">
      <c r="A519" s="26">
        <v>46181</v>
      </c>
      <c r="B519" s="107">
        <v>6.25E-2</v>
      </c>
      <c r="C519" s="116">
        <v>1099</v>
      </c>
      <c r="D519" s="116">
        <v>88</v>
      </c>
      <c r="E519" s="116">
        <v>578</v>
      </c>
      <c r="F519" s="116">
        <v>1804</v>
      </c>
      <c r="G519" s="10" t="s">
        <v>100</v>
      </c>
      <c r="H519" s="122">
        <v>7.3</v>
      </c>
      <c r="I519" s="116">
        <v>90</v>
      </c>
      <c r="J519" s="116">
        <v>90</v>
      </c>
      <c r="K519" s="116">
        <v>90</v>
      </c>
      <c r="L519" s="122">
        <v>21.9</v>
      </c>
      <c r="M519" s="122">
        <v>6.9</v>
      </c>
      <c r="N519" s="79">
        <v>2.2799999999999998</v>
      </c>
      <c r="O519" s="116">
        <v>13</v>
      </c>
      <c r="P519" s="122">
        <v>9</v>
      </c>
      <c r="Q519" s="79">
        <v>0.08</v>
      </c>
      <c r="R519" s="79">
        <v>22.36</v>
      </c>
      <c r="S519" s="79">
        <v>0.88</v>
      </c>
      <c r="T519" s="79">
        <v>0.7</v>
      </c>
      <c r="U519" s="85">
        <f t="shared" si="68"/>
        <v>1064.3599999999999</v>
      </c>
      <c r="V519" s="79">
        <f t="shared" si="69"/>
        <v>1531.0982944399998</v>
      </c>
      <c r="W519" s="79">
        <f t="shared" si="70"/>
        <v>1.4385154406779661</v>
      </c>
      <c r="X519" s="116">
        <v>2</v>
      </c>
      <c r="Y519" s="116">
        <v>4</v>
      </c>
      <c r="Z519" s="122">
        <v>6.49</v>
      </c>
      <c r="AA519" s="116">
        <v>19</v>
      </c>
      <c r="AB519" s="122">
        <v>6.6</v>
      </c>
      <c r="AC519" s="122">
        <v>6.6</v>
      </c>
      <c r="AD519" s="10">
        <v>0.19</v>
      </c>
      <c r="AE519" s="79">
        <v>0.2</v>
      </c>
      <c r="AF519" s="85">
        <f t="shared" si="71"/>
        <v>1419.1466666666668</v>
      </c>
      <c r="AG519" s="85">
        <f t="shared" si="72"/>
        <v>1842.7752959199995</v>
      </c>
      <c r="AH519" s="85">
        <f t="shared" si="73"/>
        <v>1.2985094065353824</v>
      </c>
      <c r="AI519" s="116">
        <v>2</v>
      </c>
      <c r="AJ519" s="116">
        <v>3</v>
      </c>
      <c r="AK519" s="79">
        <v>6.46</v>
      </c>
      <c r="AL519" s="79">
        <v>23</v>
      </c>
      <c r="AM519" s="122">
        <v>6.5</v>
      </c>
      <c r="AN519" s="122">
        <v>6.7</v>
      </c>
      <c r="AO519" s="79">
        <v>0.17</v>
      </c>
      <c r="AP519" s="127">
        <v>0.22</v>
      </c>
      <c r="AQ519" s="132">
        <f t="shared" si="74"/>
        <v>1765</v>
      </c>
      <c r="AR519" s="134">
        <f t="shared" si="75"/>
        <v>0.62266288951841364</v>
      </c>
      <c r="AS519" s="134">
        <f t="shared" si="76"/>
        <v>4.9858356940509913E-2</v>
      </c>
      <c r="AT519" s="134">
        <f t="shared" si="77"/>
        <v>0.32747875354107647</v>
      </c>
      <c r="AU519" s="43">
        <f>IF(AND(F519&lt;&gt;"",Y519&lt;&gt;""),AA519/(F519/2/Y519),"")</f>
        <v>8.4257206208425722E-2</v>
      </c>
      <c r="AV519" s="43">
        <f>IF(AND(F519&lt;&gt;"",AJ519&lt;&gt;""),AL519/(F519/2/AJ519),"")</f>
        <v>7.6496674057649663E-2</v>
      </c>
      <c r="AW519" s="43">
        <f>IF(AND(AP519&lt;&gt;"",1-(AP519/N519)&gt;0),1-(AP519/N519),"")</f>
        <v>0.90350877192982459</v>
      </c>
      <c r="AX519" s="41">
        <f>IF(AND(AE519&lt;&gt;"",1-(AE519/N519)&gt;0),1-(AE519/N519),"")</f>
        <v>0.91228070175438591</v>
      </c>
      <c r="AY519" s="136" t="str">
        <f>IF(P519="","",IF(P519&lt;2.5,"Alc. Bruta &lt; 2,5 mg/L",IF(P519&lt;5,"2,5 ≤ Alc. Bruta &lt; 5,0 mg/L",IF(P519&lt;7.5,"5,0 ≤ Alc. Bruta &lt; 7,5 mg/L",IF(P519&lt;10,"7,5 ≤ Alc. Bruta &lt; 10,0 mg/L",IF(P519&lt;15,"10,0 ≤ Alca. Bruta &lt; 15,0 mg/L","Alc. Bruta &gt; 15 mg/L"))))))</f>
        <v>7,5 ≤ Alc. Bruta &lt; 10,0 mg/L</v>
      </c>
      <c r="AZ519" s="136" t="str">
        <f>IF(O519="","",IF(O519&lt;5,"Cor &lt;5 uC",IF(O519&lt;10,"5 ≤ Cor &lt; 10 uC",IF(O519&lt;15,"10 ≤ Cor &lt;15 uC",IF(O519&lt;30,"15 ≤ Cor &lt; 30 uC",IF(O519&lt;50,"30 ≤ Cor &lt; 50 uC","Cor &gt; 50 uC"))))))</f>
        <v>10 ≤ Cor &lt;15 uC</v>
      </c>
      <c r="BA519" s="137" t="str">
        <f>IF(N519="","",IF(N519&lt;2.5,"Turbidez &lt; 2,5 uT",IF(N519&lt;5,"2,5 ≤ Turb &lt; 5,0 uT",IF(N519&lt;7.5,"5,0 ≤ Turb &lt; 7,5 uT",IF(N519&lt;10,"7,5 ≤ Turb &lt; 10,0 uT",IF(N519&lt;15,"10,0 ≤ Turb &lt; 15,0 uT","Turb &gt; 15 uT"))))))</f>
        <v>Turbidez &lt; 2,5 uT</v>
      </c>
      <c r="BB519" s="138" t="str">
        <f>IF(AND(C519&gt;D519,D519&gt;E519),"TOR &gt; SM &gt; BNN",IF(AND(C519&gt;E519,E519&gt;D519),"TOR &gt; BNN &gt; SM",IF(AND(D519&gt;C519,C519&gt;E519),"SM &gt; TOR &gt; BNN",IF(AND(D519&gt;E519,E519&gt;C519),"SM &gt; BNN &gt; TOR",IF(AND(C519=D519,D519=E519),"TOR = SM = BNN","Comb. diferentes")))))</f>
        <v>TOR &gt; BNN &gt; SM</v>
      </c>
      <c r="BC519" s="137" t="str">
        <f>IF(OR(AD519="",AP519="-"),"",IF(AD519&lt;=0.25,"Tipo 1 (≤0,25) uT",IF(AD519&lt;=0.5,"Tipo 2 (0,25-0,50) uT",IF(AD519&lt;=0.75,"Tipo 3 (0,50-0,75) uT","Tipo 4 (&gt;0,75) uT"))))</f>
        <v>Tipo 1 (≤0,25) uT</v>
      </c>
      <c r="BD519" s="137" t="str">
        <f>IF(OR(AO519="",AY519="-"),"",IF(AO519&lt;=0.25,"Tipo 1 (≤0,25) uT",IF(AO519&lt;=0.5,"Tipo 2 (0,25-0,50) uT",IF(AO519&lt;=0.75,"Tipo 3 (0,50-0,75) uT","Tipo 4 (&gt;0,75) uT"))))</f>
        <v>Tipo 1 (≤0,25) uT</v>
      </c>
      <c r="BE519" s="137" t="str">
        <f>IF(OR(AE519="",AP519="-"),"",IF(AE519&lt;=0.25,"Tipo 1 (≤0,25) uT",IF(AE519&lt;=0.5,"Tipo 2 (0,25-0,50) uT",IF(AE519&lt;=0.75,"Tipo 3 (0,50-0,75) uT","Tipo 4 (&gt;0,75) uT"))))</f>
        <v>Tipo 1 (≤0,25) uT</v>
      </c>
      <c r="BF519" s="137" t="str">
        <f>IF(OR(AP519="",AP519="-"),"",IF(AP519&lt;=0.25,"Tipo 1 (≤0,25) uT",IF(AP519&lt;=0.5,"Tipo 2 (0,25-0,50) uT",IF(AP519&lt;=0.75,"Tipo 3 (0,50-0,75) uT","Tipo 4 (&gt;0,75) uT"))))</f>
        <v>Tipo 1 (≤0,25) uT</v>
      </c>
      <c r="BG519" s="137" t="str">
        <f>IF(OR(Q519="",Q519="-"),"",IF(Q519&lt;=0.25,"Tipo 1 (≤0,25) uT",IF(Q519&lt;=0.5,"Tipo 2 (0,25-0,50) uT",IF(Q519&lt;=0.75,"Tipo 3 (0,50-0,75) uT","Tipo 4 (&gt;0,75) uT"))))</f>
        <v>Tipo 1 (≤0,25) uT</v>
      </c>
    </row>
    <row r="520" spans="1:59" x14ac:dyDescent="0.3">
      <c r="A520" s="26">
        <v>46181</v>
      </c>
      <c r="B520" s="107">
        <v>0.14583333333333334</v>
      </c>
      <c r="C520" s="116">
        <v>1109</v>
      </c>
      <c r="D520" s="116">
        <v>84</v>
      </c>
      <c r="E520" s="116">
        <v>577</v>
      </c>
      <c r="F520" s="116">
        <v>1845</v>
      </c>
      <c r="G520" s="10" t="s">
        <v>100</v>
      </c>
      <c r="H520" s="122">
        <v>7.3</v>
      </c>
      <c r="I520" s="116">
        <v>90</v>
      </c>
      <c r="J520" s="116">
        <v>90</v>
      </c>
      <c r="K520" s="116">
        <v>90</v>
      </c>
      <c r="L520" s="122">
        <v>20.5</v>
      </c>
      <c r="M520" s="122">
        <v>6.9</v>
      </c>
      <c r="N520" s="79">
        <v>2.3199999999999998</v>
      </c>
      <c r="O520" s="116">
        <v>10</v>
      </c>
      <c r="P520" s="122">
        <v>8.1</v>
      </c>
      <c r="Q520" s="79">
        <v>7.0000000000000007E-2</v>
      </c>
      <c r="R520" s="79">
        <v>22.36</v>
      </c>
      <c r="S520" s="79">
        <v>0.88</v>
      </c>
      <c r="T520" s="79">
        <v>0.7</v>
      </c>
      <c r="U520" s="85">
        <f t="shared" si="68"/>
        <v>1097.7749999999999</v>
      </c>
      <c r="V520" s="79">
        <f t="shared" si="69"/>
        <v>1534.0335140000002</v>
      </c>
      <c r="W520" s="79">
        <f t="shared" si="70"/>
        <v>1.3974024859374647</v>
      </c>
      <c r="X520" s="116">
        <v>2</v>
      </c>
      <c r="Y520" s="116">
        <v>4</v>
      </c>
      <c r="Z520" s="122">
        <v>6.5</v>
      </c>
      <c r="AA520" s="116">
        <v>19</v>
      </c>
      <c r="AB520" s="122">
        <v>6.9</v>
      </c>
      <c r="AC520" s="122">
        <v>6.2</v>
      </c>
      <c r="AD520" s="10">
        <v>0.12</v>
      </c>
      <c r="AE520" s="79">
        <v>0.19</v>
      </c>
      <c r="AF520" s="85">
        <f t="shared" si="71"/>
        <v>1463.7</v>
      </c>
      <c r="AG520" s="85">
        <f t="shared" si="72"/>
        <v>1937.7265440000001</v>
      </c>
      <c r="AH520" s="85">
        <f t="shared" si="73"/>
        <v>1.3238549866775979</v>
      </c>
      <c r="AI520" s="116">
        <v>2</v>
      </c>
      <c r="AJ520" s="116">
        <v>3</v>
      </c>
      <c r="AK520" s="79">
        <v>6.5</v>
      </c>
      <c r="AL520" s="79">
        <v>24</v>
      </c>
      <c r="AM520" s="122">
        <v>6.7</v>
      </c>
      <c r="AN520" s="122">
        <v>6.6</v>
      </c>
      <c r="AO520" s="79">
        <v>0.18</v>
      </c>
      <c r="AP520" s="127">
        <v>0.24</v>
      </c>
      <c r="AQ520" s="132">
        <f t="shared" si="74"/>
        <v>1770</v>
      </c>
      <c r="AR520" s="134">
        <f t="shared" si="75"/>
        <v>0.62655367231638415</v>
      </c>
      <c r="AS520" s="134">
        <f t="shared" si="76"/>
        <v>4.7457627118644069E-2</v>
      </c>
      <c r="AT520" s="134">
        <f t="shared" si="77"/>
        <v>0.32598870056497176</v>
      </c>
      <c r="AU520" s="43">
        <f>IF(AND(F520&lt;&gt;"",Y520&lt;&gt;""),AA520/(F520/2/Y520),"")</f>
        <v>8.2384823848238489E-2</v>
      </c>
      <c r="AV520" s="43">
        <f>IF(AND(F520&lt;&gt;"",AJ520&lt;&gt;""),AL520/(F520/2/AJ520),"")</f>
        <v>7.8048780487804878E-2</v>
      </c>
      <c r="AW520" s="43">
        <f>IF(AND(AP520&lt;&gt;"",1-(AP520/N520)&gt;0),1-(AP520/N520),"")</f>
        <v>0.89655172413793105</v>
      </c>
      <c r="AX520" s="41">
        <f>IF(AND(AE520&lt;&gt;"",1-(AE520/N520)&gt;0),1-(AE520/N520),"")</f>
        <v>0.9181034482758621</v>
      </c>
      <c r="AY520" s="136" t="str">
        <f>IF(P520="","",IF(P520&lt;2.5,"Alc. Bruta &lt; 2,5 mg/L",IF(P520&lt;5,"2,5 ≤ Alc. Bruta &lt; 5,0 mg/L",IF(P520&lt;7.5,"5,0 ≤ Alc. Bruta &lt; 7,5 mg/L",IF(P520&lt;10,"7,5 ≤ Alc. Bruta &lt; 10,0 mg/L",IF(P520&lt;15,"10,0 ≤ Alca. Bruta &lt; 15,0 mg/L","Alc. Bruta &gt; 15 mg/L"))))))</f>
        <v>7,5 ≤ Alc. Bruta &lt; 10,0 mg/L</v>
      </c>
      <c r="AZ520" s="136" t="str">
        <f>IF(O520="","",IF(O520&lt;5,"Cor &lt;5 uC",IF(O520&lt;10,"5 ≤ Cor &lt; 10 uC",IF(O520&lt;15,"10 ≤ Cor &lt;15 uC",IF(O520&lt;30,"15 ≤ Cor &lt; 30 uC",IF(O520&lt;50,"30 ≤ Cor &lt; 50 uC","Cor &gt; 50 uC"))))))</f>
        <v>10 ≤ Cor &lt;15 uC</v>
      </c>
      <c r="BA520" s="137" t="str">
        <f>IF(N520="","",IF(N520&lt;2.5,"Turbidez &lt; 2,5 uT",IF(N520&lt;5,"2,5 ≤ Turb &lt; 5,0 uT",IF(N520&lt;7.5,"5,0 ≤ Turb &lt; 7,5 uT",IF(N520&lt;10,"7,5 ≤ Turb &lt; 10,0 uT",IF(N520&lt;15,"10,0 ≤ Turb &lt; 15,0 uT","Turb &gt; 15 uT"))))))</f>
        <v>Turbidez &lt; 2,5 uT</v>
      </c>
      <c r="BB520" s="138" t="str">
        <f>IF(AND(C520&gt;D520,D520&gt;E520),"TOR &gt; SM &gt; BNN",IF(AND(C520&gt;E520,E520&gt;D520),"TOR &gt; BNN &gt; SM",IF(AND(D520&gt;C520,C520&gt;E520),"SM &gt; TOR &gt; BNN",IF(AND(D520&gt;E520,E520&gt;C520),"SM &gt; BNN &gt; TOR",IF(AND(C520=D520,D520=E520),"TOR = SM = BNN","Comb. diferentes")))))</f>
        <v>TOR &gt; BNN &gt; SM</v>
      </c>
      <c r="BC520" s="137" t="str">
        <f>IF(OR(AD520="",AP520="-"),"",IF(AD520&lt;=0.25,"Tipo 1 (≤0,25) uT",IF(AD520&lt;=0.5,"Tipo 2 (0,25-0,50) uT",IF(AD520&lt;=0.75,"Tipo 3 (0,50-0,75) uT","Tipo 4 (&gt;0,75) uT"))))</f>
        <v>Tipo 1 (≤0,25) uT</v>
      </c>
      <c r="BD520" s="137" t="str">
        <f>IF(OR(AO520="",AY520="-"),"",IF(AO520&lt;=0.25,"Tipo 1 (≤0,25) uT",IF(AO520&lt;=0.5,"Tipo 2 (0,25-0,50) uT",IF(AO520&lt;=0.75,"Tipo 3 (0,50-0,75) uT","Tipo 4 (&gt;0,75) uT"))))</f>
        <v>Tipo 1 (≤0,25) uT</v>
      </c>
      <c r="BE520" s="137" t="str">
        <f>IF(OR(AE520="",AP520="-"),"",IF(AE520&lt;=0.25,"Tipo 1 (≤0,25) uT",IF(AE520&lt;=0.5,"Tipo 2 (0,25-0,50) uT",IF(AE520&lt;=0.75,"Tipo 3 (0,50-0,75) uT","Tipo 4 (&gt;0,75) uT"))))</f>
        <v>Tipo 1 (≤0,25) uT</v>
      </c>
      <c r="BF520" s="137" t="str">
        <f>IF(OR(AP520="",AP520="-"),"",IF(AP520&lt;=0.25,"Tipo 1 (≤0,25) uT",IF(AP520&lt;=0.5,"Tipo 2 (0,25-0,50) uT",IF(AP520&lt;=0.75,"Tipo 3 (0,50-0,75) uT","Tipo 4 (&gt;0,75) uT"))))</f>
        <v>Tipo 1 (≤0,25) uT</v>
      </c>
      <c r="BG520" s="137" t="str">
        <f>IF(OR(Q520="",Q520="-"),"",IF(Q520&lt;=0.25,"Tipo 1 (≤0,25) uT",IF(Q520&lt;=0.5,"Tipo 2 (0,25-0,50) uT",IF(Q520&lt;=0.75,"Tipo 3 (0,50-0,75) uT","Tipo 4 (&gt;0,75) uT"))))</f>
        <v>Tipo 1 (≤0,25) uT</v>
      </c>
    </row>
    <row r="521" spans="1:59" ht="15" thickBot="1" x14ac:dyDescent="0.35">
      <c r="A521" s="26">
        <v>46181</v>
      </c>
      <c r="B521" s="110">
        <v>0.22916666666666666</v>
      </c>
      <c r="C521" s="117">
        <v>1141</v>
      </c>
      <c r="D521" s="117">
        <v>92</v>
      </c>
      <c r="E521" s="117">
        <v>579</v>
      </c>
      <c r="F521" s="117">
        <v>1838</v>
      </c>
      <c r="G521" s="11" t="s">
        <v>100</v>
      </c>
      <c r="H521" s="123">
        <v>7.3</v>
      </c>
      <c r="I521" s="117">
        <v>90</v>
      </c>
      <c r="J521" s="117">
        <v>90</v>
      </c>
      <c r="K521" s="117">
        <v>90</v>
      </c>
      <c r="L521" s="123">
        <v>20.100000000000001</v>
      </c>
      <c r="M521" s="123">
        <v>6.9</v>
      </c>
      <c r="N521" s="80">
        <v>2.34</v>
      </c>
      <c r="O521" s="117">
        <v>11</v>
      </c>
      <c r="P521" s="123">
        <v>8.6</v>
      </c>
      <c r="Q521" s="80">
        <v>7.0000000000000007E-2</v>
      </c>
      <c r="R521" s="79">
        <v>22.36</v>
      </c>
      <c r="S521" s="79">
        <v>0.88</v>
      </c>
      <c r="T521" s="79">
        <v>0.7</v>
      </c>
      <c r="U521" s="85">
        <f t="shared" si="68"/>
        <v>1098.2049999999999</v>
      </c>
      <c r="V521" s="79">
        <f t="shared" si="69"/>
        <v>1534.0335140000002</v>
      </c>
      <c r="W521" s="79">
        <f t="shared" si="70"/>
        <v>1.3968553357524327</v>
      </c>
      <c r="X521" s="117">
        <v>2</v>
      </c>
      <c r="Y521" s="117">
        <v>4</v>
      </c>
      <c r="Z521" s="123">
        <v>6.5</v>
      </c>
      <c r="AA521" s="117">
        <v>19</v>
      </c>
      <c r="AB521" s="122">
        <v>6.9</v>
      </c>
      <c r="AC521" s="123">
        <v>6.8</v>
      </c>
      <c r="AD521" s="11">
        <v>0.17</v>
      </c>
      <c r="AE521" s="80">
        <v>0.2</v>
      </c>
      <c r="AF521" s="85">
        <f t="shared" si="71"/>
        <v>1464.2733333333331</v>
      </c>
      <c r="AG521" s="85">
        <f t="shared" si="72"/>
        <v>1937.7265440000001</v>
      </c>
      <c r="AH521" s="85">
        <f t="shared" si="73"/>
        <v>1.3233366338707258</v>
      </c>
      <c r="AI521" s="117">
        <v>2</v>
      </c>
      <c r="AJ521" s="117">
        <v>3</v>
      </c>
      <c r="AK521" s="80">
        <v>6.5</v>
      </c>
      <c r="AL521" s="80">
        <v>24</v>
      </c>
      <c r="AM521" s="123">
        <v>6.6</v>
      </c>
      <c r="AN521" s="123">
        <v>6.6</v>
      </c>
      <c r="AO521" s="80">
        <v>0.2</v>
      </c>
      <c r="AP521" s="128">
        <v>0.25</v>
      </c>
      <c r="AQ521" s="132">
        <f t="shared" si="74"/>
        <v>1812</v>
      </c>
      <c r="AR521" s="134">
        <f t="shared" si="75"/>
        <v>0.62969094922737312</v>
      </c>
      <c r="AS521" s="134">
        <f t="shared" si="76"/>
        <v>5.0772626931567331E-2</v>
      </c>
      <c r="AT521" s="134">
        <f t="shared" si="77"/>
        <v>0.31953642384105962</v>
      </c>
      <c r="AU521" s="43">
        <f>IF(AND(F521&lt;&gt;"",Y521&lt;&gt;""),AA521/(F521/2/Y521),"")</f>
        <v>8.2698585418933629E-2</v>
      </c>
      <c r="AV521" s="43">
        <f>IF(AND(F521&lt;&gt;"",AJ521&lt;&gt;""),AL521/(F521/2/AJ521),"")</f>
        <v>7.8346028291621336E-2</v>
      </c>
      <c r="AW521" s="43">
        <f>IF(AND(AP521&lt;&gt;"",1-(AP521/N521)&gt;0),1-(AP521/N521),"")</f>
        <v>0.8931623931623931</v>
      </c>
      <c r="AX521" s="41">
        <f>IF(AND(AE521&lt;&gt;"",1-(AE521/N521)&gt;0),1-(AE521/N521),"")</f>
        <v>0.9145299145299145</v>
      </c>
      <c r="AY521" s="136" t="str">
        <f>IF(P521="","",IF(P521&lt;2.5,"Alc. Bruta &lt; 2,5 mg/L",IF(P521&lt;5,"2,5 ≤ Alc. Bruta &lt; 5,0 mg/L",IF(P521&lt;7.5,"5,0 ≤ Alc. Bruta &lt; 7,5 mg/L",IF(P521&lt;10,"7,5 ≤ Alc. Bruta &lt; 10,0 mg/L",IF(P521&lt;15,"10,0 ≤ Alca. Bruta &lt; 15,0 mg/L","Alc. Bruta &gt; 15 mg/L"))))))</f>
        <v>7,5 ≤ Alc. Bruta &lt; 10,0 mg/L</v>
      </c>
      <c r="AZ521" s="136" t="str">
        <f>IF(O521="","",IF(O521&lt;5,"Cor &lt;5 uC",IF(O521&lt;10,"5 ≤ Cor &lt; 10 uC",IF(O521&lt;15,"10 ≤ Cor &lt;15 uC",IF(O521&lt;30,"15 ≤ Cor &lt; 30 uC",IF(O521&lt;50,"30 ≤ Cor &lt; 50 uC","Cor &gt; 50 uC"))))))</f>
        <v>10 ≤ Cor &lt;15 uC</v>
      </c>
      <c r="BA521" s="137" t="str">
        <f>IF(N521="","",IF(N521&lt;2.5,"Turbidez &lt; 2,5 uT",IF(N521&lt;5,"2,5 ≤ Turb &lt; 5,0 uT",IF(N521&lt;7.5,"5,0 ≤ Turb &lt; 7,5 uT",IF(N521&lt;10,"7,5 ≤ Turb &lt; 10,0 uT",IF(N521&lt;15,"10,0 ≤ Turb &lt; 15,0 uT","Turb &gt; 15 uT"))))))</f>
        <v>Turbidez &lt; 2,5 uT</v>
      </c>
      <c r="BB521" s="138" t="str">
        <f>IF(AND(C521&gt;D521,D521&gt;E521),"TOR &gt; SM &gt; BNN",IF(AND(C521&gt;E521,E521&gt;D521),"TOR &gt; BNN &gt; SM",IF(AND(D521&gt;C521,C521&gt;E521),"SM &gt; TOR &gt; BNN",IF(AND(D521&gt;E521,E521&gt;C521),"SM &gt; BNN &gt; TOR",IF(AND(C521=D521,D521=E521),"TOR = SM = BNN","Comb. diferentes")))))</f>
        <v>TOR &gt; BNN &gt; SM</v>
      </c>
      <c r="BC521" s="137" t="str">
        <f>IF(OR(AD521="",AP521="-"),"",IF(AD521&lt;=0.25,"Tipo 1 (≤0,25) uT",IF(AD521&lt;=0.5,"Tipo 2 (0,25-0,50) uT",IF(AD521&lt;=0.75,"Tipo 3 (0,50-0,75) uT","Tipo 4 (&gt;0,75) uT"))))</f>
        <v>Tipo 1 (≤0,25) uT</v>
      </c>
      <c r="BD521" s="137" t="str">
        <f>IF(OR(AO521="",AY521="-"),"",IF(AO521&lt;=0.25,"Tipo 1 (≤0,25) uT",IF(AO521&lt;=0.5,"Tipo 2 (0,25-0,50) uT",IF(AO521&lt;=0.75,"Tipo 3 (0,50-0,75) uT","Tipo 4 (&gt;0,75) uT"))))</f>
        <v>Tipo 1 (≤0,25) uT</v>
      </c>
      <c r="BE521" s="137" t="str">
        <f>IF(OR(AE521="",AP521="-"),"",IF(AE521&lt;=0.25,"Tipo 1 (≤0,25) uT",IF(AE521&lt;=0.5,"Tipo 2 (0,25-0,50) uT",IF(AE521&lt;=0.75,"Tipo 3 (0,50-0,75) uT","Tipo 4 (&gt;0,75) uT"))))</f>
        <v>Tipo 1 (≤0,25) uT</v>
      </c>
      <c r="BF521" s="137" t="str">
        <f>IF(OR(AP521="",AP521="-"),"",IF(AP521&lt;=0.25,"Tipo 1 (≤0,25) uT",IF(AP521&lt;=0.5,"Tipo 2 (0,25-0,50) uT",IF(AP521&lt;=0.75,"Tipo 3 (0,50-0,75) uT","Tipo 4 (&gt;0,75) uT"))))</f>
        <v>Tipo 1 (≤0,25) uT</v>
      </c>
      <c r="BG521" s="137" t="str">
        <f>IF(OR(Q521="",Q521="-"),"",IF(Q521&lt;=0.25,"Tipo 1 (≤0,25) uT",IF(Q521&lt;=0.5,"Tipo 2 (0,25-0,50) uT",IF(Q521&lt;=0.75,"Tipo 3 (0,50-0,75) uT","Tipo 4 (&gt;0,75) uT"))))</f>
        <v>Tipo 1 (≤0,25) uT</v>
      </c>
    </row>
    <row r="522" spans="1:59" x14ac:dyDescent="0.3">
      <c r="A522" s="26">
        <v>46181</v>
      </c>
      <c r="B522" s="111">
        <v>0.3125</v>
      </c>
      <c r="C522" s="118">
        <v>1453</v>
      </c>
      <c r="D522" s="116">
        <v>86</v>
      </c>
      <c r="E522" s="118">
        <v>387</v>
      </c>
      <c r="F522" s="118">
        <v>1986</v>
      </c>
      <c r="G522" s="9" t="s">
        <v>100</v>
      </c>
      <c r="H522" s="124">
        <v>7.3</v>
      </c>
      <c r="I522" s="118">
        <v>90</v>
      </c>
      <c r="J522" s="118">
        <v>90</v>
      </c>
      <c r="K522" s="118">
        <v>90</v>
      </c>
      <c r="L522" s="124">
        <v>21.9</v>
      </c>
      <c r="M522" s="124">
        <v>6.7</v>
      </c>
      <c r="N522" s="81">
        <v>3.56</v>
      </c>
      <c r="O522" s="118">
        <v>18</v>
      </c>
      <c r="P522" s="124">
        <v>6.7</v>
      </c>
      <c r="Q522" s="81">
        <v>0.1</v>
      </c>
      <c r="R522" s="79">
        <v>22.36</v>
      </c>
      <c r="S522" s="79">
        <v>0.88</v>
      </c>
      <c r="T522" s="79">
        <v>0.7</v>
      </c>
      <c r="U522" s="85">
        <f t="shared" si="68"/>
        <v>1986</v>
      </c>
      <c r="V522" s="79">
        <f t="shared" si="69"/>
        <v>1525.2278553200001</v>
      </c>
      <c r="W522" s="79">
        <f t="shared" si="70"/>
        <v>0.76798985665659625</v>
      </c>
      <c r="X522" s="118">
        <v>4</v>
      </c>
      <c r="Y522" s="118">
        <v>3</v>
      </c>
      <c r="Z522" s="124">
        <v>6.47</v>
      </c>
      <c r="AA522" s="118">
        <v>19</v>
      </c>
      <c r="AB522" s="124">
        <v>6.6</v>
      </c>
      <c r="AC522" s="124">
        <v>6.1</v>
      </c>
      <c r="AD522" s="9">
        <v>0.18</v>
      </c>
      <c r="AE522" s="81">
        <v>0.56000000000000005</v>
      </c>
      <c r="AF522" s="85">
        <f t="shared" si="71"/>
        <v>1489.5</v>
      </c>
      <c r="AG522" s="85">
        <f t="shared" si="72"/>
        <v>1842.7752959199995</v>
      </c>
      <c r="AH522" s="85">
        <f t="shared" si="73"/>
        <v>1.2371771036723729</v>
      </c>
      <c r="AI522" s="118">
        <v>3</v>
      </c>
      <c r="AJ522" s="118">
        <v>4</v>
      </c>
      <c r="AK522" s="81">
        <v>6.46</v>
      </c>
      <c r="AL522" s="81">
        <v>23</v>
      </c>
      <c r="AM522" s="124">
        <v>6.5</v>
      </c>
      <c r="AN522" s="124">
        <v>6.8</v>
      </c>
      <c r="AO522" s="81">
        <v>0.3</v>
      </c>
      <c r="AP522" s="129">
        <v>0.32</v>
      </c>
      <c r="AQ522" s="132">
        <f t="shared" si="74"/>
        <v>1926</v>
      </c>
      <c r="AR522" s="134">
        <f t="shared" si="75"/>
        <v>0.75441329179646932</v>
      </c>
      <c r="AS522" s="134">
        <f t="shared" si="76"/>
        <v>4.46521287642783E-2</v>
      </c>
      <c r="AT522" s="134">
        <f t="shared" si="77"/>
        <v>0.20093457943925233</v>
      </c>
      <c r="AU522" s="43">
        <f>IF(AND(F522&lt;&gt;"",Y522&lt;&gt;""),AA522/(F522/2/Y522),"")</f>
        <v>5.7401812688821753E-2</v>
      </c>
      <c r="AV522" s="43">
        <f>IF(AND(F522&lt;&gt;"",AJ522&lt;&gt;""),AL522/(F522/2/AJ522),"")</f>
        <v>9.264853977844914E-2</v>
      </c>
      <c r="AW522" s="43">
        <f>IF(AND(AP522&lt;&gt;"",1-(AP522/N522)&gt;0),1-(AP522/N522),"")</f>
        <v>0.9101123595505618</v>
      </c>
      <c r="AX522" s="41">
        <f>IF(AND(AE522&lt;&gt;"",1-(AE522/N522)&gt;0),1-(AE522/N522),"")</f>
        <v>0.84269662921348309</v>
      </c>
      <c r="AY522" s="136" t="str">
        <f>IF(P522="","",IF(P522&lt;2.5,"Alc. Bruta &lt; 2,5 mg/L",IF(P522&lt;5,"2,5 ≤ Alc. Bruta &lt; 5,0 mg/L",IF(P522&lt;7.5,"5,0 ≤ Alc. Bruta &lt; 7,5 mg/L",IF(P522&lt;10,"7,5 ≤ Alc. Bruta &lt; 10,0 mg/L",IF(P522&lt;15,"10,0 ≤ Alca. Bruta &lt; 15,0 mg/L","Alc. Bruta &gt; 15 mg/L"))))))</f>
        <v>5,0 ≤ Alc. Bruta &lt; 7,5 mg/L</v>
      </c>
      <c r="AZ522" s="136" t="str">
        <f>IF(O522="","",IF(O522&lt;5,"Cor &lt;5 uC",IF(O522&lt;10,"5 ≤ Cor &lt; 10 uC",IF(O522&lt;15,"10 ≤ Cor &lt;15 uC",IF(O522&lt;30,"15 ≤ Cor &lt; 30 uC",IF(O522&lt;50,"30 ≤ Cor &lt; 50 uC","Cor &gt; 50 uC"))))))</f>
        <v>15 ≤ Cor &lt; 30 uC</v>
      </c>
      <c r="BA522" s="137" t="str">
        <f>IF(N522="","",IF(N522&lt;2.5,"Turbidez &lt; 2,5 uT",IF(N522&lt;5,"2,5 ≤ Turb &lt; 5,0 uT",IF(N522&lt;7.5,"5,0 ≤ Turb &lt; 7,5 uT",IF(N522&lt;10,"7,5 ≤ Turb &lt; 10,0 uT",IF(N522&lt;15,"10,0 ≤ Turb &lt; 15,0 uT","Turb &gt; 15 uT"))))))</f>
        <v>2,5 ≤ Turb &lt; 5,0 uT</v>
      </c>
      <c r="BB522" s="138" t="str">
        <f>IF(AND(C522&gt;D522,D522&gt;E522),"TOR &gt; SM &gt; BNN",IF(AND(C522&gt;E522,E522&gt;D522),"TOR &gt; BNN &gt; SM",IF(AND(D522&gt;C522,C522&gt;E522),"SM &gt; TOR &gt; BNN",IF(AND(D522&gt;E522,E522&gt;C522),"SM &gt; BNN &gt; TOR",IF(AND(C522=D522,D522=E522),"TOR = SM = BNN","Comb. diferentes")))))</f>
        <v>TOR &gt; BNN &gt; SM</v>
      </c>
      <c r="BC522" s="137" t="str">
        <f>IF(OR(AD522="",AP522="-"),"",IF(AD522&lt;=0.25,"Tipo 1 (≤0,25) uT",IF(AD522&lt;=0.5,"Tipo 2 (0,25-0,50) uT",IF(AD522&lt;=0.75,"Tipo 3 (0,50-0,75) uT","Tipo 4 (&gt;0,75) uT"))))</f>
        <v>Tipo 1 (≤0,25) uT</v>
      </c>
      <c r="BD522" s="137" t="str">
        <f>IF(OR(AO522="",AY522="-"),"",IF(AO522&lt;=0.25,"Tipo 1 (≤0,25) uT",IF(AO522&lt;=0.5,"Tipo 2 (0,25-0,50) uT",IF(AO522&lt;=0.75,"Tipo 3 (0,50-0,75) uT","Tipo 4 (&gt;0,75) uT"))))</f>
        <v>Tipo 2 (0,25-0,50) uT</v>
      </c>
      <c r="BE522" s="137" t="str">
        <f t="shared" ref="BE522:BE531" si="78">IF(OR(AE522="",AP522="-"),"",IF(AE522&lt;=0.25,"Tipo 1 (≤0,25) uT",IF(AE522&lt;=0.5,"Tipo 2 (0,25-0,50) uT",IF(AE522&lt;=0.75,"Tipo 3 (0,50-0,75) uT","Tipo 4 (&gt;0,75) uT"))))</f>
        <v>Tipo 3 (0,50-0,75) uT</v>
      </c>
      <c r="BF522" s="137" t="str">
        <f t="shared" ref="BF522:BF531" si="79">IF(OR(AP522="",AP522="-"),"",IF(AP522&lt;=0.25,"Tipo 1 (≤0,25) uT",IF(AP522&lt;=0.5,"Tipo 2 (0,25-0,50) uT",IF(AP522&lt;=0.75,"Tipo 3 (0,50-0,75) uT","Tipo 4 (&gt;0,75) uT"))))</f>
        <v>Tipo 2 (0,25-0,50) uT</v>
      </c>
      <c r="BG522" s="137" t="str">
        <f>IF(OR(Q522="",Q522="-"),"",IF(Q522&lt;=0.25,"Tipo 1 (≤0,25) uT",IF(Q522&lt;=0.5,"Tipo 2 (0,25-0,50) uT",IF(Q522&lt;=0.75,"Tipo 3 (0,50-0,75) uT","Tipo 4 (&gt;0,75) uT"))))</f>
        <v>Tipo 1 (≤0,25) uT</v>
      </c>
    </row>
    <row r="523" spans="1:59" x14ac:dyDescent="0.3">
      <c r="A523" s="26">
        <v>46181</v>
      </c>
      <c r="B523" s="107">
        <v>0.47916666666666669</v>
      </c>
      <c r="C523" s="119">
        <v>1415</v>
      </c>
      <c r="D523" s="116">
        <v>88</v>
      </c>
      <c r="E523" s="119">
        <v>500</v>
      </c>
      <c r="F523" s="119">
        <v>2203</v>
      </c>
      <c r="G523" s="44" t="s">
        <v>100</v>
      </c>
      <c r="H523" s="125">
        <v>7.3</v>
      </c>
      <c r="I523" s="119">
        <v>90</v>
      </c>
      <c r="J523" s="119">
        <v>90</v>
      </c>
      <c r="K523" s="119">
        <v>90</v>
      </c>
      <c r="L523" s="125">
        <v>22.6</v>
      </c>
      <c r="M523" s="125">
        <v>6.7</v>
      </c>
      <c r="N523" s="82">
        <v>3.01</v>
      </c>
      <c r="O523" s="119">
        <v>16</v>
      </c>
      <c r="P523" s="125">
        <v>6.2</v>
      </c>
      <c r="Q523" s="82">
        <v>0.14000000000000001</v>
      </c>
      <c r="R523" s="79">
        <v>22.36</v>
      </c>
      <c r="S523" s="79">
        <v>0.88</v>
      </c>
      <c r="T523" s="79">
        <v>0.7</v>
      </c>
      <c r="U523" s="85">
        <f t="shared" si="68"/>
        <v>1500.7937499999998</v>
      </c>
      <c r="V523" s="79">
        <f t="shared" si="69"/>
        <v>1614.7721200000001</v>
      </c>
      <c r="W523" s="79">
        <f t="shared" si="70"/>
        <v>1.0759453922299451</v>
      </c>
      <c r="X523" s="119">
        <v>4</v>
      </c>
      <c r="Y523" s="119">
        <v>4</v>
      </c>
      <c r="Z523" s="125">
        <v>6.5</v>
      </c>
      <c r="AA523" s="119">
        <v>20</v>
      </c>
      <c r="AB523" s="125">
        <v>6.6</v>
      </c>
      <c r="AC523" s="125">
        <v>4.7</v>
      </c>
      <c r="AD523" s="44">
        <v>0.2</v>
      </c>
      <c r="AE523" s="82">
        <v>0.61</v>
      </c>
      <c r="AF523" s="85">
        <f t="shared" si="71"/>
        <v>1500.7937499999998</v>
      </c>
      <c r="AG523" s="85">
        <f t="shared" si="72"/>
        <v>1839.2221353999998</v>
      </c>
      <c r="AH523" s="85">
        <f t="shared" si="73"/>
        <v>1.2254995967300637</v>
      </c>
      <c r="AI523" s="119">
        <v>3</v>
      </c>
      <c r="AJ523" s="119">
        <v>4</v>
      </c>
      <c r="AK523" s="82">
        <v>6.45</v>
      </c>
      <c r="AL523" s="82">
        <v>23</v>
      </c>
      <c r="AM523" s="125">
        <v>6.6</v>
      </c>
      <c r="AN523" s="125">
        <v>4.5999999999999996</v>
      </c>
      <c r="AO523" s="82">
        <v>0.16</v>
      </c>
      <c r="AP523" s="130">
        <v>0.36</v>
      </c>
      <c r="AQ523" s="132">
        <f t="shared" si="74"/>
        <v>2003</v>
      </c>
      <c r="AR523" s="134">
        <f t="shared" si="75"/>
        <v>0.7064403394907639</v>
      </c>
      <c r="AS523" s="134">
        <f t="shared" si="76"/>
        <v>4.393409885172242E-2</v>
      </c>
      <c r="AT523" s="134">
        <f t="shared" si="77"/>
        <v>0.24962556165751373</v>
      </c>
      <c r="AU523" s="43">
        <f>IF(AND(F523&lt;&gt;"",Y523&lt;&gt;""),AA523/(F523/2/Y523),"")</f>
        <v>7.2628234226055383E-2</v>
      </c>
      <c r="AV523" s="43">
        <f>IF(AND(F523&lt;&gt;"",AJ523&lt;&gt;""),AL523/(F523/2/AJ523),"")</f>
        <v>8.3522469359963686E-2</v>
      </c>
      <c r="AW523" s="43">
        <f>IF(AND(AP523&lt;&gt;"",1-(AP523/N523)&gt;0),1-(AP523/N523),"")</f>
        <v>0.88039867109634551</v>
      </c>
      <c r="AX523" s="41">
        <f>IF(AND(AE523&lt;&gt;"",1-(AE523/N523)&gt;0),1-(AE523/N523),"")</f>
        <v>0.79734219269102991</v>
      </c>
      <c r="AY523" s="136" t="str">
        <f>IF(P523="","",IF(P523&lt;2.5,"Alc. Bruta &lt; 2,5 mg/L",IF(P523&lt;5,"2,5 ≤ Alc. Bruta &lt; 5,0 mg/L",IF(P523&lt;7.5,"5,0 ≤ Alc. Bruta &lt; 7,5 mg/L",IF(P523&lt;10,"7,5 ≤ Alc. Bruta &lt; 10,0 mg/L",IF(P523&lt;15,"10,0 ≤ Alca. Bruta &lt; 15,0 mg/L","Alc. Bruta &gt; 15 mg/L"))))))</f>
        <v>5,0 ≤ Alc. Bruta &lt; 7,5 mg/L</v>
      </c>
      <c r="AZ523" s="136" t="str">
        <f>IF(O523="","",IF(O523&lt;5,"Cor &lt;5 uC",IF(O523&lt;10,"5 ≤ Cor &lt; 10 uC",IF(O523&lt;15,"10 ≤ Cor &lt;15 uC",IF(O523&lt;30,"15 ≤ Cor &lt; 30 uC",IF(O523&lt;50,"30 ≤ Cor &lt; 50 uC","Cor &gt; 50 uC"))))))</f>
        <v>15 ≤ Cor &lt; 30 uC</v>
      </c>
      <c r="BA523" s="137" t="str">
        <f>IF(N523="","",IF(N523&lt;2.5,"Turbidez &lt; 2,5 uT",IF(N523&lt;5,"2,5 ≤ Turb &lt; 5,0 uT",IF(N523&lt;7.5,"5,0 ≤ Turb &lt; 7,5 uT",IF(N523&lt;10,"7,5 ≤ Turb &lt; 10,0 uT",IF(N523&lt;15,"10,0 ≤ Turb &lt; 15,0 uT","Turb &gt; 15 uT"))))))</f>
        <v>2,5 ≤ Turb &lt; 5,0 uT</v>
      </c>
      <c r="BB523" s="138" t="str">
        <f>IF(AND(C523&gt;D523,D523&gt;E523),"TOR &gt; SM &gt; BNN",IF(AND(C523&gt;E523,E523&gt;D523),"TOR &gt; BNN &gt; SM",IF(AND(D523&gt;C523,C523&gt;E523),"SM &gt; TOR &gt; BNN",IF(AND(D523&gt;E523,E523&gt;C523),"SM &gt; BNN &gt; TOR",IF(AND(C523=D523,D523=E523),"TOR = SM = BNN","Comb. diferentes")))))</f>
        <v>TOR &gt; BNN &gt; SM</v>
      </c>
      <c r="BC523" s="137" t="str">
        <f>IF(OR(AD523="",AP523="-"),"",IF(AD523&lt;=0.25,"Tipo 1 (≤0,25) uT",IF(AD523&lt;=0.5,"Tipo 2 (0,25-0,50) uT",IF(AD523&lt;=0.75,"Tipo 3 (0,50-0,75) uT","Tipo 4 (&gt;0,75) uT"))))</f>
        <v>Tipo 1 (≤0,25) uT</v>
      </c>
      <c r="BD523" s="137" t="str">
        <f>IF(OR(AO523="",AY523="-"),"",IF(AO523&lt;=0.25,"Tipo 1 (≤0,25) uT",IF(AO523&lt;=0.5,"Tipo 2 (0,25-0,50) uT",IF(AO523&lt;=0.75,"Tipo 3 (0,50-0,75) uT","Tipo 4 (&gt;0,75) uT"))))</f>
        <v>Tipo 1 (≤0,25) uT</v>
      </c>
      <c r="BE523" s="137" t="str">
        <f t="shared" si="78"/>
        <v>Tipo 3 (0,50-0,75) uT</v>
      </c>
      <c r="BF523" s="137" t="str">
        <f t="shared" si="79"/>
        <v>Tipo 2 (0,25-0,50) uT</v>
      </c>
      <c r="BG523" s="137" t="str">
        <f>IF(OR(Q523="",Q523="-"),"",IF(Q523&lt;=0.25,"Tipo 1 (≤0,25) uT",IF(Q523&lt;=0.5,"Tipo 2 (0,25-0,50) uT",IF(Q523&lt;=0.75,"Tipo 3 (0,50-0,75) uT","Tipo 4 (&gt;0,75) uT"))))</f>
        <v>Tipo 1 (≤0,25) uT</v>
      </c>
    </row>
    <row r="524" spans="1:59" x14ac:dyDescent="0.3">
      <c r="A524" s="26">
        <v>46181</v>
      </c>
      <c r="B524" s="107">
        <v>0.64583333333333337</v>
      </c>
      <c r="C524" s="116">
        <v>1420</v>
      </c>
      <c r="D524" s="116">
        <v>87</v>
      </c>
      <c r="E524" s="116">
        <v>500</v>
      </c>
      <c r="F524" s="116">
        <v>2090</v>
      </c>
      <c r="G524" s="10" t="s">
        <v>100</v>
      </c>
      <c r="H524" s="122">
        <v>7.3</v>
      </c>
      <c r="I524" s="116">
        <v>90</v>
      </c>
      <c r="J524" s="116">
        <v>90</v>
      </c>
      <c r="K524" s="116">
        <v>90</v>
      </c>
      <c r="L524" s="122">
        <v>23.9</v>
      </c>
      <c r="M524" s="122">
        <v>6.8</v>
      </c>
      <c r="N524" s="79">
        <v>2.78</v>
      </c>
      <c r="O524" s="116">
        <v>13</v>
      </c>
      <c r="P524" s="122">
        <v>7.8</v>
      </c>
      <c r="Q524" s="79">
        <v>0.12</v>
      </c>
      <c r="R524" s="79">
        <v>22.36</v>
      </c>
      <c r="S524" s="79">
        <v>0.88</v>
      </c>
      <c r="T524" s="79">
        <v>0.7</v>
      </c>
      <c r="U524" s="85">
        <f t="shared" si="68"/>
        <v>1363.7249999999999</v>
      </c>
      <c r="V524" s="79">
        <f t="shared" si="69"/>
        <v>1534.0335140000002</v>
      </c>
      <c r="W524" s="79">
        <f t="shared" si="70"/>
        <v>1.1248847927551378</v>
      </c>
      <c r="X524" s="116">
        <v>4</v>
      </c>
      <c r="Y524" s="116">
        <v>4</v>
      </c>
      <c r="Z524" s="122">
        <v>6.5</v>
      </c>
      <c r="AA524" s="116">
        <v>19</v>
      </c>
      <c r="AB524" s="122">
        <v>6.7</v>
      </c>
      <c r="AC524" s="122">
        <v>5.6</v>
      </c>
      <c r="AD524" s="10">
        <v>0.6</v>
      </c>
      <c r="AE524" s="79">
        <v>0.46</v>
      </c>
      <c r="AF524" s="85">
        <f t="shared" si="71"/>
        <v>1363.7249999999999</v>
      </c>
      <c r="AG524" s="85">
        <f t="shared" si="72"/>
        <v>1839.2221353999998</v>
      </c>
      <c r="AH524" s="85">
        <f t="shared" si="73"/>
        <v>1.348675235403032</v>
      </c>
      <c r="AI524" s="116">
        <v>3</v>
      </c>
      <c r="AJ524" s="116">
        <v>4</v>
      </c>
      <c r="AK524" s="79">
        <v>6.45</v>
      </c>
      <c r="AL524" s="79">
        <v>23</v>
      </c>
      <c r="AM524" s="122">
        <v>6.7</v>
      </c>
      <c r="AN524" s="122">
        <v>6.1</v>
      </c>
      <c r="AO524" s="79">
        <v>0.23</v>
      </c>
      <c r="AP524" s="127">
        <v>0.37</v>
      </c>
      <c r="AQ524" s="132">
        <f t="shared" si="74"/>
        <v>2007</v>
      </c>
      <c r="AR524" s="134">
        <f t="shared" si="75"/>
        <v>0.70752366716492276</v>
      </c>
      <c r="AS524" s="134">
        <f t="shared" si="76"/>
        <v>4.3348281016442454E-2</v>
      </c>
      <c r="AT524" s="134">
        <f t="shared" si="77"/>
        <v>0.24912805181863479</v>
      </c>
      <c r="AU524" s="43">
        <f>IF(AND(F524&lt;&gt;"",Y524&lt;&gt;""),AA524/(F524/2/Y524),"")</f>
        <v>7.2727272727272724E-2</v>
      </c>
      <c r="AV524" s="43">
        <f>IF(AND(F524&lt;&gt;"",AJ524&lt;&gt;""),AL524/(F524/2/AJ524),"")</f>
        <v>8.8038277511961721E-2</v>
      </c>
      <c r="AW524" s="43">
        <f>IF(AND(AP524&lt;&gt;"",1-(AP524/N524)&gt;0),1-(AP524/N524),"")</f>
        <v>0.86690647482014382</v>
      </c>
      <c r="AX524" s="41">
        <f>IF(AND(AE524&lt;&gt;"",1-(AE524/N524)&gt;0),1-(AE524/N524),"")</f>
        <v>0.83453237410071934</v>
      </c>
      <c r="AY524" s="136" t="str">
        <f>IF(P524="","",IF(P524&lt;2.5,"Alc. Bruta &lt; 2,5 mg/L",IF(P524&lt;5,"2,5 ≤ Alc. Bruta &lt; 5,0 mg/L",IF(P524&lt;7.5,"5,0 ≤ Alc. Bruta &lt; 7,5 mg/L",IF(P524&lt;10,"7,5 ≤ Alc. Bruta &lt; 10,0 mg/L",IF(P524&lt;15,"10,0 ≤ Alca. Bruta &lt; 15,0 mg/L","Alc. Bruta &gt; 15 mg/L"))))))</f>
        <v>7,5 ≤ Alc. Bruta &lt; 10,0 mg/L</v>
      </c>
      <c r="AZ524" s="136" t="str">
        <f>IF(O524="","",IF(O524&lt;5,"Cor &lt;5 uC",IF(O524&lt;10,"5 ≤ Cor &lt; 10 uC",IF(O524&lt;15,"10 ≤ Cor &lt;15 uC",IF(O524&lt;30,"15 ≤ Cor &lt; 30 uC",IF(O524&lt;50,"30 ≤ Cor &lt; 50 uC","Cor &gt; 50 uC"))))))</f>
        <v>10 ≤ Cor &lt;15 uC</v>
      </c>
      <c r="BA524" s="137" t="str">
        <f>IF(N524="","",IF(N524&lt;2.5,"Turbidez &lt; 2,5 uT",IF(N524&lt;5,"2,5 ≤ Turb &lt; 5,0 uT",IF(N524&lt;7.5,"5,0 ≤ Turb &lt; 7,5 uT",IF(N524&lt;10,"7,5 ≤ Turb &lt; 10,0 uT",IF(N524&lt;15,"10,0 ≤ Turb &lt; 15,0 uT","Turb &gt; 15 uT"))))))</f>
        <v>2,5 ≤ Turb &lt; 5,0 uT</v>
      </c>
      <c r="BB524" s="138" t="str">
        <f>IF(AND(C524&gt;D524,D524&gt;E524),"TOR &gt; SM &gt; BNN",IF(AND(C524&gt;E524,E524&gt;D524),"TOR &gt; BNN &gt; SM",IF(AND(D524&gt;C524,C524&gt;E524),"SM &gt; TOR &gt; BNN",IF(AND(D524&gt;E524,E524&gt;C524),"SM &gt; BNN &gt; TOR",IF(AND(C524=D524,D524=E524),"TOR = SM = BNN","Comb. diferentes")))))</f>
        <v>TOR &gt; BNN &gt; SM</v>
      </c>
      <c r="BC524" s="137" t="str">
        <f>IF(OR(AD524="",AP524="-"),"",IF(AD524&lt;=0.25,"Tipo 1 (≤0,25) uT",IF(AD524&lt;=0.5,"Tipo 2 (0,25-0,50) uT",IF(AD524&lt;=0.75,"Tipo 3 (0,50-0,75) uT","Tipo 4 (&gt;0,75) uT"))))</f>
        <v>Tipo 3 (0,50-0,75) uT</v>
      </c>
      <c r="BD524" s="137" t="str">
        <f>IF(OR(AO524="",AY524="-"),"",IF(AO524&lt;=0.25,"Tipo 1 (≤0,25) uT",IF(AO524&lt;=0.5,"Tipo 2 (0,25-0,50) uT",IF(AO524&lt;=0.75,"Tipo 3 (0,50-0,75) uT","Tipo 4 (&gt;0,75) uT"))))</f>
        <v>Tipo 1 (≤0,25) uT</v>
      </c>
      <c r="BE524" s="137" t="str">
        <f t="shared" si="78"/>
        <v>Tipo 2 (0,25-0,50) uT</v>
      </c>
      <c r="BF524" s="137" t="str">
        <f t="shared" si="79"/>
        <v>Tipo 2 (0,25-0,50) uT</v>
      </c>
      <c r="BG524" s="137" t="str">
        <f>IF(OR(Q524="",Q524="-"),"",IF(Q524&lt;=0.25,"Tipo 1 (≤0,25) uT",IF(Q524&lt;=0.5,"Tipo 2 (0,25-0,50) uT",IF(Q524&lt;=0.75,"Tipo 3 (0,50-0,75) uT","Tipo 4 (&gt;0,75) uT"))))</f>
        <v>Tipo 1 (≤0,25) uT</v>
      </c>
    </row>
    <row r="525" spans="1:59" x14ac:dyDescent="0.3">
      <c r="A525" s="26">
        <v>46181</v>
      </c>
      <c r="B525" s="107">
        <v>0.72916666666666663</v>
      </c>
      <c r="C525" s="116">
        <v>1493</v>
      </c>
      <c r="D525" s="116">
        <v>95</v>
      </c>
      <c r="E525" s="116">
        <v>499</v>
      </c>
      <c r="F525" s="116">
        <v>2135</v>
      </c>
      <c r="G525" s="10" t="s">
        <v>100</v>
      </c>
      <c r="H525" s="122">
        <v>7.3</v>
      </c>
      <c r="I525" s="116">
        <v>90</v>
      </c>
      <c r="J525" s="116">
        <v>90</v>
      </c>
      <c r="K525" s="116">
        <v>90</v>
      </c>
      <c r="L525" s="122">
        <v>23.6</v>
      </c>
      <c r="M525" s="122">
        <v>6.7</v>
      </c>
      <c r="N525" s="79">
        <v>2.8559999999999999</v>
      </c>
      <c r="O525" s="116">
        <v>14</v>
      </c>
      <c r="P525" s="122">
        <v>7.9</v>
      </c>
      <c r="Q525" s="79">
        <v>0.13</v>
      </c>
      <c r="R525" s="79">
        <v>22.36</v>
      </c>
      <c r="S525" s="79">
        <v>0.88</v>
      </c>
      <c r="T525" s="79">
        <v>0.7</v>
      </c>
      <c r="U525" s="85">
        <f t="shared" si="68"/>
        <v>1413.37</v>
      </c>
      <c r="V525" s="79">
        <f t="shared" si="69"/>
        <v>1525.2278553200001</v>
      </c>
      <c r="W525" s="79">
        <f t="shared" si="70"/>
        <v>1.0791426557235546</v>
      </c>
      <c r="X525" s="116">
        <v>4</v>
      </c>
      <c r="Y525" s="116">
        <v>4</v>
      </c>
      <c r="Z525" s="122">
        <v>6.47</v>
      </c>
      <c r="AA525" s="116">
        <v>19</v>
      </c>
      <c r="AB525" s="122">
        <v>6.7</v>
      </c>
      <c r="AC525" s="122">
        <v>7.1</v>
      </c>
      <c r="AD525" s="10">
        <v>0.17</v>
      </c>
      <c r="AE525" s="79">
        <v>0.31</v>
      </c>
      <c r="AF525" s="85">
        <f t="shared" si="71"/>
        <v>1413.37</v>
      </c>
      <c r="AG525" s="85">
        <f t="shared" si="72"/>
        <v>1860.5410985199997</v>
      </c>
      <c r="AH525" s="85">
        <f t="shared" si="73"/>
        <v>1.3163864370405483</v>
      </c>
      <c r="AI525" s="116">
        <v>3</v>
      </c>
      <c r="AJ525" s="116">
        <v>4</v>
      </c>
      <c r="AK525" s="79">
        <v>6.51</v>
      </c>
      <c r="AL525" s="79">
        <v>23</v>
      </c>
      <c r="AM525" s="122">
        <v>6.5</v>
      </c>
      <c r="AN525" s="122">
        <v>6.1</v>
      </c>
      <c r="AO525" s="79">
        <v>0.2</v>
      </c>
      <c r="AP525" s="127">
        <v>0.28000000000000003</v>
      </c>
      <c r="AQ525" s="132">
        <f t="shared" si="74"/>
        <v>2087</v>
      </c>
      <c r="AR525" s="134">
        <f t="shared" si="75"/>
        <v>0.71538092956396737</v>
      </c>
      <c r="AS525" s="134">
        <f t="shared" si="76"/>
        <v>4.5519885002395781E-2</v>
      </c>
      <c r="AT525" s="134">
        <f t="shared" si="77"/>
        <v>0.23909918543363681</v>
      </c>
      <c r="AU525" s="43">
        <f>IF(AND(F525&lt;&gt;"",Y525&lt;&gt;""),AA525/(F525/2/Y525),"")</f>
        <v>7.1194379391100709E-2</v>
      </c>
      <c r="AV525" s="43">
        <f>IF(AND(F525&lt;&gt;"",AJ525&lt;&gt;""),AL525/(F525/2/AJ525),"")</f>
        <v>8.6182669789227173E-2</v>
      </c>
      <c r="AW525" s="43">
        <f>IF(AND(AP525&lt;&gt;"",1-(AP525/N525)&gt;0),1-(AP525/N525),"")</f>
        <v>0.90196078431372551</v>
      </c>
      <c r="AX525" s="41">
        <f>IF(AND(AE525&lt;&gt;"",1-(AE525/N525)&gt;0),1-(AE525/N525),"")</f>
        <v>0.89145658263305316</v>
      </c>
      <c r="AY525" s="136" t="str">
        <f>IF(P525="","",IF(P525&lt;2.5,"Alc. Bruta &lt; 2,5 mg/L",IF(P525&lt;5,"2,5 ≤ Alc. Bruta &lt; 5,0 mg/L",IF(P525&lt;7.5,"5,0 ≤ Alc. Bruta &lt; 7,5 mg/L",IF(P525&lt;10,"7,5 ≤ Alc. Bruta &lt; 10,0 mg/L",IF(P525&lt;15,"10,0 ≤ Alca. Bruta &lt; 15,0 mg/L","Alc. Bruta &gt; 15 mg/L"))))))</f>
        <v>7,5 ≤ Alc. Bruta &lt; 10,0 mg/L</v>
      </c>
      <c r="AZ525" s="136" t="str">
        <f>IF(O525="","",IF(O525&lt;5,"Cor &lt;5 uC",IF(O525&lt;10,"5 ≤ Cor &lt; 10 uC",IF(O525&lt;15,"10 ≤ Cor &lt;15 uC",IF(O525&lt;30,"15 ≤ Cor &lt; 30 uC",IF(O525&lt;50,"30 ≤ Cor &lt; 50 uC","Cor &gt; 50 uC"))))))</f>
        <v>10 ≤ Cor &lt;15 uC</v>
      </c>
      <c r="BA525" s="137" t="str">
        <f>IF(N525="","",IF(N525&lt;2.5,"Turbidez &lt; 2,5 uT",IF(N525&lt;5,"2,5 ≤ Turb &lt; 5,0 uT",IF(N525&lt;7.5,"5,0 ≤ Turb &lt; 7,5 uT",IF(N525&lt;10,"7,5 ≤ Turb &lt; 10,0 uT",IF(N525&lt;15,"10,0 ≤ Turb &lt; 15,0 uT","Turb &gt; 15 uT"))))))</f>
        <v>2,5 ≤ Turb &lt; 5,0 uT</v>
      </c>
      <c r="BB525" s="138" t="str">
        <f>IF(AND(C525&gt;D525,D525&gt;E525),"TOR &gt; SM &gt; BNN",IF(AND(C525&gt;E525,E525&gt;D525),"TOR &gt; BNN &gt; SM",IF(AND(D525&gt;C525,C525&gt;E525),"SM &gt; TOR &gt; BNN",IF(AND(D525&gt;E525,E525&gt;C525),"SM &gt; BNN &gt; TOR",IF(AND(C525=D525,D525=E525),"TOR = SM = BNN","Comb. diferentes")))))</f>
        <v>TOR &gt; BNN &gt; SM</v>
      </c>
      <c r="BC525" s="137" t="str">
        <f>IF(OR(AD525="",AP525="-"),"",IF(AD525&lt;=0.25,"Tipo 1 (≤0,25) uT",IF(AD525&lt;=0.5,"Tipo 2 (0,25-0,50) uT",IF(AD525&lt;=0.75,"Tipo 3 (0,50-0,75) uT","Tipo 4 (&gt;0,75) uT"))))</f>
        <v>Tipo 1 (≤0,25) uT</v>
      </c>
      <c r="BD525" s="137" t="str">
        <f>IF(OR(AO525="",AY525="-"),"",IF(AO525&lt;=0.25,"Tipo 1 (≤0,25) uT",IF(AO525&lt;=0.5,"Tipo 2 (0,25-0,50) uT",IF(AO525&lt;=0.75,"Tipo 3 (0,50-0,75) uT","Tipo 4 (&gt;0,75) uT"))))</f>
        <v>Tipo 1 (≤0,25) uT</v>
      </c>
      <c r="BE525" s="137" t="str">
        <f t="shared" si="78"/>
        <v>Tipo 2 (0,25-0,50) uT</v>
      </c>
      <c r="BF525" s="137" t="str">
        <f t="shared" si="79"/>
        <v>Tipo 2 (0,25-0,50) uT</v>
      </c>
      <c r="BG525" s="137" t="str">
        <f>IF(OR(Q525="",Q525="-"),"",IF(Q525&lt;=0.25,"Tipo 1 (≤0,25) uT",IF(Q525&lt;=0.5,"Tipo 2 (0,25-0,50) uT",IF(Q525&lt;=0.75,"Tipo 3 (0,50-0,75) uT","Tipo 4 (&gt;0,75) uT"))))</f>
        <v>Tipo 1 (≤0,25) uT</v>
      </c>
    </row>
    <row r="526" spans="1:59" x14ac:dyDescent="0.3">
      <c r="A526" s="26">
        <v>46181</v>
      </c>
      <c r="B526" s="107">
        <v>0.8125</v>
      </c>
      <c r="C526" s="116">
        <v>1412</v>
      </c>
      <c r="D526" s="116">
        <v>85</v>
      </c>
      <c r="E526" s="116">
        <v>500</v>
      </c>
      <c r="F526" s="116">
        <v>2038</v>
      </c>
      <c r="G526" s="10" t="s">
        <v>100</v>
      </c>
      <c r="H526" s="122">
        <v>7.3</v>
      </c>
      <c r="I526" s="116">
        <v>90</v>
      </c>
      <c r="J526" s="116">
        <v>90</v>
      </c>
      <c r="K526" s="116">
        <v>90</v>
      </c>
      <c r="L526" s="122">
        <v>22.9</v>
      </c>
      <c r="M526" s="122">
        <v>6.7</v>
      </c>
      <c r="N526" s="79">
        <v>2.96</v>
      </c>
      <c r="O526" s="116">
        <v>14</v>
      </c>
      <c r="P526" s="122">
        <v>9.3000000000000007</v>
      </c>
      <c r="Q526" s="79">
        <v>0.11</v>
      </c>
      <c r="R526" s="79">
        <v>22.36</v>
      </c>
      <c r="S526" s="79">
        <v>0.88</v>
      </c>
      <c r="T526" s="79">
        <v>0.7</v>
      </c>
      <c r="U526" s="85">
        <f t="shared" si="68"/>
        <v>1375.65</v>
      </c>
      <c r="V526" s="79">
        <f t="shared" si="69"/>
        <v>1513.4869770799996</v>
      </c>
      <c r="W526" s="79">
        <f t="shared" si="70"/>
        <v>1.1001977080507392</v>
      </c>
      <c r="X526" s="116">
        <v>4</v>
      </c>
      <c r="Y526" s="116">
        <v>4</v>
      </c>
      <c r="Z526" s="122">
        <v>6.43</v>
      </c>
      <c r="AA526" s="116">
        <v>19</v>
      </c>
      <c r="AB526" s="122">
        <v>6.5</v>
      </c>
      <c r="AC526" s="122">
        <v>8.8000000000000007</v>
      </c>
      <c r="AD526" s="10">
        <v>0.22</v>
      </c>
      <c r="AE526" s="79">
        <v>0.28000000000000003</v>
      </c>
      <c r="AF526" s="85">
        <f t="shared" si="71"/>
        <v>1375.65</v>
      </c>
      <c r="AG526" s="85">
        <f t="shared" si="72"/>
        <v>1841.8386534079996</v>
      </c>
      <c r="AH526" s="85">
        <f t="shared" si="73"/>
        <v>1.3388860926892738</v>
      </c>
      <c r="AI526" s="116">
        <v>3</v>
      </c>
      <c r="AJ526" s="116">
        <v>4</v>
      </c>
      <c r="AK526" s="79">
        <v>6.48</v>
      </c>
      <c r="AL526" s="79">
        <v>22.9</v>
      </c>
      <c r="AM526" s="122">
        <v>6.6</v>
      </c>
      <c r="AN526" s="122">
        <v>6.3</v>
      </c>
      <c r="AO526" s="79">
        <v>0.17</v>
      </c>
      <c r="AP526" s="127">
        <v>0.28000000000000003</v>
      </c>
      <c r="AQ526" s="132">
        <f t="shared" si="74"/>
        <v>1997</v>
      </c>
      <c r="AR526" s="134">
        <f t="shared" si="75"/>
        <v>0.70706059088632944</v>
      </c>
      <c r="AS526" s="134">
        <f t="shared" si="76"/>
        <v>4.2563845768652978E-2</v>
      </c>
      <c r="AT526" s="134">
        <f t="shared" si="77"/>
        <v>0.25037556334501754</v>
      </c>
      <c r="AU526" s="43">
        <f>IF(AND(F526&lt;&gt;"",Y526&lt;&gt;""),AA526/(F526/2/Y526),"")</f>
        <v>7.4582924435721301E-2</v>
      </c>
      <c r="AV526" s="43">
        <f>IF(AND(F526&lt;&gt;"",AJ526&lt;&gt;""),AL526/(F526/2/AJ526),"")</f>
        <v>8.9892051030421971E-2</v>
      </c>
      <c r="AW526" s="43">
        <f>IF(AND(AP526&lt;&gt;"",1-(AP526/N526)&gt;0),1-(AP526/N526),"")</f>
        <v>0.90540540540540537</v>
      </c>
      <c r="AX526" s="41">
        <f>IF(AND(AE526&lt;&gt;"",1-(AE526/N526)&gt;0),1-(AE526/N526),"")</f>
        <v>0.90540540540540537</v>
      </c>
      <c r="AY526" s="136" t="str">
        <f>IF(P526="","",IF(P526&lt;2.5,"Alc. Bruta &lt; 2,5 mg/L",IF(P526&lt;5,"2,5 ≤ Alc. Bruta &lt; 5,0 mg/L",IF(P526&lt;7.5,"5,0 ≤ Alc. Bruta &lt; 7,5 mg/L",IF(P526&lt;10,"7,5 ≤ Alc. Bruta &lt; 10,0 mg/L",IF(P526&lt;15,"10,0 ≤ Alca. Bruta &lt; 15,0 mg/L","Alc. Bruta &gt; 15 mg/L"))))))</f>
        <v>7,5 ≤ Alc. Bruta &lt; 10,0 mg/L</v>
      </c>
      <c r="AZ526" s="136" t="str">
        <f>IF(O526="","",IF(O526&lt;5,"Cor &lt;5 uC",IF(O526&lt;10,"5 ≤ Cor &lt; 10 uC",IF(O526&lt;15,"10 ≤ Cor &lt;15 uC",IF(O526&lt;30,"15 ≤ Cor &lt; 30 uC",IF(O526&lt;50,"30 ≤ Cor &lt; 50 uC","Cor &gt; 50 uC"))))))</f>
        <v>10 ≤ Cor &lt;15 uC</v>
      </c>
      <c r="BA526" s="137" t="str">
        <f>IF(N526="","",IF(N526&lt;2.5,"Turbidez &lt; 2,5 uT",IF(N526&lt;5,"2,5 ≤ Turb &lt; 5,0 uT",IF(N526&lt;7.5,"5,0 ≤ Turb &lt; 7,5 uT",IF(N526&lt;10,"7,5 ≤ Turb &lt; 10,0 uT",IF(N526&lt;15,"10,0 ≤ Turb &lt; 15,0 uT","Turb &gt; 15 uT"))))))</f>
        <v>2,5 ≤ Turb &lt; 5,0 uT</v>
      </c>
      <c r="BB526" s="138" t="str">
        <f>IF(AND(C526&gt;D526,D526&gt;E526),"TOR &gt; SM &gt; BNN",IF(AND(C526&gt;E526,E526&gt;D526),"TOR &gt; BNN &gt; SM",IF(AND(D526&gt;C526,C526&gt;E526),"SM &gt; TOR &gt; BNN",IF(AND(D526&gt;E526,E526&gt;C526),"SM &gt; BNN &gt; TOR",IF(AND(C526=D526,D526=E526),"TOR = SM = BNN","Comb. diferentes")))))</f>
        <v>TOR &gt; BNN &gt; SM</v>
      </c>
      <c r="BC526" s="137" t="str">
        <f>IF(OR(AD526="",AP526="-"),"",IF(AD526&lt;=0.25,"Tipo 1 (≤0,25) uT",IF(AD526&lt;=0.5,"Tipo 2 (0,25-0,50) uT",IF(AD526&lt;=0.75,"Tipo 3 (0,50-0,75) uT","Tipo 4 (&gt;0,75) uT"))))</f>
        <v>Tipo 1 (≤0,25) uT</v>
      </c>
      <c r="BD526" s="137" t="str">
        <f>IF(OR(AO526="",AY526="-"),"",IF(AO526&lt;=0.25,"Tipo 1 (≤0,25) uT",IF(AO526&lt;=0.5,"Tipo 2 (0,25-0,50) uT",IF(AO526&lt;=0.75,"Tipo 3 (0,50-0,75) uT","Tipo 4 (&gt;0,75) uT"))))</f>
        <v>Tipo 1 (≤0,25) uT</v>
      </c>
      <c r="BE526" s="137" t="str">
        <f t="shared" si="78"/>
        <v>Tipo 2 (0,25-0,50) uT</v>
      </c>
      <c r="BF526" s="137" t="str">
        <f t="shared" si="79"/>
        <v>Tipo 2 (0,25-0,50) uT</v>
      </c>
      <c r="BG526" s="137" t="str">
        <f>IF(OR(Q526="",Q526="-"),"",IF(Q526&lt;=0.25,"Tipo 1 (≤0,25) uT",IF(Q526&lt;=0.5,"Tipo 2 (0,25-0,50) uT",IF(Q526&lt;=0.75,"Tipo 3 (0,50-0,75) uT","Tipo 4 (&gt;0,75) uT"))))</f>
        <v>Tipo 1 (≤0,25) uT</v>
      </c>
    </row>
    <row r="527" spans="1:59" x14ac:dyDescent="0.3">
      <c r="A527" s="26">
        <v>46181</v>
      </c>
      <c r="B527" s="107">
        <v>0.89583333333333337</v>
      </c>
      <c r="C527" s="116">
        <v>1502</v>
      </c>
      <c r="D527" s="116">
        <v>85</v>
      </c>
      <c r="E527" s="116">
        <v>500</v>
      </c>
      <c r="F527" s="116">
        <v>2027</v>
      </c>
      <c r="G527" s="10" t="s">
        <v>100</v>
      </c>
      <c r="H527" s="122">
        <v>7.3</v>
      </c>
      <c r="I527" s="116">
        <v>90</v>
      </c>
      <c r="J527" s="116">
        <v>90</v>
      </c>
      <c r="K527" s="116">
        <v>90</v>
      </c>
      <c r="L527" s="122">
        <v>22.8</v>
      </c>
      <c r="M527" s="122">
        <v>6.7</v>
      </c>
      <c r="N527" s="79">
        <v>2.83</v>
      </c>
      <c r="O527" s="116">
        <v>16</v>
      </c>
      <c r="P527" s="122">
        <v>8.5</v>
      </c>
      <c r="Q527" s="79">
        <v>0.09</v>
      </c>
      <c r="R527" s="79">
        <v>22.36</v>
      </c>
      <c r="S527" s="79">
        <v>0.88</v>
      </c>
      <c r="T527" s="79">
        <v>0.7</v>
      </c>
      <c r="U527" s="85">
        <f t="shared" si="68"/>
        <v>1335.2862499999999</v>
      </c>
      <c r="V527" s="79">
        <f t="shared" si="69"/>
        <v>1492.2661309815999</v>
      </c>
      <c r="W527" s="79">
        <f t="shared" si="70"/>
        <v>1.1175627180925438</v>
      </c>
      <c r="X527" s="116">
        <v>2</v>
      </c>
      <c r="Y527" s="116">
        <v>4</v>
      </c>
      <c r="Z527" s="122">
        <v>6.42</v>
      </c>
      <c r="AA527" s="116">
        <v>18.77</v>
      </c>
      <c r="AB527" s="122">
        <v>6.5</v>
      </c>
      <c r="AC527" s="122">
        <v>7.5</v>
      </c>
      <c r="AD527" s="10">
        <v>0.2</v>
      </c>
      <c r="AE527" s="79">
        <v>0.16</v>
      </c>
      <c r="AF527" s="85">
        <f t="shared" si="71"/>
        <v>1335.2862499999999</v>
      </c>
      <c r="AG527" s="85">
        <f t="shared" si="72"/>
        <v>1857.3053748703999</v>
      </c>
      <c r="AH527" s="85">
        <f t="shared" si="73"/>
        <v>1.390941736178591</v>
      </c>
      <c r="AI527" s="116">
        <v>3</v>
      </c>
      <c r="AJ527" s="116">
        <v>4</v>
      </c>
      <c r="AK527" s="79">
        <v>6.51</v>
      </c>
      <c r="AL527" s="79">
        <v>22.96</v>
      </c>
      <c r="AM527" s="122">
        <v>6.6</v>
      </c>
      <c r="AN527" s="122">
        <v>7.2</v>
      </c>
      <c r="AO527" s="79">
        <v>0.25</v>
      </c>
      <c r="AP527" s="127">
        <v>0.28000000000000003</v>
      </c>
      <c r="AQ527" s="132">
        <f t="shared" si="74"/>
        <v>2087</v>
      </c>
      <c r="AR527" s="134">
        <f t="shared" si="75"/>
        <v>0.71969333972208915</v>
      </c>
      <c r="AS527" s="134">
        <f t="shared" si="76"/>
        <v>4.0728318160038329E-2</v>
      </c>
      <c r="AT527" s="134">
        <f t="shared" si="77"/>
        <v>0.23957834211787254</v>
      </c>
      <c r="AU527" s="43">
        <f>IF(AND(F527&lt;&gt;"",Y527&lt;&gt;""),AA527/(F527/2/Y527),"")</f>
        <v>7.4079921065614202E-2</v>
      </c>
      <c r="AV527" s="43">
        <f>IF(AND(F527&lt;&gt;"",AJ527&lt;&gt;""),AL527/(F527/2/AJ527),"")</f>
        <v>9.0616674888998522E-2</v>
      </c>
      <c r="AW527" s="43">
        <f>IF(AND(AP527&lt;&gt;"",1-(AP527/N527)&gt;0),1-(AP527/N527),"")</f>
        <v>0.90106007067137805</v>
      </c>
      <c r="AX527" s="41">
        <f>IF(AND(AE527&lt;&gt;"",1-(AE527/N527)&gt;0),1-(AE527/N527),"")</f>
        <v>0.94346289752650181</v>
      </c>
      <c r="AY527" s="136" t="str">
        <f>IF(P527="","",IF(P527&lt;2.5,"Alc. Bruta &lt; 2,5 mg/L",IF(P527&lt;5,"2,5 ≤ Alc. Bruta &lt; 5,0 mg/L",IF(P527&lt;7.5,"5,0 ≤ Alc. Bruta &lt; 7,5 mg/L",IF(P527&lt;10,"7,5 ≤ Alc. Bruta &lt; 10,0 mg/L",IF(P527&lt;15,"10,0 ≤ Alca. Bruta &lt; 15,0 mg/L","Alc. Bruta &gt; 15 mg/L"))))))</f>
        <v>7,5 ≤ Alc. Bruta &lt; 10,0 mg/L</v>
      </c>
      <c r="AZ527" s="136" t="str">
        <f>IF(O527="","",IF(O527&lt;5,"Cor &lt;5 uC",IF(O527&lt;10,"5 ≤ Cor &lt; 10 uC",IF(O527&lt;15,"10 ≤ Cor &lt;15 uC",IF(O527&lt;30,"15 ≤ Cor &lt; 30 uC",IF(O527&lt;50,"30 ≤ Cor &lt; 50 uC","Cor &gt; 50 uC"))))))</f>
        <v>15 ≤ Cor &lt; 30 uC</v>
      </c>
      <c r="BA527" s="137" t="str">
        <f>IF(N527="","",IF(N527&lt;2.5,"Turbidez &lt; 2,5 uT",IF(N527&lt;5,"2,5 ≤ Turb &lt; 5,0 uT",IF(N527&lt;7.5,"5,0 ≤ Turb &lt; 7,5 uT",IF(N527&lt;10,"7,5 ≤ Turb &lt; 10,0 uT",IF(N527&lt;15,"10,0 ≤ Turb &lt; 15,0 uT","Turb &gt; 15 uT"))))))</f>
        <v>2,5 ≤ Turb &lt; 5,0 uT</v>
      </c>
      <c r="BB527" s="138" t="str">
        <f>IF(AND(C527&gt;D527,D527&gt;E527),"TOR &gt; SM &gt; BNN",IF(AND(C527&gt;E527,E527&gt;D527),"TOR &gt; BNN &gt; SM",IF(AND(D527&gt;C527,C527&gt;E527),"SM &gt; TOR &gt; BNN",IF(AND(D527&gt;E527,E527&gt;C527),"SM &gt; BNN &gt; TOR",IF(AND(C527=D527,D527=E527),"TOR = SM = BNN","Comb. diferentes")))))</f>
        <v>TOR &gt; BNN &gt; SM</v>
      </c>
      <c r="BC527" s="137" t="str">
        <f>IF(OR(AD527="",AP527="-"),"",IF(AD527&lt;=0.25,"Tipo 1 (≤0,25) uT",IF(AD527&lt;=0.5,"Tipo 2 (0,25-0,50) uT",IF(AD527&lt;=0.75,"Tipo 3 (0,50-0,75) uT","Tipo 4 (&gt;0,75) uT"))))</f>
        <v>Tipo 1 (≤0,25) uT</v>
      </c>
      <c r="BD527" s="137" t="str">
        <f>IF(OR(AO527="",AY527="-"),"",IF(AO527&lt;=0.25,"Tipo 1 (≤0,25) uT",IF(AO527&lt;=0.5,"Tipo 2 (0,25-0,50) uT",IF(AO527&lt;=0.75,"Tipo 3 (0,50-0,75) uT","Tipo 4 (&gt;0,75) uT"))))</f>
        <v>Tipo 1 (≤0,25) uT</v>
      </c>
      <c r="BE527" s="137" t="str">
        <f t="shared" si="78"/>
        <v>Tipo 1 (≤0,25) uT</v>
      </c>
      <c r="BF527" s="137" t="str">
        <f t="shared" si="79"/>
        <v>Tipo 2 (0,25-0,50) uT</v>
      </c>
      <c r="BG527" s="137" t="str">
        <f>IF(OR(Q527="",Q527="-"),"",IF(Q527&lt;=0.25,"Tipo 1 (≤0,25) uT",IF(Q527&lt;=0.5,"Tipo 2 (0,25-0,50) uT",IF(Q527&lt;=0.75,"Tipo 3 (0,50-0,75) uT","Tipo 4 (&gt;0,75) uT"))))</f>
        <v>Tipo 1 (≤0,25) uT</v>
      </c>
    </row>
    <row r="528" spans="1:59" x14ac:dyDescent="0.3">
      <c r="A528" s="26">
        <v>46181</v>
      </c>
      <c r="B528" s="107">
        <v>0.97916666666666663</v>
      </c>
      <c r="C528" s="116">
        <v>1433</v>
      </c>
      <c r="D528" s="116">
        <v>85</v>
      </c>
      <c r="E528" s="116">
        <v>500</v>
      </c>
      <c r="F528" s="116">
        <v>2033</v>
      </c>
      <c r="G528" s="10" t="s">
        <v>100</v>
      </c>
      <c r="H528" s="122">
        <v>7.3</v>
      </c>
      <c r="I528" s="116">
        <v>90</v>
      </c>
      <c r="J528" s="116">
        <v>90</v>
      </c>
      <c r="K528" s="116">
        <v>90</v>
      </c>
      <c r="L528" s="122">
        <v>22.3</v>
      </c>
      <c r="M528" s="122">
        <v>6.7</v>
      </c>
      <c r="N528" s="79">
        <v>2.9</v>
      </c>
      <c r="O528" s="116">
        <v>13</v>
      </c>
      <c r="P528" s="122">
        <v>7.5</v>
      </c>
      <c r="Q528" s="79">
        <v>0.1</v>
      </c>
      <c r="R528" s="79">
        <v>22.36</v>
      </c>
      <c r="S528" s="79">
        <v>0.88</v>
      </c>
      <c r="T528" s="79">
        <v>0.7</v>
      </c>
      <c r="U528" s="85">
        <f t="shared" si="68"/>
        <v>1357.0274999999999</v>
      </c>
      <c r="V528" s="79">
        <f t="shared" si="69"/>
        <v>1527.3540341799999</v>
      </c>
      <c r="W528" s="79">
        <f t="shared" si="70"/>
        <v>1.1255144307539824</v>
      </c>
      <c r="X528" s="116">
        <v>2</v>
      </c>
      <c r="Y528" s="116">
        <v>4</v>
      </c>
      <c r="Z528" s="122">
        <v>6.45</v>
      </c>
      <c r="AA528" s="116">
        <v>19.100000000000001</v>
      </c>
      <c r="AB528" s="122">
        <v>6.5</v>
      </c>
      <c r="AC528" s="122">
        <v>5.7</v>
      </c>
      <c r="AD528" s="10">
        <v>0.14000000000000001</v>
      </c>
      <c r="AE528" s="79">
        <v>0.21</v>
      </c>
      <c r="AF528" s="85">
        <f t="shared" si="71"/>
        <v>1357.0274999999999</v>
      </c>
      <c r="AG528" s="85">
        <f t="shared" si="72"/>
        <v>1861.6628317455993</v>
      </c>
      <c r="AH528" s="85">
        <f t="shared" si="73"/>
        <v>1.371868169027967</v>
      </c>
      <c r="AI528" s="116">
        <v>3</v>
      </c>
      <c r="AJ528" s="116">
        <v>4</v>
      </c>
      <c r="AK528" s="79">
        <v>6.52</v>
      </c>
      <c r="AL528" s="79">
        <v>22.97</v>
      </c>
      <c r="AM528" s="122">
        <v>6.6</v>
      </c>
      <c r="AN528" s="122">
        <v>6</v>
      </c>
      <c r="AO528" s="79">
        <v>0.12</v>
      </c>
      <c r="AP528" s="127">
        <v>0.27</v>
      </c>
      <c r="AQ528" s="132">
        <f t="shared" si="74"/>
        <v>2018</v>
      </c>
      <c r="AR528" s="134">
        <f t="shared" si="75"/>
        <v>0.71010901883052524</v>
      </c>
      <c r="AS528" s="134">
        <f t="shared" si="76"/>
        <v>4.2120911793855305E-2</v>
      </c>
      <c r="AT528" s="134">
        <f t="shared" si="77"/>
        <v>0.24777006937561943</v>
      </c>
      <c r="AU528" s="43">
        <f>IF(AND(F528&lt;&gt;"",Y528&lt;&gt;""),AA528/(F528/2/Y528),"")</f>
        <v>7.5159862272503694E-2</v>
      </c>
      <c r="AV528" s="43">
        <f>IF(AND(F528&lt;&gt;"",AJ528&lt;&gt;""),AL528/(F528/2/AJ528),"")</f>
        <v>9.0388588293162805E-2</v>
      </c>
      <c r="AW528" s="43">
        <f>IF(AND(AP528&lt;&gt;"",1-(AP528/N528)&gt;0),1-(AP528/N528),"")</f>
        <v>0.90689655172413797</v>
      </c>
      <c r="AX528" s="41">
        <f>IF(AND(AE528&lt;&gt;"",1-(AE528/N528)&gt;0),1-(AE528/N528),"")</f>
        <v>0.92758620689655169</v>
      </c>
      <c r="AY528" s="136" t="str">
        <f>IF(P528="","",IF(P528&lt;2.5,"Alc. Bruta &lt; 2,5 mg/L",IF(P528&lt;5,"2,5 ≤ Alc. Bruta &lt; 5,0 mg/L",IF(P528&lt;7.5,"5,0 ≤ Alc. Bruta &lt; 7,5 mg/L",IF(P528&lt;10,"7,5 ≤ Alc. Bruta &lt; 10,0 mg/L",IF(P528&lt;15,"10,0 ≤ Alca. Bruta &lt; 15,0 mg/L","Alc. Bruta &gt; 15 mg/L"))))))</f>
        <v>7,5 ≤ Alc. Bruta &lt; 10,0 mg/L</v>
      </c>
      <c r="AZ528" s="136" t="str">
        <f>IF(O528="","",IF(O528&lt;5,"Cor &lt;5 uC",IF(O528&lt;10,"5 ≤ Cor &lt; 10 uC",IF(O528&lt;15,"10 ≤ Cor &lt;15 uC",IF(O528&lt;30,"15 ≤ Cor &lt; 30 uC",IF(O528&lt;50,"30 ≤ Cor &lt; 50 uC","Cor &gt; 50 uC"))))))</f>
        <v>10 ≤ Cor &lt;15 uC</v>
      </c>
      <c r="BA528" s="137" t="str">
        <f>IF(N528="","",IF(N528&lt;2.5,"Turbidez &lt; 2,5 uT",IF(N528&lt;5,"2,5 ≤ Turb &lt; 5,0 uT",IF(N528&lt;7.5,"5,0 ≤ Turb &lt; 7,5 uT",IF(N528&lt;10,"7,5 ≤ Turb &lt; 10,0 uT",IF(N528&lt;15,"10,0 ≤ Turb &lt; 15,0 uT","Turb &gt; 15 uT"))))))</f>
        <v>2,5 ≤ Turb &lt; 5,0 uT</v>
      </c>
      <c r="BB528" s="138" t="str">
        <f>IF(AND(C528&gt;D528,D528&gt;E528),"TOR &gt; SM &gt; BNN",IF(AND(C528&gt;E528,E528&gt;D528),"TOR &gt; BNN &gt; SM",IF(AND(D528&gt;C528,C528&gt;E528),"SM &gt; TOR &gt; BNN",IF(AND(D528&gt;E528,E528&gt;C528),"SM &gt; BNN &gt; TOR",IF(AND(C528=D528,D528=E528),"TOR = SM = BNN","Comb. diferentes")))))</f>
        <v>TOR &gt; BNN &gt; SM</v>
      </c>
      <c r="BC528" s="137" t="str">
        <f>IF(OR(AD528="",AP528="-"),"",IF(AD528&lt;=0.25,"Tipo 1 (≤0,25) uT",IF(AD528&lt;=0.5,"Tipo 2 (0,25-0,50) uT",IF(AD528&lt;=0.75,"Tipo 3 (0,50-0,75) uT","Tipo 4 (&gt;0,75) uT"))))</f>
        <v>Tipo 1 (≤0,25) uT</v>
      </c>
      <c r="BD528" s="137" t="str">
        <f>IF(OR(AO528="",AY528="-"),"",IF(AO528&lt;=0.25,"Tipo 1 (≤0,25) uT",IF(AO528&lt;=0.5,"Tipo 2 (0,25-0,50) uT",IF(AO528&lt;=0.75,"Tipo 3 (0,50-0,75) uT","Tipo 4 (&gt;0,75) uT"))))</f>
        <v>Tipo 1 (≤0,25) uT</v>
      </c>
      <c r="BE528" s="137" t="str">
        <f t="shared" si="78"/>
        <v>Tipo 1 (≤0,25) uT</v>
      </c>
      <c r="BF528" s="137" t="str">
        <f t="shared" si="79"/>
        <v>Tipo 2 (0,25-0,50) uT</v>
      </c>
      <c r="BG528" s="137" t="str">
        <f>IF(OR(Q528="",Q528="-"),"",IF(Q528&lt;=0.25,"Tipo 1 (≤0,25) uT",IF(Q528&lt;=0.5,"Tipo 2 (0,25-0,50) uT",IF(Q528&lt;=0.75,"Tipo 3 (0,50-0,75) uT","Tipo 4 (&gt;0,75) uT"))))</f>
        <v>Tipo 1 (≤0,25) uT</v>
      </c>
    </row>
    <row r="529" spans="1:59" x14ac:dyDescent="0.3">
      <c r="A529" s="26">
        <v>46182</v>
      </c>
      <c r="B529" s="107">
        <v>6.25E-2</v>
      </c>
      <c r="C529" s="116">
        <v>1460</v>
      </c>
      <c r="D529" s="116">
        <v>84</v>
      </c>
      <c r="E529" s="116">
        <v>500</v>
      </c>
      <c r="F529" s="116">
        <v>2099</v>
      </c>
      <c r="G529" s="10" t="s">
        <v>100</v>
      </c>
      <c r="H529" s="122">
        <v>7.3</v>
      </c>
      <c r="I529" s="116">
        <v>90</v>
      </c>
      <c r="J529" s="116">
        <v>90</v>
      </c>
      <c r="K529" s="116">
        <v>90</v>
      </c>
      <c r="L529" s="122">
        <v>22.1</v>
      </c>
      <c r="M529" s="122">
        <v>6.6</v>
      </c>
      <c r="N529" s="79">
        <v>2.86</v>
      </c>
      <c r="O529" s="116">
        <v>14</v>
      </c>
      <c r="P529" s="122">
        <v>8.1</v>
      </c>
      <c r="Q529" s="79">
        <v>0.06</v>
      </c>
      <c r="R529" s="79">
        <v>22.36</v>
      </c>
      <c r="S529" s="79">
        <v>0.88</v>
      </c>
      <c r="T529" s="79">
        <v>0.7</v>
      </c>
      <c r="U529" s="85">
        <f t="shared" si="68"/>
        <v>1390.5874999999999</v>
      </c>
      <c r="V529" s="79">
        <f t="shared" si="69"/>
        <v>1497.5555352159997</v>
      </c>
      <c r="W529" s="79">
        <f t="shared" si="70"/>
        <v>1.0769229086382552</v>
      </c>
      <c r="X529" s="116">
        <v>2</v>
      </c>
      <c r="Y529" s="116">
        <v>4</v>
      </c>
      <c r="Z529" s="122">
        <v>6.43</v>
      </c>
      <c r="AA529" s="116">
        <v>18.8</v>
      </c>
      <c r="AB529" s="122">
        <v>6.5</v>
      </c>
      <c r="AC529" s="122">
        <v>6</v>
      </c>
      <c r="AD529" s="10">
        <v>0.14000000000000001</v>
      </c>
      <c r="AE529" s="79">
        <v>0.23</v>
      </c>
      <c r="AF529" s="85">
        <f t="shared" si="71"/>
        <v>1390.5874999999999</v>
      </c>
      <c r="AG529" s="85">
        <f t="shared" si="72"/>
        <v>1853.4347774799999</v>
      </c>
      <c r="AH529" s="85">
        <f t="shared" si="73"/>
        <v>1.3328429728298292</v>
      </c>
      <c r="AI529" s="116">
        <v>3</v>
      </c>
      <c r="AJ529" s="116">
        <v>4</v>
      </c>
      <c r="AK529" s="79">
        <v>6.49</v>
      </c>
      <c r="AL529" s="79">
        <v>23</v>
      </c>
      <c r="AM529" s="122">
        <v>6.5</v>
      </c>
      <c r="AN529" s="122">
        <v>6.1</v>
      </c>
      <c r="AO529" s="79">
        <v>0.1</v>
      </c>
      <c r="AP529" s="127">
        <v>0.28000000000000003</v>
      </c>
      <c r="AQ529" s="132">
        <f t="shared" si="74"/>
        <v>2044</v>
      </c>
      <c r="AR529" s="134">
        <f t="shared" si="75"/>
        <v>0.7142857142857143</v>
      </c>
      <c r="AS529" s="134">
        <f t="shared" si="76"/>
        <v>4.1095890410958902E-2</v>
      </c>
      <c r="AT529" s="134">
        <f t="shared" si="77"/>
        <v>0.2446183953033268</v>
      </c>
      <c r="AU529" s="43">
        <f>IF(AND(F529&lt;&gt;"",Y529&lt;&gt;""),AA529/(F529/2/Y529),"")</f>
        <v>7.165316817532158E-2</v>
      </c>
      <c r="AV529" s="43">
        <f>IF(AND(F529&lt;&gt;"",AJ529&lt;&gt;""),AL529/(F529/2/AJ529),"")</f>
        <v>8.7660790852787038E-2</v>
      </c>
      <c r="AW529" s="43">
        <f>IF(AND(AP529&lt;&gt;"",1-(AP529/N529)&gt;0),1-(AP529/N529),"")</f>
        <v>0.90209790209790208</v>
      </c>
      <c r="AX529" s="41">
        <f>IF(AND(AE529&lt;&gt;"",1-(AE529/N529)&gt;0),1-(AE529/N529),"")</f>
        <v>0.91958041958041958</v>
      </c>
      <c r="AY529" s="136" t="str">
        <f>IF(P529="","",IF(P529&lt;2.5,"Alc. Bruta &lt; 2,5 mg/L",IF(P529&lt;5,"2,5 ≤ Alc. Bruta &lt; 5,0 mg/L",IF(P529&lt;7.5,"5,0 ≤ Alc. Bruta &lt; 7,5 mg/L",IF(P529&lt;10,"7,5 ≤ Alc. Bruta &lt; 10,0 mg/L",IF(P529&lt;15,"10,0 ≤ Alca. Bruta &lt; 15,0 mg/L","Alc. Bruta &gt; 15 mg/L"))))))</f>
        <v>7,5 ≤ Alc. Bruta &lt; 10,0 mg/L</v>
      </c>
      <c r="AZ529" s="136" t="str">
        <f>IF(O529="","",IF(O529&lt;5,"Cor &lt;5 uC",IF(O529&lt;10,"5 ≤ Cor &lt; 10 uC",IF(O529&lt;15,"10 ≤ Cor &lt;15 uC",IF(O529&lt;30,"15 ≤ Cor &lt; 30 uC",IF(O529&lt;50,"30 ≤ Cor &lt; 50 uC","Cor &gt; 50 uC"))))))</f>
        <v>10 ≤ Cor &lt;15 uC</v>
      </c>
      <c r="BA529" s="137" t="str">
        <f>IF(N529="","",IF(N529&lt;2.5,"Turbidez &lt; 2,5 uT",IF(N529&lt;5,"2,5 ≤ Turb &lt; 5,0 uT",IF(N529&lt;7.5,"5,0 ≤ Turb &lt; 7,5 uT",IF(N529&lt;10,"7,5 ≤ Turb &lt; 10,0 uT",IF(N529&lt;15,"10,0 ≤ Turb &lt; 15,0 uT","Turb &gt; 15 uT"))))))</f>
        <v>2,5 ≤ Turb &lt; 5,0 uT</v>
      </c>
      <c r="BB529" s="138" t="str">
        <f>IF(AND(C529&gt;D529,D529&gt;E529),"TOR &gt; SM &gt; BNN",IF(AND(C529&gt;E529,E529&gt;D529),"TOR &gt; BNN &gt; SM",IF(AND(D529&gt;C529,C529&gt;E529),"SM &gt; TOR &gt; BNN",IF(AND(D529&gt;E529,E529&gt;C529),"SM &gt; BNN &gt; TOR",IF(AND(C529=D529,D529=E529),"TOR = SM = BNN","Comb. diferentes")))))</f>
        <v>TOR &gt; BNN &gt; SM</v>
      </c>
      <c r="BC529" s="137" t="str">
        <f>IF(OR(AD529="",AP529="-"),"",IF(AD529&lt;=0.25,"Tipo 1 (≤0,25) uT",IF(AD529&lt;=0.5,"Tipo 2 (0,25-0,50) uT",IF(AD529&lt;=0.75,"Tipo 3 (0,50-0,75) uT","Tipo 4 (&gt;0,75) uT"))))</f>
        <v>Tipo 1 (≤0,25) uT</v>
      </c>
      <c r="BD529" s="137" t="str">
        <f>IF(OR(AO529="",AY529="-"),"",IF(AO529&lt;=0.25,"Tipo 1 (≤0,25) uT",IF(AO529&lt;=0.5,"Tipo 2 (0,25-0,50) uT",IF(AO529&lt;=0.75,"Tipo 3 (0,50-0,75) uT","Tipo 4 (&gt;0,75) uT"))))</f>
        <v>Tipo 1 (≤0,25) uT</v>
      </c>
      <c r="BE529" s="137" t="str">
        <f t="shared" si="78"/>
        <v>Tipo 1 (≤0,25) uT</v>
      </c>
      <c r="BF529" s="137" t="str">
        <f t="shared" si="79"/>
        <v>Tipo 2 (0,25-0,50) uT</v>
      </c>
      <c r="BG529" s="137" t="str">
        <f>IF(OR(Q529="",Q529="-"),"",IF(Q529&lt;=0.25,"Tipo 1 (≤0,25) uT",IF(Q529&lt;=0.5,"Tipo 2 (0,25-0,50) uT",IF(Q529&lt;=0.75,"Tipo 3 (0,50-0,75) uT","Tipo 4 (&gt;0,75) uT"))))</f>
        <v>Tipo 1 (≤0,25) uT</v>
      </c>
    </row>
    <row r="530" spans="1:59" x14ac:dyDescent="0.3">
      <c r="A530" s="26">
        <v>46182</v>
      </c>
      <c r="B530" s="107">
        <v>0.14583333333333334</v>
      </c>
      <c r="C530" s="116">
        <v>1063</v>
      </c>
      <c r="D530" s="116">
        <v>91</v>
      </c>
      <c r="E530" s="116">
        <v>499</v>
      </c>
      <c r="F530" s="116">
        <v>1697</v>
      </c>
      <c r="G530" s="10" t="s">
        <v>100</v>
      </c>
      <c r="H530" s="122">
        <v>7.3</v>
      </c>
      <c r="I530" s="116">
        <v>90</v>
      </c>
      <c r="J530" s="116">
        <v>90</v>
      </c>
      <c r="K530" s="116">
        <v>90</v>
      </c>
      <c r="L530" s="122">
        <v>21.8</v>
      </c>
      <c r="M530" s="122">
        <v>6.8</v>
      </c>
      <c r="N530" s="79">
        <v>2.6</v>
      </c>
      <c r="O530" s="116">
        <v>13</v>
      </c>
      <c r="P530" s="122">
        <v>7.1</v>
      </c>
      <c r="Q530" s="79">
        <v>0.08</v>
      </c>
      <c r="R530" s="79">
        <v>22.36</v>
      </c>
      <c r="S530" s="79">
        <v>0.88</v>
      </c>
      <c r="T530" s="79">
        <v>0.7</v>
      </c>
      <c r="U530" s="85">
        <f t="shared" si="68"/>
        <v>1425.48</v>
      </c>
      <c r="V530" s="79">
        <f t="shared" si="69"/>
        <v>1488.84256768</v>
      </c>
      <c r="W530" s="79">
        <f t="shared" si="70"/>
        <v>1.0444499871481887</v>
      </c>
      <c r="X530" s="116">
        <v>2</v>
      </c>
      <c r="Y530" s="116">
        <v>3</v>
      </c>
      <c r="Z530" s="122">
        <v>6.4</v>
      </c>
      <c r="AA530" s="116">
        <v>18.8</v>
      </c>
      <c r="AB530" s="122">
        <v>6.5</v>
      </c>
      <c r="AC530" s="122">
        <v>6.8</v>
      </c>
      <c r="AD530" s="10">
        <v>0.19</v>
      </c>
      <c r="AE530" s="79">
        <v>0.25</v>
      </c>
      <c r="AF530" s="85">
        <f t="shared" si="71"/>
        <v>1425.48</v>
      </c>
      <c r="AG530" s="85">
        <f t="shared" si="72"/>
        <v>1861.3500294323999</v>
      </c>
      <c r="AH530" s="85">
        <f t="shared" si="73"/>
        <v>1.3057707084156915</v>
      </c>
      <c r="AI530" s="116">
        <v>2</v>
      </c>
      <c r="AJ530" s="116">
        <v>3</v>
      </c>
      <c r="AK530" s="79">
        <v>6.51</v>
      </c>
      <c r="AL530" s="79">
        <v>23.01</v>
      </c>
      <c r="AM530" s="122">
        <v>6.5</v>
      </c>
      <c r="AN530" s="122">
        <v>5.8</v>
      </c>
      <c r="AO530" s="79">
        <v>0.2</v>
      </c>
      <c r="AP530" s="127">
        <v>0.32</v>
      </c>
      <c r="AQ530" s="132">
        <f t="shared" si="74"/>
        <v>1653</v>
      </c>
      <c r="AR530" s="134">
        <f t="shared" si="75"/>
        <v>0.64307320024198422</v>
      </c>
      <c r="AS530" s="134">
        <f t="shared" si="76"/>
        <v>5.5051421657592255E-2</v>
      </c>
      <c r="AT530" s="134">
        <f t="shared" si="77"/>
        <v>0.30187537810042347</v>
      </c>
      <c r="AU530" s="43">
        <f>IF(AND(F530&lt;&gt;"",Y530&lt;&gt;""),AA530/(F530/2/Y530),"")</f>
        <v>6.6470241602828523E-2</v>
      </c>
      <c r="AV530" s="43">
        <f>IF(AND(F530&lt;&gt;"",AJ530&lt;&gt;""),AL530/(F530/2/AJ530),"")</f>
        <v>8.1355332940483222E-2</v>
      </c>
      <c r="AW530" s="43">
        <f>IF(AND(AP530&lt;&gt;"",1-(AP530/N530)&gt;0),1-(AP530/N530),"")</f>
        <v>0.87692307692307692</v>
      </c>
      <c r="AX530" s="41">
        <f>IF(AND(AE530&lt;&gt;"",1-(AE530/N530)&gt;0),1-(AE530/N530),"")</f>
        <v>0.90384615384615385</v>
      </c>
      <c r="AY530" s="136" t="str">
        <f>IF(P530="","",IF(P530&lt;2.5,"Alc. Bruta &lt; 2,5 mg/L",IF(P530&lt;5,"2,5 ≤ Alc. Bruta &lt; 5,0 mg/L",IF(P530&lt;7.5,"5,0 ≤ Alc. Bruta &lt; 7,5 mg/L",IF(P530&lt;10,"7,5 ≤ Alc. Bruta &lt; 10,0 mg/L",IF(P530&lt;15,"10,0 ≤ Alca. Bruta &lt; 15,0 mg/L","Alc. Bruta &gt; 15 mg/L"))))))</f>
        <v>5,0 ≤ Alc. Bruta &lt; 7,5 mg/L</v>
      </c>
      <c r="AZ530" s="136" t="str">
        <f>IF(O530="","",IF(O530&lt;5,"Cor &lt;5 uC",IF(O530&lt;10,"5 ≤ Cor &lt; 10 uC",IF(O530&lt;15,"10 ≤ Cor &lt;15 uC",IF(O530&lt;30,"15 ≤ Cor &lt; 30 uC",IF(O530&lt;50,"30 ≤ Cor &lt; 50 uC","Cor &gt; 50 uC"))))))</f>
        <v>10 ≤ Cor &lt;15 uC</v>
      </c>
      <c r="BA530" s="137" t="str">
        <f>IF(N530="","",IF(N530&lt;2.5,"Turbidez &lt; 2,5 uT",IF(N530&lt;5,"2,5 ≤ Turb &lt; 5,0 uT",IF(N530&lt;7.5,"5,0 ≤ Turb &lt; 7,5 uT",IF(N530&lt;10,"7,5 ≤ Turb &lt; 10,0 uT",IF(N530&lt;15,"10,0 ≤ Turb &lt; 15,0 uT","Turb &gt; 15 uT"))))))</f>
        <v>2,5 ≤ Turb &lt; 5,0 uT</v>
      </c>
      <c r="BB530" s="138" t="str">
        <f>IF(AND(C530&gt;D530,D530&gt;E530),"TOR &gt; SM &gt; BNN",IF(AND(C530&gt;E530,E530&gt;D530),"TOR &gt; BNN &gt; SM",IF(AND(D530&gt;C530,C530&gt;E530),"SM &gt; TOR &gt; BNN",IF(AND(D530&gt;E530,E530&gt;C530),"SM &gt; BNN &gt; TOR",IF(AND(C530=D530,D530=E530),"TOR = SM = BNN","Comb. diferentes")))))</f>
        <v>TOR &gt; BNN &gt; SM</v>
      </c>
      <c r="BC530" s="137" t="str">
        <f>IF(OR(AD530="",AP530="-"),"",IF(AD530&lt;=0.25,"Tipo 1 (≤0,25) uT",IF(AD530&lt;=0.5,"Tipo 2 (0,25-0,50) uT",IF(AD530&lt;=0.75,"Tipo 3 (0,50-0,75) uT","Tipo 4 (&gt;0,75) uT"))))</f>
        <v>Tipo 1 (≤0,25) uT</v>
      </c>
      <c r="BD530" s="137" t="str">
        <f>IF(OR(AO530="",AY530="-"),"",IF(AO530&lt;=0.25,"Tipo 1 (≤0,25) uT",IF(AO530&lt;=0.5,"Tipo 2 (0,25-0,50) uT",IF(AO530&lt;=0.75,"Tipo 3 (0,50-0,75) uT","Tipo 4 (&gt;0,75) uT"))))</f>
        <v>Tipo 1 (≤0,25) uT</v>
      </c>
      <c r="BE530" s="137" t="str">
        <f t="shared" si="78"/>
        <v>Tipo 1 (≤0,25) uT</v>
      </c>
      <c r="BF530" s="137" t="str">
        <f t="shared" si="79"/>
        <v>Tipo 2 (0,25-0,50) uT</v>
      </c>
      <c r="BG530" s="137" t="str">
        <f>IF(OR(Q530="",Q530="-"),"",IF(Q530&lt;=0.25,"Tipo 1 (≤0,25) uT",IF(Q530&lt;=0.5,"Tipo 2 (0,25-0,50) uT",IF(Q530&lt;=0.75,"Tipo 3 (0,50-0,75) uT","Tipo 4 (&gt;0,75) uT"))))</f>
        <v>Tipo 1 (≤0,25) uT</v>
      </c>
    </row>
    <row r="531" spans="1:59" ht="15" thickBot="1" x14ac:dyDescent="0.35">
      <c r="A531" s="26">
        <v>46182</v>
      </c>
      <c r="B531" s="110">
        <v>0.22916666666666666</v>
      </c>
      <c r="C531" s="117">
        <v>1028</v>
      </c>
      <c r="D531" s="117">
        <v>87</v>
      </c>
      <c r="E531" s="117">
        <v>499</v>
      </c>
      <c r="F531" s="117">
        <v>1775</v>
      </c>
      <c r="G531" s="11" t="s">
        <v>100</v>
      </c>
      <c r="H531" s="123">
        <v>7.3</v>
      </c>
      <c r="I531" s="117">
        <v>90</v>
      </c>
      <c r="J531" s="117">
        <v>90</v>
      </c>
      <c r="K531" s="117">
        <v>90</v>
      </c>
      <c r="L531" s="123">
        <v>21.6</v>
      </c>
      <c r="M531" s="123">
        <v>6.7</v>
      </c>
      <c r="N531" s="80">
        <v>3.09</v>
      </c>
      <c r="O531" s="117">
        <v>14</v>
      </c>
      <c r="P531" s="123">
        <v>8.6999999999999993</v>
      </c>
      <c r="Q531" s="80">
        <v>0.08</v>
      </c>
      <c r="R531" s="79">
        <v>22.36</v>
      </c>
      <c r="S531" s="79">
        <v>0.88</v>
      </c>
      <c r="T531" s="79">
        <v>0.7</v>
      </c>
      <c r="U531" s="85">
        <f t="shared" si="68"/>
        <v>1635.958333333333</v>
      </c>
      <c r="V531" s="79">
        <f t="shared" si="69"/>
        <v>1505.5212561479996</v>
      </c>
      <c r="W531" s="79">
        <f t="shared" si="70"/>
        <v>0.92026870457051158</v>
      </c>
      <c r="X531" s="117">
        <v>2</v>
      </c>
      <c r="Y531" s="117">
        <v>3</v>
      </c>
      <c r="Z531" s="123">
        <v>6.43</v>
      </c>
      <c r="AA531" s="117">
        <v>18.899999999999999</v>
      </c>
      <c r="AB531" s="122">
        <v>6.5</v>
      </c>
      <c r="AC531" s="123">
        <v>6.9</v>
      </c>
      <c r="AD531" s="11">
        <v>0.23</v>
      </c>
      <c r="AE531" s="80">
        <v>0.28000000000000003</v>
      </c>
      <c r="AF531" s="85">
        <f t="shared" si="71"/>
        <v>1635.958333333333</v>
      </c>
      <c r="AG531" s="85">
        <f t="shared" si="72"/>
        <v>1859.2314044511995</v>
      </c>
      <c r="AH531" s="85">
        <f t="shared" si="73"/>
        <v>1.1364784582642384</v>
      </c>
      <c r="AI531" s="117">
        <v>2</v>
      </c>
      <c r="AJ531" s="117">
        <v>3</v>
      </c>
      <c r="AK531" s="80">
        <v>6.52</v>
      </c>
      <c r="AL531" s="80">
        <v>22.94</v>
      </c>
      <c r="AM531" s="123">
        <v>6.6</v>
      </c>
      <c r="AN531" s="123">
        <v>6.5</v>
      </c>
      <c r="AO531" s="80">
        <v>0.14000000000000001</v>
      </c>
      <c r="AP531" s="128">
        <v>0.3</v>
      </c>
      <c r="AQ531" s="132">
        <f t="shared" si="74"/>
        <v>1614</v>
      </c>
      <c r="AR531" s="134">
        <f t="shared" si="75"/>
        <v>0.63692688971499378</v>
      </c>
      <c r="AS531" s="134">
        <f t="shared" si="76"/>
        <v>5.3903345724907063E-2</v>
      </c>
      <c r="AT531" s="134">
        <f t="shared" si="77"/>
        <v>0.30916976456009915</v>
      </c>
      <c r="AU531" s="43">
        <f>IF(AND(F531&lt;&gt;"",Y531&lt;&gt;""),AA531/(F531/2/Y531),"")</f>
        <v>6.3887323943661978E-2</v>
      </c>
      <c r="AV531" s="43">
        <f>IF(AND(F531&lt;&gt;"",AJ531&lt;&gt;""),AL531/(F531/2/AJ531),"")</f>
        <v>7.7543661971830991E-2</v>
      </c>
      <c r="AW531" s="43">
        <f>IF(AND(AP531&lt;&gt;"",1-(AP531/N531)&gt;0),1-(AP531/N531),"")</f>
        <v>0.90291262135922334</v>
      </c>
      <c r="AX531" s="41">
        <f>IF(AND(AE531&lt;&gt;"",1-(AE531/N531)&gt;0),1-(AE531/N531),"")</f>
        <v>0.90938511326860838</v>
      </c>
      <c r="AY531" s="136" t="str">
        <f>IF(P531="","",IF(P531&lt;2.5,"Alc. Bruta &lt; 2,5 mg/L",IF(P531&lt;5,"2,5 ≤ Alc. Bruta &lt; 5,0 mg/L",IF(P531&lt;7.5,"5,0 ≤ Alc. Bruta &lt; 7,5 mg/L",IF(P531&lt;10,"7,5 ≤ Alc. Bruta &lt; 10,0 mg/L",IF(P531&lt;15,"10,0 ≤ Alca. Bruta &lt; 15,0 mg/L","Alc. Bruta &gt; 15 mg/L"))))))</f>
        <v>7,5 ≤ Alc. Bruta &lt; 10,0 mg/L</v>
      </c>
      <c r="AZ531" s="136" t="str">
        <f>IF(O531="","",IF(O531&lt;5,"Cor &lt;5 uC",IF(O531&lt;10,"5 ≤ Cor &lt; 10 uC",IF(O531&lt;15,"10 ≤ Cor &lt;15 uC",IF(O531&lt;30,"15 ≤ Cor &lt; 30 uC",IF(O531&lt;50,"30 ≤ Cor &lt; 50 uC","Cor &gt; 50 uC"))))))</f>
        <v>10 ≤ Cor &lt;15 uC</v>
      </c>
      <c r="BA531" s="137" t="str">
        <f>IF(N531="","",IF(N531&lt;2.5,"Turbidez &lt; 2,5 uT",IF(N531&lt;5,"2,5 ≤ Turb &lt; 5,0 uT",IF(N531&lt;7.5,"5,0 ≤ Turb &lt; 7,5 uT",IF(N531&lt;10,"7,5 ≤ Turb &lt; 10,0 uT",IF(N531&lt;15,"10,0 ≤ Turb &lt; 15,0 uT","Turb &gt; 15 uT"))))))</f>
        <v>2,5 ≤ Turb &lt; 5,0 uT</v>
      </c>
      <c r="BB531" s="138" t="str">
        <f>IF(AND(C531&gt;D531,D531&gt;E531),"TOR &gt; SM &gt; BNN",IF(AND(C531&gt;E531,E531&gt;D531),"TOR &gt; BNN &gt; SM",IF(AND(D531&gt;C531,C531&gt;E531),"SM &gt; TOR &gt; BNN",IF(AND(D531&gt;E531,E531&gt;C531),"SM &gt; BNN &gt; TOR",IF(AND(C531=D531,D531=E531),"TOR = SM = BNN","Comb. diferentes")))))</f>
        <v>TOR &gt; BNN &gt; SM</v>
      </c>
      <c r="BC531" s="137" t="str">
        <f>IF(OR(AD531="",AP531="-"),"",IF(AD531&lt;=0.25,"Tipo 1 (≤0,25) uT",IF(AD531&lt;=0.5,"Tipo 2 (0,25-0,50) uT",IF(AD531&lt;=0.75,"Tipo 3 (0,50-0,75) uT","Tipo 4 (&gt;0,75) uT"))))</f>
        <v>Tipo 1 (≤0,25) uT</v>
      </c>
      <c r="BD531" s="137" t="str">
        <f>IF(OR(AO531="",AY531="-"),"",IF(AO531&lt;=0.25,"Tipo 1 (≤0,25) uT",IF(AO531&lt;=0.5,"Tipo 2 (0,25-0,50) uT",IF(AO531&lt;=0.75,"Tipo 3 (0,50-0,75) uT","Tipo 4 (&gt;0,75) uT"))))</f>
        <v>Tipo 1 (≤0,25) uT</v>
      </c>
      <c r="BE531" s="137" t="str">
        <f t="shared" si="78"/>
        <v>Tipo 2 (0,25-0,50) uT</v>
      </c>
      <c r="BF531" s="137" t="str">
        <f t="shared" si="79"/>
        <v>Tipo 2 (0,25-0,50) uT</v>
      </c>
      <c r="BG531" s="137" t="str">
        <f>IF(OR(Q531="",Q531="-"),"",IF(Q531&lt;=0.25,"Tipo 1 (≤0,25) uT",IF(Q531&lt;=0.5,"Tipo 2 (0,25-0,50) uT",IF(Q531&lt;=0.75,"Tipo 3 (0,50-0,75) uT","Tipo 4 (&gt;0,75) uT"))))</f>
        <v>Tipo 1 (≤0,25) uT</v>
      </c>
    </row>
  </sheetData>
  <autoFilter ref="A1:BG531" xr:uid="{DFF5E3E3-7810-4FE4-98E4-2F4B293F5DD5}"/>
  <pageMargins left="0.511811024" right="0.511811024" top="0.78740157499999996" bottom="0.78740157499999996" header="0.31496062000000002" footer="0.31496062000000002"/>
  <pageSetup paperSize="9" orientation="portrait" r:id="rId1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66FB626-3E5E-40B8-8C7F-31AE1E69ACE7}">
  <dimension ref="A1:V82"/>
  <sheetViews>
    <sheetView workbookViewId="0">
      <selection activeCell="X4" sqref="X4"/>
    </sheetView>
  </sheetViews>
  <sheetFormatPr defaultRowHeight="14.4" x14ac:dyDescent="0.3"/>
  <cols>
    <col min="1" max="1" width="11.109375" style="27" bestFit="1" customWidth="1"/>
    <col min="2" max="2" width="19.88671875" style="69" bestFit="1" customWidth="1"/>
    <col min="3" max="3" width="18.44140625" style="69" bestFit="1" customWidth="1"/>
    <col min="4" max="4" width="13.5546875" style="69" bestFit="1" customWidth="1"/>
    <col min="5" max="5" width="20.88671875" style="69" bestFit="1" customWidth="1"/>
    <col min="6" max="6" width="20.6640625" style="69" bestFit="1" customWidth="1"/>
    <col min="7" max="7" width="9.109375" style="69"/>
    <col min="8" max="8" width="14.6640625" style="69" bestFit="1" customWidth="1"/>
    <col min="9" max="9" width="14.44140625" style="69" bestFit="1" customWidth="1"/>
    <col min="10" max="10" width="15.21875" style="69" bestFit="1" customWidth="1"/>
    <col min="11" max="11" width="24.33203125" style="69" bestFit="1" customWidth="1"/>
    <col min="12" max="12" width="18" style="69" customWidth="1"/>
    <col min="13" max="13" width="15.88671875" style="69" bestFit="1" customWidth="1"/>
    <col min="14" max="14" width="18.77734375" style="69" bestFit="1" customWidth="1"/>
    <col min="15" max="15" width="14.109375" style="69" bestFit="1" customWidth="1"/>
    <col min="16" max="16" width="14" style="70" customWidth="1"/>
    <col min="17" max="17" width="20" customWidth="1"/>
    <col min="18" max="18" width="19.5546875" customWidth="1"/>
    <col min="19" max="19" width="24.6640625" bestFit="1" customWidth="1"/>
    <col min="20" max="20" width="25.77734375" customWidth="1"/>
    <col min="21" max="21" width="18" customWidth="1"/>
    <col min="22" max="22" width="16.21875" customWidth="1"/>
  </cols>
  <sheetData>
    <row r="1" spans="1:22" ht="15.75" customHeight="1" x14ac:dyDescent="0.3">
      <c r="A1" s="27" t="s">
        <v>47</v>
      </c>
      <c r="B1" s="69" t="s">
        <v>249</v>
      </c>
      <c r="C1" s="69" t="s">
        <v>250</v>
      </c>
      <c r="D1" s="69" t="s">
        <v>251</v>
      </c>
      <c r="E1" s="69" t="s">
        <v>252</v>
      </c>
      <c r="F1" s="69" t="s">
        <v>253</v>
      </c>
      <c r="G1" s="69" t="s">
        <v>132</v>
      </c>
      <c r="H1" s="69" t="s">
        <v>254</v>
      </c>
      <c r="I1" s="69" t="s">
        <v>255</v>
      </c>
      <c r="J1" s="69" t="s">
        <v>256</v>
      </c>
      <c r="K1" s="69" t="s">
        <v>257</v>
      </c>
      <c r="L1" s="69" t="s">
        <v>259</v>
      </c>
      <c r="M1" s="69" t="s">
        <v>258</v>
      </c>
      <c r="N1" s="69" t="s">
        <v>260</v>
      </c>
      <c r="O1" s="69" t="s">
        <v>261</v>
      </c>
      <c r="P1" s="70" t="s">
        <v>263</v>
      </c>
      <c r="Q1" s="38" t="s">
        <v>120</v>
      </c>
      <c r="R1" s="38" t="s">
        <v>122</v>
      </c>
      <c r="S1" s="38" t="s">
        <v>123</v>
      </c>
      <c r="T1" s="38" t="s">
        <v>279</v>
      </c>
      <c r="U1" s="40" t="s">
        <v>280</v>
      </c>
      <c r="V1" s="38" t="s">
        <v>287</v>
      </c>
    </row>
    <row r="2" spans="1:22" x14ac:dyDescent="0.3">
      <c r="A2" s="27">
        <v>46161</v>
      </c>
      <c r="B2" s="69">
        <v>3.1</v>
      </c>
      <c r="C2" s="69">
        <v>14</v>
      </c>
      <c r="D2" s="69">
        <v>6.8</v>
      </c>
      <c r="E2" s="69">
        <v>5.3</v>
      </c>
      <c r="G2" s="69">
        <v>1</v>
      </c>
      <c r="H2" s="69">
        <v>3.5</v>
      </c>
      <c r="I2" s="69">
        <v>0</v>
      </c>
      <c r="J2" s="69">
        <v>0</v>
      </c>
      <c r="K2" s="69">
        <v>0</v>
      </c>
      <c r="L2" s="69">
        <v>3.28</v>
      </c>
      <c r="M2" s="69">
        <v>15</v>
      </c>
      <c r="N2" s="69">
        <v>5</v>
      </c>
      <c r="O2" s="69">
        <v>6.7</v>
      </c>
      <c r="P2" s="70" t="s">
        <v>281</v>
      </c>
      <c r="Q2" s="37" t="str">
        <f t="shared" ref="Q2:Q60" si="0">IF(B2="","",IF(B2&lt;2.5,"Turbidez &lt; 2,5 uT",IF(B2&lt;5,"2,5 ≤ Turb &lt; 5,0 uT",IF(B2&lt;7.5,"5,0 ≤ Turb &lt; 7,5 uT",IF(B2&lt;10,"7,5 ≤ Turb &lt; 10,0 uT",IF(B2&lt;15,"10,0 ≤ Turb &lt; 15,0 uT","Turb &gt; 15 uT"))))))</f>
        <v>2,5 ≤ Turb &lt; 5,0 uT</v>
      </c>
      <c r="R2" s="39" t="str">
        <f t="shared" ref="R2:R60" si="1">IF(C2="","",IF(C2&lt;5,"Cor &lt;5 uC",IF(C2&lt;10,"5 ≤ Cor &lt; 10 uC",IF(C2&lt;15,"10 ≤ Cor &lt;15 uC",IF(C2&lt;30,"15 ≤ Cor &lt; 30 uC",IF(C2&lt;50,"30 ≤ Cor &lt; 50 uC","Cor &gt; 50 uC"))))))</f>
        <v>10 ≤ Cor &lt;15 uC</v>
      </c>
      <c r="S2" s="39" t="str">
        <f t="shared" ref="S2:S60" si="2">IF(E2="","",IF(E2&lt;2.5,"Alc. Bruta &lt; 2,5 mg/L",IF(E2&lt;5,"2,5 ≤ Alc. Bruta &lt; 5,0 mg/L",IF(E2&lt;7.5,"5,0 ≤ Alc. Bruta &lt; 7,5 mg/L",IF(E2&lt;10,"7,5 ≤ Alc. Bruta &lt; 10,0 mg/L",IF(E2&lt;15,"10,0 ≤ Alca. Bruta &lt; 15,0 mg/L","Alc. Bruta &gt; 15 mg/L"))))))</f>
        <v>5,0 ≤ Alc. Bruta &lt; 7,5 mg/L</v>
      </c>
      <c r="T2" s="37" t="str">
        <f t="shared" ref="T2:T60" si="3">IF(OR(L2="",D2="-"),"",IF(L2&lt;=0.25,"Tipo 1 (≤0,25) uT",IF(L2&lt;=0.5,"Tipo 2 (0,25-0,50) uT",IF(L2&lt;=0.75,"Tipo 3 (0,50-0,75) uT","Tipo 4 (&gt;0,75) uT"))))</f>
        <v>Tipo 4 (&gt;0,75) uT</v>
      </c>
      <c r="U2" s="41" t="str">
        <f t="shared" ref="U2:U60" si="4">IF(AND(B2&lt;&gt;"",1-(L2/B2)&gt;0),1-(L2/B2),"")</f>
        <v/>
      </c>
      <c r="V2" s="71" t="str">
        <f>IF(U2&lt;&gt;"",IF(U2&lt;=0.25,"Tipo 1 (25%)",IF(U2&lt;=0.5,"Tipo 2 (25-50%)",IF(U2&lt;=0.75,"Tipo 3 (50-75%)","Tipo 4 (75-100%)"))),"")</f>
        <v/>
      </c>
    </row>
    <row r="3" spans="1:22" x14ac:dyDescent="0.3">
      <c r="A3" s="27">
        <v>46161</v>
      </c>
      <c r="B3" s="69">
        <v>3.1</v>
      </c>
      <c r="C3" s="69">
        <v>14</v>
      </c>
      <c r="D3" s="69">
        <v>6.8</v>
      </c>
      <c r="E3" s="69">
        <v>5.3</v>
      </c>
      <c r="G3" s="69">
        <v>2</v>
      </c>
      <c r="H3" s="69">
        <v>4</v>
      </c>
      <c r="I3" s="69">
        <v>0</v>
      </c>
      <c r="J3" s="69">
        <v>0</v>
      </c>
      <c r="K3" s="69">
        <v>0</v>
      </c>
      <c r="L3" s="69">
        <v>3.39</v>
      </c>
      <c r="M3" s="69">
        <v>17</v>
      </c>
      <c r="N3" s="69">
        <v>4.5999999999999996</v>
      </c>
      <c r="O3" s="69">
        <v>6.7</v>
      </c>
      <c r="P3" s="70" t="s">
        <v>282</v>
      </c>
      <c r="Q3" s="37" t="str">
        <f t="shared" si="0"/>
        <v>2,5 ≤ Turb &lt; 5,0 uT</v>
      </c>
      <c r="R3" s="39" t="str">
        <f t="shared" si="1"/>
        <v>10 ≤ Cor &lt;15 uC</v>
      </c>
      <c r="S3" s="39" t="str">
        <f t="shared" si="2"/>
        <v>5,0 ≤ Alc. Bruta &lt; 7,5 mg/L</v>
      </c>
      <c r="T3" s="37" t="str">
        <f t="shared" si="3"/>
        <v>Tipo 4 (&gt;0,75) uT</v>
      </c>
      <c r="U3" s="41" t="str">
        <f t="shared" si="4"/>
        <v/>
      </c>
      <c r="V3" s="71" t="str">
        <f t="shared" ref="V3:V66" si="5">IF(U3&lt;&gt;"",IF(U3&lt;=0.25,"Tipo 1 (25%)",IF(U3&lt;=0.5,"Tipo 2 (25-50%)",IF(U3&lt;=0.75,"Tipo 3 (50-75%)","Tipo 4 (75-100%)"))),"")</f>
        <v/>
      </c>
    </row>
    <row r="4" spans="1:22" x14ac:dyDescent="0.3">
      <c r="A4" s="27">
        <v>46161</v>
      </c>
      <c r="B4" s="69">
        <v>3.1</v>
      </c>
      <c r="C4" s="69">
        <v>14</v>
      </c>
      <c r="D4" s="69">
        <v>6.8</v>
      </c>
      <c r="E4" s="69">
        <v>5.3</v>
      </c>
      <c r="G4" s="69">
        <v>3</v>
      </c>
      <c r="H4" s="69">
        <v>4.5</v>
      </c>
      <c r="I4" s="69">
        <v>0</v>
      </c>
      <c r="J4" s="69">
        <v>0</v>
      </c>
      <c r="K4" s="69">
        <v>0</v>
      </c>
      <c r="L4" s="69">
        <v>3.28</v>
      </c>
      <c r="M4" s="69">
        <v>18</v>
      </c>
      <c r="N4" s="69">
        <v>4.4000000000000004</v>
      </c>
      <c r="O4" s="69">
        <v>6.7</v>
      </c>
      <c r="P4" s="70" t="s">
        <v>283</v>
      </c>
      <c r="Q4" s="37" t="str">
        <f t="shared" si="0"/>
        <v>2,5 ≤ Turb &lt; 5,0 uT</v>
      </c>
      <c r="R4" s="39" t="str">
        <f t="shared" si="1"/>
        <v>10 ≤ Cor &lt;15 uC</v>
      </c>
      <c r="S4" s="39" t="str">
        <f t="shared" si="2"/>
        <v>5,0 ≤ Alc. Bruta &lt; 7,5 mg/L</v>
      </c>
      <c r="T4" s="37" t="str">
        <f t="shared" si="3"/>
        <v>Tipo 4 (&gt;0,75) uT</v>
      </c>
      <c r="U4" s="41" t="str">
        <f t="shared" si="4"/>
        <v/>
      </c>
      <c r="V4" s="71" t="str">
        <f t="shared" si="5"/>
        <v/>
      </c>
    </row>
    <row r="5" spans="1:22" x14ac:dyDescent="0.3">
      <c r="A5" s="27">
        <v>46161</v>
      </c>
      <c r="B5" s="69">
        <v>3.1</v>
      </c>
      <c r="C5" s="69">
        <v>14</v>
      </c>
      <c r="D5" s="69">
        <v>6.8</v>
      </c>
      <c r="E5" s="69">
        <v>5.3</v>
      </c>
      <c r="G5" s="69">
        <v>4</v>
      </c>
      <c r="H5" s="69">
        <v>5</v>
      </c>
      <c r="I5" s="69">
        <v>0</v>
      </c>
      <c r="J5" s="69">
        <v>0</v>
      </c>
      <c r="K5" s="69">
        <v>0</v>
      </c>
      <c r="L5" s="69">
        <v>3.08</v>
      </c>
      <c r="M5" s="69">
        <v>10</v>
      </c>
      <c r="N5" s="69">
        <v>4.3</v>
      </c>
      <c r="O5" s="69">
        <v>6.6</v>
      </c>
      <c r="P5" s="70" t="s">
        <v>284</v>
      </c>
      <c r="Q5" s="37" t="str">
        <f t="shared" si="0"/>
        <v>2,5 ≤ Turb &lt; 5,0 uT</v>
      </c>
      <c r="R5" s="39" t="str">
        <f t="shared" si="1"/>
        <v>10 ≤ Cor &lt;15 uC</v>
      </c>
      <c r="S5" s="39" t="str">
        <f t="shared" si="2"/>
        <v>5,0 ≤ Alc. Bruta &lt; 7,5 mg/L</v>
      </c>
      <c r="T5" s="37" t="str">
        <f t="shared" si="3"/>
        <v>Tipo 4 (&gt;0,75) uT</v>
      </c>
      <c r="U5" s="41">
        <f t="shared" si="4"/>
        <v>6.4516129032258229E-3</v>
      </c>
      <c r="V5" s="71" t="str">
        <f t="shared" si="5"/>
        <v>Tipo 1 (25%)</v>
      </c>
    </row>
    <row r="6" spans="1:22" x14ac:dyDescent="0.3">
      <c r="A6" s="27">
        <v>46161</v>
      </c>
      <c r="B6" s="69">
        <v>3.1</v>
      </c>
      <c r="C6" s="69">
        <v>14</v>
      </c>
      <c r="D6" s="69">
        <v>6.8</v>
      </c>
      <c r="E6" s="69">
        <v>5.3</v>
      </c>
      <c r="G6" s="69">
        <v>5</v>
      </c>
      <c r="H6" s="69">
        <v>5.5</v>
      </c>
      <c r="I6" s="69">
        <v>0</v>
      </c>
      <c r="J6" s="69">
        <v>0</v>
      </c>
      <c r="K6" s="69">
        <v>0</v>
      </c>
      <c r="L6" s="69">
        <v>1.83</v>
      </c>
      <c r="M6" s="69">
        <v>6</v>
      </c>
      <c r="N6" s="69">
        <v>3.8</v>
      </c>
      <c r="O6" s="69">
        <v>6.6</v>
      </c>
      <c r="P6" s="70" t="s">
        <v>285</v>
      </c>
      <c r="Q6" s="37" t="str">
        <f t="shared" si="0"/>
        <v>2,5 ≤ Turb &lt; 5,0 uT</v>
      </c>
      <c r="R6" s="39" t="str">
        <f t="shared" si="1"/>
        <v>10 ≤ Cor &lt;15 uC</v>
      </c>
      <c r="S6" s="39" t="str">
        <f t="shared" si="2"/>
        <v>5,0 ≤ Alc. Bruta &lt; 7,5 mg/L</v>
      </c>
      <c r="T6" s="37" t="str">
        <f t="shared" si="3"/>
        <v>Tipo 4 (&gt;0,75) uT</v>
      </c>
      <c r="U6" s="41">
        <f t="shared" si="4"/>
        <v>0.4096774193548387</v>
      </c>
      <c r="V6" s="71" t="str">
        <f t="shared" si="5"/>
        <v>Tipo 2 (25-50%)</v>
      </c>
    </row>
    <row r="7" spans="1:22" x14ac:dyDescent="0.3">
      <c r="A7" s="27">
        <v>46161</v>
      </c>
      <c r="B7" s="69">
        <v>3.1</v>
      </c>
      <c r="C7" s="69">
        <v>14</v>
      </c>
      <c r="D7" s="69">
        <v>6.8</v>
      </c>
      <c r="E7" s="69">
        <v>5.3</v>
      </c>
      <c r="G7" s="69">
        <v>6</v>
      </c>
      <c r="H7" s="69">
        <v>6</v>
      </c>
      <c r="I7" s="69">
        <v>0</v>
      </c>
      <c r="J7" s="69">
        <v>0</v>
      </c>
      <c r="K7" s="69">
        <v>0</v>
      </c>
      <c r="L7" s="69">
        <v>0.86</v>
      </c>
      <c r="M7" s="69">
        <v>7</v>
      </c>
      <c r="N7" s="69">
        <v>3.3</v>
      </c>
      <c r="O7" s="69">
        <v>6.6</v>
      </c>
      <c r="P7" s="70" t="s">
        <v>286</v>
      </c>
      <c r="Q7" s="37" t="str">
        <f t="shared" si="0"/>
        <v>2,5 ≤ Turb &lt; 5,0 uT</v>
      </c>
      <c r="R7" s="39" t="str">
        <f t="shared" si="1"/>
        <v>10 ≤ Cor &lt;15 uC</v>
      </c>
      <c r="S7" s="39" t="str">
        <f t="shared" si="2"/>
        <v>5,0 ≤ Alc. Bruta &lt; 7,5 mg/L</v>
      </c>
      <c r="T7" s="37" t="str">
        <f t="shared" si="3"/>
        <v>Tipo 4 (&gt;0,75) uT</v>
      </c>
      <c r="U7" s="41">
        <f t="shared" si="4"/>
        <v>0.72258064516129039</v>
      </c>
      <c r="V7" s="71" t="str">
        <f t="shared" si="5"/>
        <v>Tipo 3 (50-75%)</v>
      </c>
    </row>
    <row r="8" spans="1:22" x14ac:dyDescent="0.3">
      <c r="A8" s="27">
        <v>46167</v>
      </c>
      <c r="B8" s="69">
        <v>2.94</v>
      </c>
      <c r="C8" s="69">
        <v>18</v>
      </c>
      <c r="D8" s="69">
        <v>6.9</v>
      </c>
      <c r="E8" s="69">
        <v>9.1999999999999993</v>
      </c>
      <c r="G8" s="69">
        <v>1</v>
      </c>
      <c r="H8" s="69">
        <v>6</v>
      </c>
      <c r="I8" s="69">
        <v>0</v>
      </c>
      <c r="J8" s="69">
        <v>0</v>
      </c>
      <c r="K8" s="69">
        <v>0</v>
      </c>
      <c r="L8" s="69">
        <v>1.56</v>
      </c>
      <c r="M8" s="69">
        <v>8</v>
      </c>
      <c r="N8" s="69">
        <v>5.9</v>
      </c>
      <c r="O8" s="69">
        <v>6.9</v>
      </c>
      <c r="P8" s="70" t="s">
        <v>262</v>
      </c>
      <c r="Q8" s="37" t="str">
        <f t="shared" si="0"/>
        <v>2,5 ≤ Turb &lt; 5,0 uT</v>
      </c>
      <c r="R8" s="39" t="str">
        <f t="shared" si="1"/>
        <v>15 ≤ Cor &lt; 30 uC</v>
      </c>
      <c r="S8" s="39" t="str">
        <f t="shared" si="2"/>
        <v>7,5 ≤ Alc. Bruta &lt; 10,0 mg/L</v>
      </c>
      <c r="T8" s="37" t="str">
        <f t="shared" si="3"/>
        <v>Tipo 4 (&gt;0,75) uT</v>
      </c>
      <c r="U8" s="41">
        <f t="shared" si="4"/>
        <v>0.46938775510204078</v>
      </c>
      <c r="V8" s="71" t="str">
        <f t="shared" si="5"/>
        <v>Tipo 2 (25-50%)</v>
      </c>
    </row>
    <row r="9" spans="1:22" x14ac:dyDescent="0.3">
      <c r="A9" s="27">
        <v>46167</v>
      </c>
      <c r="B9" s="69">
        <v>2.94</v>
      </c>
      <c r="C9" s="69">
        <v>18</v>
      </c>
      <c r="D9" s="69">
        <v>6.9</v>
      </c>
      <c r="E9" s="69">
        <v>9.1999999999999993</v>
      </c>
      <c r="G9" s="69">
        <v>2</v>
      </c>
      <c r="H9" s="69">
        <v>6.5</v>
      </c>
      <c r="I9" s="69">
        <v>0</v>
      </c>
      <c r="J9" s="69">
        <v>0</v>
      </c>
      <c r="K9" s="69">
        <v>0</v>
      </c>
      <c r="L9" s="69">
        <v>0.83</v>
      </c>
      <c r="M9" s="69">
        <v>6</v>
      </c>
      <c r="N9" s="69">
        <v>4.9000000000000004</v>
      </c>
      <c r="O9" s="69">
        <v>6.9</v>
      </c>
      <c r="P9" s="70" t="s">
        <v>262</v>
      </c>
      <c r="Q9" s="37" t="str">
        <f t="shared" si="0"/>
        <v>2,5 ≤ Turb &lt; 5,0 uT</v>
      </c>
      <c r="R9" s="39" t="str">
        <f t="shared" si="1"/>
        <v>15 ≤ Cor &lt; 30 uC</v>
      </c>
      <c r="S9" s="39" t="str">
        <f t="shared" si="2"/>
        <v>7,5 ≤ Alc. Bruta &lt; 10,0 mg/L</v>
      </c>
      <c r="T9" s="37" t="str">
        <f t="shared" si="3"/>
        <v>Tipo 4 (&gt;0,75) uT</v>
      </c>
      <c r="U9" s="41">
        <f t="shared" si="4"/>
        <v>0.71768707482993199</v>
      </c>
      <c r="V9" s="71" t="str">
        <f t="shared" si="5"/>
        <v>Tipo 3 (50-75%)</v>
      </c>
    </row>
    <row r="10" spans="1:22" x14ac:dyDescent="0.3">
      <c r="A10" s="27">
        <v>46167</v>
      </c>
      <c r="B10" s="69">
        <v>2.94</v>
      </c>
      <c r="C10" s="69">
        <v>18</v>
      </c>
      <c r="D10" s="69">
        <v>6.9</v>
      </c>
      <c r="E10" s="69">
        <v>9.1999999999999993</v>
      </c>
      <c r="G10" s="69">
        <v>3</v>
      </c>
      <c r="H10" s="69">
        <v>7</v>
      </c>
      <c r="I10" s="69">
        <v>0</v>
      </c>
      <c r="J10" s="69">
        <v>0</v>
      </c>
      <c r="K10" s="69">
        <v>0</v>
      </c>
      <c r="L10" s="69">
        <v>0.32</v>
      </c>
      <c r="M10" s="69">
        <v>3</v>
      </c>
      <c r="N10" s="69">
        <v>4.7</v>
      </c>
      <c r="O10" s="69">
        <v>6.9</v>
      </c>
      <c r="P10" s="70" t="s">
        <v>262</v>
      </c>
      <c r="Q10" s="37" t="str">
        <f t="shared" si="0"/>
        <v>2,5 ≤ Turb &lt; 5,0 uT</v>
      </c>
      <c r="R10" s="39" t="str">
        <f t="shared" si="1"/>
        <v>15 ≤ Cor &lt; 30 uC</v>
      </c>
      <c r="S10" s="39" t="str">
        <f t="shared" si="2"/>
        <v>7,5 ≤ Alc. Bruta &lt; 10,0 mg/L</v>
      </c>
      <c r="T10" s="37" t="str">
        <f t="shared" si="3"/>
        <v>Tipo 2 (0,25-0,50) uT</v>
      </c>
      <c r="U10" s="41">
        <f t="shared" si="4"/>
        <v>0.891156462585034</v>
      </c>
      <c r="V10" s="71" t="str">
        <f t="shared" si="5"/>
        <v>Tipo 4 (75-100%)</v>
      </c>
    </row>
    <row r="11" spans="1:22" x14ac:dyDescent="0.3">
      <c r="A11" s="27">
        <v>46167</v>
      </c>
      <c r="B11" s="69">
        <v>2.94</v>
      </c>
      <c r="C11" s="69">
        <v>18</v>
      </c>
      <c r="D11" s="69">
        <v>6.9</v>
      </c>
      <c r="E11" s="69">
        <v>9.1999999999999993</v>
      </c>
      <c r="G11" s="69">
        <v>4</v>
      </c>
      <c r="H11" s="69">
        <v>7.5</v>
      </c>
      <c r="I11" s="69">
        <v>0</v>
      </c>
      <c r="J11" s="69">
        <v>0</v>
      </c>
      <c r="K11" s="69">
        <v>0</v>
      </c>
      <c r="L11" s="69">
        <v>0.47</v>
      </c>
      <c r="M11" s="69">
        <v>4</v>
      </c>
      <c r="N11" s="69">
        <v>4.5999999999999996</v>
      </c>
      <c r="O11" s="69">
        <v>6.9</v>
      </c>
      <c r="P11" s="70" t="s">
        <v>262</v>
      </c>
      <c r="Q11" s="37" t="str">
        <f t="shared" si="0"/>
        <v>2,5 ≤ Turb &lt; 5,0 uT</v>
      </c>
      <c r="R11" s="39" t="str">
        <f t="shared" si="1"/>
        <v>15 ≤ Cor &lt; 30 uC</v>
      </c>
      <c r="S11" s="39" t="str">
        <f t="shared" si="2"/>
        <v>7,5 ≤ Alc. Bruta &lt; 10,0 mg/L</v>
      </c>
      <c r="T11" s="37" t="str">
        <f t="shared" si="3"/>
        <v>Tipo 2 (0,25-0,50) uT</v>
      </c>
      <c r="U11" s="41">
        <f t="shared" si="4"/>
        <v>0.84013605442176875</v>
      </c>
      <c r="V11" s="71" t="str">
        <f t="shared" si="5"/>
        <v>Tipo 4 (75-100%)</v>
      </c>
    </row>
    <row r="12" spans="1:22" x14ac:dyDescent="0.3">
      <c r="A12" s="27">
        <v>46167</v>
      </c>
      <c r="B12" s="69">
        <v>2.94</v>
      </c>
      <c r="C12" s="69">
        <v>18</v>
      </c>
      <c r="D12" s="69">
        <v>6.9</v>
      </c>
      <c r="E12" s="69">
        <v>9.1999999999999993</v>
      </c>
      <c r="G12" s="69">
        <v>5</v>
      </c>
      <c r="H12" s="69">
        <v>8</v>
      </c>
      <c r="I12" s="69">
        <v>0</v>
      </c>
      <c r="J12" s="69">
        <v>0</v>
      </c>
      <c r="K12" s="69">
        <v>0</v>
      </c>
      <c r="L12" s="69">
        <v>0.3</v>
      </c>
      <c r="M12" s="69">
        <v>3</v>
      </c>
      <c r="N12" s="69">
        <v>4.4000000000000004</v>
      </c>
      <c r="O12" s="69">
        <v>6.9</v>
      </c>
      <c r="P12" s="70" t="s">
        <v>262</v>
      </c>
      <c r="Q12" s="37" t="str">
        <f t="shared" si="0"/>
        <v>2,5 ≤ Turb &lt; 5,0 uT</v>
      </c>
      <c r="R12" s="39" t="str">
        <f t="shared" si="1"/>
        <v>15 ≤ Cor &lt; 30 uC</v>
      </c>
      <c r="S12" s="39" t="str">
        <f t="shared" si="2"/>
        <v>7,5 ≤ Alc. Bruta &lt; 10,0 mg/L</v>
      </c>
      <c r="T12" s="37" t="str">
        <f t="shared" si="3"/>
        <v>Tipo 2 (0,25-0,50) uT</v>
      </c>
      <c r="U12" s="41">
        <f t="shared" si="4"/>
        <v>0.89795918367346939</v>
      </c>
      <c r="V12" s="71" t="str">
        <f t="shared" si="5"/>
        <v>Tipo 4 (75-100%)</v>
      </c>
    </row>
    <row r="13" spans="1:22" x14ac:dyDescent="0.3">
      <c r="A13" s="27">
        <v>46167</v>
      </c>
      <c r="B13" s="69">
        <v>2.94</v>
      </c>
      <c r="C13" s="69">
        <v>18</v>
      </c>
      <c r="D13" s="69">
        <v>6.9</v>
      </c>
      <c r="E13" s="69">
        <v>9.1999999999999993</v>
      </c>
      <c r="G13" s="69">
        <v>6</v>
      </c>
      <c r="H13" s="69">
        <v>8.5</v>
      </c>
      <c r="I13" s="69">
        <v>0</v>
      </c>
      <c r="J13" s="69">
        <v>0</v>
      </c>
      <c r="K13" s="69">
        <v>0</v>
      </c>
      <c r="L13" s="69">
        <v>0.26</v>
      </c>
      <c r="M13" s="69">
        <v>3</v>
      </c>
      <c r="N13" s="69">
        <v>4.3</v>
      </c>
      <c r="O13" s="69">
        <v>6.9</v>
      </c>
      <c r="P13" s="70" t="s">
        <v>262</v>
      </c>
      <c r="Q13" s="37" t="str">
        <f t="shared" si="0"/>
        <v>2,5 ≤ Turb &lt; 5,0 uT</v>
      </c>
      <c r="R13" s="39" t="str">
        <f t="shared" si="1"/>
        <v>15 ≤ Cor &lt; 30 uC</v>
      </c>
      <c r="S13" s="39" t="str">
        <f t="shared" si="2"/>
        <v>7,5 ≤ Alc. Bruta &lt; 10,0 mg/L</v>
      </c>
      <c r="T13" s="37" t="str">
        <f t="shared" si="3"/>
        <v>Tipo 2 (0,25-0,50) uT</v>
      </c>
      <c r="U13" s="41">
        <f t="shared" si="4"/>
        <v>0.91156462585034015</v>
      </c>
      <c r="V13" s="71" t="str">
        <f t="shared" si="5"/>
        <v>Tipo 4 (75-100%)</v>
      </c>
    </row>
    <row r="14" spans="1:22" x14ac:dyDescent="0.3">
      <c r="A14" s="27">
        <v>46168</v>
      </c>
      <c r="B14" s="69">
        <v>2.69</v>
      </c>
      <c r="C14" s="69">
        <v>20</v>
      </c>
      <c r="D14" s="69">
        <v>6.8</v>
      </c>
      <c r="E14" s="69">
        <v>8.4</v>
      </c>
      <c r="G14" s="69">
        <v>1</v>
      </c>
      <c r="H14" s="69">
        <v>4</v>
      </c>
      <c r="I14" s="69">
        <v>0</v>
      </c>
      <c r="J14" s="69">
        <v>0</v>
      </c>
      <c r="K14" s="69">
        <v>0</v>
      </c>
      <c r="L14" s="69">
        <v>2.8</v>
      </c>
      <c r="M14" s="69">
        <v>22</v>
      </c>
      <c r="N14" s="69">
        <v>9.3000000000000007</v>
      </c>
      <c r="O14" s="69">
        <v>7.1</v>
      </c>
      <c r="P14" s="70" t="s">
        <v>264</v>
      </c>
      <c r="Q14" s="37" t="str">
        <f t="shared" si="0"/>
        <v>2,5 ≤ Turb &lt; 5,0 uT</v>
      </c>
      <c r="R14" s="39" t="str">
        <f t="shared" si="1"/>
        <v>15 ≤ Cor &lt; 30 uC</v>
      </c>
      <c r="S14" s="39" t="str">
        <f t="shared" si="2"/>
        <v>7,5 ≤ Alc. Bruta &lt; 10,0 mg/L</v>
      </c>
      <c r="T14" s="37" t="str">
        <f t="shared" si="3"/>
        <v>Tipo 4 (&gt;0,75) uT</v>
      </c>
      <c r="U14" s="41" t="str">
        <f t="shared" si="4"/>
        <v/>
      </c>
      <c r="V14" s="71" t="str">
        <f t="shared" si="5"/>
        <v/>
      </c>
    </row>
    <row r="15" spans="1:22" x14ac:dyDescent="0.3">
      <c r="A15" s="27">
        <v>46168</v>
      </c>
      <c r="B15" s="69">
        <v>2.69</v>
      </c>
      <c r="C15" s="69">
        <v>20</v>
      </c>
      <c r="D15" s="69">
        <v>6.8</v>
      </c>
      <c r="E15" s="69">
        <v>8.4</v>
      </c>
      <c r="G15" s="69">
        <v>2</v>
      </c>
      <c r="H15" s="69">
        <v>5</v>
      </c>
      <c r="I15" s="69">
        <v>0</v>
      </c>
      <c r="J15" s="69">
        <v>0</v>
      </c>
      <c r="K15" s="69">
        <v>0</v>
      </c>
      <c r="L15" s="69">
        <v>2.4900000000000002</v>
      </c>
      <c r="M15" s="69">
        <v>21</v>
      </c>
      <c r="N15" s="69">
        <v>8.5</v>
      </c>
      <c r="O15" s="69">
        <v>7.1</v>
      </c>
      <c r="P15" s="70" t="s">
        <v>264</v>
      </c>
      <c r="Q15" s="37" t="str">
        <f t="shared" si="0"/>
        <v>2,5 ≤ Turb &lt; 5,0 uT</v>
      </c>
      <c r="R15" s="39" t="str">
        <f t="shared" si="1"/>
        <v>15 ≤ Cor &lt; 30 uC</v>
      </c>
      <c r="S15" s="39" t="str">
        <f t="shared" si="2"/>
        <v>7,5 ≤ Alc. Bruta &lt; 10,0 mg/L</v>
      </c>
      <c r="T15" s="37" t="str">
        <f t="shared" si="3"/>
        <v>Tipo 4 (&gt;0,75) uT</v>
      </c>
      <c r="U15" s="41">
        <f t="shared" si="4"/>
        <v>7.4349442379182062E-2</v>
      </c>
      <c r="V15" s="71" t="str">
        <f t="shared" si="5"/>
        <v>Tipo 1 (25%)</v>
      </c>
    </row>
    <row r="16" spans="1:22" x14ac:dyDescent="0.3">
      <c r="A16" s="27">
        <v>46168</v>
      </c>
      <c r="B16" s="69">
        <v>2.69</v>
      </c>
      <c r="C16" s="69">
        <v>20</v>
      </c>
      <c r="D16" s="69">
        <v>6.8</v>
      </c>
      <c r="E16" s="69">
        <v>8.4</v>
      </c>
      <c r="G16" s="69">
        <v>3</v>
      </c>
      <c r="H16" s="69">
        <v>6</v>
      </c>
      <c r="I16" s="69">
        <v>0</v>
      </c>
      <c r="J16" s="69">
        <v>0</v>
      </c>
      <c r="K16" s="69">
        <v>0</v>
      </c>
      <c r="L16" s="69">
        <v>1.94</v>
      </c>
      <c r="M16" s="69">
        <v>20</v>
      </c>
      <c r="N16" s="69">
        <v>9.1999999999999993</v>
      </c>
      <c r="O16" s="69">
        <v>7.2</v>
      </c>
      <c r="P16" s="70" t="s">
        <v>264</v>
      </c>
      <c r="Q16" s="37" t="str">
        <f t="shared" si="0"/>
        <v>2,5 ≤ Turb &lt; 5,0 uT</v>
      </c>
      <c r="R16" s="39" t="str">
        <f t="shared" si="1"/>
        <v>15 ≤ Cor &lt; 30 uC</v>
      </c>
      <c r="S16" s="39" t="str">
        <f t="shared" si="2"/>
        <v>7,5 ≤ Alc. Bruta &lt; 10,0 mg/L</v>
      </c>
      <c r="T16" s="37" t="str">
        <f t="shared" si="3"/>
        <v>Tipo 4 (&gt;0,75) uT</v>
      </c>
      <c r="U16" s="41">
        <f t="shared" si="4"/>
        <v>0.27881040892193309</v>
      </c>
      <c r="V16" s="71" t="str">
        <f t="shared" si="5"/>
        <v>Tipo 2 (25-50%)</v>
      </c>
    </row>
    <row r="17" spans="1:22" x14ac:dyDescent="0.3">
      <c r="A17" s="27">
        <v>46169</v>
      </c>
      <c r="B17" s="69">
        <v>3.28</v>
      </c>
      <c r="C17" s="69">
        <v>14</v>
      </c>
      <c r="D17" s="69">
        <v>6.9</v>
      </c>
      <c r="E17" s="69">
        <v>8.1999999999999993</v>
      </c>
      <c r="G17" s="69">
        <v>1</v>
      </c>
      <c r="H17" s="69">
        <v>4</v>
      </c>
      <c r="I17" s="69">
        <v>0</v>
      </c>
      <c r="J17" s="69">
        <v>0</v>
      </c>
      <c r="K17" s="69">
        <v>0</v>
      </c>
      <c r="L17" s="69">
        <v>3.3</v>
      </c>
      <c r="M17" s="69">
        <v>10</v>
      </c>
      <c r="N17" s="69">
        <v>7</v>
      </c>
      <c r="O17" s="69">
        <v>6.7</v>
      </c>
      <c r="P17" s="70" t="s">
        <v>265</v>
      </c>
      <c r="Q17" s="37" t="str">
        <f t="shared" si="0"/>
        <v>2,5 ≤ Turb &lt; 5,0 uT</v>
      </c>
      <c r="R17" s="39" t="str">
        <f t="shared" si="1"/>
        <v>10 ≤ Cor &lt;15 uC</v>
      </c>
      <c r="S17" s="39" t="str">
        <f t="shared" si="2"/>
        <v>7,5 ≤ Alc. Bruta &lt; 10,0 mg/L</v>
      </c>
      <c r="T17" s="37" t="str">
        <f t="shared" si="3"/>
        <v>Tipo 4 (&gt;0,75) uT</v>
      </c>
      <c r="U17" s="41" t="str">
        <f t="shared" si="4"/>
        <v/>
      </c>
      <c r="V17" s="71" t="str">
        <f t="shared" si="5"/>
        <v/>
      </c>
    </row>
    <row r="18" spans="1:22" x14ac:dyDescent="0.3">
      <c r="A18" s="27">
        <v>46169</v>
      </c>
      <c r="B18" s="69">
        <v>3.28</v>
      </c>
      <c r="C18" s="69">
        <v>14</v>
      </c>
      <c r="D18" s="69">
        <v>6.9</v>
      </c>
      <c r="E18" s="69">
        <v>8.1999999999999993</v>
      </c>
      <c r="G18" s="69">
        <v>2</v>
      </c>
      <c r="H18" s="69">
        <v>5</v>
      </c>
      <c r="I18" s="69">
        <v>0</v>
      </c>
      <c r="J18" s="69">
        <v>0</v>
      </c>
      <c r="K18" s="69">
        <v>0</v>
      </c>
      <c r="L18" s="69">
        <v>3.3</v>
      </c>
      <c r="M18" s="69">
        <v>10</v>
      </c>
      <c r="N18" s="69">
        <v>7</v>
      </c>
      <c r="O18" s="69">
        <v>6.7</v>
      </c>
      <c r="P18" s="70" t="s">
        <v>265</v>
      </c>
      <c r="Q18" s="37" t="str">
        <f t="shared" si="0"/>
        <v>2,5 ≤ Turb &lt; 5,0 uT</v>
      </c>
      <c r="R18" s="39" t="str">
        <f t="shared" si="1"/>
        <v>10 ≤ Cor &lt;15 uC</v>
      </c>
      <c r="S18" s="39" t="str">
        <f t="shared" si="2"/>
        <v>7,5 ≤ Alc. Bruta &lt; 10,0 mg/L</v>
      </c>
      <c r="T18" s="37" t="str">
        <f t="shared" si="3"/>
        <v>Tipo 4 (&gt;0,75) uT</v>
      </c>
      <c r="U18" s="41" t="str">
        <f t="shared" si="4"/>
        <v/>
      </c>
      <c r="V18" s="71" t="str">
        <f t="shared" si="5"/>
        <v/>
      </c>
    </row>
    <row r="19" spans="1:22" x14ac:dyDescent="0.3">
      <c r="A19" s="27">
        <v>46169</v>
      </c>
      <c r="B19" s="69">
        <v>3.28</v>
      </c>
      <c r="C19" s="69">
        <v>14</v>
      </c>
      <c r="D19" s="69">
        <v>6.9</v>
      </c>
      <c r="E19" s="69">
        <v>8.1999999999999993</v>
      </c>
      <c r="G19" s="69">
        <v>3</v>
      </c>
      <c r="H19" s="69">
        <v>6</v>
      </c>
      <c r="I19" s="69">
        <v>0</v>
      </c>
      <c r="J19" s="69">
        <v>0</v>
      </c>
      <c r="K19" s="69">
        <v>0</v>
      </c>
      <c r="L19" s="69">
        <v>1.81</v>
      </c>
      <c r="M19" s="69">
        <v>8</v>
      </c>
      <c r="N19" s="69">
        <v>6.7</v>
      </c>
      <c r="O19" s="69">
        <v>6.7</v>
      </c>
      <c r="P19" s="70" t="s">
        <v>265</v>
      </c>
      <c r="Q19" s="37" t="str">
        <f t="shared" si="0"/>
        <v>2,5 ≤ Turb &lt; 5,0 uT</v>
      </c>
      <c r="R19" s="39" t="str">
        <f t="shared" si="1"/>
        <v>10 ≤ Cor &lt;15 uC</v>
      </c>
      <c r="S19" s="39" t="str">
        <f t="shared" si="2"/>
        <v>7,5 ≤ Alc. Bruta &lt; 10,0 mg/L</v>
      </c>
      <c r="T19" s="37" t="str">
        <f t="shared" si="3"/>
        <v>Tipo 4 (&gt;0,75) uT</v>
      </c>
      <c r="U19" s="41">
        <f t="shared" si="4"/>
        <v>0.44817073170731703</v>
      </c>
      <c r="V19" s="71" t="str">
        <f t="shared" si="5"/>
        <v>Tipo 2 (25-50%)</v>
      </c>
    </row>
    <row r="20" spans="1:22" x14ac:dyDescent="0.3">
      <c r="A20" s="27">
        <v>46169</v>
      </c>
      <c r="B20" s="69">
        <v>3.28</v>
      </c>
      <c r="C20" s="69">
        <v>14</v>
      </c>
      <c r="D20" s="69">
        <v>6.9</v>
      </c>
      <c r="E20" s="69">
        <v>8.1999999999999993</v>
      </c>
      <c r="G20" s="69">
        <v>4</v>
      </c>
      <c r="H20" s="69">
        <v>7</v>
      </c>
      <c r="I20" s="69">
        <v>0</v>
      </c>
      <c r="J20" s="69">
        <v>0</v>
      </c>
      <c r="K20" s="69">
        <v>0</v>
      </c>
      <c r="L20" s="69">
        <v>0.81</v>
      </c>
      <c r="M20" s="69">
        <v>5</v>
      </c>
      <c r="N20" s="69">
        <v>5.8</v>
      </c>
      <c r="O20" s="69">
        <v>5.8</v>
      </c>
      <c r="P20" s="70" t="s">
        <v>265</v>
      </c>
      <c r="Q20" s="37" t="str">
        <f t="shared" si="0"/>
        <v>2,5 ≤ Turb &lt; 5,0 uT</v>
      </c>
      <c r="R20" s="39" t="str">
        <f t="shared" si="1"/>
        <v>10 ≤ Cor &lt;15 uC</v>
      </c>
      <c r="S20" s="39" t="str">
        <f t="shared" si="2"/>
        <v>7,5 ≤ Alc. Bruta &lt; 10,0 mg/L</v>
      </c>
      <c r="T20" s="37" t="str">
        <f t="shared" si="3"/>
        <v>Tipo 4 (&gt;0,75) uT</v>
      </c>
      <c r="U20" s="41">
        <f t="shared" si="4"/>
        <v>0.75304878048780488</v>
      </c>
      <c r="V20" s="71" t="str">
        <f t="shared" si="5"/>
        <v>Tipo 4 (75-100%)</v>
      </c>
    </row>
    <row r="21" spans="1:22" x14ac:dyDescent="0.3">
      <c r="A21" s="27">
        <v>46169</v>
      </c>
      <c r="B21" s="69">
        <v>3.28</v>
      </c>
      <c r="C21" s="69">
        <v>14</v>
      </c>
      <c r="D21" s="69">
        <v>6.9</v>
      </c>
      <c r="E21" s="69">
        <v>8.1999999999999993</v>
      </c>
      <c r="G21" s="69">
        <v>5</v>
      </c>
      <c r="H21" s="69">
        <v>8</v>
      </c>
      <c r="I21" s="69">
        <v>0</v>
      </c>
      <c r="J21" s="69">
        <v>0</v>
      </c>
      <c r="K21" s="69">
        <v>0</v>
      </c>
      <c r="L21" s="69">
        <v>0.42</v>
      </c>
      <c r="M21" s="69">
        <v>5</v>
      </c>
      <c r="N21" s="69">
        <v>5.3</v>
      </c>
      <c r="O21" s="69">
        <v>5.3</v>
      </c>
      <c r="P21" s="70" t="s">
        <v>265</v>
      </c>
      <c r="Q21" s="37" t="str">
        <f t="shared" si="0"/>
        <v>2,5 ≤ Turb &lt; 5,0 uT</v>
      </c>
      <c r="R21" s="39" t="str">
        <f t="shared" si="1"/>
        <v>10 ≤ Cor &lt;15 uC</v>
      </c>
      <c r="S21" s="39" t="str">
        <f t="shared" si="2"/>
        <v>7,5 ≤ Alc. Bruta &lt; 10,0 mg/L</v>
      </c>
      <c r="T21" s="37" t="str">
        <f t="shared" si="3"/>
        <v>Tipo 2 (0,25-0,50) uT</v>
      </c>
      <c r="U21" s="41">
        <f t="shared" si="4"/>
        <v>0.87195121951219512</v>
      </c>
      <c r="V21" s="71" t="str">
        <f t="shared" si="5"/>
        <v>Tipo 4 (75-100%)</v>
      </c>
    </row>
    <row r="22" spans="1:22" x14ac:dyDescent="0.3">
      <c r="A22" s="27">
        <v>46169</v>
      </c>
      <c r="B22" s="69">
        <v>3.28</v>
      </c>
      <c r="C22" s="69">
        <v>14</v>
      </c>
      <c r="D22" s="69">
        <v>6.9</v>
      </c>
      <c r="E22" s="69">
        <v>8.1999999999999993</v>
      </c>
      <c r="G22" s="69">
        <v>6</v>
      </c>
      <c r="H22" s="69">
        <v>9</v>
      </c>
      <c r="I22" s="69">
        <v>0</v>
      </c>
      <c r="J22" s="69">
        <v>0</v>
      </c>
      <c r="K22" s="69">
        <v>0</v>
      </c>
      <c r="L22" s="69">
        <v>0.32</v>
      </c>
      <c r="M22" s="69">
        <v>1</v>
      </c>
      <c r="N22" s="69">
        <v>4.9000000000000004</v>
      </c>
      <c r="O22" s="69">
        <v>4.9000000000000004</v>
      </c>
      <c r="P22" s="70" t="s">
        <v>265</v>
      </c>
      <c r="Q22" s="37" t="str">
        <f t="shared" si="0"/>
        <v>2,5 ≤ Turb &lt; 5,0 uT</v>
      </c>
      <c r="R22" s="39" t="str">
        <f t="shared" si="1"/>
        <v>10 ≤ Cor &lt;15 uC</v>
      </c>
      <c r="S22" s="39" t="str">
        <f t="shared" si="2"/>
        <v>7,5 ≤ Alc. Bruta &lt; 10,0 mg/L</v>
      </c>
      <c r="T22" s="37" t="str">
        <f t="shared" si="3"/>
        <v>Tipo 2 (0,25-0,50) uT</v>
      </c>
      <c r="U22" s="41">
        <f t="shared" si="4"/>
        <v>0.90243902439024393</v>
      </c>
      <c r="V22" s="71" t="str">
        <f t="shared" si="5"/>
        <v>Tipo 4 (75-100%)</v>
      </c>
    </row>
    <row r="23" spans="1:22" x14ac:dyDescent="0.3">
      <c r="A23" s="27">
        <v>46170</v>
      </c>
      <c r="B23" s="69">
        <v>4.29</v>
      </c>
      <c r="C23" s="69">
        <v>18</v>
      </c>
      <c r="D23" s="69">
        <v>6.9</v>
      </c>
      <c r="E23" s="69">
        <v>7.9</v>
      </c>
      <c r="G23" s="69">
        <v>1</v>
      </c>
      <c r="H23" s="69">
        <v>5</v>
      </c>
      <c r="I23" s="69">
        <v>0</v>
      </c>
      <c r="J23" s="69">
        <v>0</v>
      </c>
      <c r="K23" s="69">
        <v>0</v>
      </c>
      <c r="L23" s="69">
        <v>4</v>
      </c>
      <c r="M23" s="69">
        <v>15</v>
      </c>
      <c r="N23" s="69">
        <v>5.5</v>
      </c>
      <c r="O23" s="69">
        <v>6.5</v>
      </c>
      <c r="P23" s="70" t="s">
        <v>266</v>
      </c>
      <c r="Q23" s="37" t="str">
        <f t="shared" si="0"/>
        <v>2,5 ≤ Turb &lt; 5,0 uT</v>
      </c>
      <c r="R23" s="39" t="str">
        <f t="shared" si="1"/>
        <v>15 ≤ Cor &lt; 30 uC</v>
      </c>
      <c r="S23" s="39" t="str">
        <f t="shared" si="2"/>
        <v>7,5 ≤ Alc. Bruta &lt; 10,0 mg/L</v>
      </c>
      <c r="T23" s="37" t="str">
        <f t="shared" si="3"/>
        <v>Tipo 4 (&gt;0,75) uT</v>
      </c>
      <c r="U23" s="41">
        <f t="shared" si="4"/>
        <v>6.7599067599067642E-2</v>
      </c>
      <c r="V23" s="71" t="str">
        <f t="shared" si="5"/>
        <v>Tipo 1 (25%)</v>
      </c>
    </row>
    <row r="24" spans="1:22" x14ac:dyDescent="0.3">
      <c r="A24" s="27">
        <v>46170</v>
      </c>
      <c r="B24" s="69">
        <v>4.29</v>
      </c>
      <c r="C24" s="69">
        <v>18</v>
      </c>
      <c r="D24" s="69">
        <v>6.9</v>
      </c>
      <c r="E24" s="69">
        <v>7.9</v>
      </c>
      <c r="G24" s="69">
        <v>2</v>
      </c>
      <c r="H24" s="69">
        <v>6</v>
      </c>
      <c r="I24" s="69">
        <v>0</v>
      </c>
      <c r="J24" s="69">
        <v>0</v>
      </c>
      <c r="K24" s="69">
        <v>0</v>
      </c>
      <c r="L24" s="69">
        <v>1.56</v>
      </c>
      <c r="M24" s="69">
        <v>9</v>
      </c>
      <c r="N24" s="69">
        <v>5.7</v>
      </c>
      <c r="O24" s="69">
        <v>6.5</v>
      </c>
      <c r="P24" s="70" t="s">
        <v>266</v>
      </c>
      <c r="Q24" s="37" t="str">
        <f t="shared" si="0"/>
        <v>2,5 ≤ Turb &lt; 5,0 uT</v>
      </c>
      <c r="R24" s="39" t="str">
        <f t="shared" si="1"/>
        <v>15 ≤ Cor &lt; 30 uC</v>
      </c>
      <c r="S24" s="39" t="str">
        <f t="shared" si="2"/>
        <v>7,5 ≤ Alc. Bruta &lt; 10,0 mg/L</v>
      </c>
      <c r="T24" s="37" t="str">
        <f t="shared" si="3"/>
        <v>Tipo 4 (&gt;0,75) uT</v>
      </c>
      <c r="U24" s="41">
        <f t="shared" si="4"/>
        <v>0.63636363636363635</v>
      </c>
      <c r="V24" s="71" t="str">
        <f t="shared" si="5"/>
        <v>Tipo 3 (50-75%)</v>
      </c>
    </row>
    <row r="25" spans="1:22" x14ac:dyDescent="0.3">
      <c r="A25" s="27">
        <v>46170</v>
      </c>
      <c r="B25" s="69">
        <v>4.29</v>
      </c>
      <c r="C25" s="69">
        <v>18</v>
      </c>
      <c r="D25" s="69">
        <v>6.9</v>
      </c>
      <c r="E25" s="69">
        <v>7.9</v>
      </c>
      <c r="G25" s="69">
        <v>3</v>
      </c>
      <c r="H25" s="69">
        <v>7</v>
      </c>
      <c r="I25" s="69">
        <v>0</v>
      </c>
      <c r="J25" s="69">
        <v>0</v>
      </c>
      <c r="K25" s="69">
        <v>0</v>
      </c>
      <c r="L25" s="69">
        <v>0.73</v>
      </c>
      <c r="M25" s="69">
        <v>1</v>
      </c>
      <c r="N25" s="69">
        <v>5.3</v>
      </c>
      <c r="O25" s="69">
        <v>6.4</v>
      </c>
      <c r="P25" s="70" t="s">
        <v>266</v>
      </c>
      <c r="Q25" s="37" t="str">
        <f t="shared" si="0"/>
        <v>2,5 ≤ Turb &lt; 5,0 uT</v>
      </c>
      <c r="R25" s="39" t="str">
        <f t="shared" si="1"/>
        <v>15 ≤ Cor &lt; 30 uC</v>
      </c>
      <c r="S25" s="39" t="str">
        <f t="shared" si="2"/>
        <v>7,5 ≤ Alc. Bruta &lt; 10,0 mg/L</v>
      </c>
      <c r="T25" s="37" t="str">
        <f t="shared" si="3"/>
        <v>Tipo 3 (0,50-0,75) uT</v>
      </c>
      <c r="U25" s="41">
        <f t="shared" si="4"/>
        <v>0.82983682983682983</v>
      </c>
      <c r="V25" s="71" t="str">
        <f t="shared" si="5"/>
        <v>Tipo 4 (75-100%)</v>
      </c>
    </row>
    <row r="26" spans="1:22" x14ac:dyDescent="0.3">
      <c r="A26" s="27">
        <v>46170</v>
      </c>
      <c r="B26" s="69">
        <v>4.29</v>
      </c>
      <c r="C26" s="69">
        <v>18</v>
      </c>
      <c r="D26" s="69">
        <v>6.9</v>
      </c>
      <c r="E26" s="69">
        <v>7.9</v>
      </c>
      <c r="G26" s="69">
        <v>4</v>
      </c>
      <c r="H26" s="69">
        <v>6.2</v>
      </c>
      <c r="I26" s="69">
        <v>0</v>
      </c>
      <c r="J26" s="69">
        <v>0</v>
      </c>
      <c r="K26" s="69">
        <v>0</v>
      </c>
      <c r="L26" s="69">
        <v>1.77</v>
      </c>
      <c r="M26" s="69">
        <v>5</v>
      </c>
      <c r="N26" s="69">
        <v>5.9</v>
      </c>
      <c r="O26" s="69">
        <v>6.5</v>
      </c>
      <c r="P26" s="70" t="s">
        <v>266</v>
      </c>
      <c r="Q26" s="37" t="str">
        <f t="shared" si="0"/>
        <v>2,5 ≤ Turb &lt; 5,0 uT</v>
      </c>
      <c r="R26" s="39" t="str">
        <f t="shared" si="1"/>
        <v>15 ≤ Cor &lt; 30 uC</v>
      </c>
      <c r="S26" s="39" t="str">
        <f t="shared" si="2"/>
        <v>7,5 ≤ Alc. Bruta &lt; 10,0 mg/L</v>
      </c>
      <c r="T26" s="37" t="str">
        <f t="shared" si="3"/>
        <v>Tipo 4 (&gt;0,75) uT</v>
      </c>
      <c r="U26" s="41">
        <f t="shared" si="4"/>
        <v>0.58741258741258739</v>
      </c>
      <c r="V26" s="71" t="str">
        <f t="shared" si="5"/>
        <v>Tipo 3 (50-75%)</v>
      </c>
    </row>
    <row r="27" spans="1:22" x14ac:dyDescent="0.3">
      <c r="A27" s="27">
        <v>46170</v>
      </c>
      <c r="B27" s="69">
        <v>4.29</v>
      </c>
      <c r="C27" s="69">
        <v>18</v>
      </c>
      <c r="D27" s="69">
        <v>6.9</v>
      </c>
      <c r="E27" s="69">
        <v>7.9</v>
      </c>
      <c r="G27" s="69">
        <v>5</v>
      </c>
      <c r="H27" s="69">
        <v>6.5</v>
      </c>
      <c r="I27" s="69">
        <v>0</v>
      </c>
      <c r="J27" s="69">
        <v>0</v>
      </c>
      <c r="K27" s="69">
        <v>0</v>
      </c>
      <c r="L27" s="69">
        <v>1.29</v>
      </c>
      <c r="M27" s="69">
        <v>1</v>
      </c>
      <c r="N27" s="69">
        <v>5.6</v>
      </c>
      <c r="O27" s="69">
        <v>6.4</v>
      </c>
      <c r="P27" s="70" t="s">
        <v>266</v>
      </c>
      <c r="Q27" s="37" t="str">
        <f t="shared" si="0"/>
        <v>2,5 ≤ Turb &lt; 5,0 uT</v>
      </c>
      <c r="R27" s="39" t="str">
        <f t="shared" si="1"/>
        <v>15 ≤ Cor &lt; 30 uC</v>
      </c>
      <c r="S27" s="39" t="str">
        <f t="shared" si="2"/>
        <v>7,5 ≤ Alc. Bruta &lt; 10,0 mg/L</v>
      </c>
      <c r="T27" s="37" t="str">
        <f t="shared" si="3"/>
        <v>Tipo 4 (&gt;0,75) uT</v>
      </c>
      <c r="U27" s="41">
        <f t="shared" si="4"/>
        <v>0.69930069930069927</v>
      </c>
      <c r="V27" s="71" t="str">
        <f t="shared" si="5"/>
        <v>Tipo 3 (50-75%)</v>
      </c>
    </row>
    <row r="28" spans="1:22" x14ac:dyDescent="0.3">
      <c r="A28" s="27">
        <v>46170</v>
      </c>
      <c r="B28" s="69">
        <v>4.29</v>
      </c>
      <c r="C28" s="69">
        <v>18</v>
      </c>
      <c r="D28" s="69">
        <v>6.9</v>
      </c>
      <c r="E28" s="69">
        <v>7.9</v>
      </c>
      <c r="G28" s="69">
        <v>6</v>
      </c>
      <c r="H28" s="69">
        <v>6.8</v>
      </c>
      <c r="I28" s="69">
        <v>0</v>
      </c>
      <c r="J28" s="69">
        <v>0</v>
      </c>
      <c r="K28" s="69">
        <v>0</v>
      </c>
      <c r="L28" s="69">
        <v>0.49</v>
      </c>
      <c r="M28" s="69">
        <v>1</v>
      </c>
      <c r="N28" s="69">
        <v>5.5</v>
      </c>
      <c r="O28" s="69">
        <v>6.4</v>
      </c>
      <c r="P28" s="70" t="s">
        <v>266</v>
      </c>
      <c r="Q28" s="37" t="str">
        <f t="shared" si="0"/>
        <v>2,5 ≤ Turb &lt; 5,0 uT</v>
      </c>
      <c r="R28" s="39" t="str">
        <f t="shared" si="1"/>
        <v>15 ≤ Cor &lt; 30 uC</v>
      </c>
      <c r="S28" s="39" t="str">
        <f t="shared" si="2"/>
        <v>7,5 ≤ Alc. Bruta &lt; 10,0 mg/L</v>
      </c>
      <c r="T28" s="37" t="str">
        <f t="shared" si="3"/>
        <v>Tipo 2 (0,25-0,50) uT</v>
      </c>
      <c r="U28" s="41">
        <f t="shared" si="4"/>
        <v>0.88578088578088576</v>
      </c>
      <c r="V28" s="71" t="str">
        <f t="shared" si="5"/>
        <v>Tipo 4 (75-100%)</v>
      </c>
    </row>
    <row r="29" spans="1:22" x14ac:dyDescent="0.3">
      <c r="A29" s="27">
        <v>46183</v>
      </c>
      <c r="B29" s="69">
        <v>2.5299999999999998</v>
      </c>
      <c r="C29" s="69">
        <v>13</v>
      </c>
      <c r="D29" s="69">
        <v>6.8</v>
      </c>
      <c r="E29" s="69">
        <v>8.3000000000000007</v>
      </c>
      <c r="G29" s="69">
        <v>6</v>
      </c>
      <c r="H29" s="69">
        <v>8.5</v>
      </c>
      <c r="I29" s="69">
        <v>0</v>
      </c>
      <c r="J29" s="69">
        <v>0</v>
      </c>
      <c r="K29" s="69">
        <v>0</v>
      </c>
      <c r="L29" s="69">
        <v>3.46</v>
      </c>
      <c r="M29" s="69">
        <v>17</v>
      </c>
      <c r="N29" s="69">
        <v>7.6</v>
      </c>
      <c r="O29" s="69">
        <v>6.6</v>
      </c>
      <c r="P29" s="70" t="s">
        <v>269</v>
      </c>
      <c r="Q29" s="37" t="str">
        <f t="shared" si="0"/>
        <v>2,5 ≤ Turb &lt; 5,0 uT</v>
      </c>
      <c r="R29" s="39" t="str">
        <f t="shared" si="1"/>
        <v>10 ≤ Cor &lt;15 uC</v>
      </c>
      <c r="S29" s="39" t="str">
        <f t="shared" si="2"/>
        <v>7,5 ≤ Alc. Bruta &lt; 10,0 mg/L</v>
      </c>
      <c r="T29" s="37" t="str">
        <f t="shared" si="3"/>
        <v>Tipo 4 (&gt;0,75) uT</v>
      </c>
      <c r="U29" s="41" t="str">
        <f t="shared" si="4"/>
        <v/>
      </c>
      <c r="V29" s="71" t="str">
        <f t="shared" si="5"/>
        <v/>
      </c>
    </row>
    <row r="30" spans="1:22" x14ac:dyDescent="0.3">
      <c r="A30" s="27">
        <v>46183</v>
      </c>
      <c r="B30" s="69">
        <v>2.5299999999999998</v>
      </c>
      <c r="C30" s="69">
        <v>13</v>
      </c>
      <c r="D30" s="69">
        <v>6.8</v>
      </c>
      <c r="E30" s="69">
        <v>8.3000000000000007</v>
      </c>
      <c r="G30" s="69">
        <v>1</v>
      </c>
      <c r="H30" s="69">
        <v>4</v>
      </c>
      <c r="I30" s="69">
        <v>0</v>
      </c>
      <c r="J30" s="69">
        <v>0</v>
      </c>
      <c r="K30" s="69">
        <v>0</v>
      </c>
      <c r="L30" s="69">
        <v>2.89</v>
      </c>
      <c r="M30" s="69">
        <v>18</v>
      </c>
      <c r="N30" s="69">
        <v>6.9</v>
      </c>
      <c r="O30" s="69">
        <v>6.6</v>
      </c>
      <c r="P30" s="70" t="s">
        <v>269</v>
      </c>
      <c r="Q30" s="37" t="str">
        <f t="shared" si="0"/>
        <v>2,5 ≤ Turb &lt; 5,0 uT</v>
      </c>
      <c r="R30" s="39" t="str">
        <f t="shared" si="1"/>
        <v>10 ≤ Cor &lt;15 uC</v>
      </c>
      <c r="S30" s="39" t="str">
        <f t="shared" si="2"/>
        <v>7,5 ≤ Alc. Bruta &lt; 10,0 mg/L</v>
      </c>
      <c r="T30" s="37" t="str">
        <f t="shared" si="3"/>
        <v>Tipo 4 (&gt;0,75) uT</v>
      </c>
      <c r="U30" s="41" t="str">
        <f t="shared" si="4"/>
        <v/>
      </c>
      <c r="V30" s="71" t="str">
        <f t="shared" si="5"/>
        <v/>
      </c>
    </row>
    <row r="31" spans="1:22" x14ac:dyDescent="0.3">
      <c r="A31" s="27">
        <v>46183</v>
      </c>
      <c r="B31" s="69">
        <v>2.5299999999999998</v>
      </c>
      <c r="C31" s="69">
        <v>13</v>
      </c>
      <c r="D31" s="69">
        <v>6.8</v>
      </c>
      <c r="E31" s="69">
        <v>8.3000000000000007</v>
      </c>
      <c r="G31" s="69">
        <v>2</v>
      </c>
      <c r="H31" s="69">
        <v>4.5</v>
      </c>
      <c r="I31" s="69">
        <v>0</v>
      </c>
      <c r="J31" s="69">
        <v>0</v>
      </c>
      <c r="K31" s="69">
        <v>0</v>
      </c>
      <c r="L31" s="69">
        <v>2.11</v>
      </c>
      <c r="M31" s="69">
        <v>9</v>
      </c>
      <c r="N31" s="69">
        <v>6.5</v>
      </c>
      <c r="O31" s="69">
        <v>6.6</v>
      </c>
      <c r="P31" s="70" t="s">
        <v>269</v>
      </c>
      <c r="Q31" s="37" t="str">
        <f t="shared" si="0"/>
        <v>2,5 ≤ Turb &lt; 5,0 uT</v>
      </c>
      <c r="R31" s="39" t="str">
        <f t="shared" si="1"/>
        <v>10 ≤ Cor &lt;15 uC</v>
      </c>
      <c r="S31" s="39" t="str">
        <f t="shared" si="2"/>
        <v>7,5 ≤ Alc. Bruta &lt; 10,0 mg/L</v>
      </c>
      <c r="T31" s="37" t="str">
        <f t="shared" si="3"/>
        <v>Tipo 4 (&gt;0,75) uT</v>
      </c>
      <c r="U31" s="41">
        <f t="shared" si="4"/>
        <v>0.16600790513833985</v>
      </c>
      <c r="V31" s="71" t="str">
        <f t="shared" si="5"/>
        <v>Tipo 1 (25%)</v>
      </c>
    </row>
    <row r="32" spans="1:22" x14ac:dyDescent="0.3">
      <c r="A32" s="27">
        <v>46183</v>
      </c>
      <c r="B32" s="69">
        <v>2.5299999999999998</v>
      </c>
      <c r="C32" s="69">
        <v>13</v>
      </c>
      <c r="D32" s="69">
        <v>6.8</v>
      </c>
      <c r="E32" s="69">
        <v>8.3000000000000007</v>
      </c>
      <c r="G32" s="69">
        <v>3</v>
      </c>
      <c r="H32" s="69">
        <v>5</v>
      </c>
      <c r="I32" s="69">
        <v>0</v>
      </c>
      <c r="J32" s="69">
        <v>0</v>
      </c>
      <c r="K32" s="69">
        <v>0</v>
      </c>
      <c r="L32" s="69">
        <v>2.0099999999999998</v>
      </c>
      <c r="M32" s="69">
        <v>10</v>
      </c>
      <c r="N32" s="69">
        <v>6.5</v>
      </c>
      <c r="O32" s="69">
        <v>6.6</v>
      </c>
      <c r="P32" s="70" t="s">
        <v>269</v>
      </c>
      <c r="Q32" s="37" t="str">
        <f t="shared" si="0"/>
        <v>2,5 ≤ Turb &lt; 5,0 uT</v>
      </c>
      <c r="R32" s="39" t="str">
        <f t="shared" si="1"/>
        <v>10 ≤ Cor &lt;15 uC</v>
      </c>
      <c r="S32" s="39" t="str">
        <f t="shared" si="2"/>
        <v>7,5 ≤ Alc. Bruta &lt; 10,0 mg/L</v>
      </c>
      <c r="T32" s="37" t="str">
        <f t="shared" si="3"/>
        <v>Tipo 4 (&gt;0,75) uT</v>
      </c>
      <c r="U32" s="41">
        <f t="shared" si="4"/>
        <v>0.2055335968379447</v>
      </c>
      <c r="V32" s="71" t="str">
        <f t="shared" si="5"/>
        <v>Tipo 1 (25%)</v>
      </c>
    </row>
    <row r="33" spans="1:22" x14ac:dyDescent="0.3">
      <c r="A33" s="27">
        <v>46183</v>
      </c>
      <c r="B33" s="69">
        <v>2.5299999999999998</v>
      </c>
      <c r="C33" s="69">
        <v>13</v>
      </c>
      <c r="D33" s="69">
        <v>6.8</v>
      </c>
      <c r="E33" s="69">
        <v>8.3000000000000007</v>
      </c>
      <c r="G33" s="69">
        <v>4</v>
      </c>
      <c r="H33" s="69">
        <v>5.5</v>
      </c>
      <c r="I33" s="69">
        <v>0</v>
      </c>
      <c r="J33" s="69">
        <v>0</v>
      </c>
      <c r="K33" s="69">
        <v>0</v>
      </c>
      <c r="L33" s="69">
        <v>0.89</v>
      </c>
      <c r="M33" s="69">
        <v>7</v>
      </c>
      <c r="N33" s="69">
        <v>6</v>
      </c>
      <c r="O33" s="69">
        <v>6.6</v>
      </c>
      <c r="P33" s="70" t="s">
        <v>269</v>
      </c>
      <c r="Q33" s="37" t="str">
        <f t="shared" si="0"/>
        <v>2,5 ≤ Turb &lt; 5,0 uT</v>
      </c>
      <c r="R33" s="39" t="str">
        <f t="shared" si="1"/>
        <v>10 ≤ Cor &lt;15 uC</v>
      </c>
      <c r="S33" s="39" t="str">
        <f t="shared" si="2"/>
        <v>7,5 ≤ Alc. Bruta &lt; 10,0 mg/L</v>
      </c>
      <c r="T33" s="37" t="str">
        <f t="shared" si="3"/>
        <v>Tipo 4 (&gt;0,75) uT</v>
      </c>
      <c r="U33" s="41">
        <f t="shared" si="4"/>
        <v>0.64822134387351782</v>
      </c>
      <c r="V33" s="71" t="str">
        <f t="shared" si="5"/>
        <v>Tipo 3 (50-75%)</v>
      </c>
    </row>
    <row r="34" spans="1:22" x14ac:dyDescent="0.3">
      <c r="A34" s="27">
        <v>46183</v>
      </c>
      <c r="B34" s="69">
        <v>2.5299999999999998</v>
      </c>
      <c r="C34" s="69">
        <v>13</v>
      </c>
      <c r="D34" s="69">
        <v>6.8</v>
      </c>
      <c r="E34" s="69">
        <v>8.3000000000000007</v>
      </c>
      <c r="G34" s="69">
        <v>5</v>
      </c>
      <c r="H34" s="69">
        <v>6</v>
      </c>
      <c r="I34" s="69">
        <v>0</v>
      </c>
      <c r="J34" s="69">
        <v>0</v>
      </c>
      <c r="K34" s="69">
        <v>0</v>
      </c>
      <c r="L34" s="69">
        <v>0.43</v>
      </c>
      <c r="M34" s="69">
        <v>4</v>
      </c>
      <c r="N34" s="69">
        <v>6.3</v>
      </c>
      <c r="O34" s="69">
        <v>6.6</v>
      </c>
      <c r="P34" s="70" t="s">
        <v>269</v>
      </c>
      <c r="Q34" s="37" t="str">
        <f t="shared" si="0"/>
        <v>2,5 ≤ Turb &lt; 5,0 uT</v>
      </c>
      <c r="R34" s="39" t="str">
        <f t="shared" si="1"/>
        <v>10 ≤ Cor &lt;15 uC</v>
      </c>
      <c r="S34" s="39" t="str">
        <f t="shared" si="2"/>
        <v>7,5 ≤ Alc. Bruta &lt; 10,0 mg/L</v>
      </c>
      <c r="T34" s="37" t="str">
        <f t="shared" si="3"/>
        <v>Tipo 2 (0,25-0,50) uT</v>
      </c>
      <c r="U34" s="41">
        <f t="shared" si="4"/>
        <v>0.83003952569169959</v>
      </c>
      <c r="V34" s="71" t="str">
        <f t="shared" si="5"/>
        <v>Tipo 4 (75-100%)</v>
      </c>
    </row>
    <row r="35" spans="1:22" x14ac:dyDescent="0.3">
      <c r="A35" s="27">
        <v>46184</v>
      </c>
      <c r="B35" s="69">
        <v>3.22</v>
      </c>
      <c r="C35" s="69">
        <v>18</v>
      </c>
      <c r="D35" s="69">
        <v>6.7</v>
      </c>
      <c r="E35" s="69">
        <v>7.7</v>
      </c>
      <c r="G35" s="69">
        <v>1</v>
      </c>
      <c r="H35" s="69">
        <v>4</v>
      </c>
      <c r="I35" s="69">
        <v>0</v>
      </c>
      <c r="J35" s="69">
        <v>0</v>
      </c>
      <c r="K35" s="69">
        <v>0</v>
      </c>
      <c r="L35" s="69">
        <v>3.84</v>
      </c>
      <c r="M35" s="69">
        <v>19</v>
      </c>
      <c r="N35" s="69">
        <v>6.4</v>
      </c>
      <c r="O35" s="69">
        <v>6.7</v>
      </c>
      <c r="P35" s="70" t="s">
        <v>270</v>
      </c>
      <c r="Q35" s="37" t="str">
        <f t="shared" si="0"/>
        <v>2,5 ≤ Turb &lt; 5,0 uT</v>
      </c>
      <c r="R35" s="39" t="str">
        <f t="shared" si="1"/>
        <v>15 ≤ Cor &lt; 30 uC</v>
      </c>
      <c r="S35" s="39" t="str">
        <f t="shared" si="2"/>
        <v>7,5 ≤ Alc. Bruta &lt; 10,0 mg/L</v>
      </c>
      <c r="T35" s="37" t="str">
        <f t="shared" si="3"/>
        <v>Tipo 4 (&gt;0,75) uT</v>
      </c>
      <c r="U35" s="41" t="str">
        <f t="shared" si="4"/>
        <v/>
      </c>
      <c r="V35" s="71" t="str">
        <f t="shared" si="5"/>
        <v/>
      </c>
    </row>
    <row r="36" spans="1:22" x14ac:dyDescent="0.3">
      <c r="A36" s="27">
        <v>46184</v>
      </c>
      <c r="B36" s="69">
        <v>3.22</v>
      </c>
      <c r="C36" s="69">
        <v>18</v>
      </c>
      <c r="D36" s="69">
        <v>6.7</v>
      </c>
      <c r="E36" s="69">
        <v>7.7</v>
      </c>
      <c r="G36" s="69">
        <v>2</v>
      </c>
      <c r="H36" s="69">
        <v>5</v>
      </c>
      <c r="I36" s="69">
        <v>0</v>
      </c>
      <c r="J36" s="69">
        <v>0</v>
      </c>
      <c r="K36" s="69">
        <v>0</v>
      </c>
      <c r="L36" s="69">
        <v>3.76</v>
      </c>
      <c r="M36" s="69">
        <v>17</v>
      </c>
      <c r="N36" s="69">
        <v>5.8</v>
      </c>
      <c r="O36" s="69">
        <v>6.7</v>
      </c>
      <c r="P36" s="70" t="s">
        <v>270</v>
      </c>
      <c r="Q36" s="37" t="str">
        <f t="shared" si="0"/>
        <v>2,5 ≤ Turb &lt; 5,0 uT</v>
      </c>
      <c r="R36" s="39" t="str">
        <f t="shared" si="1"/>
        <v>15 ≤ Cor &lt; 30 uC</v>
      </c>
      <c r="S36" s="39" t="str">
        <f t="shared" si="2"/>
        <v>7,5 ≤ Alc. Bruta &lt; 10,0 mg/L</v>
      </c>
      <c r="T36" s="37" t="str">
        <f t="shared" si="3"/>
        <v>Tipo 4 (&gt;0,75) uT</v>
      </c>
      <c r="U36" s="41" t="str">
        <f t="shared" si="4"/>
        <v/>
      </c>
      <c r="V36" s="71" t="str">
        <f t="shared" si="5"/>
        <v/>
      </c>
    </row>
    <row r="37" spans="1:22" x14ac:dyDescent="0.3">
      <c r="A37" s="27">
        <v>46184</v>
      </c>
      <c r="B37" s="69">
        <v>3.22</v>
      </c>
      <c r="C37" s="69">
        <v>18</v>
      </c>
      <c r="D37" s="69">
        <v>6.7</v>
      </c>
      <c r="E37" s="69">
        <v>7.7</v>
      </c>
      <c r="G37" s="69">
        <v>3</v>
      </c>
      <c r="H37" s="69">
        <v>6</v>
      </c>
      <c r="I37" s="69">
        <v>0</v>
      </c>
      <c r="J37" s="69">
        <v>0</v>
      </c>
      <c r="K37" s="69">
        <v>0</v>
      </c>
      <c r="L37" s="69">
        <v>3.74</v>
      </c>
      <c r="M37" s="69">
        <v>18</v>
      </c>
      <c r="N37" s="69">
        <v>5.4</v>
      </c>
      <c r="O37" s="69">
        <v>6.7</v>
      </c>
      <c r="P37" s="70" t="s">
        <v>270</v>
      </c>
      <c r="Q37" s="37" t="str">
        <f t="shared" si="0"/>
        <v>2,5 ≤ Turb &lt; 5,0 uT</v>
      </c>
      <c r="R37" s="39" t="str">
        <f t="shared" si="1"/>
        <v>15 ≤ Cor &lt; 30 uC</v>
      </c>
      <c r="S37" s="39" t="str">
        <f t="shared" si="2"/>
        <v>7,5 ≤ Alc. Bruta &lt; 10,0 mg/L</v>
      </c>
      <c r="T37" s="37" t="str">
        <f t="shared" si="3"/>
        <v>Tipo 4 (&gt;0,75) uT</v>
      </c>
      <c r="U37" s="41" t="str">
        <f t="shared" si="4"/>
        <v/>
      </c>
      <c r="V37" s="71" t="str">
        <f t="shared" si="5"/>
        <v/>
      </c>
    </row>
    <row r="38" spans="1:22" x14ac:dyDescent="0.3">
      <c r="A38" s="27">
        <v>46184</v>
      </c>
      <c r="B38" s="69">
        <v>3.22</v>
      </c>
      <c r="C38" s="69">
        <v>18</v>
      </c>
      <c r="D38" s="69">
        <v>6.7</v>
      </c>
      <c r="E38" s="69">
        <v>7.7</v>
      </c>
      <c r="G38" s="69">
        <v>4</v>
      </c>
      <c r="H38" s="69">
        <v>7</v>
      </c>
      <c r="I38" s="69">
        <v>0</v>
      </c>
      <c r="J38" s="69">
        <v>0</v>
      </c>
      <c r="K38" s="69">
        <v>0</v>
      </c>
      <c r="L38" s="69">
        <v>2.78</v>
      </c>
      <c r="M38" s="69">
        <v>14</v>
      </c>
      <c r="N38" s="69">
        <v>6</v>
      </c>
      <c r="O38" s="69">
        <v>6.7</v>
      </c>
      <c r="P38" s="70" t="s">
        <v>270</v>
      </c>
      <c r="Q38" s="37" t="str">
        <f t="shared" si="0"/>
        <v>2,5 ≤ Turb &lt; 5,0 uT</v>
      </c>
      <c r="R38" s="39" t="str">
        <f t="shared" si="1"/>
        <v>15 ≤ Cor &lt; 30 uC</v>
      </c>
      <c r="S38" s="39" t="str">
        <f t="shared" si="2"/>
        <v>7,5 ≤ Alc. Bruta &lt; 10,0 mg/L</v>
      </c>
      <c r="T38" s="37" t="str">
        <f t="shared" si="3"/>
        <v>Tipo 4 (&gt;0,75) uT</v>
      </c>
      <c r="U38" s="41">
        <f t="shared" si="4"/>
        <v>0.1366459627329194</v>
      </c>
      <c r="V38" s="71" t="str">
        <f t="shared" si="5"/>
        <v>Tipo 1 (25%)</v>
      </c>
    </row>
    <row r="39" spans="1:22" x14ac:dyDescent="0.3">
      <c r="A39" s="27">
        <v>46184</v>
      </c>
      <c r="B39" s="69">
        <v>3.22</v>
      </c>
      <c r="C39" s="69">
        <v>18</v>
      </c>
      <c r="D39" s="69">
        <v>6.7</v>
      </c>
      <c r="E39" s="69">
        <v>7.7</v>
      </c>
      <c r="G39" s="69">
        <v>5</v>
      </c>
      <c r="H39" s="69">
        <v>8</v>
      </c>
      <c r="I39" s="69">
        <v>0</v>
      </c>
      <c r="J39" s="69">
        <v>0</v>
      </c>
      <c r="K39" s="69">
        <v>0</v>
      </c>
      <c r="L39" s="69">
        <v>1.61</v>
      </c>
      <c r="M39" s="69">
        <v>8</v>
      </c>
      <c r="N39" s="69">
        <v>4.4000000000000004</v>
      </c>
      <c r="O39" s="69">
        <v>6.6</v>
      </c>
      <c r="P39" s="70" t="s">
        <v>270</v>
      </c>
      <c r="Q39" s="37" t="str">
        <f t="shared" si="0"/>
        <v>2,5 ≤ Turb &lt; 5,0 uT</v>
      </c>
      <c r="R39" s="39" t="str">
        <f t="shared" si="1"/>
        <v>15 ≤ Cor &lt; 30 uC</v>
      </c>
      <c r="S39" s="39" t="str">
        <f t="shared" si="2"/>
        <v>7,5 ≤ Alc. Bruta &lt; 10,0 mg/L</v>
      </c>
      <c r="T39" s="37" t="str">
        <f t="shared" si="3"/>
        <v>Tipo 4 (&gt;0,75) uT</v>
      </c>
      <c r="U39" s="41">
        <f t="shared" si="4"/>
        <v>0.5</v>
      </c>
      <c r="V39" s="71" t="str">
        <f t="shared" si="5"/>
        <v>Tipo 2 (25-50%)</v>
      </c>
    </row>
    <row r="40" spans="1:22" x14ac:dyDescent="0.3">
      <c r="A40" s="27">
        <v>46184</v>
      </c>
      <c r="B40" s="69">
        <v>3.22</v>
      </c>
      <c r="C40" s="69">
        <v>18</v>
      </c>
      <c r="D40" s="69">
        <v>6.7</v>
      </c>
      <c r="E40" s="69">
        <v>7.7</v>
      </c>
      <c r="G40" s="69">
        <v>6</v>
      </c>
      <c r="H40" s="69">
        <v>9</v>
      </c>
      <c r="I40" s="69">
        <v>0</v>
      </c>
      <c r="J40" s="69">
        <v>0</v>
      </c>
      <c r="K40" s="69">
        <v>0</v>
      </c>
      <c r="L40" s="69">
        <v>0.48</v>
      </c>
      <c r="M40" s="69">
        <v>3</v>
      </c>
      <c r="N40" s="69">
        <v>4.9000000000000004</v>
      </c>
      <c r="O40" s="69">
        <v>6.6</v>
      </c>
      <c r="P40" s="70" t="s">
        <v>270</v>
      </c>
      <c r="Q40" s="37" t="str">
        <f t="shared" si="0"/>
        <v>2,5 ≤ Turb &lt; 5,0 uT</v>
      </c>
      <c r="R40" s="39" t="str">
        <f t="shared" si="1"/>
        <v>15 ≤ Cor &lt; 30 uC</v>
      </c>
      <c r="S40" s="39" t="str">
        <f t="shared" si="2"/>
        <v>7,5 ≤ Alc. Bruta &lt; 10,0 mg/L</v>
      </c>
      <c r="T40" s="37" t="str">
        <f t="shared" si="3"/>
        <v>Tipo 2 (0,25-0,50) uT</v>
      </c>
      <c r="U40" s="41">
        <f t="shared" si="4"/>
        <v>0.85093167701863359</v>
      </c>
      <c r="V40" s="71" t="str">
        <f t="shared" si="5"/>
        <v>Tipo 4 (75-100%)</v>
      </c>
    </row>
    <row r="41" spans="1:22" x14ac:dyDescent="0.3">
      <c r="A41" s="27">
        <v>46185</v>
      </c>
      <c r="B41" s="69">
        <v>3.08</v>
      </c>
      <c r="C41" s="69">
        <v>15</v>
      </c>
      <c r="D41" s="69">
        <v>6.8</v>
      </c>
      <c r="E41" s="69">
        <v>8.6</v>
      </c>
      <c r="G41" s="69">
        <v>1</v>
      </c>
      <c r="H41" s="69">
        <v>4.5</v>
      </c>
      <c r="I41" s="69">
        <v>0</v>
      </c>
      <c r="J41" s="69">
        <v>0</v>
      </c>
      <c r="K41" s="69">
        <v>0</v>
      </c>
      <c r="L41" s="69">
        <v>2.85</v>
      </c>
      <c r="M41" s="69">
        <v>12</v>
      </c>
      <c r="N41" s="69">
        <v>7.7</v>
      </c>
      <c r="O41" s="69">
        <v>6.8</v>
      </c>
      <c r="P41" s="70" t="s">
        <v>271</v>
      </c>
      <c r="Q41" s="37" t="str">
        <f t="shared" si="0"/>
        <v>2,5 ≤ Turb &lt; 5,0 uT</v>
      </c>
      <c r="R41" s="39" t="str">
        <f t="shared" si="1"/>
        <v>15 ≤ Cor &lt; 30 uC</v>
      </c>
      <c r="S41" s="39" t="str">
        <f t="shared" si="2"/>
        <v>7,5 ≤ Alc. Bruta &lt; 10,0 mg/L</v>
      </c>
      <c r="T41" s="37" t="str">
        <f t="shared" si="3"/>
        <v>Tipo 4 (&gt;0,75) uT</v>
      </c>
      <c r="U41" s="41">
        <f t="shared" si="4"/>
        <v>7.4675324675324672E-2</v>
      </c>
      <c r="V41" s="71" t="str">
        <f t="shared" si="5"/>
        <v>Tipo 1 (25%)</v>
      </c>
    </row>
    <row r="42" spans="1:22" x14ac:dyDescent="0.3">
      <c r="A42" s="27">
        <v>46185</v>
      </c>
      <c r="B42" s="69">
        <v>3.08</v>
      </c>
      <c r="C42" s="69">
        <v>15</v>
      </c>
      <c r="D42" s="69">
        <v>6.8</v>
      </c>
      <c r="E42" s="69">
        <v>8.6</v>
      </c>
      <c r="G42" s="69">
        <v>2</v>
      </c>
      <c r="H42" s="69">
        <v>5</v>
      </c>
      <c r="I42" s="69">
        <v>0</v>
      </c>
      <c r="J42" s="69">
        <v>0</v>
      </c>
      <c r="K42" s="69">
        <v>0</v>
      </c>
      <c r="L42" s="69">
        <v>2.8</v>
      </c>
      <c r="M42" s="69">
        <v>13</v>
      </c>
      <c r="N42" s="69">
        <v>7.5</v>
      </c>
      <c r="O42" s="69">
        <v>6.8</v>
      </c>
      <c r="P42" s="70" t="s">
        <v>271</v>
      </c>
      <c r="Q42" s="37" t="str">
        <f t="shared" si="0"/>
        <v>2,5 ≤ Turb &lt; 5,0 uT</v>
      </c>
      <c r="R42" s="39" t="str">
        <f t="shared" si="1"/>
        <v>15 ≤ Cor &lt; 30 uC</v>
      </c>
      <c r="S42" s="39" t="str">
        <f t="shared" si="2"/>
        <v>7,5 ≤ Alc. Bruta &lt; 10,0 mg/L</v>
      </c>
      <c r="T42" s="37" t="str">
        <f t="shared" si="3"/>
        <v>Tipo 4 (&gt;0,75) uT</v>
      </c>
      <c r="U42" s="41">
        <f t="shared" si="4"/>
        <v>9.0909090909090939E-2</v>
      </c>
      <c r="V42" s="71" t="str">
        <f t="shared" si="5"/>
        <v>Tipo 1 (25%)</v>
      </c>
    </row>
    <row r="43" spans="1:22" x14ac:dyDescent="0.3">
      <c r="A43" s="27">
        <v>46185</v>
      </c>
      <c r="B43" s="69">
        <v>3.08</v>
      </c>
      <c r="C43" s="69">
        <v>15</v>
      </c>
      <c r="D43" s="69">
        <v>6.8</v>
      </c>
      <c r="E43" s="69">
        <v>8.6</v>
      </c>
      <c r="G43" s="69">
        <v>3</v>
      </c>
      <c r="H43" s="69">
        <v>5.5</v>
      </c>
      <c r="I43" s="69">
        <v>0</v>
      </c>
      <c r="J43" s="69">
        <v>0</v>
      </c>
      <c r="K43" s="69">
        <v>0</v>
      </c>
      <c r="L43" s="69">
        <v>1.46</v>
      </c>
      <c r="M43" s="69">
        <v>4</v>
      </c>
      <c r="N43" s="69">
        <v>7.3</v>
      </c>
      <c r="O43" s="69">
        <v>6.8</v>
      </c>
      <c r="P43" s="70" t="s">
        <v>271</v>
      </c>
      <c r="Q43" s="37" t="str">
        <f t="shared" si="0"/>
        <v>2,5 ≤ Turb &lt; 5,0 uT</v>
      </c>
      <c r="R43" s="39" t="str">
        <f t="shared" si="1"/>
        <v>15 ≤ Cor &lt; 30 uC</v>
      </c>
      <c r="S43" s="39" t="str">
        <f t="shared" si="2"/>
        <v>7,5 ≤ Alc. Bruta &lt; 10,0 mg/L</v>
      </c>
      <c r="T43" s="37" t="str">
        <f t="shared" si="3"/>
        <v>Tipo 4 (&gt;0,75) uT</v>
      </c>
      <c r="U43" s="41">
        <f t="shared" si="4"/>
        <v>0.52597402597402598</v>
      </c>
      <c r="V43" s="71" t="str">
        <f t="shared" si="5"/>
        <v>Tipo 3 (50-75%)</v>
      </c>
    </row>
    <row r="44" spans="1:22" x14ac:dyDescent="0.3">
      <c r="A44" s="27">
        <v>46185</v>
      </c>
      <c r="B44" s="69">
        <v>3.08</v>
      </c>
      <c r="C44" s="69">
        <v>15</v>
      </c>
      <c r="D44" s="69">
        <v>6.8</v>
      </c>
      <c r="E44" s="69">
        <v>8.6</v>
      </c>
      <c r="G44" s="69">
        <v>4</v>
      </c>
      <c r="H44" s="69">
        <v>6</v>
      </c>
      <c r="I44" s="69">
        <v>0</v>
      </c>
      <c r="J44" s="69">
        <v>0</v>
      </c>
      <c r="K44" s="69">
        <v>0</v>
      </c>
      <c r="L44" s="69">
        <v>0.91</v>
      </c>
      <c r="M44" s="69">
        <v>3</v>
      </c>
      <c r="N44" s="69">
        <v>7.2</v>
      </c>
      <c r="O44" s="69">
        <v>6.8</v>
      </c>
      <c r="P44" s="70" t="s">
        <v>271</v>
      </c>
      <c r="Q44" s="37" t="str">
        <f t="shared" si="0"/>
        <v>2,5 ≤ Turb &lt; 5,0 uT</v>
      </c>
      <c r="R44" s="39" t="str">
        <f t="shared" si="1"/>
        <v>15 ≤ Cor &lt; 30 uC</v>
      </c>
      <c r="S44" s="39" t="str">
        <f t="shared" si="2"/>
        <v>7,5 ≤ Alc. Bruta &lt; 10,0 mg/L</v>
      </c>
      <c r="T44" s="37" t="str">
        <f t="shared" si="3"/>
        <v>Tipo 4 (&gt;0,75) uT</v>
      </c>
      <c r="U44" s="41">
        <f t="shared" si="4"/>
        <v>0.70454545454545459</v>
      </c>
      <c r="V44" s="71" t="str">
        <f t="shared" si="5"/>
        <v>Tipo 3 (50-75%)</v>
      </c>
    </row>
    <row r="45" spans="1:22" x14ac:dyDescent="0.3">
      <c r="A45" s="27">
        <v>46185</v>
      </c>
      <c r="B45" s="69">
        <v>3.08</v>
      </c>
      <c r="C45" s="69">
        <v>15</v>
      </c>
      <c r="D45" s="69">
        <v>6.8</v>
      </c>
      <c r="E45" s="69">
        <v>8.6</v>
      </c>
      <c r="G45" s="69">
        <v>5</v>
      </c>
      <c r="H45" s="69">
        <v>6.5</v>
      </c>
      <c r="I45" s="69">
        <v>0</v>
      </c>
      <c r="J45" s="69">
        <v>0</v>
      </c>
      <c r="K45" s="69">
        <v>0</v>
      </c>
      <c r="L45" s="69">
        <v>0.5</v>
      </c>
      <c r="M45" s="69">
        <v>4</v>
      </c>
      <c r="N45" s="69">
        <v>6.6</v>
      </c>
      <c r="O45" s="69">
        <v>6.7</v>
      </c>
      <c r="P45" s="70" t="s">
        <v>271</v>
      </c>
      <c r="Q45" s="37" t="str">
        <f t="shared" si="0"/>
        <v>2,5 ≤ Turb &lt; 5,0 uT</v>
      </c>
      <c r="R45" s="39" t="str">
        <f t="shared" si="1"/>
        <v>15 ≤ Cor &lt; 30 uC</v>
      </c>
      <c r="S45" s="39" t="str">
        <f t="shared" si="2"/>
        <v>7,5 ≤ Alc. Bruta &lt; 10,0 mg/L</v>
      </c>
      <c r="T45" s="37" t="str">
        <f t="shared" si="3"/>
        <v>Tipo 2 (0,25-0,50) uT</v>
      </c>
      <c r="U45" s="41">
        <f t="shared" si="4"/>
        <v>0.83766233766233766</v>
      </c>
      <c r="V45" s="71" t="str">
        <f t="shared" si="5"/>
        <v>Tipo 4 (75-100%)</v>
      </c>
    </row>
    <row r="46" spans="1:22" x14ac:dyDescent="0.3">
      <c r="A46" s="27">
        <v>46185</v>
      </c>
      <c r="B46" s="69">
        <v>3.08</v>
      </c>
      <c r="C46" s="69">
        <v>15</v>
      </c>
      <c r="D46" s="69">
        <v>6.8</v>
      </c>
      <c r="E46" s="69">
        <v>8.6</v>
      </c>
      <c r="G46" s="69">
        <v>6</v>
      </c>
      <c r="H46" s="69">
        <v>7</v>
      </c>
      <c r="I46" s="69">
        <v>0</v>
      </c>
      <c r="J46" s="69">
        <v>0</v>
      </c>
      <c r="K46" s="69">
        <v>0</v>
      </c>
      <c r="L46" s="69">
        <v>0.39</v>
      </c>
      <c r="M46" s="69">
        <v>2</v>
      </c>
      <c r="N46" s="69">
        <v>6.2</v>
      </c>
      <c r="O46" s="69">
        <v>6.7</v>
      </c>
      <c r="P46" s="70" t="s">
        <v>271</v>
      </c>
      <c r="Q46" s="37" t="str">
        <f t="shared" si="0"/>
        <v>2,5 ≤ Turb &lt; 5,0 uT</v>
      </c>
      <c r="R46" s="39" t="str">
        <f t="shared" si="1"/>
        <v>15 ≤ Cor &lt; 30 uC</v>
      </c>
      <c r="S46" s="39" t="str">
        <f t="shared" si="2"/>
        <v>7,5 ≤ Alc. Bruta &lt; 10,0 mg/L</v>
      </c>
      <c r="T46" s="37" t="str">
        <f t="shared" si="3"/>
        <v>Tipo 2 (0,25-0,50) uT</v>
      </c>
      <c r="U46" s="41">
        <f t="shared" si="4"/>
        <v>0.87337662337662336</v>
      </c>
      <c r="V46" s="71" t="str">
        <f t="shared" si="5"/>
        <v>Tipo 4 (75-100%)</v>
      </c>
    </row>
    <row r="47" spans="1:22" x14ac:dyDescent="0.3">
      <c r="A47" s="27">
        <v>46188</v>
      </c>
      <c r="B47" s="69">
        <v>4.58</v>
      </c>
      <c r="C47" s="69">
        <v>22</v>
      </c>
      <c r="D47" s="69">
        <v>6.6</v>
      </c>
      <c r="E47" s="69">
        <v>5.6</v>
      </c>
      <c r="G47" s="69">
        <v>1</v>
      </c>
      <c r="H47" s="69">
        <v>6</v>
      </c>
      <c r="I47" s="69">
        <v>0</v>
      </c>
      <c r="J47" s="69">
        <v>0</v>
      </c>
      <c r="K47" s="69">
        <v>0</v>
      </c>
      <c r="L47" s="69">
        <v>2.88</v>
      </c>
      <c r="M47" s="69">
        <v>11</v>
      </c>
      <c r="N47" s="69">
        <v>3.7</v>
      </c>
      <c r="O47" s="69">
        <v>6.3</v>
      </c>
      <c r="P47" s="70" t="s">
        <v>272</v>
      </c>
      <c r="Q47" s="37" t="str">
        <f t="shared" si="0"/>
        <v>2,5 ≤ Turb &lt; 5,0 uT</v>
      </c>
      <c r="R47" s="39" t="str">
        <f t="shared" si="1"/>
        <v>15 ≤ Cor &lt; 30 uC</v>
      </c>
      <c r="S47" s="39" t="str">
        <f t="shared" si="2"/>
        <v>5,0 ≤ Alc. Bruta &lt; 7,5 mg/L</v>
      </c>
      <c r="T47" s="37" t="str">
        <f t="shared" si="3"/>
        <v>Tipo 4 (&gt;0,75) uT</v>
      </c>
      <c r="U47" s="41">
        <f t="shared" si="4"/>
        <v>0.37117903930131013</v>
      </c>
      <c r="V47" s="71" t="str">
        <f t="shared" si="5"/>
        <v>Tipo 2 (25-50%)</v>
      </c>
    </row>
    <row r="48" spans="1:22" x14ac:dyDescent="0.3">
      <c r="A48" s="27">
        <v>46188</v>
      </c>
      <c r="B48" s="69">
        <v>4.58</v>
      </c>
      <c r="C48" s="69">
        <v>22</v>
      </c>
      <c r="D48" s="69">
        <v>6.6</v>
      </c>
      <c r="E48" s="69">
        <v>5.6</v>
      </c>
      <c r="G48" s="69">
        <v>2</v>
      </c>
      <c r="H48" s="69">
        <v>6.5</v>
      </c>
      <c r="I48" s="69">
        <v>0</v>
      </c>
      <c r="J48" s="69">
        <v>0</v>
      </c>
      <c r="K48" s="69">
        <v>0</v>
      </c>
      <c r="L48" s="69">
        <v>1.48</v>
      </c>
      <c r="M48" s="69">
        <v>6</v>
      </c>
      <c r="N48" s="69">
        <v>3.4</v>
      </c>
      <c r="O48" s="69">
        <v>6.2</v>
      </c>
      <c r="P48" s="70" t="s">
        <v>272</v>
      </c>
      <c r="Q48" s="37" t="str">
        <f t="shared" si="0"/>
        <v>2,5 ≤ Turb &lt; 5,0 uT</v>
      </c>
      <c r="R48" s="39" t="str">
        <f t="shared" si="1"/>
        <v>15 ≤ Cor &lt; 30 uC</v>
      </c>
      <c r="S48" s="39" t="str">
        <f t="shared" si="2"/>
        <v>5,0 ≤ Alc. Bruta &lt; 7,5 mg/L</v>
      </c>
      <c r="T48" s="37" t="str">
        <f t="shared" si="3"/>
        <v>Tipo 4 (&gt;0,75) uT</v>
      </c>
      <c r="U48" s="41">
        <f t="shared" si="4"/>
        <v>0.67685589519650657</v>
      </c>
      <c r="V48" s="71" t="str">
        <f t="shared" si="5"/>
        <v>Tipo 3 (50-75%)</v>
      </c>
    </row>
    <row r="49" spans="1:22" x14ac:dyDescent="0.3">
      <c r="A49" s="27">
        <v>46188</v>
      </c>
      <c r="B49" s="69">
        <v>4.58</v>
      </c>
      <c r="C49" s="69">
        <v>22</v>
      </c>
      <c r="D49" s="69">
        <v>6.6</v>
      </c>
      <c r="E49" s="69">
        <v>5.6</v>
      </c>
      <c r="G49" s="69">
        <v>3</v>
      </c>
      <c r="H49" s="69">
        <v>7</v>
      </c>
      <c r="I49" s="69">
        <v>0</v>
      </c>
      <c r="J49" s="69">
        <v>0</v>
      </c>
      <c r="K49" s="69">
        <v>0</v>
      </c>
      <c r="L49" s="69">
        <v>1.1100000000000001</v>
      </c>
      <c r="M49" s="69">
        <v>5</v>
      </c>
      <c r="N49" s="69">
        <v>4</v>
      </c>
      <c r="O49" s="69">
        <v>6.2</v>
      </c>
      <c r="P49" s="70" t="s">
        <v>272</v>
      </c>
      <c r="Q49" s="37" t="str">
        <f t="shared" si="0"/>
        <v>2,5 ≤ Turb &lt; 5,0 uT</v>
      </c>
      <c r="R49" s="39" t="str">
        <f t="shared" si="1"/>
        <v>15 ≤ Cor &lt; 30 uC</v>
      </c>
      <c r="S49" s="39" t="str">
        <f t="shared" si="2"/>
        <v>5,0 ≤ Alc. Bruta &lt; 7,5 mg/L</v>
      </c>
      <c r="T49" s="37" t="str">
        <f t="shared" si="3"/>
        <v>Tipo 4 (&gt;0,75) uT</v>
      </c>
      <c r="U49" s="41">
        <f t="shared" si="4"/>
        <v>0.75764192139737996</v>
      </c>
      <c r="V49" s="71" t="str">
        <f t="shared" si="5"/>
        <v>Tipo 4 (75-100%)</v>
      </c>
    </row>
    <row r="50" spans="1:22" x14ac:dyDescent="0.3">
      <c r="A50" s="27">
        <v>46188</v>
      </c>
      <c r="B50" s="69">
        <v>4.58</v>
      </c>
      <c r="C50" s="69">
        <v>22</v>
      </c>
      <c r="D50" s="69">
        <v>6.6</v>
      </c>
      <c r="E50" s="69">
        <v>5.6</v>
      </c>
      <c r="G50" s="69">
        <v>4</v>
      </c>
      <c r="H50" s="69">
        <v>7.5</v>
      </c>
      <c r="I50" s="69">
        <v>0</v>
      </c>
      <c r="J50" s="69">
        <v>0</v>
      </c>
      <c r="K50" s="69">
        <v>0</v>
      </c>
      <c r="L50" s="69">
        <v>1.01</v>
      </c>
      <c r="M50" s="69">
        <v>6</v>
      </c>
      <c r="N50" s="69">
        <v>3.2</v>
      </c>
      <c r="O50" s="69">
        <v>6.1</v>
      </c>
      <c r="P50" s="70" t="s">
        <v>272</v>
      </c>
      <c r="Q50" s="37" t="str">
        <f t="shared" si="0"/>
        <v>2,5 ≤ Turb &lt; 5,0 uT</v>
      </c>
      <c r="R50" s="39" t="str">
        <f t="shared" si="1"/>
        <v>15 ≤ Cor &lt; 30 uC</v>
      </c>
      <c r="S50" s="39" t="str">
        <f t="shared" si="2"/>
        <v>5,0 ≤ Alc. Bruta &lt; 7,5 mg/L</v>
      </c>
      <c r="T50" s="37" t="str">
        <f t="shared" si="3"/>
        <v>Tipo 4 (&gt;0,75) uT</v>
      </c>
      <c r="U50" s="41">
        <f t="shared" si="4"/>
        <v>0.77947598253275108</v>
      </c>
      <c r="V50" s="71" t="str">
        <f t="shared" si="5"/>
        <v>Tipo 4 (75-100%)</v>
      </c>
    </row>
    <row r="51" spans="1:22" x14ac:dyDescent="0.3">
      <c r="A51" s="27">
        <v>46188</v>
      </c>
      <c r="B51" s="69">
        <v>4.58</v>
      </c>
      <c r="C51" s="69">
        <v>22</v>
      </c>
      <c r="D51" s="69">
        <v>6.6</v>
      </c>
      <c r="E51" s="69">
        <v>5.6</v>
      </c>
      <c r="G51" s="69">
        <v>5</v>
      </c>
      <c r="H51" s="69">
        <v>8</v>
      </c>
      <c r="I51" s="69">
        <v>0</v>
      </c>
      <c r="J51" s="69">
        <v>0</v>
      </c>
      <c r="K51" s="69">
        <v>0</v>
      </c>
      <c r="L51" s="69">
        <v>1</v>
      </c>
      <c r="M51" s="69">
        <v>5</v>
      </c>
      <c r="N51" s="69">
        <v>2.6</v>
      </c>
      <c r="O51" s="69">
        <v>6</v>
      </c>
      <c r="P51" s="70" t="s">
        <v>272</v>
      </c>
      <c r="Q51" s="37" t="str">
        <f t="shared" si="0"/>
        <v>2,5 ≤ Turb &lt; 5,0 uT</v>
      </c>
      <c r="R51" s="39" t="str">
        <f t="shared" si="1"/>
        <v>15 ≤ Cor &lt; 30 uC</v>
      </c>
      <c r="S51" s="39" t="str">
        <f t="shared" si="2"/>
        <v>5,0 ≤ Alc. Bruta &lt; 7,5 mg/L</v>
      </c>
      <c r="T51" s="37" t="str">
        <f t="shared" si="3"/>
        <v>Tipo 4 (&gt;0,75) uT</v>
      </c>
      <c r="U51" s="41">
        <f t="shared" si="4"/>
        <v>0.78165938864628814</v>
      </c>
      <c r="V51" s="71" t="str">
        <f t="shared" si="5"/>
        <v>Tipo 4 (75-100%)</v>
      </c>
    </row>
    <row r="52" spans="1:22" x14ac:dyDescent="0.3">
      <c r="A52" s="27">
        <v>46188</v>
      </c>
      <c r="B52" s="69">
        <v>4.58</v>
      </c>
      <c r="C52" s="69">
        <v>22</v>
      </c>
      <c r="D52" s="69">
        <v>6.6</v>
      </c>
      <c r="E52" s="69">
        <v>5.6</v>
      </c>
      <c r="G52" s="69">
        <v>6</v>
      </c>
      <c r="H52" s="69">
        <v>8.5</v>
      </c>
      <c r="I52" s="69">
        <v>0</v>
      </c>
      <c r="J52" s="69">
        <v>0</v>
      </c>
      <c r="K52" s="69">
        <v>0</v>
      </c>
      <c r="L52" s="69">
        <v>0.7</v>
      </c>
      <c r="M52" s="69">
        <v>4</v>
      </c>
      <c r="N52" s="69">
        <v>1.9</v>
      </c>
      <c r="O52" s="69">
        <v>5.9</v>
      </c>
      <c r="P52" s="70" t="s">
        <v>272</v>
      </c>
      <c r="Q52" s="37" t="str">
        <f t="shared" si="0"/>
        <v>2,5 ≤ Turb &lt; 5,0 uT</v>
      </c>
      <c r="R52" s="39" t="str">
        <f t="shared" si="1"/>
        <v>15 ≤ Cor &lt; 30 uC</v>
      </c>
      <c r="S52" s="39" t="str">
        <f t="shared" si="2"/>
        <v>5,0 ≤ Alc. Bruta &lt; 7,5 mg/L</v>
      </c>
      <c r="T52" s="37" t="str">
        <f t="shared" si="3"/>
        <v>Tipo 3 (0,50-0,75) uT</v>
      </c>
      <c r="U52" s="41">
        <f t="shared" si="4"/>
        <v>0.84716157205240172</v>
      </c>
      <c r="V52" s="71" t="str">
        <f t="shared" si="5"/>
        <v>Tipo 4 (75-100%)</v>
      </c>
    </row>
    <row r="53" spans="1:22" x14ac:dyDescent="0.3">
      <c r="A53" s="27">
        <v>46176</v>
      </c>
      <c r="B53" s="69">
        <v>3.49</v>
      </c>
      <c r="C53" s="69">
        <v>20</v>
      </c>
      <c r="D53" s="69">
        <v>6.8</v>
      </c>
      <c r="E53" s="69">
        <v>6.3</v>
      </c>
      <c r="G53" s="69">
        <v>1</v>
      </c>
      <c r="H53" s="69">
        <v>6</v>
      </c>
      <c r="I53" s="69">
        <v>0</v>
      </c>
      <c r="J53" s="69">
        <v>0</v>
      </c>
      <c r="K53" s="69">
        <v>0</v>
      </c>
      <c r="L53" s="69">
        <v>1.54</v>
      </c>
      <c r="M53" s="69">
        <v>7</v>
      </c>
      <c r="N53" s="69">
        <v>4.3</v>
      </c>
      <c r="O53" s="69">
        <v>6.6</v>
      </c>
      <c r="P53" s="70" t="s">
        <v>267</v>
      </c>
      <c r="Q53" s="37" t="str">
        <f t="shared" si="0"/>
        <v>2,5 ≤ Turb &lt; 5,0 uT</v>
      </c>
      <c r="R53" s="39" t="str">
        <f t="shared" si="1"/>
        <v>15 ≤ Cor &lt; 30 uC</v>
      </c>
      <c r="S53" s="39" t="str">
        <f t="shared" si="2"/>
        <v>5,0 ≤ Alc. Bruta &lt; 7,5 mg/L</v>
      </c>
      <c r="T53" s="37" t="str">
        <f t="shared" si="3"/>
        <v>Tipo 4 (&gt;0,75) uT</v>
      </c>
      <c r="U53" s="41">
        <f t="shared" si="4"/>
        <v>0.55873925501432664</v>
      </c>
      <c r="V53" s="71" t="str">
        <f t="shared" si="5"/>
        <v>Tipo 3 (50-75%)</v>
      </c>
    </row>
    <row r="54" spans="1:22" x14ac:dyDescent="0.3">
      <c r="A54" s="27">
        <v>46176</v>
      </c>
      <c r="B54" s="69">
        <v>3.49</v>
      </c>
      <c r="C54" s="69">
        <v>20</v>
      </c>
      <c r="D54" s="69">
        <v>6.8</v>
      </c>
      <c r="E54" s="69">
        <v>6.3</v>
      </c>
      <c r="G54" s="69">
        <v>2</v>
      </c>
      <c r="H54" s="69">
        <v>6.5</v>
      </c>
      <c r="I54" s="69">
        <v>0</v>
      </c>
      <c r="J54" s="69">
        <v>0</v>
      </c>
      <c r="K54" s="69">
        <v>0</v>
      </c>
      <c r="L54" s="69">
        <v>1.19</v>
      </c>
      <c r="M54" s="69">
        <v>3</v>
      </c>
      <c r="N54" s="69">
        <v>4.4000000000000004</v>
      </c>
      <c r="O54" s="69">
        <v>6.6</v>
      </c>
      <c r="P54" s="70" t="s">
        <v>267</v>
      </c>
      <c r="Q54" s="37" t="str">
        <f t="shared" si="0"/>
        <v>2,5 ≤ Turb &lt; 5,0 uT</v>
      </c>
      <c r="R54" s="39" t="str">
        <f t="shared" si="1"/>
        <v>15 ≤ Cor &lt; 30 uC</v>
      </c>
      <c r="S54" s="39" t="str">
        <f t="shared" si="2"/>
        <v>5,0 ≤ Alc. Bruta &lt; 7,5 mg/L</v>
      </c>
      <c r="T54" s="37" t="str">
        <f t="shared" si="3"/>
        <v>Tipo 4 (&gt;0,75) uT</v>
      </c>
      <c r="U54" s="41">
        <f t="shared" si="4"/>
        <v>0.65902578796561606</v>
      </c>
      <c r="V54" s="71" t="str">
        <f t="shared" si="5"/>
        <v>Tipo 3 (50-75%)</v>
      </c>
    </row>
    <row r="55" spans="1:22" x14ac:dyDescent="0.3">
      <c r="A55" s="27">
        <v>46176</v>
      </c>
      <c r="B55" s="69">
        <v>3.49</v>
      </c>
      <c r="C55" s="69">
        <v>20</v>
      </c>
      <c r="D55" s="69">
        <v>6.8</v>
      </c>
      <c r="E55" s="69">
        <v>6.3</v>
      </c>
      <c r="G55" s="69">
        <v>3</v>
      </c>
      <c r="H55" s="69">
        <v>7</v>
      </c>
      <c r="I55" s="69">
        <v>0</v>
      </c>
      <c r="J55" s="69">
        <v>0</v>
      </c>
      <c r="K55" s="69">
        <v>0</v>
      </c>
      <c r="L55" s="69">
        <v>0.66</v>
      </c>
      <c r="M55" s="69">
        <v>1</v>
      </c>
      <c r="N55" s="69">
        <v>4.2</v>
      </c>
      <c r="O55" s="69">
        <v>6.6</v>
      </c>
      <c r="P55" s="70" t="s">
        <v>267</v>
      </c>
      <c r="Q55" s="37" t="str">
        <f t="shared" si="0"/>
        <v>2,5 ≤ Turb &lt; 5,0 uT</v>
      </c>
      <c r="R55" s="39" t="str">
        <f t="shared" si="1"/>
        <v>15 ≤ Cor &lt; 30 uC</v>
      </c>
      <c r="S55" s="39" t="str">
        <f t="shared" si="2"/>
        <v>5,0 ≤ Alc. Bruta &lt; 7,5 mg/L</v>
      </c>
      <c r="T55" s="37" t="str">
        <f t="shared" si="3"/>
        <v>Tipo 3 (0,50-0,75) uT</v>
      </c>
      <c r="U55" s="41">
        <f t="shared" si="4"/>
        <v>0.81088825214899707</v>
      </c>
      <c r="V55" s="71" t="str">
        <f t="shared" si="5"/>
        <v>Tipo 4 (75-100%)</v>
      </c>
    </row>
    <row r="56" spans="1:22" x14ac:dyDescent="0.3">
      <c r="A56" s="27">
        <v>46176</v>
      </c>
      <c r="B56" s="69">
        <v>3.49</v>
      </c>
      <c r="C56" s="69">
        <v>20</v>
      </c>
      <c r="D56" s="69">
        <v>6.8</v>
      </c>
      <c r="E56" s="69">
        <v>6.3</v>
      </c>
      <c r="G56" s="69">
        <v>4</v>
      </c>
      <c r="H56" s="69">
        <v>7.5</v>
      </c>
      <c r="I56" s="69">
        <v>0</v>
      </c>
      <c r="J56" s="69">
        <v>0</v>
      </c>
      <c r="K56" s="69">
        <v>0</v>
      </c>
      <c r="L56" s="69">
        <v>0.28999999999999998</v>
      </c>
      <c r="M56" s="69">
        <v>2</v>
      </c>
      <c r="N56" s="69">
        <v>4.2</v>
      </c>
      <c r="O56" s="69">
        <v>6.5</v>
      </c>
      <c r="P56" s="70" t="s">
        <v>267</v>
      </c>
      <c r="Q56" s="37" t="str">
        <f t="shared" si="0"/>
        <v>2,5 ≤ Turb &lt; 5,0 uT</v>
      </c>
      <c r="R56" s="39" t="str">
        <f t="shared" si="1"/>
        <v>15 ≤ Cor &lt; 30 uC</v>
      </c>
      <c r="S56" s="39" t="str">
        <f t="shared" si="2"/>
        <v>5,0 ≤ Alc. Bruta &lt; 7,5 mg/L</v>
      </c>
      <c r="T56" s="37" t="str">
        <f t="shared" si="3"/>
        <v>Tipo 2 (0,25-0,50) uT</v>
      </c>
      <c r="U56" s="41">
        <f t="shared" si="4"/>
        <v>0.91690544412607455</v>
      </c>
      <c r="V56" s="71" t="str">
        <f t="shared" si="5"/>
        <v>Tipo 4 (75-100%)</v>
      </c>
    </row>
    <row r="57" spans="1:22" x14ac:dyDescent="0.3">
      <c r="A57" s="27">
        <v>46176</v>
      </c>
      <c r="B57" s="69">
        <v>3.49</v>
      </c>
      <c r="C57" s="69">
        <v>20</v>
      </c>
      <c r="D57" s="69">
        <v>6.8</v>
      </c>
      <c r="E57" s="69">
        <v>6.3</v>
      </c>
      <c r="G57" s="69">
        <v>5</v>
      </c>
      <c r="H57" s="69">
        <v>8</v>
      </c>
      <c r="I57" s="69">
        <v>0</v>
      </c>
      <c r="J57" s="69">
        <v>0</v>
      </c>
      <c r="K57" s="69">
        <v>0</v>
      </c>
      <c r="L57" s="69">
        <v>0.34</v>
      </c>
      <c r="M57" s="69">
        <v>2</v>
      </c>
      <c r="N57" s="69">
        <v>4.5</v>
      </c>
      <c r="O57" s="69">
        <v>6.5</v>
      </c>
      <c r="P57" s="70" t="s">
        <v>267</v>
      </c>
      <c r="Q57" s="37" t="str">
        <f t="shared" si="0"/>
        <v>2,5 ≤ Turb &lt; 5,0 uT</v>
      </c>
      <c r="R57" s="39" t="str">
        <f t="shared" si="1"/>
        <v>15 ≤ Cor &lt; 30 uC</v>
      </c>
      <c r="S57" s="39" t="str">
        <f t="shared" si="2"/>
        <v>5,0 ≤ Alc. Bruta &lt; 7,5 mg/L</v>
      </c>
      <c r="T57" s="37" t="str">
        <f t="shared" si="3"/>
        <v>Tipo 2 (0,25-0,50) uT</v>
      </c>
      <c r="U57" s="41">
        <f t="shared" si="4"/>
        <v>0.90257879656160456</v>
      </c>
      <c r="V57" s="71" t="str">
        <f t="shared" si="5"/>
        <v>Tipo 4 (75-100%)</v>
      </c>
    </row>
    <row r="58" spans="1:22" x14ac:dyDescent="0.3">
      <c r="A58" s="27">
        <v>46176</v>
      </c>
      <c r="B58" s="69">
        <v>3.49</v>
      </c>
      <c r="C58" s="69">
        <v>20</v>
      </c>
      <c r="D58" s="69">
        <v>6.8</v>
      </c>
      <c r="E58" s="69">
        <v>6.3</v>
      </c>
      <c r="G58" s="69">
        <v>6</v>
      </c>
      <c r="H58" s="69">
        <v>8.5</v>
      </c>
      <c r="I58" s="69">
        <v>0</v>
      </c>
      <c r="J58" s="69">
        <v>0</v>
      </c>
      <c r="K58" s="69">
        <v>0</v>
      </c>
      <c r="L58" s="69">
        <v>0.34</v>
      </c>
      <c r="M58" s="69">
        <v>3</v>
      </c>
      <c r="N58" s="69">
        <v>3.9</v>
      </c>
      <c r="O58" s="69">
        <v>6.5</v>
      </c>
      <c r="P58" s="70" t="s">
        <v>267</v>
      </c>
      <c r="Q58" s="37" t="str">
        <f t="shared" si="0"/>
        <v>2,5 ≤ Turb &lt; 5,0 uT</v>
      </c>
      <c r="R58" s="39" t="str">
        <f t="shared" si="1"/>
        <v>15 ≤ Cor &lt; 30 uC</v>
      </c>
      <c r="S58" s="39" t="str">
        <f t="shared" si="2"/>
        <v>5,0 ≤ Alc. Bruta &lt; 7,5 mg/L</v>
      </c>
      <c r="T58" s="37" t="str">
        <f t="shared" si="3"/>
        <v>Tipo 2 (0,25-0,50) uT</v>
      </c>
      <c r="U58" s="41">
        <f t="shared" si="4"/>
        <v>0.90257879656160456</v>
      </c>
      <c r="V58" s="71" t="str">
        <f t="shared" si="5"/>
        <v>Tipo 4 (75-100%)</v>
      </c>
    </row>
    <row r="59" spans="1:22" x14ac:dyDescent="0.3">
      <c r="A59" s="27">
        <v>46181</v>
      </c>
      <c r="B59" s="69">
        <v>2.69</v>
      </c>
      <c r="C59" s="69">
        <v>20</v>
      </c>
      <c r="D59" s="69">
        <v>6.8</v>
      </c>
      <c r="E59" s="69">
        <v>8.4</v>
      </c>
      <c r="G59" s="69">
        <v>1</v>
      </c>
      <c r="H59" s="69">
        <v>6.5</v>
      </c>
      <c r="I59" s="69">
        <v>0</v>
      </c>
      <c r="J59" s="69">
        <v>0</v>
      </c>
      <c r="K59" s="69">
        <v>0</v>
      </c>
      <c r="L59" s="69">
        <v>3.03</v>
      </c>
      <c r="M59" s="69">
        <v>8</v>
      </c>
      <c r="N59" s="69">
        <v>5.6</v>
      </c>
      <c r="O59" s="69">
        <v>6.6</v>
      </c>
      <c r="P59" s="70" t="s">
        <v>268</v>
      </c>
      <c r="Q59" s="37" t="str">
        <f t="shared" si="0"/>
        <v>2,5 ≤ Turb &lt; 5,0 uT</v>
      </c>
      <c r="R59" s="39" t="str">
        <f t="shared" si="1"/>
        <v>15 ≤ Cor &lt; 30 uC</v>
      </c>
      <c r="S59" s="39" t="str">
        <f t="shared" si="2"/>
        <v>7,5 ≤ Alc. Bruta &lt; 10,0 mg/L</v>
      </c>
      <c r="T59" s="37" t="str">
        <f t="shared" si="3"/>
        <v>Tipo 4 (&gt;0,75) uT</v>
      </c>
      <c r="U59" s="41" t="str">
        <f t="shared" si="4"/>
        <v/>
      </c>
      <c r="V59" s="71" t="str">
        <f t="shared" si="5"/>
        <v/>
      </c>
    </row>
    <row r="60" spans="1:22" x14ac:dyDescent="0.3">
      <c r="A60" s="27">
        <v>46181</v>
      </c>
      <c r="B60" s="69">
        <v>2.69</v>
      </c>
      <c r="C60" s="69">
        <v>20</v>
      </c>
      <c r="D60" s="69">
        <v>6.8</v>
      </c>
      <c r="E60" s="69">
        <v>8.4</v>
      </c>
      <c r="G60" s="69">
        <v>2</v>
      </c>
      <c r="H60" s="69">
        <v>7</v>
      </c>
      <c r="I60" s="69">
        <v>0</v>
      </c>
      <c r="J60" s="69">
        <v>0</v>
      </c>
      <c r="K60" s="69">
        <v>0</v>
      </c>
      <c r="L60" s="69">
        <v>0.59</v>
      </c>
      <c r="M60" s="69">
        <v>2</v>
      </c>
      <c r="N60" s="69">
        <v>5.3</v>
      </c>
      <c r="O60" s="69">
        <v>6.5</v>
      </c>
      <c r="P60" s="70" t="s">
        <v>268</v>
      </c>
      <c r="Q60" s="37" t="str">
        <f t="shared" si="0"/>
        <v>2,5 ≤ Turb &lt; 5,0 uT</v>
      </c>
      <c r="R60" s="39" t="str">
        <f t="shared" si="1"/>
        <v>15 ≤ Cor &lt; 30 uC</v>
      </c>
      <c r="S60" s="39" t="str">
        <f t="shared" si="2"/>
        <v>7,5 ≤ Alc. Bruta &lt; 10,0 mg/L</v>
      </c>
      <c r="T60" s="37" t="str">
        <f t="shared" si="3"/>
        <v>Tipo 3 (0,50-0,75) uT</v>
      </c>
      <c r="U60" s="41">
        <f t="shared" si="4"/>
        <v>0.78066914498141271</v>
      </c>
      <c r="V60" s="71" t="str">
        <f t="shared" si="5"/>
        <v>Tipo 4 (75-100%)</v>
      </c>
    </row>
    <row r="61" spans="1:22" x14ac:dyDescent="0.3">
      <c r="A61" s="27">
        <v>46181</v>
      </c>
      <c r="B61" s="69">
        <v>2.69</v>
      </c>
      <c r="C61" s="69">
        <v>20</v>
      </c>
      <c r="D61" s="69">
        <v>6.8</v>
      </c>
      <c r="E61" s="69">
        <v>8.4</v>
      </c>
      <c r="G61" s="69">
        <v>3</v>
      </c>
      <c r="H61" s="69">
        <v>7.5</v>
      </c>
      <c r="I61" s="69">
        <v>0</v>
      </c>
      <c r="J61" s="69">
        <v>0</v>
      </c>
      <c r="K61" s="69">
        <v>0</v>
      </c>
      <c r="L61" s="69">
        <v>0.44</v>
      </c>
      <c r="M61" s="69">
        <v>1</v>
      </c>
      <c r="N61" s="69">
        <v>5.3</v>
      </c>
      <c r="O61" s="69">
        <v>6.5</v>
      </c>
      <c r="P61" s="70" t="s">
        <v>268</v>
      </c>
      <c r="Q61" s="37" t="str">
        <f t="shared" ref="Q61:Q82" si="6">IF(B61="","",IF(B61&lt;2.5,"Turbidez &lt; 2,5 uT",IF(B61&lt;5,"2,5 ≤ Turb &lt; 5,0 uT",IF(B61&lt;7.5,"5,0 ≤ Turb &lt; 7,5 uT",IF(B61&lt;10,"7,5 ≤ Turb &lt; 10,0 uT",IF(B61&lt;15,"10,0 ≤ Turb &lt; 15,0 uT","Turb &gt; 15 uT"))))))</f>
        <v>2,5 ≤ Turb &lt; 5,0 uT</v>
      </c>
      <c r="R61" s="39" t="str">
        <f t="shared" ref="R61:R82" si="7">IF(C61="","",IF(C61&lt;5,"Cor &lt;5 uC",IF(C61&lt;10,"5 ≤ Cor &lt; 10 uC",IF(C61&lt;15,"10 ≤ Cor &lt;15 uC",IF(C61&lt;30,"15 ≤ Cor &lt; 30 uC",IF(C61&lt;50,"30 ≤ Cor &lt; 50 uC","Cor &gt; 50 uC"))))))</f>
        <v>15 ≤ Cor &lt; 30 uC</v>
      </c>
      <c r="S61" s="39" t="str">
        <f t="shared" ref="S61:S82" si="8">IF(E61="","",IF(E61&lt;2.5,"Alc. Bruta &lt; 2,5 mg/L",IF(E61&lt;5,"2,5 ≤ Alc. Bruta &lt; 5,0 mg/L",IF(E61&lt;7.5,"5,0 ≤ Alc. Bruta &lt; 7,5 mg/L",IF(E61&lt;10,"7,5 ≤ Alc. Bruta &lt; 10,0 mg/L",IF(E61&lt;15,"10,0 ≤ Alca. Bruta &lt; 15,0 mg/L","Alc. Bruta &gt; 15 mg/L"))))))</f>
        <v>7,5 ≤ Alc. Bruta &lt; 10,0 mg/L</v>
      </c>
      <c r="T61" s="37" t="str">
        <f t="shared" ref="T61:T82" si="9">IF(OR(L61="",D61="-"),"",IF(L61&lt;=0.25,"Tipo 1 (≤0,25) uT",IF(L61&lt;=0.5,"Tipo 2 (0,25-0,50) uT",IF(L61&lt;=0.75,"Tipo 3 (0,50-0,75) uT","Tipo 4 (&gt;0,75) uT"))))</f>
        <v>Tipo 2 (0,25-0,50) uT</v>
      </c>
      <c r="U61" s="41">
        <f t="shared" ref="U61:U82" si="10">IF(AND(B61&lt;&gt;"",1-(L61/B61)&gt;0),1-(L61/B61),"")</f>
        <v>0.83643122676579928</v>
      </c>
      <c r="V61" s="71" t="str">
        <f t="shared" si="5"/>
        <v>Tipo 4 (75-100%)</v>
      </c>
    </row>
    <row r="62" spans="1:22" x14ac:dyDescent="0.3">
      <c r="A62" s="27">
        <v>46181</v>
      </c>
      <c r="B62" s="69">
        <v>2.69</v>
      </c>
      <c r="C62" s="69">
        <v>20</v>
      </c>
      <c r="D62" s="69">
        <v>6.8</v>
      </c>
      <c r="E62" s="69">
        <v>8.4</v>
      </c>
      <c r="G62" s="69">
        <v>4</v>
      </c>
      <c r="H62" s="69">
        <v>8</v>
      </c>
      <c r="I62" s="69">
        <v>0</v>
      </c>
      <c r="J62" s="69">
        <v>0</v>
      </c>
      <c r="K62" s="69">
        <v>0</v>
      </c>
      <c r="L62" s="69">
        <v>0.42</v>
      </c>
      <c r="M62" s="69">
        <v>2</v>
      </c>
      <c r="N62" s="69">
        <v>5.5</v>
      </c>
      <c r="O62" s="69">
        <v>6.5</v>
      </c>
      <c r="P62" s="70" t="s">
        <v>268</v>
      </c>
      <c r="Q62" s="37" t="str">
        <f t="shared" si="6"/>
        <v>2,5 ≤ Turb &lt; 5,0 uT</v>
      </c>
      <c r="R62" s="39" t="str">
        <f t="shared" si="7"/>
        <v>15 ≤ Cor &lt; 30 uC</v>
      </c>
      <c r="S62" s="39" t="str">
        <f t="shared" si="8"/>
        <v>7,5 ≤ Alc. Bruta &lt; 10,0 mg/L</v>
      </c>
      <c r="T62" s="37" t="str">
        <f t="shared" si="9"/>
        <v>Tipo 2 (0,25-0,50) uT</v>
      </c>
      <c r="U62" s="41">
        <f t="shared" si="10"/>
        <v>0.84386617100371741</v>
      </c>
      <c r="V62" s="71" t="str">
        <f t="shared" si="5"/>
        <v>Tipo 4 (75-100%)</v>
      </c>
    </row>
    <row r="63" spans="1:22" x14ac:dyDescent="0.3">
      <c r="A63" s="27">
        <v>46181</v>
      </c>
      <c r="B63" s="69">
        <v>2.69</v>
      </c>
      <c r="C63" s="69">
        <v>20</v>
      </c>
      <c r="D63" s="69">
        <v>6.8</v>
      </c>
      <c r="E63" s="69">
        <v>8.4</v>
      </c>
      <c r="G63" s="69">
        <v>5</v>
      </c>
      <c r="H63" s="69">
        <v>8.5</v>
      </c>
      <c r="I63" s="69">
        <v>0</v>
      </c>
      <c r="J63" s="69">
        <v>0</v>
      </c>
      <c r="K63" s="69">
        <v>0</v>
      </c>
      <c r="L63" s="69">
        <v>0.41</v>
      </c>
      <c r="M63" s="69">
        <v>1</v>
      </c>
      <c r="N63" s="69">
        <v>5.5</v>
      </c>
      <c r="O63" s="69">
        <v>6.5</v>
      </c>
      <c r="P63" s="70" t="s">
        <v>268</v>
      </c>
      <c r="Q63" s="37" t="str">
        <f t="shared" si="6"/>
        <v>2,5 ≤ Turb &lt; 5,0 uT</v>
      </c>
      <c r="R63" s="39" t="str">
        <f t="shared" si="7"/>
        <v>15 ≤ Cor &lt; 30 uC</v>
      </c>
      <c r="S63" s="39" t="str">
        <f t="shared" si="8"/>
        <v>7,5 ≤ Alc. Bruta &lt; 10,0 mg/L</v>
      </c>
      <c r="T63" s="37" t="str">
        <f t="shared" si="9"/>
        <v>Tipo 2 (0,25-0,50) uT</v>
      </c>
      <c r="U63" s="41">
        <f t="shared" si="10"/>
        <v>0.84758364312267664</v>
      </c>
      <c r="V63" s="71" t="str">
        <f t="shared" si="5"/>
        <v>Tipo 4 (75-100%)</v>
      </c>
    </row>
    <row r="64" spans="1:22" x14ac:dyDescent="0.3">
      <c r="A64" s="27">
        <v>46181</v>
      </c>
      <c r="B64" s="69">
        <v>2.69</v>
      </c>
      <c r="C64" s="69">
        <v>20</v>
      </c>
      <c r="D64" s="69">
        <v>6.8</v>
      </c>
      <c r="E64" s="69">
        <v>8.4</v>
      </c>
      <c r="G64" s="69">
        <v>6</v>
      </c>
      <c r="H64" s="69">
        <v>9</v>
      </c>
      <c r="I64" s="69">
        <v>0</v>
      </c>
      <c r="J64" s="69">
        <v>0</v>
      </c>
      <c r="K64" s="69">
        <v>0</v>
      </c>
      <c r="L64" s="69">
        <v>0.37</v>
      </c>
      <c r="M64" s="69">
        <v>1</v>
      </c>
      <c r="N64" s="69">
        <v>5.5</v>
      </c>
      <c r="O64" s="69">
        <v>6.5</v>
      </c>
      <c r="P64" s="70" t="s">
        <v>268</v>
      </c>
      <c r="Q64" s="37" t="str">
        <f t="shared" si="6"/>
        <v>2,5 ≤ Turb &lt; 5,0 uT</v>
      </c>
      <c r="R64" s="39" t="str">
        <f t="shared" si="7"/>
        <v>15 ≤ Cor &lt; 30 uC</v>
      </c>
      <c r="S64" s="39" t="str">
        <f t="shared" si="8"/>
        <v>7,5 ≤ Alc. Bruta &lt; 10,0 mg/L</v>
      </c>
      <c r="T64" s="37" t="str">
        <f t="shared" si="9"/>
        <v>Tipo 2 (0,25-0,50) uT</v>
      </c>
      <c r="U64" s="41">
        <f t="shared" si="10"/>
        <v>0.86245353159851301</v>
      </c>
      <c r="V64" s="71" t="str">
        <f t="shared" si="5"/>
        <v>Tipo 4 (75-100%)</v>
      </c>
    </row>
    <row r="65" spans="1:22" x14ac:dyDescent="0.3">
      <c r="A65" s="27">
        <v>46189</v>
      </c>
      <c r="B65" s="69">
        <v>3.33</v>
      </c>
      <c r="C65" s="69">
        <v>13</v>
      </c>
      <c r="D65" s="69">
        <v>6.9</v>
      </c>
      <c r="E65" s="69">
        <v>5</v>
      </c>
      <c r="G65" s="69">
        <v>1</v>
      </c>
      <c r="H65" s="69">
        <v>8</v>
      </c>
      <c r="I65" s="69">
        <v>0</v>
      </c>
      <c r="J65" s="69">
        <v>0</v>
      </c>
      <c r="K65" s="69">
        <v>0</v>
      </c>
      <c r="L65" s="69">
        <v>2.4500000000000002</v>
      </c>
      <c r="M65" s="69">
        <v>15</v>
      </c>
      <c r="N65" s="69">
        <v>2.7</v>
      </c>
      <c r="O65" s="69">
        <v>6</v>
      </c>
      <c r="P65" s="70" t="s">
        <v>273</v>
      </c>
      <c r="Q65" s="37" t="str">
        <f t="shared" si="6"/>
        <v>2,5 ≤ Turb &lt; 5,0 uT</v>
      </c>
      <c r="R65" s="39" t="str">
        <f t="shared" si="7"/>
        <v>10 ≤ Cor &lt;15 uC</v>
      </c>
      <c r="S65" s="39" t="str">
        <f t="shared" si="8"/>
        <v>5,0 ≤ Alc. Bruta &lt; 7,5 mg/L</v>
      </c>
      <c r="T65" s="37" t="str">
        <f t="shared" si="9"/>
        <v>Tipo 4 (&gt;0,75) uT</v>
      </c>
      <c r="U65" s="41">
        <f t="shared" si="10"/>
        <v>0.26426426426426419</v>
      </c>
      <c r="V65" s="71" t="str">
        <f t="shared" si="5"/>
        <v>Tipo 2 (25-50%)</v>
      </c>
    </row>
    <row r="66" spans="1:22" x14ac:dyDescent="0.3">
      <c r="A66" s="27">
        <v>46189</v>
      </c>
      <c r="B66" s="69">
        <v>3.33</v>
      </c>
      <c r="C66" s="69">
        <v>13</v>
      </c>
      <c r="D66" s="69">
        <v>6.9</v>
      </c>
      <c r="E66" s="69">
        <v>5</v>
      </c>
      <c r="G66" s="69">
        <v>2</v>
      </c>
      <c r="H66" s="69">
        <v>9</v>
      </c>
      <c r="I66" s="69">
        <v>0</v>
      </c>
      <c r="J66" s="69">
        <v>0</v>
      </c>
      <c r="K66" s="69">
        <v>0</v>
      </c>
      <c r="L66" s="69">
        <v>2.06</v>
      </c>
      <c r="M66" s="69">
        <v>13</v>
      </c>
      <c r="N66" s="69">
        <v>2.4</v>
      </c>
      <c r="O66" s="69">
        <v>6</v>
      </c>
      <c r="P66" s="70" t="s">
        <v>274</v>
      </c>
      <c r="Q66" s="37" t="str">
        <f t="shared" si="6"/>
        <v>2,5 ≤ Turb &lt; 5,0 uT</v>
      </c>
      <c r="R66" s="39" t="str">
        <f t="shared" si="7"/>
        <v>10 ≤ Cor &lt;15 uC</v>
      </c>
      <c r="S66" s="39" t="str">
        <f t="shared" si="8"/>
        <v>5,0 ≤ Alc. Bruta &lt; 7,5 mg/L</v>
      </c>
      <c r="T66" s="37" t="str">
        <f t="shared" si="9"/>
        <v>Tipo 4 (&gt;0,75) uT</v>
      </c>
      <c r="U66" s="41">
        <f t="shared" si="10"/>
        <v>0.38138138138138133</v>
      </c>
      <c r="V66" s="71" t="str">
        <f t="shared" si="5"/>
        <v>Tipo 2 (25-50%)</v>
      </c>
    </row>
    <row r="67" spans="1:22" x14ac:dyDescent="0.3">
      <c r="A67" s="27">
        <v>46189</v>
      </c>
      <c r="B67" s="69">
        <v>3.33</v>
      </c>
      <c r="C67" s="69">
        <v>13</v>
      </c>
      <c r="D67" s="69">
        <v>6.9</v>
      </c>
      <c r="E67" s="69">
        <v>5</v>
      </c>
      <c r="G67" s="69">
        <v>3</v>
      </c>
      <c r="H67" s="69">
        <v>10</v>
      </c>
      <c r="I67" s="69">
        <v>0</v>
      </c>
      <c r="J67" s="69">
        <v>0</v>
      </c>
      <c r="K67" s="69">
        <v>0</v>
      </c>
      <c r="L67" s="69">
        <v>1.5</v>
      </c>
      <c r="M67" s="69">
        <v>9</v>
      </c>
      <c r="N67" s="69">
        <v>2.2999999999999998</v>
      </c>
      <c r="O67" s="69">
        <v>5.9</v>
      </c>
      <c r="P67" s="70" t="s">
        <v>274</v>
      </c>
      <c r="Q67" s="37" t="str">
        <f t="shared" si="6"/>
        <v>2,5 ≤ Turb &lt; 5,0 uT</v>
      </c>
      <c r="R67" s="39" t="str">
        <f t="shared" si="7"/>
        <v>10 ≤ Cor &lt;15 uC</v>
      </c>
      <c r="S67" s="39" t="str">
        <f t="shared" si="8"/>
        <v>5,0 ≤ Alc. Bruta &lt; 7,5 mg/L</v>
      </c>
      <c r="T67" s="37" t="str">
        <f t="shared" si="9"/>
        <v>Tipo 4 (&gt;0,75) uT</v>
      </c>
      <c r="U67" s="41">
        <f t="shared" si="10"/>
        <v>0.54954954954954949</v>
      </c>
      <c r="V67" s="71" t="str">
        <f t="shared" ref="V67:V82" si="11">IF(U67&lt;&gt;"",IF(U67&lt;=0.25,"Tipo 1 (25%)",IF(U67&lt;=0.5,"Tipo 2 (25-50%)",IF(U67&lt;=0.75,"Tipo 3 (50-75%)","Tipo 4 (75-100%)"))),"")</f>
        <v>Tipo 3 (50-75%)</v>
      </c>
    </row>
    <row r="68" spans="1:22" x14ac:dyDescent="0.3">
      <c r="A68" s="27">
        <v>46189</v>
      </c>
      <c r="B68" s="69">
        <v>3.33</v>
      </c>
      <c r="C68" s="69">
        <v>13</v>
      </c>
      <c r="D68" s="69">
        <v>6.9</v>
      </c>
      <c r="E68" s="69">
        <v>5</v>
      </c>
      <c r="G68" s="69">
        <v>1</v>
      </c>
      <c r="H68" s="69">
        <v>6.5</v>
      </c>
      <c r="I68" s="69">
        <v>0</v>
      </c>
      <c r="J68" s="69">
        <v>0</v>
      </c>
      <c r="K68" s="69">
        <v>0</v>
      </c>
      <c r="L68" s="69">
        <v>2.91</v>
      </c>
      <c r="N68" s="69">
        <v>3.5</v>
      </c>
      <c r="O68" s="69">
        <v>6.5</v>
      </c>
      <c r="P68" s="70" t="s">
        <v>274</v>
      </c>
      <c r="Q68" s="37" t="str">
        <f t="shared" si="6"/>
        <v>2,5 ≤ Turb &lt; 5,0 uT</v>
      </c>
      <c r="R68" s="39" t="str">
        <f t="shared" si="7"/>
        <v>10 ≤ Cor &lt;15 uC</v>
      </c>
      <c r="S68" s="39" t="str">
        <f t="shared" si="8"/>
        <v>5,0 ≤ Alc. Bruta &lt; 7,5 mg/L</v>
      </c>
      <c r="T68" s="37" t="str">
        <f t="shared" si="9"/>
        <v>Tipo 4 (&gt;0,75) uT</v>
      </c>
      <c r="U68" s="41">
        <f t="shared" si="10"/>
        <v>0.12612612612612606</v>
      </c>
      <c r="V68" s="71" t="str">
        <f t="shared" si="11"/>
        <v>Tipo 1 (25%)</v>
      </c>
    </row>
    <row r="69" spans="1:22" x14ac:dyDescent="0.3">
      <c r="A69" s="27">
        <v>46189</v>
      </c>
      <c r="B69" s="69">
        <v>3.33</v>
      </c>
      <c r="C69" s="69">
        <v>13</v>
      </c>
      <c r="D69" s="69">
        <v>6.9</v>
      </c>
      <c r="E69" s="69">
        <v>5</v>
      </c>
      <c r="G69" s="69">
        <v>2</v>
      </c>
      <c r="H69" s="69">
        <v>7</v>
      </c>
      <c r="I69" s="69">
        <v>0</v>
      </c>
      <c r="J69" s="69">
        <v>0</v>
      </c>
      <c r="K69" s="69">
        <v>0</v>
      </c>
      <c r="L69" s="69">
        <v>3.32</v>
      </c>
      <c r="N69" s="69">
        <v>3.3</v>
      </c>
      <c r="O69" s="69">
        <v>6.4</v>
      </c>
      <c r="P69" s="70" t="s">
        <v>274</v>
      </c>
      <c r="Q69" s="37" t="str">
        <f t="shared" si="6"/>
        <v>2,5 ≤ Turb &lt; 5,0 uT</v>
      </c>
      <c r="R69" s="39" t="str">
        <f t="shared" si="7"/>
        <v>10 ≤ Cor &lt;15 uC</v>
      </c>
      <c r="S69" s="39" t="str">
        <f t="shared" si="8"/>
        <v>5,0 ≤ Alc. Bruta &lt; 7,5 mg/L</v>
      </c>
      <c r="T69" s="37" t="str">
        <f t="shared" si="9"/>
        <v>Tipo 4 (&gt;0,75) uT</v>
      </c>
      <c r="U69" s="41">
        <f t="shared" si="10"/>
        <v>3.0030030030030463E-3</v>
      </c>
      <c r="V69" s="71" t="str">
        <f t="shared" si="11"/>
        <v>Tipo 1 (25%)</v>
      </c>
    </row>
    <row r="70" spans="1:22" x14ac:dyDescent="0.3">
      <c r="A70" s="27">
        <v>46189</v>
      </c>
      <c r="B70" s="69">
        <v>3.33</v>
      </c>
      <c r="C70" s="69">
        <v>13</v>
      </c>
      <c r="D70" s="69">
        <v>6.9</v>
      </c>
      <c r="E70" s="69">
        <v>5</v>
      </c>
      <c r="G70" s="69">
        <v>3</v>
      </c>
      <c r="H70" s="69">
        <v>7.5</v>
      </c>
      <c r="I70" s="69">
        <v>0</v>
      </c>
      <c r="J70" s="69">
        <v>0</v>
      </c>
      <c r="K70" s="69">
        <v>0</v>
      </c>
      <c r="L70" s="69">
        <v>3.38</v>
      </c>
      <c r="N70" s="69">
        <v>3.4</v>
      </c>
      <c r="O70" s="69">
        <v>6.5</v>
      </c>
      <c r="P70" s="70" t="s">
        <v>274</v>
      </c>
      <c r="Q70" s="37" t="str">
        <f t="shared" si="6"/>
        <v>2,5 ≤ Turb &lt; 5,0 uT</v>
      </c>
      <c r="R70" s="39" t="str">
        <f t="shared" si="7"/>
        <v>10 ≤ Cor &lt;15 uC</v>
      </c>
      <c r="S70" s="39" t="str">
        <f t="shared" si="8"/>
        <v>5,0 ≤ Alc. Bruta &lt; 7,5 mg/L</v>
      </c>
      <c r="T70" s="37" t="str">
        <f t="shared" si="9"/>
        <v>Tipo 4 (&gt;0,75) uT</v>
      </c>
      <c r="U70" s="41" t="str">
        <f t="shared" si="10"/>
        <v/>
      </c>
      <c r="V70" s="71" t="str">
        <f t="shared" si="11"/>
        <v/>
      </c>
    </row>
    <row r="71" spans="1:22" x14ac:dyDescent="0.3">
      <c r="A71" s="27">
        <v>46189</v>
      </c>
      <c r="B71" s="69">
        <v>3.33</v>
      </c>
      <c r="C71" s="69">
        <v>13</v>
      </c>
      <c r="D71" s="69">
        <v>6.9</v>
      </c>
      <c r="E71" s="69">
        <v>5</v>
      </c>
      <c r="G71" s="69">
        <v>4</v>
      </c>
      <c r="H71" s="69">
        <v>8</v>
      </c>
      <c r="I71" s="69">
        <v>0</v>
      </c>
      <c r="J71" s="69">
        <v>0</v>
      </c>
      <c r="K71" s="69">
        <v>0</v>
      </c>
      <c r="L71" s="69">
        <v>2.36</v>
      </c>
      <c r="N71" s="69">
        <v>2.7</v>
      </c>
      <c r="O71" s="69">
        <v>6.4</v>
      </c>
      <c r="P71" s="70" t="s">
        <v>274</v>
      </c>
      <c r="Q71" s="37" t="str">
        <f t="shared" si="6"/>
        <v>2,5 ≤ Turb &lt; 5,0 uT</v>
      </c>
      <c r="R71" s="39" t="str">
        <f t="shared" si="7"/>
        <v>10 ≤ Cor &lt;15 uC</v>
      </c>
      <c r="S71" s="39" t="str">
        <f t="shared" si="8"/>
        <v>5,0 ≤ Alc. Bruta &lt; 7,5 mg/L</v>
      </c>
      <c r="T71" s="37" t="str">
        <f t="shared" si="9"/>
        <v>Tipo 4 (&gt;0,75) uT</v>
      </c>
      <c r="U71" s="41">
        <f t="shared" si="10"/>
        <v>0.29129129129129139</v>
      </c>
      <c r="V71" s="71" t="str">
        <f t="shared" si="11"/>
        <v>Tipo 2 (25-50%)</v>
      </c>
    </row>
    <row r="72" spans="1:22" x14ac:dyDescent="0.3">
      <c r="A72" s="27">
        <v>46189</v>
      </c>
      <c r="B72" s="69">
        <v>3.33</v>
      </c>
      <c r="C72" s="69">
        <v>13</v>
      </c>
      <c r="D72" s="69">
        <v>6.9</v>
      </c>
      <c r="E72" s="69">
        <v>5</v>
      </c>
      <c r="G72" s="69">
        <v>5</v>
      </c>
      <c r="H72" s="69">
        <v>8.5</v>
      </c>
      <c r="I72" s="69">
        <v>0</v>
      </c>
      <c r="J72" s="69">
        <v>0</v>
      </c>
      <c r="K72" s="69">
        <v>0</v>
      </c>
      <c r="L72" s="69">
        <v>2.38</v>
      </c>
      <c r="N72" s="69">
        <v>3.8</v>
      </c>
      <c r="O72" s="69">
        <v>6.5</v>
      </c>
      <c r="P72" s="70" t="s">
        <v>274</v>
      </c>
      <c r="Q72" s="37" t="str">
        <f t="shared" si="6"/>
        <v>2,5 ≤ Turb &lt; 5,0 uT</v>
      </c>
      <c r="R72" s="39" t="str">
        <f t="shared" si="7"/>
        <v>10 ≤ Cor &lt;15 uC</v>
      </c>
      <c r="S72" s="39" t="str">
        <f t="shared" si="8"/>
        <v>5,0 ≤ Alc. Bruta &lt; 7,5 mg/L</v>
      </c>
      <c r="T72" s="37" t="str">
        <f t="shared" si="9"/>
        <v>Tipo 4 (&gt;0,75) uT</v>
      </c>
      <c r="U72" s="41">
        <f t="shared" si="10"/>
        <v>0.28528528528528529</v>
      </c>
      <c r="V72" s="71" t="str">
        <f t="shared" si="11"/>
        <v>Tipo 2 (25-50%)</v>
      </c>
    </row>
    <row r="73" spans="1:22" x14ac:dyDescent="0.3">
      <c r="A73" s="27">
        <v>46189</v>
      </c>
      <c r="B73" s="69">
        <v>3.33</v>
      </c>
      <c r="C73" s="69">
        <v>13</v>
      </c>
      <c r="D73" s="69">
        <v>6.9</v>
      </c>
      <c r="E73" s="69">
        <v>5</v>
      </c>
      <c r="G73" s="69">
        <v>6</v>
      </c>
      <c r="H73" s="69">
        <v>9</v>
      </c>
      <c r="I73" s="69">
        <v>0</v>
      </c>
      <c r="J73" s="69">
        <v>0</v>
      </c>
      <c r="K73" s="69">
        <v>0</v>
      </c>
      <c r="L73" s="69">
        <v>2.12</v>
      </c>
      <c r="N73" s="69">
        <v>3.2</v>
      </c>
      <c r="O73" s="69">
        <v>6.4</v>
      </c>
      <c r="P73" s="70" t="s">
        <v>274</v>
      </c>
      <c r="Q73" s="37" t="str">
        <f t="shared" si="6"/>
        <v>2,5 ≤ Turb &lt; 5,0 uT</v>
      </c>
      <c r="R73" s="39" t="str">
        <f t="shared" si="7"/>
        <v>10 ≤ Cor &lt;15 uC</v>
      </c>
      <c r="S73" s="39" t="str">
        <f t="shared" si="8"/>
        <v>5,0 ≤ Alc. Bruta &lt; 7,5 mg/L</v>
      </c>
      <c r="T73" s="37" t="str">
        <f t="shared" si="9"/>
        <v>Tipo 4 (&gt;0,75) uT</v>
      </c>
      <c r="U73" s="41">
        <f t="shared" si="10"/>
        <v>0.36336336336336339</v>
      </c>
      <c r="V73" s="71" t="str">
        <f t="shared" si="11"/>
        <v>Tipo 2 (25-50%)</v>
      </c>
    </row>
    <row r="74" spans="1:22" x14ac:dyDescent="0.3">
      <c r="A74" s="27">
        <v>46190</v>
      </c>
      <c r="B74" s="69">
        <v>2.83</v>
      </c>
      <c r="C74" s="69">
        <v>12</v>
      </c>
      <c r="D74" s="69">
        <v>6.8</v>
      </c>
      <c r="E74" s="69">
        <v>4.7</v>
      </c>
      <c r="G74" s="69">
        <v>1</v>
      </c>
      <c r="H74" s="69">
        <v>9</v>
      </c>
      <c r="I74" s="69">
        <v>0</v>
      </c>
      <c r="J74" s="69">
        <v>0</v>
      </c>
      <c r="K74" s="69">
        <v>0</v>
      </c>
      <c r="L74" s="69">
        <v>1.73</v>
      </c>
      <c r="M74" s="69">
        <v>8</v>
      </c>
      <c r="N74" s="69">
        <v>2.7</v>
      </c>
      <c r="O74" s="69">
        <v>6.2</v>
      </c>
      <c r="P74" s="70" t="s">
        <v>274</v>
      </c>
      <c r="Q74" s="37" t="str">
        <f t="shared" si="6"/>
        <v>2,5 ≤ Turb &lt; 5,0 uT</v>
      </c>
      <c r="R74" s="39" t="str">
        <f t="shared" si="7"/>
        <v>10 ≤ Cor &lt;15 uC</v>
      </c>
      <c r="S74" s="39" t="str">
        <f t="shared" si="8"/>
        <v>2,5 ≤ Alc. Bruta &lt; 5,0 mg/L</v>
      </c>
      <c r="T74" s="37" t="str">
        <f t="shared" si="9"/>
        <v>Tipo 4 (&gt;0,75) uT</v>
      </c>
      <c r="U74" s="41">
        <f t="shared" si="10"/>
        <v>0.38869257950530034</v>
      </c>
      <c r="V74" s="71" t="str">
        <f t="shared" si="11"/>
        <v>Tipo 2 (25-50%)</v>
      </c>
    </row>
    <row r="75" spans="1:22" x14ac:dyDescent="0.3">
      <c r="A75" s="27">
        <v>46190</v>
      </c>
      <c r="B75" s="69">
        <v>2.83</v>
      </c>
      <c r="C75" s="69">
        <v>12</v>
      </c>
      <c r="D75" s="69">
        <v>6.8</v>
      </c>
      <c r="E75" s="69">
        <v>4.7</v>
      </c>
      <c r="G75" s="69">
        <v>2</v>
      </c>
      <c r="H75" s="69">
        <v>9.5</v>
      </c>
      <c r="I75" s="69">
        <v>0</v>
      </c>
      <c r="J75" s="69">
        <v>0</v>
      </c>
      <c r="K75" s="69">
        <v>0</v>
      </c>
      <c r="L75" s="69">
        <v>0.65</v>
      </c>
      <c r="M75" s="69">
        <v>4</v>
      </c>
      <c r="N75" s="69">
        <v>2.7</v>
      </c>
      <c r="O75" s="69">
        <v>6.1</v>
      </c>
      <c r="P75" s="70" t="s">
        <v>274</v>
      </c>
      <c r="Q75" s="37" t="str">
        <f t="shared" si="6"/>
        <v>2,5 ≤ Turb &lt; 5,0 uT</v>
      </c>
      <c r="R75" s="39" t="str">
        <f t="shared" si="7"/>
        <v>10 ≤ Cor &lt;15 uC</v>
      </c>
      <c r="S75" s="39" t="str">
        <f t="shared" si="8"/>
        <v>2,5 ≤ Alc. Bruta &lt; 5,0 mg/L</v>
      </c>
      <c r="T75" s="37" t="str">
        <f t="shared" si="9"/>
        <v>Tipo 3 (0,50-0,75) uT</v>
      </c>
      <c r="U75" s="41">
        <f t="shared" si="10"/>
        <v>0.77031802120141346</v>
      </c>
      <c r="V75" s="71" t="str">
        <f t="shared" si="11"/>
        <v>Tipo 4 (75-100%)</v>
      </c>
    </row>
    <row r="76" spans="1:22" x14ac:dyDescent="0.3">
      <c r="A76" s="27">
        <v>46190</v>
      </c>
      <c r="B76" s="69">
        <v>2.83</v>
      </c>
      <c r="C76" s="69">
        <v>12</v>
      </c>
      <c r="D76" s="69">
        <v>6.8</v>
      </c>
      <c r="E76" s="69">
        <v>4.7</v>
      </c>
      <c r="G76" s="69">
        <v>3</v>
      </c>
      <c r="H76" s="69">
        <v>10</v>
      </c>
      <c r="I76" s="69">
        <v>0</v>
      </c>
      <c r="J76" s="69">
        <v>0</v>
      </c>
      <c r="K76" s="69">
        <v>0</v>
      </c>
      <c r="L76" s="69">
        <v>0.63</v>
      </c>
      <c r="M76" s="69">
        <v>4</v>
      </c>
      <c r="N76" s="69">
        <v>2.5</v>
      </c>
      <c r="O76" s="69">
        <v>6.1</v>
      </c>
      <c r="P76" s="70" t="s">
        <v>274</v>
      </c>
      <c r="Q76" s="37" t="str">
        <f t="shared" si="6"/>
        <v>2,5 ≤ Turb &lt; 5,0 uT</v>
      </c>
      <c r="R76" s="39" t="str">
        <f t="shared" si="7"/>
        <v>10 ≤ Cor &lt;15 uC</v>
      </c>
      <c r="S76" s="39" t="str">
        <f t="shared" si="8"/>
        <v>2,5 ≤ Alc. Bruta &lt; 5,0 mg/L</v>
      </c>
      <c r="T76" s="37" t="str">
        <f t="shared" si="9"/>
        <v>Tipo 3 (0,50-0,75) uT</v>
      </c>
      <c r="U76" s="41">
        <f t="shared" si="10"/>
        <v>0.77738515901060068</v>
      </c>
      <c r="V76" s="71" t="str">
        <f t="shared" si="11"/>
        <v>Tipo 4 (75-100%)</v>
      </c>
    </row>
    <row r="77" spans="1:22" x14ac:dyDescent="0.3">
      <c r="A77" s="27">
        <v>46191</v>
      </c>
      <c r="B77" s="69">
        <v>2.44</v>
      </c>
      <c r="C77" s="69">
        <v>13</v>
      </c>
      <c r="D77" s="69">
        <v>6.6</v>
      </c>
      <c r="E77" s="69">
        <v>4.9000000000000004</v>
      </c>
      <c r="G77" s="69">
        <v>1</v>
      </c>
      <c r="H77" s="69">
        <v>5</v>
      </c>
      <c r="I77" s="69">
        <v>0</v>
      </c>
      <c r="J77" s="69">
        <v>0</v>
      </c>
      <c r="K77" s="69">
        <v>0</v>
      </c>
      <c r="L77" s="69">
        <v>2.77</v>
      </c>
      <c r="M77" s="69">
        <v>13</v>
      </c>
      <c r="N77" s="69">
        <v>2.9</v>
      </c>
      <c r="O77" s="69">
        <v>6.4</v>
      </c>
      <c r="P77" s="70" t="s">
        <v>274</v>
      </c>
      <c r="Q77" s="37" t="str">
        <f t="shared" si="6"/>
        <v>Turbidez &lt; 2,5 uT</v>
      </c>
      <c r="R77" s="39" t="str">
        <f t="shared" si="7"/>
        <v>10 ≤ Cor &lt;15 uC</v>
      </c>
      <c r="S77" s="39" t="str">
        <f t="shared" si="8"/>
        <v>2,5 ≤ Alc. Bruta &lt; 5,0 mg/L</v>
      </c>
      <c r="T77" s="37" t="str">
        <f t="shared" si="9"/>
        <v>Tipo 4 (&gt;0,75) uT</v>
      </c>
      <c r="U77" s="41" t="str">
        <f t="shared" si="10"/>
        <v/>
      </c>
      <c r="V77" s="71" t="str">
        <f t="shared" si="11"/>
        <v/>
      </c>
    </row>
    <row r="78" spans="1:22" x14ac:dyDescent="0.3">
      <c r="A78" s="27">
        <v>46191</v>
      </c>
      <c r="B78" s="69">
        <v>2.44</v>
      </c>
      <c r="C78" s="69">
        <v>13</v>
      </c>
      <c r="D78" s="69">
        <v>6.6</v>
      </c>
      <c r="E78" s="69">
        <v>4.9000000000000004</v>
      </c>
      <c r="G78" s="69">
        <v>2</v>
      </c>
      <c r="H78" s="69">
        <v>6</v>
      </c>
      <c r="I78" s="69">
        <v>0</v>
      </c>
      <c r="J78" s="69">
        <v>0</v>
      </c>
      <c r="K78" s="69">
        <v>0</v>
      </c>
      <c r="L78" s="69">
        <v>2.71</v>
      </c>
      <c r="M78" s="69">
        <v>13</v>
      </c>
      <c r="N78" s="69">
        <v>2.7</v>
      </c>
      <c r="O78" s="69">
        <v>6.2</v>
      </c>
      <c r="P78" s="70" t="s">
        <v>274</v>
      </c>
      <c r="Q78" s="37" t="str">
        <f t="shared" si="6"/>
        <v>Turbidez &lt; 2,5 uT</v>
      </c>
      <c r="R78" s="39" t="str">
        <f t="shared" si="7"/>
        <v>10 ≤ Cor &lt;15 uC</v>
      </c>
      <c r="S78" s="39" t="str">
        <f t="shared" si="8"/>
        <v>2,5 ≤ Alc. Bruta &lt; 5,0 mg/L</v>
      </c>
      <c r="T78" s="37" t="str">
        <f t="shared" si="9"/>
        <v>Tipo 4 (&gt;0,75) uT</v>
      </c>
      <c r="U78" s="41" t="str">
        <f t="shared" si="10"/>
        <v/>
      </c>
      <c r="V78" s="71" t="str">
        <f t="shared" si="11"/>
        <v/>
      </c>
    </row>
    <row r="79" spans="1:22" x14ac:dyDescent="0.3">
      <c r="A79" s="27">
        <v>46191</v>
      </c>
      <c r="B79" s="69">
        <v>2.44</v>
      </c>
      <c r="C79" s="69">
        <v>13</v>
      </c>
      <c r="D79" s="69">
        <v>6.6</v>
      </c>
      <c r="E79" s="69">
        <v>4.9000000000000004</v>
      </c>
      <c r="G79" s="69">
        <v>3</v>
      </c>
      <c r="H79" s="69">
        <v>7</v>
      </c>
      <c r="I79" s="69">
        <v>0</v>
      </c>
      <c r="J79" s="69">
        <v>0</v>
      </c>
      <c r="K79" s="69">
        <v>0</v>
      </c>
      <c r="L79" s="69">
        <v>1.61</v>
      </c>
      <c r="M79" s="69">
        <v>10</v>
      </c>
      <c r="N79" s="69">
        <v>2.4</v>
      </c>
      <c r="O79" s="69">
        <v>6.1</v>
      </c>
      <c r="P79" s="70" t="s">
        <v>274</v>
      </c>
      <c r="Q79" s="37" t="str">
        <f t="shared" si="6"/>
        <v>Turbidez &lt; 2,5 uT</v>
      </c>
      <c r="R79" s="39" t="str">
        <f t="shared" si="7"/>
        <v>10 ≤ Cor &lt;15 uC</v>
      </c>
      <c r="S79" s="39" t="str">
        <f t="shared" si="8"/>
        <v>2,5 ≤ Alc. Bruta &lt; 5,0 mg/L</v>
      </c>
      <c r="T79" s="37" t="str">
        <f t="shared" si="9"/>
        <v>Tipo 4 (&gt;0,75) uT</v>
      </c>
      <c r="U79" s="41">
        <f t="shared" si="10"/>
        <v>0.3401639344262295</v>
      </c>
      <c r="V79" s="71" t="str">
        <f t="shared" si="11"/>
        <v>Tipo 2 (25-50%)</v>
      </c>
    </row>
    <row r="80" spans="1:22" x14ac:dyDescent="0.3">
      <c r="A80" s="27">
        <v>46191</v>
      </c>
      <c r="B80" s="69">
        <v>2.44</v>
      </c>
      <c r="C80" s="69">
        <v>13</v>
      </c>
      <c r="D80" s="69">
        <v>6.6</v>
      </c>
      <c r="E80" s="69">
        <v>4.9000000000000004</v>
      </c>
      <c r="G80" s="69">
        <v>4</v>
      </c>
      <c r="H80" s="69">
        <v>8</v>
      </c>
      <c r="I80" s="69">
        <v>0</v>
      </c>
      <c r="J80" s="69">
        <v>0</v>
      </c>
      <c r="K80" s="69">
        <v>0</v>
      </c>
      <c r="L80" s="69">
        <v>1.02</v>
      </c>
      <c r="M80" s="69">
        <v>5</v>
      </c>
      <c r="N80" s="69">
        <v>2</v>
      </c>
      <c r="O80" s="69">
        <v>6</v>
      </c>
      <c r="P80" s="70" t="s">
        <v>274</v>
      </c>
      <c r="Q80" s="37" t="str">
        <f t="shared" si="6"/>
        <v>Turbidez &lt; 2,5 uT</v>
      </c>
      <c r="R80" s="39" t="str">
        <f t="shared" si="7"/>
        <v>10 ≤ Cor &lt;15 uC</v>
      </c>
      <c r="S80" s="39" t="str">
        <f t="shared" si="8"/>
        <v>2,5 ≤ Alc. Bruta &lt; 5,0 mg/L</v>
      </c>
      <c r="T80" s="37" t="str">
        <f t="shared" si="9"/>
        <v>Tipo 4 (&gt;0,75) uT</v>
      </c>
      <c r="U80" s="41">
        <f t="shared" si="10"/>
        <v>0.58196721311475408</v>
      </c>
      <c r="V80" s="71" t="str">
        <f t="shared" si="11"/>
        <v>Tipo 3 (50-75%)</v>
      </c>
    </row>
    <row r="81" spans="1:22" x14ac:dyDescent="0.3">
      <c r="A81" s="27">
        <v>46191</v>
      </c>
      <c r="B81" s="69">
        <v>2.44</v>
      </c>
      <c r="C81" s="69">
        <v>13</v>
      </c>
      <c r="D81" s="69">
        <v>6.6</v>
      </c>
      <c r="E81" s="69">
        <v>4.9000000000000004</v>
      </c>
      <c r="G81" s="69">
        <v>5</v>
      </c>
      <c r="H81" s="69">
        <v>9</v>
      </c>
      <c r="I81" s="69">
        <v>0</v>
      </c>
      <c r="J81" s="69">
        <v>0</v>
      </c>
      <c r="K81" s="69">
        <v>0</v>
      </c>
      <c r="L81" s="69">
        <v>1.1000000000000001</v>
      </c>
      <c r="M81" s="69">
        <v>5</v>
      </c>
      <c r="N81" s="69">
        <v>2.2000000000000002</v>
      </c>
      <c r="O81" s="69">
        <v>5.9</v>
      </c>
      <c r="P81" s="70" t="s">
        <v>274</v>
      </c>
      <c r="Q81" s="37" t="str">
        <f t="shared" si="6"/>
        <v>Turbidez &lt; 2,5 uT</v>
      </c>
      <c r="R81" s="39" t="str">
        <f t="shared" si="7"/>
        <v>10 ≤ Cor &lt;15 uC</v>
      </c>
      <c r="S81" s="39" t="str">
        <f t="shared" si="8"/>
        <v>2,5 ≤ Alc. Bruta &lt; 5,0 mg/L</v>
      </c>
      <c r="T81" s="37" t="str">
        <f t="shared" si="9"/>
        <v>Tipo 4 (&gt;0,75) uT</v>
      </c>
      <c r="U81" s="41">
        <f t="shared" si="10"/>
        <v>0.5491803278688524</v>
      </c>
      <c r="V81" s="71" t="str">
        <f t="shared" si="11"/>
        <v>Tipo 3 (50-75%)</v>
      </c>
    </row>
    <row r="82" spans="1:22" x14ac:dyDescent="0.3">
      <c r="A82" s="27">
        <v>46191</v>
      </c>
      <c r="B82" s="69">
        <v>2.44</v>
      </c>
      <c r="C82" s="69">
        <v>13</v>
      </c>
      <c r="D82" s="69">
        <v>6.6</v>
      </c>
      <c r="E82" s="69">
        <v>4.9000000000000004</v>
      </c>
      <c r="G82" s="69">
        <v>6</v>
      </c>
      <c r="H82" s="69">
        <v>10</v>
      </c>
      <c r="I82" s="69">
        <v>0</v>
      </c>
      <c r="J82" s="69">
        <v>0</v>
      </c>
      <c r="K82" s="69">
        <v>0</v>
      </c>
      <c r="L82" s="69">
        <v>0.67</v>
      </c>
      <c r="M82" s="69">
        <v>5</v>
      </c>
      <c r="N82" s="69">
        <v>2.2000000000000002</v>
      </c>
      <c r="O82" s="69">
        <v>5.8</v>
      </c>
      <c r="P82" s="70" t="s">
        <v>274</v>
      </c>
      <c r="Q82" s="37" t="str">
        <f t="shared" si="6"/>
        <v>Turbidez &lt; 2,5 uT</v>
      </c>
      <c r="R82" s="39" t="str">
        <f t="shared" si="7"/>
        <v>10 ≤ Cor &lt;15 uC</v>
      </c>
      <c r="S82" s="39" t="str">
        <f t="shared" si="8"/>
        <v>2,5 ≤ Alc. Bruta &lt; 5,0 mg/L</v>
      </c>
      <c r="T82" s="37" t="str">
        <f t="shared" si="9"/>
        <v>Tipo 3 (0,50-0,75) uT</v>
      </c>
      <c r="U82" s="41">
        <f t="shared" si="10"/>
        <v>0.72540983606557374</v>
      </c>
      <c r="V82" s="71" t="str">
        <f t="shared" si="11"/>
        <v>Tipo 3 (50-75%)</v>
      </c>
    </row>
  </sheetData>
  <autoFilter ref="A1:P64" xr:uid="{D66FB626-3E5E-40B8-8C7F-31AE1E69ACE7}"/>
  <phoneticPr fontId="21" type="noConversion"/>
  <pageMargins left="0.511811024" right="0.511811024" top="0.78740157499999996" bottom="0.78740157499999996" header="0.31496062000000002" footer="0.31496062000000002"/>
  <pageSetup paperSize="9" orientation="portrait" r:id="rId1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F457B06-F84D-44F3-BEED-5EB28BACE9A2}">
  <dimension ref="A2:C152"/>
  <sheetViews>
    <sheetView topLeftCell="A127" workbookViewId="0">
      <selection activeCell="L148" sqref="L148"/>
    </sheetView>
  </sheetViews>
  <sheetFormatPr defaultRowHeight="14.4" x14ac:dyDescent="0.3"/>
  <cols>
    <col min="3" max="3" width="13.6640625" bestFit="1" customWidth="1"/>
  </cols>
  <sheetData>
    <row r="2" spans="1:3" x14ac:dyDescent="0.3">
      <c r="A2" t="s">
        <v>135</v>
      </c>
    </row>
    <row r="3" spans="1:3" x14ac:dyDescent="0.3">
      <c r="A3" t="s">
        <v>132</v>
      </c>
      <c r="B3" t="s">
        <v>133</v>
      </c>
      <c r="C3" t="s">
        <v>134</v>
      </c>
    </row>
    <row r="4" spans="1:3" x14ac:dyDescent="0.3">
      <c r="A4">
        <v>1</v>
      </c>
      <c r="B4">
        <v>4</v>
      </c>
      <c r="C4">
        <v>3.2</v>
      </c>
    </row>
    <row r="5" spans="1:3" x14ac:dyDescent="0.3">
      <c r="A5">
        <v>2</v>
      </c>
      <c r="B5">
        <v>5</v>
      </c>
      <c r="C5">
        <v>3.2</v>
      </c>
    </row>
    <row r="6" spans="1:3" x14ac:dyDescent="0.3">
      <c r="A6">
        <v>3</v>
      </c>
      <c r="B6">
        <v>6</v>
      </c>
      <c r="C6">
        <v>1.81</v>
      </c>
    </row>
    <row r="7" spans="1:3" x14ac:dyDescent="0.3">
      <c r="A7">
        <v>4</v>
      </c>
      <c r="B7">
        <v>7</v>
      </c>
      <c r="C7">
        <v>0.81</v>
      </c>
    </row>
    <row r="8" spans="1:3" x14ac:dyDescent="0.3">
      <c r="A8">
        <v>5</v>
      </c>
      <c r="B8">
        <v>8</v>
      </c>
      <c r="C8">
        <v>0.42</v>
      </c>
    </row>
    <row r="9" spans="1:3" x14ac:dyDescent="0.3">
      <c r="A9">
        <v>6</v>
      </c>
      <c r="B9">
        <v>9</v>
      </c>
      <c r="C9">
        <v>0.32</v>
      </c>
    </row>
    <row r="11" spans="1:3" x14ac:dyDescent="0.3">
      <c r="A11" t="s">
        <v>136</v>
      </c>
    </row>
    <row r="12" spans="1:3" x14ac:dyDescent="0.3">
      <c r="A12" t="s">
        <v>132</v>
      </c>
      <c r="B12" t="s">
        <v>133</v>
      </c>
      <c r="C12" t="s">
        <v>134</v>
      </c>
    </row>
    <row r="13" spans="1:3" x14ac:dyDescent="0.3">
      <c r="A13">
        <v>1</v>
      </c>
      <c r="B13">
        <v>3.5</v>
      </c>
      <c r="C13">
        <v>3.28</v>
      </c>
    </row>
    <row r="14" spans="1:3" x14ac:dyDescent="0.3">
      <c r="A14">
        <v>2</v>
      </c>
      <c r="B14">
        <v>4</v>
      </c>
      <c r="C14">
        <v>3.39</v>
      </c>
    </row>
    <row r="15" spans="1:3" x14ac:dyDescent="0.3">
      <c r="A15">
        <v>3</v>
      </c>
      <c r="B15">
        <v>4.5</v>
      </c>
      <c r="C15">
        <v>3.28</v>
      </c>
    </row>
    <row r="16" spans="1:3" x14ac:dyDescent="0.3">
      <c r="A16">
        <v>4</v>
      </c>
      <c r="B16">
        <v>5</v>
      </c>
      <c r="C16">
        <v>3.08</v>
      </c>
    </row>
    <row r="17" spans="1:3" x14ac:dyDescent="0.3">
      <c r="A17">
        <v>5</v>
      </c>
      <c r="B17">
        <v>5.5</v>
      </c>
      <c r="C17">
        <v>1.83</v>
      </c>
    </row>
    <row r="18" spans="1:3" x14ac:dyDescent="0.3">
      <c r="A18">
        <v>6</v>
      </c>
      <c r="B18">
        <v>6</v>
      </c>
      <c r="C18">
        <v>0.86</v>
      </c>
    </row>
    <row r="21" spans="1:3" x14ac:dyDescent="0.3">
      <c r="A21" t="s">
        <v>137</v>
      </c>
    </row>
    <row r="22" spans="1:3" x14ac:dyDescent="0.3">
      <c r="A22" t="s">
        <v>132</v>
      </c>
      <c r="B22" t="s">
        <v>133</v>
      </c>
      <c r="C22" t="s">
        <v>134</v>
      </c>
    </row>
    <row r="23" spans="1:3" x14ac:dyDescent="0.3">
      <c r="A23">
        <v>1</v>
      </c>
      <c r="B23">
        <v>6</v>
      </c>
      <c r="C23">
        <v>1.56</v>
      </c>
    </row>
    <row r="24" spans="1:3" x14ac:dyDescent="0.3">
      <c r="A24">
        <v>2</v>
      </c>
      <c r="B24">
        <v>6.5</v>
      </c>
      <c r="C24">
        <v>0.83</v>
      </c>
    </row>
    <row r="25" spans="1:3" x14ac:dyDescent="0.3">
      <c r="A25">
        <v>3</v>
      </c>
      <c r="B25">
        <v>7</v>
      </c>
      <c r="C25">
        <v>0.32</v>
      </c>
    </row>
    <row r="26" spans="1:3" x14ac:dyDescent="0.3">
      <c r="A26">
        <v>4</v>
      </c>
      <c r="B26">
        <v>7.5</v>
      </c>
      <c r="C26">
        <v>0.47</v>
      </c>
    </row>
    <row r="27" spans="1:3" x14ac:dyDescent="0.3">
      <c r="A27">
        <v>5</v>
      </c>
      <c r="B27">
        <v>8</v>
      </c>
      <c r="C27">
        <v>0.3</v>
      </c>
    </row>
    <row r="28" spans="1:3" x14ac:dyDescent="0.3">
      <c r="A28">
        <v>6</v>
      </c>
      <c r="B28">
        <v>8.5</v>
      </c>
      <c r="C28">
        <v>0.26</v>
      </c>
    </row>
    <row r="31" spans="1:3" x14ac:dyDescent="0.3">
      <c r="A31" t="s">
        <v>138</v>
      </c>
    </row>
    <row r="32" spans="1:3" x14ac:dyDescent="0.3">
      <c r="A32" t="s">
        <v>132</v>
      </c>
      <c r="B32" t="s">
        <v>133</v>
      </c>
      <c r="C32" t="s">
        <v>134</v>
      </c>
    </row>
    <row r="33" spans="1:3" x14ac:dyDescent="0.3">
      <c r="A33">
        <v>1</v>
      </c>
      <c r="B33">
        <v>4</v>
      </c>
      <c r="C33">
        <v>2.8</v>
      </c>
    </row>
    <row r="34" spans="1:3" x14ac:dyDescent="0.3">
      <c r="A34">
        <v>2</v>
      </c>
      <c r="B34">
        <v>5</v>
      </c>
      <c r="C34">
        <v>2.4900000000000002</v>
      </c>
    </row>
    <row r="35" spans="1:3" x14ac:dyDescent="0.3">
      <c r="A35">
        <v>3</v>
      </c>
      <c r="B35">
        <v>6</v>
      </c>
      <c r="C35">
        <v>1.94</v>
      </c>
    </row>
    <row r="36" spans="1:3" x14ac:dyDescent="0.3">
      <c r="A36">
        <v>4</v>
      </c>
      <c r="B36">
        <v>7</v>
      </c>
      <c r="C36">
        <v>0.35</v>
      </c>
    </row>
    <row r="37" spans="1:3" x14ac:dyDescent="0.3">
      <c r="A37">
        <v>5</v>
      </c>
    </row>
    <row r="38" spans="1:3" x14ac:dyDescent="0.3">
      <c r="A38">
        <v>6</v>
      </c>
    </row>
    <row r="42" spans="1:3" x14ac:dyDescent="0.3">
      <c r="A42" t="s">
        <v>135</v>
      </c>
    </row>
    <row r="43" spans="1:3" x14ac:dyDescent="0.3">
      <c r="A43" t="s">
        <v>132</v>
      </c>
      <c r="B43" t="s">
        <v>133</v>
      </c>
      <c r="C43" t="s">
        <v>134</v>
      </c>
    </row>
    <row r="44" spans="1:3" x14ac:dyDescent="0.3">
      <c r="A44">
        <v>1</v>
      </c>
      <c r="B44">
        <v>6</v>
      </c>
      <c r="C44">
        <v>1.81</v>
      </c>
    </row>
    <row r="45" spans="1:3" x14ac:dyDescent="0.3">
      <c r="A45">
        <v>2</v>
      </c>
      <c r="B45">
        <v>7</v>
      </c>
      <c r="C45">
        <v>0.81</v>
      </c>
    </row>
    <row r="46" spans="1:3" x14ac:dyDescent="0.3">
      <c r="A46">
        <v>3</v>
      </c>
      <c r="B46">
        <v>8</v>
      </c>
      <c r="C46">
        <v>0.42</v>
      </c>
    </row>
    <row r="47" spans="1:3" x14ac:dyDescent="0.3">
      <c r="A47">
        <v>4</v>
      </c>
      <c r="B47">
        <v>9</v>
      </c>
      <c r="C47">
        <v>0.32</v>
      </c>
    </row>
    <row r="48" spans="1:3" x14ac:dyDescent="0.3">
      <c r="A48">
        <v>5</v>
      </c>
    </row>
    <row r="49" spans="1:3" x14ac:dyDescent="0.3">
      <c r="A49">
        <v>6</v>
      </c>
    </row>
    <row r="52" spans="1:3" x14ac:dyDescent="0.3">
      <c r="A52" t="s">
        <v>140</v>
      </c>
    </row>
    <row r="53" spans="1:3" x14ac:dyDescent="0.3">
      <c r="A53" t="s">
        <v>132</v>
      </c>
      <c r="B53" t="s">
        <v>133</v>
      </c>
      <c r="C53" t="s">
        <v>134</v>
      </c>
    </row>
    <row r="54" spans="1:3" x14ac:dyDescent="0.3">
      <c r="A54">
        <v>1</v>
      </c>
      <c r="B54">
        <v>6</v>
      </c>
      <c r="C54">
        <v>1.54</v>
      </c>
    </row>
    <row r="55" spans="1:3" x14ac:dyDescent="0.3">
      <c r="A55">
        <v>2</v>
      </c>
      <c r="B55">
        <v>6.5</v>
      </c>
      <c r="C55">
        <v>1.19</v>
      </c>
    </row>
    <row r="56" spans="1:3" x14ac:dyDescent="0.3">
      <c r="A56">
        <v>3</v>
      </c>
      <c r="B56">
        <v>7</v>
      </c>
      <c r="C56">
        <v>0.65500000000000003</v>
      </c>
    </row>
    <row r="57" spans="1:3" x14ac:dyDescent="0.3">
      <c r="A57">
        <v>4</v>
      </c>
      <c r="B57">
        <v>7.5</v>
      </c>
      <c r="C57">
        <v>0.28999999999999998</v>
      </c>
    </row>
    <row r="58" spans="1:3" x14ac:dyDescent="0.3">
      <c r="A58">
        <v>5</v>
      </c>
      <c r="B58">
        <v>8</v>
      </c>
      <c r="C58">
        <v>0.34</v>
      </c>
    </row>
    <row r="59" spans="1:3" x14ac:dyDescent="0.3">
      <c r="A59">
        <v>6</v>
      </c>
      <c r="B59">
        <v>8.5</v>
      </c>
      <c r="C59">
        <v>0.34</v>
      </c>
    </row>
    <row r="65" spans="1:3" x14ac:dyDescent="0.3">
      <c r="A65" t="s">
        <v>139</v>
      </c>
    </row>
    <row r="66" spans="1:3" x14ac:dyDescent="0.3">
      <c r="A66" t="s">
        <v>132</v>
      </c>
      <c r="B66" t="s">
        <v>133</v>
      </c>
      <c r="C66" t="s">
        <v>134</v>
      </c>
    </row>
    <row r="67" spans="1:3" x14ac:dyDescent="0.3">
      <c r="A67">
        <v>1</v>
      </c>
      <c r="B67">
        <v>6.5</v>
      </c>
      <c r="C67">
        <v>3.03</v>
      </c>
    </row>
    <row r="68" spans="1:3" x14ac:dyDescent="0.3">
      <c r="A68">
        <v>2</v>
      </c>
      <c r="B68">
        <v>7</v>
      </c>
      <c r="C68">
        <v>0.59</v>
      </c>
    </row>
    <row r="69" spans="1:3" x14ac:dyDescent="0.3">
      <c r="A69">
        <v>3</v>
      </c>
      <c r="B69">
        <v>7.5</v>
      </c>
      <c r="C69">
        <v>0.44</v>
      </c>
    </row>
    <row r="70" spans="1:3" x14ac:dyDescent="0.3">
      <c r="A70">
        <v>4</v>
      </c>
      <c r="B70">
        <v>8</v>
      </c>
      <c r="C70">
        <v>0.42</v>
      </c>
    </row>
    <row r="71" spans="1:3" x14ac:dyDescent="0.3">
      <c r="A71">
        <v>5</v>
      </c>
      <c r="B71">
        <v>8.5</v>
      </c>
      <c r="C71">
        <v>0.41</v>
      </c>
    </row>
    <row r="72" spans="1:3" x14ac:dyDescent="0.3">
      <c r="A72">
        <v>6</v>
      </c>
      <c r="B72">
        <v>9</v>
      </c>
      <c r="C72">
        <v>0.37</v>
      </c>
    </row>
    <row r="79" spans="1:3" x14ac:dyDescent="0.3">
      <c r="A79" t="s">
        <v>141</v>
      </c>
    </row>
    <row r="80" spans="1:3" x14ac:dyDescent="0.3">
      <c r="A80" t="s">
        <v>132</v>
      </c>
      <c r="B80" t="s">
        <v>133</v>
      </c>
      <c r="C80" t="s">
        <v>134</v>
      </c>
    </row>
    <row r="81" spans="1:3" x14ac:dyDescent="0.3">
      <c r="A81">
        <v>1</v>
      </c>
      <c r="B81">
        <v>4</v>
      </c>
      <c r="C81">
        <v>3.46</v>
      </c>
    </row>
    <row r="82" spans="1:3" x14ac:dyDescent="0.3">
      <c r="A82">
        <v>2</v>
      </c>
      <c r="B82">
        <v>4.5</v>
      </c>
      <c r="C82">
        <v>2.89</v>
      </c>
    </row>
    <row r="83" spans="1:3" x14ac:dyDescent="0.3">
      <c r="A83">
        <v>3</v>
      </c>
      <c r="B83">
        <v>5</v>
      </c>
      <c r="C83">
        <v>2.11</v>
      </c>
    </row>
    <row r="84" spans="1:3" x14ac:dyDescent="0.3">
      <c r="A84">
        <v>4</v>
      </c>
      <c r="B84">
        <v>5.5</v>
      </c>
      <c r="C84">
        <v>2.0099999999999998</v>
      </c>
    </row>
    <row r="85" spans="1:3" x14ac:dyDescent="0.3">
      <c r="A85">
        <v>5</v>
      </c>
      <c r="B85">
        <v>6</v>
      </c>
      <c r="C85">
        <v>0.89</v>
      </c>
    </row>
    <row r="86" spans="1:3" x14ac:dyDescent="0.3">
      <c r="A86">
        <v>6</v>
      </c>
      <c r="B86">
        <v>6.5</v>
      </c>
      <c r="C86">
        <v>0.43</v>
      </c>
    </row>
    <row r="93" spans="1:3" x14ac:dyDescent="0.3">
      <c r="A93" t="s">
        <v>142</v>
      </c>
    </row>
    <row r="94" spans="1:3" x14ac:dyDescent="0.3">
      <c r="A94" t="s">
        <v>132</v>
      </c>
      <c r="B94" t="s">
        <v>133</v>
      </c>
      <c r="C94" t="s">
        <v>134</v>
      </c>
    </row>
    <row r="95" spans="1:3" x14ac:dyDescent="0.3">
      <c r="A95">
        <v>1</v>
      </c>
      <c r="B95">
        <v>4</v>
      </c>
      <c r="C95">
        <v>3.84</v>
      </c>
    </row>
    <row r="96" spans="1:3" x14ac:dyDescent="0.3">
      <c r="A96">
        <v>2</v>
      </c>
      <c r="B96">
        <v>5</v>
      </c>
      <c r="C96">
        <v>3.76</v>
      </c>
    </row>
    <row r="97" spans="1:3" x14ac:dyDescent="0.3">
      <c r="A97">
        <v>3</v>
      </c>
      <c r="B97">
        <v>6</v>
      </c>
      <c r="C97">
        <v>3.74</v>
      </c>
    </row>
    <row r="98" spans="1:3" x14ac:dyDescent="0.3">
      <c r="A98">
        <v>4</v>
      </c>
      <c r="B98">
        <v>7</v>
      </c>
      <c r="C98">
        <v>2.78</v>
      </c>
    </row>
    <row r="99" spans="1:3" x14ac:dyDescent="0.3">
      <c r="A99">
        <v>5</v>
      </c>
      <c r="B99">
        <v>8</v>
      </c>
      <c r="C99">
        <v>1.61</v>
      </c>
    </row>
    <row r="100" spans="1:3" x14ac:dyDescent="0.3">
      <c r="A100">
        <v>6</v>
      </c>
      <c r="B100">
        <v>9</v>
      </c>
      <c r="C100">
        <v>0.48</v>
      </c>
    </row>
    <row r="107" spans="1:3" x14ac:dyDescent="0.3">
      <c r="A107" t="s">
        <v>142</v>
      </c>
    </row>
    <row r="108" spans="1:3" x14ac:dyDescent="0.3">
      <c r="A108" t="s">
        <v>132</v>
      </c>
      <c r="B108" t="s">
        <v>133</v>
      </c>
      <c r="C108" t="s">
        <v>134</v>
      </c>
    </row>
    <row r="109" spans="1:3" x14ac:dyDescent="0.3">
      <c r="A109">
        <v>1</v>
      </c>
      <c r="B109">
        <v>4.5</v>
      </c>
      <c r="C109">
        <v>2.85</v>
      </c>
    </row>
    <row r="110" spans="1:3" x14ac:dyDescent="0.3">
      <c r="A110">
        <v>2</v>
      </c>
      <c r="B110">
        <v>5</v>
      </c>
      <c r="C110">
        <v>2.8</v>
      </c>
    </row>
    <row r="111" spans="1:3" x14ac:dyDescent="0.3">
      <c r="A111">
        <v>3</v>
      </c>
      <c r="B111">
        <v>5.5</v>
      </c>
      <c r="C111">
        <v>1.46</v>
      </c>
    </row>
    <row r="112" spans="1:3" x14ac:dyDescent="0.3">
      <c r="A112">
        <v>4</v>
      </c>
      <c r="B112">
        <v>6</v>
      </c>
      <c r="C112">
        <v>0.91</v>
      </c>
    </row>
    <row r="113" spans="1:3" x14ac:dyDescent="0.3">
      <c r="A113">
        <v>5</v>
      </c>
      <c r="B113">
        <v>6.5</v>
      </c>
      <c r="C113">
        <v>0.5</v>
      </c>
    </row>
    <row r="114" spans="1:3" x14ac:dyDescent="0.3">
      <c r="A114">
        <v>6</v>
      </c>
      <c r="B114">
        <v>7</v>
      </c>
      <c r="C114">
        <v>0.39</v>
      </c>
    </row>
    <row r="119" spans="1:3" x14ac:dyDescent="0.3">
      <c r="A119" t="s">
        <v>143</v>
      </c>
    </row>
    <row r="120" spans="1:3" x14ac:dyDescent="0.3">
      <c r="A120" t="s">
        <v>132</v>
      </c>
      <c r="B120" t="s">
        <v>133</v>
      </c>
      <c r="C120" t="s">
        <v>134</v>
      </c>
    </row>
    <row r="121" spans="1:3" x14ac:dyDescent="0.3">
      <c r="A121">
        <v>1</v>
      </c>
      <c r="B121">
        <v>6</v>
      </c>
      <c r="C121">
        <v>2.88</v>
      </c>
    </row>
    <row r="122" spans="1:3" x14ac:dyDescent="0.3">
      <c r="A122">
        <v>2</v>
      </c>
      <c r="B122">
        <v>6.5</v>
      </c>
      <c r="C122">
        <v>1.48</v>
      </c>
    </row>
    <row r="123" spans="1:3" x14ac:dyDescent="0.3">
      <c r="A123">
        <v>3</v>
      </c>
      <c r="B123">
        <v>7</v>
      </c>
      <c r="C123">
        <v>1.1100000000000001</v>
      </c>
    </row>
    <row r="124" spans="1:3" x14ac:dyDescent="0.3">
      <c r="A124">
        <v>4</v>
      </c>
      <c r="B124">
        <v>7.5</v>
      </c>
      <c r="C124">
        <v>1.01</v>
      </c>
    </row>
    <row r="125" spans="1:3" x14ac:dyDescent="0.3">
      <c r="A125">
        <v>5</v>
      </c>
      <c r="B125">
        <v>8</v>
      </c>
      <c r="C125">
        <v>1.42</v>
      </c>
    </row>
    <row r="126" spans="1:3" x14ac:dyDescent="0.3">
      <c r="A126">
        <v>6</v>
      </c>
      <c r="B126">
        <v>8.5</v>
      </c>
      <c r="C126">
        <v>0.7</v>
      </c>
    </row>
    <row r="132" spans="1:3" x14ac:dyDescent="0.3">
      <c r="A132" t="s">
        <v>288</v>
      </c>
    </row>
    <row r="133" spans="1:3" x14ac:dyDescent="0.3">
      <c r="A133" t="s">
        <v>132</v>
      </c>
      <c r="B133" t="s">
        <v>133</v>
      </c>
      <c r="C133" t="s">
        <v>134</v>
      </c>
    </row>
    <row r="134" spans="1:3" x14ac:dyDescent="0.3">
      <c r="A134">
        <v>1</v>
      </c>
      <c r="B134">
        <v>2</v>
      </c>
      <c r="C134">
        <v>2.35</v>
      </c>
    </row>
    <row r="135" spans="1:3" x14ac:dyDescent="0.3">
      <c r="A135">
        <v>2</v>
      </c>
      <c r="B135">
        <v>4</v>
      </c>
      <c r="C135">
        <v>2.4500000000000002</v>
      </c>
    </row>
    <row r="136" spans="1:3" x14ac:dyDescent="0.3">
      <c r="A136">
        <v>3</v>
      </c>
      <c r="B136">
        <v>6</v>
      </c>
      <c r="C136">
        <v>1.29</v>
      </c>
    </row>
    <row r="137" spans="1:3" x14ac:dyDescent="0.3">
      <c r="A137">
        <v>4</v>
      </c>
      <c r="B137">
        <v>7</v>
      </c>
      <c r="C137">
        <v>0.75</v>
      </c>
    </row>
    <row r="138" spans="1:3" x14ac:dyDescent="0.3">
      <c r="A138">
        <v>5</v>
      </c>
      <c r="B138">
        <v>8</v>
      </c>
      <c r="C138">
        <v>0.27</v>
      </c>
    </row>
    <row r="139" spans="1:3" x14ac:dyDescent="0.3">
      <c r="A139">
        <v>6</v>
      </c>
      <c r="B139">
        <v>9</v>
      </c>
      <c r="C139">
        <v>0.35</v>
      </c>
    </row>
    <row r="145" spans="1:3" x14ac:dyDescent="0.3">
      <c r="A145" t="s">
        <v>289</v>
      </c>
    </row>
    <row r="146" spans="1:3" x14ac:dyDescent="0.3">
      <c r="A146" t="s">
        <v>132</v>
      </c>
      <c r="B146" t="s">
        <v>133</v>
      </c>
      <c r="C146" t="s">
        <v>134</v>
      </c>
    </row>
    <row r="147" spans="1:3" x14ac:dyDescent="0.3">
      <c r="A147">
        <v>1</v>
      </c>
      <c r="B147">
        <v>8</v>
      </c>
      <c r="C147">
        <v>1.23</v>
      </c>
    </row>
    <row r="148" spans="1:3" x14ac:dyDescent="0.3">
      <c r="A148">
        <v>2</v>
      </c>
      <c r="B148">
        <v>10</v>
      </c>
      <c r="C148">
        <v>0.49</v>
      </c>
    </row>
    <row r="149" spans="1:3" x14ac:dyDescent="0.3">
      <c r="A149">
        <v>3</v>
      </c>
      <c r="B149">
        <v>11</v>
      </c>
      <c r="C149">
        <v>0.37</v>
      </c>
    </row>
    <row r="150" spans="1:3" x14ac:dyDescent="0.3">
      <c r="A150">
        <v>4</v>
      </c>
      <c r="B150">
        <v>12</v>
      </c>
      <c r="C150">
        <v>0.28000000000000003</v>
      </c>
    </row>
    <row r="151" spans="1:3" x14ac:dyDescent="0.3">
      <c r="A151">
        <v>5</v>
      </c>
      <c r="B151">
        <v>13</v>
      </c>
      <c r="C151">
        <v>0.3</v>
      </c>
    </row>
    <row r="152" spans="1:3" x14ac:dyDescent="0.3">
      <c r="A152">
        <v>6</v>
      </c>
      <c r="B152">
        <v>14</v>
      </c>
      <c r="C152">
        <v>0.88</v>
      </c>
    </row>
  </sheetData>
  <pageMargins left="0.511811024" right="0.511811024" top="0.78740157499999996" bottom="0.78740157499999996" header="0.31496062000000002" footer="0.31496062000000002"/>
  <drawing r:id="rId1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EB97538-5E0C-4127-BEBA-89FDA9225A09}">
  <dimension ref="B2:K25"/>
  <sheetViews>
    <sheetView workbookViewId="0">
      <selection activeCell="C8" sqref="C8"/>
    </sheetView>
  </sheetViews>
  <sheetFormatPr defaultRowHeight="14.4" x14ac:dyDescent="0.3"/>
  <cols>
    <col min="1" max="1" width="0.88671875" customWidth="1"/>
    <col min="2" max="2" width="41.88671875" bestFit="1" customWidth="1"/>
    <col min="3" max="3" width="37" bestFit="1" customWidth="1"/>
    <col min="4" max="4" width="15.33203125" customWidth="1"/>
    <col min="5" max="5" width="2.77734375" customWidth="1"/>
    <col min="6" max="6" width="18.5546875" bestFit="1" customWidth="1"/>
    <col min="7" max="7" width="7.109375" bestFit="1" customWidth="1"/>
    <col min="10" max="10" width="36.88671875" bestFit="1" customWidth="1"/>
    <col min="11" max="11" width="10.21875" bestFit="1" customWidth="1"/>
  </cols>
  <sheetData>
    <row r="2" spans="2:11" ht="30" customHeight="1" x14ac:dyDescent="0.4">
      <c r="B2" s="96" t="s">
        <v>144</v>
      </c>
      <c r="C2" s="96"/>
      <c r="D2" s="96"/>
      <c r="E2" s="96"/>
      <c r="F2" s="96"/>
      <c r="G2" s="96"/>
      <c r="H2" s="96"/>
      <c r="I2" s="96"/>
      <c r="J2" s="96"/>
    </row>
    <row r="3" spans="2:11" ht="18" x14ac:dyDescent="0.35">
      <c r="J3" s="55" t="s">
        <v>230</v>
      </c>
      <c r="K3" s="59"/>
    </row>
    <row r="4" spans="2:11" ht="15.6" x14ac:dyDescent="0.3">
      <c r="B4" s="97" t="s">
        <v>145</v>
      </c>
      <c r="C4" s="97"/>
      <c r="D4" s="97"/>
      <c r="F4" s="97" t="s">
        <v>150</v>
      </c>
      <c r="G4" s="97"/>
      <c r="H4" s="97"/>
      <c r="J4" s="56"/>
      <c r="K4" s="60"/>
    </row>
    <row r="5" spans="2:11" ht="18" x14ac:dyDescent="0.35">
      <c r="J5" s="57" t="s">
        <v>231</v>
      </c>
      <c r="K5" s="61">
        <f>COUNTIFS('EQUILIBRIO QUIMICO'!A:A,"&gt;="&amp;$C$6,'EQUILIBRIO QUIMICO'!A:A,"&lt;="&amp;$C$7)</f>
        <v>8</v>
      </c>
    </row>
    <row r="6" spans="2:11" ht="15.6" x14ac:dyDescent="0.3">
      <c r="B6" s="23" t="s">
        <v>146</v>
      </c>
      <c r="C6" s="30">
        <v>46128</v>
      </c>
      <c r="F6" s="23" t="s">
        <v>151</v>
      </c>
      <c r="G6" s="45" t="s">
        <v>248</v>
      </c>
      <c r="J6" s="57" t="s">
        <v>232</v>
      </c>
      <c r="K6" s="62" t="str">
        <f>IFERROR(ROUND(AVERAGEIFS('EQUILIBRIO QUIMICO'!N:N,'EQUILIBRIO QUIMICO'!A:A,"&gt;="&amp;$C$6,'EQUILIBRIO QUIMICO'!A:A,"&lt;="&amp;$C$7),2)&amp;" uT","-")</f>
        <v>4,6 uT</v>
      </c>
    </row>
    <row r="7" spans="2:11" ht="15.6" x14ac:dyDescent="0.3">
      <c r="B7" s="23" t="s">
        <v>147</v>
      </c>
      <c r="C7" s="30">
        <v>46128</v>
      </c>
      <c r="F7" s="23" t="s">
        <v>152</v>
      </c>
      <c r="G7" s="45" t="s">
        <v>248</v>
      </c>
      <c r="J7" s="57" t="s">
        <v>233</v>
      </c>
      <c r="K7" s="62" t="str">
        <f>IFERROR(ROUND(AVERAGEIFS('EQUILIBRIO QUIMICO'!Q:Q,'EQUILIBRIO QUIMICO'!A:A,"&gt;="&amp;$C$6,'EQUILIBRIO QUIMICO'!A:A,"&lt;="&amp;$C$7),2)&amp;" uT","-")</f>
        <v>0,64 uT</v>
      </c>
    </row>
    <row r="8" spans="2:11" ht="15.6" x14ac:dyDescent="0.3">
      <c r="F8" s="23" t="s">
        <v>153</v>
      </c>
      <c r="G8" s="45" t="s">
        <v>248</v>
      </c>
      <c r="J8" s="57" t="s">
        <v>234</v>
      </c>
      <c r="K8" s="62" t="str">
        <f>IFERROR(ROUND(AVERAGEIFS('EQUILIBRIO QUIMICO'!H:H,'EQUILIBRIO QUIMICO'!A:A,"&gt;="&amp;$C$6,'EQUILIBRIO QUIMICO'!A:A,"&lt;="&amp;$C$7),2)&amp;" mg/L","-")</f>
        <v>4,48 mg/L</v>
      </c>
    </row>
    <row r="9" spans="2:11" ht="15.6" x14ac:dyDescent="0.3">
      <c r="B9" s="23" t="s">
        <v>148</v>
      </c>
      <c r="F9" s="23" t="s">
        <v>154</v>
      </c>
      <c r="G9" s="45" t="s">
        <v>248</v>
      </c>
      <c r="J9" s="58" t="s">
        <v>235</v>
      </c>
      <c r="K9" s="63" t="str">
        <f>IFERROR(ROUND(AVERAGEIFS('EQUILIBRIO QUIMICO'!F:F,'EQUILIBRIO QUIMICO'!A:A,"&gt;="&amp;$C$6,'EQUILIBRIO QUIMICO'!A:A,"&lt;="&amp;$C$7),0)&amp;" L/s","-")</f>
        <v>1854 L/s</v>
      </c>
    </row>
    <row r="10" spans="2:11" x14ac:dyDescent="0.3">
      <c r="B10" s="46" t="s">
        <v>149</v>
      </c>
    </row>
    <row r="12" spans="2:11" ht="15.6" x14ac:dyDescent="0.3">
      <c r="B12" s="98" t="s">
        <v>155</v>
      </c>
      <c r="C12" s="98"/>
      <c r="D12" s="98"/>
    </row>
    <row r="21" spans="2:3" ht="15.6" x14ac:dyDescent="0.3">
      <c r="B21" s="53" t="s">
        <v>221</v>
      </c>
    </row>
    <row r="22" spans="2:3" x14ac:dyDescent="0.3">
      <c r="B22" s="54" t="s">
        <v>222</v>
      </c>
      <c r="C22" s="31" t="s">
        <v>223</v>
      </c>
    </row>
    <row r="23" spans="2:3" x14ac:dyDescent="0.3">
      <c r="B23" s="54" t="s">
        <v>224</v>
      </c>
      <c r="C23" s="31" t="s">
        <v>225</v>
      </c>
    </row>
    <row r="24" spans="2:3" x14ac:dyDescent="0.3">
      <c r="B24" s="54" t="s">
        <v>226</v>
      </c>
      <c r="C24" s="31" t="s">
        <v>227</v>
      </c>
    </row>
    <row r="25" spans="2:3" x14ac:dyDescent="0.3">
      <c r="B25" s="54" t="s">
        <v>228</v>
      </c>
      <c r="C25" s="31" t="s">
        <v>229</v>
      </c>
    </row>
  </sheetData>
  <mergeCells count="4">
    <mergeCell ref="B2:J2"/>
    <mergeCell ref="B4:D4"/>
    <mergeCell ref="F4:H4"/>
    <mergeCell ref="B12:D12"/>
  </mergeCells>
  <dataValidations count="4">
    <dataValidation type="list" allowBlank="1" showInputMessage="1" showErrorMessage="1" sqref="G6" xr:uid="{FCB8B8A9-D712-45CD-B2F1-29CA9559F93E}">
      <mc:AlternateContent xmlns:x12ac="http://schemas.microsoft.com/office/spreadsheetml/2011/1/ac" xmlns:mc="http://schemas.openxmlformats.org/markup-compatibility/2006">
        <mc:Choice Requires="x12ac">
          <x12ac:list>"""TODOS",TOR &gt; BNN &gt; SM,TOR &gt; SM &gt; BNN,BNN &gt; TOR &gt; SM,BNN &gt; SM &gt; TOR,SM &gt; TOR &gt; BNN,"SM &gt; BNN &gt; TOR"""</x12ac:list>
        </mc:Choice>
        <mc:Fallback>
          <formula1>"""TODOS,TOR &gt; BNN &gt; SM,TOR &gt; SM &gt; BNN,BNN &gt; TOR &gt; SM,BNN &gt; SM &gt; TOR,SM &gt; TOR &gt; BNN,SM &gt; BNN &gt; TOR"""</formula1>
        </mc:Fallback>
      </mc:AlternateContent>
    </dataValidation>
    <dataValidation type="list" allowBlank="1" showInputMessage="1" showErrorMessage="1" sqref="G7" xr:uid="{FE69815B-86A7-4D76-AB82-AA1B20D4AFEA}">
      <mc:AlternateContent xmlns:x12ac="http://schemas.microsoft.com/office/spreadsheetml/2011/1/ac" xmlns:mc="http://schemas.openxmlformats.org/markup-compatibility/2006">
        <mc:Choice Requires="x12ac">
          <x12ac:list>"""TODOS",&lt; 2.5 uT,2.5 - 5.0 uT,5.0 - 7.5 uT,7.5 - 10.0 uT,10.0 - 15.0 uT,"&gt; 15.0 uT"""</x12ac:list>
        </mc:Choice>
        <mc:Fallback>
          <formula1>"""TODOS,&lt; 2.5 uT,2.5 - 5.0 uT,5.0 - 7.5 uT,7.5 - 10.0 uT,10.0 - 15.0 uT,&gt; 15.0 uT"""</formula1>
        </mc:Fallback>
      </mc:AlternateContent>
    </dataValidation>
    <dataValidation type="list" allowBlank="1" showInputMessage="1" showErrorMessage="1" sqref="G8" xr:uid="{645C5DC5-2E42-4CF3-9CD7-B611E41E2766}">
      <mc:AlternateContent xmlns:x12ac="http://schemas.microsoft.com/office/spreadsheetml/2011/1/ac" xmlns:mc="http://schemas.openxmlformats.org/markup-compatibility/2006">
        <mc:Choice Requires="x12ac">
          <x12ac:list>"""TODOS",Tipo 1 (≤0.25 uT),Tipo 2 (0.25-0.50 uT),Tipo 3 (0.50-0.75 uT),"Tipo 4 (&gt;0.75 uT)"""</x12ac:list>
        </mc:Choice>
        <mc:Fallback>
          <formula1>"""TODOS,Tipo 1 (≤0.25 uT),Tipo 2 (0.25-0.50 uT),Tipo 3 (0.50-0.75 uT),Tipo 4 (&gt;0.75 uT)"""</formula1>
        </mc:Fallback>
      </mc:AlternateContent>
    </dataValidation>
    <dataValidation type="list" allowBlank="1" showInputMessage="1" showErrorMessage="1" sqref="G9" xr:uid="{4137F53A-350E-4E56-856C-137067B46BE1}">
      <mc:AlternateContent xmlns:x12ac="http://schemas.microsoft.com/office/spreadsheetml/2011/1/ac" xmlns:mc="http://schemas.openxmlformats.org/markup-compatibility/2006">
        <mc:Choice Requires="x12ac">
          <x12ac:list>"""TODOS",SIM,"NÃO"""</x12ac:list>
        </mc:Choice>
        <mc:Fallback>
          <formula1>"""TODOS,SIM,NÃO"""</formula1>
        </mc:Fallback>
      </mc:AlternateContent>
    </dataValidation>
  </dataValidations>
  <pageMargins left="0.511811024" right="0.511811024" top="0.78740157499999996" bottom="0.78740157499999996" header="0.31496062000000002" footer="0.31496062000000002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7A173A1-E8D4-461F-885D-639E2DD2B4B7}">
  <dimension ref="B2:N30"/>
  <sheetViews>
    <sheetView workbookViewId="0">
      <selection activeCell="F27" sqref="F27"/>
    </sheetView>
  </sheetViews>
  <sheetFormatPr defaultRowHeight="14.4" x14ac:dyDescent="0.3"/>
  <cols>
    <col min="2" max="2" width="31.44140625" bestFit="1" customWidth="1"/>
    <col min="3" max="3" width="17" bestFit="1" customWidth="1"/>
    <col min="4" max="4" width="10.109375" bestFit="1" customWidth="1"/>
    <col min="5" max="5" width="13.6640625" bestFit="1" customWidth="1"/>
    <col min="6" max="6" width="10.6640625" bestFit="1" customWidth="1"/>
    <col min="7" max="8" width="10" bestFit="1" customWidth="1"/>
  </cols>
  <sheetData>
    <row r="2" spans="2:14" ht="30" customHeight="1" x14ac:dyDescent="0.4">
      <c r="B2" s="99" t="s">
        <v>236</v>
      </c>
      <c r="C2" s="99"/>
      <c r="D2" s="99"/>
      <c r="E2" s="99"/>
      <c r="F2" s="99"/>
      <c r="G2" s="99"/>
      <c r="H2" s="99"/>
      <c r="I2" s="99"/>
      <c r="J2" s="99"/>
      <c r="K2" s="99"/>
      <c r="L2" s="99"/>
      <c r="M2" s="99"/>
      <c r="N2" s="99"/>
    </row>
    <row r="3" spans="2:14" x14ac:dyDescent="0.3">
      <c r="B3" s="64" t="str">
        <f>"Período: "&amp;TEXT(DASH_CONTROLES!$C$6,"DD/MM/YYYY")&amp;" a "&amp;TEXT(DASH_CONTROLES!$C$7,"DD/MM/YYYY")</f>
        <v>Período: 16/04/YYYY a 16/04/YYYY</v>
      </c>
    </row>
    <row r="4" spans="2:14" ht="15.6" x14ac:dyDescent="0.3">
      <c r="B4" s="97" t="s">
        <v>156</v>
      </c>
      <c r="C4" s="97"/>
      <c r="D4" s="97"/>
      <c r="E4" s="97"/>
      <c r="F4" s="97"/>
      <c r="G4" s="97"/>
      <c r="H4" s="97"/>
    </row>
    <row r="6" spans="2:14" x14ac:dyDescent="0.3">
      <c r="B6" s="47" t="s">
        <v>101</v>
      </c>
      <c r="C6" s="47" t="s">
        <v>104</v>
      </c>
      <c r="D6" s="47" t="s">
        <v>117</v>
      </c>
      <c r="E6" s="47" t="s">
        <v>105</v>
      </c>
      <c r="F6" s="47" t="s">
        <v>102</v>
      </c>
      <c r="G6" s="47" t="s">
        <v>103</v>
      </c>
      <c r="H6" s="47" t="s">
        <v>157</v>
      </c>
    </row>
    <row r="7" spans="2:14" x14ac:dyDescent="0.3">
      <c r="B7" s="28" t="s">
        <v>158</v>
      </c>
      <c r="C7" s="29">
        <f>AVERAGEIFS('EQUILIBRIO QUIMICO'!L:L,'EQUILIBRIO QUIMICO'!A:A,"&gt;="&amp;DASH_CONTROLES!$C$6,'EQUILIBRIO QUIMICO'!A:A,"&lt;="&amp;DASH_CONTROLES!$C$7)</f>
        <v>24.237499999999997</v>
      </c>
      <c r="D7" s="29" cm="1">
        <f t="array" ref="D7">MEDIAN(IF(('EQUILIBRIO QUIMICO'!$A$2:$A$531&gt;=DASH_CONTROLES!$C$6)*('EQUILIBRIO QUIMICO'!$A$2:$A$531&lt;=DASH_CONTROLES!$C$7),'EQUILIBRIO QUIMICO'!L$2:L$531))</f>
        <v>24.2</v>
      </c>
      <c r="E7" s="29" cm="1">
        <f t="array" ref="E7">_xlfn.STDEV.S(IF(('EQUILIBRIO QUIMICO'!$A$2:$A$531&gt;=DASH_CONTROLES!$C$6)*('EQUILIBRIO QUIMICO'!$A$2:$A$531&lt;=DASH_CONTROLES!$C$7),'EQUILIBRIO QUIMICO'!L$2:L$531))</f>
        <v>0.37772817134623593</v>
      </c>
      <c r="F7" s="29">
        <f>_xlfn.MINIFS('EQUILIBRIO QUIMICO'!L:L,'EQUILIBRIO QUIMICO'!A:A,"&gt;="&amp;DASH_CONTROLES!$C$6,'EQUILIBRIO QUIMICO'!A:A,"&lt;="&amp;DASH_CONTROLES!$C$7)</f>
        <v>23.8</v>
      </c>
      <c r="G7" s="29">
        <f>_xlfn.MAXIFS('EQUILIBRIO QUIMICO'!L:L,'EQUILIBRIO QUIMICO'!A:A,"&gt;="&amp;DASH_CONTROLES!$C$6,'EQUILIBRIO QUIMICO'!A:A,"&lt;="&amp;DASH_CONTROLES!$C$7)</f>
        <v>24.7</v>
      </c>
      <c r="H7" s="33">
        <f>COUNTIFS('EQUILIBRIO QUIMICO'!A:A,"&gt;="&amp;DASH_CONTROLES!$C$6,'EQUILIBRIO QUIMICO'!A:A,"&lt;="&amp;DASH_CONTROLES!$C$7,'EQUILIBRIO QUIMICO'!L:L,"&lt;&gt;")</f>
        <v>8</v>
      </c>
    </row>
    <row r="8" spans="2:14" x14ac:dyDescent="0.3">
      <c r="B8" s="28" t="s">
        <v>50</v>
      </c>
      <c r="C8" s="29">
        <f>AVERAGEIFS('EQUILIBRIO QUIMICO'!M:M,'EQUILIBRIO QUIMICO'!A:A,"&gt;="&amp;DASH_CONTROLES!$C$6,'EQUILIBRIO QUIMICO'!A:A,"&lt;="&amp;DASH_CONTROLES!$C$7)</f>
        <v>6.7624999999999993</v>
      </c>
      <c r="D8" s="29" cm="1">
        <f t="array" ref="D8">MEDIAN(IF(('EQUILIBRIO QUIMICO'!$A$2:$A$531&gt;=DASH_CONTROLES!$C$6)*('EQUILIBRIO QUIMICO'!$A$2:$A$531&lt;=DASH_CONTROLES!$C$7),'EQUILIBRIO QUIMICO'!M$2:M$531))</f>
        <v>6.8</v>
      </c>
      <c r="E8" s="29" cm="1">
        <f t="array" ref="E8">_xlfn.STDEV.S(IF(('EQUILIBRIO QUIMICO'!$A$2:$A$531&gt;=DASH_CONTROLES!$C$6)*('EQUILIBRIO QUIMICO'!$A$2:$A$531&lt;=DASH_CONTROLES!$C$7),'EQUILIBRIO QUIMICO'!M$2:M$531))</f>
        <v>5.1754916950676376E-2</v>
      </c>
      <c r="F8" s="29">
        <f>_xlfn.MINIFS('EQUILIBRIO QUIMICO'!M:M,'EQUILIBRIO QUIMICO'!A:A,"&gt;="&amp;DASH_CONTROLES!$C$6,'EQUILIBRIO QUIMICO'!A:A,"&lt;="&amp;DASH_CONTROLES!$C$7)</f>
        <v>6.7</v>
      </c>
      <c r="G8" s="29">
        <f>_xlfn.MAXIFS('EQUILIBRIO QUIMICO'!M:M,'EQUILIBRIO QUIMICO'!A:A,"&gt;="&amp;DASH_CONTROLES!$C$6,'EQUILIBRIO QUIMICO'!A:A,"&lt;="&amp;DASH_CONTROLES!$C$7)</f>
        <v>6.8</v>
      </c>
      <c r="H8" s="33">
        <f>COUNTIFS('EQUILIBRIO QUIMICO'!A:A,"&gt;="&amp;DASH_CONTROLES!$C$6,'EQUILIBRIO QUIMICO'!A:A,"&lt;="&amp;DASH_CONTROLES!$C$7,'EQUILIBRIO QUIMICO'!M:M,"&lt;&gt;")</f>
        <v>8</v>
      </c>
    </row>
    <row r="9" spans="2:14" x14ac:dyDescent="0.3">
      <c r="B9" s="28" t="s">
        <v>106</v>
      </c>
      <c r="C9" s="29">
        <f>AVERAGEIFS('EQUILIBRIO QUIMICO'!N:N,'EQUILIBRIO QUIMICO'!A:A,"&gt;="&amp;DASH_CONTROLES!$C$6,'EQUILIBRIO QUIMICO'!A:A,"&lt;="&amp;DASH_CONTROLES!$C$7)</f>
        <v>4.5975000000000001</v>
      </c>
      <c r="D9" s="29" cm="1">
        <f t="array" ref="D9">MEDIAN(IF(('EQUILIBRIO QUIMICO'!$A$2:$A$531&gt;=DASH_CONTROLES!$C$6)*('EQUILIBRIO QUIMICO'!$A$2:$A$531&lt;=DASH_CONTROLES!$C$7),'EQUILIBRIO QUIMICO'!N$2:N$531))</f>
        <v>4.2650000000000006</v>
      </c>
      <c r="E9" s="29" cm="1">
        <f t="array" ref="E9">_xlfn.STDEV.S(IF(('EQUILIBRIO QUIMICO'!$A$2:$A$531&gt;=DASH_CONTROLES!$C$6)*('EQUILIBRIO QUIMICO'!$A$2:$A$531&lt;=DASH_CONTROLES!$C$7),'EQUILIBRIO QUIMICO'!N$2:N$531))</f>
        <v>1.2563979124010485</v>
      </c>
      <c r="F9" s="29">
        <f>_xlfn.MINIFS('EQUILIBRIO QUIMICO'!N:N,'EQUILIBRIO QUIMICO'!A:A,"&gt;="&amp;DASH_CONTROLES!$C$6,'EQUILIBRIO QUIMICO'!A:A,"&lt;="&amp;DASH_CONTROLES!$C$7)</f>
        <v>3.36</v>
      </c>
      <c r="G9" s="29">
        <f>_xlfn.MAXIFS('EQUILIBRIO QUIMICO'!N:N,'EQUILIBRIO QUIMICO'!A:A,"&gt;="&amp;DASH_CONTROLES!$C$6,'EQUILIBRIO QUIMICO'!A:A,"&lt;="&amp;DASH_CONTROLES!$C$7)</f>
        <v>7.04</v>
      </c>
      <c r="H9" s="33">
        <f>COUNTIFS('EQUILIBRIO QUIMICO'!A:A,"&gt;="&amp;DASH_CONTROLES!$C$6,'EQUILIBRIO QUIMICO'!A:A,"&lt;="&amp;DASH_CONTROLES!$C$7,'EQUILIBRIO QUIMICO'!N:N,"&lt;&gt;")</f>
        <v>8</v>
      </c>
    </row>
    <row r="10" spans="2:14" x14ac:dyDescent="0.3">
      <c r="B10" s="28" t="s">
        <v>116</v>
      </c>
      <c r="C10" s="29">
        <f>AVERAGEIFS('EQUILIBRIO QUIMICO'!O:O,'EQUILIBRIO QUIMICO'!A:A,"&gt;="&amp;DASH_CONTROLES!$C$6,'EQUILIBRIO QUIMICO'!A:A,"&lt;="&amp;DASH_CONTROLES!$C$7)</f>
        <v>17.125</v>
      </c>
      <c r="D10" s="29" cm="1">
        <f t="array" ref="D10">MEDIAN(IF(('EQUILIBRIO QUIMICO'!$A$2:$A$531&gt;=DASH_CONTROLES!$C$6)*('EQUILIBRIO QUIMICO'!$A$2:$A$531&lt;=DASH_CONTROLES!$C$7),'EQUILIBRIO QUIMICO'!O$2:O$531))</f>
        <v>17</v>
      </c>
      <c r="E10" s="29" cm="1">
        <f t="array" ref="E10">_xlfn.STDEV.S(IF(('EQUILIBRIO QUIMICO'!$A$2:$A$531&gt;=DASH_CONTROLES!$C$6)*('EQUILIBRIO QUIMICO'!$A$2:$A$531&lt;=DASH_CONTROLES!$C$7),'EQUILIBRIO QUIMICO'!O$2:O$531))</f>
        <v>2.5319388392523003</v>
      </c>
      <c r="F10" s="29">
        <f>_xlfn.MINIFS('EQUILIBRIO QUIMICO'!O:O,'EQUILIBRIO QUIMICO'!A:A,"&gt;="&amp;DASH_CONTROLES!$C$6,'EQUILIBRIO QUIMICO'!A:A,"&lt;="&amp;DASH_CONTROLES!$C$7)</f>
        <v>14</v>
      </c>
      <c r="G10" s="29">
        <f>_xlfn.MAXIFS('EQUILIBRIO QUIMICO'!O:O,'EQUILIBRIO QUIMICO'!A:A,"&gt;="&amp;DASH_CONTROLES!$C$6,'EQUILIBRIO QUIMICO'!A:A,"&lt;="&amp;DASH_CONTROLES!$C$7)</f>
        <v>21</v>
      </c>
      <c r="H10" s="33">
        <f>COUNTIFS('EQUILIBRIO QUIMICO'!A:A,"&gt;="&amp;DASH_CONTROLES!$C$6,'EQUILIBRIO QUIMICO'!A:A,"&lt;="&amp;DASH_CONTROLES!$C$7,'EQUILIBRIO QUIMICO'!O:O,"&lt;&gt;")</f>
        <v>8</v>
      </c>
    </row>
    <row r="11" spans="2:14" x14ac:dyDescent="0.3">
      <c r="B11" s="28" t="s">
        <v>109</v>
      </c>
      <c r="C11" s="29">
        <f>AVERAGEIFS('EQUILIBRIO QUIMICO'!P:P,'EQUILIBRIO QUIMICO'!A:A,"&gt;="&amp;DASH_CONTROLES!$C$6,'EQUILIBRIO QUIMICO'!A:A,"&lt;="&amp;DASH_CONTROLES!$C$7)</f>
        <v>8.4749999999999996</v>
      </c>
      <c r="D11" s="29" cm="1">
        <f t="array" ref="D11">MEDIAN(IF(('EQUILIBRIO QUIMICO'!$A$2:$A$531&gt;=DASH_CONTROLES!$C$6)*('EQUILIBRIO QUIMICO'!$A$2:$A$531&lt;=DASH_CONTROLES!$C$7),'EQUILIBRIO QUIMICO'!P$2:P$531))</f>
        <v>8.75</v>
      </c>
      <c r="E11" s="29" cm="1">
        <f t="array" ref="E11">_xlfn.STDEV.S(IF(('EQUILIBRIO QUIMICO'!$A$2:$A$531&gt;=DASH_CONTROLES!$C$6)*('EQUILIBRIO QUIMICO'!$A$2:$A$531&lt;=DASH_CONTROLES!$C$7),'EQUILIBRIO QUIMICO'!P$2:P$531))</f>
        <v>1.2509996003196828</v>
      </c>
      <c r="F11" s="29">
        <f>_xlfn.MINIFS('EQUILIBRIO QUIMICO'!P:P,'EQUILIBRIO QUIMICO'!A:A,"&gt;="&amp;DASH_CONTROLES!$C$6,'EQUILIBRIO QUIMICO'!A:A,"&lt;="&amp;DASH_CONTROLES!$C$7)</f>
        <v>6.4</v>
      </c>
      <c r="G11" s="29">
        <f>_xlfn.MAXIFS('EQUILIBRIO QUIMICO'!P:P,'EQUILIBRIO QUIMICO'!A:A,"&gt;="&amp;DASH_CONTROLES!$C$6,'EQUILIBRIO QUIMICO'!A:A,"&lt;="&amp;DASH_CONTROLES!$C$7)</f>
        <v>10</v>
      </c>
      <c r="H11" s="33">
        <f>COUNTIFS('EQUILIBRIO QUIMICO'!A:A,"&gt;="&amp;DASH_CONTROLES!$C$6,'EQUILIBRIO QUIMICO'!A:A,"&lt;="&amp;DASH_CONTROLES!$C$7,'EQUILIBRIO QUIMICO'!P:P,"&lt;&gt;")</f>
        <v>8</v>
      </c>
    </row>
    <row r="12" spans="2:14" x14ac:dyDescent="0.3">
      <c r="B12" s="28" t="s">
        <v>159</v>
      </c>
      <c r="C12" s="29">
        <f>AVERAGEIFS('EQUILIBRIO QUIMICO'!F:F,'EQUILIBRIO QUIMICO'!A:A,"&gt;="&amp;DASH_CONTROLES!$C$6,'EQUILIBRIO QUIMICO'!A:A,"&lt;="&amp;DASH_CONTROLES!$C$7)</f>
        <v>1854</v>
      </c>
      <c r="D12" s="29" cm="1">
        <f t="array" ref="D12">MEDIAN(IF(('EQUILIBRIO QUIMICO'!$A$2:$A$531&gt;=DASH_CONTROLES!$C$6)*('EQUILIBRIO QUIMICO'!$A$2:$A$531&lt;=DASH_CONTROLES!$C$7),'EQUILIBRIO QUIMICO'!F$2:F$531))</f>
        <v>1872.5</v>
      </c>
      <c r="E12" s="29" cm="1">
        <f t="array" ref="E12">_xlfn.STDEV.S(IF(('EQUILIBRIO QUIMICO'!$A$2:$A$531&gt;=DASH_CONTROLES!$C$6)*('EQUILIBRIO QUIMICO'!$A$2:$A$531&lt;=DASH_CONTROLES!$C$7),'EQUILIBRIO QUIMICO'!F$2:F$531))</f>
        <v>37.977436910430306</v>
      </c>
      <c r="F12" s="29">
        <f>_xlfn.MINIFS('EQUILIBRIO QUIMICO'!F:F,'EQUILIBRIO QUIMICO'!A:A,"&gt;="&amp;DASH_CONTROLES!$C$6,'EQUILIBRIO QUIMICO'!A:A,"&lt;="&amp;DASH_CONTROLES!$C$7)</f>
        <v>1785</v>
      </c>
      <c r="G12" s="29">
        <f>_xlfn.MAXIFS('EQUILIBRIO QUIMICO'!F:F,'EQUILIBRIO QUIMICO'!A:A,"&gt;="&amp;DASH_CONTROLES!$C$6,'EQUILIBRIO QUIMICO'!A:A,"&lt;="&amp;DASH_CONTROLES!$C$7)</f>
        <v>1888</v>
      </c>
      <c r="H12" s="33">
        <f>COUNTIFS('EQUILIBRIO QUIMICO'!A:A,"&gt;="&amp;DASH_CONTROLES!$C$6,'EQUILIBRIO QUIMICO'!A:A,"&lt;="&amp;DASH_CONTROLES!$C$7,'EQUILIBRIO QUIMICO'!F:F,"&lt;&gt;")</f>
        <v>8</v>
      </c>
    </row>
    <row r="15" spans="2:14" ht="15.6" x14ac:dyDescent="0.3">
      <c r="B15" s="98" t="s">
        <v>160</v>
      </c>
      <c r="C15" s="98"/>
      <c r="D15" s="98"/>
      <c r="E15" s="98"/>
      <c r="F15" s="98"/>
      <c r="G15" s="98"/>
      <c r="H15" s="98"/>
    </row>
    <row r="17" spans="2:8" x14ac:dyDescent="0.3">
      <c r="B17" s="47" t="s">
        <v>161</v>
      </c>
      <c r="C17" s="47" t="s">
        <v>118</v>
      </c>
      <c r="D17" s="47" t="s">
        <v>111</v>
      </c>
      <c r="E17" s="47" t="s">
        <v>162</v>
      </c>
      <c r="F17" s="47" t="s">
        <v>163</v>
      </c>
      <c r="G17" s="47" t="s">
        <v>157</v>
      </c>
    </row>
    <row r="18" spans="2:8" x14ac:dyDescent="0.3">
      <c r="B18" s="28" t="s">
        <v>164</v>
      </c>
      <c r="C18" s="48">
        <f>AVERAGEIFS('EQUILIBRIO QUIMICO'!C:C,'EQUILIBRIO QUIMICO'!A:A,"&gt;="&amp;DASH_CONTROLES!$C$6,'EQUILIBRIO QUIMICO'!A:A,"&lt;="&amp;DASH_CONTROLES!$C$7,'EQUILIBRIO QUIMICO'!C:C,"&gt;0")</f>
        <v>1176.25</v>
      </c>
      <c r="D18" s="34">
        <f>IF(C21&gt;0,C18/C21,0)</f>
        <v>0.66960791290115984</v>
      </c>
      <c r="E18" s="36">
        <f>_xlfn.MINIFS('EQUILIBRIO QUIMICO'!C:C,'EQUILIBRIO QUIMICO'!A:A,"&gt;="&amp;DASH_CONTROLES!$C$6,'EQUILIBRIO QUIMICO'!A:A,"&lt;="&amp;DASH_CONTROLES!$C$7,'EQUILIBRIO QUIMICO'!C:C,"&gt;0")</f>
        <v>1130</v>
      </c>
      <c r="F18" s="36">
        <f>_xlfn.MAXIFS('EQUILIBRIO QUIMICO'!C:C,'EQUILIBRIO QUIMICO'!A:A,"&gt;="&amp;DASH_CONTROLES!$C$6,'EQUILIBRIO QUIMICO'!A:A,"&lt;="&amp;DASH_CONTROLES!$C$7,'EQUILIBRIO QUIMICO'!C:C,"&gt;0")</f>
        <v>1239</v>
      </c>
      <c r="G18" s="33">
        <f>COUNTIFS('EQUILIBRIO QUIMICO'!A:A,"&gt;="&amp;DASH_CONTROLES!$C$6,'EQUILIBRIO QUIMICO'!A:A,"&lt;="&amp;DASH_CONTROLES!$C$7,'EQUILIBRIO QUIMICO'!C:C,"&gt;0")</f>
        <v>8</v>
      </c>
    </row>
    <row r="19" spans="2:8" x14ac:dyDescent="0.3">
      <c r="B19" s="28" t="s">
        <v>165</v>
      </c>
      <c r="C19" s="48">
        <f>AVERAGEIFS('EQUILIBRIO QUIMICO'!E:E,'EQUILIBRIO QUIMICO'!A:A,"&gt;="&amp;DASH_CONTROLES!$C$6,'EQUILIBRIO QUIMICO'!A:A,"&lt;="&amp;DASH_CONTROLES!$C$7,'EQUILIBRIO QUIMICO'!E:E,"&gt;0")</f>
        <v>499.625</v>
      </c>
      <c r="D19" s="34">
        <f>IF(C21&gt;0,C19/C21,0)</f>
        <v>0.28442325482103464</v>
      </c>
      <c r="E19" s="36">
        <f>_xlfn.MINIFS('EQUILIBRIO QUIMICO'!E:E,'EQUILIBRIO QUIMICO'!A:A,"&gt;="&amp;DASH_CONTROLES!$C$6,'EQUILIBRIO QUIMICO'!A:A,"&lt;="&amp;DASH_CONTROLES!$C$7,'EQUILIBRIO QUIMICO'!E:E,"&gt;0")</f>
        <v>499</v>
      </c>
      <c r="F19" s="36">
        <f>_xlfn.MAXIFS('EQUILIBRIO QUIMICO'!E:E,'EQUILIBRIO QUIMICO'!A:A,"&gt;="&amp;DASH_CONTROLES!$C$6,'EQUILIBRIO QUIMICO'!A:A,"&lt;="&amp;DASH_CONTROLES!$C$7,'EQUILIBRIO QUIMICO'!E:E,"&gt;0")</f>
        <v>500</v>
      </c>
      <c r="G19" s="33">
        <f>COUNTIFS('EQUILIBRIO QUIMICO'!A:A,"&gt;="&amp;DASH_CONTROLES!$C$6,'EQUILIBRIO QUIMICO'!A:A,"&lt;="&amp;DASH_CONTROLES!$C$7,'EQUILIBRIO QUIMICO'!E:E,"&gt;0")</f>
        <v>8</v>
      </c>
    </row>
    <row r="20" spans="2:8" x14ac:dyDescent="0.3">
      <c r="B20" s="28" t="s">
        <v>166</v>
      </c>
      <c r="C20" s="48">
        <f>AVERAGEIFS('EQUILIBRIO QUIMICO'!D:D,'EQUILIBRIO QUIMICO'!A:A,"&gt;="&amp;DASH_CONTROLES!$C$6,'EQUILIBRIO QUIMICO'!A:A,"&lt;="&amp;DASH_CONTROLES!$C$7,'EQUILIBRIO QUIMICO'!D:D,"&gt;0")</f>
        <v>80.75</v>
      </c>
      <c r="D20" s="34">
        <f>IF(C21&gt;0,C20/C21,0)</f>
        <v>4.5968832277805453E-2</v>
      </c>
      <c r="E20" s="36">
        <f>_xlfn.MINIFS('EQUILIBRIO QUIMICO'!D:D,'EQUILIBRIO QUIMICO'!A:A,"&gt;="&amp;DASH_CONTROLES!$C$6,'EQUILIBRIO QUIMICO'!A:A,"&lt;="&amp;DASH_CONTROLES!$C$7,'EQUILIBRIO QUIMICO'!D:D,"&gt;0")</f>
        <v>70</v>
      </c>
      <c r="F20" s="36">
        <f>_xlfn.MAXIFS('EQUILIBRIO QUIMICO'!D:D,'EQUILIBRIO QUIMICO'!A:A,"&gt;="&amp;DASH_CONTROLES!$C$6,'EQUILIBRIO QUIMICO'!A:A,"&lt;="&amp;DASH_CONTROLES!$C$7,'EQUILIBRIO QUIMICO'!D:D,"&gt;0")</f>
        <v>84</v>
      </c>
      <c r="G20" s="33">
        <f>COUNTIFS('EQUILIBRIO QUIMICO'!A:A,"&gt;="&amp;DASH_CONTROLES!$C$6,'EQUILIBRIO QUIMICO'!A:A,"&lt;="&amp;DASH_CONTROLES!$C$7,'EQUILIBRIO QUIMICO'!D:D,"&gt;0")</f>
        <v>8</v>
      </c>
    </row>
    <row r="21" spans="2:8" x14ac:dyDescent="0.3">
      <c r="B21" s="35" t="s">
        <v>110</v>
      </c>
      <c r="C21" s="48">
        <f>SUM(C18:C20)</f>
        <v>1756.625</v>
      </c>
      <c r="D21" s="34">
        <f>SUM(D18:D20)</f>
        <v>0.99999999999999989</v>
      </c>
      <c r="E21" s="28"/>
      <c r="F21" s="28"/>
      <c r="G21" s="28"/>
    </row>
    <row r="24" spans="2:8" ht="15.6" x14ac:dyDescent="0.3">
      <c r="B24" s="100" t="s">
        <v>167</v>
      </c>
      <c r="C24" s="100"/>
      <c r="D24" s="100"/>
      <c r="E24" s="100"/>
      <c r="F24" s="100"/>
      <c r="G24" s="100"/>
      <c r="H24" s="100"/>
    </row>
    <row r="26" spans="2:8" x14ac:dyDescent="0.3">
      <c r="B26" s="32" t="s">
        <v>168</v>
      </c>
      <c r="C26" s="32" t="s">
        <v>169</v>
      </c>
      <c r="D26" s="32"/>
      <c r="E26" s="32" t="s">
        <v>168</v>
      </c>
      <c r="F26" s="32" t="s">
        <v>169</v>
      </c>
      <c r="G26" s="49"/>
    </row>
    <row r="27" spans="2:8" x14ac:dyDescent="0.3">
      <c r="B27" s="28" t="s">
        <v>104</v>
      </c>
      <c r="C27" s="29">
        <f>AVERAGEIFS('EQUILIBRIO QUIMICO'!H:H,'EQUILIBRIO QUIMICO'!A:A,"&gt;="&amp;DASH_CONTROLES!$C$6,'EQUILIBRIO QUIMICO'!A:A,"&lt;="&amp;DASH_CONTROLES!$C$7)</f>
        <v>4.4749999999999996</v>
      </c>
      <c r="D27" s="28"/>
      <c r="E27" s="28" t="s">
        <v>102</v>
      </c>
      <c r="F27" s="29">
        <f>_xlfn.MINIFS('EQUILIBRIO QUIMICO'!H:H,'EQUILIBRIO QUIMICO'!A:A,"&gt;="&amp;DASH_CONTROLES!$C$6,'EQUILIBRIO QUIMICO'!A:A,"&lt;="&amp;DASH_CONTROLES!$C$7)</f>
        <v>4.4000000000000004</v>
      </c>
    </row>
    <row r="28" spans="2:8" x14ac:dyDescent="0.3">
      <c r="B28" s="28" t="s">
        <v>117</v>
      </c>
      <c r="C28" s="29" cm="1">
        <f t="array" ref="C28">MEDIAN(IF(('EQUILIBRIO QUIMICO'!$A$2:$A$531&gt;=DASH_CONTROLES!$C$6)*('EQUILIBRIO QUIMICO'!$A$2:$A$531&lt;=DASH_CONTROLES!$C$7),'EQUILIBRIO QUIMICO'!H$2:H$531))</f>
        <v>4.4000000000000004</v>
      </c>
      <c r="D28" s="28"/>
      <c r="E28" s="28" t="s">
        <v>103</v>
      </c>
      <c r="F28" s="29">
        <f>_xlfn.MAXIFS('EQUILIBRIO QUIMICO'!H:H,'EQUILIBRIO QUIMICO'!A:A,"&gt;="&amp;DASH_CONTROLES!$C$6,'EQUILIBRIO QUIMICO'!A:A,"&lt;="&amp;DASH_CONTROLES!$C$7)</f>
        <v>4.7</v>
      </c>
    </row>
    <row r="29" spans="2:8" x14ac:dyDescent="0.3">
      <c r="B29" s="28" t="s">
        <v>105</v>
      </c>
      <c r="C29" s="29" cm="1">
        <f t="array" ref="C29">_xlfn.STDEV.S(IF(('EQUILIBRIO QUIMICO'!$A$2:$A$531&gt;=DASH_CONTROLES!$C$6)*('EQUILIBRIO QUIMICO'!$A$2:$A$531&lt;=DASH_CONTROLES!$C$7),'EQUILIBRIO QUIMICO'!H$2:H$531))</f>
        <v>0.11649647450214333</v>
      </c>
      <c r="D29" s="28"/>
      <c r="E29" s="28" t="s">
        <v>171</v>
      </c>
      <c r="F29" s="29">
        <f>F28-F27</f>
        <v>0.29999999999999982</v>
      </c>
    </row>
    <row r="30" spans="2:8" x14ac:dyDescent="0.3">
      <c r="B30" s="28" t="s">
        <v>170</v>
      </c>
      <c r="C30" s="29" cm="1">
        <f t="array" ref="C30">IFERROR(_xlfn.MODE.SNGL(IF(('EQUILIBRIO QUIMICO'!$A$2:$A$531&gt;=DASH_CONTROLES!$C$6)*('EQUILIBRIO QUIMICO'!$A$2:$A$531&lt;=DASH_CONTROLES!$C$7),'EQUILIBRIO QUIMICO'!H$2:H$531)),"-")</f>
        <v>4.4000000000000004</v>
      </c>
      <c r="D30" s="28"/>
      <c r="E30" s="28" t="s">
        <v>157</v>
      </c>
      <c r="F30" s="33">
        <f>COUNTIFS('EQUILIBRIO QUIMICO'!A:A,"&gt;="&amp;DASH_CONTROLES!$C$6,'EQUILIBRIO QUIMICO'!A:A,"&lt;="&amp;DASH_CONTROLES!$C$7,'EQUILIBRIO QUIMICO'!H:H,"&lt;&gt;")</f>
        <v>8</v>
      </c>
    </row>
  </sheetData>
  <mergeCells count="4">
    <mergeCell ref="B2:N2"/>
    <mergeCell ref="B4:H4"/>
    <mergeCell ref="B15:H15"/>
    <mergeCell ref="B24:H24"/>
  </mergeCells>
  <conditionalFormatting sqref="C10:G10">
    <cfRule type="colorScale" priority="1">
      <colorScale>
        <cfvo type="min"/>
        <cfvo type="max"/>
        <color rgb="FFFF7128"/>
        <color rgb="FFFFEF9C"/>
      </colorScale>
    </cfRule>
    <cfRule type="colorScale" priority="2">
      <colorScale>
        <cfvo type="min"/>
        <cfvo type="max"/>
        <color rgb="FFFF7128"/>
        <color rgb="FFFFEF9C"/>
      </colorScale>
    </cfRule>
  </conditionalFormatting>
  <pageMargins left="0.511811024" right="0.511811024" top="0.78740157499999996" bottom="0.78740157499999996" header="0.31496062000000002" footer="0.31496062000000002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5DFCAF8-E1F7-46A5-92B2-50F8B48C94F9}">
  <dimension ref="B2:N28"/>
  <sheetViews>
    <sheetView workbookViewId="0">
      <selection activeCell="D10" sqref="D10"/>
    </sheetView>
  </sheetViews>
  <sheetFormatPr defaultRowHeight="14.4" x14ac:dyDescent="0.3"/>
  <cols>
    <col min="2" max="2" width="31.44140625" bestFit="1" customWidth="1"/>
    <col min="3" max="3" width="17.44140625" bestFit="1" customWidth="1"/>
    <col min="4" max="4" width="19.88671875" bestFit="1" customWidth="1"/>
    <col min="5" max="5" width="14.109375" bestFit="1" customWidth="1"/>
    <col min="6" max="6" width="20.21875" bestFit="1" customWidth="1"/>
    <col min="7" max="7" width="12.88671875" bestFit="1" customWidth="1"/>
    <col min="8" max="8" width="28" bestFit="1" customWidth="1"/>
  </cols>
  <sheetData>
    <row r="2" spans="2:14" ht="30" customHeight="1" x14ac:dyDescent="0.4">
      <c r="B2" s="99" t="s">
        <v>237</v>
      </c>
      <c r="C2" s="99"/>
      <c r="D2" s="99"/>
      <c r="E2" s="99"/>
      <c r="F2" s="99"/>
      <c r="G2" s="99"/>
      <c r="H2" s="99"/>
      <c r="I2" s="99"/>
      <c r="J2" s="99"/>
      <c r="K2" s="99"/>
      <c r="L2" s="99"/>
      <c r="M2" s="99"/>
      <c r="N2" s="99"/>
    </row>
    <row r="3" spans="2:14" x14ac:dyDescent="0.3">
      <c r="B3" s="64" t="str">
        <f>"Período: "&amp;TEXT(DASH_CONTROLES!$C$6,"DD/MM/YYYY")&amp;" a "&amp;TEXT(DASH_CONTROLES!$C$7,"DD/MM/YYYY")</f>
        <v>Período: 16/04/YYYY a 16/04/YYYY</v>
      </c>
    </row>
    <row r="4" spans="2:14" ht="15.6" x14ac:dyDescent="0.3">
      <c r="B4" s="97" t="s">
        <v>172</v>
      </c>
      <c r="C4" s="97"/>
      <c r="D4" s="97"/>
      <c r="E4" s="97"/>
      <c r="F4" s="97"/>
      <c r="G4" s="97"/>
      <c r="H4" s="97"/>
    </row>
    <row r="6" spans="2:14" x14ac:dyDescent="0.3">
      <c r="B6" s="47" t="s">
        <v>101</v>
      </c>
      <c r="C6" s="47" t="s">
        <v>173</v>
      </c>
      <c r="D6" s="47" t="s">
        <v>174</v>
      </c>
      <c r="E6" s="47" t="s">
        <v>175</v>
      </c>
      <c r="F6" s="47" t="s">
        <v>176</v>
      </c>
      <c r="G6" s="47" t="s">
        <v>239</v>
      </c>
      <c r="H6" s="47" t="s">
        <v>177</v>
      </c>
    </row>
    <row r="7" spans="2:14" x14ac:dyDescent="0.3">
      <c r="B7" s="28" t="s">
        <v>178</v>
      </c>
      <c r="C7" s="29">
        <f>AVERAGEIFS('EQUILIBRIO QUIMICO'!AB:AB,'EQUILIBRIO QUIMICO'!A:A,"&gt;="&amp;DASH_CONTROLES!$C$6,'EQUILIBRIO QUIMICO'!A:A,"&lt;="&amp;DASH_CONTROLES!$C$7)</f>
        <v>6.8375000000000004</v>
      </c>
      <c r="D7" s="29">
        <f>AVERAGEIFS('EQUILIBRIO QUIMICO'!AM:AM,'EQUILIBRIO QUIMICO'!A:A,"&gt;="&amp;DASH_CONTROLES!$C$6,'EQUILIBRIO QUIMICO'!A:A,"&lt;="&amp;DASH_CONTROLES!$C$7)</f>
        <v>6.7750000000000004</v>
      </c>
      <c r="E7" s="29">
        <f>C7-D7</f>
        <v>6.25E-2</v>
      </c>
      <c r="F7" s="29" cm="1">
        <f t="array" ref="F7">_xlfn.STDEV.S(IF(('EQUILIBRIO QUIMICO'!$A$2:$A$531&gt;=DASH_CONTROLES!$C$6)*('EQUILIBRIO QUIMICO'!$A$2:$A$531&lt;=DASH_CONTROLES!$C$7),'EQUILIBRIO QUIMICO'!AB$2:AB$531))</f>
        <v>0.11877349391654206</v>
      </c>
      <c r="G7" s="65" t="s">
        <v>240</v>
      </c>
      <c r="H7" s="66" t="s">
        <v>241</v>
      </c>
    </row>
    <row r="8" spans="2:14" x14ac:dyDescent="0.3">
      <c r="B8" s="28" t="s">
        <v>109</v>
      </c>
      <c r="C8" s="29">
        <f>AVERAGEIFS('EQUILIBRIO QUIMICO'!AC:AC,'EQUILIBRIO QUIMICO'!A:A,"&gt;="&amp;DASH_CONTROLES!$C$6,'EQUILIBRIO QUIMICO'!A:A,"&lt;="&amp;DASH_CONTROLES!$C$7)</f>
        <v>8.3874999999999993</v>
      </c>
      <c r="D8" s="29">
        <f>AVERAGEIFS('EQUILIBRIO QUIMICO'!AN:AN,'EQUILIBRIO QUIMICO'!A:A,"&gt;="&amp;DASH_CONTROLES!$C$6,'EQUILIBRIO QUIMICO'!A:A,"&lt;="&amp;DASH_CONTROLES!$C$7)</f>
        <v>8.5124999999999993</v>
      </c>
      <c r="E8" s="29">
        <f>C8-D8</f>
        <v>-0.125</v>
      </c>
      <c r="F8" s="29" cm="1">
        <f t="array" ref="F8">_xlfn.STDEV.S(IF(('EQUILIBRIO QUIMICO'!$A$2:$A$531&gt;=DASH_CONTROLES!$C$6)*('EQUILIBRIO QUIMICO'!$A$2:$A$531&lt;=DASH_CONTROLES!$C$7),'EQUILIBRIO QUIMICO'!AC$2:AC$531))</f>
        <v>0.90780347149432772</v>
      </c>
      <c r="G8" s="65" t="s">
        <v>242</v>
      </c>
      <c r="H8" s="66" t="s">
        <v>243</v>
      </c>
    </row>
    <row r="9" spans="2:14" x14ac:dyDescent="0.3">
      <c r="B9" s="28" t="s">
        <v>179</v>
      </c>
      <c r="C9" s="29">
        <f>AVERAGEIFS('EQUILIBRIO QUIMICO'!AD:AD,'EQUILIBRIO QUIMICO'!A:A,"&gt;="&amp;DASH_CONTROLES!$C$6,'EQUILIBRIO QUIMICO'!A:A,"&lt;="&amp;DASH_CONTROLES!$C$7)</f>
        <v>0.13</v>
      </c>
      <c r="D9" s="29">
        <f>AVERAGEIFS('EQUILIBRIO QUIMICO'!AO:AO,'EQUILIBRIO QUIMICO'!A:A,"&gt;="&amp;DASH_CONTROLES!$C$6,'EQUILIBRIO QUIMICO'!A:A,"&lt;="&amp;DASH_CONTROLES!$C$7)</f>
        <v>0.215</v>
      </c>
      <c r="E9" s="29">
        <f>C9-D9</f>
        <v>-8.4999999999999992E-2</v>
      </c>
      <c r="F9" s="29" cm="1">
        <f t="array" ref="F9">_xlfn.STDEV.S(IF(('EQUILIBRIO QUIMICO'!$A$2:$A$531&gt;=DASH_CONTROLES!$C$6)*('EQUILIBRIO QUIMICO'!$A$2:$A$531&lt;=DASH_CONTROLES!$C$7),'EQUILIBRIO QUIMICO'!AD$2:AD$531))</f>
        <v>2.8784916685156977E-2</v>
      </c>
      <c r="G9" s="65" t="s">
        <v>244</v>
      </c>
      <c r="H9" s="66" t="s">
        <v>245</v>
      </c>
    </row>
    <row r="10" spans="2:14" x14ac:dyDescent="0.3">
      <c r="B10" s="28" t="s">
        <v>180</v>
      </c>
      <c r="C10" s="29" t="e">
        <f>AVERAGEIFS('EQUILIBRIO QUIMICO'!AE:AE,'EQUILIBRIO QUIMICO'!A:A,"&gt;="&amp;DASH_CONTROLES!$C$6,'EQUILIBRIO QUIMICO'!A:A,"&lt;="&amp;DASH_CONTROLES!$C$7)</f>
        <v>#DIV/0!</v>
      </c>
      <c r="D10" s="29" t="e">
        <f>AVERAGEIFS('EQUILIBRIO QUIMICO'!AP:AP,'EQUILIBRIO QUIMICO'!A:A,"&gt;="&amp;DASH_CONTROLES!$C$6,'EQUILIBRIO QUIMICO'!A:A,"&lt;="&amp;DASH_CONTROLES!$C$7)</f>
        <v>#DIV/0!</v>
      </c>
      <c r="E10" s="29" t="e">
        <f>C10-D10</f>
        <v>#DIV/0!</v>
      </c>
      <c r="F10" s="29" cm="1">
        <f t="array" ref="F10">_xlfn.STDEV.S(IF(('EQUILIBRIO QUIMICO'!$A$2:$A$531&gt;=DASH_CONTROLES!$C$6)*('EQUILIBRIO QUIMICO'!$A$2:$A$531&lt;=DASH_CONTROLES!$C$7),'EQUILIBRIO QUIMICO'!AE$2:AE$531))</f>
        <v>0</v>
      </c>
      <c r="G10" s="65" t="s">
        <v>246</v>
      </c>
      <c r="H10" s="66" t="s">
        <v>247</v>
      </c>
    </row>
    <row r="13" spans="2:14" ht="15.6" x14ac:dyDescent="0.3">
      <c r="B13" s="98" t="s">
        <v>181</v>
      </c>
      <c r="C13" s="98"/>
      <c r="D13" s="98"/>
      <c r="E13" s="98"/>
      <c r="F13" s="98"/>
      <c r="G13" s="98"/>
      <c r="H13" s="98"/>
    </row>
    <row r="15" spans="2:14" x14ac:dyDescent="0.3">
      <c r="B15" s="50" t="s">
        <v>108</v>
      </c>
      <c r="C15" s="50" t="s">
        <v>114</v>
      </c>
      <c r="D15" s="50" t="s">
        <v>115</v>
      </c>
      <c r="E15" s="50" t="s">
        <v>175</v>
      </c>
      <c r="F15" s="50" t="s">
        <v>182</v>
      </c>
    </row>
    <row r="16" spans="2:14" x14ac:dyDescent="0.3">
      <c r="B16" s="28" t="s">
        <v>183</v>
      </c>
      <c r="C16" s="34" t="e">
        <f>AVERAGEIFS('EQUILIBRIO QUIMICO'!AX:AX,'EQUILIBRIO QUIMICO'!A:A,"&gt;="&amp;DASH_CONTROLES!$C$6,'EQUILIBRIO QUIMICO'!A:A,"&lt;="&amp;DASH_CONTROLES!$C$7)</f>
        <v>#DIV/0!</v>
      </c>
      <c r="D16" s="34" t="e">
        <f>AVERAGEIFS('EQUILIBRIO QUIMICO'!AW:AW,'EQUILIBRIO QUIMICO'!A:A,"&gt;="&amp;DASH_CONTROLES!$C$6,'EQUILIBRIO QUIMICO'!A:A,"&lt;="&amp;DASH_CONTROLES!$C$7)</f>
        <v>#DIV/0!</v>
      </c>
      <c r="E16" s="34" t="e">
        <f>C16-D16</f>
        <v>#DIV/0!</v>
      </c>
      <c r="F16" s="28" t="e">
        <f>IF(C16&gt;D16,"PAR",IF(D16&gt;C16,"ÍMPAR","IGUAL"))</f>
        <v>#DIV/0!</v>
      </c>
    </row>
    <row r="17" spans="2:8" x14ac:dyDescent="0.3">
      <c r="B17" s="28" t="s">
        <v>184</v>
      </c>
      <c r="C17" s="34">
        <f>_xlfn.MAXIFS('EQUILIBRIO QUIMICO'!AX:AX,'EQUILIBRIO QUIMICO'!A:A,"&gt;="&amp;DASH_CONTROLES!$C$6,'EQUILIBRIO QUIMICO'!A:A,"&lt;="&amp;DASH_CONTROLES!$C$7)</f>
        <v>0</v>
      </c>
      <c r="D17" s="34">
        <f>_xlfn.MAXIFS('EQUILIBRIO QUIMICO'!AW:AW,'EQUILIBRIO QUIMICO'!A:A,"&gt;="&amp;DASH_CONTROLES!$C$6,'EQUILIBRIO QUIMICO'!A:A,"&lt;="&amp;DASH_CONTROLES!$C$7)</f>
        <v>0</v>
      </c>
      <c r="E17" s="34">
        <f>C17-D17</f>
        <v>0</v>
      </c>
      <c r="F17" s="28" t="str">
        <f>IF(C17&gt;D17,"PAR",IF(D17&gt;C17,"ÍMPAR","IGUAL"))</f>
        <v>IGUAL</v>
      </c>
    </row>
    <row r="18" spans="2:8" x14ac:dyDescent="0.3">
      <c r="B18" s="28" t="s">
        <v>185</v>
      </c>
      <c r="C18" s="34">
        <f>_xlfn.MINIFS('EQUILIBRIO QUIMICO'!AX:AX,'EQUILIBRIO QUIMICO'!A:A,"&gt;="&amp;DASH_CONTROLES!$C$6,'EQUILIBRIO QUIMICO'!A:A,"&lt;="&amp;DASH_CONTROLES!$C$7,'EQUILIBRIO QUIMICO'!AX:AX,"&gt;0")</f>
        <v>0</v>
      </c>
      <c r="D18" s="34">
        <f>_xlfn.MINIFS('EQUILIBRIO QUIMICO'!AW:AW,'EQUILIBRIO QUIMICO'!A:A,"&gt;="&amp;DASH_CONTROLES!$C$6,'EQUILIBRIO QUIMICO'!A:A,"&lt;="&amp;DASH_CONTROLES!$C$7,'EQUILIBRIO QUIMICO'!AW:AW,"&gt;0")</f>
        <v>0</v>
      </c>
      <c r="E18" s="34">
        <f>C18-D18</f>
        <v>0</v>
      </c>
      <c r="F18" s="28" t="str">
        <f>IF(C18&gt;D18,"PAR",IF(D18&gt;C18,"ÍMPAR","IGUAL"))</f>
        <v>IGUAL</v>
      </c>
    </row>
    <row r="19" spans="2:8" x14ac:dyDescent="0.3">
      <c r="B19" s="28" t="s">
        <v>186</v>
      </c>
      <c r="C19" s="33">
        <f>COUNTIFS('EQUILIBRIO QUIMICO'!A:A,"&gt;="&amp;DASH_CONTROLES!$C$6,'EQUILIBRIO QUIMICO'!A:A,"&lt;="&amp;DASH_CONTROLES!$C$7,'EQUILIBRIO QUIMICO'!AX:AX,"&lt;&gt;")</f>
        <v>8</v>
      </c>
      <c r="D19" s="33">
        <f>COUNTIFS('EQUILIBRIO QUIMICO'!A:A,"&gt;="&amp;DASH_CONTROLES!$C$6,'EQUILIBRIO QUIMICO'!A:A,"&lt;="&amp;DASH_CONTROLES!$C$7,'EQUILIBRIO QUIMICO'!AW:AW,"&lt;&gt;")</f>
        <v>8</v>
      </c>
      <c r="E19" s="28"/>
      <c r="F19" s="28"/>
    </row>
    <row r="22" spans="2:8" ht="15.6" x14ac:dyDescent="0.3">
      <c r="B22" s="100" t="s">
        <v>187</v>
      </c>
      <c r="C22" s="100"/>
      <c r="D22" s="100"/>
      <c r="E22" s="100"/>
      <c r="F22" s="100"/>
      <c r="G22" s="100"/>
      <c r="H22" s="100"/>
    </row>
    <row r="24" spans="2:8" x14ac:dyDescent="0.3">
      <c r="B24" s="32" t="s">
        <v>168</v>
      </c>
      <c r="C24" s="32" t="s">
        <v>188</v>
      </c>
      <c r="D24" s="32"/>
      <c r="E24" s="32" t="s">
        <v>189</v>
      </c>
      <c r="F24" s="32" t="s">
        <v>113</v>
      </c>
    </row>
    <row r="25" spans="2:8" x14ac:dyDescent="0.3">
      <c r="B25" s="28" t="s">
        <v>104</v>
      </c>
      <c r="C25" s="29">
        <f>AVERAGEIFS('EQUILIBRIO QUIMICO'!Q:Q,'EQUILIBRIO QUIMICO'!A:A,"&gt;="&amp;DASH_CONTROLES!$C$6,'EQUILIBRIO QUIMICO'!A:A,"&lt;="&amp;DASH_CONTROLES!$C$7)</f>
        <v>0.64374999999999993</v>
      </c>
      <c r="D25" s="28"/>
      <c r="E25" s="67" t="s">
        <v>192</v>
      </c>
      <c r="F25" s="28" t="str">
        <f>IF(C25&lt;=0.5,"CONFORME","NÃO CONFORME")</f>
        <v>NÃO CONFORME</v>
      </c>
    </row>
    <row r="26" spans="2:8" x14ac:dyDescent="0.3">
      <c r="B26" s="28" t="s">
        <v>103</v>
      </c>
      <c r="C26" s="29">
        <f>_xlfn.MAXIFS('EQUILIBRIO QUIMICO'!Q:Q,'EQUILIBRIO QUIMICO'!A:A,"&gt;="&amp;DASH_CONTROLES!$C$6,'EQUILIBRIO QUIMICO'!A:A,"&lt;="&amp;DASH_CONTROLES!$C$7)</f>
        <v>1.96</v>
      </c>
      <c r="D26" s="28"/>
      <c r="E26" s="67" t="s">
        <v>193</v>
      </c>
      <c r="F26" s="28" t="str">
        <f>IF(C26&lt;=1,"CONFORME","NÃO CONFORME")</f>
        <v>NÃO CONFORME</v>
      </c>
    </row>
    <row r="27" spans="2:8" x14ac:dyDescent="0.3">
      <c r="B27" s="28" t="s">
        <v>190</v>
      </c>
      <c r="C27" s="34">
        <f>COUNTIFS('EQUILIBRIO QUIMICO'!A:A,"&gt;="&amp;DASH_CONTROLES!$C$6,'EQUILIBRIO QUIMICO'!A:A,"&lt;="&amp;DASH_CONTROLES!$C$7,'EQUILIBRIO QUIMICO'!Q:Q,"&lt;=0,5")/COUNTIFS('EQUILIBRIO QUIMICO'!A:A,"&gt;="&amp;DASH_CONTROLES!$C$6,'EQUILIBRIO QUIMICO'!A:A,"&lt;="&amp;DASH_CONTROLES!$C$7,'EQUILIBRIO QUIMICO'!Q:Q,"&lt;&gt;")</f>
        <v>0.625</v>
      </c>
      <c r="D27" s="28"/>
      <c r="E27" s="67" t="s">
        <v>194</v>
      </c>
      <c r="F27" s="28" t="str">
        <f>IF(C27&gt;=0.95,"CONFORME","NÃO CONFORME")</f>
        <v>NÃO CONFORME</v>
      </c>
    </row>
    <row r="28" spans="2:8" x14ac:dyDescent="0.3">
      <c r="B28" s="28" t="s">
        <v>191</v>
      </c>
      <c r="C28" s="34">
        <f>COUNTIFS('EQUILIBRIO QUIMICO'!A:A,"&gt;="&amp;DASH_CONTROLES!$C$6,'EQUILIBRIO QUIMICO'!A:A,"&lt;="&amp;DASH_CONTROLES!$C$7,'EQUILIBRIO QUIMICO'!Q:Q,"&lt;=1")/COUNTIFS('EQUILIBRIO QUIMICO'!A:A,"&gt;="&amp;DASH_CONTROLES!$C$6,'EQUILIBRIO QUIMICO'!A:A,"&lt;="&amp;DASH_CONTROLES!$C$7,'EQUILIBRIO QUIMICO'!Q:Q,"&lt;&gt;")</f>
        <v>0.875</v>
      </c>
      <c r="D28" s="28"/>
      <c r="E28" s="68">
        <v>1</v>
      </c>
      <c r="F28" s="28" t="str">
        <f>IF(C28&gt;=1,"CONFORME","NÃO CONFORME")</f>
        <v>NÃO CONFORME</v>
      </c>
    </row>
  </sheetData>
  <mergeCells count="4">
    <mergeCell ref="B2:N2"/>
    <mergeCell ref="B4:H4"/>
    <mergeCell ref="B13:H13"/>
    <mergeCell ref="B22:H22"/>
  </mergeCells>
  <conditionalFormatting sqref="C17:D17">
    <cfRule type="dataBar" priority="6">
      <dataBar>
        <cfvo type="num" val="0"/>
        <cfvo type="num" val="1"/>
        <color rgb="FF638EC6"/>
      </dataBar>
      <extLst>
        <ext xmlns:x14="http://schemas.microsoft.com/office/spreadsheetml/2009/9/main" uri="{B025F937-C7B1-47D3-B67F-A62EFF666E3E}">
          <x14:id>{EB5CA295-16A6-4D54-9491-D7C9A687DF16}</x14:id>
        </ext>
      </extLst>
    </cfRule>
  </conditionalFormatting>
  <conditionalFormatting sqref="D27:D28">
    <cfRule type="containsText" dxfId="4" priority="4" operator="containsText" text="CONFORME">
      <formula>NOT(ISERROR(SEARCH("CONFORME",D27)))</formula>
    </cfRule>
    <cfRule type="containsText" dxfId="3" priority="5" operator="containsText" text="NÃO">
      <formula>NOT(ISERROR(SEARCH("NÃO",D27)))</formula>
    </cfRule>
  </conditionalFormatting>
  <conditionalFormatting sqref="E7:E10">
    <cfRule type="containsText" dxfId="2" priority="1" operator="containsText" text="PAR">
      <formula>NOT(ISERROR(SEARCH("PAR",E7)))</formula>
    </cfRule>
    <cfRule type="containsText" dxfId="1" priority="2" operator="containsText" text="ÍMPAR">
      <formula>NOT(ISERROR(SEARCH("ÍMPAR",E7)))</formula>
    </cfRule>
    <cfRule type="containsText" dxfId="0" priority="3" operator="containsText" text="IGUAL">
      <formula>NOT(ISERROR(SEARCH("IGUAL",E7)))</formula>
    </cfRule>
  </conditionalFormatting>
  <pageMargins left="0.511811024" right="0.511811024" top="0.78740157499999996" bottom="0.78740157499999996" header="0.31496062000000002" footer="0.31496062000000002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EB5CA295-16A6-4D54-9491-D7C9A687DF16}">
            <x14:dataBar minLength="0" maxLength="100" border="1" direction="leftToRight" negativeBarColorSameAsPositive="1" axisPosition="none">
              <x14:cfvo type="num">
                <xm:f>0</xm:f>
              </x14:cfvo>
              <x14:cfvo type="num">
                <xm:f>1</xm:f>
              </x14:cfvo>
              <x14:borderColor rgb="FF2E75B6"/>
            </x14:dataBar>
          </x14:cfRule>
          <xm:sqref>C17:D17</xm:sqref>
        </x14:conditionalFormatting>
      </x14:conditionalFormattings>
    </ext>
  </extLst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6B2DBC6-0803-4BAA-9FB9-B3C9D660166C}">
  <dimension ref="B2:N29"/>
  <sheetViews>
    <sheetView topLeftCell="E1" workbookViewId="0">
      <selection activeCell="AG522" sqref="AG522:AG531"/>
    </sheetView>
  </sheetViews>
  <sheetFormatPr defaultRowHeight="14.4" x14ac:dyDescent="0.3"/>
  <cols>
    <col min="2" max="2" width="31.44140625" bestFit="1" customWidth="1"/>
    <col min="3" max="3" width="17" bestFit="1" customWidth="1"/>
    <col min="4" max="4" width="12.21875" bestFit="1" customWidth="1"/>
    <col min="6" max="6" width="18.77734375" bestFit="1" customWidth="1"/>
    <col min="7" max="7" width="11.44140625" bestFit="1" customWidth="1"/>
    <col min="8" max="8" width="10.6640625" bestFit="1" customWidth="1"/>
  </cols>
  <sheetData>
    <row r="2" spans="2:14" ht="30" customHeight="1" x14ac:dyDescent="0.4">
      <c r="B2" s="99" t="s">
        <v>238</v>
      </c>
      <c r="C2" s="99"/>
      <c r="D2" s="99"/>
      <c r="E2" s="99"/>
      <c r="F2" s="99"/>
      <c r="G2" s="99"/>
      <c r="H2" s="99"/>
      <c r="I2" s="99"/>
      <c r="J2" s="99"/>
      <c r="K2" s="99"/>
      <c r="L2" s="99"/>
      <c r="M2" s="99"/>
      <c r="N2" s="99"/>
    </row>
    <row r="3" spans="2:14" x14ac:dyDescent="0.3">
      <c r="B3" s="64" t="str">
        <f>"Período: "&amp;TEXT(DASH_CONTROLES!$C$6,"DD/MM/YYYY")&amp;" a "&amp;TEXT(DASH_CONTROLES!$C$7,"DD/MM/YYYY")</f>
        <v>Período: 16/04/YYYY a 16/04/YYYY</v>
      </c>
    </row>
    <row r="4" spans="2:14" x14ac:dyDescent="0.3">
      <c r="B4" s="101" t="s">
        <v>195</v>
      </c>
      <c r="C4" s="101"/>
      <c r="D4" s="101"/>
      <c r="E4" s="101"/>
      <c r="F4" s="104" t="s">
        <v>207</v>
      </c>
      <c r="G4" s="104"/>
      <c r="H4" s="104"/>
      <c r="I4" s="104"/>
    </row>
    <row r="6" spans="2:14" x14ac:dyDescent="0.3">
      <c r="B6" s="47" t="s">
        <v>101</v>
      </c>
      <c r="C6" s="47" t="s">
        <v>114</v>
      </c>
      <c r="D6" s="47" t="s">
        <v>115</v>
      </c>
      <c r="F6" s="52" t="s">
        <v>208</v>
      </c>
      <c r="G6" s="52" t="s">
        <v>199</v>
      </c>
      <c r="H6" s="52" t="s">
        <v>200</v>
      </c>
    </row>
    <row r="7" spans="2:14" x14ac:dyDescent="0.3">
      <c r="B7" s="28" t="s">
        <v>107</v>
      </c>
      <c r="C7" s="29">
        <f>DASH_DESEMPENHO!C9</f>
        <v>0.13</v>
      </c>
      <c r="D7" s="29">
        <f>DASH_DESEMPENHO!D9</f>
        <v>0.215</v>
      </c>
      <c r="F7" s="28" t="s">
        <v>209</v>
      </c>
      <c r="G7" s="33">
        <f>COUNTIFS('EQUILIBRIO QUIMICO'!A:A,"&gt;="&amp;DASH_CONTROLES!$C$6,'EQUILIBRIO QUIMICO'!A:A,"&lt;="&amp;DASH_CONTROLES!$C$7,'EQUILIBRIO QUIMICO'!BG:BG,"*Tipo 1*")</f>
        <v>0</v>
      </c>
      <c r="H7" s="34">
        <f>IF($G$11&gt;0,G7/$G$11,0)</f>
        <v>0</v>
      </c>
    </row>
    <row r="8" spans="2:14" x14ac:dyDescent="0.3">
      <c r="B8" s="28" t="s">
        <v>112</v>
      </c>
      <c r="C8" s="29" t="e">
        <f>DASH_DESEMPENHO!C10</f>
        <v>#DIV/0!</v>
      </c>
      <c r="D8" s="29" t="e">
        <f>DASH_DESEMPENHO!D10</f>
        <v>#DIV/0!</v>
      </c>
      <c r="F8" s="28" t="s">
        <v>210</v>
      </c>
      <c r="G8" s="33">
        <f>COUNTIFS('EQUILIBRIO QUIMICO'!A:A,"&gt;="&amp;DASH_CONTROLES!$C$6,'EQUILIBRIO QUIMICO'!A:A,"&lt;="&amp;DASH_CONTROLES!$C$7,'EQUILIBRIO QUIMICO'!BG:BG,"*Tipo 2*")</f>
        <v>5</v>
      </c>
      <c r="H8" s="34">
        <f>IF($G$11&gt;0,G8/$G$11,0)</f>
        <v>0.625</v>
      </c>
    </row>
    <row r="9" spans="2:14" x14ac:dyDescent="0.3">
      <c r="B9" s="28" t="s">
        <v>178</v>
      </c>
      <c r="C9" s="29">
        <f>DASH_DESEMPENHO!C7</f>
        <v>6.8375000000000004</v>
      </c>
      <c r="D9" s="29">
        <f>DASH_DESEMPENHO!D7</f>
        <v>6.7750000000000004</v>
      </c>
      <c r="F9" s="28" t="s">
        <v>211</v>
      </c>
      <c r="G9" s="33">
        <f>COUNTIFS('EQUILIBRIO QUIMICO'!A:A,"&gt;="&amp;DASH_CONTROLES!$C$6,'EQUILIBRIO QUIMICO'!A:A,"&lt;="&amp;DASH_CONTROLES!$C$7,'EQUILIBRIO QUIMICO'!BG:BG,"*Tipo 3*")</f>
        <v>2</v>
      </c>
      <c r="H9" s="34">
        <f>IF($G$11&gt;0,G9/$G$11,0)</f>
        <v>0.25</v>
      </c>
    </row>
    <row r="10" spans="2:14" x14ac:dyDescent="0.3">
      <c r="F10" s="28" t="s">
        <v>212</v>
      </c>
      <c r="G10" s="33">
        <f>COUNTIFS('EQUILIBRIO QUIMICO'!A:A,"&gt;="&amp;DASH_CONTROLES!$C$6,'EQUILIBRIO QUIMICO'!A:A,"&lt;="&amp;DASH_CONTROLES!$C$7,'EQUILIBRIO QUIMICO'!BG:BG,"*Tipo 4*")</f>
        <v>1</v>
      </c>
      <c r="H10" s="34">
        <f>IF($G$11&gt;0,G10/$G$11,0)</f>
        <v>0.125</v>
      </c>
    </row>
    <row r="11" spans="2:14" x14ac:dyDescent="0.3">
      <c r="F11" s="35" t="s">
        <v>110</v>
      </c>
      <c r="G11" s="33">
        <f>SUM(G7:G10)</f>
        <v>8</v>
      </c>
      <c r="H11" s="34">
        <f>SUM(H7:H10)</f>
        <v>1</v>
      </c>
    </row>
    <row r="12" spans="2:14" x14ac:dyDescent="0.3">
      <c r="B12" s="102" t="s">
        <v>196</v>
      </c>
      <c r="C12" s="102"/>
      <c r="D12" s="102"/>
      <c r="E12" s="102"/>
    </row>
    <row r="14" spans="2:14" x14ac:dyDescent="0.3">
      <c r="B14" s="50" t="s">
        <v>161</v>
      </c>
      <c r="C14" s="50" t="s">
        <v>118</v>
      </c>
      <c r="D14" s="50" t="s">
        <v>111</v>
      </c>
      <c r="F14" s="105" t="s">
        <v>213</v>
      </c>
      <c r="G14" s="105"/>
      <c r="H14" s="105"/>
      <c r="I14" s="105"/>
    </row>
    <row r="15" spans="2:14" x14ac:dyDescent="0.3">
      <c r="B15" s="28" t="s">
        <v>164</v>
      </c>
      <c r="C15" s="48">
        <f>DASH_QUALIDADE!C18</f>
        <v>1176.25</v>
      </c>
      <c r="D15" s="34">
        <f>DASH_QUALIDADE!D18</f>
        <v>0.66960791290115984</v>
      </c>
    </row>
    <row r="16" spans="2:14" x14ac:dyDescent="0.3">
      <c r="B16" s="28" t="s">
        <v>165</v>
      </c>
      <c r="C16" s="48">
        <f>DASH_QUALIDADE!C19</f>
        <v>499.625</v>
      </c>
      <c r="D16" s="34">
        <f>DASH_QUALIDADE!D19</f>
        <v>0.28442325482103464</v>
      </c>
      <c r="F16" s="50" t="s">
        <v>214</v>
      </c>
      <c r="G16" s="50" t="s">
        <v>199</v>
      </c>
      <c r="H16" s="50" t="s">
        <v>200</v>
      </c>
    </row>
    <row r="17" spans="2:8" x14ac:dyDescent="0.3">
      <c r="B17" s="28" t="s">
        <v>166</v>
      </c>
      <c r="C17" s="48">
        <f>DASH_QUALIDADE!C20</f>
        <v>80.75</v>
      </c>
      <c r="D17" s="34">
        <f>DASH_QUALIDADE!D20</f>
        <v>4.5968832277805453E-2</v>
      </c>
      <c r="F17" s="28" t="s">
        <v>215</v>
      </c>
      <c r="G17" s="33">
        <f>COUNTIFS('EQUILIBRIO QUIMICO'!$A:$A,"&gt;="&amp;DASH_CONTROLES!$C$6,'EQUILIBRIO QUIMICO'!$A:$A,"&lt;="&amp;DASH_CONTROLES!$C$7,'EQUILIBRIO QUIMICO'!$H:$H,"&lt;3,5")</f>
        <v>0</v>
      </c>
      <c r="H17" s="34">
        <f t="shared" ref="H17:H22" si="0">IF($G$23&gt;0,G17/$G$23,0)</f>
        <v>0</v>
      </c>
    </row>
    <row r="18" spans="2:8" x14ac:dyDescent="0.3">
      <c r="F18" s="28" t="s">
        <v>216</v>
      </c>
      <c r="G18" s="33">
        <f>COUNTIFS('EQUILIBRIO QUIMICO'!$A:$A,"&gt;="&amp;DASH_CONTROLES!$C$6,'EQUILIBRIO QUIMICO'!$A:$A,"&lt;="&amp;DASH_CONTROLES!$C$7,'EQUILIBRIO QUIMICO'!$H:$H,"&gt;=3,5",'EQUILIBRIO QUIMICO'!$H:$H,"&lt;4")</f>
        <v>0</v>
      </c>
      <c r="H18" s="34">
        <f t="shared" si="0"/>
        <v>0</v>
      </c>
    </row>
    <row r="19" spans="2:8" x14ac:dyDescent="0.3">
      <c r="F19" s="28" t="s">
        <v>217</v>
      </c>
      <c r="G19" s="33">
        <f>COUNTIFS('EQUILIBRIO QUIMICO'!$A:$A,"&gt;="&amp;DASH_CONTROLES!$C$6,'EQUILIBRIO QUIMICO'!$A:$A,"&lt;="&amp;DASH_CONTROLES!$C$7,'EQUILIBRIO QUIMICO'!$H:$H,"&gt;=4",'EQUILIBRIO QUIMICO'!$H:$H,"&lt;4,5")</f>
        <v>5</v>
      </c>
      <c r="H19" s="34">
        <f t="shared" si="0"/>
        <v>0.625</v>
      </c>
    </row>
    <row r="20" spans="2:8" x14ac:dyDescent="0.3">
      <c r="B20" s="103" t="s">
        <v>197</v>
      </c>
      <c r="C20" s="103"/>
      <c r="D20" s="103"/>
      <c r="E20" s="103"/>
      <c r="F20" s="28" t="s">
        <v>218</v>
      </c>
      <c r="G20" s="33">
        <f>COUNTIFS('EQUILIBRIO QUIMICO'!$A:$A,"&gt;="&amp;DASH_CONTROLES!$C$6,'EQUILIBRIO QUIMICO'!$A:$A,"&lt;="&amp;DASH_CONTROLES!$C$7,'EQUILIBRIO QUIMICO'!$H:$H,"&gt;=4,5",'EQUILIBRIO QUIMICO'!$H:$H,"&lt;5")</f>
        <v>3</v>
      </c>
      <c r="H20" s="34">
        <f t="shared" si="0"/>
        <v>0.375</v>
      </c>
    </row>
    <row r="21" spans="2:8" x14ac:dyDescent="0.3">
      <c r="F21" s="28" t="s">
        <v>219</v>
      </c>
      <c r="G21" s="33">
        <f>COUNTIFS('EQUILIBRIO QUIMICO'!$A:$A,"&gt;="&amp;DASH_CONTROLES!$C$6,'EQUILIBRIO QUIMICO'!$A:$A,"&lt;="&amp;DASH_CONTROLES!$C$7,'EQUILIBRIO QUIMICO'!$H:$H,"&gt;=5",'EQUILIBRIO QUIMICO'!$H:$H,"&lt;5,5")</f>
        <v>0</v>
      </c>
      <c r="H21" s="34">
        <f t="shared" si="0"/>
        <v>0</v>
      </c>
    </row>
    <row r="22" spans="2:8" x14ac:dyDescent="0.3">
      <c r="B22" s="51" t="s">
        <v>198</v>
      </c>
      <c r="C22" s="51" t="s">
        <v>199</v>
      </c>
      <c r="D22" s="51" t="s">
        <v>200</v>
      </c>
      <c r="F22" s="28" t="s">
        <v>220</v>
      </c>
      <c r="G22" s="33">
        <f>COUNTIFS('EQUILIBRIO QUIMICO'!$A:$A,"&gt;="&amp;DASH_CONTROLES!$C$6,'EQUILIBRIO QUIMICO'!$A:$A,"&lt;="&amp;DASH_CONTROLES!$C$7,'EQUILIBRIO QUIMICO'!$H:$H,"&gt;=5,5")</f>
        <v>0</v>
      </c>
      <c r="H22" s="34">
        <f t="shared" si="0"/>
        <v>0</v>
      </c>
    </row>
    <row r="23" spans="2:8" x14ac:dyDescent="0.3">
      <c r="B23" s="28" t="s">
        <v>201</v>
      </c>
      <c r="C23" s="33">
        <f>COUNTIFS('EQUILIBRIO QUIMICO'!$A:$A,"&gt;="&amp;DASH_CONTROLES!$C$6,'EQUILIBRIO QUIMICO'!$A:$A,"&lt;="&amp;DASH_CONTROLES!$C$7,'EQUILIBRIO QUIMICO'!$N:$N,"&lt;2,5")</f>
        <v>0</v>
      </c>
      <c r="D23" s="34">
        <f t="shared" ref="D23:D28" si="1">IFERROR(C23/SUM($C$23:$C$28),0)</f>
        <v>0</v>
      </c>
      <c r="F23" s="35" t="s">
        <v>110</v>
      </c>
      <c r="G23" s="33">
        <f>SUM(G17:G22)</f>
        <v>8</v>
      </c>
    </row>
    <row r="24" spans="2:8" x14ac:dyDescent="0.3">
      <c r="B24" s="28" t="s">
        <v>202</v>
      </c>
      <c r="C24" s="33">
        <f>COUNTIFS('EQUILIBRIO QUIMICO'!$A:$A,"&gt;="&amp;DASH_CONTROLES!$C$6,'EQUILIBRIO QUIMICO'!$A:$A,"&lt;="&amp;DASH_CONTROLES!$C$7,'EQUILIBRIO QUIMICO'!$N:$N,"&gt;=2,5",'EQUILIBRIO QUIMICO'!$N:$N,"&lt;5")</f>
        <v>6</v>
      </c>
      <c r="D24" s="34">
        <f t="shared" si="1"/>
        <v>0.75</v>
      </c>
    </row>
    <row r="25" spans="2:8" x14ac:dyDescent="0.3">
      <c r="B25" s="28" t="s">
        <v>203</v>
      </c>
      <c r="C25" s="33">
        <f>COUNTIFS('EQUILIBRIO QUIMICO'!$A:$A,"&gt;="&amp;DASH_CONTROLES!$C$6,'EQUILIBRIO QUIMICO'!$A:$A,"&lt;="&amp;DASH_CONTROLES!$C$7,'EQUILIBRIO QUIMICO'!$N:$N,"&gt;=5",'EQUILIBRIO QUIMICO'!$N:$N,"&lt;7,5")</f>
        <v>2</v>
      </c>
      <c r="D25" s="34">
        <f t="shared" si="1"/>
        <v>0.25</v>
      </c>
    </row>
    <row r="26" spans="2:8" x14ac:dyDescent="0.3">
      <c r="B26" s="28" t="s">
        <v>204</v>
      </c>
      <c r="C26" s="33">
        <f>COUNTIFS('EQUILIBRIO QUIMICO'!$A:$A,"&gt;="&amp;DASH_CONTROLES!$C$6,'EQUILIBRIO QUIMICO'!$A:$A,"&lt;="&amp;DASH_CONTROLES!$C$7,'EQUILIBRIO QUIMICO'!$N:$N,"&gt;=7,5",'EQUILIBRIO QUIMICO'!$N:$N,"&lt;10")</f>
        <v>0</v>
      </c>
      <c r="D26" s="34">
        <f t="shared" si="1"/>
        <v>0</v>
      </c>
    </row>
    <row r="27" spans="2:8" x14ac:dyDescent="0.3">
      <c r="B27" s="28" t="s">
        <v>205</v>
      </c>
      <c r="C27" s="33">
        <f>COUNTIFS('EQUILIBRIO QUIMICO'!$A:$A,"&gt;="&amp;DASH_CONTROLES!$C$6,'EQUILIBRIO QUIMICO'!$A:$A,"&lt;="&amp;DASH_CONTROLES!$C$7,'EQUILIBRIO QUIMICO'!$N:$N,"&gt;=10",'EQUILIBRIO QUIMICO'!$N:$N,"&lt;15")</f>
        <v>0</v>
      </c>
      <c r="D27" s="34">
        <f t="shared" si="1"/>
        <v>0</v>
      </c>
    </row>
    <row r="28" spans="2:8" x14ac:dyDescent="0.3">
      <c r="B28" s="28" t="s">
        <v>206</v>
      </c>
      <c r="C28" s="33">
        <f>COUNTIFS('EQUILIBRIO QUIMICO'!$A:$A,"&gt;="&amp;DASH_CONTROLES!$C$6,'EQUILIBRIO QUIMICO'!$A:$A,"&lt;="&amp;DASH_CONTROLES!$C$7,'EQUILIBRIO QUIMICO'!$N:$N,"&gt;=15")</f>
        <v>0</v>
      </c>
      <c r="D28" s="34">
        <f t="shared" si="1"/>
        <v>0</v>
      </c>
    </row>
    <row r="29" spans="2:8" x14ac:dyDescent="0.3">
      <c r="B29" s="35" t="s">
        <v>110</v>
      </c>
      <c r="C29" s="33">
        <f>SUM(C23:C28)</f>
        <v>8</v>
      </c>
      <c r="D29" s="34">
        <f>SUM(D23:D28)</f>
        <v>1</v>
      </c>
    </row>
  </sheetData>
  <mergeCells count="6">
    <mergeCell ref="B2:N2"/>
    <mergeCell ref="B4:E4"/>
    <mergeCell ref="B12:E12"/>
    <mergeCell ref="B20:E20"/>
    <mergeCell ref="F4:I4"/>
    <mergeCell ref="F14:I14"/>
  </mergeCells>
  <pageMargins left="0.511811024" right="0.511811024" top="0.78740157499999996" bottom="0.78740157499999996" header="0.31496062000000002" footer="0.31496062000000002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Planilhas</vt:lpstr>
      </vt:variant>
      <vt:variant>
        <vt:i4>16</vt:i4>
      </vt:variant>
      <vt:variant>
        <vt:lpstr>Intervalos Nomeados</vt:lpstr>
      </vt:variant>
      <vt:variant>
        <vt:i4>8</vt:i4>
      </vt:variant>
    </vt:vector>
  </HeadingPairs>
  <TitlesOfParts>
    <vt:vector size="24" baseType="lpstr">
      <vt:lpstr>MODELO EQUÍL. E CARGA</vt:lpstr>
      <vt:lpstr>MODELO EQUÍLIBRIO QUÍMICO</vt:lpstr>
      <vt:lpstr>21.04</vt:lpstr>
      <vt:lpstr>20.04</vt:lpstr>
      <vt:lpstr>19.04</vt:lpstr>
      <vt:lpstr>18.04</vt:lpstr>
      <vt:lpstr>17.04</vt:lpstr>
      <vt:lpstr>16.04</vt:lpstr>
      <vt:lpstr>EQUILIBRIO QUIMICO COM CARGA</vt:lpstr>
      <vt:lpstr>EQUILIBRIO QUIMICO</vt:lpstr>
      <vt:lpstr>JARTEST2</vt:lpstr>
      <vt:lpstr>JARTEST</vt:lpstr>
      <vt:lpstr>DASH_CONTROLES</vt:lpstr>
      <vt:lpstr>DASH_QUALIDADE</vt:lpstr>
      <vt:lpstr>DASH_DESEMPENHO</vt:lpstr>
      <vt:lpstr>DASH_COMPARATIVO</vt:lpstr>
      <vt:lpstr>'16.04'!Area_de_impressao</vt:lpstr>
      <vt:lpstr>'17.04'!Area_de_impressao</vt:lpstr>
      <vt:lpstr>'18.04'!Area_de_impressao</vt:lpstr>
      <vt:lpstr>'19.04'!Area_de_impressao</vt:lpstr>
      <vt:lpstr>'20.04'!Area_de_impressao</vt:lpstr>
      <vt:lpstr>'21.04'!Area_de_impressao</vt:lpstr>
      <vt:lpstr>'MODELO EQUÍL. E CARGA'!Area_de_impressao</vt:lpstr>
      <vt:lpstr>'MODELO EQUÍLIBRIO QUÍMICO'!Area_de_impressao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Kleiton Castro Vianna</dc:creator>
  <cp:lastModifiedBy>José Ricardo Pereira Ramos</cp:lastModifiedBy>
  <cp:lastPrinted>2026-10-13T17:06:35Z</cp:lastPrinted>
  <dcterms:created xsi:type="dcterms:W3CDTF">2015-06-05T18:19:34Z</dcterms:created>
  <dcterms:modified xsi:type="dcterms:W3CDTF">2026-10-26T22:22:28Z</dcterms:modified>
</cp:coreProperties>
</file>